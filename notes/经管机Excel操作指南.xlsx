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105" activeTab="4"/>
  </bookViews>
  <sheets>
    <sheet name="📋 目录" sheetId="1" r:id="rId1"/>
    <sheet name="📊 函数速查表" sheetId="2" r:id="rId2"/>
    <sheet name="📈 数据透视表" sheetId="3" r:id="rId3"/>
    <sheet name="🎛 动态展示" sheetId="4" r:id="rId4"/>
    <sheet name="📉 时间序列预测" sheetId="5" r:id="rId5"/>
    <sheet name="💰 成本管理" sheetId="6" r:id="rId6"/>
    <sheet name="📦 库存管理" sheetId="7" r:id="rId7"/>
    <sheet name="🏦 投资决策" sheetId="8" r:id="rId8"/>
    <sheet name="⚙ 最优化决策" sheetId="9" r:id="rId9"/>
    <sheet name="🚨 考试高频陷阱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<sst xmlns="http://schemas.openxmlformats.org/spreadsheetml/2006/main" count="777" uniqueCount="654">
  <si>
    <t>经济管理中的计算机应用 · Excel操作指南</t>
  </si>
  <si>
    <t/>
  </si>
  <si>
    <t>上海财经大学出版 | 涵盖第2～10章全部Excel操作知识点</t>
  </si>
  <si>
    <t>工作表名称</t>
  </si>
  <si>
    <t>内容概要</t>
  </si>
  <si>
    <t>重要程度</t>
  </si>
  <si>
    <t>📊</t>
  </si>
  <si>
    <t>函数速查表</t>
  </si>
  <si>
    <t>27个核心函数 · 语法+案例+易错点</t>
  </si>
  <si>
    <t>⭐⭐⭐ 必背</t>
  </si>
  <si>
    <t>🗄</t>
  </si>
  <si>
    <t>数据获取与查询</t>
  </si>
  <si>
    <t>文本/DB/Excel导入 · MS Query多表查询</t>
  </si>
  <si>
    <t>⭐⭐</t>
  </si>
  <si>
    <t>📈</t>
  </si>
  <si>
    <t>数据透视表</t>
  </si>
  <si>
    <t>透视表创建/调整/应用 · Power Pivot DAX</t>
  </si>
  <si>
    <t>⭐⭐⭐ 必考</t>
  </si>
  <si>
    <t>🎛</t>
  </si>
  <si>
    <t>动态展示</t>
  </si>
  <si>
    <t>D函数 · 模拟运算表 · 6类控件</t>
  </si>
  <si>
    <t>📉</t>
  </si>
  <si>
    <t>时间序列预测</t>
  </si>
  <si>
    <t>移动平均 · 指数平滑 · 季节指数</t>
  </si>
  <si>
    <t>🔁</t>
  </si>
  <si>
    <t>回归分析</t>
  </si>
  <si>
    <t>线性/非线性 · 变换法 · 规划求解</t>
  </si>
  <si>
    <t>💰</t>
  </si>
  <si>
    <t>成本管理</t>
  </si>
  <si>
    <t>本量利 · 盈亏平衡 · 两方案成本决策</t>
  </si>
  <si>
    <t>📦</t>
  </si>
  <si>
    <t>库存管理</t>
  </si>
  <si>
    <t>EOQ · 365天模拟 · 随机需求</t>
  </si>
  <si>
    <t>⭐⭐⭐ 必考(15')</t>
  </si>
  <si>
    <t>🏦</t>
  </si>
  <si>
    <t>投资决策</t>
  </si>
  <si>
    <t>FV/PV/NPV/IRR · 蒙特卡洛风险分析</t>
  </si>
  <si>
    <t>⚙</t>
  </si>
  <si>
    <t>最优化决策</t>
  </si>
  <si>
    <t>线性规划 · SUMPRODUCT · 常见规划框架</t>
  </si>
  <si>
    <t>🚨</t>
  </si>
  <si>
    <t>考试高频陷阱</t>
  </si>
  <si>
    <t>11类易错点 · 操作细节备忘</t>
  </si>
  <si>
    <t>⭐⭐⭐ 必看</t>
  </si>
  <si>
    <t>常用函数速查表（27个）</t>
  </si>
  <si>
    <t>函数名</t>
  </si>
  <si>
    <t>所属章节</t>
  </si>
  <si>
    <t>完整语法</t>
  </si>
  <si>
    <t>案例/出处</t>
  </si>
  <si>
    <t>重要备注 ⚠️</t>
  </si>
  <si>
    <t>🔍 查找与统计</t>
  </si>
  <si>
    <t>OFFSET()</t>
  </si>
  <si>
    <t>5/8章</t>
  </si>
  <si>
    <t>OFFSET(起点, 上下偏移, 左右偏移, 行数, 列数)</t>
  </si>
  <si>
    <t>移动平均预测值</t>
  </si>
  <si>
    <t>下右为正，上左为负；行列数可省略</t>
  </si>
  <si>
    <t>SUMXMY2()</t>
  </si>
  <si>
    <t>5/6章</t>
  </si>
  <si>
    <t>SUMXMY2(已知y_观测, y_预测)</t>
  </si>
  <si>
    <t>MSE计算</t>
  </si>
  <si>
    <t>MSE = SUMXMY2()/COUNT(预测值)</t>
  </si>
  <si>
    <t>INDEX()</t>
  </si>
  <si>
    <t>全章</t>
  </si>
  <si>
    <t>INDEX(数据区域, 行号, 列号)</t>
  </si>
  <si>
    <t>最优N/α索引</t>
  </si>
  <si>
    <t>单行/列时列号可省；常与MATCH嵌套</t>
  </si>
  <si>
    <t>MATCH()</t>
  </si>
  <si>
    <t>MATCH(目标值, 查找区域, 1/0/-1)</t>
  </si>
  <si>
    <t>找最优参数位置</t>
  </si>
  <si>
    <t>升序=1，精确=0，降序=-1</t>
  </si>
  <si>
    <t>LARGE()</t>
  </si>
  <si>
    <t>4/8章</t>
  </si>
  <si>
    <t>LARGE(数据区域, k)</t>
  </si>
  <si>
    <t>筛前10销售额</t>
  </si>
  <si>
    <t>涉及模拟运算表排序时必用</t>
  </si>
  <si>
    <t>SUMPRODUCT()</t>
  </si>
  <si>
    <t>10章</t>
  </si>
  <si>
    <t>SUMPRODUCT(array1, array2)</t>
  </si>
  <si>
    <t>线性规划目标函数</t>
  </si>
  <si>
    <t>对应元素相乘再求和；替代SUM(a*b)+Ctrl+Shift+Enter</t>
  </si>
  <si>
    <t>📐 统计量</t>
  </si>
  <si>
    <t>AVERAGE()</t>
  </si>
  <si>
    <t>5章</t>
  </si>
  <si>
    <t>AVERAGE(数值区域)</t>
  </si>
  <si>
    <t>指数平滑初始值</t>
  </si>
  <si>
    <t>STDEV()</t>
  </si>
  <si>
    <t>9章</t>
  </si>
  <si>
    <t>STDEV(数据)</t>
  </si>
  <si>
    <t>蒙特卡洛标准差</t>
  </si>
  <si>
    <t>样本标准差；VAR()=样本方差</t>
  </si>
  <si>
    <t>COUNTIF()</t>
  </si>
  <si>
    <t>COUNTIF(区域, 条件)</t>
  </si>
  <si>
    <t>净现值实现概率</t>
  </si>
  <si>
    <t>countif(区域,"&gt;值")/总数=概率</t>
  </si>
  <si>
    <t>COUNTIFS()</t>
  </si>
  <si>
    <t>COUNTIFS(区域1, 条件1, 区域2, 条件2)</t>
  </si>
  <si>
    <t>区间概率</t>
  </si>
  <si>
    <t>多条件版本</t>
  </si>
  <si>
    <t>FREQUENCY()</t>
  </si>
  <si>
    <t>8章</t>
  </si>
  <si>
    <t>FREQUENCY(数据源, 分段点)/COUNT(数据源)</t>
  </si>
  <si>
    <t>频率分布</t>
  </si>
  <si>
    <t>⚠️ 数组公式：Ctrl+Shift+Enter</t>
  </si>
  <si>
    <t>📈 趋势与预测</t>
  </si>
  <si>
    <t>INTERCEPT()</t>
  </si>
  <si>
    <t>INTERCEPT(y列, x列)</t>
  </si>
  <si>
    <t>趋势线截距a</t>
  </si>
  <si>
    <t>SLOPE()</t>
  </si>
  <si>
    <t>SLOPE(y列, x列)</t>
  </si>
  <si>
    <t>趋势线斜率b</t>
  </si>
  <si>
    <t>RSQ()</t>
  </si>
  <si>
    <t>RSQ(y列, x列)</t>
  </si>
  <si>
    <t>R²</t>
  </si>
  <si>
    <t>R²&gt;0.9可用线性；&lt;0.5无趋势</t>
  </si>
  <si>
    <t>LINEST()</t>
  </si>
  <si>
    <t>LINEST(y列, x列)</t>
  </si>
  <si>
    <t>线性斜率+截距</t>
  </si>
  <si>
    <t>⚠️ 数组公式，选2格Ctrl+Shift+Enter，返回[斜率, 截距]</t>
  </si>
  <si>
    <t>LOGEST()</t>
  </si>
  <si>
    <t>6章</t>
  </si>
  <si>
    <t>LOGEST(y列, x列)</t>
  </si>
  <si>
    <t>指数回归参数</t>
  </si>
  <si>
    <t>⚠️ 数组公式，返回[b, a]，y=a*b^x</t>
  </si>
  <si>
    <t>FORECAST()</t>
  </si>
  <si>
    <t>FORECAST(新x, 已知y, 已知x)</t>
  </si>
  <si>
    <t>线性预测值</t>
  </si>
  <si>
    <t>⚠️ 注意已知y/x的绝对引用</t>
  </si>
  <si>
    <t>TREND()</t>
  </si>
  <si>
    <t>TREND(已知y, 已知x, 新x)</t>
  </si>
  <si>
    <t>线性预测值（数组）</t>
  </si>
  <si>
    <t>⚠️ 绝对引用；可一次预测多个x</t>
  </si>
  <si>
    <t>🎲 随机模拟</t>
  </si>
  <si>
    <t>RAND()</t>
  </si>
  <si>
    <t>8/9章</t>
  </si>
  <si>
    <t>a + (b-a)*RAND()</t>
  </si>
  <si>
    <t>均匀分布小数</t>
  </si>
  <si>
    <t>生成[a,b]区间；RANDBETWEEN生成整数</t>
  </si>
  <si>
    <t>RANDBETWEEN()</t>
  </si>
  <si>
    <t>RANDBETWEEN(a, b)</t>
  </si>
  <si>
    <t>均匀整数</t>
  </si>
  <si>
    <t>⚠️ 不能在数组公式中嵌套组使用</t>
  </si>
  <si>
    <t>NORMINV()</t>
  </si>
  <si>
    <t>NORMINV(RAND(), 均值, 标准差)</t>
  </si>
  <si>
    <t>正态/泊松随机数</t>
  </si>
  <si>
    <t>泊松大均值近似：标准差=SQRT(均值)，结果需取整</t>
  </si>
  <si>
    <t>ROUND()</t>
  </si>
  <si>
    <t>ROUND(数字, 小数位数)</t>
  </si>
  <si>
    <t>保留两位小数</t>
  </si>
  <si>
    <t>✂️ 取整</t>
  </si>
  <si>
    <t>ROUNDUP()</t>
  </si>
  <si>
    <t>ROUNDUP(数字, 0)</t>
  </si>
  <si>
    <t>订货次数取整</t>
  </si>
  <si>
    <t>向上取整；对应ROUNDDOWN向下</t>
  </si>
  <si>
    <t>INT()</t>
  </si>
  <si>
    <t>INT(数字)</t>
  </si>
  <si>
    <t>过去周期数</t>
  </si>
  <si>
    <t>向下取整（与FLOOR同效）</t>
  </si>
  <si>
    <t>NPV()</t>
  </si>
  <si>
    <t>NPV(贴现率, 第1年起的各期现金流)</t>
  </si>
  <si>
    <t>净现值</t>
  </si>
  <si>
    <t>⚠️ 第0年不在函数内，净现值=NPV()+第0年金额</t>
  </si>
  <si>
    <t>💰 财务函数</t>
  </si>
  <si>
    <t>IRR()</t>
  </si>
  <si>
    <t>IRR(含第0年的全部现金流, 猜测值)</t>
  </si>
  <si>
    <t>内部收益率</t>
  </si>
  <si>
    <t>⚠️ 两方案净现值相等：IRR(方案1-方案2)</t>
  </si>
  <si>
    <t>PMT()</t>
  </si>
  <si>
    <t>PMT(月利率, 期数, -贷款额)</t>
  </si>
  <si>
    <t>等额月供</t>
  </si>
  <si>
    <t>PMT=PPMT(本金)+IPMT(利息)</t>
  </si>
  <si>
    <t>第三章 数据分类汇总分析 · 操作指南</t>
  </si>
  <si>
    <t>一、Excel表格基础操作</t>
  </si>
  <si>
    <t>数据区域转表格</t>
  </si>
  <si>
    <t>选中区域 → Ctrl+T</t>
  </si>
  <si>
    <t>⚠️ 第一行必须是字段名，无空行空列</t>
  </si>
  <si>
    <t>表格转数据区域</t>
  </si>
  <si>
    <t>选中表格单元格 → 表设计 → 转换为数据</t>
  </si>
  <si>
    <t>筛选数据</t>
  </si>
  <si>
    <t>数据→筛选  或  插入→切片器</t>
  </si>
  <si>
    <t>切片器可联动多个透视表</t>
  </si>
  <si>
    <t>添加计算列</t>
  </si>
  <si>
    <t>在表格相邻列输入表头，第二行输入公式</t>
  </si>
  <si>
    <t>自动填充至最后一行</t>
  </si>
  <si>
    <t>汇总行</t>
  </si>
  <si>
    <t>表设计 → 汇总行 → 下拉选汇总方式</t>
  </si>
  <si>
    <t>⚠️ 隐藏行不计入汇总值</t>
  </si>
  <si>
    <t>引用表格元素</t>
  </si>
  <si>
    <t>含隐藏行；AGGREGATE(9,5,区域) 可忽略隐藏</t>
  </si>
  <si>
    <t>条件格式</t>
  </si>
  <si>
    <t>开始 → 条件格式 → 最前/最后规则</t>
  </si>
  <si>
    <t>二、数据透视表创建</t>
  </si>
  <si>
    <t>标准流程（期末要求）</t>
  </si>
  <si>
    <t>导入数据 → 直接勾选「插入数据透视表」</t>
  </si>
  <si>
    <t>⚠️ 不能先导入表再插入</t>
  </si>
  <si>
    <t>返回源数据表</t>
  </si>
  <si>
    <t>Alt+D+P → 上一步 → 获取数据</t>
  </si>
  <si>
    <t>⚠️ 容易死机，操作前先保存！</t>
  </si>
  <si>
    <t>取消行列汇总</t>
  </si>
  <si>
    <t>设计 → 总计 → 对行列禁用</t>
  </si>
  <si>
    <t>或右键→数据透视表选项→汇总和筛选</t>
  </si>
  <si>
    <t>更改布局</t>
  </si>
  <si>
    <t>设计 → 报表布局 → 表格形式</t>
  </si>
  <si>
    <t>大纲形式、压缩形式均可选</t>
  </si>
  <si>
    <t>添加计算字段</t>
  </si>
  <si>
    <t>数据透视表分析 → 字段项目和集 → 新建字段</t>
  </si>
  <si>
    <t>插入数据透视图</t>
  </si>
  <si>
    <t>数据透视表分析 → 数据透视图</t>
  </si>
  <si>
    <t>刷新/更改数据源</t>
  </si>
  <si>
    <t>数据透视表分析 → 刷新 / 更改数据源</t>
  </si>
  <si>
    <t>修改源表后必须刷新</t>
  </si>
  <si>
    <t>三、分类字段调整</t>
  </si>
  <si>
    <t>修改字段名称</t>
  </si>
  <si>
    <t>选中字段 → 左键 → 字段设置 → 自定义名称</t>
  </si>
  <si>
    <t>行列区域调整</t>
  </si>
  <si>
    <t>直接拖拽字段到对应区域</t>
  </si>
  <si>
    <t>分类字段组合</t>
  </si>
  <si>
    <t>选中行/列 → 右键 → 组合</t>
  </si>
  <si>
    <t>日期可组合为年/季度/月</t>
  </si>
  <si>
    <t>字段值筛选排序</t>
  </si>
  <si>
    <t>行/列标签旁的下箭头</t>
  </si>
  <si>
    <t>值筛选/标签筛选/排序/清除筛选</t>
  </si>
  <si>
    <t>拖动行列位置</t>
  </si>
  <si>
    <t>鼠标变十字时可拖动</t>
  </si>
  <si>
    <t>分类汇总小计</t>
  </si>
  <si>
    <t>点击分类字段（如华东）→ 右键 → 分类汇总地区</t>
  </si>
  <si>
    <t>或设计→分类汇总</t>
  </si>
  <si>
    <t>重复项目标签</t>
  </si>
  <si>
    <t>右键 → 字段设置 → 布局和打印 → 重复项目标签</t>
  </si>
  <si>
    <t>四、汇总值调整</t>
  </si>
  <si>
    <t>改变汇总方式</t>
  </si>
  <si>
    <t>右键值字段 → 值汇总依据</t>
  </si>
  <si>
    <t>计数/求和/平均/最大/最小</t>
  </si>
  <si>
    <t>值显示方式</t>
  </si>
  <si>
    <t>右键值 → 值显示方式</t>
  </si>
  <si>
    <t>差异百分比</t>
  </si>
  <si>
    <t>值显示方式 → 差异百分比 → 基本字段:订购日期，基本项:上一个</t>
  </si>
  <si>
    <t>同上月比较增减%</t>
  </si>
  <si>
    <t>父级百分比</t>
  </si>
  <si>
    <t>值显示方式 → 父级汇总的百分比 → 选组别名称</t>
  </si>
  <si>
    <t>⚠️ 柱形图x轴必须含全部</t>
  </si>
  <si>
    <t>五、数据透视表应用</t>
  </si>
  <si>
    <t>时间序列（月/季度）</t>
  </si>
  <si>
    <t>拖入日期字段 → 右键组合 → 选年/季度/月 → 插入折线图</t>
  </si>
  <si>
    <t>创建组→步长10 → 值显示方式→列汇总的百分比 → 柱形图</t>
  </si>
  <si>
    <t>NULL显示为空白</t>
  </si>
  <si>
    <t>右键 → 数据透视表选项 → 布局和格式 → 对错误值显示 → 回车</t>
  </si>
  <si>
    <t>无数据的时间点显示0</t>
  </si>
  <si>
    <t>右键 → 字段设置 → 布局和打印 → 显示无数据项的项目</t>
  </si>
  <si>
    <t>切片器联动两个透视表</t>
  </si>
  <si>
    <t>复制粘贴原来的透视表 → 共用同一切片器</t>
  </si>
  <si>
    <t>加入数据条</t>
  </si>
  <si>
    <t>开始 → 条件格式 → 数据条</t>
  </si>
  <si>
    <t>六、Power Pivot</t>
  </si>
  <si>
    <t>启用加载项</t>
  </si>
  <si>
    <t>文件→选项→加载项→COM加载项→勾选Power Pivot</t>
  </si>
  <si>
    <t>导入数据</t>
  </si>
  <si>
    <t>Power Pivot → 管理 → 从其他源 → Excel文件 → 使用第一行作列标题</t>
  </si>
  <si>
    <t>预览并筛选所需列</t>
  </si>
  <si>
    <t>创建表关系</t>
  </si>
  <si>
    <t>Power Pivot → 管理 → 关系图视图 → 拖动字段连线</t>
  </si>
  <si>
    <t>创建计算列</t>
  </si>
  <si>
    <t>直接在管理表中添加列，输入DAX公式</t>
  </si>
  <si>
    <t>如：销售额=单价*数量*(1-折扣)</t>
  </si>
  <si>
    <t>新建度量值</t>
  </si>
  <si>
    <t>Power Pivot → 度量值 → 新建度量值</t>
  </si>
  <si>
    <t>DAX示例</t>
  </si>
  <si>
    <t>计算2018年净销售额</t>
  </si>
  <si>
    <t>插入数据透视表</t>
  </si>
  <si>
    <t>Power Pivot → 管理 → 数据透视表 → 插入到现有工作表</t>
  </si>
  <si>
    <t>第四章 数据的动态展示 · 操作指南</t>
  </si>
  <si>
    <t>一、数据库函数（D函数）</t>
  </si>
  <si>
    <t>函数结构</t>
  </si>
  <si>
    <t>D函数名(数据列表, 汇总字段, 条件区域)</t>
  </si>
  <si>
    <t>汇总字段可用字段名或位置序号</t>
  </si>
  <si>
    <t>条件区域规则</t>
  </si>
  <si>
    <t>第一行=字段名（与列表完全一致），第二行=条件</t>
  </si>
  <si>
    <t>同行不同列=AND；不同行=OR</t>
  </si>
  <si>
    <t>DAVERAGE</t>
  </si>
  <si>
    <t>⚠️ 注意DIV/0!</t>
  </si>
  <si>
    <t>DCOUNT</t>
  </si>
  <si>
    <t>仅统计数值型单元格</t>
  </si>
  <si>
    <t>DCOUNTA</t>
  </si>
  <si>
    <t>统计非空单元格</t>
  </si>
  <si>
    <t>DSUM</t>
  </si>
  <si>
    <t>跨表引用</t>
  </si>
  <si>
    <t>选好一个参数后打','继续选下一个</t>
  </si>
  <si>
    <t>二、模拟运算表</t>
  </si>
  <si>
    <t>启动路径</t>
  </si>
  <si>
    <t>数据 → 模拟分析 → 模拟运算表</t>
  </si>
  <si>
    <t>⚠️ 结果不能部分修改，按Esc返回</t>
  </si>
  <si>
    <t>一维（列变量）</t>
  </si>
  <si>
    <t>自变量放一列 → 函数值放右侧首格 → 选中两列 → 模拟运算表 → 输入引用列单元格</t>
  </si>
  <si>
    <t>位置=样例x所在单元格</t>
  </si>
  <si>
    <t>二维模拟运算表</t>
  </si>
  <si>
    <t>示例公式放在x1、x2交叉位置 → 选中整个表 → 行变量/列变量各引用样例位置</t>
  </si>
  <si>
    <t>D函数+模拟运算表</t>
  </si>
  <si>
    <t>用D函数计算一个示例值放交叉处 → 自变量用高级筛选不重复项</t>
  </si>
  <si>
    <t>日期类自变量</t>
  </si>
  <si>
    <t>输入首尾两个日期 → 鼠标变十字后下拉</t>
  </si>
  <si>
    <t>如：1996/8/1  1996/9/1 → 下拉</t>
  </si>
  <si>
    <t>时间序列每月自变量</t>
  </si>
  <si>
    <t>x轴为文本类型的折线图</t>
  </si>
  <si>
    <t>三、控件操作</t>
  </si>
  <si>
    <t>启用开发工具</t>
  </si>
  <si>
    <t>文件 → 选项 → 自定义功能区 → 勾选「开发工具」</t>
  </si>
  <si>
    <t>插入控件</t>
  </si>
  <si>
    <t>开发工具 → 插入 → 选择控件类型</t>
  </si>
  <si>
    <t>右键拖动控件可移动</t>
  </si>
  <si>
    <t>设置控件</t>
  </si>
  <si>
    <t>右键控件 → 设置控件格式</t>
  </si>
  <si>
    <t>列表框</t>
  </si>
  <si>
    <t>数据源区域=多个字段名；链接单元格返回「第几个」</t>
  </si>
  <si>
    <t>可选一或多个</t>
  </si>
  <si>
    <t>组合框（下拉）</t>
  </si>
  <si>
    <t>向下显示选项，只能选一个；链接「第几个」</t>
  </si>
  <si>
    <t>滚动条</t>
  </si>
  <si>
    <t>设起始/步长/终止；链接数值</t>
  </si>
  <si>
    <t>数值调节钮</t>
  </si>
  <si>
    <t>点击±增减；链接数值；步长可设为1（α'=α/10缩放）</t>
  </si>
  <si>
    <t>单选按钮（分组框+选项）</t>
  </si>
  <si>
    <t>多个选项只需链接其中一个；组合后可移动整体</t>
  </si>
  <si>
    <t>链接返回「第几个」</t>
  </si>
  <si>
    <t>复选框（分组框+复选）</t>
  </si>
  <si>
    <t>每个复选框单独链接；返回TRUE/FALSE</t>
  </si>
  <si>
    <t>四、控件与D函数联动</t>
  </si>
  <si>
    <t>控件控制汇总条件字段</t>
  </si>
  <si>
    <t>INDEX(数据源, 控件链接值)  →  写入条件区域字段名</t>
  </si>
  <si>
    <t>控制D函数的条件</t>
  </si>
  <si>
    <t>控件控制汇总字段</t>
  </si>
  <si>
    <t>INDEX(汇总字段列表, 控件链接值)  →  作为D函数第2参数</t>
  </si>
  <si>
    <t>控件控制汇总方式</t>
  </si>
  <si>
    <t>IF(控件=1, DSUM(...), IF(控件=2, DAVERAGE(...), ...))</t>
  </si>
  <si>
    <t>全部选项处理（文本型）</t>
  </si>
  <si>
    <t>IF(控件=全部序号, "", INDEX(数据源, 控件值))</t>
  </si>
  <si>
    <t>条件为空字符串=不限制</t>
  </si>
  <si>
    <t>全部选项处理（日期型）</t>
  </si>
  <si>
    <t>日期选全部 → 条件设为 &gt;=最早日期  且  &lt;=最晚日期</t>
  </si>
  <si>
    <t>⚠️ 不能用""，日期无法判断</t>
  </si>
  <si>
    <t>图表标题随控件变化</t>
  </si>
  <si>
    <t>单击文本框 → 在fx栏输入 =标题所在单元格</t>
  </si>
  <si>
    <t>图+控件组合</t>
  </si>
  <si>
    <t>左键点图+Ctrl+右键点控件 → 右键组合 → 图挡住控件时右键置于底层</t>
  </si>
  <si>
    <t>复制到新Sheet</t>
  </si>
  <si>
    <t>控件所用数据源、链接单元格要带sheet名：如 '4-3!$N$6:$N$14'</t>
  </si>
  <si>
    <t>选择性粘贴为Microsoft图片对象</t>
  </si>
  <si>
    <t>自变量去重</t>
  </si>
  <si>
    <t>数据 → 筛选 → 高级 → 对应字段列 → 勾选「不重复项」</t>
  </si>
  <si>
    <t>可将数据源升序排列与样章一致</t>
  </si>
  <si>
    <t>第五章 时间序列预测模型 · 操作指南</t>
  </si>
  <si>
    <t>一、判断趋势</t>
  </si>
  <si>
    <t>添加趋势线</t>
  </si>
  <si>
    <t>选中折线图 → 右键 → 添加趋势线 → 显示公式和R²</t>
  </si>
  <si>
    <t>有无趋势判断</t>
  </si>
  <si>
    <t>R²&gt;0.9 → 可用线性趋势模型；R²&lt;0.5 → 无趋势，用平滑模型</t>
  </si>
  <si>
    <t>二、移动平均模型</t>
  </si>
  <si>
    <t>方法1：工具箱</t>
  </si>
  <si>
    <t>数据 → 数据分析 → 移动平均 → 输入Y观测值/间隔N/输出区域(下移一行)</t>
  </si>
  <si>
    <t>勾选图表输出可直接看图</t>
  </si>
  <si>
    <t>方法2：公式</t>
  </si>
  <si>
    <t>N行以前无预测值</t>
  </si>
  <si>
    <t>计算MSE</t>
  </si>
  <si>
    <t>⚠️ COUNT只计非空，分母会自动排除空值</t>
  </si>
  <si>
    <t>找最优N（模拟运算表）</t>
  </si>
  <si>
    <t>将MSE公式作为样例 → 模拟运算表列变量=N → 找MSE最小值</t>
  </si>
  <si>
    <t>数值调节钮控制N</t>
  </si>
  <si>
    <t>开发工具 → 数值调节钮 → 链接N所在单元格 → 范围[1, n-1]</t>
  </si>
  <si>
    <t>三、指数平滑模型</t>
  </si>
  <si>
    <t>数据 → 数据分析 → 指数平滑 → 输入Y/阻尼系数(1-α)/输出区域(不下移)</t>
  </si>
  <si>
    <t>⚠️ 与移动平均不同，输出不下移一行</t>
  </si>
  <si>
    <t>第2期=第1期观测值；其后=α'×Y+(1-α')×F（α'=α/10，控件步长=1）</t>
  </si>
  <si>
    <t>找最优α</t>
  </si>
  <si>
    <t>同移动平均：模拟运算表列变量=α → INDEX(MATCH(MIN(MSE)))</t>
  </si>
  <si>
    <t>四、线性趋势预测 F=a+bX</t>
  </si>
  <si>
    <t>内建函数</t>
  </si>
  <si>
    <t>截距：=INTERCEPT(y列, x列)  斜率：=SLOPE(y列, x列)  R²：=RSQ(y列, x列)</t>
  </si>
  <si>
    <t>LINEST数组</t>
  </si>
  <si>
    <t>选中2个横向单元格 → =LINEST(y列, x列) → Ctrl+Shift+Enter</t>
  </si>
  <si>
    <t>返回[斜率, 截距]</t>
  </si>
  <si>
    <t>回归工具</t>
  </si>
  <si>
    <t>数据 → 数据分析 → 回归 → 输入Y/X/标志/输出区域</t>
  </si>
  <si>
    <t>⚠️ 只适用线性；主看自变量p值，p&lt;0.05通过检验</t>
  </si>
  <si>
    <t>规划求解</t>
  </si>
  <si>
    <t>设a,b初始值 → 代入y=a+bx → 计算MSE → 规划求解最小化MSE，可变=a,b</t>
  </si>
  <si>
    <t>预测值</t>
  </si>
  <si>
    <t>⚠️ 已知y/x必须绝对引用</t>
  </si>
  <si>
    <t>五、季节指数模型 Y=S×T</t>
  </si>
  <si>
    <t>步骤1：按季度做图</t>
  </si>
  <si>
    <t>拖入日期字段 → 右键组合选「季度」「年」→ 做折线图</t>
  </si>
  <si>
    <t>步骤2：各季度平均值</t>
  </si>
  <si>
    <t>步骤3：季节指数</t>
  </si>
  <si>
    <t>⚠️ 4个季节指数之和应等于4</t>
  </si>
  <si>
    <t>步骤4：趋势值T</t>
  </si>
  <si>
    <t>按季度一组（4个）：=Y/S  →  选4格 Ctrl+Shift+Enter</t>
  </si>
  <si>
    <t>⚠️ 必须绝对引用$S；4个一组</t>
  </si>
  <si>
    <t>步骤5：预测趋势值</t>
  </si>
  <si>
    <t>添加序列1→n为时刻x → =FORECAST(x, $趋势值列, $时刻列)</t>
  </si>
  <si>
    <t>绝对引用</t>
  </si>
  <si>
    <t>步骤6：预测值</t>
  </si>
  <si>
    <t>⚠️ 季节指数绝对引用；按季度对应</t>
  </si>
  <si>
    <t>检验线性相关</t>
  </si>
  <si>
    <t>R²接近1则趋势值与时间线性相关良好</t>
  </si>
  <si>
    <t>第七章 成本管理决策模型 · 操作指南</t>
  </si>
  <si>
    <t>一、基本公式</t>
  </si>
  <si>
    <t>销售收入</t>
  </si>
  <si>
    <t>R = 销售单价p × 销量Q</t>
  </si>
  <si>
    <t>可变成本</t>
  </si>
  <si>
    <t>V = 单位变动成本v × 销量Q</t>
  </si>
  <si>
    <t>总成本</t>
  </si>
  <si>
    <t>C = 固定成本F + 可变成本V</t>
  </si>
  <si>
    <t>利润</t>
  </si>
  <si>
    <t>π = R - C = (p-v)Q - F = kR - F</t>
  </si>
  <si>
    <t>边际贡献率</t>
  </si>
  <si>
    <t>k = (p-v)/p = 1 - v/p = 1 - V/R</t>
  </si>
  <si>
    <t>盈亏平衡量</t>
  </si>
  <si>
    <t>Q₀ = F / (p-v)</t>
  </si>
  <si>
    <t>目标销量</t>
  </si>
  <si>
    <t>Qₜ = (F + π目标) / (p-v)</t>
  </si>
  <si>
    <t>安全边际</t>
  </si>
  <si>
    <t>S = Qₜ - Q₀；安全边际率 s = S/Qₜ</t>
  </si>
  <si>
    <t>二、盈亏平衡点计算方法</t>
  </si>
  <si>
    <t>公式法</t>
  </si>
  <si>
    <t>单变量求解</t>
  </si>
  <si>
    <t>数据 → 模拟分析 → 单变量求解 → 目标单元格=利润，目标值=0，可变=销量</t>
  </si>
  <si>
    <t>查表加内插值法</t>
  </si>
  <si>
    <t>x=销量，y=利润；用模拟运算表生成0到最大销量对应利润</t>
  </si>
  <si>
    <t>三、本量利分析模型</t>
  </si>
  <si>
    <t>步骤1：计算基础数据</t>
  </si>
  <si>
    <t>列出销量/单价/固定成本/单位变动成本/利润等，每格用公式计算</t>
  </si>
  <si>
    <t>步骤2：作图数据</t>
  </si>
  <si>
    <t>模拟运算表：自变量=销量(0~最大)，因变量=销售收入/总成本/利润</t>
  </si>
  <si>
    <t>步骤3：作图</t>
  </si>
  <si>
    <t>选中数据 → 插入带直线的XY散点图 → 图表设计→切换行列</t>
  </si>
  <si>
    <t>步骤4：利润垂直参考线</t>
  </si>
  <si>
    <t>两个点：(当前销量, 销售收入)和(当前销量, 总成本) → 选择性粘贴为系列</t>
  </si>
  <si>
    <t>选择性粘贴：Y在列，首列为X</t>
  </si>
  <si>
    <t>步骤5：结论文本框</t>
  </si>
  <si>
    <t>插入→文本框 → 在fx栏输入=结论单元格</t>
  </si>
  <si>
    <t>结论：="销量="&amp;D3&amp;"时，"&amp;IF(π&gt;0,"盈利",IF(π&lt;0,"亏损","盈亏平衡"))</t>
  </si>
  <si>
    <t>四、盈亏平衡分析模型</t>
  </si>
  <si>
    <t>盈亏平衡销量垂直参考线</t>
  </si>
  <si>
    <t>5个点：(Q₀,Y轴最大值)/(Q₀,对应收入)/(Q₀,对应成本)/(Q₀,对应利润)/(Q₀,Y轴最小值)</t>
  </si>
  <si>
    <t>选择性粘贴→系列→Y在列→首列为X</t>
  </si>
  <si>
    <t>当前销量参考线</t>
  </si>
  <si>
    <t>同上，x=当前销量，y=各对应值</t>
  </si>
  <si>
    <t>⚠️ 除最大最小值外都用=单元格引用</t>
  </si>
  <si>
    <t>面积图版本</t>
  </si>
  <si>
    <t>计算MIN(收入,成本)，盈利=IF(收入&gt;=成本,收入-成本,0)，亏损反之 → 堆积面积图</t>
  </si>
  <si>
    <t>五、两种方案成本决策</t>
  </si>
  <si>
    <t>相对平衡点公式</t>
  </si>
  <si>
    <t>Q = (F1-F2)/(v2-v1)  两方案成本相等</t>
  </si>
  <si>
    <t>优惠折扣采购</t>
  </si>
  <si>
    <t>折扣=INDEX(折扣列,MATCH(Q,阈值列,1))  或  IF嵌套从大到小比较</t>
  </si>
  <si>
    <t>⚠️ 自变量需包含阈值-0.0001和阈值两个点</t>
  </si>
  <si>
    <t>相对平衡点轨迹</t>
  </si>
  <si>
    <t>模拟运算表：自变量=单位可变成本，因变量=相对平衡点/平衡成本</t>
  </si>
  <si>
    <t>第八章 库存管理决策模型 · 操作指南（重点15'）</t>
  </si>
  <si>
    <t>一、需求确定的库存变化模型</t>
  </si>
  <si>
    <t>向下取整</t>
  </si>
  <si>
    <t>本周期已过天数</t>
  </si>
  <si>
    <t>库存量（开始日=0）</t>
  </si>
  <si>
    <t>查看第N天库存</t>
  </si>
  <si>
    <t>添加红色系列到柱形图</t>
  </si>
  <si>
    <t>二、最佳订货周期模拟（15'）</t>
  </si>
  <si>
    <t>日需求量</t>
  </si>
  <si>
    <t>起始库存</t>
  </si>
  <si>
    <t>结束库存</t>
  </si>
  <si>
    <t>订货标志</t>
  </si>
  <si>
    <t>⚠️ 条件是结束库存&lt;日需求量（库存不够下一天用就订货）</t>
  </si>
  <si>
    <t>订货成本</t>
  </si>
  <si>
    <t>储存成本</t>
  </si>
  <si>
    <t>年总成本</t>
  </si>
  <si>
    <t>模拟运算表</t>
  </si>
  <si>
    <t>列变量=订货周期 → 因变量=年总成本 → 找MIN</t>
  </si>
  <si>
    <t>最低总成本</t>
  </si>
  <si>
    <t>最佳订货周期</t>
  </si>
  <si>
    <t>三、安全库存+缺货模型</t>
  </si>
  <si>
    <t>起始库存（随机）</t>
  </si>
  <si>
    <t>结束库存（随机）</t>
  </si>
  <si>
    <t>缺货量</t>
  </si>
  <si>
    <t>服务水平</t>
  </si>
  <si>
    <t>100次模拟运算表</t>
  </si>
  <si>
    <t>二维：列=订货量，行=虚拟变量（引用空白单元格）→ 统计区求AVERAGE</t>
  </si>
  <si>
    <t>⚠️ 行变量引用空单元格触发随机数重算</t>
  </si>
  <si>
    <t>四、经济订货量EOQ</t>
  </si>
  <si>
    <t>EOQ公式</t>
  </si>
  <si>
    <t>此时订货成本=储存成本</t>
  </si>
  <si>
    <t>年订货成本=k×D/Q；年储存成本=h×Q/2；年总成本=两者之和</t>
  </si>
  <si>
    <t>优惠折扣最优订货量</t>
  </si>
  <si>
    <t>EOQ不考虑折扣；折扣后成本=EOQ总成本 或 阈值处总成本，取较小值</t>
  </si>
  <si>
    <t>⚠️ 折扣阈值处要输入 阈值-0.0001 和 阈值 两行</t>
  </si>
  <si>
    <t>内插值法找最优Q</t>
  </si>
  <si>
    <t>⚠️ 非线性关系，不能直接在最大最小值点用</t>
  </si>
  <si>
    <t>第九章 投资决策分析模型 · 操作指南</t>
  </si>
  <si>
    <t>一、核心财务函数用法</t>
  </si>
  <si>
    <t>FV(将来值)</t>
  </si>
  <si>
    <t>pmt/pv负值；type=0期末，1期初</t>
  </si>
  <si>
    <t>PV(等额现值)</t>
  </si>
  <si>
    <t>pmt/fv负值</t>
  </si>
  <si>
    <t>NPV(不等额现值)</t>
  </si>
  <si>
    <t>⚠️ 第0年单独加，不折现！净现值=NPV()+第0年</t>
  </si>
  <si>
    <t>IRR(内部收益率)</t>
  </si>
  <si>
    <t>⚠️ 两方案净现值相等点：=IRR(方案1现金流-方案2现金流)</t>
  </si>
  <si>
    <t>PMT(等额还款)</t>
  </si>
  <si>
    <t>PPMT(某期本金)</t>
  </si>
  <si>
    <t>t越大本金越多</t>
  </si>
  <si>
    <t>IPMT(某期利息)</t>
  </si>
  <si>
    <t>t越大利息越少</t>
  </si>
  <si>
    <t>ISPMT(等本金某期利息)</t>
  </si>
  <si>
    <t>⚠️ per从1传入但函数内部-1，即实际0-based</t>
  </si>
  <si>
    <t>RATE(利率)</t>
  </si>
  <si>
    <t>迭代计算，20次不收敛返回#NUM!</t>
  </si>
  <si>
    <t>NPER(总期数)</t>
  </si>
  <si>
    <t>二、净现值分析流程</t>
  </si>
  <si>
    <t>步骤1：整理现金流</t>
  </si>
  <si>
    <t>按年份列出第0,1,2,...,n年现金流（收入为正，支出为负）</t>
  </si>
  <si>
    <t>步骤2：计算NPV和IRR</t>
  </si>
  <si>
    <t>步骤3：模拟运算表</t>
  </si>
  <si>
    <t>x=贴现率，y=各方案净现值 → 折线散点图</t>
  </si>
  <si>
    <t>步骤4：两方案交叉点</t>
  </si>
  <si>
    <t>方法1：=IRR(方案1现金流-方案2现金流)
方法2：查表内插值</t>
  </si>
  <si>
    <t>步骤5：参考线</t>
  </si>
  <si>
    <t>当前贴现率垂直线+(贴现率,最大净现值),(贴现率,最小净现值)</t>
  </si>
  <si>
    <t>三、蒙特卡洛风险分析</t>
  </si>
  <si>
    <t>框架：1.输入区</t>
  </si>
  <si>
    <t>所有固定参数（初始投资/均值/标准差/增长率等）</t>
  </si>
  <si>
    <t>框架：2.生成区</t>
  </si>
  <si>
    <t>随机变量：NORMINV(RAND(),均值,σ) / INDEX(,MATCH(RAND(),累积,1))</t>
  </si>
  <si>
    <t>框架：3.输出区</t>
  </si>
  <si>
    <t>按年计算现金流 → 最终净现值</t>
  </si>
  <si>
    <t>框架：4.试验区</t>
  </si>
  <si>
    <t>一维模拟运算表：列引用空白单元格（虚拟变量） → 因变量=净现值</t>
  </si>
  <si>
    <t>⚠️ 行变量引用空单元格才会重算随机数</t>
  </si>
  <si>
    <t>框架：5.统计区</t>
  </si>
  <si>
    <t>框架：6.图形区</t>
  </si>
  <si>
    <t>COUNTIF(试验表,"&gt;目标值")/试验次数 = 实现概率</t>
  </si>
  <si>
    <t>COUNTIFS处理区间概率</t>
  </si>
  <si>
    <t>频率分布图</t>
  </si>
  <si>
    <t>行数K=INT(1+3.322×LN(N))；间隔H=(MAX-MIN)/K → FREQUENCY()/COUNT() → 柱形图</t>
  </si>
  <si>
    <t>或数据→数据分析→直方图</t>
  </si>
  <si>
    <t>第十章 最优化决策模拟 · 操作指南</t>
  </si>
  <si>
    <t>一、规划求解设置</t>
  </si>
  <si>
    <t>问题类型</t>
  </si>
  <si>
    <t>求解方法</t>
  </si>
  <si>
    <t>目标函数</t>
  </si>
  <si>
    <t>约束条件关键字</t>
  </si>
  <si>
    <t>线性规划（有整数）</t>
  </si>
  <si>
    <t>单纯线性规划</t>
  </si>
  <si>
    <t>最大/最小化某单元格</t>
  </si>
  <si>
    <t>int / bin / &gt;=0</t>
  </si>
  <si>
    <t>非线性规划</t>
  </si>
  <si>
    <t>GRG非线性</t>
  </si>
  <si>
    <t>&gt;=,&lt;=,=</t>
  </si>
  <si>
    <t>不确定类型</t>
  </si>
  <si>
    <t>GRG（更稳健）</t>
  </si>
  <si>
    <t>方程组求解</t>
  </si>
  <si>
    <t>GRG；目标=误差平方和=0</t>
  </si>
  <si>
    <t>误差平方和最小化</t>
  </si>
  <si>
    <t>无约束</t>
  </si>
  <si>
    <t>二、常见规划问题框架</t>
  </si>
  <si>
    <t>决策变量</t>
  </si>
  <si>
    <t>核心约束</t>
  </si>
  <si>
    <t>产品混合</t>
  </si>
  <si>
    <t>MAX：总利润=SUMPRODUCT(利润向量,生产量向量)</t>
  </si>
  <si>
    <t>各产品生产件数</t>
  </si>
  <si>
    <t>时间≤限额；人力≤限额；件数≥0且为整数</t>
  </si>
  <si>
    <t>选址问题</t>
  </si>
  <si>
    <t>MIN：选址总费用=SUMPRODUCT(费用,选址0-1变量)</t>
  </si>
  <si>
    <t>是否选该位置（0-1，约束bin）</t>
  </si>
  <si>
    <t>覆盖次数=选址×覆盖矩阵≥1；选址总数=2</t>
  </si>
  <si>
    <t>运输问题</t>
  </si>
  <si>
    <t>MIN：总运费=SUMPRODUCT(运费矩阵,供货量矩阵)</t>
  </si>
  <si>
    <t>各供应商→各门店供货量</t>
  </si>
  <si>
    <t>各门店供货和≥需求量；各供应商总量≤产能；≥0</t>
  </si>
  <si>
    <t>采购管理</t>
  </si>
  <si>
    <t>MIN：总成本=采购成本+储存成本((月初+月末)/2×单位储存成本)</t>
  </si>
  <si>
    <t>每月采购量</t>
  </si>
  <si>
    <t>月末库存≥安全库存；采购量取整；≤供应上限</t>
  </si>
  <si>
    <t>资金管理</t>
  </si>
  <si>
    <t>MAX：第T年本金+利息之和</t>
  </si>
  <si>
    <t>每年各方案投资额</t>
  </si>
  <si>
    <t>每年现金余额≥0；投资和=初始资金</t>
  </si>
  <si>
    <t>三、关键公式</t>
  </si>
  <si>
    <t>数组乘积求和</t>
  </si>
  <si>
    <t>两者等效</t>
  </si>
  <si>
    <t>多目标规划（分层序列）</t>
  </si>
  <si>
    <t>先规划求解目标1得最优值</t>
  </si>
  <si>
    <t>再规划求解目标2，添加约束：目标1≥最优值</t>
  </si>
  <si>
    <t>最优化决策模拟（随机变量）</t>
  </si>
  <si>
    <t>写出最优解表达式（如最优单价公式）</t>
  </si>
  <si>
    <t>模拟1000次：二维运算表，行=虚拟变量</t>
  </si>
  <si>
    <t>统计均值/标准差</t>
  </si>
  <si>
    <t>🚨 考试高频陷阱 &amp; 操作细节备忘（必看）</t>
  </si>
  <si>
    <t>#</t>
  </si>
  <si>
    <t>陷阱类型</t>
  </si>
  <si>
    <t>正确做法</t>
  </si>
  <si>
    <t>反面错误示例</t>
  </si>
  <si>
    <t>1</t>
  </si>
  <si>
    <t>NPV第0年</t>
  </si>
  <si>
    <t>净现值 = NPV(第1年起各期现金流) + 第0年金额</t>
  </si>
  <si>
    <t>❌ =NPV(包含第0年) → 第0年被折现了</t>
  </si>
  <si>
    <t>2</t>
  </si>
  <si>
    <t>IRR两方案交叉</t>
  </si>
  <si>
    <t>❌ 直接用IRR(单方案)求不出交叉点</t>
  </si>
  <si>
    <t>3</t>
  </si>
  <si>
    <t>ISPMT的per参数</t>
  </si>
  <si>
    <t>❌ 直接用per会多减一期利息</t>
  </si>
  <si>
    <t>4</t>
  </si>
  <si>
    <t>日期选全部的条件</t>
  </si>
  <si>
    <t>设为 &gt;=最早日期 且 &lt;=最晚日期 两个条件</t>
  </si>
  <si>
    <t>❌ 用""空字符串 → 日期无法匹配空值</t>
  </si>
  <si>
    <t>5</t>
  </si>
  <si>
    <t>折扣阈值处的自变量</t>
  </si>
  <si>
    <t>模拟运算表需输入：阈值-0.0001 和 阈值 两行</t>
  </si>
  <si>
    <t>❌ 只输一行 → 折扣跳变处曲线断裂</t>
  </si>
  <si>
    <t>6</t>
  </si>
  <si>
    <t>模拟运算表随机数重算</t>
  </si>
  <si>
    <t>行变量引用空白单元格（虚拟变量）→ 每行重新随机</t>
  </si>
  <si>
    <t>❌ 行变量引用有值单元格 → 随机数不变</t>
  </si>
  <si>
    <t>7</t>
  </si>
  <si>
    <t>透视表NULL显示</t>
  </si>
  <si>
    <t>右键→数据透视表选项→对错误值显示→空格（按Enter键）</t>
  </si>
  <si>
    <t>❌ 输入空格字符 → 仍显示NULL</t>
  </si>
  <si>
    <t>8</t>
  </si>
  <si>
    <t>柱形图平均值线</t>
  </si>
  <si>
    <t>x轴数据必须包含「全部」才能对应到正确位置</t>
  </si>
  <si>
    <t>❌ x轴缺部分数据 → 平均线位置偏移</t>
  </si>
  <si>
    <t>9</t>
  </si>
  <si>
    <t>父级百分比操作</t>
  </si>
  <si>
    <t>值显示方式→父级汇总的百分比→选组别名称</t>
  </si>
  <si>
    <t>❌ 选错汇总字段 → 百分比计算基础错误</t>
  </si>
  <si>
    <t>10</t>
  </si>
  <si>
    <t>先规划求解再Power Pivot</t>
  </si>
  <si>
    <t>期末操作顺序：先做规划求解，再做Power Pivot</t>
  </si>
  <si>
    <t>❌ 顺序颠倒 → Power Pivot导入时规划结果未完成</t>
  </si>
  <si>
    <t>11</t>
  </si>
  <si>
    <t>按月还款的净现值</t>
  </si>
  <si>
    <t>用月利率=年利率/12，按月列出现金流，IRR也返回月收益率×12</t>
  </si>
  <si>
    <t>❌ 用年利率混用月现金流 → 结果错误</t>
  </si>
  <si>
    <t>12</t>
  </si>
  <si>
    <t>半年到期现金流</t>
  </si>
  <si>
    <t>手动折现：=SUM(现金流/(1+rate)^年份列)  年份可为0.5,1.5...</t>
  </si>
  <si>
    <t>❌ 直接用NPV函数 → 默认整年折现</t>
  </si>
  <si>
    <t>13</t>
  </si>
  <si>
    <t>季节指数绝对引用</t>
  </si>
  <si>
    <t>Tt = Yt/St 中$St必须绝对引用；选4格Ctrl+Shift+Enter</t>
  </si>
  <si>
    <t>❌ 相对引用→下拉后季节指数错位</t>
  </si>
  <si>
    <t>14</t>
  </si>
  <si>
    <t>期末透视表创建</t>
  </si>
  <si>
    <t>导入MS Query时直接勾选「数据透视表」，不从第一行第一列开始</t>
  </si>
  <si>
    <t>❌ 先导入再插入透视表 → 期末不允许</t>
  </si>
  <si>
    <t>15</t>
  </si>
  <si>
    <t>返回MS Query</t>
  </si>
  <si>
    <t>选错后：Alt+D+P → 上一步 → 获取数据（提前保存防死机）</t>
  </si>
  <si>
    <t>❌ 直接关闭→数据丢失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</si>
</sst>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4"/>
      <color rgb="FFFFFFFF"/>
      <name val="Arial"/>
      <charset val="134"/>
    </font>
    <font>
      <b/>
      <sz val="10"/>
      <color rgb="FF1F3864"/>
      <name val="Arial"/>
      <charset val="134"/>
    </font>
    <font>
      <sz val="10"/>
      <color rgb="FF404040"/>
      <name val="Arial"/>
      <charset val="134"/>
    </font>
    <font>
      <b/>
      <sz val="10"/>
      <color rgb="FF404040"/>
      <name val="Arial"/>
      <charset val="134"/>
    </font>
    <font>
      <sz val="10"/>
      <color rgb="FFC00000"/>
      <name val="Arial"/>
      <charset val="134"/>
    </font>
    <font>
      <b/>
      <sz val="11"/>
      <color rgb="FFFFFFFF"/>
      <name val="Arial"/>
      <charset val="134"/>
    </font>
    <font>
      <sz val="10"/>
      <color rgb="FF000000"/>
      <name val="Arial"/>
      <charset val="134"/>
    </font>
    <font>
      <sz val="10"/>
      <color rgb="FFD6E4F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1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19" fillId="13" borderId="8" applyNumberFormat="0" applyAlignment="0" applyProtection="0">
      <alignment vertical="center"/>
    </xf>
    <xf numFmtId="0" fontId="20" fillId="13" borderId="7" applyNumberFormat="0" applyAlignment="0" applyProtection="0">
      <alignment vertical="center"/>
    </xf>
    <xf numFmtId="0" fontId="21" fillId="14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0" fillId="2" borderId="0" xfId="0" applyFill="1"/>
    <xf numFmtId="0" fontId="8" fillId="2" borderId="0" xfId="0" applyFont="1" applyFill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showGridLines="0" workbookViewId="0">
      <selection activeCell="A1" sqref="A1:D1"/>
    </sheetView>
  </sheetViews>
  <sheetFormatPr defaultColWidth="9" defaultRowHeight="13.5" outlineLevelCol="3"/>
  <cols>
    <col min="1" max="1" width="6" customWidth="1"/>
    <col min="2" max="2" width="36" customWidth="1"/>
    <col min="3" max="3" width="22" customWidth="1"/>
    <col min="4" max="4" width="16" customWidth="1"/>
  </cols>
  <sheetData>
    <row r="1" ht="36" customHeight="1" spans="1:4">
      <c r="A1" s="1" t="s">
        <v>0</v>
      </c>
      <c r="B1" s="2"/>
      <c r="C1" s="2"/>
      <c r="D1" s="3"/>
    </row>
    <row r="2" spans="1:4">
      <c r="A2" s="29" t="s">
        <v>1</v>
      </c>
      <c r="B2" s="30" t="s">
        <v>2</v>
      </c>
    </row>
    <row r="4" spans="1:4">
      <c r="A4" s="4" t="s">
        <v>1</v>
      </c>
      <c r="B4" s="4" t="s">
        <v>3</v>
      </c>
      <c r="C4" s="4" t="s">
        <v>4</v>
      </c>
      <c r="D4" s="4" t="s">
        <v>5</v>
      </c>
    </row>
    <row r="5" ht="25.5" spans="1:4">
      <c r="A5" s="25" t="s">
        <v>6</v>
      </c>
      <c r="B5" s="24" t="s">
        <v>7</v>
      </c>
      <c r="C5" s="13" t="s">
        <v>8</v>
      </c>
      <c r="D5" s="31" t="s">
        <v>9</v>
      </c>
    </row>
    <row r="6" ht="25.5" spans="1:4">
      <c r="A6" s="22" t="s">
        <v>10</v>
      </c>
      <c r="B6" s="21" t="s">
        <v>11</v>
      </c>
      <c r="C6" s="12" t="s">
        <v>12</v>
      </c>
      <c r="D6" s="32" t="s">
        <v>13</v>
      </c>
    </row>
    <row r="7" ht="25.5" spans="1:4">
      <c r="A7" s="25" t="s">
        <v>14</v>
      </c>
      <c r="B7" s="24" t="s">
        <v>15</v>
      </c>
      <c r="C7" s="13" t="s">
        <v>16</v>
      </c>
      <c r="D7" s="31" t="s">
        <v>17</v>
      </c>
    </row>
    <row r="8" ht="25.5" spans="1:4">
      <c r="A8" s="22" t="s">
        <v>18</v>
      </c>
      <c r="B8" s="21" t="s">
        <v>19</v>
      </c>
      <c r="C8" s="12" t="s">
        <v>20</v>
      </c>
      <c r="D8" s="33" t="s">
        <v>17</v>
      </c>
    </row>
    <row r="9" ht="25.5" spans="1:4">
      <c r="A9" s="25" t="s">
        <v>21</v>
      </c>
      <c r="B9" s="24" t="s">
        <v>22</v>
      </c>
      <c r="C9" s="13" t="s">
        <v>23</v>
      </c>
      <c r="D9" s="31" t="s">
        <v>17</v>
      </c>
    </row>
    <row r="10" ht="25.5" spans="1:4">
      <c r="A10" s="22" t="s">
        <v>24</v>
      </c>
      <c r="B10" s="21" t="s">
        <v>25</v>
      </c>
      <c r="C10" s="12" t="s">
        <v>26</v>
      </c>
      <c r="D10" s="32" t="s">
        <v>13</v>
      </c>
    </row>
    <row r="11" ht="25.5" spans="1:4">
      <c r="A11" s="25" t="s">
        <v>27</v>
      </c>
      <c r="B11" s="24" t="s">
        <v>28</v>
      </c>
      <c r="C11" s="13" t="s">
        <v>29</v>
      </c>
      <c r="D11" s="31" t="s">
        <v>17</v>
      </c>
    </row>
    <row r="12" ht="25.5" spans="1:4">
      <c r="A12" s="22" t="s">
        <v>30</v>
      </c>
      <c r="B12" s="21" t="s">
        <v>31</v>
      </c>
      <c r="C12" s="12" t="s">
        <v>32</v>
      </c>
      <c r="D12" s="33" t="s">
        <v>33</v>
      </c>
    </row>
    <row r="13" ht="25.5" spans="1:4">
      <c r="A13" s="25" t="s">
        <v>34</v>
      </c>
      <c r="B13" s="24" t="s">
        <v>35</v>
      </c>
      <c r="C13" s="13" t="s">
        <v>36</v>
      </c>
      <c r="D13" s="31" t="s">
        <v>17</v>
      </c>
    </row>
    <row r="14" ht="38.25" spans="1:4">
      <c r="A14" s="22" t="s">
        <v>37</v>
      </c>
      <c r="B14" s="21" t="s">
        <v>38</v>
      </c>
      <c r="C14" s="12" t="s">
        <v>39</v>
      </c>
      <c r="D14" s="33" t="s">
        <v>17</v>
      </c>
    </row>
    <row r="15" ht="25.5" spans="1:4">
      <c r="A15" s="25" t="s">
        <v>40</v>
      </c>
      <c r="B15" s="24" t="s">
        <v>41</v>
      </c>
      <c r="C15" s="13" t="s">
        <v>42</v>
      </c>
      <c r="D15" s="34" t="s">
        <v>43</v>
      </c>
    </row>
  </sheetData>
  <mergeCells count="2">
    <mergeCell ref="A1:D1"/>
    <mergeCell ref="B2:D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showGridLines="0" topLeftCell="A28" workbookViewId="0">
      <selection activeCell="A1" sqref="A1:E1"/>
    </sheetView>
  </sheetViews>
  <sheetFormatPr defaultColWidth="9" defaultRowHeight="13.5" outlineLevelCol="4"/>
  <cols>
    <col min="1" max="1" width="18" customWidth="1"/>
    <col min="2" max="2" width="14" customWidth="1"/>
    <col min="3" max="3" width="46" customWidth="1"/>
    <col min="4" max="4" width="16" customWidth="1"/>
    <col min="5" max="5" width="28" customWidth="1"/>
  </cols>
  <sheetData>
    <row r="1" ht="30" customHeight="1" spans="1:5">
      <c r="A1" s="1" t="s">
        <v>44</v>
      </c>
      <c r="B1" s="2"/>
      <c r="C1" s="2"/>
      <c r="D1" s="2"/>
      <c r="E1" s="3"/>
    </row>
    <row r="2" spans="1:5">
      <c r="A2" s="4" t="s">
        <v>45</v>
      </c>
      <c r="B2" s="4" t="s">
        <v>46</v>
      </c>
      <c r="C2" s="4" t="s">
        <v>47</v>
      </c>
      <c r="D2" s="4" t="s">
        <v>48</v>
      </c>
      <c r="E2" s="4" t="s">
        <v>49</v>
      </c>
    </row>
    <row r="3" ht="13.85" spans="1:5">
      <c r="A3" s="11" t="s">
        <v>50</v>
      </c>
      <c r="B3" s="2"/>
      <c r="C3" s="2"/>
      <c r="D3" s="2"/>
      <c r="E3" s="3"/>
    </row>
    <row r="4" ht="30" customHeight="1" spans="1:5">
      <c r="A4" s="21" t="s">
        <v>51</v>
      </c>
      <c r="B4" s="22" t="s">
        <v>52</v>
      </c>
      <c r="C4" s="12" t="s">
        <v>53</v>
      </c>
      <c r="D4" s="12" t="s">
        <v>54</v>
      </c>
      <c r="E4" s="23" t="s">
        <v>55</v>
      </c>
    </row>
    <row r="5" ht="30" customHeight="1" spans="1:5">
      <c r="A5" s="24" t="s">
        <v>56</v>
      </c>
      <c r="B5" s="25" t="s">
        <v>57</v>
      </c>
      <c r="C5" s="13" t="s">
        <v>58</v>
      </c>
      <c r="D5" s="13" t="s">
        <v>59</v>
      </c>
      <c r="E5" s="17" t="s">
        <v>60</v>
      </c>
    </row>
    <row r="6" ht="30" customHeight="1" spans="1:5">
      <c r="A6" s="21" t="s">
        <v>61</v>
      </c>
      <c r="B6" s="22" t="s">
        <v>62</v>
      </c>
      <c r="C6" s="12" t="s">
        <v>63</v>
      </c>
      <c r="D6" s="12" t="s">
        <v>64</v>
      </c>
      <c r="E6" s="23" t="s">
        <v>65</v>
      </c>
    </row>
    <row r="7" ht="30" customHeight="1" spans="1:5">
      <c r="A7" s="24" t="s">
        <v>66</v>
      </c>
      <c r="B7" s="25" t="s">
        <v>62</v>
      </c>
      <c r="C7" s="13" t="s">
        <v>67</v>
      </c>
      <c r="D7" s="13" t="s">
        <v>68</v>
      </c>
      <c r="E7" s="17" t="s">
        <v>69</v>
      </c>
    </row>
    <row r="8" ht="30" customHeight="1" spans="1:5">
      <c r="A8" s="21" t="s">
        <v>70</v>
      </c>
      <c r="B8" s="22" t="s">
        <v>71</v>
      </c>
      <c r="C8" s="12" t="s">
        <v>72</v>
      </c>
      <c r="D8" s="12" t="s">
        <v>73</v>
      </c>
      <c r="E8" s="23" t="s">
        <v>74</v>
      </c>
    </row>
    <row r="9" ht="30" customHeight="1" spans="1:5">
      <c r="A9" s="24" t="s">
        <v>75</v>
      </c>
      <c r="B9" s="25" t="s">
        <v>76</v>
      </c>
      <c r="C9" s="13" t="s">
        <v>77</v>
      </c>
      <c r="D9" s="13" t="s">
        <v>78</v>
      </c>
      <c r="E9" s="17" t="s">
        <v>79</v>
      </c>
    </row>
    <row r="10" ht="13.85" spans="1:5">
      <c r="A10" s="11" t="s">
        <v>80</v>
      </c>
      <c r="B10" s="2"/>
      <c r="C10" s="2"/>
      <c r="D10" s="2"/>
      <c r="E10" s="3"/>
    </row>
    <row r="11" ht="30" customHeight="1" spans="1:5">
      <c r="A11" s="21" t="s">
        <v>81</v>
      </c>
      <c r="B11" s="22" t="s">
        <v>82</v>
      </c>
      <c r="C11" s="12" t="s">
        <v>83</v>
      </c>
      <c r="D11" s="12" t="s">
        <v>84</v>
      </c>
      <c r="E11" s="23" t="s">
        <v>1</v>
      </c>
    </row>
    <row r="12" ht="30" customHeight="1" spans="1:5">
      <c r="A12" s="24" t="s">
        <v>85</v>
      </c>
      <c r="B12" s="25" t="s">
        <v>86</v>
      </c>
      <c r="C12" s="13" t="s">
        <v>87</v>
      </c>
      <c r="D12" s="13" t="s">
        <v>88</v>
      </c>
      <c r="E12" s="17" t="s">
        <v>89</v>
      </c>
    </row>
    <row r="13" ht="30" customHeight="1" spans="1:5">
      <c r="A13" s="21" t="s">
        <v>90</v>
      </c>
      <c r="B13" s="22" t="s">
        <v>86</v>
      </c>
      <c r="C13" s="12" t="s">
        <v>91</v>
      </c>
      <c r="D13" s="12" t="s">
        <v>92</v>
      </c>
      <c r="E13" s="23" t="s">
        <v>93</v>
      </c>
    </row>
    <row r="14" ht="30" customHeight="1" spans="1:5">
      <c r="A14" s="24" t="s">
        <v>94</v>
      </c>
      <c r="B14" s="25" t="s">
        <v>86</v>
      </c>
      <c r="C14" s="13" t="s">
        <v>95</v>
      </c>
      <c r="D14" s="13" t="s">
        <v>96</v>
      </c>
      <c r="E14" s="17" t="s">
        <v>97</v>
      </c>
    </row>
    <row r="15" ht="30" customHeight="1" spans="1:5">
      <c r="A15" s="26" t="s">
        <v>98</v>
      </c>
      <c r="B15" s="27" t="s">
        <v>99</v>
      </c>
      <c r="C15" s="14" t="s">
        <v>100</v>
      </c>
      <c r="D15" s="14" t="s">
        <v>101</v>
      </c>
      <c r="E15" s="28" t="s">
        <v>102</v>
      </c>
    </row>
    <row r="16" ht="13.85" spans="1:5">
      <c r="A16" s="11" t="s">
        <v>103</v>
      </c>
      <c r="B16" s="2"/>
      <c r="C16" s="2"/>
      <c r="D16" s="2"/>
      <c r="E16" s="3"/>
    </row>
    <row r="17" ht="30" customHeight="1" spans="1:5">
      <c r="A17" s="21" t="s">
        <v>104</v>
      </c>
      <c r="B17" s="22" t="s">
        <v>82</v>
      </c>
      <c r="C17" s="12" t="s">
        <v>105</v>
      </c>
      <c r="D17" s="12" t="s">
        <v>106</v>
      </c>
      <c r="E17" s="23" t="s">
        <v>1</v>
      </c>
    </row>
    <row r="18" ht="30" customHeight="1" spans="1:5">
      <c r="A18" s="24" t="s">
        <v>107</v>
      </c>
      <c r="B18" s="25" t="s">
        <v>82</v>
      </c>
      <c r="C18" s="13" t="s">
        <v>108</v>
      </c>
      <c r="D18" s="13" t="s">
        <v>109</v>
      </c>
      <c r="E18" s="17" t="s">
        <v>1</v>
      </c>
    </row>
    <row r="19" ht="30" customHeight="1" spans="1:5">
      <c r="A19" s="21" t="s">
        <v>110</v>
      </c>
      <c r="B19" s="22" t="s">
        <v>82</v>
      </c>
      <c r="C19" s="12" t="s">
        <v>111</v>
      </c>
      <c r="D19" s="12" t="s">
        <v>112</v>
      </c>
      <c r="E19" s="23" t="s">
        <v>113</v>
      </c>
    </row>
    <row r="20" ht="30" customHeight="1" spans="1:5">
      <c r="A20" s="26" t="s">
        <v>114</v>
      </c>
      <c r="B20" s="27" t="s">
        <v>82</v>
      </c>
      <c r="C20" s="14" t="s">
        <v>115</v>
      </c>
      <c r="D20" s="14" t="s">
        <v>116</v>
      </c>
      <c r="E20" s="28" t="s">
        <v>117</v>
      </c>
    </row>
    <row r="21" ht="30" customHeight="1" spans="1:5">
      <c r="A21" s="26" t="s">
        <v>118</v>
      </c>
      <c r="B21" s="27" t="s">
        <v>119</v>
      </c>
      <c r="C21" s="14" t="s">
        <v>120</v>
      </c>
      <c r="D21" s="14" t="s">
        <v>121</v>
      </c>
      <c r="E21" s="28" t="s">
        <v>122</v>
      </c>
    </row>
    <row r="22" ht="30" customHeight="1" spans="1:5">
      <c r="A22" s="26" t="s">
        <v>123</v>
      </c>
      <c r="B22" s="27" t="s">
        <v>82</v>
      </c>
      <c r="C22" s="14" t="s">
        <v>124</v>
      </c>
      <c r="D22" s="14" t="s">
        <v>125</v>
      </c>
      <c r="E22" s="28" t="s">
        <v>126</v>
      </c>
    </row>
    <row r="23" ht="30" customHeight="1" spans="1:5">
      <c r="A23" s="26" t="s">
        <v>127</v>
      </c>
      <c r="B23" s="27" t="s">
        <v>82</v>
      </c>
      <c r="C23" s="14" t="s">
        <v>128</v>
      </c>
      <c r="D23" s="14" t="s">
        <v>129</v>
      </c>
      <c r="E23" s="28" t="s">
        <v>130</v>
      </c>
    </row>
    <row r="24" ht="13.85" spans="1:5">
      <c r="A24" s="11" t="s">
        <v>131</v>
      </c>
      <c r="B24" s="2"/>
      <c r="C24" s="2"/>
      <c r="D24" s="2"/>
      <c r="E24" s="3"/>
    </row>
    <row r="25" ht="30" customHeight="1" spans="1:5">
      <c r="A25" s="21" t="s">
        <v>132</v>
      </c>
      <c r="B25" s="22" t="s">
        <v>133</v>
      </c>
      <c r="C25" s="12" t="s">
        <v>134</v>
      </c>
      <c r="D25" s="12" t="s">
        <v>135</v>
      </c>
      <c r="E25" s="23" t="s">
        <v>136</v>
      </c>
    </row>
    <row r="26" ht="30" customHeight="1" spans="1:5">
      <c r="A26" s="26" t="s">
        <v>137</v>
      </c>
      <c r="B26" s="27" t="s">
        <v>99</v>
      </c>
      <c r="C26" s="14" t="s">
        <v>138</v>
      </c>
      <c r="D26" s="14" t="s">
        <v>139</v>
      </c>
      <c r="E26" s="28" t="s">
        <v>140</v>
      </c>
    </row>
    <row r="27" ht="30" customHeight="1" spans="1:5">
      <c r="A27" s="21" t="s">
        <v>141</v>
      </c>
      <c r="B27" s="22" t="s">
        <v>133</v>
      </c>
      <c r="C27" s="12" t="s">
        <v>142</v>
      </c>
      <c r="D27" s="12" t="s">
        <v>143</v>
      </c>
      <c r="E27" s="23" t="s">
        <v>144</v>
      </c>
    </row>
    <row r="28" ht="30" customHeight="1" spans="1:5">
      <c r="A28" s="24" t="s">
        <v>145</v>
      </c>
      <c r="B28" s="25" t="s">
        <v>62</v>
      </c>
      <c r="C28" s="13" t="s">
        <v>146</v>
      </c>
      <c r="D28" s="13" t="s">
        <v>147</v>
      </c>
      <c r="E28" s="17" t="s">
        <v>1</v>
      </c>
    </row>
    <row r="29" ht="13.85" spans="1:5">
      <c r="A29" s="11" t="s">
        <v>148</v>
      </c>
      <c r="B29" s="2"/>
      <c r="C29" s="2"/>
      <c r="D29" s="2"/>
      <c r="E29" s="3"/>
    </row>
    <row r="30" ht="30" customHeight="1" spans="1:5">
      <c r="A30" s="21" t="s">
        <v>149</v>
      </c>
      <c r="B30" s="22" t="s">
        <v>99</v>
      </c>
      <c r="C30" s="12" t="s">
        <v>150</v>
      </c>
      <c r="D30" s="12" t="s">
        <v>151</v>
      </c>
      <c r="E30" s="23" t="s">
        <v>152</v>
      </c>
    </row>
    <row r="31" ht="30" customHeight="1" spans="1:5">
      <c r="A31" s="24" t="s">
        <v>153</v>
      </c>
      <c r="B31" s="25" t="s">
        <v>99</v>
      </c>
      <c r="C31" s="13" t="s">
        <v>154</v>
      </c>
      <c r="D31" s="13" t="s">
        <v>155</v>
      </c>
      <c r="E31" s="17" t="s">
        <v>156</v>
      </c>
    </row>
    <row r="32" ht="30" customHeight="1" spans="1:5">
      <c r="A32" s="26" t="s">
        <v>157</v>
      </c>
      <c r="B32" s="27" t="s">
        <v>86</v>
      </c>
      <c r="C32" s="14" t="s">
        <v>158</v>
      </c>
      <c r="D32" s="14" t="s">
        <v>159</v>
      </c>
      <c r="E32" s="28" t="s">
        <v>160</v>
      </c>
    </row>
    <row r="33" ht="13.85" spans="1:5">
      <c r="A33" s="11" t="s">
        <v>161</v>
      </c>
      <c r="B33" s="2"/>
      <c r="C33" s="2"/>
      <c r="D33" s="2"/>
      <c r="E33" s="3"/>
    </row>
    <row r="34" ht="30" customHeight="1" spans="1:5">
      <c r="A34" s="26" t="s">
        <v>162</v>
      </c>
      <c r="B34" s="27" t="s">
        <v>86</v>
      </c>
      <c r="C34" s="14" t="s">
        <v>163</v>
      </c>
      <c r="D34" s="14" t="s">
        <v>164</v>
      </c>
      <c r="E34" s="28" t="s">
        <v>165</v>
      </c>
    </row>
    <row r="35" ht="30" customHeight="1" spans="1:5">
      <c r="A35" s="24" t="s">
        <v>166</v>
      </c>
      <c r="B35" s="25" t="s">
        <v>86</v>
      </c>
      <c r="C35" s="13" t="s">
        <v>167</v>
      </c>
      <c r="D35" s="13" t="s">
        <v>168</v>
      </c>
      <c r="E35" s="17" t="s">
        <v>169</v>
      </c>
    </row>
  </sheetData>
  <mergeCells count="7">
    <mergeCell ref="A1:E1"/>
    <mergeCell ref="A3:E3"/>
    <mergeCell ref="A10:E10"/>
    <mergeCell ref="A16:E16"/>
    <mergeCell ref="A24:E24"/>
    <mergeCell ref="A29:E29"/>
    <mergeCell ref="A33:E3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showGridLines="0" topLeftCell="A40" workbookViewId="0">
      <selection activeCell="A1" sqref="A1:C1"/>
    </sheetView>
  </sheetViews>
  <sheetFormatPr defaultColWidth="9" defaultRowHeight="13.5" outlineLevelCol="2"/>
  <cols>
    <col min="1" max="1" width="24" customWidth="1"/>
    <col min="2" max="2" width="48" customWidth="1"/>
    <col min="3" max="3" width="30" customWidth="1"/>
  </cols>
  <sheetData>
    <row r="1" ht="30" customHeight="1" spans="1:3">
      <c r="A1" s="1" t="s">
        <v>170</v>
      </c>
      <c r="B1" s="2"/>
      <c r="C1" s="3"/>
    </row>
    <row r="2" ht="13.85" spans="1:3">
      <c r="A2" s="11" t="s">
        <v>171</v>
      </c>
      <c r="B2" s="2"/>
      <c r="C2" s="3"/>
    </row>
    <row r="3" ht="28" customHeight="1" spans="1:3">
      <c r="A3" s="5" t="s">
        <v>172</v>
      </c>
      <c r="B3" s="16" t="s">
        <v>173</v>
      </c>
      <c r="C3" s="7" t="s">
        <v>174</v>
      </c>
    </row>
    <row r="4" ht="28" customHeight="1" spans="1:3">
      <c r="A4" s="17" t="s">
        <v>175</v>
      </c>
      <c r="B4" s="13" t="s">
        <v>176</v>
      </c>
      <c r="C4" s="17" t="s">
        <v>1</v>
      </c>
    </row>
    <row r="5" ht="28" customHeight="1" spans="1:3">
      <c r="A5" s="18" t="s">
        <v>177</v>
      </c>
      <c r="B5" s="19" t="s">
        <v>178</v>
      </c>
      <c r="C5" s="20" t="s">
        <v>179</v>
      </c>
    </row>
    <row r="6" ht="28" customHeight="1" spans="1:3">
      <c r="A6" s="18" t="s">
        <v>180</v>
      </c>
      <c r="B6" s="19" t="s">
        <v>181</v>
      </c>
      <c r="C6" s="20" t="s">
        <v>182</v>
      </c>
    </row>
    <row r="7" ht="28" customHeight="1" spans="1:3">
      <c r="A7" s="5" t="s">
        <v>183</v>
      </c>
      <c r="B7" s="16" t="s">
        <v>184</v>
      </c>
      <c r="C7" s="7" t="s">
        <v>185</v>
      </c>
    </row>
    <row r="8" ht="28" customHeight="1" spans="1:3">
      <c r="A8" s="18" t="s">
        <v>186</v>
      </c>
      <c r="B8" s="19"/>
      <c r="C8" s="20" t="s">
        <v>187</v>
      </c>
    </row>
    <row r="9" ht="28" customHeight="1" spans="1:3">
      <c r="A9" s="17" t="s">
        <v>188</v>
      </c>
      <c r="B9" s="13" t="s">
        <v>189</v>
      </c>
      <c r="C9" s="17" t="s">
        <v>1</v>
      </c>
    </row>
    <row r="10" ht="13.85" spans="1:3">
      <c r="A10" s="11" t="s">
        <v>190</v>
      </c>
      <c r="B10" s="2"/>
      <c r="C10" s="3"/>
    </row>
    <row r="11" ht="28" customHeight="1" spans="1:3">
      <c r="A11" s="5" t="s">
        <v>191</v>
      </c>
      <c r="B11" s="16" t="s">
        <v>192</v>
      </c>
      <c r="C11" s="7" t="s">
        <v>193</v>
      </c>
    </row>
    <row r="12" ht="28" customHeight="1" spans="1:3">
      <c r="A12" s="5" t="s">
        <v>194</v>
      </c>
      <c r="B12" s="16" t="s">
        <v>195</v>
      </c>
      <c r="C12" s="7" t="s">
        <v>196</v>
      </c>
    </row>
    <row r="13" ht="28" customHeight="1" spans="1:3">
      <c r="A13" s="18" t="s">
        <v>197</v>
      </c>
      <c r="B13" s="19" t="s">
        <v>198</v>
      </c>
      <c r="C13" s="20" t="s">
        <v>199</v>
      </c>
    </row>
    <row r="14" ht="28" customHeight="1" spans="1:3">
      <c r="A14" s="18" t="s">
        <v>200</v>
      </c>
      <c r="B14" s="19" t="s">
        <v>201</v>
      </c>
      <c r="C14" s="20" t="s">
        <v>202</v>
      </c>
    </row>
    <row r="15" ht="28" customHeight="1" spans="1:3">
      <c r="A15" s="17" t="s">
        <v>203</v>
      </c>
      <c r="B15" s="13" t="s">
        <v>204</v>
      </c>
      <c r="C15" s="17" t="s">
        <v>1</v>
      </c>
    </row>
    <row r="16" ht="28" customHeight="1" spans="1:3">
      <c r="A16" s="17" t="s">
        <v>205</v>
      </c>
      <c r="B16" s="13" t="s">
        <v>206</v>
      </c>
      <c r="C16" s="17" t="s">
        <v>1</v>
      </c>
    </row>
    <row r="17" ht="28" customHeight="1" spans="1:3">
      <c r="A17" s="18" t="s">
        <v>207</v>
      </c>
      <c r="B17" s="19" t="s">
        <v>208</v>
      </c>
      <c r="C17" s="20" t="s">
        <v>209</v>
      </c>
    </row>
    <row r="18" ht="13.85" spans="1:3">
      <c r="A18" s="11" t="s">
        <v>210</v>
      </c>
      <c r="B18" s="2"/>
      <c r="C18" s="3"/>
    </row>
    <row r="19" ht="28" customHeight="1" spans="1:3">
      <c r="A19" s="17" t="s">
        <v>211</v>
      </c>
      <c r="B19" s="13" t="s">
        <v>212</v>
      </c>
      <c r="C19" s="17" t="s">
        <v>1</v>
      </c>
    </row>
    <row r="20" ht="28" customHeight="1" spans="1:3">
      <c r="A20" s="17" t="s">
        <v>213</v>
      </c>
      <c r="B20" s="13" t="s">
        <v>214</v>
      </c>
      <c r="C20" s="17" t="s">
        <v>1</v>
      </c>
    </row>
    <row r="21" ht="28" customHeight="1" spans="1:3">
      <c r="A21" s="18" t="s">
        <v>215</v>
      </c>
      <c r="B21" s="19" t="s">
        <v>216</v>
      </c>
      <c r="C21" s="20" t="s">
        <v>217</v>
      </c>
    </row>
    <row r="22" ht="28" customHeight="1" spans="1:3">
      <c r="A22" s="18" t="s">
        <v>218</v>
      </c>
      <c r="B22" s="19" t="s">
        <v>219</v>
      </c>
      <c r="C22" s="20" t="s">
        <v>220</v>
      </c>
    </row>
    <row r="23" ht="28" customHeight="1" spans="1:3">
      <c r="A23" s="17" t="s">
        <v>221</v>
      </c>
      <c r="B23" s="13" t="s">
        <v>222</v>
      </c>
      <c r="C23" s="17" t="s">
        <v>1</v>
      </c>
    </row>
    <row r="24" ht="28" customHeight="1" spans="1:3">
      <c r="A24" s="18" t="s">
        <v>223</v>
      </c>
      <c r="B24" s="19" t="s">
        <v>224</v>
      </c>
      <c r="C24" s="20" t="s">
        <v>225</v>
      </c>
    </row>
    <row r="25" ht="28" customHeight="1" spans="1:3">
      <c r="A25" s="17" t="s">
        <v>226</v>
      </c>
      <c r="B25" s="13" t="s">
        <v>227</v>
      </c>
      <c r="C25" s="17" t="s">
        <v>1</v>
      </c>
    </row>
    <row r="26" ht="13.85" spans="1:3">
      <c r="A26" s="11" t="s">
        <v>228</v>
      </c>
      <c r="B26" s="2"/>
      <c r="C26" s="3"/>
    </row>
    <row r="27" ht="28" customHeight="1" spans="1:3">
      <c r="A27" s="18" t="s">
        <v>229</v>
      </c>
      <c r="B27" s="19" t="s">
        <v>230</v>
      </c>
      <c r="C27" s="20" t="s">
        <v>231</v>
      </c>
    </row>
    <row r="28" ht="28" customHeight="1" spans="1:3">
      <c r="A28" s="17" t="s">
        <v>232</v>
      </c>
      <c r="B28" s="13" t="s">
        <v>233</v>
      </c>
      <c r="C28" s="17" t="s">
        <v>1</v>
      </c>
    </row>
    <row r="29" ht="28" customHeight="1" spans="1:3">
      <c r="A29" s="18" t="s">
        <v>234</v>
      </c>
      <c r="B29" s="19" t="s">
        <v>235</v>
      </c>
      <c r="C29" s="20" t="s">
        <v>236</v>
      </c>
    </row>
    <row r="30" ht="28" customHeight="1" spans="1:3">
      <c r="A30" s="5" t="s">
        <v>237</v>
      </c>
      <c r="B30" s="16" t="s">
        <v>238</v>
      </c>
      <c r="C30" s="7" t="s">
        <v>239</v>
      </c>
    </row>
    <row r="31" ht="13.85" spans="1:3">
      <c r="A31" s="11" t="s">
        <v>240</v>
      </c>
      <c r="B31" s="2"/>
      <c r="C31" s="3"/>
    </row>
    <row r="32" ht="28" customHeight="1" spans="1:3">
      <c r="A32" s="17" t="s">
        <v>241</v>
      </c>
      <c r="B32" s="13" t="s">
        <v>242</v>
      </c>
      <c r="C32" s="17" t="s">
        <v>1</v>
      </c>
    </row>
    <row r="33" ht="28" customHeight="1" spans="1:3">
      <c r="A33" s="17" t="s">
        <v>101</v>
      </c>
      <c r="B33" s="13" t="s">
        <v>243</v>
      </c>
      <c r="C33" s="17" t="s">
        <v>1</v>
      </c>
    </row>
    <row r="34" ht="28" customHeight="1" spans="1:3">
      <c r="A34" s="17" t="s">
        <v>244</v>
      </c>
      <c r="B34" s="13" t="s">
        <v>245</v>
      </c>
      <c r="C34" s="17" t="s">
        <v>1</v>
      </c>
    </row>
    <row r="35" ht="28" customHeight="1" spans="1:3">
      <c r="A35" s="17" t="s">
        <v>246</v>
      </c>
      <c r="B35" s="13" t="s">
        <v>247</v>
      </c>
      <c r="C35" s="17" t="s">
        <v>1</v>
      </c>
    </row>
    <row r="36" ht="28" customHeight="1" spans="1:3">
      <c r="A36" s="17" t="s">
        <v>248</v>
      </c>
      <c r="B36" s="13" t="s">
        <v>249</v>
      </c>
      <c r="C36" s="17" t="s">
        <v>1</v>
      </c>
    </row>
    <row r="37" ht="28" customHeight="1" spans="1:3">
      <c r="A37" s="17" t="s">
        <v>250</v>
      </c>
      <c r="B37" s="13" t="s">
        <v>251</v>
      </c>
      <c r="C37" s="17" t="s">
        <v>1</v>
      </c>
    </row>
    <row r="38" ht="13.85" spans="1:3">
      <c r="A38" s="11" t="s">
        <v>252</v>
      </c>
      <c r="B38" s="2"/>
      <c r="C38" s="3"/>
    </row>
    <row r="39" ht="28" customHeight="1" spans="1:3">
      <c r="A39" s="17" t="s">
        <v>253</v>
      </c>
      <c r="B39" s="13" t="s">
        <v>254</v>
      </c>
      <c r="C39" s="17" t="s">
        <v>1</v>
      </c>
    </row>
    <row r="40" ht="28" customHeight="1" spans="1:3">
      <c r="A40" s="18" t="s">
        <v>255</v>
      </c>
      <c r="B40" s="19" t="s">
        <v>256</v>
      </c>
      <c r="C40" s="20" t="s">
        <v>257</v>
      </c>
    </row>
    <row r="41" ht="28" customHeight="1" spans="1:3">
      <c r="A41" s="17" t="s">
        <v>258</v>
      </c>
      <c r="B41" s="13" t="s">
        <v>259</v>
      </c>
      <c r="C41" s="17" t="s">
        <v>1</v>
      </c>
    </row>
    <row r="42" ht="28" customHeight="1" spans="1:3">
      <c r="A42" s="18" t="s">
        <v>260</v>
      </c>
      <c r="B42" s="19" t="s">
        <v>261</v>
      </c>
      <c r="C42" s="20" t="s">
        <v>262</v>
      </c>
    </row>
    <row r="43" ht="28" customHeight="1" spans="1:3">
      <c r="A43" s="18" t="s">
        <v>263</v>
      </c>
      <c r="B43" s="19" t="s">
        <v>264</v>
      </c>
      <c r="C43" s="20"/>
    </row>
    <row r="44" ht="28" customHeight="1" spans="1:3">
      <c r="A44" s="18" t="s">
        <v>265</v>
      </c>
      <c r="B44" s="19"/>
      <c r="C44" s="20" t="s">
        <v>266</v>
      </c>
    </row>
    <row r="45" ht="28" customHeight="1" spans="1:3">
      <c r="A45" s="17" t="s">
        <v>267</v>
      </c>
      <c r="B45" s="13" t="s">
        <v>268</v>
      </c>
      <c r="C45" s="17" t="s">
        <v>1</v>
      </c>
    </row>
  </sheetData>
  <mergeCells count="7">
    <mergeCell ref="A1:C1"/>
    <mergeCell ref="A2:C2"/>
    <mergeCell ref="A10:C10"/>
    <mergeCell ref="A18:C18"/>
    <mergeCell ref="A26:C26"/>
    <mergeCell ref="A31:C31"/>
    <mergeCell ref="A38:C3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showGridLines="0" topLeftCell="A33" workbookViewId="0">
      <selection activeCell="A1" sqref="A1:C1"/>
    </sheetView>
  </sheetViews>
  <sheetFormatPr defaultColWidth="9" defaultRowHeight="13.5" outlineLevelCol="2"/>
  <cols>
    <col min="1" max="1" width="22" customWidth="1"/>
    <col min="2" max="2" width="50" customWidth="1"/>
    <col min="3" max="3" width="32" customWidth="1"/>
  </cols>
  <sheetData>
    <row r="1" ht="30" customHeight="1" spans="1:3">
      <c r="A1" s="1" t="s">
        <v>269</v>
      </c>
      <c r="B1" s="2"/>
      <c r="C1" s="3"/>
    </row>
    <row r="2" ht="13.85" spans="1:3">
      <c r="A2" s="11" t="s">
        <v>270</v>
      </c>
      <c r="B2" s="2"/>
      <c r="C2" s="3"/>
    </row>
    <row r="3" ht="30" customHeight="1" spans="1:3">
      <c r="A3" s="17" t="s">
        <v>271</v>
      </c>
      <c r="B3" s="13" t="s">
        <v>272</v>
      </c>
      <c r="C3" s="17" t="s">
        <v>273</v>
      </c>
    </row>
    <row r="4" ht="30" customHeight="1" spans="1:3">
      <c r="A4" s="17" t="s">
        <v>274</v>
      </c>
      <c r="B4" s="13" t="s">
        <v>275</v>
      </c>
      <c r="C4" s="17" t="s">
        <v>276</v>
      </c>
    </row>
    <row r="5" ht="30" customHeight="1" spans="1:3">
      <c r="A5" s="5" t="s">
        <v>277</v>
      </c>
      <c r="B5" s="16" t="e">
        <f>DAVERAGE(列表,"字段名",条件区域)</f>
        <v>#NAME?</v>
      </c>
      <c r="C5" s="7" t="s">
        <v>278</v>
      </c>
    </row>
    <row r="6" ht="30" customHeight="1" spans="1:3">
      <c r="A6" s="17" t="s">
        <v>279</v>
      </c>
      <c r="B6" s="13" t="e">
        <f>DCOUNT(列表,"字段名",条件区域)</f>
        <v>#NAME?</v>
      </c>
      <c r="C6" s="17" t="s">
        <v>280</v>
      </c>
    </row>
    <row r="7" ht="30" customHeight="1" spans="1:3">
      <c r="A7" s="17" t="s">
        <v>281</v>
      </c>
      <c r="B7" s="13" t="e">
        <f>DCOUNTA(列表,"字段名",条件区域)</f>
        <v>#NAME?</v>
      </c>
      <c r="C7" s="17" t="s">
        <v>282</v>
      </c>
    </row>
    <row r="8" ht="30" customHeight="1" spans="1:3">
      <c r="A8" s="17" t="s">
        <v>283</v>
      </c>
      <c r="B8" s="13" t="e">
        <f>DSUM(列表,"字段名",条件区域)</f>
        <v>#NAME?</v>
      </c>
      <c r="C8" s="17" t="s">
        <v>1</v>
      </c>
    </row>
    <row r="9" ht="30" customHeight="1" spans="1:3">
      <c r="A9" s="17" t="s">
        <v>284</v>
      </c>
      <c r="B9" s="13" t="s">
        <v>285</v>
      </c>
      <c r="C9" s="17" t="s">
        <v>1</v>
      </c>
    </row>
    <row r="10" ht="13.85" spans="1:3">
      <c r="A10" s="11" t="s">
        <v>286</v>
      </c>
      <c r="B10" s="2"/>
      <c r="C10" s="3"/>
    </row>
    <row r="11" ht="30" customHeight="1" spans="1:3">
      <c r="A11" s="5" t="s">
        <v>287</v>
      </c>
      <c r="B11" s="16" t="s">
        <v>288</v>
      </c>
      <c r="C11" s="7" t="s">
        <v>289</v>
      </c>
    </row>
    <row r="12" ht="30" customHeight="1" spans="1:3">
      <c r="A12" s="17" t="s">
        <v>290</v>
      </c>
      <c r="B12" s="13" t="s">
        <v>291</v>
      </c>
      <c r="C12" s="17" t="s">
        <v>292</v>
      </c>
    </row>
    <row r="13" ht="30" customHeight="1" spans="1:3">
      <c r="A13" s="17" t="s">
        <v>293</v>
      </c>
      <c r="B13" s="13" t="s">
        <v>294</v>
      </c>
      <c r="C13" s="17" t="s">
        <v>1</v>
      </c>
    </row>
    <row r="14" ht="30" customHeight="1" spans="1:3">
      <c r="A14" s="17" t="s">
        <v>295</v>
      </c>
      <c r="B14" s="13" t="s">
        <v>296</v>
      </c>
      <c r="C14" s="17" t="s">
        <v>1</v>
      </c>
    </row>
    <row r="15" ht="30" customHeight="1" spans="1:3">
      <c r="A15" s="17" t="s">
        <v>297</v>
      </c>
      <c r="B15" s="13" t="s">
        <v>298</v>
      </c>
      <c r="C15" s="17" t="s">
        <v>299</v>
      </c>
    </row>
    <row r="16" ht="30" customHeight="1" spans="1:3">
      <c r="A16" s="17" t="s">
        <v>300</v>
      </c>
      <c r="B16" s="13"/>
      <c r="C16" s="17" t="s">
        <v>301</v>
      </c>
    </row>
    <row r="17" ht="13.85" spans="1:3">
      <c r="A17" s="11" t="s">
        <v>302</v>
      </c>
      <c r="B17" s="2"/>
      <c r="C17" s="3"/>
    </row>
    <row r="18" ht="30" customHeight="1" spans="1:3">
      <c r="A18" s="17" t="s">
        <v>303</v>
      </c>
      <c r="B18" s="13" t="s">
        <v>304</v>
      </c>
      <c r="C18" s="17" t="s">
        <v>1</v>
      </c>
    </row>
    <row r="19" ht="30" customHeight="1" spans="1:3">
      <c r="A19" s="17" t="s">
        <v>305</v>
      </c>
      <c r="B19" s="13" t="s">
        <v>306</v>
      </c>
      <c r="C19" s="17" t="s">
        <v>307</v>
      </c>
    </row>
    <row r="20" ht="30" customHeight="1" spans="1:3">
      <c r="A20" s="17" t="s">
        <v>308</v>
      </c>
      <c r="B20" s="13" t="s">
        <v>309</v>
      </c>
      <c r="C20" s="17" t="s">
        <v>1</v>
      </c>
    </row>
    <row r="21" ht="30" customHeight="1" spans="1:3">
      <c r="A21" s="17" t="s">
        <v>310</v>
      </c>
      <c r="B21" s="13" t="s">
        <v>311</v>
      </c>
      <c r="C21" s="17" t="s">
        <v>312</v>
      </c>
    </row>
    <row r="22" ht="30" customHeight="1" spans="1:3">
      <c r="A22" s="17" t="s">
        <v>313</v>
      </c>
      <c r="B22" s="13" t="s">
        <v>314</v>
      </c>
      <c r="C22" s="17" t="s">
        <v>1</v>
      </c>
    </row>
    <row r="23" ht="30" customHeight="1" spans="1:3">
      <c r="A23" s="17" t="s">
        <v>315</v>
      </c>
      <c r="B23" s="13" t="s">
        <v>316</v>
      </c>
      <c r="C23" s="17" t="s">
        <v>1</v>
      </c>
    </row>
    <row r="24" ht="30" customHeight="1" spans="1:3">
      <c r="A24" s="17" t="s">
        <v>317</v>
      </c>
      <c r="B24" s="13" t="s">
        <v>318</v>
      </c>
      <c r="C24" s="17" t="s">
        <v>1</v>
      </c>
    </row>
    <row r="25" ht="30" customHeight="1" spans="1:3">
      <c r="A25" s="17" t="s">
        <v>319</v>
      </c>
      <c r="B25" s="13" t="s">
        <v>320</v>
      </c>
      <c r="C25" s="17" t="s">
        <v>321</v>
      </c>
    </row>
    <row r="26" ht="30" customHeight="1" spans="1:3">
      <c r="A26" s="17" t="s">
        <v>322</v>
      </c>
      <c r="B26" s="13" t="s">
        <v>323</v>
      </c>
      <c r="C26" s="17" t="s">
        <v>1</v>
      </c>
    </row>
    <row r="27" ht="13.85" spans="1:3">
      <c r="A27" s="11" t="s">
        <v>324</v>
      </c>
      <c r="B27" s="2"/>
      <c r="C27" s="3"/>
    </row>
    <row r="28" ht="30" customHeight="1" spans="1:3">
      <c r="A28" s="15" t="s">
        <v>325</v>
      </c>
      <c r="B28" s="14" t="s">
        <v>326</v>
      </c>
      <c r="C28" s="15" t="s">
        <v>327</v>
      </c>
    </row>
    <row r="29" ht="30" customHeight="1" spans="1:3">
      <c r="A29" s="15" t="s">
        <v>328</v>
      </c>
      <c r="B29" s="14" t="s">
        <v>329</v>
      </c>
      <c r="C29" s="15" t="s">
        <v>1</v>
      </c>
    </row>
    <row r="30" ht="30" customHeight="1" spans="1:3">
      <c r="A30" s="15" t="s">
        <v>330</v>
      </c>
      <c r="B30" s="14" t="s">
        <v>331</v>
      </c>
      <c r="C30" s="15" t="s">
        <v>1</v>
      </c>
    </row>
    <row r="31" ht="30" customHeight="1" spans="1:3">
      <c r="A31" s="15" t="s">
        <v>332</v>
      </c>
      <c r="B31" s="14" t="s">
        <v>333</v>
      </c>
      <c r="C31" s="15" t="s">
        <v>334</v>
      </c>
    </row>
    <row r="32" ht="30" customHeight="1" spans="1:3">
      <c r="A32" s="5" t="s">
        <v>335</v>
      </c>
      <c r="B32" s="16" t="s">
        <v>336</v>
      </c>
      <c r="C32" s="7" t="s">
        <v>337</v>
      </c>
    </row>
    <row r="33" ht="30" customHeight="1" spans="1:3">
      <c r="A33" s="17" t="s">
        <v>338</v>
      </c>
      <c r="B33" s="13" t="s">
        <v>339</v>
      </c>
      <c r="C33" s="17" t="e">
        <f>字符串1&amp;字符串2(EXCEL中&amp;为连接符)</f>
        <v>#NAME?</v>
      </c>
    </row>
    <row r="34" ht="30" customHeight="1" spans="1:3">
      <c r="A34" s="17" t="s">
        <v>340</v>
      </c>
      <c r="B34" s="13" t="s">
        <v>341</v>
      </c>
      <c r="C34" s="17" t="s">
        <v>1</v>
      </c>
    </row>
    <row r="35" ht="30" customHeight="1" spans="1:3">
      <c r="A35" s="17" t="s">
        <v>342</v>
      </c>
      <c r="B35" s="13" t="s">
        <v>343</v>
      </c>
      <c r="C35" s="17" t="s">
        <v>344</v>
      </c>
    </row>
    <row r="36" ht="30" customHeight="1" spans="1:3">
      <c r="A36" s="17" t="s">
        <v>345</v>
      </c>
      <c r="B36" s="13" t="s">
        <v>346</v>
      </c>
      <c r="C36" s="17" t="s">
        <v>347</v>
      </c>
    </row>
  </sheetData>
  <mergeCells count="5">
    <mergeCell ref="A1:C1"/>
    <mergeCell ref="A2:C2"/>
    <mergeCell ref="A10:C10"/>
    <mergeCell ref="A17:C17"/>
    <mergeCell ref="A27:C2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showGridLines="0" tabSelected="1" workbookViewId="0">
      <selection activeCell="A1" sqref="A1:C1"/>
    </sheetView>
  </sheetViews>
  <sheetFormatPr defaultColWidth="9" defaultRowHeight="13.5" outlineLevelCol="2"/>
  <cols>
    <col min="1" max="1" width="26" customWidth="1"/>
    <col min="2" max="2" width="52" customWidth="1"/>
    <col min="3" max="3" width="30" customWidth="1"/>
  </cols>
  <sheetData>
    <row r="1" ht="30" customHeight="1" spans="1:3">
      <c r="A1" s="1" t="s">
        <v>348</v>
      </c>
      <c r="B1" s="2"/>
      <c r="C1" s="3"/>
    </row>
    <row r="2" ht="13.85" spans="1:3">
      <c r="A2" s="11" t="s">
        <v>349</v>
      </c>
      <c r="B2" s="2"/>
      <c r="C2" s="3"/>
    </row>
    <row r="3" ht="32" customHeight="1" spans="1:3">
      <c r="A3" s="17" t="s">
        <v>350</v>
      </c>
      <c r="B3" s="13" t="s">
        <v>351</v>
      </c>
      <c r="C3" s="17" t="s">
        <v>1</v>
      </c>
    </row>
    <row r="4" ht="32" customHeight="1" spans="1:3">
      <c r="A4" s="17" t="s">
        <v>352</v>
      </c>
      <c r="B4" s="13" t="s">
        <v>353</v>
      </c>
      <c r="C4" s="17" t="s">
        <v>1</v>
      </c>
    </row>
    <row r="5" ht="13.85" spans="1:3">
      <c r="A5" s="11" t="s">
        <v>354</v>
      </c>
      <c r="B5" s="2"/>
      <c r="C5" s="3"/>
    </row>
    <row r="6" ht="32" customHeight="1" spans="1:3">
      <c r="A6" s="17" t="s">
        <v>355</v>
      </c>
      <c r="B6" s="13" t="s">
        <v>356</v>
      </c>
      <c r="C6" s="17" t="s">
        <v>357</v>
      </c>
    </row>
    <row r="7" ht="32" customHeight="1" spans="1:3">
      <c r="A7" s="15" t="s">
        <v>358</v>
      </c>
      <c r="B7" s="14" t="e">
        <f ca="1">IF(月份&lt;=_xleta.N,"",AVERAGE(OFFSET(月份,-_xleta.N,1,_xleta.N,1)))</f>
        <v>#NAME?</v>
      </c>
      <c r="C7" s="15" t="s">
        <v>359</v>
      </c>
    </row>
    <row r="8" ht="32" customHeight="1" spans="1:3">
      <c r="A8" s="5" t="s">
        <v>360</v>
      </c>
      <c r="B8" s="16" t="e">
        <f>SUMXMY2(Y观测值范围,Y预测值范围)/COUNT(Y预测值范围)</f>
        <v>#NAME?</v>
      </c>
      <c r="C8" s="7" t="s">
        <v>361</v>
      </c>
    </row>
    <row r="9" ht="32" customHeight="1" spans="1:3">
      <c r="A9" s="17" t="s">
        <v>362</v>
      </c>
      <c r="B9" s="13" t="s">
        <v>363</v>
      </c>
      <c r="C9" s="17" t="e">
        <f>INDEX(N列,MATCH(MIN(MSE列),MSE列,0))</f>
        <v>#NAME?</v>
      </c>
    </row>
    <row r="10" ht="32" customHeight="1" spans="1:3">
      <c r="A10" s="17" t="s">
        <v>364</v>
      </c>
      <c r="B10" s="13" t="s">
        <v>365</v>
      </c>
      <c r="C10" s="17" t="s">
        <v>1</v>
      </c>
    </row>
    <row r="11" ht="13.85" spans="1:3">
      <c r="A11" s="11" t="s">
        <v>366</v>
      </c>
      <c r="B11" s="2"/>
      <c r="C11" s="3"/>
    </row>
    <row r="12" ht="32" customHeight="1" spans="1:3">
      <c r="A12" s="5" t="s">
        <v>355</v>
      </c>
      <c r="B12" s="16" t="s">
        <v>367</v>
      </c>
      <c r="C12" s="7" t="s">
        <v>368</v>
      </c>
    </row>
    <row r="13" ht="32" customHeight="1" spans="1:3">
      <c r="A13" s="17" t="s">
        <v>358</v>
      </c>
      <c r="B13" s="13" t="s">
        <v>369</v>
      </c>
      <c r="C13" s="17" t="s">
        <v>1</v>
      </c>
    </row>
    <row r="14" ht="32" customHeight="1" spans="1:3">
      <c r="A14" s="17" t="s">
        <v>370</v>
      </c>
      <c r="B14" s="13" t="s">
        <v>371</v>
      </c>
      <c r="C14" s="17" t="s">
        <v>1</v>
      </c>
    </row>
    <row r="15" ht="13.85" spans="1:3">
      <c r="A15" s="11" t="s">
        <v>372</v>
      </c>
      <c r="B15" s="2"/>
      <c r="C15" s="3"/>
    </row>
    <row r="16" ht="32" customHeight="1" spans="1:3">
      <c r="A16" s="17" t="s">
        <v>373</v>
      </c>
      <c r="B16" s="13" t="s">
        <v>374</v>
      </c>
      <c r="C16" s="17" t="s">
        <v>1</v>
      </c>
    </row>
    <row r="17" ht="32" customHeight="1" spans="1:3">
      <c r="A17" s="17" t="s">
        <v>375</v>
      </c>
      <c r="B17" s="13" t="s">
        <v>376</v>
      </c>
      <c r="C17" s="17" t="s">
        <v>377</v>
      </c>
    </row>
    <row r="18" ht="32" customHeight="1" spans="1:3">
      <c r="A18" s="5" t="s">
        <v>378</v>
      </c>
      <c r="B18" s="16" t="s">
        <v>379</v>
      </c>
      <c r="C18" s="7" t="s">
        <v>380</v>
      </c>
    </row>
    <row r="19" ht="32" customHeight="1" spans="1:3">
      <c r="A19" s="17" t="s">
        <v>381</v>
      </c>
      <c r="B19" s="13" t="s">
        <v>382</v>
      </c>
      <c r="C19" s="17" t="s">
        <v>1</v>
      </c>
    </row>
    <row r="20" ht="32" customHeight="1" spans="1:3">
      <c r="A20" s="5" t="s">
        <v>383</v>
      </c>
      <c r="B20" s="16"/>
      <c r="C20" s="7" t="s">
        <v>384</v>
      </c>
    </row>
    <row r="21" ht="13.85" spans="1:3">
      <c r="A21" s="11" t="s">
        <v>385</v>
      </c>
      <c r="B21" s="2"/>
      <c r="C21" s="3"/>
    </row>
    <row r="22" ht="32" customHeight="1" spans="1:3">
      <c r="A22" s="17" t="s">
        <v>386</v>
      </c>
      <c r="B22" s="13" t="s">
        <v>387</v>
      </c>
      <c r="C22" s="17" t="s">
        <v>1</v>
      </c>
    </row>
    <row r="23" ht="32" customHeight="1" spans="1:3">
      <c r="A23" s="15" t="s">
        <v>388</v>
      </c>
      <c r="B23" s="14"/>
      <c r="C23" s="15" t="s">
        <v>1</v>
      </c>
    </row>
    <row r="24" ht="32" customHeight="1" spans="1:3">
      <c r="A24" s="5" t="s">
        <v>389</v>
      </c>
      <c r="B24" s="16" t="e">
        <f>各季度平均值/所有数据平均值</f>
        <v>#NAME?</v>
      </c>
      <c r="C24" s="7" t="s">
        <v>390</v>
      </c>
    </row>
    <row r="25" ht="32" customHeight="1" spans="1:3">
      <c r="A25" s="5" t="s">
        <v>391</v>
      </c>
      <c r="B25" s="16" t="s">
        <v>392</v>
      </c>
      <c r="C25" s="7" t="s">
        <v>393</v>
      </c>
    </row>
    <row r="26" ht="32" customHeight="1" spans="1:3">
      <c r="A26" s="17" t="s">
        <v>394</v>
      </c>
      <c r="B26" s="13" t="s">
        <v>395</v>
      </c>
      <c r="C26" s="17" t="s">
        <v>396</v>
      </c>
    </row>
    <row r="27" ht="32" customHeight="1" spans="1:3">
      <c r="A27" s="5" t="s">
        <v>397</v>
      </c>
      <c r="B27" s="16" t="e">
        <f>预测趋势值 × 季节指数</f>
        <v>#NAME?</v>
      </c>
      <c r="C27" s="7" t="s">
        <v>398</v>
      </c>
    </row>
    <row r="28" ht="32" customHeight="1" spans="1:3">
      <c r="A28" s="15" t="s">
        <v>399</v>
      </c>
      <c r="B28" s="14" t="e">
        <f>RSQ(趋势值列,时间序号列)</f>
        <v>#NAME?</v>
      </c>
      <c r="C28" s="15" t="s">
        <v>400</v>
      </c>
    </row>
  </sheetData>
  <mergeCells count="6">
    <mergeCell ref="A1:C1"/>
    <mergeCell ref="A2:C2"/>
    <mergeCell ref="A5:C5"/>
    <mergeCell ref="A11:C11"/>
    <mergeCell ref="A15:C15"/>
    <mergeCell ref="A21:C2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showGridLines="0" workbookViewId="0">
      <selection activeCell="A1" sqref="A1:C1"/>
    </sheetView>
  </sheetViews>
  <sheetFormatPr defaultColWidth="9" defaultRowHeight="13.5" outlineLevelCol="2"/>
  <cols>
    <col min="1" max="1" width="24" customWidth="1"/>
    <col min="2" max="2" width="50" customWidth="1"/>
    <col min="3" max="3" width="30" customWidth="1"/>
  </cols>
  <sheetData>
    <row r="1" ht="30" customHeight="1" spans="1:3">
      <c r="A1" s="1" t="s">
        <v>401</v>
      </c>
      <c r="B1" s="2"/>
      <c r="C1" s="3"/>
    </row>
    <row r="2" ht="13.85" spans="1:3">
      <c r="A2" s="11" t="s">
        <v>402</v>
      </c>
      <c r="B2" s="2"/>
      <c r="C2" s="3"/>
    </row>
    <row r="3" ht="30" customHeight="1" spans="1:3">
      <c r="A3" s="17" t="s">
        <v>403</v>
      </c>
      <c r="B3" s="13" t="s">
        <v>404</v>
      </c>
      <c r="C3" s="17" t="s">
        <v>1</v>
      </c>
    </row>
    <row r="4" ht="30" customHeight="1" spans="1:3">
      <c r="A4" s="17" t="s">
        <v>405</v>
      </c>
      <c r="B4" s="13" t="s">
        <v>406</v>
      </c>
      <c r="C4" s="17" t="s">
        <v>1</v>
      </c>
    </row>
    <row r="5" ht="30" customHeight="1" spans="1:3">
      <c r="A5" s="17" t="s">
        <v>407</v>
      </c>
      <c r="B5" s="13" t="s">
        <v>408</v>
      </c>
      <c r="C5" s="17" t="s">
        <v>1</v>
      </c>
    </row>
    <row r="6" ht="30" customHeight="1" spans="1:3">
      <c r="A6" s="17" t="s">
        <v>409</v>
      </c>
      <c r="B6" s="13" t="s">
        <v>410</v>
      </c>
      <c r="C6" s="17" t="s">
        <v>1</v>
      </c>
    </row>
    <row r="7" ht="30" customHeight="1" spans="1:3">
      <c r="A7" s="17" t="s">
        <v>411</v>
      </c>
      <c r="B7" s="13" t="s">
        <v>412</v>
      </c>
      <c r="C7" s="17" t="s">
        <v>1</v>
      </c>
    </row>
    <row r="8" ht="30" customHeight="1" spans="1:3">
      <c r="A8" s="17" t="s">
        <v>413</v>
      </c>
      <c r="B8" s="13" t="s">
        <v>414</v>
      </c>
      <c r="C8" s="17" t="s">
        <v>1</v>
      </c>
    </row>
    <row r="9" ht="30" customHeight="1" spans="1:3">
      <c r="A9" s="17" t="s">
        <v>415</v>
      </c>
      <c r="B9" s="13" t="s">
        <v>416</v>
      </c>
      <c r="C9" s="17" t="s">
        <v>1</v>
      </c>
    </row>
    <row r="10" ht="30" customHeight="1" spans="1:3">
      <c r="A10" s="17" t="s">
        <v>417</v>
      </c>
      <c r="B10" s="13" t="s">
        <v>418</v>
      </c>
      <c r="C10" s="17" t="s">
        <v>1</v>
      </c>
    </row>
    <row r="11" ht="13.85" spans="1:3">
      <c r="A11" s="11" t="s">
        <v>419</v>
      </c>
      <c r="B11" s="2"/>
      <c r="C11" s="3"/>
    </row>
    <row r="12" ht="30" customHeight="1" spans="1:3">
      <c r="A12" s="15" t="s">
        <v>420</v>
      </c>
      <c r="B12" s="14"/>
      <c r="C12" s="15" t="s">
        <v>1</v>
      </c>
    </row>
    <row r="13" ht="30" customHeight="1" spans="1:3">
      <c r="A13" s="17" t="s">
        <v>421</v>
      </c>
      <c r="B13" s="13" t="s">
        <v>422</v>
      </c>
      <c r="C13" s="17" t="s">
        <v>1</v>
      </c>
    </row>
    <row r="14" ht="30" customHeight="1" spans="1:3">
      <c r="A14" s="15" t="s">
        <v>423</v>
      </c>
      <c r="B14" s="14"/>
      <c r="C14" s="15" t="s">
        <v>424</v>
      </c>
    </row>
    <row r="15" ht="13.85" spans="1:3">
      <c r="A15" s="11" t="s">
        <v>425</v>
      </c>
      <c r="B15" s="2"/>
      <c r="C15" s="3"/>
    </row>
    <row r="16" ht="30" customHeight="1" spans="1:3">
      <c r="A16" s="17" t="s">
        <v>426</v>
      </c>
      <c r="B16" s="13" t="s">
        <v>427</v>
      </c>
      <c r="C16" s="17" t="s">
        <v>1</v>
      </c>
    </row>
    <row r="17" ht="30" customHeight="1" spans="1:3">
      <c r="A17" s="17" t="s">
        <v>428</v>
      </c>
      <c r="B17" s="13" t="s">
        <v>429</v>
      </c>
      <c r="C17" s="17" t="s">
        <v>1</v>
      </c>
    </row>
    <row r="18" ht="30" customHeight="1" spans="1:3">
      <c r="A18" s="17" t="s">
        <v>430</v>
      </c>
      <c r="B18" s="13" t="s">
        <v>431</v>
      </c>
      <c r="C18" s="17" t="s">
        <v>1</v>
      </c>
    </row>
    <row r="19" ht="30" customHeight="1" spans="1:3">
      <c r="A19" s="17" t="s">
        <v>432</v>
      </c>
      <c r="B19" s="13" t="s">
        <v>433</v>
      </c>
      <c r="C19" s="17" t="s">
        <v>434</v>
      </c>
    </row>
    <row r="20" ht="30" customHeight="1" spans="1:3">
      <c r="A20" s="17" t="s">
        <v>435</v>
      </c>
      <c r="B20" s="13" t="s">
        <v>436</v>
      </c>
      <c r="C20" s="17" t="s">
        <v>437</v>
      </c>
    </row>
    <row r="21" ht="13.85" spans="1:3">
      <c r="A21" s="11" t="s">
        <v>438</v>
      </c>
      <c r="B21" s="2"/>
      <c r="C21" s="3"/>
    </row>
    <row r="22" ht="30" customHeight="1" spans="1:3">
      <c r="A22" s="17" t="s">
        <v>439</v>
      </c>
      <c r="B22" s="13" t="s">
        <v>440</v>
      </c>
      <c r="C22" s="17" t="s">
        <v>441</v>
      </c>
    </row>
    <row r="23" ht="30" customHeight="1" spans="1:3">
      <c r="A23" s="5" t="s">
        <v>442</v>
      </c>
      <c r="B23" s="16" t="s">
        <v>443</v>
      </c>
      <c r="C23" s="7" t="s">
        <v>444</v>
      </c>
    </row>
    <row r="24" ht="30" customHeight="1" spans="1:3">
      <c r="A24" s="17" t="s">
        <v>445</v>
      </c>
      <c r="B24" s="13" t="s">
        <v>446</v>
      </c>
      <c r="C24" s="17" t="s">
        <v>1</v>
      </c>
    </row>
    <row r="25" ht="13.85" spans="1:3">
      <c r="A25" s="11" t="s">
        <v>447</v>
      </c>
      <c r="B25" s="2"/>
      <c r="C25" s="3"/>
    </row>
    <row r="26" ht="30" customHeight="1" spans="1:3">
      <c r="A26" s="17" t="s">
        <v>448</v>
      </c>
      <c r="B26" s="13" t="s">
        <v>449</v>
      </c>
      <c r="C26" s="17" t="s">
        <v>1</v>
      </c>
    </row>
    <row r="27" ht="30" customHeight="1" spans="1:3">
      <c r="A27" s="5" t="s">
        <v>450</v>
      </c>
      <c r="B27" s="16" t="s">
        <v>451</v>
      </c>
      <c r="C27" s="7" t="s">
        <v>452</v>
      </c>
    </row>
    <row r="28" ht="30" customHeight="1" spans="1:3">
      <c r="A28" s="17" t="s">
        <v>453</v>
      </c>
      <c r="B28" s="13" t="s">
        <v>454</v>
      </c>
      <c r="C28" s="17" t="s">
        <v>1</v>
      </c>
    </row>
  </sheetData>
  <mergeCells count="6">
    <mergeCell ref="A1:C1"/>
    <mergeCell ref="A2:C2"/>
    <mergeCell ref="A11:C11"/>
    <mergeCell ref="A15:C15"/>
    <mergeCell ref="A21:C21"/>
    <mergeCell ref="A25:C25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showGridLines="0" workbookViewId="0">
      <selection activeCell="A1" sqref="A1:C1"/>
    </sheetView>
  </sheetViews>
  <sheetFormatPr defaultColWidth="9" defaultRowHeight="13.5" outlineLevelCol="2"/>
  <cols>
    <col min="1" max="1" width="26" customWidth="1"/>
    <col min="2" max="2" width="52" customWidth="1"/>
    <col min="3" max="3" width="30" customWidth="1"/>
  </cols>
  <sheetData>
    <row r="1" ht="30" customHeight="1" spans="1:3">
      <c r="A1" s="1" t="s">
        <v>455</v>
      </c>
      <c r="B1" s="2"/>
      <c r="C1" s="3"/>
    </row>
    <row r="2" ht="13.85" spans="1:3">
      <c r="A2" s="11" t="s">
        <v>456</v>
      </c>
      <c r="B2" s="2"/>
      <c r="C2" s="3"/>
    </row>
    <row r="3" ht="30" customHeight="1" spans="1:3">
      <c r="A3" s="15" t="s">
        <v>155</v>
      </c>
      <c r="B3" s="14" t="e">
        <f>INT(当前天数/订货周期)</f>
        <v>#NAME?</v>
      </c>
      <c r="C3" s="15" t="s">
        <v>457</v>
      </c>
    </row>
    <row r="4" ht="30" customHeight="1" spans="1:3">
      <c r="A4" s="15" t="s">
        <v>458</v>
      </c>
      <c r="B4" s="14" t="e">
        <f>当前天数-过去周期数 × 订货周期</f>
        <v>#NAME?</v>
      </c>
      <c r="C4" s="15" t="s">
        <v>1</v>
      </c>
    </row>
    <row r="5" ht="30" customHeight="1" spans="1:3">
      <c r="A5" s="15" t="s">
        <v>459</v>
      </c>
      <c r="B5" s="14" t="e">
        <f>订货量-日需求量 × 本周期已过天数</f>
        <v>#NAME?</v>
      </c>
      <c r="C5" s="15" t="s">
        <v>1</v>
      </c>
    </row>
    <row r="6" ht="30" customHeight="1" spans="1:3">
      <c r="A6" s="15" t="s">
        <v>460</v>
      </c>
      <c r="B6" s="14" t="e">
        <f>IF(查看天=自变量天,对应库存,"")</f>
        <v>#NAME?</v>
      </c>
      <c r="C6" s="15" t="s">
        <v>461</v>
      </c>
    </row>
    <row r="7" ht="13.85" spans="1:3">
      <c r="A7" s="11" t="s">
        <v>462</v>
      </c>
      <c r="B7" s="2"/>
      <c r="C7" s="3"/>
    </row>
    <row r="8" ht="30" customHeight="1" spans="1:3">
      <c r="A8" s="15" t="s">
        <v>463</v>
      </c>
      <c r="B8" s="14" t="e">
        <f>ROUND(年需求量/365,0)</f>
        <v>#NAME?</v>
      </c>
      <c r="C8" s="15" t="s">
        <v>1</v>
      </c>
    </row>
    <row r="9" ht="30" customHeight="1" spans="1:3">
      <c r="A9" s="15" t="s">
        <v>464</v>
      </c>
      <c r="B9" s="14"/>
      <c r="C9" s="15" t="s">
        <v>1</v>
      </c>
    </row>
    <row r="10" ht="30" customHeight="1" spans="1:3">
      <c r="A10" s="15" t="s">
        <v>465</v>
      </c>
      <c r="B10" s="14"/>
      <c r="C10" s="15" t="s">
        <v>1</v>
      </c>
    </row>
    <row r="11" ht="30" customHeight="1" spans="1:3">
      <c r="A11" s="5" t="s">
        <v>466</v>
      </c>
      <c r="B11" s="16"/>
      <c r="C11" s="7" t="s">
        <v>467</v>
      </c>
    </row>
    <row r="12" ht="30" customHeight="1" spans="1:3">
      <c r="A12" s="15" t="s">
        <v>468</v>
      </c>
      <c r="B12" s="14"/>
      <c r="C12" s="15" t="s">
        <v>1</v>
      </c>
    </row>
    <row r="13" ht="30" customHeight="1" spans="1:3">
      <c r="A13" s="15" t="s">
        <v>469</v>
      </c>
      <c r="B13" s="14"/>
      <c r="C13" s="15" t="s">
        <v>1</v>
      </c>
    </row>
    <row r="14" ht="30" customHeight="1" spans="1:3">
      <c r="A14" s="15" t="s">
        <v>470</v>
      </c>
      <c r="B14" s="14" t="e">
        <f>SUM(年订货成本)+SUM(年储存成本)</f>
        <v>#NAME?</v>
      </c>
      <c r="C14" s="15" t="s">
        <v>1</v>
      </c>
    </row>
    <row r="15" ht="30" customHeight="1" spans="1:3">
      <c r="A15" s="17" t="s">
        <v>471</v>
      </c>
      <c r="B15" s="13" t="s">
        <v>472</v>
      </c>
      <c r="C15" s="17" t="s">
        <v>1</v>
      </c>
    </row>
    <row r="16" ht="30" customHeight="1" spans="1:3">
      <c r="A16" s="15" t="s">
        <v>473</v>
      </c>
      <c r="B16" s="14" t="e">
        <f>MIN(模拟运算表年总成本列)</f>
        <v>#NAME?</v>
      </c>
      <c r="C16" s="15" t="s">
        <v>1</v>
      </c>
    </row>
    <row r="17" ht="30" customHeight="1" spans="1:3">
      <c r="A17" s="15" t="s">
        <v>474</v>
      </c>
      <c r="B17" s="14" t="e">
        <f>INDEX(订货周期列,MATCH(最低总成本,年总成本列,0))</f>
        <v>#NAME?</v>
      </c>
      <c r="C17" s="15" t="s">
        <v>1</v>
      </c>
    </row>
    <row r="18" ht="13.85" spans="1:3">
      <c r="A18" s="11" t="s">
        <v>475</v>
      </c>
      <c r="B18" s="2"/>
      <c r="C18" s="3"/>
    </row>
    <row r="19" ht="30" customHeight="1" spans="1:3">
      <c r="A19" s="15" t="s">
        <v>476</v>
      </c>
      <c r="B19" s="14" t="e">
        <f>上天结束库存+上天订货标志 × 订货量</f>
        <v>#NAME?</v>
      </c>
      <c r="C19" s="15" t="s">
        <v>1</v>
      </c>
    </row>
    <row r="20" ht="30" customHeight="1" spans="1:3">
      <c r="A20" s="15" t="s">
        <v>477</v>
      </c>
      <c r="B20" s="14" t="e">
        <f>IF(起始库存&gt;日需求量,起始库存-日需求量,0)</f>
        <v>#NAME?</v>
      </c>
      <c r="C20" s="15" t="s">
        <v>1</v>
      </c>
    </row>
    <row r="21" ht="30" customHeight="1" spans="1:3">
      <c r="A21" s="15" t="s">
        <v>466</v>
      </c>
      <c r="B21" s="14" t="e">
        <f>IF(结束库存&lt;安全库存,1,0)</f>
        <v>#NAME?</v>
      </c>
      <c r="C21" s="15" t="s">
        <v>1</v>
      </c>
    </row>
    <row r="22" ht="30" customHeight="1" spans="1:3">
      <c r="A22" s="15" t="s">
        <v>478</v>
      </c>
      <c r="B22" s="14" t="e">
        <f>IF(起始库存&gt;日需求量,0,日需求量-起始库存)</f>
        <v>#NAME?</v>
      </c>
      <c r="C22" s="15" t="s">
        <v>1</v>
      </c>
    </row>
    <row r="23" ht="30" customHeight="1" spans="1:3">
      <c r="A23" s="15" t="s">
        <v>479</v>
      </c>
      <c r="B23" s="14"/>
      <c r="C23" s="15" t="e">
        <f>1-SUM(告罄标志)/365</f>
        <v>#NAME?</v>
      </c>
    </row>
    <row r="24" ht="30" customHeight="1" spans="1:3">
      <c r="A24" s="5" t="s">
        <v>480</v>
      </c>
      <c r="B24" s="16" t="s">
        <v>481</v>
      </c>
      <c r="C24" s="7" t="s">
        <v>482</v>
      </c>
    </row>
    <row r="25" ht="13.85" spans="1:3">
      <c r="A25" s="11" t="s">
        <v>483</v>
      </c>
      <c r="B25" s="2"/>
      <c r="C25" s="3"/>
    </row>
    <row r="26" ht="30" customHeight="1" spans="1:3">
      <c r="A26" s="15" t="s">
        <v>484</v>
      </c>
      <c r="B26" s="14"/>
      <c r="C26" s="15" t="s">
        <v>485</v>
      </c>
    </row>
    <row r="27" ht="30" customHeight="1" spans="1:3">
      <c r="A27" s="17" t="s">
        <v>470</v>
      </c>
      <c r="B27" s="13" t="s">
        <v>486</v>
      </c>
      <c r="C27" s="17" t="s">
        <v>1</v>
      </c>
    </row>
    <row r="28" ht="30" customHeight="1" spans="1:3">
      <c r="A28" s="5" t="s">
        <v>487</v>
      </c>
      <c r="B28" s="16" t="s">
        <v>488</v>
      </c>
      <c r="C28" s="7" t="s">
        <v>489</v>
      </c>
    </row>
    <row r="29" ht="30" customHeight="1" spans="1:3">
      <c r="A29" s="5" t="s">
        <v>490</v>
      </c>
      <c r="B29" s="16"/>
      <c r="C29" s="7" t="s">
        <v>491</v>
      </c>
    </row>
  </sheetData>
  <mergeCells count="5">
    <mergeCell ref="A1:C1"/>
    <mergeCell ref="A2:C2"/>
    <mergeCell ref="A7:C7"/>
    <mergeCell ref="A18:C18"/>
    <mergeCell ref="A25:C25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showGridLines="0" workbookViewId="0">
      <selection activeCell="A1" sqref="A1:C1"/>
    </sheetView>
  </sheetViews>
  <sheetFormatPr defaultColWidth="9" defaultRowHeight="13.5" outlineLevelCol="2"/>
  <cols>
    <col min="1" max="1" width="24" customWidth="1"/>
    <col min="2" max="2" width="50" customWidth="1"/>
    <col min="3" max="3" width="32" customWidth="1"/>
  </cols>
  <sheetData>
    <row r="1" ht="30" customHeight="1" spans="1:3">
      <c r="A1" s="1" t="s">
        <v>492</v>
      </c>
      <c r="B1" s="2"/>
      <c r="C1" s="3"/>
    </row>
    <row r="2" ht="13.85" spans="1:3">
      <c r="A2" s="11" t="s">
        <v>493</v>
      </c>
      <c r="B2" s="2"/>
      <c r="C2" s="3"/>
    </row>
    <row r="3" ht="32" customHeight="1" spans="1:3">
      <c r="A3" s="15" t="s">
        <v>494</v>
      </c>
      <c r="B3" s="14" t="e">
        <f>FV(年利率,期数,-每期付款,-现值,0/1)</f>
        <v>#NAME?</v>
      </c>
      <c r="C3" s="15" t="s">
        <v>495</v>
      </c>
    </row>
    <row r="4" ht="32" customHeight="1" spans="1:3">
      <c r="A4" s="15" t="s">
        <v>496</v>
      </c>
      <c r="B4" s="14" t="e">
        <f>PV(利率,期数,-每期回报,-将来值,0/1)</f>
        <v>#NAME?</v>
      </c>
      <c r="C4" s="15" t="s">
        <v>497</v>
      </c>
    </row>
    <row r="5" ht="32" customHeight="1" spans="1:3">
      <c r="A5" s="5" t="s">
        <v>498</v>
      </c>
      <c r="B5" s="16" t="e">
        <f>NPV(贴现率,第1年起各期现金流)+第0年金额</f>
        <v>#NAME?</v>
      </c>
      <c r="C5" s="7" t="s">
        <v>499</v>
      </c>
    </row>
    <row r="6" ht="32" customHeight="1" spans="1:3">
      <c r="A6" s="5" t="s">
        <v>500</v>
      </c>
      <c r="B6" s="16" t="e">
        <f>IRR(含第0年的全部现金流,猜测值)</f>
        <v>#NAME?</v>
      </c>
      <c r="C6" s="7" t="s">
        <v>501</v>
      </c>
    </row>
    <row r="7" ht="32" customHeight="1" spans="1:3">
      <c r="A7" s="15" t="s">
        <v>502</v>
      </c>
      <c r="B7" s="14"/>
      <c r="C7" s="15" t="s">
        <v>1</v>
      </c>
    </row>
    <row r="8" ht="32" customHeight="1" spans="1:3">
      <c r="A8" s="15" t="s">
        <v>503</v>
      </c>
      <c r="B8" s="14" t="e">
        <f>PPMT(利率,当期per,总期数,-现值)</f>
        <v>#NAME?</v>
      </c>
      <c r="C8" s="15" t="s">
        <v>504</v>
      </c>
    </row>
    <row r="9" ht="32" customHeight="1" spans="1:3">
      <c r="A9" s="15" t="s">
        <v>505</v>
      </c>
      <c r="B9" s="14" t="e">
        <f>IPMT(利率,当期per,总期数,-现值)</f>
        <v>#NAME?</v>
      </c>
      <c r="C9" s="15" t="s">
        <v>506</v>
      </c>
    </row>
    <row r="10" ht="32" customHeight="1" spans="1:3">
      <c r="A10" s="5" t="s">
        <v>507</v>
      </c>
      <c r="B10" s="16" t="e">
        <f>ISPMT(利率,per-1,总期数,-现值)</f>
        <v>#NAME?</v>
      </c>
      <c r="C10" s="7" t="s">
        <v>508</v>
      </c>
    </row>
    <row r="11" ht="32" customHeight="1" spans="1:3">
      <c r="A11" s="15" t="s">
        <v>509</v>
      </c>
      <c r="B11" s="14" t="e">
        <f>RATE(期数,每期回报,-现值,将来值,0/1,猜测值)</f>
        <v>#NAME?</v>
      </c>
      <c r="C11" s="15" t="s">
        <v>510</v>
      </c>
    </row>
    <row r="12" ht="32" customHeight="1" spans="1:3">
      <c r="A12" s="15" t="s">
        <v>511</v>
      </c>
      <c r="B12" s="14" t="e">
        <f>NPER(利率,每期回报,-现值,将来值)</f>
        <v>#NAME?</v>
      </c>
      <c r="C12" s="15" t="s">
        <v>1</v>
      </c>
    </row>
    <row r="13" ht="13.85" spans="1:3">
      <c r="A13" s="11" t="s">
        <v>512</v>
      </c>
      <c r="B13" s="2"/>
      <c r="C13" s="3"/>
    </row>
    <row r="14" ht="32" customHeight="1" spans="1:3">
      <c r="A14" s="17" t="s">
        <v>513</v>
      </c>
      <c r="B14" s="13" t="s">
        <v>514</v>
      </c>
      <c r="C14" s="17" t="s">
        <v>1</v>
      </c>
    </row>
    <row r="15" ht="32" customHeight="1" spans="1:3">
      <c r="A15" s="15" t="s">
        <v>515</v>
      </c>
      <c r="B15" s="14"/>
      <c r="C15" s="15" t="s">
        <v>1</v>
      </c>
    </row>
    <row r="16" ht="32" customHeight="1" spans="1:3">
      <c r="A16" s="17" t="s">
        <v>516</v>
      </c>
      <c r="B16" s="13" t="s">
        <v>517</v>
      </c>
      <c r="C16" s="17" t="s">
        <v>1</v>
      </c>
    </row>
    <row r="17" ht="32" customHeight="1" spans="1:3">
      <c r="A17" s="17" t="s">
        <v>518</v>
      </c>
      <c r="B17" s="13" t="s">
        <v>519</v>
      </c>
      <c r="C17" s="17" t="s">
        <v>1</v>
      </c>
    </row>
    <row r="18" ht="32" customHeight="1" spans="1:3">
      <c r="A18" s="17" t="s">
        <v>520</v>
      </c>
      <c r="B18" s="13" t="s">
        <v>521</v>
      </c>
      <c r="C18" s="17" t="s">
        <v>1</v>
      </c>
    </row>
    <row r="19" ht="13.85" spans="1:3">
      <c r="A19" s="11" t="s">
        <v>522</v>
      </c>
      <c r="B19" s="2"/>
      <c r="C19" s="3"/>
    </row>
    <row r="20" ht="32" customHeight="1" spans="1:3">
      <c r="A20" s="17" t="s">
        <v>523</v>
      </c>
      <c r="B20" s="13" t="s">
        <v>524</v>
      </c>
      <c r="C20" s="17" t="s">
        <v>1</v>
      </c>
    </row>
    <row r="21" ht="32" customHeight="1" spans="1:3">
      <c r="A21" s="17" t="s">
        <v>525</v>
      </c>
      <c r="B21" s="13" t="s">
        <v>526</v>
      </c>
      <c r="C21" s="17" t="s">
        <v>1</v>
      </c>
    </row>
    <row r="22" ht="32" customHeight="1" spans="1:3">
      <c r="A22" s="17" t="s">
        <v>527</v>
      </c>
      <c r="B22" s="13" t="s">
        <v>528</v>
      </c>
      <c r="C22" s="17" t="s">
        <v>1</v>
      </c>
    </row>
    <row r="23" ht="32" customHeight="1" spans="1:3">
      <c r="A23" s="5" t="s">
        <v>529</v>
      </c>
      <c r="B23" s="16" t="s">
        <v>530</v>
      </c>
      <c r="C23" s="7" t="s">
        <v>531</v>
      </c>
    </row>
    <row r="24" ht="32" customHeight="1" spans="1:3">
      <c r="A24" s="15" t="s">
        <v>532</v>
      </c>
      <c r="B24" s="14"/>
      <c r="C24" s="15" t="s">
        <v>1</v>
      </c>
    </row>
    <row r="25" ht="32" customHeight="1" spans="1:3">
      <c r="A25" s="17" t="s">
        <v>533</v>
      </c>
      <c r="B25" s="13" t="s">
        <v>534</v>
      </c>
      <c r="C25" s="17" t="s">
        <v>535</v>
      </c>
    </row>
    <row r="26" ht="32" customHeight="1" spans="1:3">
      <c r="A26" s="17" t="s">
        <v>536</v>
      </c>
      <c r="B26" s="13" t="s">
        <v>537</v>
      </c>
      <c r="C26" s="17" t="s">
        <v>538</v>
      </c>
    </row>
  </sheetData>
  <mergeCells count="4">
    <mergeCell ref="A1:C1"/>
    <mergeCell ref="A2:C2"/>
    <mergeCell ref="A13:C13"/>
    <mergeCell ref="A19:C19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showGridLines="0" workbookViewId="0">
      <selection activeCell="A1" sqref="A1:D1"/>
    </sheetView>
  </sheetViews>
  <sheetFormatPr defaultColWidth="9" defaultRowHeight="13.5" outlineLevelCol="3"/>
  <cols>
    <col min="1" max="1" width="22" customWidth="1"/>
    <col min="2" max="2" width="28" customWidth="1"/>
    <col min="3" max="4" width="30" customWidth="1"/>
  </cols>
  <sheetData>
    <row r="1" ht="30" customHeight="1" spans="1:4">
      <c r="A1" s="1" t="s">
        <v>539</v>
      </c>
      <c r="B1" s="2"/>
      <c r="C1" s="2"/>
      <c r="D1" s="3"/>
    </row>
    <row r="2" ht="13.85" spans="1:4">
      <c r="A2" s="11" t="s">
        <v>540</v>
      </c>
      <c r="B2" s="2"/>
      <c r="C2" s="2"/>
      <c r="D2" s="3"/>
    </row>
    <row r="3" spans="1:4">
      <c r="A3" s="4" t="s">
        <v>541</v>
      </c>
      <c r="B3" s="4" t="s">
        <v>542</v>
      </c>
      <c r="C3" s="4" t="s">
        <v>543</v>
      </c>
      <c r="D3" s="4" t="s">
        <v>544</v>
      </c>
    </row>
    <row r="4" ht="28" customHeight="1" spans="1:4">
      <c r="A4" s="12" t="s">
        <v>545</v>
      </c>
      <c r="B4" s="12" t="s">
        <v>546</v>
      </c>
      <c r="C4" s="12" t="s">
        <v>547</v>
      </c>
      <c r="D4" s="12" t="s">
        <v>548</v>
      </c>
    </row>
    <row r="5" ht="28" customHeight="1" spans="1:4">
      <c r="A5" s="13" t="s">
        <v>549</v>
      </c>
      <c r="B5" s="13" t="s">
        <v>550</v>
      </c>
      <c r="C5" s="13" t="s">
        <v>547</v>
      </c>
      <c r="D5" s="13" t="s">
        <v>551</v>
      </c>
    </row>
    <row r="6" ht="28" customHeight="1" spans="1:4">
      <c r="A6" s="12" t="s">
        <v>552</v>
      </c>
      <c r="B6" s="12" t="s">
        <v>553</v>
      </c>
      <c r="C6" s="12" t="s">
        <v>547</v>
      </c>
      <c r="D6" s="12" t="s">
        <v>1</v>
      </c>
    </row>
    <row r="7" ht="28" customHeight="1" spans="1:4">
      <c r="A7" s="13" t="s">
        <v>554</v>
      </c>
      <c r="B7" s="13" t="s">
        <v>555</v>
      </c>
      <c r="C7" s="13" t="s">
        <v>556</v>
      </c>
      <c r="D7" s="13" t="s">
        <v>557</v>
      </c>
    </row>
    <row r="8" ht="13.85" spans="1:4">
      <c r="A8" s="11" t="s">
        <v>558</v>
      </c>
      <c r="B8" s="2"/>
      <c r="C8" s="2"/>
      <c r="D8" s="3"/>
    </row>
    <row r="9" spans="1:4">
      <c r="A9" s="4" t="s">
        <v>541</v>
      </c>
      <c r="B9" s="4" t="s">
        <v>543</v>
      </c>
      <c r="C9" s="4" t="s">
        <v>559</v>
      </c>
      <c r="D9" s="4" t="s">
        <v>560</v>
      </c>
    </row>
    <row r="10" ht="40" customHeight="1" spans="1:4">
      <c r="A10" s="12" t="s">
        <v>561</v>
      </c>
      <c r="B10" s="12" t="s">
        <v>562</v>
      </c>
      <c r="C10" s="12" t="s">
        <v>563</v>
      </c>
      <c r="D10" s="12" t="s">
        <v>564</v>
      </c>
    </row>
    <row r="11" ht="40" customHeight="1" spans="1:4">
      <c r="A11" s="13" t="s">
        <v>565</v>
      </c>
      <c r="B11" s="13" t="s">
        <v>566</v>
      </c>
      <c r="C11" s="13" t="s">
        <v>567</v>
      </c>
      <c r="D11" s="13" t="s">
        <v>568</v>
      </c>
    </row>
    <row r="12" ht="40" customHeight="1" spans="1:4">
      <c r="A12" s="12" t="s">
        <v>569</v>
      </c>
      <c r="B12" s="12" t="s">
        <v>570</v>
      </c>
      <c r="C12" s="12" t="s">
        <v>571</v>
      </c>
      <c r="D12" s="12" t="s">
        <v>572</v>
      </c>
    </row>
    <row r="13" ht="40" customHeight="1" spans="1:4">
      <c r="A13" s="13" t="s">
        <v>573</v>
      </c>
      <c r="B13" s="13" t="s">
        <v>574</v>
      </c>
      <c r="C13" s="13" t="s">
        <v>575</v>
      </c>
      <c r="D13" s="13" t="s">
        <v>576</v>
      </c>
    </row>
    <row r="14" ht="40" customHeight="1" spans="1:4">
      <c r="A14" s="12" t="s">
        <v>577</v>
      </c>
      <c r="B14" s="12" t="s">
        <v>578</v>
      </c>
      <c r="C14" s="12" t="s">
        <v>579</v>
      </c>
      <c r="D14" s="12" t="s">
        <v>580</v>
      </c>
    </row>
    <row r="15" ht="13.85" spans="1:4">
      <c r="A15" s="11" t="s">
        <v>581</v>
      </c>
      <c r="B15" s="2"/>
      <c r="C15" s="2"/>
      <c r="D15" s="3"/>
    </row>
    <row r="16" ht="32" customHeight="1" spans="1:4">
      <c r="A16" s="14" t="s">
        <v>582</v>
      </c>
      <c r="B16" s="14" t="e">
        <f>SUMPRODUCT(array1,array2)</f>
        <v>#NAME?</v>
      </c>
      <c r="C16" s="14" t="e">
        <f>SUM(array1*array2)+Ctrl+Shift+Enter</f>
        <v>#NAME?</v>
      </c>
      <c r="D16" s="14" t="s">
        <v>583</v>
      </c>
    </row>
    <row r="17" ht="32" customHeight="1" spans="1:4">
      <c r="A17" s="14" t="s">
        <v>584</v>
      </c>
      <c r="B17" s="14" t="s">
        <v>585</v>
      </c>
      <c r="C17" s="14" t="s">
        <v>586</v>
      </c>
      <c r="D17" s="14" t="s">
        <v>1</v>
      </c>
    </row>
    <row r="18" ht="32" customHeight="1" spans="1:4">
      <c r="A18" s="14" t="s">
        <v>587</v>
      </c>
      <c r="B18" s="14" t="s">
        <v>588</v>
      </c>
      <c r="C18" s="14" t="s">
        <v>589</v>
      </c>
      <c r="D18" s="14" t="s">
        <v>590</v>
      </c>
    </row>
  </sheetData>
  <mergeCells count="4">
    <mergeCell ref="A1:D1"/>
    <mergeCell ref="A2:D2"/>
    <mergeCell ref="A8:D8"/>
    <mergeCell ref="A15:D15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showGridLines="0" workbookViewId="0">
      <selection activeCell="A1" sqref="A1:D1"/>
    </sheetView>
  </sheetViews>
  <sheetFormatPr defaultColWidth="9" defaultRowHeight="13.5" outlineLevelCol="3"/>
  <cols>
    <col min="1" max="1" width="4" customWidth="1"/>
    <col min="2" max="2" width="26" customWidth="1"/>
    <col min="3" max="3" width="44" customWidth="1"/>
    <col min="4" max="4" width="30" customWidth="1"/>
  </cols>
  <sheetData>
    <row r="1" ht="34" customHeight="1" spans="1:4">
      <c r="A1" s="1" t="s">
        <v>591</v>
      </c>
      <c r="B1" s="2"/>
      <c r="C1" s="2"/>
      <c r="D1" s="3"/>
    </row>
    <row r="2" spans="1:4">
      <c r="A2" s="4" t="s">
        <v>592</v>
      </c>
      <c r="B2" s="4" t="s">
        <v>593</v>
      </c>
      <c r="C2" s="4" t="s">
        <v>594</v>
      </c>
      <c r="D2" s="4" t="s">
        <v>595</v>
      </c>
    </row>
    <row r="3" ht="36" customHeight="1" spans="1:4">
      <c r="A3" s="5" t="s">
        <v>596</v>
      </c>
      <c r="B3" s="6" t="s">
        <v>597</v>
      </c>
      <c r="C3" s="5" t="s">
        <v>598</v>
      </c>
      <c r="D3" s="7" t="s">
        <v>599</v>
      </c>
    </row>
    <row r="4" ht="36" customHeight="1" spans="1:4">
      <c r="A4" s="8" t="s">
        <v>600</v>
      </c>
      <c r="B4" s="9" t="s">
        <v>601</v>
      </c>
      <c r="C4" s="8"/>
      <c r="D4" s="10" t="s">
        <v>602</v>
      </c>
    </row>
    <row r="5" ht="36" customHeight="1" spans="1:4">
      <c r="A5" s="5" t="s">
        <v>603</v>
      </c>
      <c r="B5" s="6" t="s">
        <v>604</v>
      </c>
      <c r="C5" s="5"/>
      <c r="D5" s="7" t="s">
        <v>605</v>
      </c>
    </row>
    <row r="6" ht="36" customHeight="1" spans="1:4">
      <c r="A6" s="8" t="s">
        <v>606</v>
      </c>
      <c r="B6" s="9" t="s">
        <v>607</v>
      </c>
      <c r="C6" s="8" t="s">
        <v>608</v>
      </c>
      <c r="D6" s="10" t="s">
        <v>609</v>
      </c>
    </row>
    <row r="7" ht="36" customHeight="1" spans="1:4">
      <c r="A7" s="5" t="s">
        <v>610</v>
      </c>
      <c r="B7" s="6" t="s">
        <v>611</v>
      </c>
      <c r="C7" s="5" t="s">
        <v>612</v>
      </c>
      <c r="D7" s="7" t="s">
        <v>613</v>
      </c>
    </row>
    <row r="8" ht="36" customHeight="1" spans="1:4">
      <c r="A8" s="8" t="s">
        <v>614</v>
      </c>
      <c r="B8" s="9" t="s">
        <v>615</v>
      </c>
      <c r="C8" s="8" t="s">
        <v>616</v>
      </c>
      <c r="D8" s="10" t="s">
        <v>617</v>
      </c>
    </row>
    <row r="9" ht="36" customHeight="1" spans="1:4">
      <c r="A9" s="5" t="s">
        <v>618</v>
      </c>
      <c r="B9" s="6" t="s">
        <v>619</v>
      </c>
      <c r="C9" s="5" t="s">
        <v>620</v>
      </c>
      <c r="D9" s="7" t="s">
        <v>621</v>
      </c>
    </row>
    <row r="10" ht="36" customHeight="1" spans="1:4">
      <c r="A10" s="8" t="s">
        <v>622</v>
      </c>
      <c r="B10" s="9" t="s">
        <v>623</v>
      </c>
      <c r="C10" s="8" t="s">
        <v>624</v>
      </c>
      <c r="D10" s="10" t="s">
        <v>625</v>
      </c>
    </row>
    <row r="11" ht="36" customHeight="1" spans="1:4">
      <c r="A11" s="5" t="s">
        <v>626</v>
      </c>
      <c r="B11" s="6" t="s">
        <v>627</v>
      </c>
      <c r="C11" s="5" t="s">
        <v>628</v>
      </c>
      <c r="D11" s="7" t="s">
        <v>629</v>
      </c>
    </row>
    <row r="12" ht="36" customHeight="1" spans="1:4">
      <c r="A12" s="8" t="s">
        <v>630</v>
      </c>
      <c r="B12" s="9" t="s">
        <v>631</v>
      </c>
      <c r="C12" s="8" t="s">
        <v>632</v>
      </c>
      <c r="D12" s="10" t="s">
        <v>633</v>
      </c>
    </row>
    <row r="13" ht="36" customHeight="1" spans="1:4">
      <c r="A13" s="5" t="s">
        <v>634</v>
      </c>
      <c r="B13" s="6" t="s">
        <v>635</v>
      </c>
      <c r="C13" s="5" t="s">
        <v>636</v>
      </c>
      <c r="D13" s="7" t="s">
        <v>637</v>
      </c>
    </row>
    <row r="14" ht="36" customHeight="1" spans="1:4">
      <c r="A14" s="8" t="s">
        <v>638</v>
      </c>
      <c r="B14" s="9" t="s">
        <v>639</v>
      </c>
      <c r="C14" s="8" t="s">
        <v>640</v>
      </c>
      <c r="D14" s="10" t="s">
        <v>641</v>
      </c>
    </row>
    <row r="15" ht="36" customHeight="1" spans="1:4">
      <c r="A15" s="5" t="s">
        <v>642</v>
      </c>
      <c r="B15" s="6" t="s">
        <v>643</v>
      </c>
      <c r="C15" s="5" t="s">
        <v>644</v>
      </c>
      <c r="D15" s="7" t="s">
        <v>645</v>
      </c>
    </row>
    <row r="16" ht="36" customHeight="1" spans="1:4">
      <c r="A16" s="8" t="s">
        <v>646</v>
      </c>
      <c r="B16" s="9" t="s">
        <v>647</v>
      </c>
      <c r="C16" s="8" t="s">
        <v>648</v>
      </c>
      <c r="D16" s="10" t="s">
        <v>649</v>
      </c>
    </row>
    <row r="17" ht="36" customHeight="1" spans="1:4">
      <c r="A17" s="5" t="s">
        <v>650</v>
      </c>
      <c r="B17" s="6" t="s">
        <v>651</v>
      </c>
      <c r="C17" s="5" t="s">
        <v>652</v>
      </c>
      <c r="D17" s="7" t="s">
        <v>653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📋 目录</vt:lpstr>
      <vt:lpstr>📊 函数速查表</vt:lpstr>
      <vt:lpstr>📈 数据透视表</vt:lpstr>
      <vt:lpstr>🎛 动态展示</vt:lpstr>
      <vt:lpstr>📉 时间序列预测</vt:lpstr>
      <vt:lpstr>💰 成本管理</vt:lpstr>
      <vt:lpstr>📦 库存管理</vt:lpstr>
      <vt:lpstr>🏦 投资决策</vt:lpstr>
      <vt:lpstr>⚙ 最优化决策</vt:lpstr>
      <vt:lpstr>🚨 考试高频陷阱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辛睿恩</cp:lastModifiedBy>
  <dcterms:created xsi:type="dcterms:W3CDTF">2026-06-22T15:06:00Z</dcterms:created>
  <dcterms:modified xsi:type="dcterms:W3CDTF">2026-06-22T15:15:16Z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9001EE11BA96492B9E679CC5964800D7_12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