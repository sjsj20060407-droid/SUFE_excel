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24226"/>
  <mc:AlternateContent xmlns:mc="http://schemas.openxmlformats.org/markup-compatibility/2006">
    <mc:Choice Requires="x15">
      <x15ac:absPath xmlns:x15ac="http://schemas.microsoft.com/office/spreadsheetml/2010/11/ac" url="C:\Users\86158\Desktop\经管机作业\经管机22-23学年第二学期A1卷-原卷\"/>
    </mc:Choice>
  </mc:AlternateContent>
  <xr:revisionPtr revIDLastSave="0" documentId="13_ncr:1_{F52B4068-8777-454A-8C54-A1391A22F7FC}" xr6:coauthVersionLast="47" xr6:coauthVersionMax="47" xr10:uidLastSave="{00000000-0000-0000-0000-000000000000}"/>
  <bookViews>
    <workbookView xWindow="-98" yWindow="-98" windowWidth="21795" windowHeight="12975" tabRatio="692" activeTab="5" xr2:uid="{00000000-000D-0000-FFFF-FFFF00000000}"/>
  </bookViews>
  <sheets>
    <sheet name="考试须知" sheetId="39" r:id="rId1"/>
    <sheet name="第1题" sheetId="23" r:id="rId2"/>
    <sheet name="第2题" sheetId="24" r:id="rId3"/>
    <sheet name="第3题" sheetId="32" r:id="rId4"/>
    <sheet name="第4题" sheetId="33" r:id="rId5"/>
    <sheet name="第5题" sheetId="34" r:id="rId6"/>
    <sheet name="第6题" sheetId="35" r:id="rId7"/>
    <sheet name="第7题" sheetId="36" r:id="rId8"/>
    <sheet name="第8题" sheetId="37" r:id="rId9"/>
    <sheet name="第9题" sheetId="38" r:id="rId10"/>
  </sheets>
  <definedNames>
    <definedName name="_xlnm._FilterDatabase" localSheetId="2" hidden="1">第2题!#REF!</definedName>
    <definedName name="_xlnm._FilterDatabase" localSheetId="3" hidden="1">第3题!$C$1:$D$2337</definedName>
    <definedName name="solver_adj" localSheetId="9" hidden="1">第9题!$B$7:$G$7</definedName>
    <definedName name="solver_cvg" localSheetId="9" hidden="1">0.0001</definedName>
    <definedName name="solver_drv" localSheetId="9" hidden="1">2</definedName>
    <definedName name="solver_eng" localSheetId="9" hidden="1">1</definedName>
    <definedName name="solver_est" localSheetId="9" hidden="1">1</definedName>
    <definedName name="solver_itr" localSheetId="9" hidden="1">2147483647</definedName>
    <definedName name="solver_lhs1" localSheetId="9" hidden="1">第9题!$B$10</definedName>
    <definedName name="solver_lhs2" localSheetId="9" hidden="1">第9题!$B$7:$G$7</definedName>
    <definedName name="solver_lhs3" localSheetId="9" hidden="1">第9题!$B$8</definedName>
    <definedName name="solver_lhs4" localSheetId="9" hidden="1">第9题!$B$8</definedName>
    <definedName name="solver_lhs5" localSheetId="9" hidden="1">第9题!$D$8</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9" hidden="1">2</definedName>
    <definedName name="solver_nod" localSheetId="9" hidden="1">2147483647</definedName>
    <definedName name="solver_num" localSheetId="9" hidden="1">5</definedName>
    <definedName name="solver_nwt" localSheetId="9" hidden="1">1</definedName>
    <definedName name="solver_opt" localSheetId="9" hidden="1">第9题!$B$11</definedName>
    <definedName name="solver_pre" localSheetId="9" hidden="1">0.000001</definedName>
    <definedName name="solver_rbv" localSheetId="9" hidden="1">2</definedName>
    <definedName name="solver_rel1" localSheetId="9" hidden="1">1</definedName>
    <definedName name="solver_rel2" localSheetId="9" hidden="1">5</definedName>
    <definedName name="solver_rel3" localSheetId="9" hidden="1">1</definedName>
    <definedName name="solver_rel4" localSheetId="9" hidden="1">3</definedName>
    <definedName name="solver_rel5" localSheetId="9" hidden="1">1</definedName>
    <definedName name="solver_rhs1" localSheetId="9" hidden="1">第9题!$C$10</definedName>
    <definedName name="solver_rhs2" localSheetId="9" hidden="1">二进制</definedName>
    <definedName name="solver_rhs3" localSheetId="9" hidden="1">1</definedName>
    <definedName name="solver_rhs4" localSheetId="9" hidden="1">第9题!$D$8</definedName>
    <definedName name="solver_rhs5" localSheetId="9" hidden="1">1</definedName>
    <definedName name="solver_rlx" localSheetId="9" hidden="1">2</definedName>
    <definedName name="solver_rsd" localSheetId="9" hidden="1">0</definedName>
    <definedName name="solver_scl" localSheetId="9" hidden="1">2</definedName>
    <definedName name="solver_sho" localSheetId="9" hidden="1">2</definedName>
    <definedName name="solver_ssz" localSheetId="9" hidden="1">100</definedName>
    <definedName name="solver_tim" localSheetId="9" hidden="1">2147483647</definedName>
    <definedName name="solver_tol" localSheetId="9" hidden="1">0.01</definedName>
    <definedName name="solver_typ" localSheetId="9" hidden="1">1</definedName>
    <definedName name="solver_val" localSheetId="9" hidden="1">0</definedName>
    <definedName name="solver_ver" localSheetId="9" hidden="1">3</definedName>
    <definedName name="查询来自_MS_Access_Database" localSheetId="1" hidden="1">第1题!$A$1:$C$2</definedName>
    <definedName name="_xlnm.Extract" localSheetId="3">第3题!$S$31:$T$31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34" l="1"/>
  <c r="F3" i="34"/>
  <c r="F4" i="34"/>
  <c r="F5" i="34"/>
  <c r="F6" i="34"/>
  <c r="F7" i="34"/>
  <c r="F8" i="34"/>
  <c r="F9" i="34"/>
  <c r="F10" i="34"/>
  <c r="F11" i="34"/>
  <c r="F12" i="34"/>
  <c r="F13" i="34"/>
  <c r="F14" i="34"/>
  <c r="F15" i="34"/>
  <c r="F16" i="34"/>
  <c r="F17" i="34"/>
  <c r="F18" i="34"/>
  <c r="F19" i="34"/>
  <c r="F20" i="34"/>
  <c r="F21" i="34"/>
  <c r="F22" i="34"/>
  <c r="F23" i="34"/>
  <c r="F24" i="34"/>
  <c r="F25" i="34"/>
  <c r="F26" i="34"/>
  <c r="F27" i="34"/>
  <c r="F28" i="34"/>
  <c r="F29" i="34"/>
  <c r="F30" i="34"/>
  <c r="F31" i="34"/>
  <c r="F32" i="34"/>
  <c r="F2" i="34"/>
  <c r="C32" i="34"/>
  <c r="B32" i="34"/>
  <c r="I3" i="34" a="1"/>
  <c r="I3" i="34" s="1"/>
  <c r="C3" i="34"/>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2" i="34"/>
  <c r="B3" i="34"/>
  <c r="B4" i="34"/>
  <c r="B5" i="34"/>
  <c r="B6" i="34"/>
  <c r="B7" i="34"/>
  <c r="B8" i="34"/>
  <c r="B9" i="34"/>
  <c r="B10" i="34"/>
  <c r="B11" i="34"/>
  <c r="B12" i="34"/>
  <c r="B13" i="34"/>
  <c r="B14" i="34"/>
  <c r="B15" i="34"/>
  <c r="B16" i="34"/>
  <c r="B17" i="34"/>
  <c r="B18" i="34"/>
  <c r="B19" i="34"/>
  <c r="B20" i="34"/>
  <c r="B21" i="34"/>
  <c r="B22" i="34"/>
  <c r="B23" i="34"/>
  <c r="B24" i="34"/>
  <c r="B25" i="34"/>
  <c r="B26" i="34"/>
  <c r="B27" i="34"/>
  <c r="B28" i="34"/>
  <c r="B29" i="34"/>
  <c r="B30" i="34"/>
  <c r="B31" i="34"/>
  <c r="B2" i="34"/>
  <c r="L3" i="34" l="1"/>
  <c r="K3" i="34"/>
  <c r="J3" i="34"/>
  <c r="E5" i="34" l="1"/>
  <c r="E19" i="34"/>
  <c r="G3" i="34"/>
  <c r="G2" i="34"/>
  <c r="E4" i="34" s="1"/>
  <c r="F26" i="33" a="1"/>
  <c r="F26" i="33" s="1"/>
  <c r="F27" i="33"/>
  <c r="F28" i="33"/>
  <c r="F29" i="33"/>
  <c r="F30" i="33"/>
  <c r="F31" i="33"/>
  <c r="F32" i="33"/>
  <c r="F33" i="33"/>
  <c r="F34" i="33"/>
  <c r="F35" i="33"/>
  <c r="F36" i="33"/>
  <c r="F37" i="33"/>
  <c r="G26" i="33"/>
  <c r="G27" i="33"/>
  <c r="G28" i="33"/>
  <c r="H28" i="33" s="1"/>
  <c r="G29" i="33"/>
  <c r="G30" i="33"/>
  <c r="G31" i="33"/>
  <c r="G32" i="33"/>
  <c r="G33" i="33"/>
  <c r="G34" i="33"/>
  <c r="G35" i="33"/>
  <c r="H35" i="33" s="1"/>
  <c r="G36" i="33"/>
  <c r="H36" i="33" s="1"/>
  <c r="G37" i="33"/>
  <c r="H37" i="33" s="1"/>
  <c r="H26" i="33" a="1"/>
  <c r="H26" i="33" s="1"/>
  <c r="H29" i="33"/>
  <c r="H30" i="33"/>
  <c r="H32" i="33"/>
  <c r="H33" i="33"/>
  <c r="H34" i="33"/>
  <c r="H14" i="33" a="1"/>
  <c r="H14" i="33" s="1"/>
  <c r="H19" i="33"/>
  <c r="H20" i="33"/>
  <c r="H21" i="33"/>
  <c r="H22" i="33"/>
  <c r="H23" i="33"/>
  <c r="H24" i="33"/>
  <c r="H25" i="33"/>
  <c r="H2" i="33" a="1"/>
  <c r="H2" i="33" s="1"/>
  <c r="H5" i="33"/>
  <c r="H6" i="33"/>
  <c r="H7" i="33"/>
  <c r="H8" i="33"/>
  <c r="H9" i="33"/>
  <c r="H10" i="33"/>
  <c r="H11" i="33"/>
  <c r="H12" i="33"/>
  <c r="H13" i="33"/>
  <c r="G3" i="33"/>
  <c r="G4" i="33"/>
  <c r="G5" i="33"/>
  <c r="G6" i="33"/>
  <c r="G7" i="33"/>
  <c r="G8" i="33"/>
  <c r="G9" i="33"/>
  <c r="G10" i="33"/>
  <c r="G11" i="33"/>
  <c r="G12" i="33"/>
  <c r="G13" i="33"/>
  <c r="G14" i="33"/>
  <c r="G15" i="33"/>
  <c r="G16" i="33"/>
  <c r="G17" i="33"/>
  <c r="G18" i="33"/>
  <c r="G19" i="33"/>
  <c r="G20" i="33"/>
  <c r="G21" i="33"/>
  <c r="G22" i="33"/>
  <c r="G23" i="33"/>
  <c r="G24" i="33"/>
  <c r="G25" i="33"/>
  <c r="G2" i="33"/>
  <c r="F14" i="33" a="1"/>
  <c r="F14" i="33" s="1"/>
  <c r="F18" i="33"/>
  <c r="F19" i="33"/>
  <c r="F20" i="33"/>
  <c r="F21" i="33"/>
  <c r="F22" i="33"/>
  <c r="F23" i="33"/>
  <c r="F24" i="33"/>
  <c r="F25" i="33"/>
  <c r="F2" i="33" a="1"/>
  <c r="F2" i="33" s="1"/>
  <c r="F5" i="33"/>
  <c r="F6" i="33"/>
  <c r="F7" i="33"/>
  <c r="F8" i="33"/>
  <c r="F9" i="33"/>
  <c r="F10" i="33"/>
  <c r="F11" i="33"/>
  <c r="F12" i="33"/>
  <c r="F13" i="33"/>
  <c r="M20" i="33"/>
  <c r="M21" i="33"/>
  <c r="M22" i="33"/>
  <c r="M23" i="33"/>
  <c r="M24" i="33"/>
  <c r="M25" i="33"/>
  <c r="M26" i="33"/>
  <c r="M27" i="33"/>
  <c r="M28" i="33"/>
  <c r="M29" i="33"/>
  <c r="M30" i="33"/>
  <c r="M19" i="33"/>
  <c r="L18" i="33"/>
  <c r="K18" i="33"/>
  <c r="B3" i="33"/>
  <c r="B4" i="33"/>
  <c r="B5" i="33"/>
  <c r="B6" i="33"/>
  <c r="B7" i="33"/>
  <c r="B8" i="33"/>
  <c r="B9" i="33"/>
  <c r="B10" i="33"/>
  <c r="B11" i="33"/>
  <c r="B12" i="33"/>
  <c r="B13" i="33"/>
  <c r="B14" i="33"/>
  <c r="B15" i="33"/>
  <c r="B16" i="33"/>
  <c r="B17" i="33"/>
  <c r="B18" i="33"/>
  <c r="B19" i="33"/>
  <c r="B20" i="33"/>
  <c r="B21" i="33"/>
  <c r="B22" i="33"/>
  <c r="B23" i="33"/>
  <c r="B24" i="33"/>
  <c r="B25" i="33"/>
  <c r="B2" i="33"/>
  <c r="M23" i="32" a="1"/>
  <c r="M23" i="32" s="1"/>
  <c r="M36" i="32" a="1"/>
  <c r="M36" i="32"/>
  <c r="L36" i="32" a="1"/>
  <c r="L36" i="32" s="1"/>
  <c r="L32" i="32" a="1"/>
  <c r="L32" i="32" s="1"/>
  <c r="P25" i="32" a="1"/>
  <c r="P25" i="32" s="1"/>
  <c r="P36" i="32" s="1" a="1"/>
  <c r="P36" i="32" s="1"/>
  <c r="N36" i="32" s="1"/>
  <c r="C3" i="32"/>
  <c r="C4" i="32"/>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C172" i="32"/>
  <c r="C173" i="32"/>
  <c r="C174" i="32"/>
  <c r="C175" i="32"/>
  <c r="C176" i="32"/>
  <c r="C177" i="32"/>
  <c r="C178" i="32"/>
  <c r="C179" i="32"/>
  <c r="C180" i="32"/>
  <c r="C181" i="32"/>
  <c r="C182" i="32"/>
  <c r="C183" i="32"/>
  <c r="C184" i="32"/>
  <c r="C185" i="32"/>
  <c r="C186" i="32"/>
  <c r="C187" i="32"/>
  <c r="C188" i="32"/>
  <c r="C189" i="32"/>
  <c r="C190" i="32"/>
  <c r="C191" i="32"/>
  <c r="C192" i="32"/>
  <c r="C193" i="32"/>
  <c r="C194" i="32"/>
  <c r="C195" i="32"/>
  <c r="C196" i="32"/>
  <c r="C197" i="32"/>
  <c r="C198" i="32"/>
  <c r="C199" i="32"/>
  <c r="C200" i="32"/>
  <c r="C201" i="32"/>
  <c r="C202" i="32"/>
  <c r="C203" i="32"/>
  <c r="C204" i="32"/>
  <c r="C205" i="32"/>
  <c r="C206" i="32"/>
  <c r="C207" i="32"/>
  <c r="C208" i="32"/>
  <c r="C209" i="32"/>
  <c r="C210" i="32"/>
  <c r="C211" i="32"/>
  <c r="C212" i="32"/>
  <c r="C213" i="32"/>
  <c r="C214" i="32"/>
  <c r="C215" i="32"/>
  <c r="C216" i="32"/>
  <c r="C217" i="32"/>
  <c r="C218" i="32"/>
  <c r="C219" i="32"/>
  <c r="C220" i="32"/>
  <c r="C221" i="32"/>
  <c r="C222" i="32"/>
  <c r="C223" i="32"/>
  <c r="C224" i="32"/>
  <c r="C225" i="32"/>
  <c r="C226" i="32"/>
  <c r="C227" i="32"/>
  <c r="C228" i="32"/>
  <c r="C229" i="32"/>
  <c r="C230" i="32"/>
  <c r="C231" i="32"/>
  <c r="C232" i="32"/>
  <c r="C233" i="32"/>
  <c r="C234" i="32"/>
  <c r="C235" i="32"/>
  <c r="C236" i="32"/>
  <c r="C237" i="32"/>
  <c r="C238" i="32"/>
  <c r="C239" i="32"/>
  <c r="C240" i="32"/>
  <c r="C241" i="32"/>
  <c r="C242" i="32"/>
  <c r="C243" i="32"/>
  <c r="C244" i="32"/>
  <c r="C245" i="32"/>
  <c r="C246" i="32"/>
  <c r="C247" i="32"/>
  <c r="C248" i="32"/>
  <c r="C249" i="32"/>
  <c r="C250" i="32"/>
  <c r="C251" i="32"/>
  <c r="C252" i="32"/>
  <c r="C253" i="32"/>
  <c r="C254" i="32"/>
  <c r="C255" i="32"/>
  <c r="C256" i="32"/>
  <c r="C257" i="32"/>
  <c r="C258" i="32"/>
  <c r="C259" i="32"/>
  <c r="C260" i="32"/>
  <c r="C261" i="32"/>
  <c r="C262" i="32"/>
  <c r="C263" i="32"/>
  <c r="C264" i="32"/>
  <c r="C265" i="32"/>
  <c r="C266" i="32"/>
  <c r="C267" i="32"/>
  <c r="C268" i="32"/>
  <c r="C269" i="32"/>
  <c r="C270" i="32"/>
  <c r="C271" i="32"/>
  <c r="C272" i="32"/>
  <c r="C273" i="32"/>
  <c r="C274" i="32"/>
  <c r="C275" i="32"/>
  <c r="C276" i="32"/>
  <c r="C277" i="32"/>
  <c r="C278" i="32"/>
  <c r="C279" i="32"/>
  <c r="C280" i="32"/>
  <c r="C281" i="32"/>
  <c r="C282" i="32"/>
  <c r="C283" i="32"/>
  <c r="C284" i="32"/>
  <c r="C285" i="32"/>
  <c r="C286" i="32"/>
  <c r="C287" i="32"/>
  <c r="C288" i="32"/>
  <c r="C289" i="32"/>
  <c r="C290" i="32"/>
  <c r="C291" i="32"/>
  <c r="C292" i="32"/>
  <c r="C293" i="32"/>
  <c r="C294" i="32"/>
  <c r="C295" i="32"/>
  <c r="C296" i="32"/>
  <c r="C297" i="32"/>
  <c r="C298" i="32"/>
  <c r="C299" i="32"/>
  <c r="C300" i="32"/>
  <c r="C301" i="32"/>
  <c r="C302" i="32"/>
  <c r="C303" i="32"/>
  <c r="C304" i="32"/>
  <c r="C305" i="32"/>
  <c r="C306" i="32"/>
  <c r="C307" i="32"/>
  <c r="C308" i="32"/>
  <c r="C309" i="32"/>
  <c r="C310" i="32"/>
  <c r="C311" i="32"/>
  <c r="C312" i="32"/>
  <c r="C313" i="32"/>
  <c r="C314" i="32"/>
  <c r="C315" i="32"/>
  <c r="C316" i="32"/>
  <c r="C317" i="32"/>
  <c r="C318" i="32"/>
  <c r="C319" i="32"/>
  <c r="C320" i="32"/>
  <c r="C321" i="32"/>
  <c r="C322" i="32"/>
  <c r="C323" i="32"/>
  <c r="C324" i="32"/>
  <c r="C325" i="32"/>
  <c r="C326" i="32"/>
  <c r="C327" i="32"/>
  <c r="C328" i="32"/>
  <c r="C329" i="32"/>
  <c r="C330" i="32"/>
  <c r="C331" i="32"/>
  <c r="C332" i="32"/>
  <c r="C333" i="32"/>
  <c r="C334" i="32"/>
  <c r="C335" i="32"/>
  <c r="C336" i="32"/>
  <c r="C337" i="32"/>
  <c r="C338" i="32"/>
  <c r="C339" i="32"/>
  <c r="C340" i="32"/>
  <c r="C341" i="32"/>
  <c r="C342" i="32"/>
  <c r="C343" i="32"/>
  <c r="C344" i="32"/>
  <c r="C345" i="32"/>
  <c r="C346" i="32"/>
  <c r="C347" i="32"/>
  <c r="C348" i="32"/>
  <c r="C349" i="32"/>
  <c r="C350" i="32"/>
  <c r="C351" i="32"/>
  <c r="C352" i="32"/>
  <c r="C353" i="32"/>
  <c r="C354" i="32"/>
  <c r="C355" i="32"/>
  <c r="C356" i="32"/>
  <c r="C357" i="32"/>
  <c r="C358" i="32"/>
  <c r="C359" i="32"/>
  <c r="C360" i="32"/>
  <c r="C361" i="32"/>
  <c r="C362" i="32"/>
  <c r="C363" i="32"/>
  <c r="C364" i="32"/>
  <c r="C365" i="32"/>
  <c r="C366" i="32"/>
  <c r="C367" i="32"/>
  <c r="C368" i="32"/>
  <c r="C369" i="32"/>
  <c r="C370" i="32"/>
  <c r="C371" i="32"/>
  <c r="C372" i="32"/>
  <c r="C373" i="32"/>
  <c r="C374" i="32"/>
  <c r="C375" i="32"/>
  <c r="C376" i="32"/>
  <c r="C377" i="32"/>
  <c r="C378" i="32"/>
  <c r="C379" i="32"/>
  <c r="C380" i="32"/>
  <c r="C381" i="32"/>
  <c r="C382" i="32"/>
  <c r="C383" i="32"/>
  <c r="C384" i="32"/>
  <c r="C385" i="32"/>
  <c r="C386" i="32"/>
  <c r="C387" i="32"/>
  <c r="C388" i="32"/>
  <c r="C389" i="32"/>
  <c r="C390" i="32"/>
  <c r="C391" i="32"/>
  <c r="C392" i="32"/>
  <c r="C393" i="32"/>
  <c r="C394" i="32"/>
  <c r="C395" i="32"/>
  <c r="C396" i="32"/>
  <c r="C397" i="32"/>
  <c r="C398" i="32"/>
  <c r="C399" i="32"/>
  <c r="C400" i="32"/>
  <c r="C401" i="32"/>
  <c r="C402" i="32"/>
  <c r="C403" i="32"/>
  <c r="C404" i="32"/>
  <c r="C405" i="32"/>
  <c r="C406" i="32"/>
  <c r="C407" i="32"/>
  <c r="C408" i="32"/>
  <c r="C409" i="32"/>
  <c r="C410" i="32"/>
  <c r="C411" i="32"/>
  <c r="C412" i="32"/>
  <c r="C413" i="32"/>
  <c r="C414" i="32"/>
  <c r="C415" i="32"/>
  <c r="C416" i="32"/>
  <c r="C417" i="32"/>
  <c r="C418" i="32"/>
  <c r="C419" i="32"/>
  <c r="C420" i="32"/>
  <c r="C421" i="32"/>
  <c r="C422" i="32"/>
  <c r="C423" i="32"/>
  <c r="C424" i="32"/>
  <c r="C425" i="32"/>
  <c r="C426" i="32"/>
  <c r="C427" i="32"/>
  <c r="C428" i="32"/>
  <c r="C429" i="32"/>
  <c r="C430" i="32"/>
  <c r="C431" i="32"/>
  <c r="C432" i="32"/>
  <c r="C433" i="32"/>
  <c r="C434" i="32"/>
  <c r="C435" i="32"/>
  <c r="C436" i="32"/>
  <c r="C437" i="32"/>
  <c r="C438" i="32"/>
  <c r="C439" i="32"/>
  <c r="C440" i="32"/>
  <c r="C441" i="32"/>
  <c r="C442" i="32"/>
  <c r="C443" i="32"/>
  <c r="C444" i="32"/>
  <c r="C445" i="32"/>
  <c r="C446" i="32"/>
  <c r="C447" i="32"/>
  <c r="C448" i="32"/>
  <c r="C449" i="32"/>
  <c r="C450" i="32"/>
  <c r="C451" i="32"/>
  <c r="C452" i="32"/>
  <c r="C453" i="32"/>
  <c r="C454" i="32"/>
  <c r="C455" i="32"/>
  <c r="C456" i="32"/>
  <c r="C457" i="32"/>
  <c r="C458" i="32"/>
  <c r="C459" i="32"/>
  <c r="C460" i="32"/>
  <c r="C461" i="32"/>
  <c r="C462" i="32"/>
  <c r="C463" i="32"/>
  <c r="C464" i="32"/>
  <c r="C465" i="32"/>
  <c r="C466" i="32"/>
  <c r="C467" i="32"/>
  <c r="C468" i="32"/>
  <c r="C469" i="32"/>
  <c r="C470" i="32"/>
  <c r="C471" i="32"/>
  <c r="C472" i="32"/>
  <c r="C473" i="32"/>
  <c r="C474" i="32"/>
  <c r="C475" i="32"/>
  <c r="C476" i="32"/>
  <c r="C477" i="32"/>
  <c r="C478" i="32"/>
  <c r="C479" i="32"/>
  <c r="C480" i="32"/>
  <c r="C481" i="32"/>
  <c r="C482" i="32"/>
  <c r="C483" i="32"/>
  <c r="C484" i="32"/>
  <c r="C485" i="32"/>
  <c r="C486" i="32"/>
  <c r="C487" i="32"/>
  <c r="C488" i="32"/>
  <c r="C489" i="32"/>
  <c r="C490" i="32"/>
  <c r="C491" i="32"/>
  <c r="C492" i="32"/>
  <c r="C493" i="32"/>
  <c r="C494" i="32"/>
  <c r="C495" i="32"/>
  <c r="C496" i="32"/>
  <c r="C497" i="32"/>
  <c r="C498" i="32"/>
  <c r="C499" i="32"/>
  <c r="C500" i="32"/>
  <c r="C501" i="32"/>
  <c r="C502" i="32"/>
  <c r="C503" i="32"/>
  <c r="C504" i="32"/>
  <c r="C505" i="32"/>
  <c r="C506" i="32"/>
  <c r="C507" i="32"/>
  <c r="C508" i="32"/>
  <c r="C509" i="32"/>
  <c r="C510" i="32"/>
  <c r="C511" i="32"/>
  <c r="C512" i="32"/>
  <c r="C513" i="32"/>
  <c r="C514" i="32"/>
  <c r="C515" i="32"/>
  <c r="C516" i="32"/>
  <c r="C517" i="32"/>
  <c r="C518" i="32"/>
  <c r="C519" i="32"/>
  <c r="C520" i="32"/>
  <c r="C521" i="32"/>
  <c r="C522" i="32"/>
  <c r="C523" i="32"/>
  <c r="C524" i="32"/>
  <c r="C525" i="32"/>
  <c r="C526" i="32"/>
  <c r="C527" i="32"/>
  <c r="C528" i="32"/>
  <c r="C529" i="32"/>
  <c r="C530" i="32"/>
  <c r="C531" i="32"/>
  <c r="C532" i="32"/>
  <c r="C533" i="32"/>
  <c r="C534" i="32"/>
  <c r="C535" i="32"/>
  <c r="C536" i="32"/>
  <c r="C537" i="32"/>
  <c r="C538" i="32"/>
  <c r="C539" i="32"/>
  <c r="C540" i="32"/>
  <c r="C541" i="32"/>
  <c r="C542" i="32"/>
  <c r="C543" i="32"/>
  <c r="C544" i="32"/>
  <c r="C545" i="32"/>
  <c r="C546" i="32"/>
  <c r="C547" i="32"/>
  <c r="C548" i="32"/>
  <c r="C549" i="32"/>
  <c r="C550" i="32"/>
  <c r="C551" i="32"/>
  <c r="C552" i="32"/>
  <c r="C553" i="32"/>
  <c r="C554" i="32"/>
  <c r="C555" i="32"/>
  <c r="C556" i="32"/>
  <c r="C557" i="32"/>
  <c r="C558" i="32"/>
  <c r="C559" i="32"/>
  <c r="C560" i="32"/>
  <c r="C561" i="32"/>
  <c r="C562" i="32"/>
  <c r="C563" i="32"/>
  <c r="C564" i="32"/>
  <c r="C565" i="32"/>
  <c r="C566" i="32"/>
  <c r="C567" i="32"/>
  <c r="C568" i="32"/>
  <c r="C569" i="32"/>
  <c r="C570" i="32"/>
  <c r="C571" i="32"/>
  <c r="C572" i="32"/>
  <c r="C573" i="32"/>
  <c r="C574" i="32"/>
  <c r="C575" i="32"/>
  <c r="C576" i="32"/>
  <c r="C577" i="32"/>
  <c r="C578" i="32"/>
  <c r="C579" i="32"/>
  <c r="C580" i="32"/>
  <c r="C581" i="32"/>
  <c r="C582" i="32"/>
  <c r="C583" i="32"/>
  <c r="C584" i="32"/>
  <c r="C585" i="32"/>
  <c r="C586" i="32"/>
  <c r="C587" i="32"/>
  <c r="C588" i="32"/>
  <c r="C589" i="32"/>
  <c r="C590" i="32"/>
  <c r="C591" i="32"/>
  <c r="C592" i="32"/>
  <c r="C593" i="32"/>
  <c r="C594" i="32"/>
  <c r="C595" i="32"/>
  <c r="C596" i="32"/>
  <c r="C597" i="32"/>
  <c r="C598" i="32"/>
  <c r="C599" i="32"/>
  <c r="C600" i="32"/>
  <c r="C601" i="32"/>
  <c r="C602" i="32"/>
  <c r="C603" i="32"/>
  <c r="C604" i="32"/>
  <c r="C605" i="32"/>
  <c r="C606" i="32"/>
  <c r="C607" i="32"/>
  <c r="C608" i="32"/>
  <c r="C609" i="32"/>
  <c r="C610" i="32"/>
  <c r="C611" i="32"/>
  <c r="C612" i="32"/>
  <c r="C613" i="32"/>
  <c r="C614" i="32"/>
  <c r="C615" i="32"/>
  <c r="C616" i="32"/>
  <c r="C617" i="32"/>
  <c r="C618" i="32"/>
  <c r="C619" i="32"/>
  <c r="C620" i="32"/>
  <c r="C621" i="32"/>
  <c r="C622" i="32"/>
  <c r="C623" i="32"/>
  <c r="C624" i="32"/>
  <c r="C625" i="32"/>
  <c r="C626" i="32"/>
  <c r="C627" i="32"/>
  <c r="C628" i="32"/>
  <c r="C629" i="32"/>
  <c r="C630" i="32"/>
  <c r="C631" i="32"/>
  <c r="C632" i="32"/>
  <c r="C633" i="32"/>
  <c r="C634" i="32"/>
  <c r="C635" i="32"/>
  <c r="C636" i="32"/>
  <c r="C637" i="32"/>
  <c r="C638" i="32"/>
  <c r="C639" i="32"/>
  <c r="C640" i="32"/>
  <c r="C641" i="32"/>
  <c r="C642" i="32"/>
  <c r="C643" i="32"/>
  <c r="C644" i="32"/>
  <c r="C645" i="32"/>
  <c r="C646" i="32"/>
  <c r="C647" i="32"/>
  <c r="C648" i="32"/>
  <c r="C649" i="32"/>
  <c r="C650" i="32"/>
  <c r="C651" i="32"/>
  <c r="C652" i="32"/>
  <c r="C653" i="32"/>
  <c r="C654" i="32"/>
  <c r="C655" i="32"/>
  <c r="C656" i="32"/>
  <c r="C657" i="32"/>
  <c r="C658" i="32"/>
  <c r="C659" i="32"/>
  <c r="C660" i="32"/>
  <c r="C661" i="32"/>
  <c r="C662" i="32"/>
  <c r="C663" i="32"/>
  <c r="C664" i="32"/>
  <c r="C665" i="32"/>
  <c r="C666" i="32"/>
  <c r="C667" i="32"/>
  <c r="C668" i="32"/>
  <c r="C669" i="32"/>
  <c r="C670" i="32"/>
  <c r="C671" i="32"/>
  <c r="C672" i="32"/>
  <c r="C673" i="32"/>
  <c r="C674" i="32"/>
  <c r="C675" i="32"/>
  <c r="C676" i="32"/>
  <c r="C677" i="32"/>
  <c r="C678" i="32"/>
  <c r="C679" i="32"/>
  <c r="C680" i="32"/>
  <c r="C681" i="32"/>
  <c r="C682" i="32"/>
  <c r="C683" i="32"/>
  <c r="C684" i="32"/>
  <c r="C685" i="32"/>
  <c r="C686" i="32"/>
  <c r="C687" i="32"/>
  <c r="C688" i="32"/>
  <c r="C689" i="32"/>
  <c r="C690" i="32"/>
  <c r="C691" i="32"/>
  <c r="C692" i="32"/>
  <c r="C693" i="32"/>
  <c r="C694" i="32"/>
  <c r="C695" i="32"/>
  <c r="C696" i="32"/>
  <c r="C697" i="32"/>
  <c r="C698" i="32"/>
  <c r="C699" i="32"/>
  <c r="C700" i="32"/>
  <c r="C701" i="32"/>
  <c r="C702" i="32"/>
  <c r="C703" i="32"/>
  <c r="C704" i="32"/>
  <c r="C705" i="32"/>
  <c r="C706" i="32"/>
  <c r="C707" i="32"/>
  <c r="C708" i="32"/>
  <c r="C709" i="32"/>
  <c r="C710" i="32"/>
  <c r="C711" i="32"/>
  <c r="C712" i="32"/>
  <c r="C713" i="32"/>
  <c r="C714" i="32"/>
  <c r="C715" i="32"/>
  <c r="C716" i="32"/>
  <c r="C717" i="32"/>
  <c r="C718" i="32"/>
  <c r="C719" i="32"/>
  <c r="C720" i="32"/>
  <c r="C721" i="32"/>
  <c r="C722" i="32"/>
  <c r="C723" i="32"/>
  <c r="C724" i="32"/>
  <c r="C725" i="32"/>
  <c r="C726" i="32"/>
  <c r="C727" i="32"/>
  <c r="C728" i="32"/>
  <c r="C729" i="32"/>
  <c r="C730" i="32"/>
  <c r="C731" i="32"/>
  <c r="C732" i="32"/>
  <c r="C733" i="32"/>
  <c r="C734" i="32"/>
  <c r="C735" i="32"/>
  <c r="C736" i="32"/>
  <c r="C737" i="32"/>
  <c r="C738" i="32"/>
  <c r="C739" i="32"/>
  <c r="C740" i="32"/>
  <c r="C741" i="32"/>
  <c r="C742" i="32"/>
  <c r="C743" i="32"/>
  <c r="C744" i="32"/>
  <c r="C745" i="32"/>
  <c r="C746" i="32"/>
  <c r="C747" i="32"/>
  <c r="C748" i="32"/>
  <c r="C749" i="32"/>
  <c r="C750" i="32"/>
  <c r="C751" i="32"/>
  <c r="C752" i="32"/>
  <c r="C753" i="32"/>
  <c r="C754" i="32"/>
  <c r="C755" i="32"/>
  <c r="C756" i="32"/>
  <c r="C757" i="32"/>
  <c r="C758" i="32"/>
  <c r="C759" i="32"/>
  <c r="C760" i="32"/>
  <c r="C761" i="32"/>
  <c r="C762" i="32"/>
  <c r="C763" i="32"/>
  <c r="C764" i="32"/>
  <c r="C765" i="32"/>
  <c r="C766" i="32"/>
  <c r="C767" i="32"/>
  <c r="C768" i="32"/>
  <c r="C769" i="32"/>
  <c r="C770" i="32"/>
  <c r="C771" i="32"/>
  <c r="C772" i="32"/>
  <c r="C773" i="32"/>
  <c r="C774" i="32"/>
  <c r="C775" i="32"/>
  <c r="C776" i="32"/>
  <c r="C777" i="32"/>
  <c r="C778" i="32"/>
  <c r="C779" i="32"/>
  <c r="C780" i="32"/>
  <c r="C781" i="32"/>
  <c r="C782" i="32"/>
  <c r="C783" i="32"/>
  <c r="C784" i="32"/>
  <c r="C785" i="32"/>
  <c r="C786" i="32"/>
  <c r="C787" i="32"/>
  <c r="C788" i="32"/>
  <c r="C789" i="32"/>
  <c r="C790" i="32"/>
  <c r="C791" i="32"/>
  <c r="C792" i="32"/>
  <c r="C793" i="32"/>
  <c r="C794" i="32"/>
  <c r="C795" i="32"/>
  <c r="C796" i="32"/>
  <c r="C797" i="32"/>
  <c r="C798" i="32"/>
  <c r="C799" i="32"/>
  <c r="C800" i="32"/>
  <c r="C801" i="32"/>
  <c r="C802" i="32"/>
  <c r="C803" i="32"/>
  <c r="C804" i="32"/>
  <c r="C805" i="32"/>
  <c r="C806" i="32"/>
  <c r="C807" i="32"/>
  <c r="C808" i="32"/>
  <c r="C809" i="32"/>
  <c r="C810" i="32"/>
  <c r="C811" i="32"/>
  <c r="C812" i="32"/>
  <c r="C813" i="32"/>
  <c r="C814" i="32"/>
  <c r="C815" i="32"/>
  <c r="C816" i="32"/>
  <c r="C817" i="32"/>
  <c r="C818" i="32"/>
  <c r="C819" i="32"/>
  <c r="C820" i="32"/>
  <c r="C821" i="32"/>
  <c r="C822" i="32"/>
  <c r="C823" i="32"/>
  <c r="C824" i="32"/>
  <c r="C825" i="32"/>
  <c r="C826" i="32"/>
  <c r="C827" i="32"/>
  <c r="C828" i="32"/>
  <c r="C829" i="32"/>
  <c r="C830" i="32"/>
  <c r="C831" i="32"/>
  <c r="C832" i="32"/>
  <c r="C833" i="32"/>
  <c r="C834" i="32"/>
  <c r="C835" i="32"/>
  <c r="C836" i="32"/>
  <c r="C837" i="32"/>
  <c r="C838" i="32"/>
  <c r="C839" i="32"/>
  <c r="C840" i="32"/>
  <c r="C841" i="32"/>
  <c r="C842" i="32"/>
  <c r="C843" i="32"/>
  <c r="C844" i="32"/>
  <c r="C845" i="32"/>
  <c r="C846" i="32"/>
  <c r="C847" i="32"/>
  <c r="C848" i="32"/>
  <c r="C849" i="32"/>
  <c r="C850" i="32"/>
  <c r="C851" i="32"/>
  <c r="C852" i="32"/>
  <c r="C853" i="32"/>
  <c r="C854" i="32"/>
  <c r="C855" i="32"/>
  <c r="C856" i="32"/>
  <c r="C857" i="32"/>
  <c r="C858" i="32"/>
  <c r="C859" i="32"/>
  <c r="C860" i="32"/>
  <c r="C861" i="32"/>
  <c r="C862" i="32"/>
  <c r="C863" i="32"/>
  <c r="C864" i="32"/>
  <c r="C865" i="32"/>
  <c r="C866" i="32"/>
  <c r="C867" i="32"/>
  <c r="C868" i="32"/>
  <c r="C869" i="32"/>
  <c r="C870" i="32"/>
  <c r="C871" i="32"/>
  <c r="C872" i="32"/>
  <c r="C873" i="32"/>
  <c r="C874" i="32"/>
  <c r="C875" i="32"/>
  <c r="C876" i="32"/>
  <c r="C877" i="32"/>
  <c r="C878" i="32"/>
  <c r="C879" i="32"/>
  <c r="C880" i="32"/>
  <c r="C881" i="32"/>
  <c r="C882" i="32"/>
  <c r="C883" i="32"/>
  <c r="C884" i="32"/>
  <c r="C885" i="32"/>
  <c r="C886" i="32"/>
  <c r="C887" i="32"/>
  <c r="C888" i="32"/>
  <c r="C889" i="32"/>
  <c r="C890" i="32"/>
  <c r="C891" i="32"/>
  <c r="C892" i="32"/>
  <c r="C893" i="32"/>
  <c r="C894" i="32"/>
  <c r="C895" i="32"/>
  <c r="C896" i="32"/>
  <c r="C897" i="32"/>
  <c r="C898" i="32"/>
  <c r="C899" i="32"/>
  <c r="C900" i="32"/>
  <c r="C901" i="32"/>
  <c r="C902" i="32"/>
  <c r="C903" i="32"/>
  <c r="C904" i="32"/>
  <c r="C905" i="32"/>
  <c r="C906" i="32"/>
  <c r="C907" i="32"/>
  <c r="C908" i="32"/>
  <c r="C909" i="32"/>
  <c r="C910" i="32"/>
  <c r="C911" i="32"/>
  <c r="C912" i="32"/>
  <c r="C913" i="32"/>
  <c r="C914" i="32"/>
  <c r="C915" i="32"/>
  <c r="C916" i="32"/>
  <c r="C917" i="32"/>
  <c r="C918" i="32"/>
  <c r="C919" i="32"/>
  <c r="C920" i="32"/>
  <c r="C921" i="32"/>
  <c r="C922" i="32"/>
  <c r="C923" i="32"/>
  <c r="C924" i="32"/>
  <c r="C925" i="32"/>
  <c r="C926" i="32"/>
  <c r="C927" i="32"/>
  <c r="C928" i="32"/>
  <c r="C929" i="32"/>
  <c r="C930" i="32"/>
  <c r="C931" i="32"/>
  <c r="C932" i="32"/>
  <c r="C933" i="32"/>
  <c r="C934" i="32"/>
  <c r="C935" i="32"/>
  <c r="C936" i="32"/>
  <c r="C937" i="32"/>
  <c r="C938" i="32"/>
  <c r="C939" i="32"/>
  <c r="C940" i="32"/>
  <c r="C941" i="32"/>
  <c r="C942" i="32"/>
  <c r="C943" i="32"/>
  <c r="C944" i="32"/>
  <c r="C945" i="32"/>
  <c r="C946" i="32"/>
  <c r="C947" i="32"/>
  <c r="C948" i="32"/>
  <c r="C949" i="32"/>
  <c r="C950" i="32"/>
  <c r="C951" i="32"/>
  <c r="C952" i="32"/>
  <c r="C953" i="32"/>
  <c r="C954" i="32"/>
  <c r="C955" i="32"/>
  <c r="C956" i="32"/>
  <c r="C957" i="32"/>
  <c r="C958" i="32"/>
  <c r="C959" i="32"/>
  <c r="C960" i="32"/>
  <c r="C961" i="32"/>
  <c r="C962" i="32"/>
  <c r="C963" i="32"/>
  <c r="C964" i="32"/>
  <c r="C965" i="32"/>
  <c r="C966" i="32"/>
  <c r="C967" i="32"/>
  <c r="C968" i="32"/>
  <c r="C969" i="32"/>
  <c r="C970" i="32"/>
  <c r="C971" i="32"/>
  <c r="C972" i="32"/>
  <c r="C973" i="32"/>
  <c r="C974" i="32"/>
  <c r="C975" i="32"/>
  <c r="C976" i="32"/>
  <c r="C977" i="32"/>
  <c r="C978" i="32"/>
  <c r="C979" i="32"/>
  <c r="C980" i="32"/>
  <c r="C981" i="32"/>
  <c r="C982" i="32"/>
  <c r="C983" i="32"/>
  <c r="C984" i="32"/>
  <c r="C985" i="32"/>
  <c r="C986" i="32"/>
  <c r="C987" i="32"/>
  <c r="C988" i="32"/>
  <c r="C989" i="32"/>
  <c r="C990" i="32"/>
  <c r="C991" i="32"/>
  <c r="C992" i="32"/>
  <c r="C993" i="32"/>
  <c r="C994" i="32"/>
  <c r="C995" i="32"/>
  <c r="C996" i="32"/>
  <c r="C997" i="32"/>
  <c r="C998" i="32"/>
  <c r="C999" i="32"/>
  <c r="C1000" i="32"/>
  <c r="C1001" i="32"/>
  <c r="C1002" i="32"/>
  <c r="C1003" i="32"/>
  <c r="C1004" i="32"/>
  <c r="C1005" i="32"/>
  <c r="C1006" i="32"/>
  <c r="C1007" i="32"/>
  <c r="C1008" i="32"/>
  <c r="C1009" i="32"/>
  <c r="C1010" i="32"/>
  <c r="C1011" i="32"/>
  <c r="C1012" i="32"/>
  <c r="C1013" i="32"/>
  <c r="C1014" i="32"/>
  <c r="C1015" i="32"/>
  <c r="C1016" i="32"/>
  <c r="C1017" i="32"/>
  <c r="C1018" i="32"/>
  <c r="C1019" i="32"/>
  <c r="C1020" i="32"/>
  <c r="C1021" i="32"/>
  <c r="C1022" i="32"/>
  <c r="C1023" i="32"/>
  <c r="C1024" i="32"/>
  <c r="C1025" i="32"/>
  <c r="C1026" i="32"/>
  <c r="C1027" i="32"/>
  <c r="C1028" i="32"/>
  <c r="C1029" i="32"/>
  <c r="C1030" i="32"/>
  <c r="C1031" i="32"/>
  <c r="C1032" i="32"/>
  <c r="C1033" i="32"/>
  <c r="C1034" i="32"/>
  <c r="C1035" i="32"/>
  <c r="C1036" i="32"/>
  <c r="C1037" i="32"/>
  <c r="C1038" i="32"/>
  <c r="C1039" i="32"/>
  <c r="C1040" i="32"/>
  <c r="C1041" i="32"/>
  <c r="C1042" i="32"/>
  <c r="C1043" i="32"/>
  <c r="C1044" i="32"/>
  <c r="C1045" i="32"/>
  <c r="C1046" i="32"/>
  <c r="C1047" i="32"/>
  <c r="C1048" i="32"/>
  <c r="C1049" i="32"/>
  <c r="C1050" i="32"/>
  <c r="C1051" i="32"/>
  <c r="C1052" i="32"/>
  <c r="C1053" i="32"/>
  <c r="C1054" i="32"/>
  <c r="C1055" i="32"/>
  <c r="C1056" i="32"/>
  <c r="C1057" i="32"/>
  <c r="C1058" i="32"/>
  <c r="C1059" i="32"/>
  <c r="C1060" i="32"/>
  <c r="C1061" i="32"/>
  <c r="C1062" i="32"/>
  <c r="C1063" i="32"/>
  <c r="C1064" i="32"/>
  <c r="C1065" i="32"/>
  <c r="C1066" i="32"/>
  <c r="C1067" i="32"/>
  <c r="C1068" i="32"/>
  <c r="C1069" i="32"/>
  <c r="C1070" i="32"/>
  <c r="C1071" i="32"/>
  <c r="C1072" i="32"/>
  <c r="C1073" i="32"/>
  <c r="C1074" i="32"/>
  <c r="C1075" i="32"/>
  <c r="C1076" i="32"/>
  <c r="C1077" i="32"/>
  <c r="C1078" i="32"/>
  <c r="C1079" i="32"/>
  <c r="C1080" i="32"/>
  <c r="C1081" i="32"/>
  <c r="C1082" i="32"/>
  <c r="C1083" i="32"/>
  <c r="C1084" i="32"/>
  <c r="C1085" i="32"/>
  <c r="C1086" i="32"/>
  <c r="C1087" i="32"/>
  <c r="C1088" i="32"/>
  <c r="C1089" i="32"/>
  <c r="C1090" i="32"/>
  <c r="C1091" i="32"/>
  <c r="C1092" i="32"/>
  <c r="C1093" i="32"/>
  <c r="C1094" i="32"/>
  <c r="C1095" i="32"/>
  <c r="C1096" i="32"/>
  <c r="C1097" i="32"/>
  <c r="C1098" i="32"/>
  <c r="C1099" i="32"/>
  <c r="C1100" i="32"/>
  <c r="C1101" i="32"/>
  <c r="C1102" i="32"/>
  <c r="C1103" i="32"/>
  <c r="C1104" i="32"/>
  <c r="C1105" i="32"/>
  <c r="C1106" i="32"/>
  <c r="C1107" i="32"/>
  <c r="C1108" i="32"/>
  <c r="C1109" i="32"/>
  <c r="C1110" i="32"/>
  <c r="C1111" i="32"/>
  <c r="C1112" i="32"/>
  <c r="C1113" i="32"/>
  <c r="C1114" i="32"/>
  <c r="C1115" i="32"/>
  <c r="C1116" i="32"/>
  <c r="C1117" i="32"/>
  <c r="C1118" i="32"/>
  <c r="C1119" i="32"/>
  <c r="C1120" i="32"/>
  <c r="C1121" i="32"/>
  <c r="C1122" i="32"/>
  <c r="C1123" i="32"/>
  <c r="C1124" i="32"/>
  <c r="C1125" i="32"/>
  <c r="C1126" i="32"/>
  <c r="C1127" i="32"/>
  <c r="C1128" i="32"/>
  <c r="C1129" i="32"/>
  <c r="C1130" i="32"/>
  <c r="C1131" i="32"/>
  <c r="C1132" i="32"/>
  <c r="C1133" i="32"/>
  <c r="C1134" i="32"/>
  <c r="C1135" i="32"/>
  <c r="C1136" i="32"/>
  <c r="C1137" i="32"/>
  <c r="C1138" i="32"/>
  <c r="C1139" i="32"/>
  <c r="C1140" i="32"/>
  <c r="C1141" i="32"/>
  <c r="C1142" i="32"/>
  <c r="C1143" i="32"/>
  <c r="C1144" i="32"/>
  <c r="C1145" i="32"/>
  <c r="C1146" i="32"/>
  <c r="C1147" i="32"/>
  <c r="C1148" i="32"/>
  <c r="C1149" i="32"/>
  <c r="C1150" i="32"/>
  <c r="C1151" i="32"/>
  <c r="C1152" i="32"/>
  <c r="C1153" i="32"/>
  <c r="C1154" i="32"/>
  <c r="C1155" i="32"/>
  <c r="C1156" i="32"/>
  <c r="C1157" i="32"/>
  <c r="C1158" i="32"/>
  <c r="C1159" i="32"/>
  <c r="C1160" i="32"/>
  <c r="C1161" i="32"/>
  <c r="C1162" i="32"/>
  <c r="C1163" i="32"/>
  <c r="C1164" i="32"/>
  <c r="C1165" i="32"/>
  <c r="C1166" i="32"/>
  <c r="C1167" i="32"/>
  <c r="C1168" i="32"/>
  <c r="C1169" i="32"/>
  <c r="C1170" i="32"/>
  <c r="C1171" i="32"/>
  <c r="C1172" i="32"/>
  <c r="C1173" i="32"/>
  <c r="C1174" i="32"/>
  <c r="C1175" i="32"/>
  <c r="C1176" i="32"/>
  <c r="C1177" i="32"/>
  <c r="C1178" i="32"/>
  <c r="C1179" i="32"/>
  <c r="C1180" i="32"/>
  <c r="C1181" i="32"/>
  <c r="C1182" i="32"/>
  <c r="C1183" i="32"/>
  <c r="C1184" i="32"/>
  <c r="C1185" i="32"/>
  <c r="C1186" i="32"/>
  <c r="C1187" i="32"/>
  <c r="C1188" i="32"/>
  <c r="C1189" i="32"/>
  <c r="C1190" i="32"/>
  <c r="C1191" i="32"/>
  <c r="C1192" i="32"/>
  <c r="C1193" i="32"/>
  <c r="C1194" i="32"/>
  <c r="C1195" i="32"/>
  <c r="C1196" i="32"/>
  <c r="C1197" i="32"/>
  <c r="C1198" i="32"/>
  <c r="C1199" i="32"/>
  <c r="C1200" i="32"/>
  <c r="C1201" i="32"/>
  <c r="C1202" i="32"/>
  <c r="C1203" i="32"/>
  <c r="C1204" i="32"/>
  <c r="C1205" i="32"/>
  <c r="C1206" i="32"/>
  <c r="C1207" i="32"/>
  <c r="C1208" i="32"/>
  <c r="C1209" i="32"/>
  <c r="C1210" i="32"/>
  <c r="C1211" i="32"/>
  <c r="C1212" i="32"/>
  <c r="C1213" i="32"/>
  <c r="C1214" i="32"/>
  <c r="C1215" i="32"/>
  <c r="C1216" i="32"/>
  <c r="C1217" i="32"/>
  <c r="C1218" i="32"/>
  <c r="C1219" i="32"/>
  <c r="C1220" i="32"/>
  <c r="C1221" i="32"/>
  <c r="C1222" i="32"/>
  <c r="C1223" i="32"/>
  <c r="C1224" i="32"/>
  <c r="C1225" i="32"/>
  <c r="C1226" i="32"/>
  <c r="C1227" i="32"/>
  <c r="C1228" i="32"/>
  <c r="C1229" i="32"/>
  <c r="C1230" i="32"/>
  <c r="C1231" i="32"/>
  <c r="C1232" i="32"/>
  <c r="C1233" i="32"/>
  <c r="C1234" i="32"/>
  <c r="C1235" i="32"/>
  <c r="C1236" i="32"/>
  <c r="C1237" i="32"/>
  <c r="C1238" i="32"/>
  <c r="C1239" i="32"/>
  <c r="C1240" i="32"/>
  <c r="C1241" i="32"/>
  <c r="C1242" i="32"/>
  <c r="C1243" i="32"/>
  <c r="C1244" i="32"/>
  <c r="C1245" i="32"/>
  <c r="C1246" i="32"/>
  <c r="C1247" i="32"/>
  <c r="C1248" i="32"/>
  <c r="C1249" i="32"/>
  <c r="C1250" i="32"/>
  <c r="C1251" i="32"/>
  <c r="C1252" i="32"/>
  <c r="C1253" i="32"/>
  <c r="C1254" i="32"/>
  <c r="C1255" i="32"/>
  <c r="C1256" i="32"/>
  <c r="C1257" i="32"/>
  <c r="C1258" i="32"/>
  <c r="C1259" i="32"/>
  <c r="C1260" i="32"/>
  <c r="C1261" i="32"/>
  <c r="C1262" i="32"/>
  <c r="C1263" i="32"/>
  <c r="C1264" i="32"/>
  <c r="C1265" i="32"/>
  <c r="C1266" i="32"/>
  <c r="C1267" i="32"/>
  <c r="C1268" i="32"/>
  <c r="C1269" i="32"/>
  <c r="C1270" i="32"/>
  <c r="C1271" i="32"/>
  <c r="C1272" i="32"/>
  <c r="C1273" i="32"/>
  <c r="C1274" i="32"/>
  <c r="C1275" i="32"/>
  <c r="C1276" i="32"/>
  <c r="C1277" i="32"/>
  <c r="C1278" i="32"/>
  <c r="C1279" i="32"/>
  <c r="C1280" i="32"/>
  <c r="C1281" i="32"/>
  <c r="C1282" i="32"/>
  <c r="C1283" i="32"/>
  <c r="C1284" i="32"/>
  <c r="C1285" i="32"/>
  <c r="C1286" i="32"/>
  <c r="C1287" i="32"/>
  <c r="C1288" i="32"/>
  <c r="C1289" i="32"/>
  <c r="C1290" i="32"/>
  <c r="C1291" i="32"/>
  <c r="C1292" i="32"/>
  <c r="C1293" i="32"/>
  <c r="C1294" i="32"/>
  <c r="C1295" i="32"/>
  <c r="C1296" i="32"/>
  <c r="C1297" i="32"/>
  <c r="C1298" i="32"/>
  <c r="C1299" i="32"/>
  <c r="C1300" i="32"/>
  <c r="C1301" i="32"/>
  <c r="C1302" i="32"/>
  <c r="C1303" i="32"/>
  <c r="C1304" i="32"/>
  <c r="C1305" i="32"/>
  <c r="C1306" i="32"/>
  <c r="C1307" i="32"/>
  <c r="C1308" i="32"/>
  <c r="C1309" i="32"/>
  <c r="C1310" i="32"/>
  <c r="C1311" i="32"/>
  <c r="C1312" i="32"/>
  <c r="C1313" i="32"/>
  <c r="C1314" i="32"/>
  <c r="C1315" i="32"/>
  <c r="C1316" i="32"/>
  <c r="C1317" i="32"/>
  <c r="C1318" i="32"/>
  <c r="C1319" i="32"/>
  <c r="C1320" i="32"/>
  <c r="C1321" i="32"/>
  <c r="C1322" i="32"/>
  <c r="C1323" i="32"/>
  <c r="C1324" i="32"/>
  <c r="C1325" i="32"/>
  <c r="C1326" i="32"/>
  <c r="C1327" i="32"/>
  <c r="C1328" i="32"/>
  <c r="C1329" i="32"/>
  <c r="C1330" i="32"/>
  <c r="C1331" i="32"/>
  <c r="C1332" i="32"/>
  <c r="C1333" i="32"/>
  <c r="C1334" i="32"/>
  <c r="C1335" i="32"/>
  <c r="C1336" i="32"/>
  <c r="C1337" i="32"/>
  <c r="C1338" i="32"/>
  <c r="C1339" i="32"/>
  <c r="C1340" i="32"/>
  <c r="C1341" i="32"/>
  <c r="C1342" i="32"/>
  <c r="C1343" i="32"/>
  <c r="C1344" i="32"/>
  <c r="C1345" i="32"/>
  <c r="C1346" i="32"/>
  <c r="C1347" i="32"/>
  <c r="C1348" i="32"/>
  <c r="C1349" i="32"/>
  <c r="C1350" i="32"/>
  <c r="C1351" i="32"/>
  <c r="C1352" i="32"/>
  <c r="C1353" i="32"/>
  <c r="C1354" i="32"/>
  <c r="C1355" i="32"/>
  <c r="C1356" i="32"/>
  <c r="C1357" i="32"/>
  <c r="C1358" i="32"/>
  <c r="C1359" i="32"/>
  <c r="C1360" i="32"/>
  <c r="C1361" i="32"/>
  <c r="C1362" i="32"/>
  <c r="C1363" i="32"/>
  <c r="C1364" i="32"/>
  <c r="C1365" i="32"/>
  <c r="C1366" i="32"/>
  <c r="C1367" i="32"/>
  <c r="C1368" i="32"/>
  <c r="C1369" i="32"/>
  <c r="C1370" i="32"/>
  <c r="C1371" i="32"/>
  <c r="C1372" i="32"/>
  <c r="C1373" i="32"/>
  <c r="C1374" i="32"/>
  <c r="C1375" i="32"/>
  <c r="C1376" i="32"/>
  <c r="C1377" i="32"/>
  <c r="C1378" i="32"/>
  <c r="C1379" i="32"/>
  <c r="C1380" i="32"/>
  <c r="C1381" i="32"/>
  <c r="C1382" i="32"/>
  <c r="C1383" i="32"/>
  <c r="C1384" i="32"/>
  <c r="C1385" i="32"/>
  <c r="C1386" i="32"/>
  <c r="C1387" i="32"/>
  <c r="C1388" i="32"/>
  <c r="C1389" i="32"/>
  <c r="C1390" i="32"/>
  <c r="C1391" i="32"/>
  <c r="C1392" i="32"/>
  <c r="C1393" i="32"/>
  <c r="C1394" i="32"/>
  <c r="C1395" i="32"/>
  <c r="C1396" i="32"/>
  <c r="C1397" i="32"/>
  <c r="C1398" i="32"/>
  <c r="C1399" i="32"/>
  <c r="C1400" i="32"/>
  <c r="C1401" i="32"/>
  <c r="C1402" i="32"/>
  <c r="C1403" i="32"/>
  <c r="C1404" i="32"/>
  <c r="C1405" i="32"/>
  <c r="C1406" i="32"/>
  <c r="C1407" i="32"/>
  <c r="C1408" i="32"/>
  <c r="C1409" i="32"/>
  <c r="C1410" i="32"/>
  <c r="C1411" i="32"/>
  <c r="C1412" i="32"/>
  <c r="C1413" i="32"/>
  <c r="C1414" i="32"/>
  <c r="C1415" i="32"/>
  <c r="C1416" i="32"/>
  <c r="C1417" i="32"/>
  <c r="C1418" i="32"/>
  <c r="C1419" i="32"/>
  <c r="C1420" i="32"/>
  <c r="C1421" i="32"/>
  <c r="C1422" i="32"/>
  <c r="C1423" i="32"/>
  <c r="C1424" i="32"/>
  <c r="C1425" i="32"/>
  <c r="C1426" i="32"/>
  <c r="C1427" i="32"/>
  <c r="C1428" i="32"/>
  <c r="C1429" i="32"/>
  <c r="C1430" i="32"/>
  <c r="C1431" i="32"/>
  <c r="C1432" i="32"/>
  <c r="C1433" i="32"/>
  <c r="C1434" i="32"/>
  <c r="C1435" i="32"/>
  <c r="C1436" i="32"/>
  <c r="C1437" i="32"/>
  <c r="C1438" i="32"/>
  <c r="C1439" i="32"/>
  <c r="C1440" i="32"/>
  <c r="C1441" i="32"/>
  <c r="C1442" i="32"/>
  <c r="C1443" i="32"/>
  <c r="C1444" i="32"/>
  <c r="C1445" i="32"/>
  <c r="C1446" i="32"/>
  <c r="C1447" i="32"/>
  <c r="C1448" i="32"/>
  <c r="C1449" i="32"/>
  <c r="C1450" i="32"/>
  <c r="C1451" i="32"/>
  <c r="C1452" i="32"/>
  <c r="C1453" i="32"/>
  <c r="C1454" i="32"/>
  <c r="C1455" i="32"/>
  <c r="C1456" i="32"/>
  <c r="C1457" i="32"/>
  <c r="C1458" i="32"/>
  <c r="C1459" i="32"/>
  <c r="C1460" i="32"/>
  <c r="C1461" i="32"/>
  <c r="C1462" i="32"/>
  <c r="C1463" i="32"/>
  <c r="C1464" i="32"/>
  <c r="C1465" i="32"/>
  <c r="C1466" i="32"/>
  <c r="C1467" i="32"/>
  <c r="C1468" i="32"/>
  <c r="C1469" i="32"/>
  <c r="C1470" i="32"/>
  <c r="C1471" i="32"/>
  <c r="C1472" i="32"/>
  <c r="C1473" i="32"/>
  <c r="C1474" i="32"/>
  <c r="C1475" i="32"/>
  <c r="C1476" i="32"/>
  <c r="C1477" i="32"/>
  <c r="C1478" i="32"/>
  <c r="C1479" i="32"/>
  <c r="C1480" i="32"/>
  <c r="C1481" i="32"/>
  <c r="C1482" i="32"/>
  <c r="C1483" i="32"/>
  <c r="C1484" i="32"/>
  <c r="C1485" i="32"/>
  <c r="C1486" i="32"/>
  <c r="C1487" i="32"/>
  <c r="C1488" i="32"/>
  <c r="C1489" i="32"/>
  <c r="C1490" i="32"/>
  <c r="C1491" i="32"/>
  <c r="C1492" i="32"/>
  <c r="C1493" i="32"/>
  <c r="C1494" i="32"/>
  <c r="C1495" i="32"/>
  <c r="C1496" i="32"/>
  <c r="C1497" i="32"/>
  <c r="C1498" i="32"/>
  <c r="C1499" i="32"/>
  <c r="C1500" i="32"/>
  <c r="C1501" i="32"/>
  <c r="C1502" i="32"/>
  <c r="C1503" i="32"/>
  <c r="C1504" i="32"/>
  <c r="C1505" i="32"/>
  <c r="C1506" i="32"/>
  <c r="C1507" i="32"/>
  <c r="C1508" i="32"/>
  <c r="C1509" i="32"/>
  <c r="C1510" i="32"/>
  <c r="C1511" i="32"/>
  <c r="C1512" i="32"/>
  <c r="C1513" i="32"/>
  <c r="C1514" i="32"/>
  <c r="C1515" i="32"/>
  <c r="C1516" i="32"/>
  <c r="C1517" i="32"/>
  <c r="C1518" i="32"/>
  <c r="C1519" i="32"/>
  <c r="C1520" i="32"/>
  <c r="C1521" i="32"/>
  <c r="C1522" i="32"/>
  <c r="C1523" i="32"/>
  <c r="C1524" i="32"/>
  <c r="C1525" i="32"/>
  <c r="C1526" i="32"/>
  <c r="C1527" i="32"/>
  <c r="C1528" i="32"/>
  <c r="C1529" i="32"/>
  <c r="C1530" i="32"/>
  <c r="C1531" i="32"/>
  <c r="C1532" i="32"/>
  <c r="C1533" i="32"/>
  <c r="C1534" i="32"/>
  <c r="C1535" i="32"/>
  <c r="C1536" i="32"/>
  <c r="C1537" i="32"/>
  <c r="C1538" i="32"/>
  <c r="C1539" i="32"/>
  <c r="C1540" i="32"/>
  <c r="C1541" i="32"/>
  <c r="C1542" i="32"/>
  <c r="C1543" i="32"/>
  <c r="C1544" i="32"/>
  <c r="C1545" i="32"/>
  <c r="C1546" i="32"/>
  <c r="C1547" i="32"/>
  <c r="C1548" i="32"/>
  <c r="C1549" i="32"/>
  <c r="C1550" i="32"/>
  <c r="C1551" i="32"/>
  <c r="C1552" i="32"/>
  <c r="C1553" i="32"/>
  <c r="C1554" i="32"/>
  <c r="C1555" i="32"/>
  <c r="C1556" i="32"/>
  <c r="C1557" i="32"/>
  <c r="C1558" i="32"/>
  <c r="C1559" i="32"/>
  <c r="C1560" i="32"/>
  <c r="C1561" i="32"/>
  <c r="C1562" i="32"/>
  <c r="C1563" i="32"/>
  <c r="C1564" i="32"/>
  <c r="C1565" i="32"/>
  <c r="C1566" i="32"/>
  <c r="C1567" i="32"/>
  <c r="C1568" i="32"/>
  <c r="C1569" i="32"/>
  <c r="C1570" i="32"/>
  <c r="C1571" i="32"/>
  <c r="C1572" i="32"/>
  <c r="C1573" i="32"/>
  <c r="C1574" i="32"/>
  <c r="C1575" i="32"/>
  <c r="C1576" i="32"/>
  <c r="C1577" i="32"/>
  <c r="C1578" i="32"/>
  <c r="C1579" i="32"/>
  <c r="C1580" i="32"/>
  <c r="C1581" i="32"/>
  <c r="C1582" i="32"/>
  <c r="C1583" i="32"/>
  <c r="C1584" i="32"/>
  <c r="C1585" i="32"/>
  <c r="C1586" i="32"/>
  <c r="C1587" i="32"/>
  <c r="C1588" i="32"/>
  <c r="C1589" i="32"/>
  <c r="C1590" i="32"/>
  <c r="C1591" i="32"/>
  <c r="C1592" i="32"/>
  <c r="C1593" i="32"/>
  <c r="C1594" i="32"/>
  <c r="C1595" i="32"/>
  <c r="C1596" i="32"/>
  <c r="C1597" i="32"/>
  <c r="C1598" i="32"/>
  <c r="C1599" i="32"/>
  <c r="C1600" i="32"/>
  <c r="C1601" i="32"/>
  <c r="C1602" i="32"/>
  <c r="C1603" i="32"/>
  <c r="C1604" i="32"/>
  <c r="C1605" i="32"/>
  <c r="C1606" i="32"/>
  <c r="C1607" i="32"/>
  <c r="C1608" i="32"/>
  <c r="C1609" i="32"/>
  <c r="C1610" i="32"/>
  <c r="C1611" i="32"/>
  <c r="C1612" i="32"/>
  <c r="C1613" i="32"/>
  <c r="C1614" i="32"/>
  <c r="C1615" i="32"/>
  <c r="C1616" i="32"/>
  <c r="C1617" i="32"/>
  <c r="C1618" i="32"/>
  <c r="C1619" i="32"/>
  <c r="C1620" i="32"/>
  <c r="C1621" i="32"/>
  <c r="C1622" i="32"/>
  <c r="C1623" i="32"/>
  <c r="C1624" i="32"/>
  <c r="C1625" i="32"/>
  <c r="C1626" i="32"/>
  <c r="C1627" i="32"/>
  <c r="C1628" i="32"/>
  <c r="C1629" i="32"/>
  <c r="C1630" i="32"/>
  <c r="C1631" i="32"/>
  <c r="C1632" i="32"/>
  <c r="C1633" i="32"/>
  <c r="C1634" i="32"/>
  <c r="C1635" i="32"/>
  <c r="C1636" i="32"/>
  <c r="C1637" i="32"/>
  <c r="C1638" i="32"/>
  <c r="C1639" i="32"/>
  <c r="C1640" i="32"/>
  <c r="C1641" i="32"/>
  <c r="C1642" i="32"/>
  <c r="C1643" i="32"/>
  <c r="C1644" i="32"/>
  <c r="C1645" i="32"/>
  <c r="C1646" i="32"/>
  <c r="C1647" i="32"/>
  <c r="C1648" i="32"/>
  <c r="C1649" i="32"/>
  <c r="C1650" i="32"/>
  <c r="C1651" i="32"/>
  <c r="C1652" i="32"/>
  <c r="C1653" i="32"/>
  <c r="C1654" i="32"/>
  <c r="C1655" i="32"/>
  <c r="C1656" i="32"/>
  <c r="C1657" i="32"/>
  <c r="C1658" i="32"/>
  <c r="C1659" i="32"/>
  <c r="C1660" i="32"/>
  <c r="C1661" i="32"/>
  <c r="C1662" i="32"/>
  <c r="C1663" i="32"/>
  <c r="C1664" i="32"/>
  <c r="C1665" i="32"/>
  <c r="C1666" i="32"/>
  <c r="C1667" i="32"/>
  <c r="C1668" i="32"/>
  <c r="C1669" i="32"/>
  <c r="C1670" i="32"/>
  <c r="C1671" i="32"/>
  <c r="C1672" i="32"/>
  <c r="C1673" i="32"/>
  <c r="C1674" i="32"/>
  <c r="C1675" i="32"/>
  <c r="C1676" i="32"/>
  <c r="C1677" i="32"/>
  <c r="C1678" i="32"/>
  <c r="C1679" i="32"/>
  <c r="C1680" i="32"/>
  <c r="C1681" i="32"/>
  <c r="C1682" i="32"/>
  <c r="C1683" i="32"/>
  <c r="C1684" i="32"/>
  <c r="C1685" i="32"/>
  <c r="C1686" i="32"/>
  <c r="C1687" i="32"/>
  <c r="C1688" i="32"/>
  <c r="C1689" i="32"/>
  <c r="C1690" i="32"/>
  <c r="C1691" i="32"/>
  <c r="C1692" i="32"/>
  <c r="C1693" i="32"/>
  <c r="C1694" i="32"/>
  <c r="C1695" i="32"/>
  <c r="C1696" i="32"/>
  <c r="C1697" i="32"/>
  <c r="C1698" i="32"/>
  <c r="C1699" i="32"/>
  <c r="C1700" i="32"/>
  <c r="C1701" i="32"/>
  <c r="C1702" i="32"/>
  <c r="C1703" i="32"/>
  <c r="C1704" i="32"/>
  <c r="C1705" i="32"/>
  <c r="C1706" i="32"/>
  <c r="C1707" i="32"/>
  <c r="C1708" i="32"/>
  <c r="C1709" i="32"/>
  <c r="C1710" i="32"/>
  <c r="C1711" i="32"/>
  <c r="C1712" i="32"/>
  <c r="C1713" i="32"/>
  <c r="C1714" i="32"/>
  <c r="C1715" i="32"/>
  <c r="C1716" i="32"/>
  <c r="C1717" i="32"/>
  <c r="C1718" i="32"/>
  <c r="C1719" i="32"/>
  <c r="C1720" i="32"/>
  <c r="C1721" i="32"/>
  <c r="C1722" i="32"/>
  <c r="C1723" i="32"/>
  <c r="C1724" i="32"/>
  <c r="C1725" i="32"/>
  <c r="C1726" i="32"/>
  <c r="C1727" i="32"/>
  <c r="C1728" i="32"/>
  <c r="C1729" i="32"/>
  <c r="C1730" i="32"/>
  <c r="C1731" i="32"/>
  <c r="C1732" i="32"/>
  <c r="C1733" i="32"/>
  <c r="C1734" i="32"/>
  <c r="C1735" i="32"/>
  <c r="C1736" i="32"/>
  <c r="C1737" i="32"/>
  <c r="C1738" i="32"/>
  <c r="C1739" i="32"/>
  <c r="C1740" i="32"/>
  <c r="C1741" i="32"/>
  <c r="C1742" i="32"/>
  <c r="C1743" i="32"/>
  <c r="C1744" i="32"/>
  <c r="C1745" i="32"/>
  <c r="C1746" i="32"/>
  <c r="C1747" i="32"/>
  <c r="C1748" i="32"/>
  <c r="C1749" i="32"/>
  <c r="C1750" i="32"/>
  <c r="C1751" i="32"/>
  <c r="C1752" i="32"/>
  <c r="C1753" i="32"/>
  <c r="C1754" i="32"/>
  <c r="C1755" i="32"/>
  <c r="C1756" i="32"/>
  <c r="C1757" i="32"/>
  <c r="C1758" i="32"/>
  <c r="C1759" i="32"/>
  <c r="C1760" i="32"/>
  <c r="C1761" i="32"/>
  <c r="C1762" i="32"/>
  <c r="C1763" i="32"/>
  <c r="C1764" i="32"/>
  <c r="C1765" i="32"/>
  <c r="C1766" i="32"/>
  <c r="C1767" i="32"/>
  <c r="C1768" i="32"/>
  <c r="C1769" i="32"/>
  <c r="C1770" i="32"/>
  <c r="C1771" i="32"/>
  <c r="C1772" i="32"/>
  <c r="C1773" i="32"/>
  <c r="C1774" i="32"/>
  <c r="C1775" i="32"/>
  <c r="C1776" i="32"/>
  <c r="C1777" i="32"/>
  <c r="C1778" i="32"/>
  <c r="C1779" i="32"/>
  <c r="C1780" i="32"/>
  <c r="C1781" i="32"/>
  <c r="C1782" i="32"/>
  <c r="C1783" i="32"/>
  <c r="C1784" i="32"/>
  <c r="C1785" i="32"/>
  <c r="C1786" i="32"/>
  <c r="C1787" i="32"/>
  <c r="C1788" i="32"/>
  <c r="C1789" i="32"/>
  <c r="C1790" i="32"/>
  <c r="C1791" i="32"/>
  <c r="C1792" i="32"/>
  <c r="C1793" i="32"/>
  <c r="C1794" i="32"/>
  <c r="C1795" i="32"/>
  <c r="C1796" i="32"/>
  <c r="C1797" i="32"/>
  <c r="C1798" i="32"/>
  <c r="C1799" i="32"/>
  <c r="C1800" i="32"/>
  <c r="C1801" i="32"/>
  <c r="C1802" i="32"/>
  <c r="C1803" i="32"/>
  <c r="C1804" i="32"/>
  <c r="C1805" i="32"/>
  <c r="C1806" i="32"/>
  <c r="C1807" i="32"/>
  <c r="C1808" i="32"/>
  <c r="C1809" i="32"/>
  <c r="C1810" i="32"/>
  <c r="C1811" i="32"/>
  <c r="C1812" i="32"/>
  <c r="C1813" i="32"/>
  <c r="C1814" i="32"/>
  <c r="C1815" i="32"/>
  <c r="C1816" i="32"/>
  <c r="C1817" i="32"/>
  <c r="C1818" i="32"/>
  <c r="C1819" i="32"/>
  <c r="C1820" i="32"/>
  <c r="C1821" i="32"/>
  <c r="C1822" i="32"/>
  <c r="C1823" i="32"/>
  <c r="C1824" i="32"/>
  <c r="C1825" i="32"/>
  <c r="C1826" i="32"/>
  <c r="C1827" i="32"/>
  <c r="C1828" i="32"/>
  <c r="C1829" i="32"/>
  <c r="C1830" i="32"/>
  <c r="C1831" i="32"/>
  <c r="C1832" i="32"/>
  <c r="C1833" i="32"/>
  <c r="C1834" i="32"/>
  <c r="C1835" i="32"/>
  <c r="C1836" i="32"/>
  <c r="C1837" i="32"/>
  <c r="C1838" i="32"/>
  <c r="C1839" i="32"/>
  <c r="C1840" i="32"/>
  <c r="C1841" i="32"/>
  <c r="C1842" i="32"/>
  <c r="C1843" i="32"/>
  <c r="C1844" i="32"/>
  <c r="C1845" i="32"/>
  <c r="C1846" i="32"/>
  <c r="C1847" i="32"/>
  <c r="C1848" i="32"/>
  <c r="C1849" i="32"/>
  <c r="C1850" i="32"/>
  <c r="C1851" i="32"/>
  <c r="C1852" i="32"/>
  <c r="C1853" i="32"/>
  <c r="C1854" i="32"/>
  <c r="C1855" i="32"/>
  <c r="C1856" i="32"/>
  <c r="C1857" i="32"/>
  <c r="C1858" i="32"/>
  <c r="C1859" i="32"/>
  <c r="C1860" i="32"/>
  <c r="C1861" i="32"/>
  <c r="C1862" i="32"/>
  <c r="C1863" i="32"/>
  <c r="C1864" i="32"/>
  <c r="C1865" i="32"/>
  <c r="C1866" i="32"/>
  <c r="C1867" i="32"/>
  <c r="C1868" i="32"/>
  <c r="C1869" i="32"/>
  <c r="C1870" i="32"/>
  <c r="C1871" i="32"/>
  <c r="C1872" i="32"/>
  <c r="C1873" i="32"/>
  <c r="C1874" i="32"/>
  <c r="C1875" i="32"/>
  <c r="C1876" i="32"/>
  <c r="C1877" i="32"/>
  <c r="C1878" i="32"/>
  <c r="C1879" i="32"/>
  <c r="C1880" i="32"/>
  <c r="C1881" i="32"/>
  <c r="C1882" i="32"/>
  <c r="C1883" i="32"/>
  <c r="C1884" i="32"/>
  <c r="C1885" i="32"/>
  <c r="C1886" i="32"/>
  <c r="C1887" i="32"/>
  <c r="C1888" i="32"/>
  <c r="C1889" i="32"/>
  <c r="C1890" i="32"/>
  <c r="C1891" i="32"/>
  <c r="C1892" i="32"/>
  <c r="C1893" i="32"/>
  <c r="C1894" i="32"/>
  <c r="C1895" i="32"/>
  <c r="C1896" i="32"/>
  <c r="C1897" i="32"/>
  <c r="C1898" i="32"/>
  <c r="C1899" i="32"/>
  <c r="C1900" i="32"/>
  <c r="C1901" i="32"/>
  <c r="C1902" i="32"/>
  <c r="C1903" i="32"/>
  <c r="C1904" i="32"/>
  <c r="C1905" i="32"/>
  <c r="C1906" i="32"/>
  <c r="C1907" i="32"/>
  <c r="C1908" i="32"/>
  <c r="C1909" i="32"/>
  <c r="C1910" i="32"/>
  <c r="C1911" i="32"/>
  <c r="C1912" i="32"/>
  <c r="C1913" i="32"/>
  <c r="C1914" i="32"/>
  <c r="C1915" i="32"/>
  <c r="C1916" i="32"/>
  <c r="C1917" i="32"/>
  <c r="C1918" i="32"/>
  <c r="C1919" i="32"/>
  <c r="C1920" i="32"/>
  <c r="C1921" i="32"/>
  <c r="C1922" i="32"/>
  <c r="C1923" i="32"/>
  <c r="C1924" i="32"/>
  <c r="C1925" i="32"/>
  <c r="C1926" i="32"/>
  <c r="C1927" i="32"/>
  <c r="C1928" i="32"/>
  <c r="C1929" i="32"/>
  <c r="C1930" i="32"/>
  <c r="C1931" i="32"/>
  <c r="C1932" i="32"/>
  <c r="C1933" i="32"/>
  <c r="C1934" i="32"/>
  <c r="C1935" i="32"/>
  <c r="C1936" i="32"/>
  <c r="C1937" i="32"/>
  <c r="C1938" i="32"/>
  <c r="C1939" i="32"/>
  <c r="C1940" i="32"/>
  <c r="C1941" i="32"/>
  <c r="C1942" i="32"/>
  <c r="C1943" i="32"/>
  <c r="C1944" i="32"/>
  <c r="C1945" i="32"/>
  <c r="C1946" i="32"/>
  <c r="C1947" i="32"/>
  <c r="C1948" i="32"/>
  <c r="C1949" i="32"/>
  <c r="C1950" i="32"/>
  <c r="C1951" i="32"/>
  <c r="C1952" i="32"/>
  <c r="C1953" i="32"/>
  <c r="C1954" i="32"/>
  <c r="C1955" i="32"/>
  <c r="C1956" i="32"/>
  <c r="C1957" i="32"/>
  <c r="C1958" i="32"/>
  <c r="C1959" i="32"/>
  <c r="C1960" i="32"/>
  <c r="C1961" i="32"/>
  <c r="C1962" i="32"/>
  <c r="C1963" i="32"/>
  <c r="C1964" i="32"/>
  <c r="C1965" i="32"/>
  <c r="C1966" i="32"/>
  <c r="C1967" i="32"/>
  <c r="C1968" i="32"/>
  <c r="C1969" i="32"/>
  <c r="C1970" i="32"/>
  <c r="C1971" i="32"/>
  <c r="C1972" i="32"/>
  <c r="C1973" i="32"/>
  <c r="C1974" i="32"/>
  <c r="C1975" i="32"/>
  <c r="C1976" i="32"/>
  <c r="C1977" i="32"/>
  <c r="C1978" i="32"/>
  <c r="C1979" i="32"/>
  <c r="C1980" i="32"/>
  <c r="C1981" i="32"/>
  <c r="C1982" i="32"/>
  <c r="C1983" i="32"/>
  <c r="C1984" i="32"/>
  <c r="C1985" i="32"/>
  <c r="C1986" i="32"/>
  <c r="C1987" i="32"/>
  <c r="C1988" i="32"/>
  <c r="C1989" i="32"/>
  <c r="C1990" i="32"/>
  <c r="C1991" i="32"/>
  <c r="C1992" i="32"/>
  <c r="C1993" i="32"/>
  <c r="C1994" i="32"/>
  <c r="C1995" i="32"/>
  <c r="C1996" i="32"/>
  <c r="C1997" i="32"/>
  <c r="C1998" i="32"/>
  <c r="C1999" i="32"/>
  <c r="C2000" i="32"/>
  <c r="C2001" i="32"/>
  <c r="C2002" i="32"/>
  <c r="C2003" i="32"/>
  <c r="C2004" i="32"/>
  <c r="C2005" i="32"/>
  <c r="C2006" i="32"/>
  <c r="C2007" i="32"/>
  <c r="C2008" i="32"/>
  <c r="C2009" i="32"/>
  <c r="C2010" i="32"/>
  <c r="C2011" i="32"/>
  <c r="C2012" i="32"/>
  <c r="C2013" i="32"/>
  <c r="C2014" i="32"/>
  <c r="C2015" i="32"/>
  <c r="C2016" i="32"/>
  <c r="C2017" i="32"/>
  <c r="C2018" i="32"/>
  <c r="C2019" i="32"/>
  <c r="C2020" i="32"/>
  <c r="C2021" i="32"/>
  <c r="C2022" i="32"/>
  <c r="C2023" i="32"/>
  <c r="C2024" i="32"/>
  <c r="C2025" i="32"/>
  <c r="C2026" i="32"/>
  <c r="C2027" i="32"/>
  <c r="C2028" i="32"/>
  <c r="C2029" i="32"/>
  <c r="C2030" i="32"/>
  <c r="C2031" i="32"/>
  <c r="C2032" i="32"/>
  <c r="C2033" i="32"/>
  <c r="C2034" i="32"/>
  <c r="C2035" i="32"/>
  <c r="C2036" i="32"/>
  <c r="C2037" i="32"/>
  <c r="C2038" i="32"/>
  <c r="C2039" i="32"/>
  <c r="C2040" i="32"/>
  <c r="C2041" i="32"/>
  <c r="C2042" i="32"/>
  <c r="C2043" i="32"/>
  <c r="C2044" i="32"/>
  <c r="C2045" i="32"/>
  <c r="C2046" i="32"/>
  <c r="C2047" i="32"/>
  <c r="C2048" i="32"/>
  <c r="C2049" i="32"/>
  <c r="C2050" i="32"/>
  <c r="C2051" i="32"/>
  <c r="C2052" i="32"/>
  <c r="C2053" i="32"/>
  <c r="C2054" i="32"/>
  <c r="C2055" i="32"/>
  <c r="C2056" i="32"/>
  <c r="C2057" i="32"/>
  <c r="C2058" i="32"/>
  <c r="C2059" i="32"/>
  <c r="C2060" i="32"/>
  <c r="C2061" i="32"/>
  <c r="C2062" i="32"/>
  <c r="C2063" i="32"/>
  <c r="C2064" i="32"/>
  <c r="C2065" i="32"/>
  <c r="C2066" i="32"/>
  <c r="C2067" i="32"/>
  <c r="C2068" i="32"/>
  <c r="C2069" i="32"/>
  <c r="C2070" i="32"/>
  <c r="C2071" i="32"/>
  <c r="C2072" i="32"/>
  <c r="C2073" i="32"/>
  <c r="C2074" i="32"/>
  <c r="C2075" i="32"/>
  <c r="C2076" i="32"/>
  <c r="C2077" i="32"/>
  <c r="C2078" i="32"/>
  <c r="C2079" i="32"/>
  <c r="C2080" i="32"/>
  <c r="C2081" i="32"/>
  <c r="C2082" i="32"/>
  <c r="C2083" i="32"/>
  <c r="C2084" i="32"/>
  <c r="C2085" i="32"/>
  <c r="C2086" i="32"/>
  <c r="C2087" i="32"/>
  <c r="C2088" i="32"/>
  <c r="C2089" i="32"/>
  <c r="C2090" i="32"/>
  <c r="C2091" i="32"/>
  <c r="C2092" i="32"/>
  <c r="C2093" i="32"/>
  <c r="C2094" i="32"/>
  <c r="C2095" i="32"/>
  <c r="C2096" i="32"/>
  <c r="C2097" i="32"/>
  <c r="C2098" i="32"/>
  <c r="C2099" i="32"/>
  <c r="C2100" i="32"/>
  <c r="C2101" i="32"/>
  <c r="C2102" i="32"/>
  <c r="C2103" i="32"/>
  <c r="C2104" i="32"/>
  <c r="C2105" i="32"/>
  <c r="C2106" i="32"/>
  <c r="C2107" i="32"/>
  <c r="C2108" i="32"/>
  <c r="C2109" i="32"/>
  <c r="C2110" i="32"/>
  <c r="C2111" i="32"/>
  <c r="C2112" i="32"/>
  <c r="C2113" i="32"/>
  <c r="C2114" i="32"/>
  <c r="C2115" i="32"/>
  <c r="C2116" i="32"/>
  <c r="C2117" i="32"/>
  <c r="C2118" i="32"/>
  <c r="C2119" i="32"/>
  <c r="C2120" i="32"/>
  <c r="C2121" i="32"/>
  <c r="C2122" i="32"/>
  <c r="C2123" i="32"/>
  <c r="C2124" i="32"/>
  <c r="C2125" i="32"/>
  <c r="C2126" i="32"/>
  <c r="C2127" i="32"/>
  <c r="C2128" i="32"/>
  <c r="C2129" i="32"/>
  <c r="C2130" i="32"/>
  <c r="C2131" i="32"/>
  <c r="C2132" i="32"/>
  <c r="C2133" i="32"/>
  <c r="C2134" i="32"/>
  <c r="C2135" i="32"/>
  <c r="C2136" i="32"/>
  <c r="C2137" i="32"/>
  <c r="C2138" i="32"/>
  <c r="C2139" i="32"/>
  <c r="C2140" i="32"/>
  <c r="C2141" i="32"/>
  <c r="C2142" i="32"/>
  <c r="C2143" i="32"/>
  <c r="C2144" i="32"/>
  <c r="C2145" i="32"/>
  <c r="C2146" i="32"/>
  <c r="C2147" i="32"/>
  <c r="C2148" i="32"/>
  <c r="C2149" i="32"/>
  <c r="C2150" i="32"/>
  <c r="C2151" i="32"/>
  <c r="C2152" i="32"/>
  <c r="C2153" i="32"/>
  <c r="C2154" i="32"/>
  <c r="C2155" i="32"/>
  <c r="C2156" i="32"/>
  <c r="C2157" i="32"/>
  <c r="C2158" i="32"/>
  <c r="C2159" i="32"/>
  <c r="C2160" i="32"/>
  <c r="C2161" i="32"/>
  <c r="C2162" i="32"/>
  <c r="C2163" i="32"/>
  <c r="C2164" i="32"/>
  <c r="C2165" i="32"/>
  <c r="C2166" i="32"/>
  <c r="C2167" i="32"/>
  <c r="C2168" i="32"/>
  <c r="C2169" i="32"/>
  <c r="C2170" i="32"/>
  <c r="C2171" i="32"/>
  <c r="C2172" i="32"/>
  <c r="C2173" i="32"/>
  <c r="C2174" i="32"/>
  <c r="C2175" i="32"/>
  <c r="C2176" i="32"/>
  <c r="C2177" i="32"/>
  <c r="C2178" i="32"/>
  <c r="C2179" i="32"/>
  <c r="C2180" i="32"/>
  <c r="C2181" i="32"/>
  <c r="C2182" i="32"/>
  <c r="C2183" i="32"/>
  <c r="C2184" i="32"/>
  <c r="C2185" i="32"/>
  <c r="C2186" i="32"/>
  <c r="C2187" i="32"/>
  <c r="C2188" i="32"/>
  <c r="C2189" i="32"/>
  <c r="C2190" i="32"/>
  <c r="C2191" i="32"/>
  <c r="C2192" i="32"/>
  <c r="C2193" i="32"/>
  <c r="C2194" i="32"/>
  <c r="C2195" i="32"/>
  <c r="C2196" i="32"/>
  <c r="C2197" i="32"/>
  <c r="C2198" i="32"/>
  <c r="C2199" i="32"/>
  <c r="C2200" i="32"/>
  <c r="C2201" i="32"/>
  <c r="C2202" i="32"/>
  <c r="C2203" i="32"/>
  <c r="C2204" i="32"/>
  <c r="C2205" i="32"/>
  <c r="C2206" i="32"/>
  <c r="C2207" i="32"/>
  <c r="C2208" i="32"/>
  <c r="C2209" i="32"/>
  <c r="C2210" i="32"/>
  <c r="C2211" i="32"/>
  <c r="C2212" i="32"/>
  <c r="C2213" i="32"/>
  <c r="C2214" i="32"/>
  <c r="C2215" i="32"/>
  <c r="C2216" i="32"/>
  <c r="C2217" i="32"/>
  <c r="C2218" i="32"/>
  <c r="C2219" i="32"/>
  <c r="C2220" i="32"/>
  <c r="C2221" i="32"/>
  <c r="C2222" i="32"/>
  <c r="C2223" i="32"/>
  <c r="C2224" i="32"/>
  <c r="C2225" i="32"/>
  <c r="C2226" i="32"/>
  <c r="C2227" i="32"/>
  <c r="C2228" i="32"/>
  <c r="C2229" i="32"/>
  <c r="C2230" i="32"/>
  <c r="C2231" i="32"/>
  <c r="C2232" i="32"/>
  <c r="C2233" i="32"/>
  <c r="C2234" i="32"/>
  <c r="C2235" i="32"/>
  <c r="C2236" i="32"/>
  <c r="C2237" i="32"/>
  <c r="C2238" i="32"/>
  <c r="C2239" i="32"/>
  <c r="C2240" i="32"/>
  <c r="C2241" i="32"/>
  <c r="C2242" i="32"/>
  <c r="C2243" i="32"/>
  <c r="C2244" i="32"/>
  <c r="C2245" i="32"/>
  <c r="C2246" i="32"/>
  <c r="C2247" i="32"/>
  <c r="C2248" i="32"/>
  <c r="C2249" i="32"/>
  <c r="C2250" i="32"/>
  <c r="C2251" i="32"/>
  <c r="C2252" i="32"/>
  <c r="C2253" i="32"/>
  <c r="C2254" i="32"/>
  <c r="C2255" i="32"/>
  <c r="C2256" i="32"/>
  <c r="C2257" i="32"/>
  <c r="C2258" i="32"/>
  <c r="C2259" i="32"/>
  <c r="C2260" i="32"/>
  <c r="C2261" i="32"/>
  <c r="C2262" i="32"/>
  <c r="C2263" i="32"/>
  <c r="C2264" i="32"/>
  <c r="C2265" i="32"/>
  <c r="C2266" i="32"/>
  <c r="C2267" i="32"/>
  <c r="C2268" i="32"/>
  <c r="C2269" i="32"/>
  <c r="C2270" i="32"/>
  <c r="C2271" i="32"/>
  <c r="C2272" i="32"/>
  <c r="C2273" i="32"/>
  <c r="C2274" i="32"/>
  <c r="C2275" i="32"/>
  <c r="C2276" i="32"/>
  <c r="C2277" i="32"/>
  <c r="C2278" i="32"/>
  <c r="C2279" i="32"/>
  <c r="C2280" i="32"/>
  <c r="C2281" i="32"/>
  <c r="C2282" i="32"/>
  <c r="C2283" i="32"/>
  <c r="C2284" i="32"/>
  <c r="C2285" i="32"/>
  <c r="C2286" i="32"/>
  <c r="C2287" i="32"/>
  <c r="C2288" i="32"/>
  <c r="C2289" i="32"/>
  <c r="C2290" i="32"/>
  <c r="C2291" i="32"/>
  <c r="C2292" i="32"/>
  <c r="C2293" i="32"/>
  <c r="C2294" i="32"/>
  <c r="C2295" i="32"/>
  <c r="C2296" i="32"/>
  <c r="C2297" i="32"/>
  <c r="C2298" i="32"/>
  <c r="C2299" i="32"/>
  <c r="C2300" i="32"/>
  <c r="C2301" i="32"/>
  <c r="C2302" i="32"/>
  <c r="C2303" i="32"/>
  <c r="C2304" i="32"/>
  <c r="C2305" i="32"/>
  <c r="C2306" i="32"/>
  <c r="C2307" i="32"/>
  <c r="C2308" i="32"/>
  <c r="C2309" i="32"/>
  <c r="C2310" i="32"/>
  <c r="C2311" i="32"/>
  <c r="C2312" i="32"/>
  <c r="C2313" i="32"/>
  <c r="C2314" i="32"/>
  <c r="C2315" i="32"/>
  <c r="C2316" i="32"/>
  <c r="C2317" i="32"/>
  <c r="C2318" i="32"/>
  <c r="C2319" i="32"/>
  <c r="C2320" i="32"/>
  <c r="C2321" i="32"/>
  <c r="C2322" i="32"/>
  <c r="C2323" i="32"/>
  <c r="C2324" i="32"/>
  <c r="C2325" i="32"/>
  <c r="C2326" i="32"/>
  <c r="C2327" i="32"/>
  <c r="C2328" i="32"/>
  <c r="C2329" i="32"/>
  <c r="C2330" i="32"/>
  <c r="C2331" i="32"/>
  <c r="C2332" i="32"/>
  <c r="C2333" i="32"/>
  <c r="C2334" i="32"/>
  <c r="C2335" i="32"/>
  <c r="C2336" i="32"/>
  <c r="C2337" i="32"/>
  <c r="C2" i="32"/>
  <c r="B11" i="38" a="1"/>
  <c r="B11" i="38" s="1"/>
  <c r="B16" i="38" s="1"/>
  <c r="B10" i="38" a="1"/>
  <c r="B10" i="38" s="1"/>
  <c r="B18" i="38" s="1"/>
  <c r="B24" i="38"/>
  <c r="B23" i="38"/>
  <c r="B19" i="38" a="1"/>
  <c r="B19" i="38" s="1"/>
  <c r="B17" i="38"/>
  <c r="D8" i="38"/>
  <c r="B22" i="38" s="1"/>
  <c r="B8" i="38"/>
  <c r="B11" i="37"/>
  <c r="B10" i="37"/>
  <c r="B7" i="37"/>
  <c r="E3" i="34" l="1"/>
  <c r="E6" i="34"/>
  <c r="E21" i="34"/>
  <c r="E20" i="34"/>
  <c r="E26" i="34"/>
  <c r="E10" i="34"/>
  <c r="E16" i="34"/>
  <c r="E31" i="34"/>
  <c r="E30" i="34"/>
  <c r="E29" i="34"/>
  <c r="E28" i="34"/>
  <c r="E27" i="34"/>
  <c r="E11" i="34"/>
  <c r="E25" i="34"/>
  <c r="E9" i="34"/>
  <c r="E24" i="34"/>
  <c r="E8" i="34"/>
  <c r="E23" i="34"/>
  <c r="E7" i="34"/>
  <c r="E18" i="34"/>
  <c r="E32" i="34"/>
  <c r="E17" i="34"/>
  <c r="E2" i="34"/>
  <c r="E15" i="34"/>
  <c r="E14" i="34"/>
  <c r="E13" i="34"/>
  <c r="E12" i="34"/>
  <c r="E22" i="34"/>
  <c r="H31" i="33"/>
  <c r="H27" i="33"/>
  <c r="H18" i="33"/>
  <c r="H17" i="33"/>
  <c r="H16" i="33"/>
  <c r="H15" i="33"/>
  <c r="H4" i="33"/>
  <c r="H3" i="33"/>
  <c r="F17" i="33"/>
  <c r="F16" i="33"/>
  <c r="F15" i="33"/>
  <c r="F4" i="33"/>
  <c r="F3" i="33"/>
  <c r="R28" i="32"/>
  <c r="Q29" i="32" a="1"/>
  <c r="Q29" i="32" s="1"/>
  <c r="N31" i="32" a="1"/>
  <c r="N31" i="32" s="1"/>
  <c r="B21" i="38"/>
  <c r="B20" i="38"/>
  <c r="D17" i="33"/>
  <c r="D16"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3B83A5-E972-40F1-BFA4-272DC38A7A8E}" name="查询来自 MS Access Database" type="1" refreshedVersion="8" background="1" saveData="1">
    <dbPr connection="DSN=MS Access Database;DBQ=D:\数据源\Northwind.accdb;DefaultDir=D:\数据源;DriverId=25;FIL=MS Access;MaxBufferSize=2048;PageTimeout=5;" command="SELECT 客户.公司名称, 产品.产品名称, 订单明细.数量_x000d__x000a_FROM `D:\数据源\Northwind.accdb`.产品 产品, `D:\数据源\Northwind.accdb`.订单 订单, `D:\数据源\Northwind.accdb`.订单明细 订单明细, `D:\数据源\Northwind.accdb`.客户 客户, `D:\数据源\Northwind.accdb`.类别 类别_x000d__x000a_WHERE 订单明细.订单ID = 订单.订单ID AND 产品.产品ID = 订单明细.产品ID AND 类别.类别ID = 产品.类别ID AND 客户.客户ID = 订单.客户ID AND ((类别.类别名称='饮料' And 类别.类别名称='海鲜') AND (订单明细.数量&gt;=110 And 订单明细.数量&lt;=100 And 订单明细.数量&gt;=90))"/>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<sst xmlns="http://schemas.openxmlformats.org/spreadsheetml/2006/main" count="7238" uniqueCount="2509">
  <si>
    <t>姓名</t>
    <phoneticPr fontId="10" type="noConversion"/>
  </si>
  <si>
    <t>学号</t>
    <phoneticPr fontId="10" type="noConversion"/>
  </si>
  <si>
    <t>题目</t>
    <phoneticPr fontId="10" type="noConversion"/>
  </si>
  <si>
    <t>得分</t>
    <phoneticPr fontId="10" type="noConversion"/>
  </si>
  <si>
    <r>
      <t>第</t>
    </r>
    <r>
      <rPr>
        <sz val="12"/>
        <rFont val="Arial"/>
        <family val="2"/>
      </rPr>
      <t>6题</t>
    </r>
    <r>
      <rPr>
        <sz val="12"/>
        <rFont val="宋体"/>
        <family val="3"/>
        <charset val="134"/>
      </rPr>
      <t/>
    </r>
  </si>
  <si>
    <r>
      <t>第</t>
    </r>
    <r>
      <rPr>
        <sz val="12"/>
        <rFont val="Arial"/>
        <family val="2"/>
      </rPr>
      <t>7题</t>
    </r>
    <r>
      <rPr>
        <sz val="12"/>
        <rFont val="宋体"/>
        <family val="3"/>
        <charset val="134"/>
      </rPr>
      <t/>
    </r>
  </si>
  <si>
    <r>
      <t>第</t>
    </r>
    <r>
      <rPr>
        <sz val="12"/>
        <rFont val="Arial"/>
        <family val="2"/>
      </rPr>
      <t>8题</t>
    </r>
    <r>
      <rPr>
        <sz val="12"/>
        <rFont val="宋体"/>
        <family val="3"/>
        <charset val="134"/>
      </rPr>
      <t/>
    </r>
  </si>
  <si>
    <r>
      <t>第</t>
    </r>
    <r>
      <rPr>
        <sz val="12"/>
        <rFont val="Arial"/>
        <family val="2"/>
      </rPr>
      <t>1</t>
    </r>
    <r>
      <rPr>
        <sz val="12"/>
        <rFont val="宋体"/>
        <family val="3"/>
        <charset val="134"/>
      </rPr>
      <t>题</t>
    </r>
    <phoneticPr fontId="10" type="noConversion"/>
  </si>
  <si>
    <r>
      <t>第</t>
    </r>
    <r>
      <rPr>
        <sz val="12"/>
        <rFont val="Arial"/>
        <family val="2"/>
      </rPr>
      <t>2</t>
    </r>
    <r>
      <rPr>
        <sz val="12"/>
        <rFont val="宋体"/>
        <family val="3"/>
        <charset val="134"/>
      </rPr>
      <t>题</t>
    </r>
    <phoneticPr fontId="10" type="noConversion"/>
  </si>
  <si>
    <r>
      <t>第</t>
    </r>
    <r>
      <rPr>
        <sz val="12"/>
        <rFont val="Arial"/>
        <family val="2"/>
      </rPr>
      <t>3</t>
    </r>
    <r>
      <rPr>
        <sz val="12"/>
        <rFont val="宋体"/>
        <family val="3"/>
        <charset val="134"/>
      </rPr>
      <t>题</t>
    </r>
    <phoneticPr fontId="10" type="noConversion"/>
  </si>
  <si>
    <r>
      <t>第</t>
    </r>
    <r>
      <rPr>
        <sz val="12"/>
        <rFont val="Arial"/>
        <family val="2"/>
      </rPr>
      <t>4</t>
    </r>
    <r>
      <rPr>
        <sz val="12"/>
        <rFont val="宋体"/>
        <family val="3"/>
        <charset val="134"/>
      </rPr>
      <t>题</t>
    </r>
    <phoneticPr fontId="10" type="noConversion"/>
  </si>
  <si>
    <r>
      <t>第</t>
    </r>
    <r>
      <rPr>
        <sz val="12"/>
        <rFont val="Arial"/>
        <family val="2"/>
      </rPr>
      <t>5</t>
    </r>
    <r>
      <rPr>
        <sz val="12"/>
        <rFont val="宋体"/>
        <family val="3"/>
        <charset val="134"/>
      </rPr>
      <t>题</t>
    </r>
    <phoneticPr fontId="10" type="noConversion"/>
  </si>
  <si>
    <t>总分</t>
    <phoneticPr fontId="10" type="noConversion"/>
  </si>
  <si>
    <r>
      <t>第</t>
    </r>
    <r>
      <rPr>
        <sz val="12"/>
        <rFont val="Arial"/>
        <family val="2"/>
      </rPr>
      <t>9题</t>
    </r>
    <r>
      <rPr>
        <sz val="12"/>
        <rFont val="宋体"/>
        <family val="3"/>
        <charset val="134"/>
      </rPr>
      <t/>
    </r>
  </si>
  <si>
    <r>
      <t xml:space="preserve">《经济管理中的计算机应用》期末考试卷 </t>
    </r>
    <r>
      <rPr>
        <b/>
        <sz val="24"/>
        <color rgb="FFFF0000"/>
        <rFont val="微软雅黑"/>
        <family val="2"/>
        <charset val="134"/>
      </rPr>
      <t>A1</t>
    </r>
    <r>
      <rPr>
        <b/>
        <sz val="24"/>
        <color rgb="FF0070C0"/>
        <rFont val="微软雅黑"/>
        <family val="2"/>
        <charset val="134"/>
      </rPr>
      <t>卷（</t>
    </r>
    <r>
      <rPr>
        <b/>
        <sz val="24"/>
        <color rgb="FFFF0000"/>
        <rFont val="微软雅黑"/>
        <family val="2"/>
        <charset val="134"/>
      </rPr>
      <t>闭卷</t>
    </r>
    <r>
      <rPr>
        <b/>
        <sz val="24"/>
        <color rgb="FF0070C0"/>
        <rFont val="微软雅黑"/>
        <family val="2"/>
        <charset val="134"/>
      </rPr>
      <t>）</t>
    </r>
    <phoneticPr fontId="10" type="noConversion"/>
  </si>
  <si>
    <t>年月</t>
    <phoneticPr fontId="10" type="noConversion"/>
  </si>
  <si>
    <t>2022-2023学年 第二学期</t>
    <phoneticPr fontId="10" type="noConversion"/>
  </si>
  <si>
    <t>评估结果</t>
  </si>
  <si>
    <t>省份</t>
  </si>
  <si>
    <t>机构名称</t>
  </si>
  <si>
    <t>员工人数</t>
    <phoneticPr fontId="24" type="noConversion"/>
  </si>
  <si>
    <t>地区</t>
    <phoneticPr fontId="24" type="noConversion"/>
  </si>
  <si>
    <t>合格</t>
  </si>
  <si>
    <t>四川省</t>
  </si>
  <si>
    <t>阿坝州联社</t>
  </si>
  <si>
    <t>黑龙江省</t>
  </si>
  <si>
    <t>东北</t>
  </si>
  <si>
    <t>阿城联社</t>
  </si>
  <si>
    <t>吉林省</t>
  </si>
  <si>
    <t>观察</t>
  </si>
  <si>
    <t>内蒙古自治区</t>
  </si>
  <si>
    <t>阿尔山农商行</t>
  </si>
  <si>
    <t>辽宁省</t>
  </si>
  <si>
    <t>不合格</t>
  </si>
  <si>
    <t>新疆维吾尔自治区</t>
  </si>
  <si>
    <t>阿合奇县联社</t>
  </si>
  <si>
    <t>北京市</t>
  </si>
  <si>
    <t>华北</t>
    <phoneticPr fontId="24" type="noConversion"/>
  </si>
  <si>
    <t>甘肃省</t>
  </si>
  <si>
    <t>阿克塞农信社</t>
  </si>
  <si>
    <t>河北省</t>
  </si>
  <si>
    <t>阿克苏农商银行</t>
  </si>
  <si>
    <t>华北</t>
  </si>
  <si>
    <t>阿克陶县联社</t>
  </si>
  <si>
    <t>山西省</t>
  </si>
  <si>
    <t>阿拉善农商行</t>
  </si>
  <si>
    <t>天津市</t>
  </si>
  <si>
    <t>阿勒泰市联社</t>
  </si>
  <si>
    <t>安徽省</t>
  </si>
  <si>
    <t>华东</t>
  </si>
  <si>
    <t>阿鲁科尔沁农商银行</t>
  </si>
  <si>
    <t>福建省</t>
  </si>
  <si>
    <t>阿图什市联社</t>
  </si>
  <si>
    <t>江苏省</t>
  </si>
  <si>
    <t>阿瓦提县农信联社</t>
  </si>
  <si>
    <t>江西省</t>
  </si>
  <si>
    <t>安福农商银行</t>
  </si>
  <si>
    <t>山东省</t>
  </si>
  <si>
    <t>湖南省</t>
  </si>
  <si>
    <t>安化农商行</t>
  </si>
  <si>
    <t>上海市</t>
  </si>
  <si>
    <t>浙江省</t>
  </si>
  <si>
    <t>安吉农商行</t>
  </si>
  <si>
    <t>贵州省</t>
  </si>
  <si>
    <t>安龙农商行</t>
  </si>
  <si>
    <t>广东省</t>
  </si>
  <si>
    <t>华南</t>
  </si>
  <si>
    <t>湖北省</t>
  </si>
  <si>
    <t>安陆农商行</t>
  </si>
  <si>
    <t>广西壮族自治区</t>
  </si>
  <si>
    <t>安庆农村商业银行</t>
  </si>
  <si>
    <t>海南省</t>
  </si>
  <si>
    <t>安丘农村商业银行</t>
  </si>
  <si>
    <t>河南省</t>
  </si>
  <si>
    <t>华中</t>
  </si>
  <si>
    <t>安仁农商银行</t>
  </si>
  <si>
    <t>陕西省</t>
  </si>
  <si>
    <t>安塞建信村镇银行</t>
  </si>
  <si>
    <t>安塞农银村镇银行</t>
  </si>
  <si>
    <t>西北</t>
  </si>
  <si>
    <t>安顺农商银行</t>
  </si>
  <si>
    <t>宁夏回族自治区</t>
  </si>
  <si>
    <t>安图农村商业银行</t>
  </si>
  <si>
    <t>青海省</t>
  </si>
  <si>
    <t>安溪县农联社</t>
  </si>
  <si>
    <t>安阳商都农商银行</t>
  </si>
  <si>
    <t>安阳相州农商银行</t>
  </si>
  <si>
    <t>西南</t>
  </si>
  <si>
    <t>安阳珠江村镇银行</t>
  </si>
  <si>
    <t>西南</t>
    <phoneticPr fontId="24" type="noConversion"/>
  </si>
  <si>
    <t>安义农商行</t>
  </si>
  <si>
    <t>西藏自治区</t>
  </si>
  <si>
    <t>安远农商行</t>
  </si>
  <si>
    <t>云南省</t>
  </si>
  <si>
    <t>安泽县联社</t>
  </si>
  <si>
    <t>重庆市</t>
  </si>
  <si>
    <t>安州农商银行</t>
  </si>
  <si>
    <t>鞍山海城金海村镇银行</t>
  </si>
  <si>
    <t>鞍山农商行</t>
  </si>
  <si>
    <t>鞍山千山金泉村镇银行</t>
  </si>
  <si>
    <t>鞍山台安金安村镇银行</t>
  </si>
  <si>
    <t>鞍山岫岩农商行</t>
  </si>
  <si>
    <t>鞍山银行</t>
  </si>
  <si>
    <t>敖汉旗农村信用合作联社</t>
  </si>
  <si>
    <t>澳新银行</t>
  </si>
  <si>
    <t>巴楚县联社</t>
  </si>
  <si>
    <t>巴东农商行</t>
  </si>
  <si>
    <t>巴林右旗农村信用合作联社</t>
  </si>
  <si>
    <t>巴林左旗农村信用合作联社</t>
  </si>
  <si>
    <t>巴马联社</t>
  </si>
  <si>
    <t>巴中农商银行</t>
  </si>
  <si>
    <t>巴中中银富登村镇银行</t>
  </si>
  <si>
    <t>霸州市联社</t>
  </si>
  <si>
    <t>白城农商行</t>
  </si>
  <si>
    <t>白河农商银行</t>
  </si>
  <si>
    <t>百色右江华润村镇银行</t>
  </si>
  <si>
    <t>柏乡县联社</t>
  </si>
  <si>
    <t>拜城县农信联社</t>
  </si>
  <si>
    <t>拜泉融兴村镇银行</t>
  </si>
  <si>
    <t>蚌埠农村商业银行</t>
  </si>
  <si>
    <t>包商银行</t>
  </si>
  <si>
    <t>包头农商银行</t>
  </si>
  <si>
    <t>包头市高新银通村镇银行有限责任公司</t>
  </si>
  <si>
    <t>宝丰农商银行</t>
  </si>
  <si>
    <t>宝丰豫丰村镇银行</t>
  </si>
  <si>
    <t>宝鸡渭滨农商银行</t>
  </si>
  <si>
    <t>宝清广益村镇银行</t>
  </si>
  <si>
    <t>宝清联社</t>
  </si>
  <si>
    <t>宝兴联社</t>
  </si>
  <si>
    <t>宝应锦程村镇银行</t>
  </si>
  <si>
    <t>宝应农商银行</t>
  </si>
  <si>
    <t>保德信用联社</t>
  </si>
  <si>
    <t>保定银行</t>
  </si>
  <si>
    <t>保靖农商行</t>
  </si>
  <si>
    <t>保康农商行</t>
  </si>
  <si>
    <t>北安农商银行</t>
  </si>
  <si>
    <t>北辰村镇银行</t>
  </si>
  <si>
    <t>北川农联社</t>
  </si>
  <si>
    <t>北都农商银行</t>
  </si>
  <si>
    <t>北海市区农联社</t>
  </si>
  <si>
    <t>北京农商银行</t>
  </si>
  <si>
    <t>北林区联社</t>
  </si>
  <si>
    <t>北流联社</t>
  </si>
  <si>
    <t>北屯国民村镇银行</t>
  </si>
  <si>
    <t>北屯农村信用社</t>
  </si>
  <si>
    <t>本溪桓仁农商行</t>
  </si>
  <si>
    <t>本溪南芬农商行</t>
  </si>
  <si>
    <t>本溪沈本农商行</t>
  </si>
  <si>
    <t>本溪市商业银行</t>
  </si>
  <si>
    <t>汴京农村商业银行</t>
  </si>
  <si>
    <t>宾阳农信社</t>
  </si>
  <si>
    <t>宾州农商银行</t>
  </si>
  <si>
    <t>滨州农商银行</t>
  </si>
  <si>
    <t>博爱县农联社</t>
  </si>
  <si>
    <t>博白联社</t>
  </si>
  <si>
    <t>博湖农商行</t>
  </si>
  <si>
    <t>博乐农商银行</t>
  </si>
  <si>
    <t>博罗农商银行</t>
  </si>
  <si>
    <t>博山农商银行</t>
  </si>
  <si>
    <t>布尔津联社</t>
  </si>
  <si>
    <t>苍南建信村镇银行</t>
  </si>
  <si>
    <t>苍南农商银行</t>
  </si>
  <si>
    <t>苍梧联社</t>
  </si>
  <si>
    <t>苍溪农商银行</t>
  </si>
  <si>
    <t>沧县吉银村镇银行股份有限公司</t>
  </si>
  <si>
    <t>沧县联社</t>
  </si>
  <si>
    <t>沧州农商银行</t>
  </si>
  <si>
    <t>沧州银行</t>
  </si>
  <si>
    <t>曹妃甸农商银行</t>
  </si>
  <si>
    <t>曹县农商银行</t>
  </si>
  <si>
    <t>册亨联社</t>
  </si>
  <si>
    <t>岑巩县农村信用联社</t>
  </si>
  <si>
    <t>岑溪农商行</t>
  </si>
  <si>
    <t>茶陵农商银行</t>
  </si>
  <si>
    <t>茶陵浦发村镇银行</t>
  </si>
  <si>
    <t>察布查尔县农村信用社</t>
  </si>
  <si>
    <t>察哈尔右翼中旗农联社</t>
  </si>
  <si>
    <t>察右后旗联社</t>
  </si>
  <si>
    <t>察右前旗农村商业银行</t>
  </si>
  <si>
    <t>柴达木农商行</t>
  </si>
  <si>
    <t>昌吉农商银行</t>
  </si>
  <si>
    <t>昌乐农村商业银行</t>
  </si>
  <si>
    <t>昌黎联社</t>
  </si>
  <si>
    <t>昌邑农村商业银行</t>
  </si>
  <si>
    <t>常德农商银行</t>
  </si>
  <si>
    <t>常山县农联社</t>
  </si>
  <si>
    <t>常熟农商银行</t>
  </si>
  <si>
    <t>巢湖农村商业银行</t>
  </si>
  <si>
    <t>朝阳北票市农信社</t>
  </si>
  <si>
    <t>朝阳建平红山村镇银行</t>
  </si>
  <si>
    <t>朝阳建平县农信社</t>
  </si>
  <si>
    <t>朝阳凌源市农信社</t>
  </si>
  <si>
    <t>朝阳双塔区农信社</t>
  </si>
  <si>
    <t>朝阳银行</t>
  </si>
  <si>
    <t>潮安农信</t>
  </si>
  <si>
    <t>潮阳农信联社</t>
  </si>
  <si>
    <t>潮州市区联社</t>
  </si>
  <si>
    <t>郴州农商银行</t>
  </si>
  <si>
    <t>辰溪农商行</t>
  </si>
  <si>
    <t>陈仓区信用联社</t>
  </si>
  <si>
    <t>成都农商银行</t>
  </si>
  <si>
    <t>成都银行</t>
  </si>
  <si>
    <t>成武农商银行</t>
  </si>
  <si>
    <t>承德市郊区联社</t>
  </si>
  <si>
    <t>承德县联社</t>
  </si>
  <si>
    <t>承德银行</t>
  </si>
  <si>
    <t>城步农商银行</t>
  </si>
  <si>
    <t>澄海农信联社</t>
  </si>
  <si>
    <t>池州九华农村商业银行</t>
  </si>
  <si>
    <t>茌平农商行</t>
  </si>
  <si>
    <t>赤壁农商行</t>
  </si>
  <si>
    <t>赤城联社</t>
  </si>
  <si>
    <t>赤峰红山区农联社</t>
  </si>
  <si>
    <t>赤峰松山农商银行</t>
  </si>
  <si>
    <t>赤峰元宝山农商银行</t>
  </si>
  <si>
    <t>赤水联社</t>
  </si>
  <si>
    <t>崇仁九银村镇银行</t>
  </si>
  <si>
    <t>崇仁农商行</t>
  </si>
  <si>
    <t>崇阳农商行</t>
  </si>
  <si>
    <t>崇义农商行</t>
  </si>
  <si>
    <t>淳安农商行</t>
  </si>
  <si>
    <t>淳化联社</t>
  </si>
  <si>
    <t>慈利沪农商村镇银行</t>
  </si>
  <si>
    <t>慈利农商行</t>
  </si>
  <si>
    <t>慈溪农商银行</t>
  </si>
  <si>
    <t>枞阳农村商业银行</t>
  </si>
  <si>
    <t>枞阳泰业村镇银行</t>
  </si>
  <si>
    <t>达拉特旗农联社</t>
  </si>
  <si>
    <t>达州农商银行</t>
  </si>
  <si>
    <t>达州银行</t>
  </si>
  <si>
    <t>大安农商行</t>
  </si>
  <si>
    <t>大厂农村商业银行</t>
  </si>
  <si>
    <t>大丰江南村镇银行</t>
  </si>
  <si>
    <t>大华银行</t>
  </si>
  <si>
    <t>大化联社</t>
  </si>
  <si>
    <t>大连旅顺口蒙银村镇银行</t>
  </si>
  <si>
    <t>大连农商行</t>
  </si>
  <si>
    <t>大连银行</t>
  </si>
  <si>
    <t>大连庄河汇通村镇银行</t>
  </si>
  <si>
    <t>大埔农商行</t>
  </si>
  <si>
    <t>大庆农商银行</t>
  </si>
  <si>
    <t>大通农商行</t>
  </si>
  <si>
    <t>大同银行</t>
  </si>
  <si>
    <t>大悟农商行</t>
  </si>
  <si>
    <t>大新农商行</t>
  </si>
  <si>
    <t>大兴安岭农商银行</t>
  </si>
  <si>
    <t>大冶农商行</t>
  </si>
  <si>
    <t>大英农商银行</t>
  </si>
  <si>
    <t>大余农商行</t>
  </si>
  <si>
    <t>大竹农商行</t>
  </si>
  <si>
    <t>大竹渝农商村镇银行</t>
  </si>
  <si>
    <t>岱山农商银行</t>
  </si>
  <si>
    <t>岱岳农商银行</t>
  </si>
  <si>
    <t>丹东百丰村镇银行</t>
  </si>
  <si>
    <t>丹东鼎安村镇银行</t>
  </si>
  <si>
    <t>丹东鼎元村镇银行</t>
  </si>
  <si>
    <t>丹东东港农商行</t>
  </si>
  <si>
    <t>丹东丰益村镇银行</t>
  </si>
  <si>
    <t>丹东凤城农商行</t>
  </si>
  <si>
    <t>丹东福汇村镇银行</t>
  </si>
  <si>
    <t>丹东宽甸农商行</t>
  </si>
  <si>
    <t>丹东农商行</t>
  </si>
  <si>
    <t>丹东同合村镇银行</t>
  </si>
  <si>
    <t>丹东银行</t>
  </si>
  <si>
    <t>丹江口农商行</t>
  </si>
  <si>
    <t>丹棱县农村信用合作联社</t>
  </si>
  <si>
    <t>丹阳农商银行</t>
  </si>
  <si>
    <t>丹寨县联社</t>
  </si>
  <si>
    <t>单县农商银行</t>
  </si>
  <si>
    <t>郸城联社</t>
  </si>
  <si>
    <t>当阳农商行</t>
  </si>
  <si>
    <t>砀山农村商业银行</t>
  </si>
  <si>
    <t>宕昌农信社</t>
  </si>
  <si>
    <t>道县农商银行</t>
  </si>
  <si>
    <t>道真县农村信用合作联社</t>
  </si>
  <si>
    <t>德保联社</t>
  </si>
  <si>
    <t>德化县农联社</t>
  </si>
  <si>
    <t>德惠农商行</t>
  </si>
  <si>
    <t>德江联社</t>
  </si>
  <si>
    <t>德清农商行</t>
  </si>
  <si>
    <t>德庆农信联社</t>
  </si>
  <si>
    <t>德兴农商银行</t>
  </si>
  <si>
    <t>德阳旌阳农联社</t>
  </si>
  <si>
    <t>德银中国</t>
  </si>
  <si>
    <t>德州农商银行</t>
  </si>
  <si>
    <t>德州银行</t>
  </si>
  <si>
    <t>邓州农商行</t>
  </si>
  <si>
    <t>电白联社</t>
  </si>
  <si>
    <t>鼎湖联社</t>
  </si>
  <si>
    <t>定边农商银行</t>
  </si>
  <si>
    <t>定海德商村镇银行</t>
  </si>
  <si>
    <t>定海海洋农商银行</t>
  </si>
  <si>
    <t>定南农商行</t>
  </si>
  <si>
    <t>定陶农商银行</t>
  </si>
  <si>
    <t>定西农商行</t>
  </si>
  <si>
    <t>定襄联社</t>
  </si>
  <si>
    <t>定远农村商业银行</t>
  </si>
  <si>
    <t>定州农商银行</t>
  </si>
  <si>
    <t>东阿农商行</t>
  </si>
  <si>
    <t>东安农商银行</t>
  </si>
  <si>
    <t>东方汇理银行</t>
  </si>
  <si>
    <t>东港农商银行</t>
  </si>
  <si>
    <t>东莞农村商业银行</t>
  </si>
  <si>
    <t>东莞银行</t>
  </si>
  <si>
    <t>东光县农村信用联社</t>
  </si>
  <si>
    <t>东海农商银行</t>
  </si>
  <si>
    <t>东明农商银行</t>
  </si>
  <si>
    <t>东宁农商银行</t>
  </si>
  <si>
    <t>东宁润生村镇银行</t>
  </si>
  <si>
    <t>东平农商银行</t>
  </si>
  <si>
    <t>东台稠州村镇银行</t>
  </si>
  <si>
    <t>东乡农商行</t>
  </si>
  <si>
    <t>东兴国民村镇银行</t>
  </si>
  <si>
    <t>东兴农商行</t>
  </si>
  <si>
    <t>东亚银行</t>
  </si>
  <si>
    <t>东阳富民村镇银行</t>
  </si>
  <si>
    <t>东阳农商银行</t>
  </si>
  <si>
    <t>东营莱商村镇银行</t>
  </si>
  <si>
    <t>东营农商行</t>
  </si>
  <si>
    <t>东营银行</t>
  </si>
  <si>
    <t>东源农商银行</t>
  </si>
  <si>
    <t>东至农村商业银行</t>
  </si>
  <si>
    <t>东至扬子村镇银行</t>
  </si>
  <si>
    <t>洞口农商银行</t>
  </si>
  <si>
    <t>洞头富民村镇银行</t>
  </si>
  <si>
    <t>洞头农商银行</t>
  </si>
  <si>
    <t>都昌农商行</t>
  </si>
  <si>
    <t>都兰农商行</t>
  </si>
  <si>
    <t>都匀农商行</t>
  </si>
  <si>
    <t>独山农商行</t>
  </si>
  <si>
    <t>杜蒙农商银行</t>
  </si>
  <si>
    <t>敦化农村商业银行</t>
  </si>
  <si>
    <t>敦煌农商行</t>
  </si>
  <si>
    <t>多伦联社</t>
  </si>
  <si>
    <t>额敏县联社</t>
  </si>
  <si>
    <t>鄂尔多斯农商银行</t>
  </si>
  <si>
    <t>鄂尔多斯银行</t>
  </si>
  <si>
    <t>鄂托克前旗农商银行</t>
  </si>
  <si>
    <t>鄂温克包商村镇银行</t>
  </si>
  <si>
    <t>鄂温克族自治旗农村信用合作联社</t>
  </si>
  <si>
    <t>鄂州农商银行</t>
  </si>
  <si>
    <t>恩施农商行</t>
  </si>
  <si>
    <t>恩施兴福村镇银行</t>
  </si>
  <si>
    <t>法巴中国</t>
  </si>
  <si>
    <t>繁昌建信村镇银行</t>
  </si>
  <si>
    <t>繁昌农村商业银行</t>
  </si>
  <si>
    <t>繁峙农商行</t>
  </si>
  <si>
    <t>方城凤裕村镇银行</t>
  </si>
  <si>
    <t>方城联社</t>
  </si>
  <si>
    <t>方山联社</t>
  </si>
  <si>
    <t>方正农商银行</t>
  </si>
  <si>
    <t>防城港市区联社</t>
  </si>
  <si>
    <t>防城国民村镇银行</t>
  </si>
  <si>
    <t>防城区联社</t>
  </si>
  <si>
    <t>房县农商行</t>
  </si>
  <si>
    <t>肥城农商银行</t>
  </si>
  <si>
    <t>肥东湖商村镇银行</t>
  </si>
  <si>
    <t>肥东农村商业银行</t>
  </si>
  <si>
    <t>肥西农村商业银行</t>
  </si>
  <si>
    <t>肥西石银村镇银行</t>
  </si>
  <si>
    <t>费县农商银行</t>
  </si>
  <si>
    <t>汾阳九都村镇银行</t>
  </si>
  <si>
    <t>汾阳信用联社</t>
  </si>
  <si>
    <t>丰城农商银行</t>
  </si>
  <si>
    <t>丰宁建信</t>
  </si>
  <si>
    <t>丰宁农商银行</t>
  </si>
  <si>
    <t>丰顺县农村信用合作联社</t>
  </si>
  <si>
    <t>丰县民丰村镇银行</t>
  </si>
  <si>
    <t>丰县农商银行</t>
  </si>
  <si>
    <t>丰镇市联社</t>
  </si>
  <si>
    <t>封开县农信社</t>
  </si>
  <si>
    <t>封丘联社</t>
  </si>
  <si>
    <t>凤冈联社</t>
  </si>
  <si>
    <t>凤凰农商行</t>
  </si>
  <si>
    <t>凤山县联社</t>
  </si>
  <si>
    <t>凤台农村商业银行</t>
  </si>
  <si>
    <t>凤县农商银行</t>
  </si>
  <si>
    <t>凤阳利民村镇银行</t>
  </si>
  <si>
    <t>凤阳农村商业银行</t>
  </si>
  <si>
    <t>奉新农商银行</t>
  </si>
  <si>
    <t>扶沟县联社</t>
  </si>
  <si>
    <t>扶绥农村商业银行</t>
  </si>
  <si>
    <t>佛冈联社</t>
  </si>
  <si>
    <t>佛山农商银行</t>
  </si>
  <si>
    <t>佛山三水区农联社</t>
  </si>
  <si>
    <t>浮梁农商村镇银行</t>
  </si>
  <si>
    <t>福海县联社</t>
  </si>
  <si>
    <t>福建福清汇通农商行</t>
  </si>
  <si>
    <t>福建海峡银行</t>
  </si>
  <si>
    <t>福建南安农商行</t>
  </si>
  <si>
    <t>福建三明农商行</t>
  </si>
  <si>
    <t>福建上杭农商行</t>
  </si>
  <si>
    <t>福建漳平农商行</t>
  </si>
  <si>
    <t>福建漳州农商行</t>
  </si>
  <si>
    <t>福泉农商行</t>
  </si>
  <si>
    <t>福州农商行</t>
  </si>
  <si>
    <t>福州市连江恒欣村镇银行</t>
  </si>
  <si>
    <t>福州市连江县农信社</t>
  </si>
  <si>
    <t>福州市罗源县农信社</t>
  </si>
  <si>
    <t>福州市平潭农商行</t>
  </si>
  <si>
    <t>抚宁联社</t>
  </si>
  <si>
    <t>抚顺银行</t>
  </si>
  <si>
    <t>抚远农商银行</t>
  </si>
  <si>
    <t>抚州农商行</t>
  </si>
  <si>
    <t>府谷农商行</t>
  </si>
  <si>
    <t>阜城农商行</t>
  </si>
  <si>
    <t>阜康农商银行</t>
  </si>
  <si>
    <t>阜南农村商业银行</t>
  </si>
  <si>
    <t>阜宁农商行</t>
  </si>
  <si>
    <t>阜新阜蒙县农信社</t>
  </si>
  <si>
    <t>阜新农商行</t>
  </si>
  <si>
    <t>阜新银行</t>
  </si>
  <si>
    <t>富邦华一银行</t>
  </si>
  <si>
    <t>富川农商行</t>
  </si>
  <si>
    <t>富滇银行</t>
  </si>
  <si>
    <t>富顺农村商业银行</t>
  </si>
  <si>
    <t>富阳恒通村镇银行</t>
  </si>
  <si>
    <t>富阳农商银行</t>
  </si>
  <si>
    <t>富裕联社</t>
  </si>
  <si>
    <t>富蕴县农村信用合作联社</t>
  </si>
  <si>
    <t>富蕴中成村镇银行</t>
  </si>
  <si>
    <t>伽师县联社</t>
  </si>
  <si>
    <t>甘谷农信社</t>
  </si>
  <si>
    <t>甘南农商银行</t>
  </si>
  <si>
    <t>甘肃银行</t>
  </si>
  <si>
    <t>甘孜州联社</t>
  </si>
  <si>
    <t>赣昌农商银行</t>
  </si>
  <si>
    <t>赣县农商行</t>
  </si>
  <si>
    <t>赣州农商行</t>
  </si>
  <si>
    <t>赣州银行</t>
  </si>
  <si>
    <t>刚察联社</t>
  </si>
  <si>
    <t>高安农商银行</t>
  </si>
  <si>
    <t>高港兴福村镇银行</t>
  </si>
  <si>
    <t>高密农村商业银行</t>
  </si>
  <si>
    <t>高平农商行</t>
  </si>
  <si>
    <t>高青农商银行</t>
  </si>
  <si>
    <t>高台农商行</t>
  </si>
  <si>
    <t>高唐农商行</t>
  </si>
  <si>
    <t>高要农村商业银行</t>
  </si>
  <si>
    <t>高邮农村商业银行</t>
  </si>
  <si>
    <t>高邮兴福村镇银行</t>
  </si>
  <si>
    <t>高州联社</t>
  </si>
  <si>
    <t>藁城联社</t>
  </si>
  <si>
    <t>格尔木农商行</t>
  </si>
  <si>
    <t>公安农商行</t>
  </si>
  <si>
    <t>公安中银富登村镇银行</t>
  </si>
  <si>
    <t>公主岭农商行</t>
  </si>
  <si>
    <t>巩留县联社</t>
  </si>
  <si>
    <t>巩义农商银行</t>
  </si>
  <si>
    <t>巩义浦发村镇银行</t>
  </si>
  <si>
    <t>共和农商行</t>
  </si>
  <si>
    <t>共青农商行</t>
  </si>
  <si>
    <t>沽源农商银行</t>
  </si>
  <si>
    <t>古浪农商银行</t>
  </si>
  <si>
    <t>古县信用联社</t>
  </si>
  <si>
    <t>古丈农商行</t>
  </si>
  <si>
    <t>固始农商行</t>
  </si>
  <si>
    <t>固始天骄村镇银行</t>
  </si>
  <si>
    <t>固原农村商业银行</t>
  </si>
  <si>
    <t>固镇农村商业银行</t>
  </si>
  <si>
    <t>固镇新淮河村镇银行</t>
  </si>
  <si>
    <t>瓜州农商行</t>
  </si>
  <si>
    <t>关岭农商行</t>
  </si>
  <si>
    <t>灌阳农商行</t>
  </si>
  <si>
    <t>灌云农商行</t>
  </si>
  <si>
    <t>光山联社</t>
  </si>
  <si>
    <t>广安恒丰村镇银行</t>
  </si>
  <si>
    <t>广安农商银行</t>
  </si>
  <si>
    <t>广昌南银村镇银行</t>
  </si>
  <si>
    <t>广昌农商行</t>
  </si>
  <si>
    <t>广德农村商业银行</t>
  </si>
  <si>
    <t>广德扬子村镇银行</t>
  </si>
  <si>
    <t>广东高明农商行</t>
  </si>
  <si>
    <t>广东华兴银行</t>
  </si>
  <si>
    <t>广东揭西农村商业银行</t>
  </si>
  <si>
    <t>广东南海农商行</t>
  </si>
  <si>
    <t>广东南粤银行</t>
  </si>
  <si>
    <t>广东顺德农商行</t>
  </si>
  <si>
    <t>广东新兴农村商业银行</t>
  </si>
  <si>
    <t>广丰广信村镇银行</t>
  </si>
  <si>
    <t>广丰农商银行</t>
  </si>
  <si>
    <t>广汉农商银行</t>
  </si>
  <si>
    <t>广汉珠江村镇银行</t>
  </si>
  <si>
    <t>广陵中成村镇银行</t>
  </si>
  <si>
    <t>广宁县农联社</t>
  </si>
  <si>
    <t>广饶农商行</t>
  </si>
  <si>
    <t>广西北部湾银行</t>
  </si>
  <si>
    <t>广西恭城农村商业银行</t>
  </si>
  <si>
    <t>广西桂平桂银村镇银行股份有限公司</t>
  </si>
  <si>
    <t>广西平果农合行</t>
  </si>
  <si>
    <t>广西融水柳银村镇银行</t>
  </si>
  <si>
    <t>广西藤县桂银村镇银行</t>
  </si>
  <si>
    <t>广西兴安民兴村镇银行</t>
  </si>
  <si>
    <t>广信农商银行</t>
  </si>
  <si>
    <t>广元市贵商村镇银行</t>
  </si>
  <si>
    <t>广元市利州区农村信用合作联社</t>
  </si>
  <si>
    <t>广元市昭化区农村信用合作联社</t>
  </si>
  <si>
    <t>广州花都稠州村镇银行股份有限公司</t>
  </si>
  <si>
    <t>广州农村商业银行</t>
  </si>
  <si>
    <t>广州银行</t>
  </si>
  <si>
    <t>广宗县农村信用联社</t>
  </si>
  <si>
    <t>贵池民生村镇银行</t>
  </si>
  <si>
    <t>贵德联社</t>
  </si>
  <si>
    <t>贵定农信社</t>
  </si>
  <si>
    <t>贵港市区联社</t>
  </si>
  <si>
    <t>贵南联社</t>
  </si>
  <si>
    <t>贵阳农商银行</t>
  </si>
  <si>
    <t>贵阳银行股份有限公司</t>
  </si>
  <si>
    <t>贵州毕节农商银行</t>
  </si>
  <si>
    <t>贵州从江农商银行</t>
  </si>
  <si>
    <t>贵州大方农村商业银行</t>
  </si>
  <si>
    <t>贵州花溪农商银行</t>
  </si>
  <si>
    <t>贵州黎平农商银行</t>
  </si>
  <si>
    <t>贵州普安农商银行</t>
  </si>
  <si>
    <t>贵州清镇农商行</t>
  </si>
  <si>
    <t>贵州晴隆农商银行</t>
  </si>
  <si>
    <t>贵州桐梓农商银行</t>
  </si>
  <si>
    <t>贵州乌当农商银行</t>
  </si>
  <si>
    <t>贵州兴仁农村商业银行</t>
  </si>
  <si>
    <t>贵州兴义农商行</t>
  </si>
  <si>
    <t>贵州银行</t>
  </si>
  <si>
    <t>贵州贞丰农商银行</t>
  </si>
  <si>
    <t>桂东农合行</t>
  </si>
  <si>
    <t>桂东农商银行</t>
  </si>
  <si>
    <t>桂林国民村镇银行</t>
  </si>
  <si>
    <t>桂林银行</t>
  </si>
  <si>
    <t>桂平市农村信用社</t>
  </si>
  <si>
    <t>桂阳农商银行</t>
  </si>
  <si>
    <t>果洛联社</t>
  </si>
  <si>
    <t>哈巴河联社</t>
  </si>
  <si>
    <t>哈尔滨农商银行</t>
  </si>
  <si>
    <t>哈尔滨银行</t>
  </si>
  <si>
    <t>哈密市商业银行</t>
  </si>
  <si>
    <t>海安农村商业银行</t>
  </si>
  <si>
    <t>海安盐海村镇银行</t>
  </si>
  <si>
    <t>海丰联社</t>
  </si>
  <si>
    <t>海科农商行</t>
  </si>
  <si>
    <t>海口联合农村商业银行</t>
  </si>
  <si>
    <t>海口农商行</t>
  </si>
  <si>
    <t>海口市联社</t>
  </si>
  <si>
    <t>海林联社</t>
  </si>
  <si>
    <t>海林远东村镇银行</t>
  </si>
  <si>
    <t>海陵联社</t>
  </si>
  <si>
    <t>海门农商行</t>
  </si>
  <si>
    <t>海南银行</t>
  </si>
  <si>
    <t>海宁农商银行</t>
  </si>
  <si>
    <t>海兴联社</t>
  </si>
  <si>
    <t>海盐农商银行</t>
  </si>
  <si>
    <t>海晏联社</t>
  </si>
  <si>
    <t>海原县农村信用合作联社</t>
  </si>
  <si>
    <t>邗江联合村镇银行</t>
  </si>
  <si>
    <t>邗江民泰村镇银行</t>
  </si>
  <si>
    <t>邯郸农商银行</t>
  </si>
  <si>
    <t>邯郸县联社</t>
  </si>
  <si>
    <t>邯郸银行</t>
  </si>
  <si>
    <t>含山农村商业银行</t>
  </si>
  <si>
    <t>韩城农商行</t>
  </si>
  <si>
    <t>韩亚银行（中国）</t>
  </si>
  <si>
    <t>汉川农商行</t>
  </si>
  <si>
    <t>汉口银行</t>
  </si>
  <si>
    <t>汉寿农商银行</t>
  </si>
  <si>
    <t>汉阴农商银行</t>
  </si>
  <si>
    <t>汉源县农联社</t>
  </si>
  <si>
    <t>杭锦旗农村信用合作联社</t>
  </si>
  <si>
    <t>杭州联合银行</t>
  </si>
  <si>
    <t>杭州银行</t>
  </si>
  <si>
    <t>禾城农商银行</t>
  </si>
  <si>
    <t>合肥科技农村商业银行</t>
  </si>
  <si>
    <t>合浦联社</t>
  </si>
  <si>
    <t>合山联社</t>
  </si>
  <si>
    <t>和丰县信用社</t>
  </si>
  <si>
    <t>和静县农信社</t>
  </si>
  <si>
    <t>和林县联社</t>
  </si>
  <si>
    <t>和龙农商银行</t>
  </si>
  <si>
    <t>和平农信社</t>
  </si>
  <si>
    <t>和硕县农信社</t>
  </si>
  <si>
    <t>和县农村商业银行</t>
  </si>
  <si>
    <t>和县新华村镇银行</t>
  </si>
  <si>
    <t>河北深泽联社</t>
  </si>
  <si>
    <t>河北银行</t>
  </si>
  <si>
    <t>河北正定农商行</t>
  </si>
  <si>
    <t>河池市区联社</t>
  </si>
  <si>
    <t>河东农商银行</t>
  </si>
  <si>
    <t>河东齐商村镇银行</t>
  </si>
  <si>
    <t>河间联社</t>
  </si>
  <si>
    <t>河南登封农商行</t>
  </si>
  <si>
    <t>河南兰考农商行</t>
  </si>
  <si>
    <t>河南联社</t>
  </si>
  <si>
    <t>河南孟州农商行</t>
  </si>
  <si>
    <t>河曲联社</t>
  </si>
  <si>
    <t>河套农村商业银行</t>
  </si>
  <si>
    <t>河源农商行</t>
  </si>
  <si>
    <t>菏泽农商银行</t>
  </si>
  <si>
    <t>贺兰回商村镇银行</t>
  </si>
  <si>
    <t>贺兰农村商业银行</t>
  </si>
  <si>
    <t>赫章联社</t>
  </si>
  <si>
    <t>鹤壁农商银行</t>
  </si>
  <si>
    <t>鹤峰农商行</t>
  </si>
  <si>
    <t>鹤山市农联社</t>
  </si>
  <si>
    <t>黑河农商银行</t>
  </si>
  <si>
    <t>恒生银行</t>
  </si>
  <si>
    <t>横峰农商银行</t>
  </si>
  <si>
    <t>横山农商银行</t>
  </si>
  <si>
    <t>衡南农商银行</t>
  </si>
  <si>
    <t>衡水农商行</t>
  </si>
  <si>
    <t>衡阳农商银行</t>
  </si>
  <si>
    <t>红花岗农商银行</t>
  </si>
  <si>
    <t>红寺堡区农村信用合作社</t>
  </si>
  <si>
    <t>洪洞农商行</t>
  </si>
  <si>
    <t>洪湖农商行</t>
  </si>
  <si>
    <t>洪湖融兴村镇银行</t>
  </si>
  <si>
    <t>洪雅县农村信用合作联社</t>
  </si>
  <si>
    <t>洪泽农商行</t>
  </si>
  <si>
    <t>侯马农商银行</t>
  </si>
  <si>
    <t>侯马市太行村镇银行</t>
  </si>
  <si>
    <t>呼伦贝尔农村商业银行</t>
  </si>
  <si>
    <t>呼玛农商银行</t>
  </si>
  <si>
    <t>呼图壁农商银行</t>
  </si>
  <si>
    <t>壶关农商银行</t>
  </si>
  <si>
    <t>葫芦岛国信村镇银行</t>
  </si>
  <si>
    <t>葫芦岛建昌恒昌村镇银行</t>
  </si>
  <si>
    <t>葫芦岛建昌县农信社</t>
  </si>
  <si>
    <t>葫芦岛农商行</t>
  </si>
  <si>
    <t>葫芦岛绥中县农信社</t>
  </si>
  <si>
    <t>葫芦岛绥中长丰村镇银行</t>
  </si>
  <si>
    <t>葫芦岛兴城农商行</t>
  </si>
  <si>
    <t>葫芦岛兴城长兴村镇银行</t>
  </si>
  <si>
    <t>葫芦岛银行</t>
  </si>
  <si>
    <t>湖北汉川农银村镇银行</t>
  </si>
  <si>
    <t>湖北银行</t>
  </si>
  <si>
    <t>湖滨农商银行</t>
  </si>
  <si>
    <t>湖口农商银行</t>
  </si>
  <si>
    <t>湖南衡山农商银行</t>
  </si>
  <si>
    <t>湖南三湘银行</t>
  </si>
  <si>
    <t>湖南湘江新区农商行</t>
  </si>
  <si>
    <t>湖南炎陵农商行</t>
  </si>
  <si>
    <t>湖州银行</t>
  </si>
  <si>
    <t>虎林农商银行</t>
  </si>
  <si>
    <t>互助农商银行</t>
  </si>
  <si>
    <t>花旗中国</t>
  </si>
  <si>
    <t>花垣农商行</t>
  </si>
  <si>
    <t>华明村镇银行</t>
  </si>
  <si>
    <t>华侨永亨银行</t>
  </si>
  <si>
    <t>华容农商银行</t>
  </si>
  <si>
    <t>华融湘江银行</t>
  </si>
  <si>
    <t>深圳市</t>
  </si>
  <si>
    <t>华商银行</t>
  </si>
  <si>
    <t>滑县农商银行</t>
  </si>
  <si>
    <t>滑县中银富登村镇银行</t>
  </si>
  <si>
    <t>化德联社</t>
  </si>
  <si>
    <t>化隆联社</t>
  </si>
  <si>
    <t>化州联社</t>
  </si>
  <si>
    <t>桦甸农商行</t>
  </si>
  <si>
    <t>怀集县农联社</t>
  </si>
  <si>
    <t>怀来农商行</t>
  </si>
  <si>
    <t>怀宁江淮村镇银行</t>
  </si>
  <si>
    <t>怀宁农村商业银行</t>
  </si>
  <si>
    <t>怀远本富村镇银行</t>
  </si>
  <si>
    <t>怀远农村商业银行</t>
  </si>
  <si>
    <t>淮安农商行</t>
  </si>
  <si>
    <t>淮北农村商业银行</t>
  </si>
  <si>
    <t>淮滨农商银行</t>
  </si>
  <si>
    <t>淮海农商银行</t>
  </si>
  <si>
    <t>淮河农村商业银行</t>
  </si>
  <si>
    <t>淮阳县农联社</t>
  </si>
  <si>
    <t>环江县信用联社</t>
  </si>
  <si>
    <t>黄冈农商行</t>
  </si>
  <si>
    <t>黄河农村商业银行</t>
  </si>
  <si>
    <t>黄骅农商银行</t>
  </si>
  <si>
    <t>黄龙联社</t>
  </si>
  <si>
    <t>黄梅农商行</t>
  </si>
  <si>
    <t>黄梅中银富登村镇银行</t>
  </si>
  <si>
    <t>黄平农商银行</t>
  </si>
  <si>
    <t>黄石农商行</t>
  </si>
  <si>
    <t>黄岩恒升村镇银行</t>
  </si>
  <si>
    <t>黄岩农合行</t>
  </si>
  <si>
    <t>湟源信用联社</t>
  </si>
  <si>
    <t>湟中县农村信用合作联社</t>
  </si>
  <si>
    <t>潢川农商银行</t>
  </si>
  <si>
    <t>辉南农商行</t>
  </si>
  <si>
    <t>辉县农村商业银行</t>
  </si>
  <si>
    <t>辉县珠江村镇银行</t>
  </si>
  <si>
    <t>徽商银行</t>
  </si>
  <si>
    <t>徽州农村商业银行</t>
  </si>
  <si>
    <t>汇川农商银行</t>
  </si>
  <si>
    <t>汇丰银行</t>
  </si>
  <si>
    <t>会昌农商行</t>
  </si>
  <si>
    <t>会同农商行</t>
  </si>
  <si>
    <t>惠安县农联社</t>
  </si>
  <si>
    <t>惠东农商银行</t>
  </si>
  <si>
    <t>惠来联社</t>
  </si>
  <si>
    <t>惠山民泰村镇银行</t>
  </si>
  <si>
    <t>惠水农商行</t>
  </si>
  <si>
    <t>惠州农商银行</t>
  </si>
  <si>
    <t>惠州仲恺东盈村镇银行</t>
  </si>
  <si>
    <t>浑江农商行</t>
  </si>
  <si>
    <t>获嘉农商行</t>
  </si>
  <si>
    <t>霍城县联社</t>
  </si>
  <si>
    <t>霍林郭勒市农村信用社</t>
  </si>
  <si>
    <t>霍邱农村商业银行</t>
  </si>
  <si>
    <t>霍山农村商业银行</t>
  </si>
  <si>
    <t>霍州市联社</t>
  </si>
  <si>
    <t>鸡东农商银行</t>
  </si>
  <si>
    <t>鸡西农商银行</t>
  </si>
  <si>
    <t>吉安农商银行</t>
  </si>
  <si>
    <t>吉林春城农村商业银行</t>
  </si>
  <si>
    <t>吉林环城农村商业银行</t>
  </si>
  <si>
    <t>吉林珲春农商行</t>
  </si>
  <si>
    <t>吉林银行</t>
  </si>
  <si>
    <t>吉木乃联社</t>
  </si>
  <si>
    <t>吉木萨尔县联社</t>
  </si>
  <si>
    <t>吉首农商行</t>
  </si>
  <si>
    <t>吉水农商银行</t>
  </si>
  <si>
    <t>吉县联社</t>
  </si>
  <si>
    <t>吉州珠江村镇银行</t>
  </si>
  <si>
    <t>济南农商银行</t>
  </si>
  <si>
    <t>济宁农商银行</t>
  </si>
  <si>
    <t>济宁儒商村镇银行</t>
  </si>
  <si>
    <t>济宁银行</t>
  </si>
  <si>
    <t>济阳农商银行</t>
  </si>
  <si>
    <t>济源农商银行</t>
  </si>
  <si>
    <t>济源齐鲁村镇银行</t>
  </si>
  <si>
    <t>绩溪农村商业银行</t>
  </si>
  <si>
    <t>稷山农商银行</t>
  </si>
  <si>
    <t>佳县农商银行</t>
  </si>
  <si>
    <t>嘉禾农商银行</t>
  </si>
  <si>
    <t>嘉善联合村镇银行</t>
  </si>
  <si>
    <t>嘉善农商行</t>
  </si>
  <si>
    <t>嘉祥农商行</t>
  </si>
  <si>
    <t>嘉兴银行</t>
  </si>
  <si>
    <t>嘉鱼农商行</t>
  </si>
  <si>
    <t>嘉峪关农商银行</t>
  </si>
  <si>
    <t>郏县联社</t>
  </si>
  <si>
    <t>尖扎联社</t>
  </si>
  <si>
    <t>监利农商行</t>
  </si>
  <si>
    <t>监利中银富登村镇银行</t>
  </si>
  <si>
    <t>犍为农商银行</t>
  </si>
  <si>
    <t>简阳农商银行</t>
  </si>
  <si>
    <t>建德湖商村镇银行</t>
  </si>
  <si>
    <t>建德农商银行</t>
  </si>
  <si>
    <t>建始农商行</t>
  </si>
  <si>
    <t>剑阁县农村信用合作联社</t>
  </si>
  <si>
    <t>剑河县联社</t>
  </si>
  <si>
    <t>江都吉银村镇银行</t>
  </si>
  <si>
    <t>江都农村商业银行</t>
  </si>
  <si>
    <t>江华农商银行</t>
  </si>
  <si>
    <t>江口联社</t>
  </si>
  <si>
    <t>江陵农商行</t>
  </si>
  <si>
    <t>江门融和农商行</t>
  </si>
  <si>
    <t>江门新会农商行</t>
  </si>
  <si>
    <t>江南农村商业银行</t>
  </si>
  <si>
    <t>江山农商银行</t>
  </si>
  <si>
    <t>江苏滨海农商银行</t>
  </si>
  <si>
    <t>江苏大丰农商行</t>
  </si>
  <si>
    <t>江苏东台农商行</t>
  </si>
  <si>
    <t>江苏赣榆农商行</t>
  </si>
  <si>
    <t>江苏高淳农村商业银行</t>
  </si>
  <si>
    <t>江苏灌南农商银行</t>
  </si>
  <si>
    <t>江苏海门建信村镇银行</t>
  </si>
  <si>
    <t>江苏建湖农商行</t>
  </si>
  <si>
    <t>江苏姜堰农商行</t>
  </si>
  <si>
    <t>江苏靖江农村商业银行</t>
  </si>
  <si>
    <t>江苏句容农商行</t>
  </si>
  <si>
    <t>江苏溧水农村商业银行</t>
  </si>
  <si>
    <t>江苏民丰农商银行</t>
  </si>
  <si>
    <t>江苏邳州农商行</t>
  </si>
  <si>
    <t>江苏启东珠江村镇银行</t>
  </si>
  <si>
    <t>江苏如东融兴村镇银行</t>
  </si>
  <si>
    <t>江苏如皋农商行</t>
  </si>
  <si>
    <t>江苏射阳农村商业银行</t>
  </si>
  <si>
    <t>江苏射阳太商村镇银行</t>
  </si>
  <si>
    <t>江苏沭阳东吴村镇银行</t>
  </si>
  <si>
    <t>江苏仪征农商行</t>
  </si>
  <si>
    <t>江苏宜兴农村商业银行</t>
  </si>
  <si>
    <t>江苏镇江农商行</t>
  </si>
  <si>
    <t>江苏紫金农商银行</t>
  </si>
  <si>
    <t>江西赣州银座村镇银行</t>
  </si>
  <si>
    <t>江西银行</t>
  </si>
  <si>
    <t>江阴农商银行</t>
  </si>
  <si>
    <t>江阴浦发村镇银行</t>
  </si>
  <si>
    <t>江永农商银行</t>
  </si>
  <si>
    <t>江油市农联社</t>
  </si>
  <si>
    <t>江州农商银行</t>
  </si>
  <si>
    <t>姜堰锡州村镇银行</t>
  </si>
  <si>
    <t>绛县农商行</t>
  </si>
  <si>
    <t>交城农商银行</t>
  </si>
  <si>
    <t>交城县太行村镇银行</t>
  </si>
  <si>
    <t>交口融都村镇银行</t>
  </si>
  <si>
    <t>交口信用联社</t>
  </si>
  <si>
    <t>焦作解放农商银行</t>
  </si>
  <si>
    <t>焦作市马村区农联社</t>
  </si>
  <si>
    <t>焦作市山阳区农联社</t>
  </si>
  <si>
    <t>焦作市中站区农联社</t>
  </si>
  <si>
    <t>焦作中旅银行</t>
  </si>
  <si>
    <t>蕉岭联社</t>
  </si>
  <si>
    <t>揭东农商银行</t>
  </si>
  <si>
    <t>揭阳农商行</t>
  </si>
  <si>
    <t>介休农商银行</t>
  </si>
  <si>
    <t>界首农村商业银行</t>
  </si>
  <si>
    <t>金湖农商行</t>
  </si>
  <si>
    <t>金华成泰农商银行</t>
  </si>
  <si>
    <t>金华银行</t>
  </si>
  <si>
    <t>金沙县农村信用合作联社</t>
  </si>
  <si>
    <t>金台联社</t>
  </si>
  <si>
    <t>金溪抚商村镇银行</t>
  </si>
  <si>
    <t>金溪农商行</t>
  </si>
  <si>
    <t>金乡农商行</t>
  </si>
  <si>
    <t>金秀联社</t>
  </si>
  <si>
    <t>金寨徽银村镇银行</t>
  </si>
  <si>
    <t>金寨农村商业银行</t>
  </si>
  <si>
    <t>津市农商银行</t>
  </si>
  <si>
    <t>锦屏县信用联社</t>
  </si>
  <si>
    <t>锦州银行</t>
  </si>
  <si>
    <t>进贤农商银行</t>
  </si>
  <si>
    <t>晋城农商银行</t>
  </si>
  <si>
    <t>晋城银行</t>
  </si>
  <si>
    <t>晋江农商银行</t>
  </si>
  <si>
    <t>晋商银行</t>
  </si>
  <si>
    <t>晋中开发区农商银行</t>
  </si>
  <si>
    <t>晋中银行</t>
  </si>
  <si>
    <t>晋州恒升村镇银行</t>
  </si>
  <si>
    <t>晋州农商银行</t>
  </si>
  <si>
    <t>缙云联合村镇银行</t>
  </si>
  <si>
    <t>缙云农商银行</t>
  </si>
  <si>
    <t>泾县农村商业银行</t>
  </si>
  <si>
    <t>泾县铜源村镇银行</t>
  </si>
  <si>
    <t>泾源县农村信用合作联社</t>
  </si>
  <si>
    <t>荆门农商行</t>
  </si>
  <si>
    <t>荆州农商行</t>
  </si>
  <si>
    <t>旌德农村商业银行</t>
  </si>
  <si>
    <t>精河县联社</t>
  </si>
  <si>
    <t>井冈山农商银行</t>
  </si>
  <si>
    <t>井陉农商行</t>
  </si>
  <si>
    <t>景德镇农村商业银行</t>
  </si>
  <si>
    <t>景洪市农村信用合作联社</t>
  </si>
  <si>
    <t>景宁农信社</t>
  </si>
  <si>
    <t>景宁银座村镇银行</t>
  </si>
  <si>
    <t>景泰联社</t>
  </si>
  <si>
    <t>景州农商行</t>
  </si>
  <si>
    <t>靖安农商银行</t>
  </si>
  <si>
    <t>靖边农商银行</t>
  </si>
  <si>
    <t>靖江润丰村镇银行</t>
  </si>
  <si>
    <t>靖西农村商业银行</t>
  </si>
  <si>
    <t>靖宇农商行</t>
  </si>
  <si>
    <t>静乐联社</t>
  </si>
  <si>
    <t>九江共青村镇银行</t>
  </si>
  <si>
    <t>九江农商银行</t>
  </si>
  <si>
    <t>九江银行</t>
  </si>
  <si>
    <t>九台农商行</t>
  </si>
  <si>
    <t>酒泉农商行</t>
  </si>
  <si>
    <t>莒南农商银行</t>
  </si>
  <si>
    <t>莒县农商银行</t>
  </si>
  <si>
    <t>巨鹿农信联社</t>
  </si>
  <si>
    <t>巨野农商银行</t>
  </si>
  <si>
    <t>鄄城农商银行</t>
  </si>
  <si>
    <t>浚县农商银行</t>
  </si>
  <si>
    <t>喀喇沁旗农村信用合作联社</t>
  </si>
  <si>
    <t>喀什农商银行</t>
  </si>
  <si>
    <t>开封新东方村镇银行</t>
  </si>
  <si>
    <t>开化县农联社</t>
  </si>
  <si>
    <t>开江联社</t>
  </si>
  <si>
    <t>开鲁联社农村信用合作联社</t>
  </si>
  <si>
    <t>开平市农联社</t>
  </si>
  <si>
    <t>开阳联社</t>
  </si>
  <si>
    <t>凯里农村商业银行</t>
  </si>
  <si>
    <t>康保联社</t>
  </si>
  <si>
    <t>康保银丰村镇</t>
  </si>
  <si>
    <t>康县农商行</t>
  </si>
  <si>
    <t>柯城农商银行</t>
  </si>
  <si>
    <t>柯桥联合村镇银行</t>
  </si>
  <si>
    <t>科尔沁左翼后旗农村信用合作联社</t>
  </si>
  <si>
    <t>克东农商银行</t>
  </si>
  <si>
    <t>克山联社</t>
  </si>
  <si>
    <t>克什克腾农商银行</t>
  </si>
  <si>
    <t>垦利农商行</t>
  </si>
  <si>
    <t>库车县农信联社</t>
  </si>
  <si>
    <t>库尔勒农商行</t>
  </si>
  <si>
    <t>库尔勒银行</t>
  </si>
  <si>
    <t>库伦旗农村信用合作联社</t>
  </si>
  <si>
    <t>宽城农商行</t>
  </si>
  <si>
    <t>昆仑银行</t>
  </si>
  <si>
    <t>昆明官渡农合行</t>
  </si>
  <si>
    <t>昆明市晋宁区联社</t>
  </si>
  <si>
    <t>昆明市联社</t>
  </si>
  <si>
    <t>昆明市盘龙区农村信用合作联社</t>
  </si>
  <si>
    <t>昆山鹿城村镇银行</t>
  </si>
  <si>
    <t>昆山农商银行</t>
  </si>
  <si>
    <t>来安农村商业银行</t>
  </si>
  <si>
    <t>来宾桂中农合行</t>
  </si>
  <si>
    <t>来凤农商行</t>
  </si>
  <si>
    <t>莱商银行</t>
  </si>
  <si>
    <t>莱芜农商银行</t>
  </si>
  <si>
    <t>莱阳农商银行</t>
  </si>
  <si>
    <t>莱州农商行</t>
  </si>
  <si>
    <t>莱州珠江村镇银行</t>
  </si>
  <si>
    <t>兰考齐鲁村镇银行</t>
  </si>
  <si>
    <t>兰陵村镇银行</t>
  </si>
  <si>
    <t>兰陵农商银行</t>
  </si>
  <si>
    <t>兰山农商银行</t>
  </si>
  <si>
    <t>兰溪农商行</t>
  </si>
  <si>
    <t>兰州农商银行</t>
  </si>
  <si>
    <t>兰州银行</t>
  </si>
  <si>
    <t>岚皋农商银行</t>
  </si>
  <si>
    <t>岚山农商银行</t>
  </si>
  <si>
    <t>岚县信用联社</t>
  </si>
  <si>
    <t>蓝山农商银行</t>
  </si>
  <si>
    <t>郎溪农村商业银行</t>
  </si>
  <si>
    <t>郎溪新华村镇银行</t>
  </si>
  <si>
    <t>阆中农商银行</t>
  </si>
  <si>
    <t>廊坊银行</t>
  </si>
  <si>
    <t>乐安洪都村镇银行</t>
  </si>
  <si>
    <t>乐安农商行</t>
  </si>
  <si>
    <t>乐昌联社</t>
  </si>
  <si>
    <t>乐都联社</t>
  </si>
  <si>
    <t>乐陵农商银行</t>
  </si>
  <si>
    <t>乐清联合村镇银行</t>
  </si>
  <si>
    <t>乐清农商银行</t>
  </si>
  <si>
    <t>乐山三江农村商业银行</t>
  </si>
  <si>
    <t>乐山市商业银行</t>
  </si>
  <si>
    <t>乐亭县农信社</t>
  </si>
  <si>
    <t>乐业农村商业银行</t>
  </si>
  <si>
    <t>乐至农村商业银行</t>
  </si>
  <si>
    <t>雷山联社</t>
  </si>
  <si>
    <t>雷州联社</t>
  </si>
  <si>
    <t>冷水江农商银行</t>
  </si>
  <si>
    <t>离石区联社</t>
  </si>
  <si>
    <t>漓江农合行</t>
  </si>
  <si>
    <t>黎川抚商村镇银行</t>
  </si>
  <si>
    <t>黎川农商行</t>
  </si>
  <si>
    <t>澧县农商银行</t>
  </si>
  <si>
    <t>醴陵农商银行</t>
  </si>
  <si>
    <t>利川农商行</t>
  </si>
  <si>
    <t>利津农商行</t>
  </si>
  <si>
    <t>利辛湖商村镇银行</t>
  </si>
  <si>
    <t>利辛农村商业银行</t>
  </si>
  <si>
    <t>荔波农商行</t>
  </si>
  <si>
    <t>荔浦农合行</t>
  </si>
  <si>
    <t>溧阳浦发村镇银行</t>
  </si>
  <si>
    <t>连南联社</t>
  </si>
  <si>
    <t>连平农信社</t>
  </si>
  <si>
    <t>连山联社</t>
  </si>
  <si>
    <t>连云港东方农商行</t>
  </si>
  <si>
    <t>连州联社</t>
  </si>
  <si>
    <t>莲都农商银行</t>
  </si>
  <si>
    <t>莲花农商银行</t>
  </si>
  <si>
    <t>涟水农商行</t>
  </si>
  <si>
    <t>涟源农商银行</t>
  </si>
  <si>
    <t>廉江联社</t>
  </si>
  <si>
    <t>凉城县联社</t>
  </si>
  <si>
    <t>凉山农村商业银行</t>
  </si>
  <si>
    <t>凉山州商业银行</t>
  </si>
  <si>
    <t>梁山民丰村镇银行</t>
  </si>
  <si>
    <t>梁山农商行</t>
  </si>
  <si>
    <t>辽阳灯塔村镇银行</t>
  </si>
  <si>
    <t>辽阳灯塔农商行</t>
  </si>
  <si>
    <t>辽阳辽东农商行</t>
  </si>
  <si>
    <t>辽阳农商行</t>
  </si>
  <si>
    <t>辽阳首山村镇银行</t>
  </si>
  <si>
    <t>辽阳太子河村镇银行</t>
  </si>
  <si>
    <t>辽阳银行</t>
  </si>
  <si>
    <t>辽源市农商行</t>
  </si>
  <si>
    <t>聊城农商行</t>
  </si>
  <si>
    <t>聊城润昌农商行</t>
  </si>
  <si>
    <t>邻水农商银行</t>
  </si>
  <si>
    <t>邻水中银富登村镇银行</t>
  </si>
  <si>
    <t>林甸农商银行</t>
  </si>
  <si>
    <t>林口联社</t>
  </si>
  <si>
    <t>林芝民生村镇银行</t>
  </si>
  <si>
    <t>林州德丰村镇银行</t>
  </si>
  <si>
    <t>林州市农联社</t>
  </si>
  <si>
    <t>临安农信联社</t>
  </si>
  <si>
    <t>临城农商银行</t>
  </si>
  <si>
    <t>临川浦发村镇银行</t>
  </si>
  <si>
    <t>临桂农商行</t>
  </si>
  <si>
    <t>临海农商银行</t>
  </si>
  <si>
    <t>临江农村商业银行</t>
  </si>
  <si>
    <t>临澧沪农商村镇银行</t>
  </si>
  <si>
    <t>临澧农商银行</t>
  </si>
  <si>
    <t>临清沪农商村镇银行</t>
  </si>
  <si>
    <t>临清农商行</t>
  </si>
  <si>
    <t>临朐农商银行</t>
  </si>
  <si>
    <t>临泉农村商业银行</t>
  </si>
  <si>
    <t>临商银行</t>
  </si>
  <si>
    <t>临沭农商银行</t>
  </si>
  <si>
    <t>临洮农商行</t>
  </si>
  <si>
    <t>临武农商银行</t>
  </si>
  <si>
    <t>临武浦发村镇银行</t>
  </si>
  <si>
    <t>临西农商银行</t>
  </si>
  <si>
    <t>临夏农商行</t>
  </si>
  <si>
    <t>临县泉都村镇银行</t>
  </si>
  <si>
    <t>临县信用联社</t>
  </si>
  <si>
    <t>临湘农商银行</t>
  </si>
  <si>
    <t>临猗农商银行</t>
  </si>
  <si>
    <t>临猗新田村镇银行</t>
  </si>
  <si>
    <t>临邑农商银行</t>
  </si>
  <si>
    <t>临颍县农信社</t>
  </si>
  <si>
    <t>临泽农商行</t>
  </si>
  <si>
    <t>麟游农商银行</t>
  </si>
  <si>
    <t>灵宝联社</t>
  </si>
  <si>
    <t>灵宝融丰村镇银行</t>
  </si>
  <si>
    <t>灵璧本富村镇银行</t>
  </si>
  <si>
    <t>灵璧农村商业银行</t>
  </si>
  <si>
    <t>灵川农村合作银行</t>
  </si>
  <si>
    <t>灵川深通村镇银行</t>
  </si>
  <si>
    <t>灵山泰业村镇银行</t>
  </si>
  <si>
    <t>灵山县农村信用合作联社</t>
  </si>
  <si>
    <t>灵石农商银行</t>
  </si>
  <si>
    <t>灵武农村商业银行</t>
  </si>
  <si>
    <t>凌云农商行</t>
  </si>
  <si>
    <t>陵城农商银行</t>
  </si>
  <si>
    <t>浏阳农商银行</t>
  </si>
  <si>
    <t>柳城农合行</t>
  </si>
  <si>
    <t>柳江农合行</t>
  </si>
  <si>
    <t>柳林农商行</t>
  </si>
  <si>
    <t>柳州市区联社</t>
  </si>
  <si>
    <t>柳州银行</t>
  </si>
  <si>
    <t>六安农村商业银行</t>
  </si>
  <si>
    <t>六盘水农商银行</t>
  </si>
  <si>
    <t>六枝联社</t>
  </si>
  <si>
    <t>龙川农信社</t>
  </si>
  <si>
    <t>龙海农商银行</t>
  </si>
  <si>
    <t>龙江银行</t>
  </si>
  <si>
    <t>龙口农商银行</t>
  </si>
  <si>
    <t>龙里农商行</t>
  </si>
  <si>
    <t>龙门农商银行</t>
  </si>
  <si>
    <t>龙南农商行</t>
  </si>
  <si>
    <t>龙泉民泰村行</t>
  </si>
  <si>
    <t>龙泉农商银行</t>
  </si>
  <si>
    <t>龙山农商行</t>
  </si>
  <si>
    <t>龙胜农村商业银行</t>
  </si>
  <si>
    <t>龙湾农商银行</t>
  </si>
  <si>
    <t>龙岩农商行</t>
  </si>
  <si>
    <t>龙岩市连城县农信社</t>
  </si>
  <si>
    <t>龙岩市武平杭兴村镇银行</t>
  </si>
  <si>
    <t>龙岩市武平县农信社</t>
  </si>
  <si>
    <t>龙岩市永定农信社</t>
  </si>
  <si>
    <t>龙岩市长汀汀州红村镇银行</t>
  </si>
  <si>
    <t>龙岩市长汀县农信社</t>
  </si>
  <si>
    <t>龙州农商行</t>
  </si>
  <si>
    <t>隆昌农商银行</t>
  </si>
  <si>
    <t>隆德六盘山村镇银行</t>
  </si>
  <si>
    <t>隆德县农村信用社</t>
  </si>
  <si>
    <t>隆化联社</t>
  </si>
  <si>
    <t>隆回农商银行</t>
  </si>
  <si>
    <t>隆林农村商业银行</t>
  </si>
  <si>
    <t>隆尧县联社</t>
  </si>
  <si>
    <t>娄底农商银行</t>
  </si>
  <si>
    <t>卢龙县农联社</t>
  </si>
  <si>
    <t>卢氏农商银行</t>
  </si>
  <si>
    <t>卢氏中原村镇银行</t>
  </si>
  <si>
    <t>芦山县农联社</t>
  </si>
  <si>
    <t>芦溪农商银行</t>
  </si>
  <si>
    <t>庐江农村商业银行</t>
  </si>
  <si>
    <t>庐陵农商银行</t>
  </si>
  <si>
    <t>庐山农商行</t>
  </si>
  <si>
    <t>泸溪农商行</t>
  </si>
  <si>
    <t>泸县农商银行</t>
  </si>
  <si>
    <t>泸州农商银行</t>
  </si>
  <si>
    <t>泸州市商业银行</t>
  </si>
  <si>
    <t>鲁山联社</t>
  </si>
  <si>
    <t>陆川联社</t>
  </si>
  <si>
    <t>陆丰联社</t>
  </si>
  <si>
    <t>陆河联社</t>
  </si>
  <si>
    <t>鹿城农商银行</t>
  </si>
  <si>
    <t>鹿邑农商行</t>
  </si>
  <si>
    <t>鹿寨农商行</t>
  </si>
  <si>
    <t>路桥富民村镇银行</t>
  </si>
  <si>
    <t>路桥农商银行</t>
  </si>
  <si>
    <t>潞城农商银行</t>
  </si>
  <si>
    <t>栾川民丰村镇银行</t>
  </si>
  <si>
    <t>栾川农商银行</t>
  </si>
  <si>
    <t>滦南联社</t>
  </si>
  <si>
    <t>滦平农村商业银行</t>
  </si>
  <si>
    <t>滦平盛阳村镇银行</t>
  </si>
  <si>
    <t>滦州农商银行</t>
  </si>
  <si>
    <t>轮台县农信社</t>
  </si>
  <si>
    <t>罗城农村信用合作联社</t>
  </si>
  <si>
    <t>罗甸联社</t>
  </si>
  <si>
    <t>罗定市农信联社</t>
  </si>
  <si>
    <t>罗江农商银行</t>
  </si>
  <si>
    <t>罗山农商行</t>
  </si>
  <si>
    <t>罗庄农商银行</t>
  </si>
  <si>
    <t>洛川农商行</t>
  </si>
  <si>
    <t>洛南阳光村镇银行</t>
  </si>
  <si>
    <t>洛宁农商银行</t>
  </si>
  <si>
    <t>洛阳农商银行</t>
  </si>
  <si>
    <t>洛阳银行</t>
  </si>
  <si>
    <t>漯河市汇源区农联社</t>
  </si>
  <si>
    <t>漯河市郾城区农联社</t>
  </si>
  <si>
    <t>麻城汇丰村镇银行</t>
  </si>
  <si>
    <t>麻城农商行</t>
  </si>
  <si>
    <t>麻江农商银行</t>
  </si>
  <si>
    <t>麻阳农商行</t>
  </si>
  <si>
    <t>马鞍山农村商业银行</t>
  </si>
  <si>
    <t>玛纳斯县联社</t>
  </si>
  <si>
    <t>麦盖提县联社</t>
  </si>
  <si>
    <t>麦积农合行</t>
  </si>
  <si>
    <t>满洲里农村商业银行</t>
  </si>
  <si>
    <t>茅台农商银行</t>
  </si>
  <si>
    <t>茂名城区联社</t>
  </si>
  <si>
    <t>眉山农商银行</t>
  </si>
  <si>
    <t>梅县客家村镇银行</t>
  </si>
  <si>
    <t>梅县联社</t>
  </si>
  <si>
    <t>梅州梅江区农信社</t>
  </si>
  <si>
    <t>湄潭农商银行</t>
  </si>
  <si>
    <t>门源农商银行</t>
  </si>
  <si>
    <t>蒙城湖商村镇银行</t>
  </si>
  <si>
    <t>蒙城农村商业银行</t>
  </si>
  <si>
    <t>蒙山农商行</t>
  </si>
  <si>
    <t>蒙特利尔银行</t>
  </si>
  <si>
    <t>蒙阴农商银行</t>
  </si>
  <si>
    <t>勐海县联社</t>
  </si>
  <si>
    <t>孟村联社</t>
  </si>
  <si>
    <t>孟村融信村镇银行</t>
  </si>
  <si>
    <t>孟津农商银行</t>
  </si>
  <si>
    <t>孟州射阳村镇银行</t>
  </si>
  <si>
    <t>米脂农商银行</t>
  </si>
  <si>
    <t>汨罗农商银行</t>
  </si>
  <si>
    <t>汨罗中银富登村镇银行</t>
  </si>
  <si>
    <t>泌阳县农联社</t>
  </si>
  <si>
    <t>密山农商银行</t>
  </si>
  <si>
    <t>绵阳市涪城区农村信用合作联社</t>
  </si>
  <si>
    <t>绵阳市商业银行</t>
  </si>
  <si>
    <t>绵阳市游仙区农村信用合作联社</t>
  </si>
  <si>
    <t>绵竹农商银行</t>
  </si>
  <si>
    <t>渑池农商银行</t>
  </si>
  <si>
    <t>渑池齐鲁村镇银行</t>
  </si>
  <si>
    <t>民和县农村信用联社</t>
  </si>
  <si>
    <t>民乐农商行</t>
  </si>
  <si>
    <t>民勤农商行</t>
  </si>
  <si>
    <t>民权德商村镇银行</t>
  </si>
  <si>
    <t>民权农商银行</t>
  </si>
  <si>
    <t>闵行上银</t>
  </si>
  <si>
    <t>闽侯县农联社</t>
  </si>
  <si>
    <t>闽清瑞狮村镇银行</t>
  </si>
  <si>
    <t>闽清县农村信用合作联社</t>
  </si>
  <si>
    <t>明港联社</t>
  </si>
  <si>
    <t>明光民丰村镇银行</t>
  </si>
  <si>
    <t>明光农村商业银行</t>
  </si>
  <si>
    <t>摩根中国</t>
  </si>
  <si>
    <t>漠河农商银行</t>
  </si>
  <si>
    <t>牡丹江城郊联社</t>
  </si>
  <si>
    <t>木兰联社</t>
  </si>
  <si>
    <t>木垒县联社</t>
  </si>
  <si>
    <t>穆棱联社</t>
  </si>
  <si>
    <t>那坡农村商业银行</t>
  </si>
  <si>
    <t>纳雍联社</t>
  </si>
  <si>
    <t>奈曼农合行</t>
  </si>
  <si>
    <t>南澳农信联社</t>
  </si>
  <si>
    <t>南昌农商银行</t>
  </si>
  <si>
    <t>南城农商行</t>
  </si>
  <si>
    <t>南充南部县农联社</t>
  </si>
  <si>
    <t>南充农村商业银行</t>
  </si>
  <si>
    <t>南丹县农信社</t>
  </si>
  <si>
    <t>南丰桔都村镇银行</t>
  </si>
  <si>
    <t>南丰农商行</t>
  </si>
  <si>
    <t>南宫市联社</t>
  </si>
  <si>
    <t>南和农村商业银行</t>
  </si>
  <si>
    <t>南江县农村信用社</t>
  </si>
  <si>
    <t>南京银行</t>
  </si>
  <si>
    <t>南靖联社</t>
  </si>
  <si>
    <t>南乐县联社</t>
  </si>
  <si>
    <t>南陵农村商业银行</t>
  </si>
  <si>
    <t>南宁市区联社</t>
  </si>
  <si>
    <t>南皮农商行</t>
  </si>
  <si>
    <t>南平农商行</t>
  </si>
  <si>
    <t>南平市光泽刺桐红村镇银行</t>
  </si>
  <si>
    <t>南平市光泽县农信社</t>
  </si>
  <si>
    <t>南平市建瓯农信社</t>
  </si>
  <si>
    <t>南平市建瓯瑞狮村镇银行</t>
  </si>
  <si>
    <t>南平市建阳农信社</t>
  </si>
  <si>
    <t>南平市建阳瑞狮村镇银行</t>
  </si>
  <si>
    <t>南平市浦城县农信社</t>
  </si>
  <si>
    <t>南平市邵武刺桐红村镇银行</t>
  </si>
  <si>
    <t>南平市邵武农信社</t>
  </si>
  <si>
    <t>南平市顺昌县农信社</t>
  </si>
  <si>
    <t>南平市松溪县农信社</t>
  </si>
  <si>
    <t>南平市武夷山本富村镇银行</t>
  </si>
  <si>
    <t>南平市武夷山农商行</t>
  </si>
  <si>
    <t>南平市政和县农信社</t>
  </si>
  <si>
    <t>南商中国</t>
  </si>
  <si>
    <t>南通农商银行</t>
  </si>
  <si>
    <t>南通如皋包商村镇银行</t>
  </si>
  <si>
    <t>南雄联社</t>
  </si>
  <si>
    <t>南浔农商行</t>
  </si>
  <si>
    <t>南阳村镇银行</t>
  </si>
  <si>
    <t>南漳农商行</t>
  </si>
  <si>
    <t>南召联社</t>
  </si>
  <si>
    <t>南郑农商银行</t>
  </si>
  <si>
    <t>讷河农商银行</t>
  </si>
  <si>
    <t>内黄县农村信用合作联社</t>
  </si>
  <si>
    <t>内黄兴福村镇银行</t>
  </si>
  <si>
    <t>内江农商银行</t>
  </si>
  <si>
    <t>内江兴隆村镇银行</t>
  </si>
  <si>
    <t>内蒙古鄂托克农商行</t>
  </si>
  <si>
    <t>内蒙古呼和浩特金谷农商银行</t>
  </si>
  <si>
    <t>内蒙古托克托农村商业银行</t>
  </si>
  <si>
    <t>内蒙古乌拉特农商行</t>
  </si>
  <si>
    <t>内蒙古牙克石农村商业银行</t>
  </si>
  <si>
    <t>内蒙古银行</t>
  </si>
  <si>
    <t>内丘联社</t>
  </si>
  <si>
    <t>内乡农商行</t>
  </si>
  <si>
    <t>尼勒克县联社</t>
  </si>
  <si>
    <t>宁安联社</t>
  </si>
  <si>
    <t>宁波奉化农商行</t>
  </si>
  <si>
    <t>宁波宁海农商银行</t>
  </si>
  <si>
    <t>宁波市北仑区农联社</t>
  </si>
  <si>
    <t>宁波市市区农联社</t>
  </si>
  <si>
    <t>宁波通商银行</t>
  </si>
  <si>
    <t>宁波银行</t>
  </si>
  <si>
    <t>宁波镇海农商行</t>
  </si>
  <si>
    <t>宁城包商村镇银行</t>
  </si>
  <si>
    <t>宁德农商行</t>
  </si>
  <si>
    <t>宁德市福安市农信社</t>
  </si>
  <si>
    <t>宁德市福安市渝农商村镇银行</t>
  </si>
  <si>
    <t>宁德市福鼎市恒兴村镇银行</t>
  </si>
  <si>
    <t>宁德市福鼎市农信社</t>
  </si>
  <si>
    <t>宁德市古田县刺桐红村镇银行</t>
  </si>
  <si>
    <t>宁德市古田县农信社</t>
  </si>
  <si>
    <t>宁德市蕉城刺桐红村镇银行</t>
  </si>
  <si>
    <t>宁德市屏南县刺桐红村镇银行</t>
  </si>
  <si>
    <t>宁德市屏南县农信社</t>
  </si>
  <si>
    <t>宁德市寿宁县刺桐红村镇银行</t>
  </si>
  <si>
    <t>宁德市寿宁县农信社</t>
  </si>
  <si>
    <t>宁德市霞浦县刺桐红村镇银行</t>
  </si>
  <si>
    <t>宁德市霞浦县农信社</t>
  </si>
  <si>
    <t>宁德市柘荣县刺桐红村镇银行</t>
  </si>
  <si>
    <t>宁德市柘荣县农信社</t>
  </si>
  <si>
    <t>宁德市周宁县刺桐红村镇银行</t>
  </si>
  <si>
    <t>宁德市周宁县农信社</t>
  </si>
  <si>
    <t>宁都农商行</t>
  </si>
  <si>
    <t>宁国民生村镇银行</t>
  </si>
  <si>
    <t>宁国农村商业银行</t>
  </si>
  <si>
    <t>宁津农商银行</t>
  </si>
  <si>
    <t>宁晋农商银行</t>
  </si>
  <si>
    <t>宁陵德商村镇银行</t>
  </si>
  <si>
    <t>宁明农商行</t>
  </si>
  <si>
    <t>宁武县联社</t>
  </si>
  <si>
    <t>宁夏银行</t>
  </si>
  <si>
    <t>宁乡农商行</t>
  </si>
  <si>
    <t>宁阳农商银行</t>
  </si>
  <si>
    <t>宁远农商银行</t>
  </si>
  <si>
    <t>农安北银村镇银行</t>
  </si>
  <si>
    <t>瓯海农商银行</t>
  </si>
  <si>
    <t>攀枝花农村商业银行</t>
  </si>
  <si>
    <t>攀枝花市商业银行</t>
  </si>
  <si>
    <t>盘谷银行</t>
  </si>
  <si>
    <t>盘锦大洼恒丰村镇银行</t>
  </si>
  <si>
    <t>盘锦大洼农商行</t>
  </si>
  <si>
    <t>盘锦盘山安泰村镇银行</t>
  </si>
  <si>
    <t>盘锦银行</t>
  </si>
  <si>
    <t>盘县联社</t>
  </si>
  <si>
    <t>磐安农商银行</t>
  </si>
  <si>
    <t>磐石吉银村镇银行</t>
  </si>
  <si>
    <t>磐石农商银行</t>
  </si>
  <si>
    <t>沛县农商银行</t>
  </si>
  <si>
    <t>彭城农商银行</t>
  </si>
  <si>
    <t>彭山珠江村镇银行</t>
  </si>
  <si>
    <t>彭阳农村商业银行</t>
  </si>
  <si>
    <t>彭泽农商银行</t>
  </si>
  <si>
    <t>蓬莱民生村镇</t>
  </si>
  <si>
    <t>蓬莱农商银行</t>
  </si>
  <si>
    <t>蓬溪联社</t>
  </si>
  <si>
    <t>偏关农信社</t>
  </si>
  <si>
    <t>平安农商银行</t>
  </si>
  <si>
    <t>平坝联社</t>
  </si>
  <si>
    <t>平昌县农村信用社</t>
  </si>
  <si>
    <t>平顶山市郊联社</t>
  </si>
  <si>
    <t>平顶山市石龙联社</t>
  </si>
  <si>
    <t>平顶山市新华区农村信用合作联社</t>
  </si>
  <si>
    <t>平顶山卫东农村商业银行</t>
  </si>
  <si>
    <t>平顶山银行</t>
  </si>
  <si>
    <t>平定县农村信用合作联社</t>
  </si>
  <si>
    <t>平果国民村镇银行</t>
  </si>
  <si>
    <t>平和联社</t>
  </si>
  <si>
    <t>平湖工银村镇银行</t>
  </si>
  <si>
    <t>平湖农商银行</t>
  </si>
  <si>
    <t>平江汇丰村镇银行</t>
  </si>
  <si>
    <t>平江农商银行</t>
  </si>
  <si>
    <t>平乐农合行</t>
  </si>
  <si>
    <t>平利农商行</t>
  </si>
  <si>
    <t>平陆农商银行</t>
  </si>
  <si>
    <t>平罗农村商业银行</t>
  </si>
  <si>
    <t>平罗沙湖村镇银行</t>
  </si>
  <si>
    <t>平南桂银村镇银行</t>
  </si>
  <si>
    <t>平南农信联社</t>
  </si>
  <si>
    <t>平桥联社</t>
  </si>
  <si>
    <t>平泉联社</t>
  </si>
  <si>
    <t>平山西柏坡冀银村镇银行</t>
  </si>
  <si>
    <t>平山县农村信用联社</t>
  </si>
  <si>
    <t>平顺农商银行</t>
  </si>
  <si>
    <t>平塘农商行</t>
  </si>
  <si>
    <t>平武农商银行</t>
  </si>
  <si>
    <t>平乡县联社</t>
  </si>
  <si>
    <t>平阳农商银行</t>
  </si>
  <si>
    <t>平阳浦发村镇银行</t>
  </si>
  <si>
    <t>平邑农商银行</t>
  </si>
  <si>
    <t>平阴农商银行</t>
  </si>
  <si>
    <t>平舆县农联社</t>
  </si>
  <si>
    <t>平原农商银行</t>
  </si>
  <si>
    <t>平远农商行</t>
  </si>
  <si>
    <t>凭祥农商行</t>
  </si>
  <si>
    <t>萍乡农商行</t>
  </si>
  <si>
    <t>泊头联社</t>
  </si>
  <si>
    <t>鄱阳农商行</t>
  </si>
  <si>
    <t>莆田农商银行</t>
  </si>
  <si>
    <t>莆田市仙游县农信社</t>
  </si>
  <si>
    <t>蒲县联社</t>
  </si>
  <si>
    <t>濮阳市区农信联社</t>
  </si>
  <si>
    <t>浦北国民村镇银行</t>
  </si>
  <si>
    <t>浦北联社</t>
  </si>
  <si>
    <t>浦江农商银行</t>
  </si>
  <si>
    <t>普定县联社</t>
  </si>
  <si>
    <t>普宁农商银行</t>
  </si>
  <si>
    <t>普陀稠州村镇银行</t>
  </si>
  <si>
    <t>齐河农商银行</t>
  </si>
  <si>
    <t>齐鲁银行</t>
  </si>
  <si>
    <t>齐商银行</t>
  </si>
  <si>
    <t>祁连农商行</t>
  </si>
  <si>
    <t>祁门农村商业银行</t>
  </si>
  <si>
    <t>祁门铜源村镇银行</t>
  </si>
  <si>
    <t>祁县农联社</t>
  </si>
  <si>
    <t>祁阳村镇银行</t>
  </si>
  <si>
    <t>祁阳农商银行</t>
  </si>
  <si>
    <t>岐山联社</t>
  </si>
  <si>
    <t>奇台农商银行</t>
  </si>
  <si>
    <t>淇县农联社</t>
  </si>
  <si>
    <t>淇县中原村镇银行</t>
  </si>
  <si>
    <t>蕲春农商行</t>
  </si>
  <si>
    <t>蕲春中银富登村镇银行</t>
  </si>
  <si>
    <t>企业银行</t>
  </si>
  <si>
    <t>杞县农商银行</t>
  </si>
  <si>
    <t>启东农商银行</t>
  </si>
  <si>
    <t>迁安联社</t>
  </si>
  <si>
    <t>迁西联社</t>
  </si>
  <si>
    <t>铅山农商银行</t>
  </si>
  <si>
    <t>乾县联社</t>
  </si>
  <si>
    <t>潜江农商行</t>
  </si>
  <si>
    <t>潜江中银富登村镇银行</t>
  </si>
  <si>
    <t>潜山江淮村镇银行</t>
  </si>
  <si>
    <t>潜山农村商业银行</t>
  </si>
  <si>
    <t>黔西农商银行</t>
  </si>
  <si>
    <t>谯城湖商村镇银行</t>
  </si>
  <si>
    <t>且末县农信社</t>
  </si>
  <si>
    <t>钦南国民村镇银行</t>
  </si>
  <si>
    <t>钦州市区农村信用合作联社</t>
  </si>
  <si>
    <t>秦安农商行</t>
  </si>
  <si>
    <t>秦都农商银行</t>
  </si>
  <si>
    <t>秦皇岛市区联社</t>
  </si>
  <si>
    <t>秦皇岛银行</t>
  </si>
  <si>
    <t>秦农农商银行</t>
  </si>
  <si>
    <t>秦州农合行</t>
  </si>
  <si>
    <t>沁水联社</t>
  </si>
  <si>
    <t>沁阳江南村镇银行</t>
  </si>
  <si>
    <t>沁阳市农联社</t>
  </si>
  <si>
    <t>青川农商银行</t>
  </si>
  <si>
    <t>青岛崂山交银村镇银行</t>
  </si>
  <si>
    <t>青岛农商银行</t>
  </si>
  <si>
    <t>青岛银行</t>
  </si>
  <si>
    <t>青海银行</t>
  </si>
  <si>
    <t>青河县联社</t>
  </si>
  <si>
    <t>青龙联社</t>
  </si>
  <si>
    <t>青神农商银行</t>
  </si>
  <si>
    <t>青田农商银行</t>
  </si>
  <si>
    <t>青铜峡市农村信用合作联社</t>
  </si>
  <si>
    <t>青县联社</t>
  </si>
  <si>
    <t>青阳九华村镇银行</t>
  </si>
  <si>
    <t>青阳农村商业银行</t>
  </si>
  <si>
    <t>青州农村商业银行</t>
  </si>
  <si>
    <t>清丰县农信联社</t>
  </si>
  <si>
    <t>清河金农村镇银行</t>
  </si>
  <si>
    <t>清河农村商业银行</t>
  </si>
  <si>
    <t>清涧农商银行</t>
  </si>
  <si>
    <t>清水河县联社</t>
  </si>
  <si>
    <t>清新联社</t>
  </si>
  <si>
    <t>清徐农商银行</t>
  </si>
  <si>
    <t>清原农商行</t>
  </si>
  <si>
    <t>清远农商银行</t>
  </si>
  <si>
    <t>庆元联社</t>
  </si>
  <si>
    <t>庆云农商银行</t>
  </si>
  <si>
    <t>曲阜农商行</t>
  </si>
  <si>
    <t>曲江联社</t>
  </si>
  <si>
    <t>曲沃农商银行</t>
  </si>
  <si>
    <t>渠县农商行</t>
  </si>
  <si>
    <t>衢州衢江农商行</t>
  </si>
  <si>
    <t>全椒农村商业银行</t>
  </si>
  <si>
    <t>全南农商行</t>
  </si>
  <si>
    <t>全州农合行</t>
  </si>
  <si>
    <t>泉州农商行</t>
  </si>
  <si>
    <t>泉州银行</t>
  </si>
  <si>
    <t>确山农商行</t>
  </si>
  <si>
    <t>饶平县农联社</t>
  </si>
  <si>
    <t>仁寿民富村镇银行</t>
  </si>
  <si>
    <t>仁寿农商银行</t>
  </si>
  <si>
    <t>任丘联社</t>
  </si>
  <si>
    <t>任县联社</t>
  </si>
  <si>
    <t>日照银行</t>
  </si>
  <si>
    <t>荣成农商行</t>
  </si>
  <si>
    <t>荣县农村信用合作联社</t>
  </si>
  <si>
    <t>容县联社</t>
  </si>
  <si>
    <t>榕江县联社</t>
  </si>
  <si>
    <t>融安农商行</t>
  </si>
  <si>
    <t>融水信用联社</t>
  </si>
  <si>
    <t>如东农商银行</t>
  </si>
  <si>
    <t>汝城农商银行</t>
  </si>
  <si>
    <t>汝南县农联社</t>
  </si>
  <si>
    <t>汝阳农商银行</t>
  </si>
  <si>
    <t>汝州农商银行</t>
  </si>
  <si>
    <t>汝州玉川村镇银行</t>
  </si>
  <si>
    <t>乳山农商银行</t>
  </si>
  <si>
    <t>乳源联社</t>
  </si>
  <si>
    <t>芮城农村商业银行</t>
  </si>
  <si>
    <t>瑞安农商银行</t>
  </si>
  <si>
    <t>瑞昌农商银行</t>
  </si>
  <si>
    <t>瑞丰银行</t>
  </si>
  <si>
    <t>瑞金农商行</t>
  </si>
  <si>
    <t>瑞穗银行</t>
  </si>
  <si>
    <t>若羌县联社</t>
  </si>
  <si>
    <t>三都农商行</t>
  </si>
  <si>
    <t>三江农商银行</t>
  </si>
  <si>
    <t>三江县信用联社</t>
  </si>
  <si>
    <t>三井住友银行（中国）有限公司</t>
  </si>
  <si>
    <t>三菱东京日联银行</t>
  </si>
  <si>
    <t>三门农商银行</t>
  </si>
  <si>
    <t>三明市大田晋农商村镇银行</t>
  </si>
  <si>
    <t>三明市大田县农信社</t>
  </si>
  <si>
    <t>三明市建宁刺桐红村镇银行</t>
  </si>
  <si>
    <t>三明市建宁县农信社</t>
  </si>
  <si>
    <t>三明市将乐成功村镇银行</t>
  </si>
  <si>
    <t>三明市将乐县农信社</t>
  </si>
  <si>
    <t>三明市明溪县农信社</t>
  </si>
  <si>
    <t>三明市宁化成功村镇银行</t>
  </si>
  <si>
    <t>三明市宁化县农信社</t>
  </si>
  <si>
    <t>三明市清流县农信社</t>
  </si>
  <si>
    <t>三明市沙县农商行</t>
  </si>
  <si>
    <t>三明市泰宁晋农商大金湖村镇银行</t>
  </si>
  <si>
    <t>三明市泰宁县农信社</t>
  </si>
  <si>
    <t>三明市永安农信社</t>
  </si>
  <si>
    <t>三明市尤溪成功村镇银行</t>
  </si>
  <si>
    <t>三明市尤溪县农信社</t>
  </si>
  <si>
    <t>三穗农商银行</t>
  </si>
  <si>
    <t>三台农商银行</t>
  </si>
  <si>
    <t>三峡农商行</t>
  </si>
  <si>
    <t>三原联社</t>
  </si>
  <si>
    <t>沙河农商银行</t>
  </si>
  <si>
    <t>沙河襄通村镇银行</t>
  </si>
  <si>
    <t>沙湾农村商业银行</t>
  </si>
  <si>
    <t>沙雅县农信联社</t>
  </si>
  <si>
    <t>莎车县联社</t>
  </si>
  <si>
    <t>厦门国际银行</t>
  </si>
  <si>
    <t>厦门农商行</t>
  </si>
  <si>
    <t>厦门翔安民生村镇银行</t>
  </si>
  <si>
    <t>厦门银行</t>
  </si>
  <si>
    <t>山丹农商行</t>
  </si>
  <si>
    <t>山东博兴农商行</t>
  </si>
  <si>
    <t>山东海阳农商行</t>
  </si>
  <si>
    <t>山东桓台农商行</t>
  </si>
  <si>
    <t>山东惠民农商行</t>
  </si>
  <si>
    <t>山东莒南村镇银行</t>
  </si>
  <si>
    <t>山东临淄农商行</t>
  </si>
  <si>
    <t>山东栖霞农商行</t>
  </si>
  <si>
    <t>山东无棣农商银行</t>
  </si>
  <si>
    <t>山东五莲农商行</t>
  </si>
  <si>
    <t>山东阳谷农商行</t>
  </si>
  <si>
    <t>山东阳信农商行</t>
  </si>
  <si>
    <t>山东周村农商行</t>
  </si>
  <si>
    <t>山东诸城农商银行</t>
  </si>
  <si>
    <t>山东邹平农商行</t>
  </si>
  <si>
    <t>山西河津农商行</t>
  </si>
  <si>
    <t>山西平遥农商银行</t>
  </si>
  <si>
    <t>山西寿阳农村商业银行股份有限公司</t>
  </si>
  <si>
    <t>山阴农商银行</t>
  </si>
  <si>
    <t>山阴县太行村镇银行</t>
  </si>
  <si>
    <t>陕坝农村商业银行</t>
  </si>
  <si>
    <t>陕西陇县农商行</t>
  </si>
  <si>
    <t>陕西眉县农商行</t>
  </si>
  <si>
    <t>陕州农商银行</t>
  </si>
  <si>
    <t>汕尾农商银行</t>
  </si>
  <si>
    <t>鄯善县联社</t>
  </si>
  <si>
    <t>商城联社</t>
  </si>
  <si>
    <t>商都联社</t>
  </si>
  <si>
    <t>商河农商银行</t>
  </si>
  <si>
    <t>商南农商银行</t>
  </si>
  <si>
    <t>商丘华商农村商业银行</t>
  </si>
  <si>
    <t>商水农商行</t>
  </si>
  <si>
    <t>上蔡农商行</t>
  </si>
  <si>
    <t>上高农商银行</t>
  </si>
  <si>
    <t>上海华瑞银行</t>
  </si>
  <si>
    <t>上海农商银行</t>
  </si>
  <si>
    <t>上海浦东恒通村镇银行</t>
  </si>
  <si>
    <t>上海浦东江南村镇银行</t>
  </si>
  <si>
    <t>上海松江富明村镇银行</t>
  </si>
  <si>
    <t>上栗农商银行</t>
  </si>
  <si>
    <t>上林国民村镇银行</t>
  </si>
  <si>
    <t>上林农村商业银行</t>
  </si>
  <si>
    <t>上饶农商银行</t>
  </si>
  <si>
    <t>上饶银行</t>
  </si>
  <si>
    <t>上思联社</t>
  </si>
  <si>
    <t>上犹农商行</t>
  </si>
  <si>
    <t>上虞富民村镇银行</t>
  </si>
  <si>
    <t>上虞农商银行</t>
  </si>
  <si>
    <t>尚志联社</t>
  </si>
  <si>
    <t>韶山光大村镇银行</t>
  </si>
  <si>
    <t>韶山农商银行</t>
  </si>
  <si>
    <t>邵东农商银行</t>
  </si>
  <si>
    <t>邵阳农商银行</t>
  </si>
  <si>
    <t>绍兴恒信合作银行</t>
  </si>
  <si>
    <t>绍兴银行</t>
  </si>
  <si>
    <t>社旗联社</t>
  </si>
  <si>
    <t>射洪农商银行</t>
  </si>
  <si>
    <t>歙县农村商业银行</t>
  </si>
  <si>
    <t>莘县农商行</t>
  </si>
  <si>
    <t>深圳南山宝生村镇银行</t>
  </si>
  <si>
    <t>深圳农村商业银行</t>
  </si>
  <si>
    <t>深圳前海微众银行</t>
  </si>
  <si>
    <t>深州联社</t>
  </si>
  <si>
    <t>什邡市农联社</t>
  </si>
  <si>
    <t>什邡思源村镇银行</t>
  </si>
  <si>
    <t>神池县农联社</t>
  </si>
  <si>
    <t>神木农村商业银行</t>
  </si>
  <si>
    <t>沈抚农商行</t>
  </si>
  <si>
    <t>沈丘农商银行</t>
  </si>
  <si>
    <t>沈阳农商银行</t>
  </si>
  <si>
    <t>盛京银行</t>
  </si>
  <si>
    <t>嵊泗农商银行</t>
  </si>
  <si>
    <t>嵊州农村商业银行</t>
  </si>
  <si>
    <t>嵊州瑞丰村镇银行</t>
  </si>
  <si>
    <t>施秉联社</t>
  </si>
  <si>
    <t>浉河联社</t>
  </si>
  <si>
    <t>十堰农商行</t>
  </si>
  <si>
    <t>石城农商行</t>
  </si>
  <si>
    <t>石河子国民村镇银行</t>
  </si>
  <si>
    <t>石河子交银村镇银行</t>
  </si>
  <si>
    <t>石河子农合行</t>
  </si>
  <si>
    <t>石家庄汇融银行</t>
  </si>
  <si>
    <t>石楼信用联社</t>
  </si>
  <si>
    <t>石门沪农商村镇银行</t>
  </si>
  <si>
    <t>石门农商银行</t>
  </si>
  <si>
    <t>石棉联社</t>
  </si>
  <si>
    <t>石阡县联社</t>
  </si>
  <si>
    <t>石泉农商银行</t>
  </si>
  <si>
    <t>石狮农商银行</t>
  </si>
  <si>
    <t>石首楚农商村镇银行</t>
  </si>
  <si>
    <t>石首农商行</t>
  </si>
  <si>
    <t>石台农村商业银行</t>
  </si>
  <si>
    <t>石台扬子村镇银行</t>
  </si>
  <si>
    <t>石嘴山农村商业银行</t>
  </si>
  <si>
    <t>石嘴山市大武口石银村镇银行</t>
  </si>
  <si>
    <t>石嘴山市惠农区农村信用合作社</t>
  </si>
  <si>
    <t>石嘴山银行</t>
  </si>
  <si>
    <t>始兴联社</t>
  </si>
  <si>
    <t>寿光村镇银行</t>
  </si>
  <si>
    <t>寿县农村商业银行</t>
  </si>
  <si>
    <t>舒城农村商业银行</t>
  </si>
  <si>
    <t>舒兰农商行</t>
  </si>
  <si>
    <t>疏附县联社</t>
  </si>
  <si>
    <t>疏勒县联社</t>
  </si>
  <si>
    <t>沭阳农商银行</t>
  </si>
  <si>
    <t>双城联社</t>
  </si>
  <si>
    <t>双峰农商银行</t>
  </si>
  <si>
    <t>双牌农商银行</t>
  </si>
  <si>
    <t>双阳农商银行</t>
  </si>
  <si>
    <t>水城县联社</t>
  </si>
  <si>
    <t>顺义银座</t>
  </si>
  <si>
    <t>朔州市朔城区蒙银村镇银行</t>
  </si>
  <si>
    <t>朔州市朔城区农联社</t>
  </si>
  <si>
    <t>思南农商银行</t>
  </si>
  <si>
    <t>四川安岳农村商业银行股份有限公司</t>
  </si>
  <si>
    <t>四川北川羌族自治县富民村镇银行</t>
  </si>
  <si>
    <t>四川高县农村商业银行</t>
  </si>
  <si>
    <t>四川珙县农村商业银行</t>
  </si>
  <si>
    <t>四川古蔺农村商业银行</t>
  </si>
  <si>
    <t>四川合江农村商业银行</t>
  </si>
  <si>
    <t>四川华蓥农商银行</t>
  </si>
  <si>
    <t>四川江安农村商业银行</t>
  </si>
  <si>
    <t>四川江油华夏村镇银行</t>
  </si>
  <si>
    <t>四川名山锦程村镇银行</t>
  </si>
  <si>
    <t>四川屏山农村商业银行</t>
  </si>
  <si>
    <t>四川天府银行</t>
  </si>
  <si>
    <t>四川武胜农村商业银行</t>
  </si>
  <si>
    <t>四川新网银行</t>
  </si>
  <si>
    <t>四川兴文石海农村商业银行</t>
  </si>
  <si>
    <t>四川叙永农村商业银行</t>
  </si>
  <si>
    <t>四川仪陇农商行</t>
  </si>
  <si>
    <t>四川宜宾金江农村商业银行</t>
  </si>
  <si>
    <t>四川筠连农村商业银行</t>
  </si>
  <si>
    <t>四川长宁竹海农村商业银行</t>
  </si>
  <si>
    <t>四会农商银行</t>
  </si>
  <si>
    <t>四子王旗联社</t>
  </si>
  <si>
    <t>泗洪农商银行</t>
  </si>
  <si>
    <t>泗水农商行</t>
  </si>
  <si>
    <t>泗县农村商业银行</t>
  </si>
  <si>
    <t>泗阳农商银行</t>
  </si>
  <si>
    <t>松桃县农信社</t>
  </si>
  <si>
    <t>松阳恒通村镇银行</t>
  </si>
  <si>
    <t>松阳农商银行</t>
  </si>
  <si>
    <t>松滋农商行</t>
  </si>
  <si>
    <t>松滋中银富登村镇银行</t>
  </si>
  <si>
    <t>嵩明农村商业银行</t>
  </si>
  <si>
    <t>嵩县农商行</t>
  </si>
  <si>
    <t>宋都农商银行</t>
  </si>
  <si>
    <t>苏州吴中珠江村镇银行</t>
  </si>
  <si>
    <t>苏州银行</t>
  </si>
  <si>
    <t>肃北农信社</t>
  </si>
  <si>
    <t>肃宁县农村信用联社</t>
  </si>
  <si>
    <t>宿松民丰村镇银行</t>
  </si>
  <si>
    <t>宿松农村商业银行</t>
  </si>
  <si>
    <t>宿州淮海村镇银行</t>
  </si>
  <si>
    <t>宿州农村商业银行</t>
  </si>
  <si>
    <t>睢宁农商银行</t>
  </si>
  <si>
    <t>睢县德商村镇银行</t>
  </si>
  <si>
    <t>睢县农联社</t>
  </si>
  <si>
    <t>濉溪湖商村镇银行</t>
  </si>
  <si>
    <t>濉溪农村商业银行</t>
  </si>
  <si>
    <t>绥德农商银行</t>
  </si>
  <si>
    <t>绥芬河农商银行</t>
  </si>
  <si>
    <t>绥宁农商银行</t>
  </si>
  <si>
    <t>绥阳联社</t>
  </si>
  <si>
    <t>随州农商行</t>
  </si>
  <si>
    <t>遂昌富民村镇银行</t>
  </si>
  <si>
    <t>遂昌农商银行</t>
  </si>
  <si>
    <t>遂川农商银行</t>
  </si>
  <si>
    <t>遂宁农商银行</t>
  </si>
  <si>
    <t>遂宁银行</t>
  </si>
  <si>
    <t>遂平恒生村镇银行</t>
  </si>
  <si>
    <t>遂平农商行</t>
  </si>
  <si>
    <t>遂溪联社</t>
  </si>
  <si>
    <t>塔城昆仑村镇银行</t>
  </si>
  <si>
    <t>塔城农商银行</t>
  </si>
  <si>
    <t>塔河农商银行</t>
  </si>
  <si>
    <t>塔县联社</t>
  </si>
  <si>
    <t>台江县联社</t>
  </si>
  <si>
    <t>台前农商银行</t>
  </si>
  <si>
    <t>台山市农联社</t>
  </si>
  <si>
    <t>台州椒江农合行</t>
  </si>
  <si>
    <t>台州银行</t>
  </si>
  <si>
    <t>太白农商银行</t>
  </si>
  <si>
    <t>太仓民生村镇银行股份有限公司</t>
  </si>
  <si>
    <t>太仓农村商业银行</t>
  </si>
  <si>
    <t>太谷农村商业银行</t>
  </si>
  <si>
    <t>太和农村商业银行</t>
  </si>
  <si>
    <t>太湖江淮村镇银行</t>
  </si>
  <si>
    <t>太湖农村商业银行</t>
  </si>
  <si>
    <t>太康农商行</t>
  </si>
  <si>
    <t>太平农村商业银行</t>
  </si>
  <si>
    <t>太仆寺农村商业银行</t>
  </si>
  <si>
    <t>太原市城区联社</t>
  </si>
  <si>
    <t>泰安银行</t>
  </si>
  <si>
    <t>泰和农商银行</t>
  </si>
  <si>
    <t>泰来农商银行</t>
  </si>
  <si>
    <t>泰山农商银行</t>
  </si>
  <si>
    <t>泰顺农商银行</t>
  </si>
  <si>
    <t>泰顺温银村镇银行</t>
  </si>
  <si>
    <t>泰兴建信村镇银行</t>
  </si>
  <si>
    <t>泰兴农商银行</t>
  </si>
  <si>
    <t>泰州农商行</t>
  </si>
  <si>
    <t>郯城农商银行</t>
  </si>
  <si>
    <t>汤阴农商银行</t>
  </si>
  <si>
    <t>汤阴兴福村镇银行</t>
  </si>
  <si>
    <t>汤原联社</t>
  </si>
  <si>
    <t>唐山农商银行</t>
  </si>
  <si>
    <t>唐山银行</t>
  </si>
  <si>
    <t>桃源农商银行</t>
  </si>
  <si>
    <t>特克斯县农村信用合作联社</t>
  </si>
  <si>
    <t>滕州农商银行</t>
  </si>
  <si>
    <t>藤县联社</t>
  </si>
  <si>
    <t>天等农商行</t>
  </si>
  <si>
    <t>天峨县信用社</t>
  </si>
  <si>
    <t>天津滨海农商银行</t>
  </si>
  <si>
    <t>天津金城银行</t>
  </si>
  <si>
    <t>天津津南村镇银行</t>
  </si>
  <si>
    <t>天津农村商业银行</t>
  </si>
  <si>
    <t>天津西青中银富登村镇银行</t>
  </si>
  <si>
    <t>天津银行</t>
  </si>
  <si>
    <t>天峻农信社</t>
  </si>
  <si>
    <t>天门农商行</t>
  </si>
  <si>
    <t>天全联社</t>
  </si>
  <si>
    <t>天山农商银行</t>
  </si>
  <si>
    <t>天台民生村镇银行</t>
  </si>
  <si>
    <t>天台农商银行</t>
  </si>
  <si>
    <t>天长民生村镇银行</t>
  </si>
  <si>
    <t>天长农村商业银行</t>
  </si>
  <si>
    <t>天柱农村商业银行</t>
  </si>
  <si>
    <t>天祝农商银行</t>
  </si>
  <si>
    <t>田东北部湾村镇银行</t>
  </si>
  <si>
    <t>田东农村商业银行</t>
  </si>
  <si>
    <t>田林农村商业银行</t>
  </si>
  <si>
    <t>田阳农商行</t>
  </si>
  <si>
    <t>田阳兴阳村镇银行</t>
  </si>
  <si>
    <t>铁岭调兵山市农信社</t>
  </si>
  <si>
    <t>铁岭银行</t>
  </si>
  <si>
    <t>通城农商行</t>
  </si>
  <si>
    <t>通道农商行</t>
  </si>
  <si>
    <t>通河农商银行</t>
  </si>
  <si>
    <t>通化农商银行</t>
  </si>
  <si>
    <t>通江县农村信用合作联社</t>
  </si>
  <si>
    <t>通辽市科尔沁区农村信用合作联社</t>
  </si>
  <si>
    <t>通山农商行</t>
  </si>
  <si>
    <t>通商农村商业银行</t>
  </si>
  <si>
    <t>通许农商银行</t>
  </si>
  <si>
    <t>通州华商村镇银行</t>
  </si>
  <si>
    <t>同德农商行</t>
  </si>
  <si>
    <t>同江农商银行</t>
  </si>
  <si>
    <t>同仁农商银行</t>
  </si>
  <si>
    <t>同心农村商业银行</t>
  </si>
  <si>
    <t>桐柏农商行</t>
  </si>
  <si>
    <t>桐城农村商业银行</t>
  </si>
  <si>
    <t>桐庐恒丰村镇银行</t>
  </si>
  <si>
    <t>桐庐农村商业银行</t>
  </si>
  <si>
    <t>桐乡民泰村镇银行</t>
  </si>
  <si>
    <t>桐乡农商银行</t>
  </si>
  <si>
    <t>铜鼓农商银行</t>
  </si>
  <si>
    <t>铜陵农村商业银行</t>
  </si>
  <si>
    <t>铜陵铜源村镇银行</t>
  </si>
  <si>
    <t>铜陵皖江农村商业银行</t>
  </si>
  <si>
    <t>铜仁农商银行</t>
  </si>
  <si>
    <t>土默特右旗农村商业银行</t>
  </si>
  <si>
    <t>土左旗联社</t>
  </si>
  <si>
    <t>吐鲁番市联社</t>
  </si>
  <si>
    <t>团风楚农商村镇银行</t>
  </si>
  <si>
    <t>团风农商行</t>
  </si>
  <si>
    <t>屯留农商银行</t>
  </si>
  <si>
    <t>屯溪农村商业银行</t>
  </si>
  <si>
    <t>托克逊县联社</t>
  </si>
  <si>
    <t>托里县联社</t>
  </si>
  <si>
    <t>湾里农商银行</t>
  </si>
  <si>
    <t>宛城联社</t>
  </si>
  <si>
    <t>皖东农村商业银行</t>
  </si>
  <si>
    <t>万安农商银行</t>
  </si>
  <si>
    <t>万年农商银行</t>
  </si>
  <si>
    <t>万荣农联社</t>
  </si>
  <si>
    <t>万源农商银行</t>
  </si>
  <si>
    <t>万载农商银行</t>
  </si>
  <si>
    <t>汪清农商行</t>
  </si>
  <si>
    <t>旺苍县农村信用合作联社</t>
  </si>
  <si>
    <t>望江农村商业银行</t>
  </si>
  <si>
    <t>望谟联社</t>
  </si>
  <si>
    <t>威海农商银行</t>
  </si>
  <si>
    <t>威海市商业银行</t>
  </si>
  <si>
    <t>威宁县联社</t>
  </si>
  <si>
    <t>威县联社</t>
  </si>
  <si>
    <t>威远农商银行</t>
  </si>
  <si>
    <t>微山农商银行</t>
  </si>
  <si>
    <t>围场华商村镇银行</t>
  </si>
  <si>
    <t>围场农商行</t>
  </si>
  <si>
    <t>潍坊农商银行</t>
  </si>
  <si>
    <t>潍坊银行</t>
  </si>
  <si>
    <t>卫辉联社</t>
  </si>
  <si>
    <t>尉犁农商行</t>
  </si>
  <si>
    <t>尉氏合益村镇银行</t>
  </si>
  <si>
    <t>尉氏农商银行</t>
  </si>
  <si>
    <t>渭城农商银行</t>
  </si>
  <si>
    <t>蔚县银泰村镇银行</t>
  </si>
  <si>
    <t>温岭联合村镇银行</t>
  </si>
  <si>
    <t>温岭农商银行</t>
  </si>
  <si>
    <t>温泉县联社</t>
  </si>
  <si>
    <t>温宿县农信联社</t>
  </si>
  <si>
    <t>温县农联社</t>
  </si>
  <si>
    <t>温州民商银行</t>
  </si>
  <si>
    <t>温州银行</t>
  </si>
  <si>
    <t>文安农商银行</t>
  </si>
  <si>
    <t>文成北银村镇银行</t>
  </si>
  <si>
    <t>文成农商银行</t>
  </si>
  <si>
    <t>文登农商银行</t>
  </si>
  <si>
    <t>文水润都村镇银行</t>
  </si>
  <si>
    <t>文水信用联社</t>
  </si>
  <si>
    <t>闻喜农村商业银行</t>
  </si>
  <si>
    <t>汶上农商行</t>
  </si>
  <si>
    <t>翁牛特旗联社</t>
  </si>
  <si>
    <t>翁源农商银行</t>
  </si>
  <si>
    <t>瓮安农商行</t>
  </si>
  <si>
    <t>涡阳湖商村镇银行</t>
  </si>
  <si>
    <t>涡阳农村商业银行</t>
  </si>
  <si>
    <t>卧龙联社</t>
  </si>
  <si>
    <t>乌海银行</t>
  </si>
  <si>
    <t>乌拉特后旗联社</t>
  </si>
  <si>
    <t>乌兰察布农商银行</t>
  </si>
  <si>
    <t>乌兰农信社</t>
  </si>
  <si>
    <t>乌鲁木齐农商银行</t>
  </si>
  <si>
    <t>乌鲁木齐银行</t>
  </si>
  <si>
    <t>乌恰县联社</t>
  </si>
  <si>
    <t>乌什县农信联社</t>
  </si>
  <si>
    <t>乌审旗联社</t>
  </si>
  <si>
    <t>无极联社</t>
  </si>
  <si>
    <t>无为农村商业银行</t>
  </si>
  <si>
    <t>无锡农村商业银行</t>
  </si>
  <si>
    <t>芜湖津盛农村商业银行</t>
  </si>
  <si>
    <t>芜湖泰寿村镇银行</t>
  </si>
  <si>
    <t>芜湖扬子农村商业银行</t>
  </si>
  <si>
    <t>吴堡农商银行</t>
  </si>
  <si>
    <t>吴川联社</t>
  </si>
  <si>
    <t>吴江农商行</t>
  </si>
  <si>
    <t>吴起农合行</t>
  </si>
  <si>
    <t>吴桥县联社</t>
  </si>
  <si>
    <t>吴兴农商行</t>
  </si>
  <si>
    <t>吴忠农村商业银行</t>
  </si>
  <si>
    <t>吴忠市滨河村镇银行</t>
  </si>
  <si>
    <t>梧州市区联社</t>
  </si>
  <si>
    <t>五常农商银行</t>
  </si>
  <si>
    <t>五峰农商行</t>
  </si>
  <si>
    <t>五河农村商业银行</t>
  </si>
  <si>
    <t>五河永泰村镇银行</t>
  </si>
  <si>
    <t>五华联社</t>
  </si>
  <si>
    <t>五台莱商村镇银行</t>
  </si>
  <si>
    <t>五台农商银行</t>
  </si>
  <si>
    <t>五原农商银行</t>
  </si>
  <si>
    <t>武安联社</t>
  </si>
  <si>
    <t>武城农商银行</t>
  </si>
  <si>
    <t>武当山农商行</t>
  </si>
  <si>
    <t>武冈包商村镇银行</t>
  </si>
  <si>
    <t>武冈农商银行</t>
  </si>
  <si>
    <t>武功联社</t>
  </si>
  <si>
    <t>武汉农村商业银行</t>
  </si>
  <si>
    <t>武鸣漓江村镇银行</t>
  </si>
  <si>
    <t>武鸣联社</t>
  </si>
  <si>
    <t>武宁农商行</t>
  </si>
  <si>
    <t>武强农商行</t>
  </si>
  <si>
    <t>武清村镇银行</t>
  </si>
  <si>
    <t>武山农信社</t>
  </si>
  <si>
    <t>武胜中银富登村镇银行</t>
  </si>
  <si>
    <t>武威农商行</t>
  </si>
  <si>
    <t>武乡农商银行</t>
  </si>
  <si>
    <t>武宣联社</t>
  </si>
  <si>
    <t>武穴农商行</t>
  </si>
  <si>
    <t>武穴中银富登村镇银行</t>
  </si>
  <si>
    <t>武义农商银行</t>
  </si>
  <si>
    <t>武陟农商银行</t>
  </si>
  <si>
    <t>武陟射阳村镇银行</t>
  </si>
  <si>
    <t>舞钢农商银行</t>
  </si>
  <si>
    <t>舞阳联社</t>
  </si>
  <si>
    <t>婺源农商银行</t>
  </si>
  <si>
    <t>西安银行</t>
  </si>
  <si>
    <t>西藏银行</t>
  </si>
  <si>
    <t>西昌金信村镇银行</t>
  </si>
  <si>
    <t>西充农商银行</t>
  </si>
  <si>
    <t>西华联社</t>
  </si>
  <si>
    <t>西吉农村商业银行</t>
  </si>
  <si>
    <t>西林农村商业银行</t>
  </si>
  <si>
    <t>西宁农商银行</t>
  </si>
  <si>
    <t>西平财富村镇银行</t>
  </si>
  <si>
    <t>西平农商行</t>
  </si>
  <si>
    <t>西乌珠穆沁农商银行</t>
  </si>
  <si>
    <t>西峡农商行</t>
  </si>
  <si>
    <t>西乡农商银行</t>
  </si>
  <si>
    <t>昔阳县农联社</t>
  </si>
  <si>
    <t>息烽联社</t>
  </si>
  <si>
    <t>息县联社</t>
  </si>
  <si>
    <t>浠水楚农商村镇银行</t>
  </si>
  <si>
    <t>浠水农商行</t>
  </si>
  <si>
    <t>淅川联社</t>
  </si>
  <si>
    <t>锡林农合行</t>
  </si>
  <si>
    <t>隰县联社</t>
  </si>
  <si>
    <t>峡江农商银行</t>
  </si>
  <si>
    <t>夏津农商银行</t>
  </si>
  <si>
    <t>夏县农商银行</t>
  </si>
  <si>
    <t>夏邑县农联社</t>
  </si>
  <si>
    <t>仙居富民村镇银行</t>
  </si>
  <si>
    <t>仙居农商银行</t>
  </si>
  <si>
    <t>仙桃农商行</t>
  </si>
  <si>
    <t>咸丰农商行</t>
  </si>
  <si>
    <t>咸宁农商行</t>
  </si>
  <si>
    <t>献县农商银行</t>
  </si>
  <si>
    <t>乡宁农商银行</t>
  </si>
  <si>
    <t>湘潭农商银行</t>
  </si>
  <si>
    <t>湘潭天易农商银行</t>
  </si>
  <si>
    <t>湘西长行村镇银行</t>
  </si>
  <si>
    <t>湘乡农商银行</t>
  </si>
  <si>
    <t>湘乡市村镇银行</t>
  </si>
  <si>
    <t>湘阴农商银行</t>
  </si>
  <si>
    <t>襄城汇浦村镇银行</t>
  </si>
  <si>
    <t>襄城农商银行</t>
  </si>
  <si>
    <t>襄汾农村商业银行</t>
  </si>
  <si>
    <t>襄阳农商行</t>
  </si>
  <si>
    <t>襄垣农商银行</t>
  </si>
  <si>
    <t>镶黄旗联社</t>
  </si>
  <si>
    <t>响水农商行</t>
  </si>
  <si>
    <t>项城联社</t>
  </si>
  <si>
    <t>象山县农联社</t>
  </si>
  <si>
    <t>象州农合行</t>
  </si>
  <si>
    <t>萧山农商行</t>
  </si>
  <si>
    <t>萧县农村商业银行</t>
  </si>
  <si>
    <t>孝昌本富村镇银行</t>
  </si>
  <si>
    <t>孝昌农商行</t>
  </si>
  <si>
    <t>孝感农商行</t>
  </si>
  <si>
    <t>孝义汇通村镇银行</t>
  </si>
  <si>
    <t>孝义农商银行</t>
  </si>
  <si>
    <t>辛集农商银行</t>
  </si>
  <si>
    <t>忻城县农村信用合作联社</t>
  </si>
  <si>
    <t>忻州农商银行</t>
  </si>
  <si>
    <t>新安农商银行</t>
  </si>
  <si>
    <t>新蔡农商行</t>
  </si>
  <si>
    <t>新昌农商银行</t>
  </si>
  <si>
    <t>新昌浦发村镇银行</t>
  </si>
  <si>
    <t>新丰联社</t>
  </si>
  <si>
    <t>新干农商银行</t>
  </si>
  <si>
    <t>新和县农信联社</t>
  </si>
  <si>
    <t>新河联社</t>
  </si>
  <si>
    <t>新化农商银行</t>
  </si>
  <si>
    <t>新晃农商行</t>
  </si>
  <si>
    <t>新建农商银行</t>
  </si>
  <si>
    <t>新疆汇和银行</t>
  </si>
  <si>
    <t>新密农商银行</t>
  </si>
  <si>
    <t>新宁农商银行</t>
  </si>
  <si>
    <t>新邵农商行</t>
  </si>
  <si>
    <t>新泰农商银行</t>
  </si>
  <si>
    <t>新田农商银行</t>
  </si>
  <si>
    <t>新县农商银行</t>
  </si>
  <si>
    <t>新乡平原农商银行</t>
  </si>
  <si>
    <t>新乡县农信社</t>
  </si>
  <si>
    <t>新野建信村镇银行</t>
  </si>
  <si>
    <t>新野联社</t>
  </si>
  <si>
    <t>新沂农商银行</t>
  </si>
  <si>
    <t>新余农商银行</t>
  </si>
  <si>
    <t>新源县农村信用社</t>
  </si>
  <si>
    <t>新郑农商银行</t>
  </si>
  <si>
    <t>信丰农商行</t>
  </si>
  <si>
    <t>信阳平桥中原村镇银行</t>
  </si>
  <si>
    <t>信阳珠江村镇银行</t>
  </si>
  <si>
    <t>信宜农商银行</t>
  </si>
  <si>
    <t>星沙农商行</t>
  </si>
  <si>
    <t>星展银行</t>
  </si>
  <si>
    <t>邢台农商行</t>
  </si>
  <si>
    <t>邢台县联社</t>
  </si>
  <si>
    <t>邢台银行</t>
  </si>
  <si>
    <t>荥经联社</t>
  </si>
  <si>
    <t>荥阳农商银行</t>
  </si>
  <si>
    <t>兴安农合行</t>
  </si>
  <si>
    <t>兴国农商行</t>
  </si>
  <si>
    <t>兴海农商行</t>
  </si>
  <si>
    <t>兴和联社</t>
  </si>
  <si>
    <t>兴化农商行</t>
  </si>
  <si>
    <t>兴化苏南村镇银行</t>
  </si>
  <si>
    <t>兴隆联社</t>
  </si>
  <si>
    <t>兴宁农信社</t>
  </si>
  <si>
    <t>兴山农商行</t>
  </si>
  <si>
    <t>兴县信用联社</t>
  </si>
  <si>
    <t>兴业联社</t>
  </si>
  <si>
    <t>休宁大地村镇银行</t>
  </si>
  <si>
    <t>休宁农村商业银行</t>
  </si>
  <si>
    <t>修水九银村镇银行</t>
  </si>
  <si>
    <t>修水农商银行</t>
  </si>
  <si>
    <t>修文联社</t>
  </si>
  <si>
    <t>修武农商行</t>
  </si>
  <si>
    <t>秀洲德商村镇银行</t>
  </si>
  <si>
    <t>盱眙农商行</t>
  </si>
  <si>
    <t>徐闻联社</t>
  </si>
  <si>
    <t>徐州铜山农商银行</t>
  </si>
  <si>
    <t>许昌农商银行</t>
  </si>
  <si>
    <t>许昌新浦村镇银行</t>
  </si>
  <si>
    <t>许都农商银行</t>
  </si>
  <si>
    <t>宣城皖南农村商业银行</t>
  </si>
  <si>
    <t>宣恩农商行</t>
  </si>
  <si>
    <t>宣汉农商银行</t>
  </si>
  <si>
    <t>宣州湖商村镇银行</t>
  </si>
  <si>
    <t>旬阳农商行</t>
  </si>
  <si>
    <t>旬邑联社</t>
  </si>
  <si>
    <t>寻甸农村商业银行</t>
  </si>
  <si>
    <t>寻乌农商行</t>
  </si>
  <si>
    <t>循化联社</t>
  </si>
  <si>
    <t>雅安农商银行</t>
  </si>
  <si>
    <t>雅安市商业银行</t>
  </si>
  <si>
    <t>烟台农商银行</t>
  </si>
  <si>
    <t>烟台银行</t>
  </si>
  <si>
    <t>焉耆县联社</t>
  </si>
  <si>
    <t>鄢陵农商银行</t>
  </si>
  <si>
    <t>鄢陵郑银村镇银行</t>
  </si>
  <si>
    <t>延安农商行</t>
  </si>
  <si>
    <t>延边农村商业银行</t>
  </si>
  <si>
    <t>延川联社</t>
  </si>
  <si>
    <t>延津农商银行</t>
  </si>
  <si>
    <t>延庆村镇</t>
  </si>
  <si>
    <t>延寿农商银行</t>
  </si>
  <si>
    <t>延长联社</t>
  </si>
  <si>
    <t>沿河联社</t>
  </si>
  <si>
    <t>盐城农商行</t>
  </si>
  <si>
    <t>盐池农村商业银行</t>
  </si>
  <si>
    <t>盐山县农村信用联社</t>
  </si>
  <si>
    <t>盐亭县农联社</t>
  </si>
  <si>
    <t>兖州农商行</t>
  </si>
  <si>
    <t>郾城包商村镇银行</t>
  </si>
  <si>
    <t>偃师农商银行</t>
  </si>
  <si>
    <t>扬中恒丰村镇银行</t>
  </si>
  <si>
    <t>扬中农商行</t>
  </si>
  <si>
    <t>扬州农村商业银行</t>
  </si>
  <si>
    <t>阳城农商银行</t>
  </si>
  <si>
    <t>阳春农商银行</t>
  </si>
  <si>
    <t>阳东农村商业银行</t>
  </si>
  <si>
    <t>阳江农商银行</t>
  </si>
  <si>
    <t>阳泉市郊区农联社</t>
  </si>
  <si>
    <t>阳泉市商业银行</t>
  </si>
  <si>
    <t>阳山联社</t>
  </si>
  <si>
    <t>阳朔农合行</t>
  </si>
  <si>
    <t>阳西联社</t>
  </si>
  <si>
    <t>阳新农商行</t>
  </si>
  <si>
    <t>杨凌农商行</t>
  </si>
  <si>
    <t>尧都农商银行</t>
  </si>
  <si>
    <t>药都农村商业银行</t>
  </si>
  <si>
    <t>叶城县联社</t>
  </si>
  <si>
    <t>叶集农村商业银行</t>
  </si>
  <si>
    <t>叶县农商银行</t>
  </si>
  <si>
    <t>伊川农商银行</t>
  </si>
  <si>
    <t>伊金霍洛农村商业银行股份有限公司</t>
  </si>
  <si>
    <t>伊金霍洛旗矿区农联社</t>
  </si>
  <si>
    <t>伊犁农商银行</t>
  </si>
  <si>
    <t>伊宁农商银行</t>
  </si>
  <si>
    <t>依安联社</t>
  </si>
  <si>
    <t>依兰联社</t>
  </si>
  <si>
    <t>黟县农村商业银行</t>
  </si>
  <si>
    <t>黟县新淮河村镇银行</t>
  </si>
  <si>
    <t>仪征包商村镇银行</t>
  </si>
  <si>
    <t>沂南农商银行</t>
  </si>
  <si>
    <t>沂水农商银行</t>
  </si>
  <si>
    <t>沂源博商村镇银行</t>
  </si>
  <si>
    <t>沂源农商行</t>
  </si>
  <si>
    <t>宜宾翠屏农村商业银行</t>
  </si>
  <si>
    <t>宜宾南溪农村商业银行</t>
  </si>
  <si>
    <t>宜宾市商业银行</t>
  </si>
  <si>
    <t>宜川联社</t>
  </si>
  <si>
    <t>宜春农商银行</t>
  </si>
  <si>
    <t>宜都农商行</t>
  </si>
  <si>
    <t>宜丰农商银行</t>
  </si>
  <si>
    <t>宜黄抚商村镇银行</t>
  </si>
  <si>
    <t>宜黄农商行</t>
  </si>
  <si>
    <t>宜君联社</t>
  </si>
  <si>
    <t>宜兴阳羡村镇银行</t>
  </si>
  <si>
    <t>宜阳农商银行</t>
  </si>
  <si>
    <t>宜章农商银行</t>
  </si>
  <si>
    <t>宜州农合行</t>
  </si>
  <si>
    <t>弋阳农商行</t>
  </si>
  <si>
    <t>义马农商银行</t>
  </si>
  <si>
    <t>义乌联合村镇银行</t>
  </si>
  <si>
    <t>义乌农商银行</t>
  </si>
  <si>
    <t>益阳农商行</t>
  </si>
  <si>
    <t>银川掌政石银村镇银行</t>
  </si>
  <si>
    <t>鄞州银行</t>
  </si>
  <si>
    <t>印江县联社</t>
  </si>
  <si>
    <t>应城农商行</t>
  </si>
  <si>
    <t>应城融兴村镇银行</t>
  </si>
  <si>
    <t>英德联社</t>
  </si>
  <si>
    <t>英吉沙县联社</t>
  </si>
  <si>
    <t>英山农商行</t>
  </si>
  <si>
    <t>英山长江村镇银行</t>
  </si>
  <si>
    <t>鹰潭农商银行</t>
  </si>
  <si>
    <t>营口辰州汇通村镇银行</t>
  </si>
  <si>
    <t>营口大石桥隆丰村镇银行</t>
  </si>
  <si>
    <t>营口大石桥农商行</t>
  </si>
  <si>
    <t>营口盖州农信社</t>
  </si>
  <si>
    <t>营口农商行</t>
  </si>
  <si>
    <t>营口融生农商行</t>
  </si>
  <si>
    <t>营口沿海银行</t>
  </si>
  <si>
    <t>营口银行</t>
  </si>
  <si>
    <t>营山农商银行</t>
  </si>
  <si>
    <t>颍东农村商业银行</t>
  </si>
  <si>
    <t>颍淮农村商业银行</t>
  </si>
  <si>
    <t>颍泉农村商业银行</t>
  </si>
  <si>
    <t>颍上农村商业银行</t>
  </si>
  <si>
    <t>颍上中银富登村镇银行</t>
  </si>
  <si>
    <t>邕宁联社</t>
  </si>
  <si>
    <t>永昌农商行</t>
  </si>
  <si>
    <t>永城农村商业银行</t>
  </si>
  <si>
    <t>永城齐鲁村镇银行</t>
  </si>
  <si>
    <t>永春县农联社</t>
  </si>
  <si>
    <t>永丰农商银行</t>
  </si>
  <si>
    <t>永丰中国</t>
  </si>
  <si>
    <t>永福农合行</t>
  </si>
  <si>
    <t>永吉农村商业银行</t>
  </si>
  <si>
    <t>永济农商银行</t>
  </si>
  <si>
    <t>永嘉恒升村镇银行</t>
  </si>
  <si>
    <t>永嘉农商银行</t>
  </si>
  <si>
    <t>永康农商银行</t>
  </si>
  <si>
    <t>永宁县农村信用合作联社</t>
  </si>
  <si>
    <t>永顺农商行</t>
  </si>
  <si>
    <t>永泰县农联社</t>
  </si>
  <si>
    <t>永新农商银行</t>
  </si>
  <si>
    <t>永兴农商银行</t>
  </si>
  <si>
    <t>永修农商行</t>
  </si>
  <si>
    <t>永州农商银行</t>
  </si>
  <si>
    <t>攸县农商行</t>
  </si>
  <si>
    <t>友利银行</t>
  </si>
  <si>
    <t>右江农村合作银行</t>
  </si>
  <si>
    <t>右玉联社</t>
  </si>
  <si>
    <t>于都农商银行</t>
  </si>
  <si>
    <t>余干农商银行</t>
  </si>
  <si>
    <t>余杭德商村镇银行</t>
  </si>
  <si>
    <t>余杭农商行</t>
  </si>
  <si>
    <t>余庆农商银行</t>
  </si>
  <si>
    <t>余姚农商银行</t>
  </si>
  <si>
    <t>盂县汇民村镇银行</t>
  </si>
  <si>
    <t>盂县农商银行</t>
  </si>
  <si>
    <t>鱼台农商行</t>
  </si>
  <si>
    <t>榆次农商银行</t>
  </si>
  <si>
    <t>榆次融信村镇银行</t>
  </si>
  <si>
    <t>榆社农商行</t>
  </si>
  <si>
    <t>榆树农商行</t>
  </si>
  <si>
    <t>榆阳民生村镇银行</t>
  </si>
  <si>
    <t>榆阳农商银行</t>
  </si>
  <si>
    <t>虞城通商村镇银行</t>
  </si>
  <si>
    <t>虞城县农联社</t>
  </si>
  <si>
    <t>禹城农商银行</t>
  </si>
  <si>
    <t>禹州农信社</t>
  </si>
  <si>
    <t>禹州新民生村镇银行</t>
  </si>
  <si>
    <t>玉环农商银行</t>
  </si>
  <si>
    <t>玉林市区联社</t>
  </si>
  <si>
    <t>玉门农商行</t>
  </si>
  <si>
    <t>玉屏联社</t>
  </si>
  <si>
    <t>玉山农商银行</t>
  </si>
  <si>
    <t>玉山三清山村镇银行</t>
  </si>
  <si>
    <t>玉树农商银行</t>
  </si>
  <si>
    <t>玉田农商银行</t>
  </si>
  <si>
    <t>郁南县农信联社</t>
  </si>
  <si>
    <t>裕安盛平村镇银行</t>
  </si>
  <si>
    <t>裕民县联社</t>
  </si>
  <si>
    <t>沅江农商行</t>
  </si>
  <si>
    <t>沅江浦发村镇银行</t>
  </si>
  <si>
    <t>垣曲农村商业银行</t>
  </si>
  <si>
    <t>原平市联社</t>
  </si>
  <si>
    <t>原阳农商银行</t>
  </si>
  <si>
    <t>远安农商行</t>
  </si>
  <si>
    <t>岳池村镇银行</t>
  </si>
  <si>
    <t>岳池县农村信用合作联社</t>
  </si>
  <si>
    <t>岳普湖县联社</t>
  </si>
  <si>
    <t>岳西农村商业银行</t>
  </si>
  <si>
    <t>岳阳农商银行</t>
  </si>
  <si>
    <t>云安区联社</t>
  </si>
  <si>
    <t>云浮云城区农信联社</t>
  </si>
  <si>
    <t>云和联合村镇银行</t>
  </si>
  <si>
    <t>云和农商银行</t>
  </si>
  <si>
    <t>云梦农商行</t>
  </si>
  <si>
    <t>云南省保山市昌宁县农商行</t>
  </si>
  <si>
    <t>云南省保山市龙陵县农信社</t>
  </si>
  <si>
    <t>云南省保山市隆阳区农信社</t>
  </si>
  <si>
    <t>云南省保山市施甸县农信社</t>
  </si>
  <si>
    <t>云南省保山市腾冲市农信社</t>
  </si>
  <si>
    <t>云南省楚雄州楚雄市农信社</t>
  </si>
  <si>
    <t>云南省楚雄州大姚县农信社</t>
  </si>
  <si>
    <t>云南省楚雄州禄丰县农商行</t>
  </si>
  <si>
    <t>云南省楚雄州牟定县农信社</t>
  </si>
  <si>
    <t>云南省楚雄州南华县农商行</t>
  </si>
  <si>
    <t>云南省楚雄州双柏县农信社</t>
  </si>
  <si>
    <t>云南省楚雄州武定县农信社</t>
  </si>
  <si>
    <t>云南省楚雄州姚安县农信社</t>
  </si>
  <si>
    <t>云南省楚雄州永仁县农信社</t>
  </si>
  <si>
    <t>云南省楚雄州元谋县农信社</t>
  </si>
  <si>
    <t>云南省大理州宾川县农商行</t>
  </si>
  <si>
    <t>云南省大理州大理市农商行</t>
  </si>
  <si>
    <t>云南省大理州洱源县农商行</t>
  </si>
  <si>
    <t>云南省大理州鹤庆县农信社</t>
  </si>
  <si>
    <t>云南省大理州剑川县农信社</t>
  </si>
  <si>
    <t>云南省大理州弥渡县农信社</t>
  </si>
  <si>
    <t>云南省大理州南涧县农信社</t>
  </si>
  <si>
    <t>云南省大理州巍山县农信社</t>
  </si>
  <si>
    <t>云南省大理州祥云县农商行</t>
  </si>
  <si>
    <t>云南省大理州漾濞县农信社</t>
  </si>
  <si>
    <t>云南省大理州永平县农信社</t>
  </si>
  <si>
    <t>云南省大理州云龙县农商行</t>
  </si>
  <si>
    <t>云南省德宏州梁河县农信社</t>
  </si>
  <si>
    <t>云南省德宏州陇川农商行</t>
  </si>
  <si>
    <t>云南省德宏州芒市农商行</t>
  </si>
  <si>
    <t>云南省德宏州瑞丽市农村信用合作联社</t>
  </si>
  <si>
    <t>云南省德宏州盈江县农商行</t>
  </si>
  <si>
    <t>云南省迪庆州德钦县农信社</t>
  </si>
  <si>
    <t>云南省迪庆州维西县农信社</t>
  </si>
  <si>
    <t>云南省迪庆州香格里拉市农信社</t>
  </si>
  <si>
    <t>云南省红河州个旧市农信社</t>
  </si>
  <si>
    <t>云南省红河州河口县农商行</t>
  </si>
  <si>
    <t>云南省红河州红河县农信社</t>
  </si>
  <si>
    <t>云南省红河州建水县农信社</t>
  </si>
  <si>
    <t>云南省红河州金平县农信社</t>
  </si>
  <si>
    <t>云南省红河州开远市农信社</t>
  </si>
  <si>
    <t>云南省红河州泸西县农信社</t>
  </si>
  <si>
    <t>云南省红河州绿春县农信社</t>
  </si>
  <si>
    <t>云南省红河州蒙自市农商行</t>
  </si>
  <si>
    <t>云南省红河州弥勒市农商行</t>
  </si>
  <si>
    <t>云南省红河州屏边县农信社</t>
  </si>
  <si>
    <t>云南省红河州石屏县农信社</t>
  </si>
  <si>
    <t>云南省红河州元阳县农信社</t>
  </si>
  <si>
    <t>云南省昆明市安宁市农信社</t>
  </si>
  <si>
    <t>云南省昆明市呈贡农信社</t>
  </si>
  <si>
    <t>云南省昆明市富民县农信社</t>
  </si>
  <si>
    <t>云南省昆明市禄劝县农信社</t>
  </si>
  <si>
    <t>云南省昆明市石林县农信社</t>
  </si>
  <si>
    <t>云南省昆明市五华区农信社</t>
  </si>
  <si>
    <t>云南省昆明市西山区农信社</t>
  </si>
  <si>
    <t>云南省昆明市宜良县农信社</t>
  </si>
  <si>
    <t>云南省丽江市古城区丽江古城富滇村镇银行</t>
  </si>
  <si>
    <t>云南省丽江市古城区农商行</t>
  </si>
  <si>
    <t>云南省丽江市华坪县农信社</t>
  </si>
  <si>
    <t>云南省丽江市宁蒗县农信社</t>
  </si>
  <si>
    <t>云南省丽江市永胜县农商行</t>
  </si>
  <si>
    <t>云南省丽江市玉龙县丽江玉龙长江村镇银行</t>
  </si>
  <si>
    <t>云南省丽江市玉龙县农商行</t>
  </si>
  <si>
    <t>云南省临沧市沧源县农信社</t>
  </si>
  <si>
    <t>云南省临沧市凤庆县农商行</t>
  </si>
  <si>
    <t>云南省临沧市耿马县农信社</t>
  </si>
  <si>
    <t>云南省临沧市临翔区农信社</t>
  </si>
  <si>
    <t>云南省临沧市双江县农信社</t>
  </si>
  <si>
    <t>云南省临沧市永德县农信社</t>
  </si>
  <si>
    <t>云南省临沧市云县农信社</t>
  </si>
  <si>
    <t>云南省临沧市镇康县农信社</t>
  </si>
  <si>
    <t>云南省怒江州福贡县农信社</t>
  </si>
  <si>
    <t>云南省怒江州兰坪县农信社</t>
  </si>
  <si>
    <t>云南省怒江州泸水市农信社</t>
  </si>
  <si>
    <t>云南省普洱市江城县农信社</t>
  </si>
  <si>
    <t>云南省普洱市景东县农商行</t>
  </si>
  <si>
    <t>云南省普洱市景谷县农信社</t>
  </si>
  <si>
    <t>云南省普洱市澜沧县农信社</t>
  </si>
  <si>
    <t>云南省普洱市孟连县农信社</t>
  </si>
  <si>
    <t>云南省普洱市墨江县农信社</t>
  </si>
  <si>
    <t>云南省普洱市宁洱县农信社</t>
  </si>
  <si>
    <t>云南省普洱市思茅农商行</t>
  </si>
  <si>
    <t>云南省普洱市西盟县农信社</t>
  </si>
  <si>
    <t>云南省曲靖市富源县农信社</t>
  </si>
  <si>
    <t>云南省曲靖市会泽县农信社</t>
  </si>
  <si>
    <t>云南省曲靖市陆良县农商行</t>
  </si>
  <si>
    <t>云南省曲靖市罗平县农商行</t>
  </si>
  <si>
    <t>云南省曲靖市马龙县农信社</t>
  </si>
  <si>
    <t>云南省曲靖市麒麟区农信社</t>
  </si>
  <si>
    <t>云南省曲靖市商业银行</t>
  </si>
  <si>
    <t>云南省曲靖市师宗县农信社</t>
  </si>
  <si>
    <t>云南省曲靖市宣威市农信社</t>
  </si>
  <si>
    <t>云南省曲靖市沾益区农信社</t>
  </si>
  <si>
    <t>云南省文山州富宁县农信社</t>
  </si>
  <si>
    <t>云南省文山州广南县农信社</t>
  </si>
  <si>
    <t>云南省文山州麻栗坡县农信社</t>
  </si>
  <si>
    <t>云南省文山州马关县农信社</t>
  </si>
  <si>
    <t>云南省文山州丘北县农信社</t>
  </si>
  <si>
    <t>云南省文山州文山市民丰村镇银行</t>
  </si>
  <si>
    <t>云南省文山州文山市农商行</t>
  </si>
  <si>
    <t>云南省文山州西畴县农信社</t>
  </si>
  <si>
    <t>云南省文山州砚山县农信社</t>
  </si>
  <si>
    <t>云南省西双版纳州勐腊县农商行</t>
  </si>
  <si>
    <t>云南省玉溪市澄江县农信社</t>
  </si>
  <si>
    <t>云南省玉溪市峨山县农信社</t>
  </si>
  <si>
    <t>云南省玉溪市红塔农合行</t>
  </si>
  <si>
    <t>云南省玉溪市红塔区兴和村镇银行</t>
  </si>
  <si>
    <t>云南省玉溪市红塔银行</t>
  </si>
  <si>
    <t>云南省玉溪市华宁县农信社</t>
  </si>
  <si>
    <t>云南省玉溪市江川区农信社</t>
  </si>
  <si>
    <t>云南省玉溪市通海县农商行</t>
  </si>
  <si>
    <t>云南省玉溪市新平县农信社</t>
  </si>
  <si>
    <t>云南省玉溪市易门县农商行</t>
  </si>
  <si>
    <t>云南省玉溪市元江县农信社</t>
  </si>
  <si>
    <t>云南省昭通市大关县农信社</t>
  </si>
  <si>
    <t>云南省昭通市鲁甸县农信社</t>
  </si>
  <si>
    <t>云南省昭通市巧家县农信社</t>
  </si>
  <si>
    <t>云南省昭通市水富县农信社</t>
  </si>
  <si>
    <t>云南省昭通市绥江县农信社</t>
  </si>
  <si>
    <t>云南省昭通市威信县农信社</t>
  </si>
  <si>
    <t>云南省昭通市盐津县农信社</t>
  </si>
  <si>
    <t>云南省昭通市彝良县农信社</t>
  </si>
  <si>
    <t>云南省昭通市永善县农信社</t>
  </si>
  <si>
    <t>云南省昭通市昭阳农村商业银行</t>
  </si>
  <si>
    <t>云南省昭通市镇雄县农信社</t>
  </si>
  <si>
    <t>云南省昭通昭阳富滇村镇银行</t>
  </si>
  <si>
    <t>郧西农商行</t>
  </si>
  <si>
    <t>郧县农商行</t>
  </si>
  <si>
    <t>运城农村商业银行</t>
  </si>
  <si>
    <t>运河青隆村镇银行</t>
  </si>
  <si>
    <t>郓城农商银行</t>
  </si>
  <si>
    <t>赞皇联社</t>
  </si>
  <si>
    <t>枣庄农商银行</t>
  </si>
  <si>
    <t>枣庄银行</t>
  </si>
  <si>
    <t>泽库联社</t>
  </si>
  <si>
    <t>泽普县联社</t>
  </si>
  <si>
    <t>泽州农商银行</t>
  </si>
  <si>
    <t>扎鲁特旗农村信用合作联社</t>
  </si>
  <si>
    <t>渣打银行</t>
  </si>
  <si>
    <t>柞水农商银行</t>
  </si>
  <si>
    <t>张北农商行</t>
  </si>
  <si>
    <t>张店农商银行</t>
  </si>
  <si>
    <t>张家港农村商业银行</t>
  </si>
  <si>
    <t>张家界农商行</t>
  </si>
  <si>
    <t>张家口银行</t>
  </si>
  <si>
    <t>张掖农商行</t>
  </si>
  <si>
    <t>章丘农商银行</t>
  </si>
  <si>
    <t>章丘齐鲁村镇银行</t>
  </si>
  <si>
    <t>漳浦联社</t>
  </si>
  <si>
    <t>漳州市东山县农信社</t>
  </si>
  <si>
    <t>漳州市华安县农信社</t>
  </si>
  <si>
    <t>漳州市云霄县农信社</t>
  </si>
  <si>
    <t>漳州市诏安汇通村镇银行</t>
  </si>
  <si>
    <t>漳州市诏安县农信社</t>
  </si>
  <si>
    <t>樟树农商银行</t>
  </si>
  <si>
    <t>长安银行</t>
  </si>
  <si>
    <t>长白山农商银行</t>
  </si>
  <si>
    <t>长城华西银行</t>
  </si>
  <si>
    <t>长春农商银行</t>
  </si>
  <si>
    <t>长岛农商银行</t>
  </si>
  <si>
    <t>长发展农商行</t>
  </si>
  <si>
    <t>长丰科源村镇银行</t>
  </si>
  <si>
    <t>长丰农村商业银行</t>
  </si>
  <si>
    <t>长葛农商银行</t>
  </si>
  <si>
    <t>长葛轩辕村镇银行</t>
  </si>
  <si>
    <t>长江银行</t>
  </si>
  <si>
    <t>长乐农商银行</t>
  </si>
  <si>
    <t>长岭联社</t>
  </si>
  <si>
    <t>长沙农商银行</t>
  </si>
  <si>
    <t>长沙银行</t>
  </si>
  <si>
    <t>长顺联社</t>
  </si>
  <si>
    <t>长泰县农联社</t>
  </si>
  <si>
    <t>长武农商银行</t>
  </si>
  <si>
    <t>长兴联合村镇银行</t>
  </si>
  <si>
    <t>长兴农商行</t>
  </si>
  <si>
    <t>长阳农商行</t>
  </si>
  <si>
    <t>长垣民生村镇银行</t>
  </si>
  <si>
    <t>长垣农商行</t>
  </si>
  <si>
    <t>长治黎都农商银行</t>
  </si>
  <si>
    <t>长治潞州农商行</t>
  </si>
  <si>
    <t>长治银行</t>
  </si>
  <si>
    <t>长治漳泽农商银行</t>
  </si>
  <si>
    <t>长子农商银行</t>
  </si>
  <si>
    <t>招远农商银行</t>
  </si>
  <si>
    <t>昭平农商行</t>
  </si>
  <si>
    <t>昭苏县农村信用合作联社</t>
  </si>
  <si>
    <t>昭阳农商银行</t>
  </si>
  <si>
    <t>召陵区农信社</t>
  </si>
  <si>
    <t>赵县信用联社</t>
  </si>
  <si>
    <t>肇庆端州农商行</t>
  </si>
  <si>
    <t>肇源农商银行</t>
  </si>
  <si>
    <t>肇州农商银行</t>
  </si>
  <si>
    <t>柘城黄淮村镇银行</t>
  </si>
  <si>
    <t>柘城县农联社</t>
  </si>
  <si>
    <t>浙江稠州商业银行</t>
  </si>
  <si>
    <t>浙江岱山稠州村镇银行</t>
  </si>
  <si>
    <t>浙江丽水莲都建信村镇银行</t>
  </si>
  <si>
    <t>浙江龙游农商银行</t>
  </si>
  <si>
    <t>浙江民泰商业银行</t>
  </si>
  <si>
    <t>浙江磐安婺商村镇银行</t>
  </si>
  <si>
    <t>浙江浦江嘉银村镇银行</t>
  </si>
  <si>
    <t>浙江青田建信华侨村镇银行</t>
  </si>
  <si>
    <t>浙江庆元泰隆村镇银行</t>
  </si>
  <si>
    <t>浙江三门银座村镇银行</t>
  </si>
  <si>
    <t>浙江泰隆商业银行</t>
  </si>
  <si>
    <t>浙江网商银行</t>
  </si>
  <si>
    <t>浙江永康农银村镇银行</t>
  </si>
  <si>
    <t>浙江玉环永兴村镇银行</t>
  </si>
  <si>
    <t>浙江舟山普陀农商行</t>
  </si>
  <si>
    <t>浙江诸暨农商行</t>
  </si>
  <si>
    <t>镇宁县联社</t>
  </si>
  <si>
    <t>镇平农商行</t>
  </si>
  <si>
    <t>镇沅县农村信用合作联社</t>
  </si>
  <si>
    <t>镇远联社</t>
  </si>
  <si>
    <t>正安联社</t>
  </si>
  <si>
    <t>正阳农商行</t>
  </si>
  <si>
    <t>郑州市区联社</t>
  </si>
  <si>
    <t>郑州市市郊农联社</t>
  </si>
  <si>
    <t>郑州银行</t>
  </si>
  <si>
    <t>枝江农商行</t>
  </si>
  <si>
    <t>织金农村商业银行</t>
  </si>
  <si>
    <t>芷江农商行</t>
  </si>
  <si>
    <t>中德住房储蓄银行有限责任公司</t>
  </si>
  <si>
    <t>中方农商行</t>
  </si>
  <si>
    <t>中江县农联社</t>
  </si>
  <si>
    <t>中牟农商银行</t>
  </si>
  <si>
    <t>中宁农村商业银行</t>
  </si>
  <si>
    <t>中宁青银村镇银行</t>
  </si>
  <si>
    <t>中山农商银行</t>
  </si>
  <si>
    <t>中山小榄村镇银行</t>
  </si>
  <si>
    <t>中卫农村商业银行</t>
  </si>
  <si>
    <t>中卫香山村镇银行</t>
  </si>
  <si>
    <t>中阳县太行村镇银行</t>
  </si>
  <si>
    <t>中原银行</t>
  </si>
  <si>
    <t>钟山联社</t>
  </si>
  <si>
    <t>重庆富民银行</t>
  </si>
  <si>
    <t>重庆农村商行</t>
  </si>
  <si>
    <t>重庆三峡银行</t>
  </si>
  <si>
    <t>重庆银行</t>
  </si>
  <si>
    <t>周口市区联社</t>
  </si>
  <si>
    <t>珠海华润银行</t>
  </si>
  <si>
    <t>珠海农商银行</t>
  </si>
  <si>
    <t>株洲农商银行</t>
  </si>
  <si>
    <t>诸暨联合村镇银行</t>
  </si>
  <si>
    <t>竹山农商行</t>
  </si>
  <si>
    <t>竹溪农商行</t>
  </si>
  <si>
    <t>驻马店农商行</t>
  </si>
  <si>
    <t>准格尔煤田农联社</t>
  </si>
  <si>
    <t>涿州农村商业银行</t>
  </si>
  <si>
    <t>卓资联社</t>
  </si>
  <si>
    <t>卓资蒙银村镇银行</t>
  </si>
  <si>
    <t>资溪九银村镇银行</t>
  </si>
  <si>
    <t>资溪农商行</t>
  </si>
  <si>
    <t>资兴农商银行</t>
  </si>
  <si>
    <t>资兴浦发村镇银行</t>
  </si>
  <si>
    <t>资阳农商行</t>
  </si>
  <si>
    <t>资源农商行</t>
  </si>
  <si>
    <t>资中县农村信用合作联社</t>
  </si>
  <si>
    <t>淄川农商银行</t>
  </si>
  <si>
    <t>子长农商银行</t>
  </si>
  <si>
    <t>子洲农商行</t>
  </si>
  <si>
    <t>秭归农商行</t>
  </si>
  <si>
    <t>梓潼农商银行</t>
  </si>
  <si>
    <t>紫金农信社</t>
  </si>
  <si>
    <t>紫阳农商银行</t>
  </si>
  <si>
    <t>紫云农商行</t>
  </si>
  <si>
    <t>自贡农村商业银行股份有限公司</t>
  </si>
  <si>
    <t>自贡银行</t>
  </si>
  <si>
    <t>邹城建信村镇银行</t>
  </si>
  <si>
    <t>邹城农商银行</t>
  </si>
  <si>
    <t>遵化农信社</t>
  </si>
  <si>
    <t>遵义农商银行</t>
  </si>
  <si>
    <t>左权农商银行</t>
  </si>
  <si>
    <t>左云农村商业银行</t>
  </si>
  <si>
    <t>销售金额（万元）</t>
    <phoneticPr fontId="10" type="noConversion"/>
  </si>
  <si>
    <t>发布天数X</t>
    <phoneticPr fontId="27" type="noConversion"/>
  </si>
  <si>
    <t>活跃用户数Y</t>
    <phoneticPr fontId="27" type="noConversion"/>
  </si>
  <si>
    <t>发布天数</t>
    <phoneticPr fontId="27" type="noConversion"/>
  </si>
  <si>
    <t>线性预测值</t>
    <phoneticPr fontId="27" type="noConversion"/>
  </si>
  <si>
    <t>多项式预测值</t>
    <phoneticPr fontId="27" type="noConversion"/>
  </si>
  <si>
    <t>固定成本（万元）</t>
    <phoneticPr fontId="27" type="noConversion"/>
  </si>
  <si>
    <t>a取值/b取值</t>
    <phoneticPr fontId="27" type="noConversion"/>
  </si>
  <si>
    <t>c取值/d取值</t>
    <phoneticPr fontId="27" type="noConversion"/>
  </si>
  <si>
    <t>销量（万件）</t>
    <phoneticPr fontId="27" type="noConversion"/>
  </si>
  <si>
    <t>单价（元）</t>
    <phoneticPr fontId="27" type="noConversion"/>
  </si>
  <si>
    <t>单位变动成本（元）</t>
    <phoneticPr fontId="27" type="noConversion"/>
  </si>
  <si>
    <t>销售收入</t>
    <phoneticPr fontId="27" type="noConversion"/>
  </si>
  <si>
    <t>总成本</t>
    <phoneticPr fontId="27" type="noConversion"/>
  </si>
  <si>
    <t>单位边际贡献</t>
    <phoneticPr fontId="27" type="noConversion"/>
  </si>
  <si>
    <t>利润</t>
    <phoneticPr fontId="27" type="noConversion"/>
  </si>
  <si>
    <t>最优销量</t>
    <phoneticPr fontId="27" type="noConversion"/>
  </si>
  <si>
    <t>利润极大值</t>
    <phoneticPr fontId="27" type="noConversion"/>
  </si>
  <si>
    <t>盈亏平衡点1</t>
    <phoneticPr fontId="27" type="noConversion"/>
  </si>
  <si>
    <t>盈亏平衡点1对应销售收入</t>
    <phoneticPr fontId="27" type="noConversion"/>
  </si>
  <si>
    <t>盈亏平衡点2</t>
    <phoneticPr fontId="27" type="noConversion"/>
  </si>
  <si>
    <t>盈亏平衡点2对应销售收入</t>
    <phoneticPr fontId="27" type="noConversion"/>
  </si>
  <si>
    <t>最优销量垂直参考线</t>
    <phoneticPr fontId="27" type="noConversion"/>
  </si>
  <si>
    <t>当前销量垂直参考线</t>
    <phoneticPr fontId="27" type="noConversion"/>
  </si>
  <si>
    <t>亏损（绿色）</t>
    <phoneticPr fontId="27" type="noConversion"/>
  </si>
  <si>
    <t>盈亏平衡点1垂直线</t>
    <phoneticPr fontId="27" type="noConversion"/>
  </si>
  <si>
    <t>盈亏平衡点2垂直线</t>
    <phoneticPr fontId="27" type="noConversion"/>
  </si>
  <si>
    <t>盈利（红色）</t>
    <phoneticPr fontId="27" type="noConversion"/>
  </si>
  <si>
    <t>单件销售成本均值</t>
    <phoneticPr fontId="24" type="noConversion"/>
  </si>
  <si>
    <t>标准差</t>
    <phoneticPr fontId="24" type="noConversion"/>
  </si>
  <si>
    <t>日销售量下限</t>
    <phoneticPr fontId="24" type="noConversion"/>
  </si>
  <si>
    <t>日销售量上限</t>
    <phoneticPr fontId="24" type="noConversion"/>
  </si>
  <si>
    <t>订货数量</t>
  </si>
  <si>
    <t>一次订购成本</t>
    <phoneticPr fontId="24" type="noConversion"/>
  </si>
  <si>
    <t>安全库存</t>
    <phoneticPr fontId="24" type="noConversion"/>
  </si>
  <si>
    <t>日储存成本</t>
    <phoneticPr fontId="24" type="noConversion"/>
  </si>
  <si>
    <t>初始库存</t>
  </si>
  <si>
    <t>单件缺货成本</t>
    <phoneticPr fontId="10" type="noConversion"/>
  </si>
  <si>
    <t>批发价格下限</t>
    <phoneticPr fontId="10" type="noConversion"/>
  </si>
  <si>
    <t>批发价格上限</t>
    <phoneticPr fontId="10" type="noConversion"/>
  </si>
  <si>
    <t>贴现率</t>
    <phoneticPr fontId="27" type="noConversion"/>
  </si>
  <si>
    <t>买入价</t>
    <phoneticPr fontId="27" type="noConversion"/>
  </si>
  <si>
    <t>年限</t>
    <phoneticPr fontId="27" type="noConversion"/>
  </si>
  <si>
    <t>年租金</t>
    <phoneticPr fontId="27" type="noConversion"/>
  </si>
  <si>
    <t>售出价</t>
    <phoneticPr fontId="27" type="noConversion"/>
  </si>
  <si>
    <t>投资项目净现值</t>
    <phoneticPr fontId="27" type="noConversion"/>
  </si>
  <si>
    <t>项目结论</t>
    <phoneticPr fontId="27" type="noConversion"/>
  </si>
  <si>
    <t>投资年回报率-1</t>
    <phoneticPr fontId="27" type="noConversion"/>
  </si>
  <si>
    <t>投资年回报率-2</t>
    <phoneticPr fontId="27" type="noConversion"/>
  </si>
  <si>
    <t>期望年回报率</t>
    <phoneticPr fontId="27" type="noConversion"/>
  </si>
  <si>
    <t>应得年租金</t>
    <phoneticPr fontId="27" type="noConversion"/>
  </si>
  <si>
    <t>应得店面售出价</t>
    <phoneticPr fontId="27" type="noConversion"/>
  </si>
  <si>
    <t>文字结论</t>
    <phoneticPr fontId="27" type="noConversion"/>
  </si>
  <si>
    <t>成本</t>
    <phoneticPr fontId="10" type="noConversion"/>
  </si>
  <si>
    <t>项目</t>
    <phoneticPr fontId="10" type="noConversion"/>
  </si>
  <si>
    <t>利润</t>
    <phoneticPr fontId="10" type="noConversion"/>
  </si>
  <si>
    <t>不应该</t>
    <phoneticPr fontId="27" type="noConversion"/>
  </si>
  <si>
    <t>所花金额</t>
    <phoneticPr fontId="10" type="noConversion"/>
  </si>
  <si>
    <t>总利润额</t>
    <phoneticPr fontId="10" type="noConversion"/>
  </si>
  <si>
    <t>公司名称</t>
  </si>
  <si>
    <t>产品名称</t>
  </si>
  <si>
    <t>数量</t>
  </si>
  <si>
    <t>机构数</t>
    <phoneticPr fontId="10" type="noConversion"/>
  </si>
  <si>
    <t>机构人数总计</t>
    <phoneticPr fontId="10" type="noConversion"/>
  </si>
  <si>
    <t>地区</t>
    <phoneticPr fontId="10" type="noConversion"/>
  </si>
  <si>
    <t>合格</t>
    <phoneticPr fontId="10" type="noConversion"/>
  </si>
  <si>
    <t>观察</t>
    <phoneticPr fontId="10" type="noConversion"/>
  </si>
  <si>
    <t>不合格</t>
    <phoneticPr fontId="10" type="noConversion"/>
  </si>
  <si>
    <t>省份</t>
    <phoneticPr fontId="10" type="noConversion"/>
  </si>
  <si>
    <t>序号</t>
    <phoneticPr fontId="10" type="noConversion"/>
  </si>
  <si>
    <t>趋势值</t>
    <phoneticPr fontId="10" type="noConversion"/>
  </si>
  <si>
    <t>趋势预测值</t>
    <phoneticPr fontId="10" type="noConversion"/>
  </si>
  <si>
    <t>带季节指数的趋势预测值</t>
    <phoneticPr fontId="10" type="noConversion"/>
  </si>
  <si>
    <t>周平均</t>
    <phoneticPr fontId="10" type="noConversion"/>
  </si>
  <si>
    <t>总平均</t>
    <phoneticPr fontId="10" type="noConversion"/>
  </si>
  <si>
    <t>季节指数</t>
    <phoneticPr fontId="10" type="noConversion"/>
  </si>
  <si>
    <t>组</t>
    <phoneticPr fontId="10" type="noConversion"/>
  </si>
  <si>
    <t>月</t>
  </si>
  <si>
    <t>月</t>
    <phoneticPr fontId="10" type="noConversion"/>
  </si>
  <si>
    <t>SUMMARY OUTPUT</t>
  </si>
  <si>
    <t>回归统计</t>
  </si>
  <si>
    <t>Multiple R</t>
  </si>
  <si>
    <t>R Square</t>
  </si>
  <si>
    <t>Adjusted R Square</t>
  </si>
  <si>
    <t>标准误差</t>
  </si>
  <si>
    <t>观测值</t>
  </si>
  <si>
    <t>方差分析</t>
  </si>
  <si>
    <t>回归分析</t>
  </si>
  <si>
    <t>残差</t>
  </si>
  <si>
    <t>总计</t>
  </si>
  <si>
    <t>Intercept</t>
  </si>
  <si>
    <t>df</t>
  </si>
  <si>
    <t>SS</t>
  </si>
  <si>
    <t>MS</t>
  </si>
  <si>
    <t>F</t>
  </si>
  <si>
    <t>Significance F</t>
  </si>
  <si>
    <t>Coefficients</t>
  </si>
  <si>
    <t>t Stat</t>
  </si>
  <si>
    <t>P-value</t>
  </si>
  <si>
    <t>Lower 95%</t>
  </si>
  <si>
    <t>Upper 95%</t>
  </si>
  <si>
    <t>下限 95.0%</t>
  </si>
  <si>
    <t>上限 95.0%</t>
  </si>
  <si>
    <t>发布天数X</t>
  </si>
  <si>
    <t>x^2</t>
    <phoneticPr fontId="10" type="noConversion"/>
  </si>
  <si>
    <t>x^3</t>
    <phoneticPr fontId="10" type="noConversion"/>
  </si>
  <si>
    <t>预测值</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</si>
</sst>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quot;#,##0.00_);[Red]\(&quot;¥&quot;#,##0.00\)"/>
    <numFmt numFmtId="177" formatCode="_(* #,##0.00_);_(* \(#,##0.00\);_(* &quot;-&quot;??_);_(@_)"/>
    <numFmt numFmtId="178" formatCode="0.0"/>
    <numFmt numFmtId="179" formatCode="0.0%"/>
    <numFmt numFmtId="180" formatCode="0.00_ "/>
  </numFmts>
  <fonts count="38" x14ac:knownFonts="1">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b/>
      <sz val="12"/>
      <name val="宋体"/>
      <family val="3"/>
      <charset val="134"/>
    </font>
    <font>
      <b/>
      <sz val="12"/>
      <name val="Arial"/>
      <family val="2"/>
    </font>
    <font>
      <sz val="12"/>
      <color indexed="10"/>
      <name val="黑体"/>
      <family val="3"/>
      <charset val="134"/>
    </font>
    <font>
      <b/>
      <sz val="12"/>
      <color indexed="10"/>
      <name val="黑体"/>
      <family val="3"/>
      <charset val="134"/>
    </font>
    <font>
      <b/>
      <sz val="12"/>
      <name val="黑体"/>
      <family val="3"/>
      <charset val="134"/>
    </font>
    <font>
      <sz val="12"/>
      <name val="黑体"/>
      <family val="3"/>
      <charset val="134"/>
    </font>
    <font>
      <b/>
      <sz val="12"/>
      <color theme="0"/>
      <name val="宋体"/>
      <family val="3"/>
      <charset val="134"/>
    </font>
    <font>
      <b/>
      <sz val="16"/>
      <color rgb="FF0070C0"/>
      <name val="微软雅黑"/>
      <family val="2"/>
      <charset val="134"/>
    </font>
    <font>
      <b/>
      <sz val="24"/>
      <color rgb="FF0070C0"/>
      <name val="微软雅黑"/>
      <family val="2"/>
      <charset val="134"/>
    </font>
    <font>
      <sz val="12"/>
      <name val="Arial"/>
      <family val="2"/>
    </font>
    <font>
      <sz val="11"/>
      <color theme="1"/>
      <name val="宋体"/>
      <family val="2"/>
      <scheme val="minor"/>
    </font>
    <font>
      <sz val="11"/>
      <color theme="1"/>
      <name val="宋体"/>
      <family val="3"/>
      <charset val="134"/>
      <scheme val="minor"/>
    </font>
    <font>
      <b/>
      <sz val="24"/>
      <color rgb="FFFF0000"/>
      <name val="微软雅黑"/>
      <family val="2"/>
      <charset val="134"/>
    </font>
    <font>
      <sz val="9"/>
      <name val="宋体"/>
      <family val="2"/>
      <charset val="134"/>
      <scheme val="minor"/>
    </font>
    <font>
      <sz val="11"/>
      <name val="宋体"/>
      <family val="3"/>
      <charset val="134"/>
    </font>
    <font>
      <sz val="10"/>
      <name val="Arial"/>
      <family val="2"/>
    </font>
    <font>
      <sz val="9"/>
      <name val="宋体"/>
      <family val="3"/>
      <charset val="134"/>
      <scheme val="minor"/>
    </font>
    <font>
      <sz val="11"/>
      <color theme="1"/>
      <name val="宋体"/>
      <family val="3"/>
      <charset val="134"/>
    </font>
    <font>
      <sz val="12"/>
      <color theme="1"/>
      <name val="宋体"/>
      <family val="3"/>
      <charset val="134"/>
      <scheme val="minor"/>
    </font>
    <font>
      <b/>
      <sz val="11"/>
      <name val="宋体"/>
      <family val="3"/>
      <charset val="134"/>
    </font>
    <font>
      <sz val="11"/>
      <name val="Arial"/>
      <family val="2"/>
    </font>
    <font>
      <b/>
      <sz val="11"/>
      <color theme="1"/>
      <name val="宋体"/>
      <family val="3"/>
      <charset val="134"/>
    </font>
    <font>
      <b/>
      <sz val="12"/>
      <color rgb="FFC00000"/>
      <name val="宋体"/>
      <family val="3"/>
      <charset val="134"/>
    </font>
    <font>
      <b/>
      <sz val="12"/>
      <color rgb="FF0070C0"/>
      <name val="宋体"/>
      <family val="3"/>
      <charset val="134"/>
    </font>
    <font>
      <sz val="12"/>
      <name val="宋体"/>
      <family val="3"/>
      <charset val="134"/>
      <scheme val="minor"/>
    </font>
    <font>
      <sz val="11"/>
      <name val="宋体"/>
      <family val="2"/>
      <charset val="134"/>
    </font>
    <font>
      <sz val="9"/>
      <color rgb="FF000000"/>
      <name val="Microsoft YaHei UI"/>
      <family val="2"/>
      <charset val="134"/>
    </font>
  </fonts>
  <fills count="8">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28">
    <xf numFmtId="0" fontId="0" fillId="0" borderId="0">
      <alignment vertical="center"/>
    </xf>
    <xf numFmtId="9" fontId="9" fillId="0" borderId="0" applyFont="0" applyFill="0" applyBorder="0" applyAlignment="0" applyProtection="0">
      <alignment vertical="center"/>
    </xf>
    <xf numFmtId="0" fontId="9" fillId="0" borderId="0"/>
    <xf numFmtId="0" fontId="9" fillId="0" borderId="0">
      <alignment vertical="center"/>
    </xf>
    <xf numFmtId="0" fontId="9" fillId="0" borderId="0"/>
    <xf numFmtId="0" fontId="21" fillId="0" borderId="0"/>
    <xf numFmtId="9" fontId="21" fillId="0" borderId="0" applyFont="0" applyFill="0" applyBorder="0" applyAlignment="0" applyProtection="0">
      <alignment vertical="center"/>
    </xf>
    <xf numFmtId="0" fontId="8" fillId="0" borderId="0">
      <alignment vertical="center"/>
    </xf>
    <xf numFmtId="0" fontId="22" fillId="0" borderId="0">
      <alignment vertical="center"/>
    </xf>
    <xf numFmtId="177" fontId="9" fillId="0" borderId="0" applyFont="0" applyFill="0" applyBorder="0" applyAlignment="0" applyProtection="0">
      <alignment vertical="center"/>
    </xf>
    <xf numFmtId="0" fontId="9" fillId="0" borderId="0"/>
    <xf numFmtId="9" fontId="9" fillId="0" borderId="0" applyFont="0" applyFill="0" applyBorder="0" applyAlignment="0" applyProtection="0"/>
    <xf numFmtId="0" fontId="21" fillId="0" borderId="0"/>
    <xf numFmtId="0" fontId="7" fillId="0" borderId="0">
      <alignment vertical="center"/>
    </xf>
    <xf numFmtId="0" fontId="9" fillId="0" borderId="0"/>
    <xf numFmtId="0" fontId="9" fillId="0" borderId="0">
      <alignment vertical="center"/>
    </xf>
    <xf numFmtId="0" fontId="26" fillId="0" borderId="0"/>
    <xf numFmtId="0" fontId="6" fillId="0" borderId="0">
      <alignment vertical="center"/>
    </xf>
    <xf numFmtId="0" fontId="6" fillId="0" borderId="0">
      <alignment vertical="center"/>
    </xf>
    <xf numFmtId="177" fontId="9" fillId="0" borderId="0" applyFont="0" applyFill="0" applyBorder="0" applyAlignment="0" applyProtection="0">
      <alignment vertical="center"/>
    </xf>
    <xf numFmtId="0" fontId="5" fillId="0" borderId="0">
      <alignment vertical="center"/>
    </xf>
    <xf numFmtId="0" fontId="4" fillId="0" borderId="0">
      <alignment vertical="center"/>
    </xf>
    <xf numFmtId="0" fontId="9" fillId="0" borderId="0"/>
    <xf numFmtId="0" fontId="3" fillId="0" borderId="0"/>
    <xf numFmtId="0" fontId="26" fillId="0" borderId="0"/>
    <xf numFmtId="0" fontId="4" fillId="0" borderId="0">
      <alignment vertical="center"/>
    </xf>
    <xf numFmtId="0" fontId="26" fillId="0" borderId="0"/>
    <xf numFmtId="9" fontId="26" fillId="0" borderId="0" applyFont="0" applyFill="0" applyBorder="0" applyAlignment="0" applyProtection="0"/>
  </cellStyleXfs>
  <cellXfs count="85">
    <xf numFmtId="0" fontId="0" fillId="0" borderId="0" xfId="0">
      <alignment vertical="center"/>
    </xf>
    <xf numFmtId="0" fontId="9" fillId="0" borderId="0" xfId="2" applyProtection="1">
      <protection hidden="1"/>
    </xf>
    <xf numFmtId="0" fontId="11" fillId="0" borderId="0" xfId="2" applyFont="1" applyProtection="1">
      <protection hidden="1"/>
    </xf>
    <xf numFmtId="0" fontId="13" fillId="0" borderId="0" xfId="2" applyFont="1" applyProtection="1">
      <protection hidden="1"/>
    </xf>
    <xf numFmtId="0" fontId="14" fillId="0" borderId="0" xfId="2" applyFont="1" applyProtection="1">
      <protection hidden="1"/>
    </xf>
    <xf numFmtId="49" fontId="15" fillId="2" borderId="1" xfId="2" applyNumberFormat="1" applyFont="1" applyFill="1" applyBorder="1" applyProtection="1">
      <protection hidden="1"/>
    </xf>
    <xf numFmtId="0" fontId="16" fillId="0" borderId="0" xfId="2" applyFont="1" applyProtection="1">
      <protection hidden="1"/>
    </xf>
    <xf numFmtId="49" fontId="12" fillId="2" borderId="1" xfId="2" applyNumberFormat="1" applyFont="1" applyFill="1" applyBorder="1" applyProtection="1">
      <protection hidden="1"/>
    </xf>
    <xf numFmtId="0" fontId="17" fillId="0" borderId="0" xfId="2" applyFont="1" applyProtection="1">
      <protection hidden="1"/>
    </xf>
    <xf numFmtId="0" fontId="9" fillId="0" borderId="0" xfId="2" applyAlignment="1" applyProtection="1">
      <alignment horizontal="center"/>
      <protection hidden="1"/>
    </xf>
    <xf numFmtId="0" fontId="9" fillId="3" borderId="1" xfId="4" applyFill="1" applyBorder="1" applyAlignment="1" applyProtection="1">
      <alignment horizontal="center"/>
      <protection hidden="1"/>
    </xf>
    <xf numFmtId="0" fontId="20" fillId="3" borderId="1" xfId="4" applyFont="1" applyFill="1" applyBorder="1" applyAlignment="1" applyProtection="1">
      <alignment horizontal="center"/>
      <protection hidden="1"/>
    </xf>
    <xf numFmtId="0" fontId="9" fillId="4" borderId="1" xfId="4" applyFill="1" applyBorder="1" applyAlignment="1" applyProtection="1">
      <alignment horizontal="center"/>
      <protection hidden="1"/>
    </xf>
    <xf numFmtId="0" fontId="20" fillId="4" borderId="1" xfId="4" applyFont="1" applyFill="1" applyBorder="1" applyAlignment="1" applyProtection="1">
      <alignment horizontal="center"/>
      <protection hidden="1"/>
    </xf>
    <xf numFmtId="0" fontId="21" fillId="0" borderId="0" xfId="12"/>
    <xf numFmtId="0" fontId="0" fillId="0" borderId="0" xfId="0" applyAlignment="1"/>
    <xf numFmtId="0" fontId="4" fillId="0" borderId="0" xfId="21">
      <alignment vertical="center"/>
    </xf>
    <xf numFmtId="0" fontId="4" fillId="5" borderId="0" xfId="21" applyFill="1">
      <alignment vertical="center"/>
    </xf>
    <xf numFmtId="0" fontId="29" fillId="0" borderId="0" xfId="21" applyFont="1">
      <alignment vertical="center"/>
    </xf>
    <xf numFmtId="0" fontId="29" fillId="5" borderId="0" xfId="21" applyFont="1" applyFill="1">
      <alignment vertical="center"/>
    </xf>
    <xf numFmtId="0" fontId="4" fillId="0" borderId="0" xfId="21" applyAlignment="1">
      <alignment horizontal="left" vertical="center"/>
    </xf>
    <xf numFmtId="0" fontId="30" fillId="3" borderId="3" xfId="22" applyFont="1" applyFill="1" applyBorder="1" applyAlignment="1">
      <alignment horizontal="center" vertical="center" wrapText="1"/>
    </xf>
    <xf numFmtId="0" fontId="31" fillId="0" borderId="0" xfId="22" applyFont="1"/>
    <xf numFmtId="57" fontId="31" fillId="0" borderId="1" xfId="22" applyNumberFormat="1" applyFont="1" applyBorder="1" applyAlignment="1">
      <alignment horizontal="center"/>
    </xf>
    <xf numFmtId="0" fontId="31" fillId="0" borderId="1" xfId="22" applyFont="1" applyBorder="1" applyAlignment="1">
      <alignment horizontal="center"/>
    </xf>
    <xf numFmtId="0" fontId="32" fillId="0" borderId="1" xfId="23" applyFont="1" applyBorder="1" applyAlignment="1">
      <alignment horizontal="center"/>
    </xf>
    <xf numFmtId="0" fontId="28" fillId="0" borderId="0" xfId="23" applyFont="1"/>
    <xf numFmtId="0" fontId="32" fillId="0" borderId="0" xfId="23" applyFont="1" applyAlignment="1">
      <alignment horizontal="center"/>
    </xf>
    <xf numFmtId="0" fontId="32" fillId="0" borderId="1" xfId="23" applyFont="1" applyBorder="1"/>
    <xf numFmtId="0" fontId="28" fillId="6" borderId="1" xfId="23" applyFont="1" applyFill="1" applyBorder="1"/>
    <xf numFmtId="1" fontId="33" fillId="4" borderId="1" xfId="23" applyNumberFormat="1" applyFont="1" applyFill="1" applyBorder="1"/>
    <xf numFmtId="0" fontId="3" fillId="0" borderId="0" xfId="23"/>
    <xf numFmtId="1" fontId="34" fillId="4" borderId="1" xfId="23" applyNumberFormat="1" applyFont="1" applyFill="1" applyBorder="1"/>
    <xf numFmtId="0" fontId="9" fillId="3" borderId="1" xfId="24" applyFont="1" applyFill="1" applyBorder="1"/>
    <xf numFmtId="0" fontId="20" fillId="7" borderId="1" xfId="24" applyFont="1" applyFill="1" applyBorder="1" applyAlignment="1">
      <alignment horizontal="center"/>
    </xf>
    <xf numFmtId="0" fontId="9" fillId="3" borderId="2" xfId="24" applyFont="1" applyFill="1" applyBorder="1"/>
    <xf numFmtId="0" fontId="35" fillId="3" borderId="1" xfId="25" applyFont="1" applyFill="1" applyBorder="1" applyAlignment="1">
      <alignment horizontal="left" wrapText="1"/>
    </xf>
    <xf numFmtId="0" fontId="35" fillId="3" borderId="1" xfId="25" applyFont="1" applyFill="1" applyBorder="1" applyAlignment="1">
      <alignment horizontal="left"/>
    </xf>
    <xf numFmtId="0" fontId="4" fillId="0" borderId="0" xfId="25">
      <alignment vertical="center"/>
    </xf>
    <xf numFmtId="179" fontId="31" fillId="0" borderId="1" xfId="26" applyNumberFormat="1" applyFont="1" applyBorder="1"/>
    <xf numFmtId="0" fontId="31" fillId="0" borderId="0" xfId="26" applyFont="1"/>
    <xf numFmtId="0" fontId="25" fillId="0" borderId="0" xfId="26" applyFont="1"/>
    <xf numFmtId="176" fontId="31" fillId="0" borderId="1" xfId="26" applyNumberFormat="1" applyFont="1" applyBorder="1"/>
    <xf numFmtId="180" fontId="31" fillId="0" borderId="0" xfId="26" applyNumberFormat="1" applyFont="1"/>
    <xf numFmtId="180" fontId="31" fillId="0" borderId="1" xfId="26" applyNumberFormat="1" applyFont="1" applyBorder="1"/>
    <xf numFmtId="10" fontId="20" fillId="7" borderId="1" xfId="24" applyNumberFormat="1" applyFont="1" applyFill="1" applyBorder="1" applyAlignment="1">
      <alignment horizontal="center"/>
    </xf>
    <xf numFmtId="178" fontId="20" fillId="0" borderId="2" xfId="24" applyNumberFormat="1" applyFont="1" applyBorder="1" applyAlignment="1">
      <alignment horizontal="center"/>
    </xf>
    <xf numFmtId="178" fontId="20" fillId="0" borderId="1" xfId="24" applyNumberFormat="1" applyFont="1" applyBorder="1" applyAlignment="1">
      <alignment horizontal="center"/>
    </xf>
    <xf numFmtId="178" fontId="20" fillId="0" borderId="7" xfId="24" applyNumberFormat="1" applyFont="1" applyBorder="1" applyAlignment="1">
      <alignment horizontal="center"/>
    </xf>
    <xf numFmtId="0" fontId="2" fillId="0" borderId="0" xfId="21" applyFont="1">
      <alignment vertical="center"/>
    </xf>
    <xf numFmtId="0" fontId="25" fillId="0" borderId="0" xfId="22" applyFont="1"/>
    <xf numFmtId="0" fontId="25" fillId="0" borderId="0" xfId="22" applyFont="1" applyAlignment="1">
      <alignment horizontal="center" vertical="center" wrapText="1"/>
    </xf>
    <xf numFmtId="178" fontId="3" fillId="0" borderId="0" xfId="23" applyNumberFormat="1"/>
    <xf numFmtId="0" fontId="25" fillId="0" borderId="1" xfId="26" applyFont="1" applyBorder="1"/>
    <xf numFmtId="0" fontId="9" fillId="0" borderId="0" xfId="0" applyFont="1">
      <alignment vertical="center"/>
    </xf>
    <xf numFmtId="0" fontId="0" fillId="0" borderId="1" xfId="0" applyBorder="1">
      <alignment vertical="center"/>
    </xf>
    <xf numFmtId="0" fontId="9" fillId="0" borderId="1" xfId="0" applyFont="1" applyBorder="1" applyAlignment="1">
      <alignment horizontal="center" vertical="center"/>
    </xf>
    <xf numFmtId="0" fontId="4" fillId="0" borderId="0" xfId="27" applyNumberFormat="1" applyFont="1" applyFill="1" applyBorder="1"/>
    <xf numFmtId="0" fontId="4" fillId="0" borderId="0" xfId="27" applyNumberFormat="1" applyFont="1"/>
    <xf numFmtId="0" fontId="31" fillId="0" borderId="0" xfId="22" applyFont="1" applyAlignment="1">
      <alignment horizontal="center"/>
    </xf>
    <xf numFmtId="0" fontId="1" fillId="0" borderId="0" xfId="21" applyFont="1">
      <alignment vertical="center"/>
    </xf>
    <xf numFmtId="0" fontId="30" fillId="3" borderId="0" xfId="22" applyFont="1" applyFill="1" applyAlignment="1">
      <alignment horizontal="center" vertical="center" wrapText="1"/>
    </xf>
    <xf numFmtId="0" fontId="36" fillId="0" borderId="0" xfId="22" applyFont="1"/>
    <xf numFmtId="0" fontId="31" fillId="0" borderId="3" xfId="22" applyFont="1" applyBorder="1" applyAlignment="1">
      <alignment horizontal="center"/>
    </xf>
    <xf numFmtId="0" fontId="0" fillId="0" borderId="0" xfId="0" applyAlignment="1">
      <alignment horizontal="center" vertical="center"/>
    </xf>
    <xf numFmtId="0" fontId="9" fillId="0" borderId="0" xfId="0" applyFont="1" applyAlignment="1">
      <alignment horizontal="center" vertical="center"/>
    </xf>
    <xf numFmtId="0" fontId="19" fillId="0" borderId="0" xfId="2" applyFont="1" applyAlignment="1" applyProtection="1">
      <alignment horizontal="center"/>
      <protection hidden="1"/>
    </xf>
    <xf numFmtId="0" fontId="18" fillId="0" borderId="0" xfId="2" applyFont="1" applyAlignment="1" applyProtection="1">
      <alignment horizontal="center"/>
      <protection hidden="1"/>
    </xf>
    <xf numFmtId="0" fontId="31" fillId="0" borderId="0" xfId="22" applyFont="1" applyAlignment="1">
      <alignment horizontal="center"/>
    </xf>
    <xf numFmtId="0" fontId="31" fillId="0" borderId="3" xfId="22" applyFont="1" applyBorder="1" applyAlignment="1">
      <alignment horizontal="center"/>
    </xf>
    <xf numFmtId="0" fontId="31" fillId="0" borderId="8" xfId="22" applyFont="1" applyBorder="1" applyAlignment="1">
      <alignment horizontal="center"/>
    </xf>
    <xf numFmtId="0" fontId="31" fillId="0" borderId="9" xfId="22" applyFont="1" applyBorder="1" applyAlignment="1">
      <alignment horizontal="center"/>
    </xf>
    <xf numFmtId="0" fontId="9" fillId="3" borderId="2" xfId="24" applyFont="1" applyFill="1" applyBorder="1"/>
    <xf numFmtId="0" fontId="3" fillId="0" borderId="5" xfId="23" applyBorder="1"/>
    <xf numFmtId="0" fontId="9" fillId="3" borderId="6" xfId="24" applyFont="1" applyFill="1" applyBorder="1"/>
    <xf numFmtId="0" fontId="3" fillId="0" borderId="4" xfId="23" applyBorder="1"/>
    <xf numFmtId="178" fontId="20" fillId="0" borderId="2" xfId="24" applyNumberFormat="1" applyFont="1" applyBorder="1" applyAlignment="1">
      <alignment horizontal="center"/>
    </xf>
    <xf numFmtId="178" fontId="20" fillId="0" borderId="4" xfId="24" applyNumberFormat="1" applyFont="1" applyBorder="1" applyAlignment="1">
      <alignment horizontal="center"/>
    </xf>
    <xf numFmtId="0" fontId="20" fillId="7" borderId="2" xfId="24" applyFont="1" applyFill="1" applyBorder="1" applyAlignment="1">
      <alignment horizontal="center"/>
    </xf>
    <xf numFmtId="0" fontId="20" fillId="7" borderId="4" xfId="24" applyFont="1" applyFill="1" applyBorder="1" applyAlignment="1">
      <alignment horizontal="center"/>
    </xf>
    <xf numFmtId="0" fontId="3" fillId="0" borderId="4" xfId="23" applyBorder="1" applyAlignment="1">
      <alignment horizontal="center"/>
    </xf>
    <xf numFmtId="0" fontId="0" fillId="0" borderId="0" xfId="0" applyFill="1" applyBorder="1" applyAlignment="1">
      <alignment vertical="center"/>
    </xf>
    <xf numFmtId="0" fontId="0" fillId="0" borderId="10" xfId="0" applyFill="1" applyBorder="1" applyAlignment="1">
      <alignment vertical="center"/>
    </xf>
    <xf numFmtId="0" fontId="9" fillId="0" borderId="11" xfId="0" applyFont="1" applyFill="1" applyBorder="1" applyAlignment="1">
      <alignment horizontal="center" vertical="center"/>
    </xf>
    <xf numFmtId="0" fontId="9" fillId="0" borderId="11" xfId="0" applyFont="1" applyFill="1" applyBorder="1" applyAlignment="1">
      <alignment horizontal="centerContinuous" vertical="center"/>
    </xf>
  </cellXfs>
  <cellStyles count="28">
    <cellStyle name="Normal 5" xfId="7" xr:uid="{00000000-0005-0000-0000-000000000000}"/>
    <cellStyle name="百分比 2" xfId="1" xr:uid="{00000000-0005-0000-0000-000001000000}"/>
    <cellStyle name="百分比 2 2" xfId="27" xr:uid="{00000000-0005-0000-0000-000002000000}"/>
    <cellStyle name="百分比 2 3" xfId="11" xr:uid="{00000000-0005-0000-0000-000003000000}"/>
    <cellStyle name="百分比 3" xfId="6" xr:uid="{00000000-0005-0000-0000-000004000000}"/>
    <cellStyle name="常规" xfId="0" builtinId="0"/>
    <cellStyle name="常规 2" xfId="2" xr:uid="{00000000-0005-0000-0000-000006000000}"/>
    <cellStyle name="常规 2 2" xfId="10" xr:uid="{00000000-0005-0000-0000-000007000000}"/>
    <cellStyle name="常规 2 2 2" xfId="15" xr:uid="{00000000-0005-0000-0000-000008000000}"/>
    <cellStyle name="常规 2 3" xfId="8" xr:uid="{00000000-0005-0000-0000-000009000000}"/>
    <cellStyle name="常规 2 3 2" xfId="16" xr:uid="{00000000-0005-0000-0000-00000A000000}"/>
    <cellStyle name="常规 3" xfId="3" xr:uid="{00000000-0005-0000-0000-00000B000000}"/>
    <cellStyle name="常规 3 2" xfId="12" xr:uid="{00000000-0005-0000-0000-00000C000000}"/>
    <cellStyle name="常规 3 2 2" xfId="17" xr:uid="{00000000-0005-0000-0000-00000D000000}"/>
    <cellStyle name="常规 3_第2次第3场-答案和评分标准" xfId="14" xr:uid="{00000000-0005-0000-0000-00000E000000}"/>
    <cellStyle name="常规 4" xfId="5" xr:uid="{00000000-0005-0000-0000-00000F000000}"/>
    <cellStyle name="常规 4 2" xfId="18" xr:uid="{00000000-0005-0000-0000-000010000000}"/>
    <cellStyle name="常规 4 3" xfId="26" xr:uid="{00000000-0005-0000-0000-000011000000}"/>
    <cellStyle name="常规 5" xfId="13" xr:uid="{00000000-0005-0000-0000-000012000000}"/>
    <cellStyle name="常规 5 2" xfId="25" xr:uid="{00000000-0005-0000-0000-000013000000}"/>
    <cellStyle name="常规 6" xfId="20" xr:uid="{00000000-0005-0000-0000-000014000000}"/>
    <cellStyle name="常规 7" xfId="21" xr:uid="{00000000-0005-0000-0000-000015000000}"/>
    <cellStyle name="常规 8" xfId="23" xr:uid="{00000000-0005-0000-0000-000016000000}"/>
    <cellStyle name="常规_ks1" xfId="4" xr:uid="{00000000-0005-0000-0000-000017000000}"/>
    <cellStyle name="常规_第1套第6题解答" xfId="24" xr:uid="{00000000-0005-0000-0000-000018000000}"/>
    <cellStyle name="常规_第4章-1-答案" xfId="22" xr:uid="{00000000-0005-0000-0000-000019000000}"/>
    <cellStyle name="千位分隔 2" xfId="19" xr:uid="{00000000-0005-0000-0000-00001A000000}"/>
    <cellStyle name="千位分隔 4" xfId="9" xr:uid="{00000000-0005-0000-0000-00001B000000}"/>
  </cellStyles>
  <dxfs count="0"/>
  <tableStyles count="0" defaultTableStyle="TableStyleMedium2" defaultPivotStyle="PivotStyleLight16"/>
  <colors>
    <mruColors>
      <color rgb="FFFFFFFF"/>
      <color rgb="FFDBEEF4"/>
      <color rgb="FFCC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601005935853166E-2"/>
          <c:y val="0.2462882942916117"/>
          <c:w val="0.9227853970270532"/>
          <c:h val="0.49123991513524601"/>
        </c:manualLayout>
      </c:layout>
      <c:barChart>
        <c:barDir val="col"/>
        <c:grouping val="clustered"/>
        <c:varyColors val="0"/>
        <c:ser>
          <c:idx val="0"/>
          <c:order val="0"/>
          <c:spPr>
            <a:solidFill>
              <a:schemeClr val="accent1"/>
            </a:solidFill>
            <a:ln>
              <a:noFill/>
            </a:ln>
            <a:effectLst/>
          </c:spPr>
          <c:invertIfNegative val="0"/>
          <c:cat>
            <c:strRef>
              <c:f>第3题!$Q$29:$Q$33</c:f>
              <c:strCache>
                <c:ptCount val="5"/>
                <c:pt idx="0">
                  <c:v>甘肃省</c:v>
                </c:pt>
                <c:pt idx="1">
                  <c:v>宁夏回族自治区</c:v>
                </c:pt>
                <c:pt idx="2">
                  <c:v>青海省</c:v>
                </c:pt>
                <c:pt idx="3">
                  <c:v>陕西省</c:v>
                </c:pt>
                <c:pt idx="4">
                  <c:v>新疆维吾尔自治区</c:v>
                </c:pt>
              </c:strCache>
            </c:strRef>
          </c:cat>
          <c:val>
            <c:numRef>
              <c:f>第3题!$R$29:$R$33</c:f>
              <c:numCache>
                <c:formatCode>General</c:formatCode>
                <c:ptCount val="5"/>
                <c:pt idx="0">
                  <c:v>10</c:v>
                </c:pt>
                <c:pt idx="1">
                  <c:v>6</c:v>
                </c:pt>
                <c:pt idx="2">
                  <c:v>5</c:v>
                </c:pt>
                <c:pt idx="3">
                  <c:v>20</c:v>
                </c:pt>
                <c:pt idx="4">
                  <c:v>9</c:v>
                </c:pt>
              </c:numCache>
            </c:numRef>
          </c:val>
          <c:extLst>
            <c:ext xmlns:c16="http://schemas.microsoft.com/office/drawing/2014/chart" uri="{C3380CC4-5D6E-409C-BE32-E72D297353CC}">
              <c16:uniqueId val="{00000000-357B-4FFF-8ADF-4E54D7023259}"/>
            </c:ext>
          </c:extLst>
        </c:ser>
        <c:dLbls>
          <c:showLegendKey val="0"/>
          <c:showVal val="0"/>
          <c:showCatName val="0"/>
          <c:showSerName val="0"/>
          <c:showPercent val="0"/>
          <c:showBubbleSize val="0"/>
        </c:dLbls>
        <c:gapWidth val="219"/>
        <c:overlap val="-27"/>
        <c:axId val="707416544"/>
        <c:axId val="707417024"/>
      </c:barChart>
      <c:catAx>
        <c:axId val="7074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eaVert"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7417024"/>
        <c:crosses val="autoZero"/>
        <c:auto val="1"/>
        <c:lblAlgn val="ctr"/>
        <c:lblOffset val="100"/>
        <c:noMultiLvlLbl val="0"/>
      </c:catAx>
      <c:valAx>
        <c:axId val="70741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74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第4题!$D$1</c:f>
              <c:strCache>
                <c:ptCount val="1"/>
                <c:pt idx="0">
                  <c:v>销售金额（万元）</c:v>
                </c:pt>
              </c:strCache>
            </c:strRef>
          </c:tx>
          <c:spPr>
            <a:ln w="28575" cap="rnd">
              <a:solidFill>
                <a:schemeClr val="accent1"/>
              </a:solidFill>
              <a:round/>
            </a:ln>
            <a:effectLst/>
          </c:spPr>
          <c:marker>
            <c:symbol val="none"/>
          </c:marker>
          <c:cat>
            <c:numRef>
              <c:f>第4题!$C$2:$C$37</c:f>
              <c:numCache>
                <c:formatCode>yyyy"年"m"月"</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第4题!$D$2:$D$37</c:f>
              <c:numCache>
                <c:formatCode>General</c:formatCode>
                <c:ptCount val="36"/>
                <c:pt idx="0">
                  <c:v>6000</c:v>
                </c:pt>
                <c:pt idx="1">
                  <c:v>5800</c:v>
                </c:pt>
                <c:pt idx="2">
                  <c:v>4600</c:v>
                </c:pt>
                <c:pt idx="3">
                  <c:v>6500</c:v>
                </c:pt>
                <c:pt idx="4">
                  <c:v>7500</c:v>
                </c:pt>
                <c:pt idx="5">
                  <c:v>7800</c:v>
                </c:pt>
                <c:pt idx="6">
                  <c:v>7600</c:v>
                </c:pt>
                <c:pt idx="7">
                  <c:v>6000</c:v>
                </c:pt>
                <c:pt idx="8">
                  <c:v>5700</c:v>
                </c:pt>
                <c:pt idx="9">
                  <c:v>7600</c:v>
                </c:pt>
                <c:pt idx="10">
                  <c:v>8300</c:v>
                </c:pt>
                <c:pt idx="11">
                  <c:v>8600</c:v>
                </c:pt>
                <c:pt idx="12">
                  <c:v>7200</c:v>
                </c:pt>
                <c:pt idx="13">
                  <c:v>6500</c:v>
                </c:pt>
                <c:pt idx="14">
                  <c:v>6500</c:v>
                </c:pt>
                <c:pt idx="15">
                  <c:v>8400</c:v>
                </c:pt>
                <c:pt idx="16">
                  <c:v>9200</c:v>
                </c:pt>
                <c:pt idx="17">
                  <c:v>9600</c:v>
                </c:pt>
                <c:pt idx="18">
                  <c:v>8600</c:v>
                </c:pt>
                <c:pt idx="19">
                  <c:v>7200</c:v>
                </c:pt>
                <c:pt idx="20">
                  <c:v>7000</c:v>
                </c:pt>
                <c:pt idx="21">
                  <c:v>9000</c:v>
                </c:pt>
                <c:pt idx="22">
                  <c:v>10100</c:v>
                </c:pt>
                <c:pt idx="23">
                  <c:v>10500</c:v>
                </c:pt>
              </c:numCache>
            </c:numRef>
          </c:val>
          <c:smooth val="0"/>
          <c:extLst>
            <c:ext xmlns:c16="http://schemas.microsoft.com/office/drawing/2014/chart" uri="{C3380CC4-5D6E-409C-BE32-E72D297353CC}">
              <c16:uniqueId val="{00000000-02CA-40A6-86E8-D675E46E4D78}"/>
            </c:ext>
          </c:extLst>
        </c:ser>
        <c:ser>
          <c:idx val="1"/>
          <c:order val="1"/>
          <c:tx>
            <c:strRef>
              <c:f>第4题!$H$1</c:f>
              <c:strCache>
                <c:ptCount val="1"/>
                <c:pt idx="0">
                  <c:v>带季节指数的趋势预测值</c:v>
                </c:pt>
              </c:strCache>
            </c:strRef>
          </c:tx>
          <c:spPr>
            <a:ln w="28575" cap="rnd">
              <a:solidFill>
                <a:schemeClr val="accent2"/>
              </a:solidFill>
              <a:round/>
            </a:ln>
            <a:effectLst/>
          </c:spPr>
          <c:marker>
            <c:symbol val="none"/>
          </c:marker>
          <c:cat>
            <c:numRef>
              <c:f>第4题!$C$2:$C$37</c:f>
              <c:numCache>
                <c:formatCode>yyyy"年"m"月"</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第4题!$H$2:$H$37</c:f>
              <c:numCache>
                <c:formatCode>General</c:formatCode>
                <c:ptCount val="36"/>
                <c:pt idx="0">
                  <c:v>5658.7936471991288</c:v>
                </c:pt>
                <c:pt idx="1">
                  <c:v>5349.2305634767299</c:v>
                </c:pt>
                <c:pt idx="2">
                  <c:v>4896.1778003764703</c:v>
                </c:pt>
                <c:pt idx="3">
                  <c:v>6664.7313268627777</c:v>
                </c:pt>
                <c:pt idx="4">
                  <c:v>7573.4117543589646</c:v>
                </c:pt>
                <c:pt idx="5">
                  <c:v>7998.7454644151612</c:v>
                </c:pt>
                <c:pt idx="6">
                  <c:v>7547.5527929212276</c:v>
                </c:pt>
                <c:pt idx="7">
                  <c:v>6231.7018619474848</c:v>
                </c:pt>
                <c:pt idx="8">
                  <c:v>6074.3964269960552</c:v>
                </c:pt>
                <c:pt idx="9">
                  <c:v>8042.6873277915911</c:v>
                </c:pt>
                <c:pt idx="10">
                  <c:v>9028.8715722180223</c:v>
                </c:pt>
                <c:pt idx="11">
                  <c:v>9490.7870838652925</c:v>
                </c:pt>
                <c:pt idx="12">
                  <c:v>6640.922015339167</c:v>
                </c:pt>
                <c:pt idx="13">
                  <c:v>6264.3956337890386</c:v>
                </c:pt>
                <c:pt idx="14">
                  <c:v>5722.058473585138</c:v>
                </c:pt>
                <c:pt idx="15">
                  <c:v>7773.3459242329727</c:v>
                </c:pt>
                <c:pt idx="16">
                  <c:v>8815.9529473846196</c:v>
                </c:pt>
                <c:pt idx="17">
                  <c:v>9293.3692224179376</c:v>
                </c:pt>
                <c:pt idx="18">
                  <c:v>8752.8921538203649</c:v>
                </c:pt>
                <c:pt idx="19">
                  <c:v>7213.830230087523</c:v>
                </c:pt>
                <c:pt idx="20">
                  <c:v>7019.3229630095766</c:v>
                </c:pt>
                <c:pt idx="21">
                  <c:v>9277.788154391943</c:v>
                </c:pt>
                <c:pt idx="22">
                  <c:v>10397.898994473831</c:v>
                </c:pt>
                <c:pt idx="23">
                  <c:v>10911.897071098227</c:v>
                </c:pt>
                <c:pt idx="24">
                  <c:v>7623.0503834792053</c:v>
                </c:pt>
                <c:pt idx="25">
                  <c:v>7179.5607041013454</c:v>
                </c:pt>
                <c:pt idx="26">
                  <c:v>6547.9391467938067</c:v>
                </c:pt>
                <c:pt idx="27">
                  <c:v>8881.960521603165</c:v>
                </c:pt>
                <c:pt idx="28">
                  <c:v>10058.494140410272</c:v>
                </c:pt>
                <c:pt idx="29">
                  <c:v>10587.992980420715</c:v>
                </c:pt>
                <c:pt idx="30">
                  <c:v>9958.231514719504</c:v>
                </c:pt>
                <c:pt idx="31">
                  <c:v>8195.9585982275603</c:v>
                </c:pt>
                <c:pt idx="32">
                  <c:v>7964.2494990230971</c:v>
                </c:pt>
                <c:pt idx="33">
                  <c:v>10512.888980992293</c:v>
                </c:pt>
                <c:pt idx="34">
                  <c:v>11766.926416729644</c:v>
                </c:pt>
                <c:pt idx="35">
                  <c:v>12333.007058331161</c:v>
                </c:pt>
              </c:numCache>
            </c:numRef>
          </c:val>
          <c:smooth val="0"/>
          <c:extLst>
            <c:ext xmlns:c16="http://schemas.microsoft.com/office/drawing/2014/chart" uri="{C3380CC4-5D6E-409C-BE32-E72D297353CC}">
              <c16:uniqueId val="{00000001-02CA-40A6-86E8-D675E46E4D78}"/>
            </c:ext>
          </c:extLst>
        </c:ser>
        <c:dLbls>
          <c:showLegendKey val="0"/>
          <c:showVal val="0"/>
          <c:showCatName val="0"/>
          <c:showSerName val="0"/>
          <c:showPercent val="0"/>
          <c:showBubbleSize val="0"/>
        </c:dLbls>
        <c:smooth val="0"/>
        <c:axId val="868890672"/>
        <c:axId val="868894512"/>
      </c:lineChart>
      <c:dateAx>
        <c:axId val="868890672"/>
        <c:scaling>
          <c:orientation val="minMax"/>
        </c:scaling>
        <c:delete val="0"/>
        <c:axPos val="b"/>
        <c:numFmt formatCode="yyyy&quot;年&quot;m&quot;月&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68894512"/>
        <c:crosses val="autoZero"/>
        <c:auto val="1"/>
        <c:lblOffset val="100"/>
        <c:baseTimeUnit val="months"/>
      </c:dateAx>
      <c:valAx>
        <c:axId val="86889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6889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第5题!$A$2:$A$31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xVal>
          <c:yVal>
            <c:numRef>
              <c:f>第5题!$D$2:$D$31</c:f>
              <c:numCache>
                <c:formatCode>General</c:formatCode>
                <c:ptCount val="30"/>
                <c:pt idx="0">
                  <c:v>74786</c:v>
                </c:pt>
                <c:pt idx="1">
                  <c:v>89905</c:v>
                </c:pt>
                <c:pt idx="2">
                  <c:v>120173</c:v>
                </c:pt>
                <c:pt idx="3">
                  <c:v>135372</c:v>
                </c:pt>
                <c:pt idx="4">
                  <c:v>147122</c:v>
                </c:pt>
                <c:pt idx="5">
                  <c:v>153348</c:v>
                </c:pt>
                <c:pt idx="6">
                  <c:v>162600</c:v>
                </c:pt>
                <c:pt idx="7">
                  <c:v>179316</c:v>
                </c:pt>
                <c:pt idx="8">
                  <c:v>182274</c:v>
                </c:pt>
                <c:pt idx="9">
                  <c:v>205214</c:v>
                </c:pt>
                <c:pt idx="10">
                  <c:v>201940</c:v>
                </c:pt>
                <c:pt idx="11">
                  <c:v>227394</c:v>
                </c:pt>
                <c:pt idx="12">
                  <c:v>232175</c:v>
                </c:pt>
                <c:pt idx="13">
                  <c:v>221130</c:v>
                </c:pt>
                <c:pt idx="14">
                  <c:v>234483</c:v>
                </c:pt>
                <c:pt idx="15">
                  <c:v>245641</c:v>
                </c:pt>
                <c:pt idx="16">
                  <c:v>245741</c:v>
                </c:pt>
                <c:pt idx="17">
                  <c:v>251236</c:v>
                </c:pt>
                <c:pt idx="18">
                  <c:v>251814</c:v>
                </c:pt>
                <c:pt idx="19">
                  <c:v>255622</c:v>
                </c:pt>
                <c:pt idx="20">
                  <c:v>262415</c:v>
                </c:pt>
                <c:pt idx="21">
                  <c:v>274702</c:v>
                </c:pt>
                <c:pt idx="22">
                  <c:v>277978</c:v>
                </c:pt>
                <c:pt idx="23">
                  <c:v>277827</c:v>
                </c:pt>
                <c:pt idx="24">
                  <c:v>279407</c:v>
                </c:pt>
                <c:pt idx="25">
                  <c:v>312325</c:v>
                </c:pt>
                <c:pt idx="26">
                  <c:v>316643</c:v>
                </c:pt>
                <c:pt idx="27">
                  <c:v>331654</c:v>
                </c:pt>
                <c:pt idx="28">
                  <c:v>342293</c:v>
                </c:pt>
                <c:pt idx="29">
                  <c:v>359453</c:v>
                </c:pt>
              </c:numCache>
            </c:numRef>
          </c:yVal>
          <c:smooth val="0"/>
          <c:extLst>
            <c:ext xmlns:c16="http://schemas.microsoft.com/office/drawing/2014/chart" uri="{C3380CC4-5D6E-409C-BE32-E72D297353CC}">
              <c16:uniqueId val="{00000000-FC62-450D-AFF0-4738016836C5}"/>
            </c:ext>
          </c:extLst>
        </c:ser>
        <c:dLbls>
          <c:showLegendKey val="0"/>
          <c:showVal val="0"/>
          <c:showCatName val="0"/>
          <c:showSerName val="0"/>
          <c:showPercent val="0"/>
          <c:showBubbleSize val="0"/>
        </c:dLbls>
        <c:axId val="868907952"/>
        <c:axId val="868908432"/>
      </c:scatterChart>
      <c:valAx>
        <c:axId val="8689079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68908432"/>
        <c:crosses val="autoZero"/>
        <c:crossBetween val="midCat"/>
      </c:valAx>
      <c:valAx>
        <c:axId val="86890843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689079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ist" dx="39" fmlaLink="$L$25" fmlaRange="$L$26:$L$27" noThreeD="1" sel="1" val="0"/>
</file>

<file path=xl/ctrlProps/ctrlProp2.xml><?xml version="1.0" encoding="utf-8"?>
<formControlPr xmlns="http://schemas.microsoft.com/office/spreadsheetml/2009/9/main" objectType="Radio" checked="Checked" firstButton="1" fmlaLink="$R$24"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List" dx="39" fmlaLink="$G$6" fmlaRange="$G$8:$G$14" noThreeD="1" sel="4" val="0"/>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tmp"/><Relationship Id="rId1" Type="http://schemas.openxmlformats.org/officeDocument/2006/relationships/image" Target="../media/image2.tmp"/></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257176</xdr:colOff>
      <xdr:row>5</xdr:row>
      <xdr:rowOff>9525</xdr:rowOff>
    </xdr:from>
    <xdr:to>
      <xdr:col>7</xdr:col>
      <xdr:colOff>419101</xdr:colOff>
      <xdr:row>11</xdr:row>
      <xdr:rowOff>133350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257176" y="1333500"/>
          <a:ext cx="6953250" cy="132397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lnSpc>
              <a:spcPts val="1500"/>
            </a:lnSpc>
            <a:defRPr sz="1000"/>
          </a:pPr>
          <a:r>
            <a:rPr lang="zh-CN" altLang="en-US" sz="1200" b="1" i="0" u="none" strike="noStrike" baseline="0">
              <a:solidFill>
                <a:srgbClr val="0000FF"/>
              </a:solidFill>
              <a:latin typeface="宋体"/>
              <a:ea typeface="宋体"/>
            </a:rPr>
            <a:t>考试注意事项：</a:t>
          </a:r>
          <a:endParaRPr lang="zh-CN" altLang="en-US" sz="1200" b="0" i="0" u="none" strike="noStrike" baseline="0">
            <a:solidFill>
              <a:srgbClr val="000000"/>
            </a:solidFill>
            <a:latin typeface="宋体"/>
            <a:ea typeface="宋体"/>
          </a:endParaRPr>
        </a:p>
        <a:p>
          <a:pPr algn="l" rtl="0">
            <a:lnSpc>
              <a:spcPts val="15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Arial"/>
              <a:ea typeface="宋体"/>
              <a:cs typeface="Arial"/>
            </a:rPr>
            <a:t> </a:t>
          </a:r>
          <a:r>
            <a:rPr lang="zh-CN" altLang="en-US" sz="1200" b="0" i="0" u="none" strike="noStrike" baseline="0">
              <a:solidFill>
                <a:srgbClr val="000000"/>
              </a:solidFill>
              <a:latin typeface="宋体"/>
              <a:ea typeface="宋体"/>
              <a:cs typeface="Arial"/>
            </a:rPr>
            <a:t>严格遵守考试纪律，一旦发现任何违犯考试纪律的情况立即取消考生考试资格。</a:t>
          </a:r>
          <a:endParaRPr lang="zh-CN" altLang="en-US" sz="1200" b="0" i="0" u="none" strike="noStrike" baseline="0">
            <a:solidFill>
              <a:srgbClr val="000000"/>
            </a:solidFill>
            <a:latin typeface="Arial"/>
            <a:ea typeface="宋体"/>
            <a:cs typeface="Arial"/>
          </a:endParaRPr>
        </a:p>
        <a:p>
          <a:pPr algn="l" rtl="0">
            <a:lnSpc>
              <a:spcPts val="1500"/>
            </a:lnSpc>
            <a:defRPr sz="1000"/>
          </a:pPr>
          <a:r>
            <a:rPr lang="zh-CN" altLang="en-US"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、完成操作后必须</a:t>
          </a:r>
          <a:r>
            <a:rPr lang="zh-CN" altLang="en-US" sz="1200" b="1" i="0" u="none" strike="noStrike" baseline="0">
              <a:solidFill>
                <a:srgbClr val="FF0000"/>
              </a:solidFill>
              <a:latin typeface="宋体"/>
              <a:ea typeface="宋体"/>
              <a:cs typeface="Arial"/>
            </a:rPr>
            <a:t>存盘</a:t>
          </a:r>
          <a:r>
            <a:rPr lang="zh-CN" altLang="en-US" sz="1200" b="0" i="0" u="none" strike="noStrike" baseline="0">
              <a:solidFill>
                <a:srgbClr val="000000"/>
              </a:solidFill>
              <a:latin typeface="宋体"/>
              <a:ea typeface="宋体"/>
              <a:cs typeface="Arial"/>
            </a:rPr>
            <a:t>，提交考试卷时必须先将此</a:t>
          </a:r>
          <a:r>
            <a:rPr lang="zh-CN" altLang="en-US" sz="1200" b="1" i="0" u="none" strike="noStrike" baseline="0">
              <a:solidFill>
                <a:srgbClr val="FF0000"/>
              </a:solidFill>
              <a:latin typeface="宋体"/>
              <a:ea typeface="宋体"/>
              <a:cs typeface="Arial"/>
            </a:rPr>
            <a:t>文件关闭</a:t>
          </a:r>
          <a:r>
            <a:rPr lang="zh-CN" altLang="en-US" sz="1200" b="0" i="0" u="none" strike="noStrike" baseline="0">
              <a:solidFill>
                <a:srgbClr val="000000"/>
              </a:solidFill>
              <a:latin typeface="宋体"/>
              <a:ea typeface="宋体"/>
              <a:cs typeface="Arial"/>
            </a:rPr>
            <a:t>，才能正确提交。</a:t>
          </a:r>
        </a:p>
        <a:p>
          <a:pPr algn="l" rtl="0">
            <a:lnSpc>
              <a:spcPts val="15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、切记</a:t>
          </a:r>
          <a:r>
            <a:rPr lang="zh-CN" altLang="en-US" sz="1200" b="1" i="0" u="none" strike="noStrike" baseline="0">
              <a:solidFill>
                <a:srgbClr val="FF0000"/>
              </a:solidFill>
              <a:latin typeface="宋体"/>
              <a:ea typeface="宋体"/>
              <a:cs typeface="Arial"/>
            </a:rPr>
            <a:t>经常存盘</a:t>
          </a:r>
          <a:r>
            <a:rPr lang="zh-CN" altLang="en-US" sz="1200" b="0" i="0" u="none" strike="noStrike" baseline="0">
              <a:solidFill>
                <a:srgbClr val="000000"/>
              </a:solidFill>
              <a:latin typeface="宋体"/>
              <a:ea typeface="宋体"/>
              <a:cs typeface="Arial"/>
            </a:rPr>
            <a:t>。由于没有经常存盘而发生在死机时丢失答题结果的情况时后果由考生自负。</a:t>
          </a:r>
        </a:p>
        <a:p>
          <a:pPr algn="l" rtl="0">
            <a:lnSpc>
              <a:spcPts val="15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a:t>
          </a:r>
          <a:r>
            <a:rPr lang="zh-CN" altLang="en-US" sz="1200" b="1" i="0" u="none" strike="noStrike" baseline="0">
              <a:solidFill>
                <a:srgbClr val="FF0000"/>
              </a:solidFill>
              <a:latin typeface="宋体"/>
              <a:ea typeface="宋体"/>
              <a:cs typeface="Arial"/>
            </a:rPr>
            <a:t>若删除此工作表按零分计</a:t>
          </a:r>
          <a:r>
            <a:rPr lang="zh-CN" altLang="en-US" sz="1200" b="0" i="0" u="none" strike="noStrike" baseline="0">
              <a:solidFill>
                <a:srgbClr val="000000"/>
              </a:solidFill>
              <a:latin typeface="宋体"/>
              <a:ea typeface="宋体"/>
              <a:cs typeface="Arial"/>
            </a:rPr>
            <a:t>。</a:t>
          </a:r>
        </a:p>
        <a:p>
          <a:pPr algn="l" rtl="0">
            <a:lnSpc>
              <a:spcPts val="1000"/>
            </a:lnSpc>
            <a:defRPr sz="1000"/>
          </a:pPr>
          <a:endParaRPr lang="zh-CN" altLang="en-US"/>
        </a:p>
      </xdr:txBody>
    </xdr:sp>
    <xdr:clientData/>
  </xdr:twoCellAnchor>
  <xdr:twoCellAnchor>
    <xdr:from>
      <xdr:col>1</xdr:col>
      <xdr:colOff>0</xdr:colOff>
      <xdr:row>12</xdr:row>
      <xdr:rowOff>200024</xdr:rowOff>
    </xdr:from>
    <xdr:to>
      <xdr:col>6</xdr:col>
      <xdr:colOff>495300</xdr:colOff>
      <xdr:row>18</xdr:row>
      <xdr:rowOff>19049</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685800" y="2924174"/>
          <a:ext cx="5915025" cy="101917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45720" tIns="32004" rIns="45720" bIns="32004" anchor="ctr" upright="1"/>
        <a:lstStyle/>
        <a:p>
          <a:pPr algn="ctr" rtl="0">
            <a:lnSpc>
              <a:spcPts val="2400"/>
            </a:lnSpc>
            <a:defRPr sz="1000"/>
          </a:pPr>
          <a:r>
            <a:rPr lang="zh-CN" altLang="en-US" sz="2000" b="1" i="0" u="none" strike="noStrike" baseline="0">
              <a:solidFill>
                <a:srgbClr val="FF0000"/>
              </a:solidFill>
              <a:latin typeface="黑体"/>
              <a:ea typeface="黑体"/>
            </a:rPr>
            <a:t>诚实考试吾心不虚 ，公平竞争方显实力，</a:t>
          </a:r>
        </a:p>
        <a:p>
          <a:pPr algn="ctr" rtl="0">
            <a:lnSpc>
              <a:spcPts val="2400"/>
            </a:lnSpc>
            <a:defRPr sz="1000"/>
          </a:pPr>
          <a:r>
            <a:rPr lang="zh-CN" altLang="en-US" sz="2000" b="1" i="0" u="none" strike="noStrike" baseline="0">
              <a:solidFill>
                <a:srgbClr val="FF0000"/>
              </a:solidFill>
              <a:latin typeface="黑体"/>
              <a:ea typeface="黑体"/>
            </a:rPr>
            <a:t>考试失败尚有机会 ，考试舞弊前功尽弃。</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685799</xdr:colOff>
      <xdr:row>3</xdr:row>
      <xdr:rowOff>0</xdr:rowOff>
    </xdr:from>
    <xdr:to>
      <xdr:col>11</xdr:col>
      <xdr:colOff>404812</xdr:colOff>
      <xdr:row>16</xdr:row>
      <xdr:rowOff>0</xdr:rowOff>
    </xdr:to>
    <xdr:sp macro="" textlink="">
      <xdr:nvSpPr>
        <xdr:cNvPr id="2" name="文本框 1">
          <a:extLst>
            <a:ext uri="{FF2B5EF4-FFF2-40B4-BE49-F238E27FC236}">
              <a16:creationId xmlns:a16="http://schemas.microsoft.com/office/drawing/2014/main" id="{DD336130-2E01-4751-B361-74C427730BEB}"/>
            </a:ext>
          </a:extLst>
        </xdr:cNvPr>
        <xdr:cNvSpPr txBox="1"/>
      </xdr:nvSpPr>
      <xdr:spPr>
        <a:xfrm>
          <a:off x="3962399" y="514350"/>
          <a:ext cx="4519613" cy="2228850"/>
        </a:xfrm>
        <a:prstGeom prst="rect">
          <a:avLst/>
        </a:prstGeom>
        <a:solidFill>
          <a:schemeClr val="accent5">
            <a:lumMod val="20000"/>
            <a:lumOff val="80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5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1</a:t>
          </a:r>
          <a:r>
            <a:rPr lang="zh-CN" altLang="en-US" sz="1200" b="1">
              <a:latin typeface="宋体" panose="02010600030101010101" pitchFamily="2" charset="-122"/>
              <a:ea typeface="宋体" panose="02010600030101010101" pitchFamily="2" charset="-122"/>
            </a:rPr>
            <a:t>题 （</a:t>
          </a:r>
          <a:r>
            <a:rPr lang="en-US" altLang="zh-CN" sz="1200" b="1">
              <a:latin typeface="宋体" panose="02010600030101010101" pitchFamily="2" charset="-122"/>
              <a:ea typeface="宋体" panose="02010600030101010101" pitchFamily="2" charset="-122"/>
            </a:rPr>
            <a:t>6</a:t>
          </a:r>
          <a:r>
            <a:rPr lang="zh-CN" altLang="en-US" sz="1200" b="1">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通过</a:t>
          </a:r>
          <a:r>
            <a:rPr lang="en-US" altLang="zh-CN" sz="1200">
              <a:latin typeface="宋体" panose="02010600030101010101" pitchFamily="2" charset="-122"/>
              <a:ea typeface="宋体" panose="02010600030101010101" pitchFamily="2" charset="-122"/>
            </a:rPr>
            <a:t>MS Query </a:t>
          </a:r>
          <a:r>
            <a:rPr lang="zh-CN" altLang="en-US" sz="1200">
              <a:latin typeface="宋体" panose="02010600030101010101" pitchFamily="2" charset="-122"/>
              <a:ea typeface="宋体" panose="02010600030101010101" pitchFamily="2" charset="-122"/>
            </a:rPr>
            <a:t>从</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数据库查询符合下列要求的客户</a:t>
          </a:r>
          <a:r>
            <a:rPr lang="zh-CN" altLang="zh-CN" sz="1200">
              <a:solidFill>
                <a:schemeClr val="dk1"/>
              </a:solidFill>
              <a:effectLst/>
              <a:latin typeface="宋体" panose="02010600030101010101" pitchFamily="2" charset="-122"/>
              <a:ea typeface="宋体" panose="02010600030101010101" pitchFamily="2" charset="-122"/>
              <a:cs typeface="+mn-cs"/>
            </a:rPr>
            <a:t>公司名称</a:t>
          </a:r>
          <a:r>
            <a:rPr lang="zh-CN" altLang="en-US" sz="1200">
              <a:solidFill>
                <a:schemeClr val="dk1"/>
              </a:solidFill>
              <a:effectLst/>
              <a:latin typeface="宋体" panose="02010600030101010101" pitchFamily="2" charset="-122"/>
              <a:ea typeface="宋体" panose="02010600030101010101" pitchFamily="2" charset="-122"/>
              <a:cs typeface="+mn-cs"/>
            </a:rPr>
            <a:t>、产品</a:t>
          </a:r>
          <a:r>
            <a:rPr lang="zh-CN" altLang="zh-CN" sz="1200">
              <a:solidFill>
                <a:schemeClr val="dk1"/>
              </a:solidFill>
              <a:effectLst/>
              <a:latin typeface="宋体" panose="02010600030101010101" pitchFamily="2" charset="-122"/>
              <a:ea typeface="宋体" panose="02010600030101010101" pitchFamily="2" charset="-122"/>
              <a:cs typeface="+mn-cs"/>
            </a:rPr>
            <a:t>名称和</a:t>
          </a:r>
          <a:r>
            <a:rPr lang="zh-CN" altLang="en-US" sz="1200">
              <a:solidFill>
                <a:schemeClr val="dk1"/>
              </a:solidFill>
              <a:effectLst/>
              <a:latin typeface="宋体" panose="02010600030101010101" pitchFamily="2" charset="-122"/>
              <a:ea typeface="宋体" panose="02010600030101010101" pitchFamily="2" charset="-122"/>
              <a:cs typeface="+mn-cs"/>
            </a:rPr>
            <a:t>订购</a:t>
          </a:r>
          <a:r>
            <a:rPr lang="zh-CN" altLang="zh-CN" sz="1200">
              <a:solidFill>
                <a:schemeClr val="dk1"/>
              </a:solidFill>
              <a:effectLst/>
              <a:latin typeface="宋体" panose="02010600030101010101" pitchFamily="2" charset="-122"/>
              <a:ea typeface="宋体" panose="02010600030101010101" pitchFamily="2" charset="-122"/>
              <a:cs typeface="+mn-cs"/>
            </a:rPr>
            <a:t>数量</a:t>
          </a:r>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a:p>
          <a:pPr indent="288000">
            <a:lnSpc>
              <a:spcPct val="150000"/>
            </a:lnSpc>
          </a:pPr>
          <a:r>
            <a:rPr lang="zh-CN" altLang="en-US" sz="1200">
              <a:latin typeface="宋体" panose="02010600030101010101" pitchFamily="2" charset="-122"/>
              <a:ea typeface="宋体" panose="02010600030101010101" pitchFamily="2" charset="-122"/>
            </a:rPr>
            <a:t>订购饮料类产品数量大于等于</a:t>
          </a:r>
          <a:r>
            <a:rPr lang="en-US" altLang="zh-CN" sz="1200">
              <a:latin typeface="宋体" panose="02010600030101010101" pitchFamily="2" charset="-122"/>
              <a:ea typeface="宋体" panose="02010600030101010101" pitchFamily="2" charset="-122"/>
            </a:rPr>
            <a:t>110</a:t>
          </a:r>
          <a:r>
            <a:rPr lang="zh-CN" altLang="en-US" sz="1200">
              <a:latin typeface="宋体" panose="02010600030101010101" pitchFamily="2" charset="-122"/>
              <a:ea typeface="宋体" panose="02010600030101010101" pitchFamily="2" charset="-122"/>
            </a:rPr>
            <a:t>，以及订购海鲜类产品数量介于</a:t>
          </a:r>
          <a:r>
            <a:rPr lang="en-US" altLang="zh-CN" sz="1200">
              <a:latin typeface="宋体" panose="02010600030101010101" pitchFamily="2" charset="-122"/>
              <a:ea typeface="宋体" panose="02010600030101010101" pitchFamily="2" charset="-122"/>
            </a:rPr>
            <a:t>90</a:t>
          </a:r>
          <a:r>
            <a:rPr lang="zh-CN" altLang="en-US" sz="1200">
              <a:latin typeface="宋体" panose="02010600030101010101" pitchFamily="2" charset="-122"/>
              <a:ea typeface="宋体" panose="02010600030101010101" pitchFamily="2" charset="-122"/>
            </a:rPr>
            <a:t>至</a:t>
          </a:r>
          <a:r>
            <a:rPr lang="en-US" altLang="zh-CN" sz="1200">
              <a:latin typeface="宋体" panose="02010600030101010101" pitchFamily="2" charset="-122"/>
              <a:ea typeface="宋体" panose="02010600030101010101" pitchFamily="2" charset="-122"/>
            </a:rPr>
            <a:t>100</a:t>
          </a:r>
          <a:r>
            <a:rPr lang="zh-CN" altLang="en-US" sz="1200">
              <a:latin typeface="宋体" panose="02010600030101010101" pitchFamily="2" charset="-122"/>
              <a:ea typeface="宋体" panose="02010600030101010101" pitchFamily="2" charset="-122"/>
            </a:rPr>
            <a:t>之间的</a:t>
          </a:r>
          <a:r>
            <a:rPr lang="zh-CN" altLang="zh-CN" sz="1200">
              <a:solidFill>
                <a:schemeClr val="dk1"/>
              </a:solidFill>
              <a:effectLst/>
              <a:latin typeface="宋体" panose="02010600030101010101" pitchFamily="2" charset="-122"/>
              <a:ea typeface="宋体" panose="02010600030101010101" pitchFamily="2" charset="-122"/>
              <a:cs typeface="+mn-cs"/>
            </a:rPr>
            <a:t>相关记录</a:t>
          </a:r>
          <a:r>
            <a:rPr lang="zh-CN" altLang="en-US" sz="1200">
              <a:solidFill>
                <a:schemeClr val="dk1"/>
              </a:solidFill>
              <a:effectLst/>
              <a:latin typeface="宋体" panose="02010600030101010101" pitchFamily="2" charset="-122"/>
              <a:ea typeface="宋体" panose="02010600030101010101" pitchFamily="2" charset="-122"/>
              <a:cs typeface="+mn-cs"/>
            </a:rPr>
            <a:t>；并将查询结果</a:t>
          </a:r>
          <a:r>
            <a:rPr lang="zh-CN" altLang="en-US" sz="1200" b="1">
              <a:solidFill>
                <a:schemeClr val="dk1"/>
              </a:solidFill>
              <a:effectLst/>
              <a:latin typeface="宋体" panose="02010600030101010101" pitchFamily="2" charset="-122"/>
              <a:ea typeface="宋体" panose="02010600030101010101" pitchFamily="2" charset="-122"/>
              <a:cs typeface="+mn-cs"/>
            </a:rPr>
            <a:t>返回到</a:t>
          </a:r>
          <a:r>
            <a:rPr lang="en-US" altLang="zh-CN" sz="1200" b="1">
              <a:solidFill>
                <a:schemeClr val="dk1"/>
              </a:solidFill>
              <a:effectLst/>
              <a:latin typeface="宋体" panose="02010600030101010101" pitchFamily="2" charset="-122"/>
              <a:ea typeface="宋体" panose="02010600030101010101" pitchFamily="2" charset="-122"/>
              <a:cs typeface="+mn-cs"/>
            </a:rPr>
            <a:t>A1</a:t>
          </a:r>
          <a:r>
            <a:rPr lang="zh-CN" altLang="zh-CN" sz="1200" b="1">
              <a:solidFill>
                <a:schemeClr val="dk1"/>
              </a:solidFill>
              <a:effectLst/>
              <a:latin typeface="宋体" panose="02010600030101010101" pitchFamily="2" charset="-122"/>
              <a:ea typeface="宋体" panose="02010600030101010101" pitchFamily="2" charset="-122"/>
              <a:cs typeface="+mn-cs"/>
            </a:rPr>
            <a:t>单元格</a:t>
          </a:r>
          <a:r>
            <a:rPr lang="zh-CN" altLang="en-US" sz="1200">
              <a:solidFill>
                <a:schemeClr val="dk1"/>
              </a:solidFill>
              <a:effectLst/>
              <a:latin typeface="宋体" panose="02010600030101010101" pitchFamily="2" charset="-122"/>
              <a:ea typeface="宋体" panose="02010600030101010101" pitchFamily="2" charset="-122"/>
              <a:cs typeface="+mn-cs"/>
            </a:rPr>
            <a:t>起始的区域。</a:t>
          </a:r>
          <a:endParaRPr lang="en-US" altLang="zh-CN" sz="1200">
            <a:solidFill>
              <a:schemeClr val="dk1"/>
            </a:solidFill>
            <a:effectLst/>
            <a:latin typeface="宋体" panose="02010600030101010101" pitchFamily="2" charset="-122"/>
            <a:ea typeface="宋体" panose="02010600030101010101" pitchFamily="2" charset="-122"/>
            <a:cs typeface="+mn-cs"/>
          </a:endParaRPr>
        </a:p>
        <a:p>
          <a:pPr indent="0">
            <a:lnSpc>
              <a:spcPct val="150000"/>
            </a:lnSpc>
          </a:pPr>
          <a:r>
            <a:rPr lang="zh-CN" altLang="en-US" sz="1200" b="1">
              <a:solidFill>
                <a:schemeClr val="dk1"/>
              </a:solidFill>
              <a:effectLst/>
              <a:latin typeface="宋体" panose="02010600030101010101" pitchFamily="2" charset="-122"/>
              <a:ea typeface="宋体" panose="02010600030101010101" pitchFamily="2" charset="-122"/>
              <a:cs typeface="+mn-cs"/>
            </a:rPr>
            <a:t>注意：</a:t>
          </a:r>
          <a:r>
            <a:rPr lang="zh-CN" altLang="en-US" sz="1200">
              <a:solidFill>
                <a:schemeClr val="dk1"/>
              </a:solidFill>
              <a:effectLst/>
              <a:latin typeface="宋体" panose="02010600030101010101" pitchFamily="2" charset="-122"/>
              <a:ea typeface="宋体" panose="02010600030101010101" pitchFamily="2" charset="-122"/>
              <a:cs typeface="+mn-cs"/>
            </a:rPr>
            <a:t>不能对返回到</a:t>
          </a:r>
          <a:r>
            <a:rPr lang="en-US" altLang="zh-CN" sz="1200">
              <a:solidFill>
                <a:schemeClr val="dk1"/>
              </a:solidFill>
              <a:effectLst/>
              <a:latin typeface="宋体" panose="02010600030101010101" pitchFamily="2" charset="-122"/>
              <a:ea typeface="宋体" panose="02010600030101010101" pitchFamily="2" charset="-122"/>
              <a:cs typeface="+mn-cs"/>
            </a:rPr>
            <a:t>Excel</a:t>
          </a:r>
          <a:r>
            <a:rPr lang="zh-CN" altLang="en-US" sz="1200">
              <a:solidFill>
                <a:schemeClr val="dk1"/>
              </a:solidFill>
              <a:effectLst/>
              <a:latin typeface="宋体" panose="02010600030101010101" pitchFamily="2" charset="-122"/>
              <a:ea typeface="宋体" panose="02010600030101010101" pitchFamily="2" charset="-122"/>
              <a:cs typeface="+mn-cs"/>
            </a:rPr>
            <a:t>后的查询结果做任何编辑修改， </a:t>
          </a:r>
          <a:r>
            <a:rPr lang="zh-CN" altLang="en-US" sz="1200" b="1">
              <a:solidFill>
                <a:srgbClr val="FF0000"/>
              </a:solidFill>
              <a:effectLst/>
              <a:latin typeface="宋体" panose="02010600030101010101" pitchFamily="2" charset="-122"/>
              <a:ea typeface="宋体" panose="02010600030101010101" pitchFamily="2" charset="-122"/>
              <a:cs typeface="+mn-cs"/>
            </a:rPr>
            <a:t>违者不得分</a:t>
          </a:r>
          <a:r>
            <a:rPr lang="zh-CN" altLang="en-US" sz="1200">
              <a:solidFill>
                <a:schemeClr val="dk1"/>
              </a:solidFill>
              <a:effectLst/>
              <a:latin typeface="宋体" panose="02010600030101010101" pitchFamily="2" charset="-122"/>
              <a:ea typeface="宋体" panose="02010600030101010101" pitchFamily="2" charset="-122"/>
              <a:cs typeface="+mn-cs"/>
            </a:rPr>
            <a:t>。</a:t>
          </a:r>
          <a:endParaRPr lang="zh-CN" altLang="en-US" sz="1200">
            <a:latin typeface="宋体" panose="02010600030101010101" pitchFamily="2" charset="-122"/>
            <a:ea typeface="宋体" panose="02010600030101010101" pitchFamily="2" charset="-122"/>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xdr:colOff>
      <xdr:row>1</xdr:row>
      <xdr:rowOff>0</xdr:rowOff>
    </xdr:from>
    <xdr:to>
      <xdr:col>13</xdr:col>
      <xdr:colOff>196453</xdr:colOff>
      <xdr:row>18</xdr:row>
      <xdr:rowOff>29584</xdr:rowOff>
    </xdr:to>
    <xdr:sp macro="" textlink="">
      <xdr:nvSpPr>
        <xdr:cNvPr id="3" name="Text Box 6">
          <a:extLst>
            <a:ext uri="{FF2B5EF4-FFF2-40B4-BE49-F238E27FC236}">
              <a16:creationId xmlns:a16="http://schemas.microsoft.com/office/drawing/2014/main" id="{A8592142-F695-4C49-949E-E75EF2ED202C}"/>
            </a:ext>
          </a:extLst>
        </xdr:cNvPr>
        <xdr:cNvSpPr txBox="1">
          <a:spLocks noChangeArrowheads="1"/>
        </xdr:cNvSpPr>
      </xdr:nvSpPr>
      <xdr:spPr bwMode="auto">
        <a:xfrm>
          <a:off x="6221017" y="202406"/>
          <a:ext cx="7399734" cy="3470491"/>
        </a:xfrm>
        <a:prstGeom prst="rect">
          <a:avLst/>
        </a:prstGeom>
        <a:solidFill>
          <a:srgbClr val="DBEEF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ct val="150000"/>
            </a:lnSpc>
            <a:defRPr sz="1000"/>
          </a:pPr>
          <a:r>
            <a:rPr lang="zh-CN" altLang="en-US" sz="1200" b="1" i="0" u="none" strike="noStrike" baseline="0">
              <a:solidFill>
                <a:srgbClr val="000000"/>
              </a:solidFill>
              <a:latin typeface="宋体"/>
              <a:ea typeface="宋体"/>
            </a:rPr>
            <a:t>第2题（</a:t>
          </a:r>
          <a:r>
            <a:rPr lang="en-US" altLang="zh-CN" sz="1200" b="1" i="0" u="none" strike="noStrike" baseline="0">
              <a:solidFill>
                <a:srgbClr val="000000"/>
              </a:solidFill>
              <a:latin typeface="宋体"/>
              <a:ea typeface="宋体"/>
            </a:rPr>
            <a:t>10</a:t>
          </a:r>
          <a:r>
            <a:rPr lang="zh-CN" altLang="en-US" sz="1200" b="1" i="0" u="none" strike="noStrike" baseline="0">
              <a:solidFill>
                <a:srgbClr val="000000"/>
              </a:solidFill>
              <a:latin typeface="宋体"/>
              <a:ea typeface="宋体"/>
            </a:rPr>
            <a:t>分） </a:t>
          </a:r>
          <a:r>
            <a:rPr lang="zh-CN" altLang="en-US" sz="1200" b="0" i="0" u="none" strike="noStrike" baseline="0">
              <a:solidFill>
                <a:srgbClr val="000000"/>
              </a:solidFill>
              <a:latin typeface="宋体"/>
              <a:ea typeface="宋体"/>
            </a:rPr>
            <a:t>请利用</a:t>
          </a:r>
          <a:r>
            <a:rPr lang="en-AU" altLang="zh-CN" sz="1200" b="0" i="0" u="none" strike="noStrike" baseline="0">
              <a:solidFill>
                <a:srgbClr val="000000"/>
              </a:solidFill>
              <a:latin typeface="宋体"/>
              <a:ea typeface="宋体"/>
            </a:rPr>
            <a:t>Nothwind</a:t>
          </a:r>
          <a:r>
            <a:rPr lang="zh-CN" altLang="en-US" sz="1200" b="0" i="0" u="none" strike="noStrike" baseline="0">
              <a:solidFill>
                <a:srgbClr val="000000"/>
              </a:solidFill>
              <a:latin typeface="宋体"/>
              <a:ea typeface="宋体"/>
            </a:rPr>
            <a:t>公司的销售数据，制作如图所示的数据透视表，汇总畅销类商品、热销类商品以及普通类商品的总销售额及其百分比、总销售数量及其百分比。其中，</a:t>
          </a:r>
          <a:endParaRPr lang="en-US" altLang="zh-CN" sz="1200" b="0" i="0" u="none" strike="noStrike" baseline="0">
            <a:solidFill>
              <a:srgbClr val="000000"/>
            </a:solidFill>
            <a:latin typeface="宋体"/>
            <a:ea typeface="宋体"/>
          </a:endParaRPr>
        </a:p>
        <a:p>
          <a:pPr algn="l" rtl="0">
            <a:lnSpc>
              <a:spcPct val="150000"/>
            </a:lnSpc>
            <a:defRPr sz="1000"/>
          </a:pPr>
          <a:r>
            <a:rPr lang="en-US" altLang="zh-CN" sz="1200" b="0" i="0" u="none" strike="noStrike" baseline="0">
              <a:solidFill>
                <a:srgbClr val="000000"/>
              </a:solidFill>
              <a:latin typeface="宋体"/>
              <a:ea typeface="宋体"/>
            </a:rPr>
            <a:t>    </a:t>
          </a:r>
          <a:r>
            <a:rPr lang="zh-CN" altLang="en-US" sz="1200" b="0" i="0" u="none" strike="noStrike" baseline="0">
              <a:solidFill>
                <a:srgbClr val="000000"/>
              </a:solidFill>
              <a:latin typeface="宋体"/>
              <a:ea typeface="宋体"/>
            </a:rPr>
            <a:t>畅销类商品：总数量大于</a:t>
          </a:r>
          <a:r>
            <a:rPr lang="en-US" altLang="zh-CN" sz="1200" b="0" i="0" u="none" strike="noStrike" baseline="0">
              <a:solidFill>
                <a:srgbClr val="000000"/>
              </a:solidFill>
              <a:latin typeface="宋体"/>
              <a:ea typeface="宋体"/>
            </a:rPr>
            <a:t>9000</a:t>
          </a:r>
          <a:r>
            <a:rPr lang="zh-CN" altLang="en-US" sz="1200" b="0" i="0" u="none" strike="noStrike" baseline="0">
              <a:solidFill>
                <a:srgbClr val="000000"/>
              </a:solidFill>
              <a:latin typeface="宋体"/>
              <a:ea typeface="宋体"/>
            </a:rPr>
            <a:t>件；热销类商品：总数量大于</a:t>
          </a:r>
          <a:r>
            <a:rPr lang="en-US" altLang="zh-CN" sz="1200" b="0" i="0" u="none" strike="noStrike" baseline="0">
              <a:solidFill>
                <a:srgbClr val="000000"/>
              </a:solidFill>
              <a:latin typeface="宋体"/>
              <a:ea typeface="宋体"/>
            </a:rPr>
            <a:t>7000</a:t>
          </a:r>
          <a:r>
            <a:rPr lang="zh-CN" altLang="en-US" sz="1200" b="0" i="0" u="none" strike="noStrike" baseline="0">
              <a:solidFill>
                <a:srgbClr val="000000"/>
              </a:solidFill>
              <a:latin typeface="宋体"/>
              <a:ea typeface="宋体"/>
            </a:rPr>
            <a:t>件小于</a:t>
          </a:r>
          <a:r>
            <a:rPr lang="en-US" altLang="zh-CN" sz="1200" b="0" i="0" u="none" strike="noStrike" baseline="0">
              <a:solidFill>
                <a:srgbClr val="000000"/>
              </a:solidFill>
              <a:latin typeface="宋体"/>
              <a:ea typeface="宋体"/>
            </a:rPr>
            <a:t>9000</a:t>
          </a:r>
          <a:r>
            <a:rPr lang="zh-CN" altLang="en-US" sz="1200" b="0" i="0" u="none" strike="noStrike" baseline="0">
              <a:solidFill>
                <a:srgbClr val="000000"/>
              </a:solidFill>
              <a:latin typeface="宋体"/>
              <a:ea typeface="宋体"/>
            </a:rPr>
            <a:t>件；普通类商品：其他数量。</a:t>
          </a:r>
        </a:p>
      </xdr:txBody>
    </xdr:sp>
    <xdr:clientData/>
  </xdr:twoCellAnchor>
  <xdr:twoCellAnchor editAs="oneCell">
    <xdr:from>
      <xdr:col>9</xdr:col>
      <xdr:colOff>443752</xdr:colOff>
      <xdr:row>5</xdr:row>
      <xdr:rowOff>178334</xdr:rowOff>
    </xdr:from>
    <xdr:to>
      <xdr:col>12</xdr:col>
      <xdr:colOff>1316075</xdr:colOff>
      <xdr:row>17</xdr:row>
      <xdr:rowOff>92441</xdr:rowOff>
    </xdr:to>
    <xdr:pic>
      <xdr:nvPicPr>
        <xdr:cNvPr id="4" name="图片 3">
          <a:extLst>
            <a:ext uri="{FF2B5EF4-FFF2-40B4-BE49-F238E27FC236}">
              <a16:creationId xmlns:a16="http://schemas.microsoft.com/office/drawing/2014/main" id="{C4FBD7C5-D21E-4734-A0A3-684A633B20CE}"/>
            </a:ext>
          </a:extLst>
        </xdr:cNvPr>
        <xdr:cNvPicPr>
          <a:picLocks noChangeAspect="1"/>
        </xdr:cNvPicPr>
      </xdr:nvPicPr>
      <xdr:blipFill>
        <a:blip xmlns:r="http://schemas.openxmlformats.org/officeDocument/2006/relationships" r:embed="rId1"/>
        <a:stretch>
          <a:fillRect/>
        </a:stretch>
      </xdr:blipFill>
      <xdr:spPr>
        <a:xfrm>
          <a:off x="5625352" y="1168934"/>
          <a:ext cx="4894730" cy="22915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8281</xdr:colOff>
      <xdr:row>0</xdr:row>
      <xdr:rowOff>66264</xdr:rowOff>
    </xdr:from>
    <xdr:to>
      <xdr:col>23</xdr:col>
      <xdr:colOff>216923</xdr:colOff>
      <xdr:row>20</xdr:row>
      <xdr:rowOff>8283</xdr:rowOff>
    </xdr:to>
    <xdr:sp macro="" textlink="">
      <xdr:nvSpPr>
        <xdr:cNvPr id="2" name="文本框 1">
          <a:extLst>
            <a:ext uri="{FF2B5EF4-FFF2-40B4-BE49-F238E27FC236}">
              <a16:creationId xmlns:a16="http://schemas.microsoft.com/office/drawing/2014/main" id="{F0543608-79FF-44CA-B5EB-9CC02B5AE3C1}"/>
            </a:ext>
          </a:extLst>
        </xdr:cNvPr>
        <xdr:cNvSpPr txBox="1"/>
      </xdr:nvSpPr>
      <xdr:spPr bwMode="auto">
        <a:xfrm>
          <a:off x="7259705" y="66264"/>
          <a:ext cx="8325599" cy="3888682"/>
        </a:xfrm>
        <a:prstGeom prst="rect">
          <a:avLst/>
        </a:prstGeom>
        <a:solidFill>
          <a:srgbClr val="DBEEF4"/>
        </a:solidFill>
        <a:ln w="9525">
          <a:solidFill>
            <a:srgbClr val="000000"/>
          </a:solidFill>
          <a:miter lim="800000"/>
          <a:headEnd/>
          <a:tailEnd/>
        </a:ln>
      </xdr:spPr>
      <xdr:txBody>
        <a:bodyPr vertOverflow="clip" horzOverflow="clip" wrap="square" lIns="27432" tIns="18288" rIns="0" bIns="0" rtlCol="0" anchor="t" upright="1"/>
        <a:lstStyle/>
        <a:p>
          <a:pPr algn="l" rtl="0">
            <a:lnSpc>
              <a:spcPct val="120000"/>
            </a:lnSpc>
            <a:spcBef>
              <a:spcPts val="600"/>
            </a:spcBef>
            <a:spcAft>
              <a:spcPts val="600"/>
            </a:spcAft>
          </a:pPr>
          <a:r>
            <a:rPr lang="zh-CN" altLang="zh-CN" sz="1200" b="1" i="0" kern="1600" baseline="0">
              <a:effectLst/>
              <a:latin typeface="宋体" panose="02010600030101010101" pitchFamily="2" charset="-122"/>
              <a:ea typeface="宋体" panose="02010600030101010101" pitchFamily="2" charset="-122"/>
              <a:cs typeface="+mn-cs"/>
            </a:rPr>
            <a:t>第</a:t>
          </a:r>
          <a:r>
            <a:rPr lang="en-US" altLang="zh-CN" sz="1200" b="1" i="0" kern="1600" baseline="0">
              <a:effectLst/>
              <a:latin typeface="宋体" panose="02010600030101010101" pitchFamily="2" charset="-122"/>
              <a:ea typeface="宋体" panose="02010600030101010101" pitchFamily="2" charset="-122"/>
              <a:cs typeface="+mn-cs"/>
            </a:rPr>
            <a:t>3</a:t>
          </a:r>
          <a:r>
            <a:rPr lang="zh-CN" altLang="zh-CN" sz="1200" b="1" i="0" kern="1600" baseline="0">
              <a:effectLst/>
              <a:latin typeface="宋体" panose="02010600030101010101" pitchFamily="2" charset="-122"/>
              <a:ea typeface="宋体" panose="02010600030101010101" pitchFamily="2" charset="-122"/>
              <a:cs typeface="+mn-cs"/>
            </a:rPr>
            <a:t>题</a:t>
          </a:r>
          <a:r>
            <a:rPr lang="en-US" altLang="zh-CN" sz="1200" b="1" i="0" kern="1600" baseline="0">
              <a:solidFill>
                <a:sysClr val="windowText" lastClr="000000"/>
              </a:solidFill>
              <a:effectLst/>
              <a:latin typeface="宋体" panose="02010600030101010101" pitchFamily="2" charset="-122"/>
              <a:ea typeface="宋体" panose="02010600030101010101" pitchFamily="2" charset="-122"/>
              <a:cs typeface="+mn-cs"/>
            </a:rPr>
            <a:t>(15</a:t>
          </a:r>
          <a:r>
            <a:rPr lang="zh-CN" altLang="zh-CN" sz="1200" b="1" i="0" kern="1600" baseline="0">
              <a:solidFill>
                <a:sysClr val="windowText" lastClr="000000"/>
              </a:solidFill>
              <a:effectLst/>
              <a:latin typeface="宋体" panose="02010600030101010101" pitchFamily="2" charset="-122"/>
              <a:ea typeface="宋体" panose="02010600030101010101" pitchFamily="2" charset="-122"/>
              <a:cs typeface="+mn-cs"/>
            </a:rPr>
            <a:t>分</a:t>
          </a:r>
          <a:r>
            <a:rPr lang="en-US" altLang="zh-CN" sz="1200" b="1" i="0" kern="1600" baseline="0">
              <a:solidFill>
                <a:sysClr val="windowText" lastClr="000000"/>
              </a:solidFill>
              <a:effectLst/>
              <a:latin typeface="宋体" panose="02010600030101010101" pitchFamily="2" charset="-122"/>
              <a:ea typeface="宋体" panose="02010600030101010101" pitchFamily="2" charset="-122"/>
              <a:cs typeface="+mn-cs"/>
            </a:rPr>
            <a:t>) </a:t>
          </a:r>
          <a:r>
            <a:rPr lang="zh-CN" altLang="zh-CN" sz="1200" b="0" i="0" kern="1600" baseline="0">
              <a:effectLst/>
              <a:latin typeface="宋体" panose="02010600030101010101" pitchFamily="2" charset="-122"/>
              <a:ea typeface="宋体" panose="02010600030101010101" pitchFamily="2" charset="-122"/>
              <a:cs typeface="+mn-cs"/>
            </a:rPr>
            <a:t>根据本工作表数据</a:t>
          </a:r>
          <a:r>
            <a:rPr lang="zh-CN" altLang="en-US" sz="1200" b="0" i="0" kern="1600" baseline="0">
              <a:effectLst/>
              <a:latin typeface="宋体" panose="02010600030101010101" pitchFamily="2" charset="-122"/>
              <a:ea typeface="宋体" panose="02010600030101010101" pitchFamily="2" charset="-122"/>
              <a:cs typeface="+mn-cs"/>
            </a:rPr>
            <a:t>（</a:t>
          </a:r>
          <a:r>
            <a:rPr lang="en-US" altLang="zh-CN" sz="1200" b="0" i="0" kern="1600" baseline="0">
              <a:effectLst/>
              <a:latin typeface="宋体" panose="02010600030101010101" pitchFamily="2" charset="-122"/>
              <a:ea typeface="宋体" panose="02010600030101010101" pitchFamily="2" charset="-122"/>
              <a:cs typeface="+mn-cs"/>
            </a:rPr>
            <a:t>A1:D2337</a:t>
          </a:r>
          <a:r>
            <a:rPr lang="zh-CN" altLang="en-US" sz="1200" b="0" i="0" kern="1600" baseline="0">
              <a:effectLst/>
              <a:latin typeface="宋体" panose="02010600030101010101" pitchFamily="2" charset="-122"/>
              <a:ea typeface="宋体" panose="02010600030101010101" pitchFamily="2" charset="-122"/>
              <a:cs typeface="+mn-cs"/>
            </a:rPr>
            <a:t>原始数据和</a:t>
          </a:r>
          <a:r>
            <a:rPr lang="en-US" altLang="zh-CN" sz="1200" b="0" i="0" kern="1600" baseline="0">
              <a:effectLst/>
              <a:latin typeface="宋体" panose="02010600030101010101" pitchFamily="2" charset="-122"/>
              <a:ea typeface="宋体" panose="02010600030101010101" pitchFamily="2" charset="-122"/>
              <a:cs typeface="+mn-cs"/>
            </a:rPr>
            <a:t>H1:I32</a:t>
          </a:r>
          <a:r>
            <a:rPr lang="zh-CN" altLang="en-US" sz="1200" b="0" i="0" kern="1600" baseline="0">
              <a:effectLst/>
              <a:latin typeface="宋体" panose="02010600030101010101" pitchFamily="2" charset="-122"/>
              <a:ea typeface="宋体" panose="02010600030101010101" pitchFamily="2" charset="-122"/>
              <a:cs typeface="+mn-cs"/>
            </a:rPr>
            <a:t>省份地区对照表）</a:t>
          </a:r>
          <a:r>
            <a:rPr lang="zh-CN" altLang="zh-CN" sz="1200" b="0" i="0" kern="1600" baseline="0">
              <a:effectLst/>
              <a:latin typeface="宋体" panose="02010600030101010101" pitchFamily="2" charset="-122"/>
              <a:ea typeface="宋体" panose="02010600030101010101" pitchFamily="2" charset="-122"/>
              <a:cs typeface="+mn-cs"/>
            </a:rPr>
            <a:t>，利用</a:t>
          </a:r>
          <a:r>
            <a:rPr lang="zh-CN" altLang="en-US" sz="1200" b="0" i="0" kern="1600" baseline="0">
              <a:effectLst/>
              <a:latin typeface="宋体" panose="02010600030101010101" pitchFamily="2" charset="-122"/>
              <a:ea typeface="宋体" panose="02010600030101010101" pitchFamily="2" charset="-122"/>
              <a:cs typeface="+mn-cs"/>
            </a:rPr>
            <a:t>数据库</a:t>
          </a:r>
          <a:r>
            <a:rPr lang="zh-CN" altLang="zh-CN" sz="1200" b="0" i="0" kern="1600" baseline="0">
              <a:effectLst/>
              <a:latin typeface="宋体" panose="02010600030101010101" pitchFamily="2" charset="-122"/>
              <a:ea typeface="宋体" panose="02010600030101010101" pitchFamily="2" charset="-122"/>
              <a:cs typeface="+mn-cs"/>
            </a:rPr>
            <a:t>函数及模拟运算表，计算各个</a:t>
          </a:r>
          <a:r>
            <a:rPr lang="zh-CN" altLang="en-US" sz="1200" b="0" i="0" kern="1600" baseline="0">
              <a:effectLst/>
              <a:latin typeface="宋体" panose="02010600030101010101" pitchFamily="2" charset="-122"/>
              <a:ea typeface="宋体" panose="02010600030101010101" pitchFamily="2" charset="-122"/>
              <a:cs typeface="+mn-cs"/>
            </a:rPr>
            <a:t>省份机构计数</a:t>
          </a:r>
          <a:r>
            <a:rPr lang="zh-CN" altLang="zh-CN" sz="1200" b="0" i="0" kern="1600" baseline="0">
              <a:effectLst/>
              <a:latin typeface="宋体" panose="02010600030101010101" pitchFamily="2" charset="-122"/>
              <a:ea typeface="宋体" panose="02010600030101010101" pitchFamily="2" charset="-122"/>
              <a:cs typeface="+mn-cs"/>
            </a:rPr>
            <a:t>和</a:t>
          </a:r>
          <a:r>
            <a:rPr lang="zh-CN" altLang="en-US" sz="1200" b="0" i="0" kern="1600" baseline="0">
              <a:effectLst/>
              <a:latin typeface="宋体" panose="02010600030101010101" pitchFamily="2" charset="-122"/>
              <a:ea typeface="宋体" panose="02010600030101010101" pitchFamily="2" charset="-122"/>
              <a:cs typeface="+mn-cs"/>
            </a:rPr>
            <a:t>机构员工人数总计</a:t>
          </a:r>
          <a:r>
            <a:rPr lang="zh-CN" altLang="zh-CN" sz="1200" b="0" i="0" kern="1600" baseline="0">
              <a:effectLst/>
              <a:latin typeface="宋体" panose="02010600030101010101" pitchFamily="2" charset="-122"/>
              <a:ea typeface="宋体" panose="02010600030101010101" pitchFamily="2" charset="-122"/>
              <a:cs typeface="+mn-cs"/>
            </a:rPr>
            <a:t>。创建二个列表框</a:t>
          </a:r>
          <a:r>
            <a:rPr lang="zh-CN" altLang="en-US" sz="1200" b="0" i="0" kern="1600" baseline="0">
              <a:effectLst/>
              <a:latin typeface="宋体" panose="02010600030101010101" pitchFamily="2" charset="-122"/>
              <a:ea typeface="宋体" panose="02010600030101010101" pitchFamily="2" charset="-122"/>
              <a:cs typeface="+mn-cs"/>
            </a:rPr>
            <a:t>和</a:t>
          </a:r>
          <a:r>
            <a:rPr lang="zh-CN" altLang="zh-CN" sz="1200" b="0" i="0" kern="1600" baseline="0">
              <a:effectLst/>
              <a:latin typeface="宋体" panose="02010600030101010101" pitchFamily="2" charset="-122"/>
              <a:ea typeface="宋体" panose="02010600030101010101" pitchFamily="2" charset="-122"/>
              <a:cs typeface="+mn-cs"/>
            </a:rPr>
            <a:t>一个</a:t>
          </a:r>
          <a:r>
            <a:rPr lang="zh-CN" altLang="en-US" sz="1200" b="0" i="0" kern="1600" baseline="0">
              <a:effectLst/>
              <a:latin typeface="宋体" panose="02010600030101010101" pitchFamily="2" charset="-122"/>
              <a:ea typeface="宋体" panose="02010600030101010101" pitchFamily="2" charset="-122"/>
              <a:cs typeface="+mn-cs"/>
            </a:rPr>
            <a:t>三选一选择</a:t>
          </a:r>
          <a:r>
            <a:rPr lang="zh-CN" altLang="zh-CN" sz="1200" b="0" i="0" kern="1600" baseline="0">
              <a:effectLst/>
              <a:latin typeface="宋体" panose="02010600030101010101" pitchFamily="2" charset="-122"/>
              <a:ea typeface="宋体" panose="02010600030101010101" pitchFamily="2" charset="-122"/>
              <a:cs typeface="+mn-cs"/>
            </a:rPr>
            <a:t>框组控件，并</a:t>
          </a:r>
          <a:r>
            <a:rPr lang="zh-CN" altLang="en-US" sz="1200" b="0" i="0" kern="1600" baseline="0">
              <a:effectLst/>
              <a:latin typeface="宋体" panose="02010600030101010101" pitchFamily="2" charset="-122"/>
              <a:ea typeface="宋体" panose="02010600030101010101" pitchFamily="2" charset="-122"/>
              <a:cs typeface="+mn-cs"/>
            </a:rPr>
            <a:t>且</a:t>
          </a:r>
          <a:r>
            <a:rPr lang="zh-CN" altLang="zh-CN" sz="1200" b="0" i="0" kern="1600" baseline="0">
              <a:effectLst/>
              <a:latin typeface="宋体" panose="02010600030101010101" pitchFamily="2" charset="-122"/>
              <a:ea typeface="宋体" panose="02010600030101010101" pitchFamily="2" charset="-122"/>
              <a:cs typeface="+mn-cs"/>
            </a:rPr>
            <a:t>绘制</a:t>
          </a:r>
          <a:r>
            <a:rPr lang="zh-CN" altLang="en-US" sz="1200" b="0" i="0" kern="1600" baseline="0">
              <a:effectLst/>
              <a:latin typeface="宋体" panose="02010600030101010101" pitchFamily="2" charset="-122"/>
              <a:ea typeface="宋体" panose="02010600030101010101" pitchFamily="2" charset="-122"/>
              <a:cs typeface="+mn-cs"/>
            </a:rPr>
            <a:t>样</a:t>
          </a:r>
          <a:r>
            <a:rPr lang="zh-CN" altLang="zh-CN" sz="1200" b="0" i="0" kern="1600" baseline="0">
              <a:effectLst/>
              <a:latin typeface="宋体" panose="02010600030101010101" pitchFamily="2" charset="-122"/>
              <a:ea typeface="宋体" panose="02010600030101010101" pitchFamily="2" charset="-122"/>
              <a:cs typeface="+mn-cs"/>
            </a:rPr>
            <a:t>图所示</a:t>
          </a:r>
          <a:r>
            <a:rPr lang="zh-CN" altLang="en-US" sz="1200" b="0" i="0" kern="1600" baseline="0">
              <a:effectLst/>
              <a:latin typeface="宋体" panose="02010600030101010101" pitchFamily="2" charset="-122"/>
              <a:ea typeface="宋体" panose="02010600030101010101" pitchFamily="2" charset="-122"/>
              <a:cs typeface="+mn-cs"/>
            </a:rPr>
            <a:t>的</a:t>
          </a:r>
          <a:r>
            <a:rPr lang="zh-CN" altLang="zh-CN" sz="1200" b="0" i="0" kern="1600" baseline="0">
              <a:effectLst/>
              <a:latin typeface="宋体" panose="02010600030101010101" pitchFamily="2" charset="-122"/>
              <a:ea typeface="宋体" panose="02010600030101010101" pitchFamily="2" charset="-122"/>
              <a:cs typeface="+mn-cs"/>
            </a:rPr>
            <a:t>图形。使用地区列表框和</a:t>
          </a:r>
          <a:r>
            <a:rPr lang="zh-CN" altLang="en-US" sz="1200" b="0" i="0" kern="1600" baseline="0">
              <a:effectLst/>
              <a:latin typeface="宋体" panose="02010600030101010101" pitchFamily="2" charset="-122"/>
              <a:ea typeface="宋体" panose="02010600030101010101" pitchFamily="2" charset="-122"/>
              <a:cs typeface="+mn-cs"/>
            </a:rPr>
            <a:t>评估结果</a:t>
          </a:r>
          <a:r>
            <a:rPr lang="zh-CN" altLang="zh-CN" sz="1200" b="0" i="0" kern="1600" baseline="0">
              <a:effectLst/>
              <a:latin typeface="宋体" panose="02010600030101010101" pitchFamily="2" charset="-122"/>
              <a:ea typeface="宋体" panose="02010600030101010101" pitchFamily="2" charset="-122"/>
              <a:cs typeface="+mn-cs"/>
            </a:rPr>
            <a:t>选</a:t>
          </a:r>
          <a:r>
            <a:rPr lang="zh-CN" altLang="en-US" sz="1200" b="0" i="0" kern="1600" baseline="0">
              <a:effectLst/>
              <a:latin typeface="宋体" panose="02010600030101010101" pitchFamily="2" charset="-122"/>
              <a:ea typeface="宋体" panose="02010600030101010101" pitchFamily="2" charset="-122"/>
              <a:cs typeface="+mn-cs"/>
            </a:rPr>
            <a:t>择</a:t>
          </a:r>
          <a:r>
            <a:rPr lang="zh-CN" altLang="zh-CN" sz="1200" b="0" i="0" kern="1600" baseline="0">
              <a:effectLst/>
              <a:latin typeface="宋体" panose="02010600030101010101" pitchFamily="2" charset="-122"/>
              <a:ea typeface="宋体" panose="02010600030101010101" pitchFamily="2" charset="-122"/>
              <a:cs typeface="+mn-cs"/>
            </a:rPr>
            <a:t>框组</a:t>
          </a:r>
          <a:r>
            <a:rPr lang="zh-CN" altLang="en-US" sz="1200" b="0" i="0" kern="1600" baseline="0">
              <a:effectLst/>
              <a:latin typeface="宋体" panose="02010600030101010101" pitchFamily="2" charset="-122"/>
              <a:ea typeface="宋体" panose="02010600030101010101" pitchFamily="2" charset="-122"/>
              <a:cs typeface="+mn-cs"/>
            </a:rPr>
            <a:t>控件</a:t>
          </a:r>
          <a:r>
            <a:rPr lang="zh-CN" altLang="zh-CN" sz="1200" b="0" i="0" kern="1600" baseline="0">
              <a:effectLst/>
              <a:latin typeface="宋体" panose="02010600030101010101" pitchFamily="2" charset="-122"/>
              <a:ea typeface="宋体" panose="02010600030101010101" pitchFamily="2" charset="-122"/>
              <a:cs typeface="+mn-cs"/>
            </a:rPr>
            <a:t>进行控制，当选择地区列表框中的某个</a:t>
          </a:r>
          <a:r>
            <a:rPr lang="zh-CN" altLang="en-US" sz="1200" b="0" i="0" kern="1600" baseline="0">
              <a:effectLst/>
              <a:latin typeface="宋体" panose="02010600030101010101" pitchFamily="2" charset="-122"/>
              <a:ea typeface="宋体" panose="02010600030101010101" pitchFamily="2" charset="-122"/>
              <a:cs typeface="+mn-cs"/>
            </a:rPr>
            <a:t>地区</a:t>
          </a:r>
          <a:r>
            <a:rPr lang="zh-CN" altLang="zh-CN" sz="1200" b="0" i="0" kern="1600" baseline="0">
              <a:effectLst/>
              <a:latin typeface="宋体" panose="02010600030101010101" pitchFamily="2" charset="-122"/>
              <a:ea typeface="宋体" panose="02010600030101010101" pitchFamily="2" charset="-122"/>
              <a:cs typeface="+mn-cs"/>
            </a:rPr>
            <a:t>时以及</a:t>
          </a:r>
          <a:r>
            <a:rPr lang="zh-CN" altLang="en-US" sz="1200" b="0" i="0" kern="1600" baseline="0">
              <a:effectLst/>
              <a:latin typeface="宋体" panose="02010600030101010101" pitchFamily="2" charset="-122"/>
              <a:ea typeface="宋体" panose="02010600030101010101" pitchFamily="2" charset="-122"/>
              <a:cs typeface="+mn-cs"/>
            </a:rPr>
            <a:t>选择评估结果和统计要求</a:t>
          </a:r>
          <a:r>
            <a:rPr lang="zh-CN" altLang="zh-CN" sz="1200" b="0" i="0" kern="1600" baseline="0">
              <a:effectLst/>
              <a:latin typeface="宋体" panose="02010600030101010101" pitchFamily="2" charset="-122"/>
              <a:ea typeface="宋体" panose="02010600030101010101" pitchFamily="2" charset="-122"/>
              <a:cs typeface="+mn-cs"/>
            </a:rPr>
            <a:t>时，属于此地区所</a:t>
          </a:r>
          <a:r>
            <a:rPr lang="zh-CN" altLang="en-US" sz="1200" b="0" i="0" kern="1600" baseline="0">
              <a:effectLst/>
              <a:latin typeface="宋体" panose="02010600030101010101" pitchFamily="2" charset="-122"/>
              <a:ea typeface="宋体" panose="02010600030101010101" pitchFamily="2" charset="-122"/>
              <a:cs typeface="+mn-cs"/>
            </a:rPr>
            <a:t>有省份的统计结果</a:t>
          </a:r>
          <a:r>
            <a:rPr lang="en-US" altLang="zh-CN" sz="1200" b="0" i="0" kern="1600" baseline="0">
              <a:effectLst/>
              <a:latin typeface="宋体" panose="02010600030101010101" pitchFamily="2" charset="-122"/>
              <a:ea typeface="宋体" panose="02010600030101010101" pitchFamily="2" charset="-122"/>
              <a:cs typeface="+mn-cs"/>
            </a:rPr>
            <a:t>,</a:t>
          </a:r>
          <a:r>
            <a:rPr lang="zh-CN" altLang="en-US" sz="1200" b="0" i="0" kern="1600" baseline="0">
              <a:effectLst/>
              <a:latin typeface="宋体" panose="02010600030101010101" pitchFamily="2" charset="-122"/>
              <a:ea typeface="宋体" panose="02010600030101010101" pitchFamily="2" charset="-122"/>
              <a:cs typeface="+mn-cs"/>
            </a:rPr>
            <a:t>图表标题根据控件选择作相应变化 </a:t>
          </a:r>
          <a:r>
            <a:rPr lang="zh-CN" altLang="zh-CN" sz="1200" b="0" i="0" kern="1600" baseline="0">
              <a:effectLst/>
              <a:latin typeface="宋体" panose="02010600030101010101" pitchFamily="2" charset="-122"/>
              <a:ea typeface="宋体" panose="02010600030101010101" pitchFamily="2" charset="-122"/>
              <a:cs typeface="+mn-cs"/>
            </a:rPr>
            <a:t>，</a:t>
          </a:r>
          <a:r>
            <a:rPr lang="zh-CN" altLang="en-US" sz="1200" b="0" i="0" kern="1600" baseline="0">
              <a:effectLst/>
              <a:latin typeface="宋体" panose="02010600030101010101" pitchFamily="2" charset="-122"/>
              <a:ea typeface="宋体" panose="02010600030101010101" pitchFamily="2" charset="-122"/>
              <a:cs typeface="+mn-cs"/>
            </a:rPr>
            <a:t>如当选择西北地区时</a:t>
          </a:r>
          <a:r>
            <a:rPr lang="zh-CN" altLang="zh-CN" sz="1200" b="0" i="0" kern="1600" baseline="0">
              <a:effectLst/>
              <a:latin typeface="宋体" panose="02010600030101010101" pitchFamily="2" charset="-122"/>
              <a:ea typeface="宋体" panose="02010600030101010101" pitchFamily="2" charset="-122"/>
              <a:cs typeface="+mn-cs"/>
            </a:rPr>
            <a:t>结果</a:t>
          </a:r>
          <a:r>
            <a:rPr lang="zh-CN" altLang="en-US" sz="1200" b="0" i="0" kern="1600" baseline="0">
              <a:effectLst/>
              <a:latin typeface="宋体" panose="02010600030101010101" pitchFamily="2" charset="-122"/>
              <a:ea typeface="宋体" panose="02010600030101010101" pitchFamily="2" charset="-122"/>
              <a:cs typeface="+mn-cs"/>
            </a:rPr>
            <a:t>左边</a:t>
          </a:r>
          <a:r>
            <a:rPr lang="zh-CN" altLang="zh-CN" sz="1200" b="0" i="0" kern="1600" baseline="0">
              <a:effectLst/>
              <a:latin typeface="宋体" panose="02010600030101010101" pitchFamily="2" charset="-122"/>
              <a:ea typeface="宋体" panose="02010600030101010101" pitchFamily="2" charset="-122"/>
              <a:cs typeface="+mn-cs"/>
            </a:rPr>
            <a:t>如图</a:t>
          </a:r>
          <a:r>
            <a:rPr lang="zh-CN" altLang="en-US" sz="1200" b="0" i="0" kern="1600" baseline="0">
              <a:effectLst/>
              <a:latin typeface="宋体" panose="02010600030101010101" pitchFamily="2" charset="-122"/>
              <a:ea typeface="宋体" panose="02010600030101010101" pitchFamily="2" charset="-122"/>
              <a:cs typeface="+mn-cs"/>
            </a:rPr>
            <a:t>一</a:t>
          </a:r>
          <a:r>
            <a:rPr lang="zh-CN" altLang="zh-CN" sz="1200" b="0" i="0" kern="1600" baseline="0">
              <a:effectLst/>
              <a:latin typeface="宋体" panose="02010600030101010101" pitchFamily="2" charset="-122"/>
              <a:ea typeface="宋体" panose="02010600030101010101" pitchFamily="2" charset="-122"/>
              <a:cs typeface="+mn-cs"/>
            </a:rPr>
            <a:t>所示。</a:t>
          </a:r>
          <a:r>
            <a:rPr lang="zh-CN" altLang="zh-CN" sz="1100" b="0" i="0" baseline="0">
              <a:effectLst/>
              <a:latin typeface="+mn-lt"/>
              <a:ea typeface="+mn-ea"/>
              <a:cs typeface="+mn-cs"/>
            </a:rPr>
            <a:t>当选择</a:t>
          </a:r>
          <a:r>
            <a:rPr lang="zh-CN" altLang="en-US" sz="1100" b="0" i="0" baseline="0">
              <a:effectLst/>
              <a:latin typeface="+mn-lt"/>
              <a:ea typeface="+mn-ea"/>
              <a:cs typeface="+mn-cs"/>
            </a:rPr>
            <a:t>华东</a:t>
          </a:r>
          <a:r>
            <a:rPr lang="zh-CN" altLang="zh-CN" sz="1100" b="0" i="0" baseline="0">
              <a:effectLst/>
              <a:latin typeface="+mn-lt"/>
              <a:ea typeface="+mn-ea"/>
              <a:cs typeface="+mn-cs"/>
            </a:rPr>
            <a:t>地区时结果如</a:t>
          </a:r>
          <a:r>
            <a:rPr lang="zh-CN" altLang="en-US" sz="1100" b="0" i="0" baseline="0">
              <a:effectLst/>
              <a:latin typeface="+mn-lt"/>
              <a:ea typeface="+mn-ea"/>
              <a:cs typeface="+mn-cs"/>
            </a:rPr>
            <a:t>右边</a:t>
          </a:r>
          <a:r>
            <a:rPr lang="zh-CN" altLang="zh-CN" sz="1100" b="0" i="0" baseline="0">
              <a:effectLst/>
              <a:latin typeface="+mn-lt"/>
              <a:ea typeface="+mn-ea"/>
              <a:cs typeface="+mn-cs"/>
            </a:rPr>
            <a:t>图</a:t>
          </a:r>
          <a:r>
            <a:rPr lang="zh-CN" altLang="en-US" sz="1100" b="0" i="0" baseline="0">
              <a:effectLst/>
              <a:latin typeface="+mn-lt"/>
              <a:ea typeface="+mn-ea"/>
              <a:cs typeface="+mn-cs"/>
            </a:rPr>
            <a:t>二</a:t>
          </a:r>
          <a:r>
            <a:rPr lang="zh-CN" altLang="zh-CN" sz="1100" b="0" i="0" baseline="0">
              <a:effectLst/>
              <a:latin typeface="+mn-lt"/>
              <a:ea typeface="+mn-ea"/>
              <a:cs typeface="+mn-cs"/>
            </a:rPr>
            <a:t>所示</a:t>
          </a:r>
          <a:r>
            <a:rPr lang="zh-CN" altLang="en-US" sz="1100" b="0" i="0" baseline="0">
              <a:effectLst/>
              <a:latin typeface="+mn-lt"/>
              <a:ea typeface="+mn-ea"/>
              <a:cs typeface="+mn-cs"/>
            </a:rPr>
            <a:t>省份随所选地区作相应变化，</a:t>
          </a:r>
          <a:r>
            <a:rPr lang="zh-CN" altLang="en-US" sz="1200" b="0" i="0" kern="1600" baseline="0">
              <a:effectLst/>
              <a:latin typeface="宋体" panose="02010600030101010101" pitchFamily="2" charset="-122"/>
              <a:ea typeface="宋体" panose="02010600030101010101" pitchFamily="2" charset="-122"/>
              <a:cs typeface="+mn-cs"/>
            </a:rPr>
            <a:t>，样图中数据仅供参考</a:t>
          </a:r>
          <a:r>
            <a:rPr lang="zh-CN" altLang="zh-CN" sz="1200" b="0" i="0" kern="1600" baseline="0">
              <a:effectLst/>
              <a:latin typeface="宋体" panose="02010600030101010101" pitchFamily="2" charset="-122"/>
              <a:ea typeface="宋体" panose="02010600030101010101" pitchFamily="2" charset="-122"/>
              <a:cs typeface="+mn-cs"/>
            </a:rPr>
            <a:t>。</a:t>
          </a:r>
          <a:endParaRPr lang="en-US" altLang="zh-CN" sz="1200" b="0" i="0" kern="1600" baseline="0">
            <a:effectLst/>
            <a:latin typeface="宋体" panose="02010600030101010101" pitchFamily="2" charset="-122"/>
            <a:ea typeface="宋体" panose="02010600030101010101" pitchFamily="2" charset="-122"/>
            <a:cs typeface="+mn-cs"/>
          </a:endParaRPr>
        </a:p>
        <a:p>
          <a:pPr algn="l" rtl="0">
            <a:lnSpc>
              <a:spcPct val="120000"/>
            </a:lnSpc>
            <a:spcBef>
              <a:spcPts val="600"/>
            </a:spcBef>
            <a:spcAft>
              <a:spcPts val="600"/>
            </a:spcAft>
          </a:pPr>
          <a:r>
            <a:rPr lang="zh-CN" altLang="en-US" sz="1200" b="0" i="0" kern="1600" baseline="0">
              <a:effectLst/>
              <a:latin typeface="宋体" panose="02010600030101010101" pitchFamily="2" charset="-122"/>
              <a:ea typeface="宋体" panose="02010600030101010101" pitchFamily="2" charset="-122"/>
              <a:cs typeface="+mn-cs"/>
            </a:rPr>
            <a:t>图一                                                        图二</a:t>
          </a:r>
          <a:endParaRPr lang="en-US" altLang="zh-CN" sz="1200" b="0" i="0" kern="1600" baseline="0">
            <a:effectLst/>
            <a:latin typeface="宋体" panose="02010600030101010101" pitchFamily="2" charset="-122"/>
            <a:ea typeface="宋体" panose="02010600030101010101" pitchFamily="2" charset="-122"/>
            <a:cs typeface="+mn-cs"/>
          </a:endParaRPr>
        </a:p>
        <a:p>
          <a:pPr algn="l" rtl="0">
            <a:lnSpc>
              <a:spcPct val="120000"/>
            </a:lnSpc>
            <a:spcBef>
              <a:spcPts val="600"/>
            </a:spcBef>
            <a:spcAft>
              <a:spcPts val="600"/>
            </a:spcAft>
          </a:pPr>
          <a:endParaRPr lang="zh-CN" altLang="en-US" sz="1200" b="0" i="0" u="none" strike="noStrike" baseline="0">
            <a:solidFill>
              <a:srgbClr val="000000"/>
            </a:solidFill>
            <a:latin typeface="宋体" panose="02010600030101010101" pitchFamily="2" charset="-122"/>
            <a:ea typeface="宋体" panose="02010600030101010101" pitchFamily="2" charset="-122"/>
          </a:endParaRPr>
        </a:p>
      </xdr:txBody>
    </xdr:sp>
    <xdr:clientData/>
  </xdr:twoCellAnchor>
  <xdr:twoCellAnchor editAs="oneCell">
    <xdr:from>
      <xdr:col>11</xdr:col>
      <xdr:colOff>115956</xdr:colOff>
      <xdr:row>8</xdr:row>
      <xdr:rowOff>121753</xdr:rowOff>
    </xdr:from>
    <xdr:to>
      <xdr:col>16</xdr:col>
      <xdr:colOff>321033</xdr:colOff>
      <xdr:row>19</xdr:row>
      <xdr:rowOff>2814</xdr:rowOff>
    </xdr:to>
    <xdr:pic>
      <xdr:nvPicPr>
        <xdr:cNvPr id="3" name="图片 2">
          <a:extLst>
            <a:ext uri="{FF2B5EF4-FFF2-40B4-BE49-F238E27FC236}">
              <a16:creationId xmlns:a16="http://schemas.microsoft.com/office/drawing/2014/main" id="{631E3766-C0F7-4275-9EE0-D5E46A93CAA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67380" y="1683025"/>
          <a:ext cx="3654783" cy="2067670"/>
        </a:xfrm>
        <a:prstGeom prst="rect">
          <a:avLst/>
        </a:prstGeom>
      </xdr:spPr>
    </xdr:pic>
    <xdr:clientData/>
  </xdr:twoCellAnchor>
  <xdr:twoCellAnchor editAs="oneCell">
    <xdr:from>
      <xdr:col>17</xdr:col>
      <xdr:colOff>223630</xdr:colOff>
      <xdr:row>8</xdr:row>
      <xdr:rowOff>115956</xdr:rowOff>
    </xdr:from>
    <xdr:to>
      <xdr:col>23</xdr:col>
      <xdr:colOff>124239</xdr:colOff>
      <xdr:row>19</xdr:row>
      <xdr:rowOff>53835</xdr:rowOff>
    </xdr:to>
    <xdr:pic>
      <xdr:nvPicPr>
        <xdr:cNvPr id="4" name="图片 3">
          <a:extLst>
            <a:ext uri="{FF2B5EF4-FFF2-40B4-BE49-F238E27FC236}">
              <a16:creationId xmlns:a16="http://schemas.microsoft.com/office/drawing/2014/main" id="{968FB82C-0A1B-43B7-957F-E1282C7089C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1511" y="1677228"/>
          <a:ext cx="3901109" cy="2124488"/>
        </a:xfrm>
        <a:prstGeom prst="rect">
          <a:avLst/>
        </a:prstGeom>
      </xdr:spPr>
    </xdr:pic>
    <xdr:clientData/>
  </xdr:twoCellAnchor>
  <xdr:twoCellAnchor>
    <xdr:from>
      <xdr:col>6</xdr:col>
      <xdr:colOff>624416</xdr:colOff>
      <xdr:row>24</xdr:row>
      <xdr:rowOff>21168</xdr:rowOff>
    </xdr:from>
    <xdr:to>
      <xdr:col>15</xdr:col>
      <xdr:colOff>492125</xdr:colOff>
      <xdr:row>54</xdr:row>
      <xdr:rowOff>42334</xdr:rowOff>
    </xdr:to>
    <xdr:graphicFrame macro="">
      <xdr:nvGraphicFramePr>
        <xdr:cNvPr id="5" name="图表 4">
          <a:extLst>
            <a:ext uri="{FF2B5EF4-FFF2-40B4-BE49-F238E27FC236}">
              <a16:creationId xmlns:a16="http://schemas.microsoft.com/office/drawing/2014/main" id="{04B7290C-F2CC-0080-D65E-B679DABC7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233363</xdr:colOff>
          <xdr:row>28</xdr:row>
          <xdr:rowOff>176213</xdr:rowOff>
        </xdr:from>
        <xdr:to>
          <xdr:col>11</xdr:col>
          <xdr:colOff>671513</xdr:colOff>
          <xdr:row>31</xdr:row>
          <xdr:rowOff>33338</xdr:rowOff>
        </xdr:to>
        <xdr:sp macro="" textlink="">
          <xdr:nvSpPr>
            <xdr:cNvPr id="5122" name="List Box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11</xdr:col>
      <xdr:colOff>767292</xdr:colOff>
      <xdr:row>28</xdr:row>
      <xdr:rowOff>42334</xdr:rowOff>
    </xdr:from>
    <xdr:to>
      <xdr:col>13</xdr:col>
      <xdr:colOff>433917</xdr:colOff>
      <xdr:row>31</xdr:row>
      <xdr:rowOff>174625</xdr:rowOff>
    </xdr:to>
    <xdr:sp macro="" textlink="">
      <xdr:nvSpPr>
        <xdr:cNvPr id="6" name="文本框 5">
          <a:extLst>
            <a:ext uri="{FF2B5EF4-FFF2-40B4-BE49-F238E27FC236}">
              <a16:creationId xmlns:a16="http://schemas.microsoft.com/office/drawing/2014/main" id="{DF6EB90C-AF5E-9E8C-F0BA-9ECEB165B5FD}"/>
            </a:ext>
          </a:extLst>
        </xdr:cNvPr>
        <xdr:cNvSpPr txBox="1"/>
      </xdr:nvSpPr>
      <xdr:spPr>
        <a:xfrm>
          <a:off x="8683625" y="5640917"/>
          <a:ext cx="1116542" cy="7355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mc:AlternateContent xmlns:mc="http://schemas.openxmlformats.org/markup-compatibility/2006">
    <mc:Choice xmlns:a14="http://schemas.microsoft.com/office/drawing/2010/main" Requires="a14">
      <xdr:twoCellAnchor editAs="oneCell">
        <xdr:from>
          <xdr:col>11</xdr:col>
          <xdr:colOff>747713</xdr:colOff>
          <xdr:row>28</xdr:row>
          <xdr:rowOff>52388</xdr:rowOff>
        </xdr:from>
        <xdr:to>
          <xdr:col>13</xdr:col>
          <xdr:colOff>461963</xdr:colOff>
          <xdr:row>29</xdr:row>
          <xdr:rowOff>109538</xdr:rowOff>
        </xdr:to>
        <xdr:sp macro="" textlink="">
          <xdr:nvSpPr>
            <xdr:cNvPr id="5123" name="Option Button 3" hidden="1">
              <a:extLst>
                <a:ext uri="{63B3BB69-23CF-44E3-9099-C40C66FF867C}">
                  <a14:compatExt spid="_x0000_s5123"/>
                </a:ext>
                <a:ext uri="{FF2B5EF4-FFF2-40B4-BE49-F238E27FC236}">
                  <a16:creationId xmlns:a16="http://schemas.microsoft.com/office/drawing/2014/main" id="{00000000-0008-0000-03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41148" rIns="0" bIns="41148" anchor="ctr" upright="1"/>
            <a:lstStyle/>
            <a:p>
              <a:pPr algn="l" rtl="0">
                <a:defRPr sz="1000"/>
              </a:pPr>
              <a:r>
                <a:rPr lang="zh-CN" altLang="en-US" sz="900" b="0" i="0" u="none" strike="noStrike" baseline="0">
                  <a:solidFill>
                    <a:srgbClr val="000000"/>
                  </a:solidFill>
                  <a:latin typeface="Microsoft YaHei UI"/>
                  <a:ea typeface="Microsoft YaHei UI"/>
                </a:rPr>
                <a:t>合格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766763</xdr:colOff>
          <xdr:row>29</xdr:row>
          <xdr:rowOff>185738</xdr:rowOff>
        </xdr:from>
        <xdr:to>
          <xdr:col>14</xdr:col>
          <xdr:colOff>109538</xdr:colOff>
          <xdr:row>32</xdr:row>
          <xdr:rowOff>100013</xdr:rowOff>
        </xdr:to>
        <xdr:sp macro="" textlink="">
          <xdr:nvSpPr>
            <xdr:cNvPr id="5125" name="Option Button 5" hidden="1">
              <a:extLst>
                <a:ext uri="{63B3BB69-23CF-44E3-9099-C40C66FF867C}">
                  <a14:compatExt spid="_x0000_s5125"/>
                </a:ext>
                <a:ext uri="{FF2B5EF4-FFF2-40B4-BE49-F238E27FC236}">
                  <a16:creationId xmlns:a16="http://schemas.microsoft.com/office/drawing/2014/main" id="{00000000-0008-0000-0300-00000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41148" rIns="0" bIns="41148" anchor="ctr" upright="1"/>
            <a:lstStyle/>
            <a:p>
              <a:pPr algn="l" rtl="0">
                <a:defRPr sz="1000"/>
              </a:pPr>
              <a:r>
                <a:rPr lang="zh-CN" altLang="en-US" sz="900" b="0" i="0" u="none" strike="noStrike" baseline="0">
                  <a:solidFill>
                    <a:srgbClr val="000000"/>
                  </a:solidFill>
                  <a:latin typeface="Microsoft YaHei UI"/>
                  <a:ea typeface="Microsoft YaHei UI"/>
                </a:rPr>
                <a:t>不合格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742950</xdr:colOff>
          <xdr:row>28</xdr:row>
          <xdr:rowOff>195263</xdr:rowOff>
        </xdr:from>
        <xdr:to>
          <xdr:col>13</xdr:col>
          <xdr:colOff>404813</xdr:colOff>
          <xdr:row>31</xdr:row>
          <xdr:rowOff>0</xdr:rowOff>
        </xdr:to>
        <xdr:sp macro="" textlink="">
          <xdr:nvSpPr>
            <xdr:cNvPr id="5124" name="Option Button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41148" rIns="0" bIns="41148" anchor="ctr" upright="1"/>
            <a:lstStyle/>
            <a:p>
              <a:pPr algn="l" rtl="0">
                <a:defRPr sz="1000"/>
              </a:pPr>
              <a:r>
                <a:rPr lang="zh-CN" altLang="en-US" sz="900" b="0" i="0" u="none" strike="noStrike" baseline="0">
                  <a:solidFill>
                    <a:srgbClr val="000000"/>
                  </a:solidFill>
                  <a:latin typeface="Microsoft YaHei UI"/>
                  <a:ea typeface="Microsoft YaHei UI"/>
                </a:rPr>
                <a:t>观察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519113</xdr:colOff>
          <xdr:row>26</xdr:row>
          <xdr:rowOff>200025</xdr:rowOff>
        </xdr:from>
        <xdr:to>
          <xdr:col>14</xdr:col>
          <xdr:colOff>661988</xdr:colOff>
          <xdr:row>35</xdr:row>
          <xdr:rowOff>138113</xdr:rowOff>
        </xdr:to>
        <xdr:sp macro="" textlink="">
          <xdr:nvSpPr>
            <xdr:cNvPr id="5121" name="List Box 1" hidden="1">
              <a:extLst>
                <a:ext uri="{63B3BB69-23CF-44E3-9099-C40C66FF867C}">
                  <a14:compatExt spid="_x0000_s5121"/>
                </a:ext>
                <a:ext uri="{FF2B5EF4-FFF2-40B4-BE49-F238E27FC236}">
                  <a16:creationId xmlns:a16="http://schemas.microsoft.com/office/drawing/2014/main" id="{00000000-0008-0000-03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c:userShapes xmlns:c="http://schemas.openxmlformats.org/drawingml/2006/chart">
  <cdr:relSizeAnchor xmlns:cdr="http://schemas.openxmlformats.org/drawingml/2006/chartDrawing">
    <cdr:from>
      <cdr:x>0.29517</cdr:x>
      <cdr:y>0.04476</cdr:y>
    </cdr:from>
    <cdr:to>
      <cdr:x>0.98032</cdr:x>
      <cdr:y>0.11572</cdr:y>
    </cdr:to>
    <cdr:sp macro="" textlink="第3题!$M$23">
      <cdr:nvSpPr>
        <cdr:cNvPr id="2" name="文本框 1">
          <a:extLst xmlns:a="http://schemas.openxmlformats.org/drawingml/2006/main">
            <a:ext uri="{FF2B5EF4-FFF2-40B4-BE49-F238E27FC236}">
              <a16:creationId xmlns:a16="http://schemas.microsoft.com/office/drawing/2014/main" id="{EBF8734B-45B6-CEEC-592F-0818DEBC24BB}"/>
            </a:ext>
          </a:extLst>
        </cdr:cNvPr>
        <cdr:cNvSpPr txBox="1"/>
      </cdr:nvSpPr>
      <cdr:spPr>
        <a:xfrm xmlns:a="http://schemas.openxmlformats.org/drawingml/2006/main">
          <a:off x="1746251" y="216958"/>
          <a:ext cx="4053416" cy="3439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3D2B07B-7063-460E-A63F-63A5711603B2}" type="TxLink">
            <a:rPr lang="zh-CN" altLang="en-US" sz="2000" b="1" i="0" u="none" strike="noStrike" kern="1200">
              <a:solidFill>
                <a:srgbClr val="000000"/>
              </a:solidFill>
              <a:latin typeface="宋体"/>
              <a:ea typeface="宋体"/>
            </a:rPr>
            <a:pPr/>
            <a:t>西北地区机构数统计</a:t>
          </a:fld>
          <a:endParaRPr lang="zh-CN" altLang="en-US" sz="2000" b="1" kern="1200"/>
        </a:p>
      </cdr:txBody>
    </cdr:sp>
  </cdr:relSizeAnchor>
</c:userShapes>
</file>

<file path=xl/drawings/drawing6.xml><?xml version="1.0" encoding="utf-8"?>
<xdr:wsDr xmlns:xdr="http://schemas.openxmlformats.org/drawingml/2006/spreadsheetDrawing" xmlns:a="http://schemas.openxmlformats.org/drawingml/2006/main">
  <xdr:twoCellAnchor>
    <xdr:from>
      <xdr:col>9</xdr:col>
      <xdr:colOff>57150</xdr:colOff>
      <xdr:row>0</xdr:row>
      <xdr:rowOff>95252</xdr:rowOff>
    </xdr:from>
    <xdr:to>
      <xdr:col>15</xdr:col>
      <xdr:colOff>314325</xdr:colOff>
      <xdr:row>10</xdr:row>
      <xdr:rowOff>130494</xdr:rowOff>
    </xdr:to>
    <xdr:sp macro="" textlink="">
      <xdr:nvSpPr>
        <xdr:cNvPr id="2" name="文本框 1">
          <a:extLst>
            <a:ext uri="{FF2B5EF4-FFF2-40B4-BE49-F238E27FC236}">
              <a16:creationId xmlns:a16="http://schemas.microsoft.com/office/drawing/2014/main" id="{D66441E4-63C7-4F6E-B1A6-384B9FE4A84E}"/>
            </a:ext>
          </a:extLst>
        </xdr:cNvPr>
        <xdr:cNvSpPr txBox="1"/>
      </xdr:nvSpPr>
      <xdr:spPr>
        <a:xfrm>
          <a:off x="3609975" y="95252"/>
          <a:ext cx="4371975" cy="1754505"/>
        </a:xfrm>
        <a:prstGeom prst="rect">
          <a:avLst/>
        </a:prstGeom>
        <a:solidFill>
          <a:srgbClr val="DBEEF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50000"/>
            </a:lnSpc>
            <a:spcBef>
              <a:spcPts val="0"/>
            </a:spcBef>
            <a:spcAft>
              <a:spcPts val="0"/>
            </a:spcAft>
            <a:buClrTx/>
            <a:buSzTx/>
            <a:buFontTx/>
            <a:buNone/>
            <a:tabLst/>
            <a:defRPr/>
          </a:pPr>
          <a:r>
            <a:rPr lang="zh-CN" altLang="en-US" sz="1200" b="1">
              <a:solidFill>
                <a:schemeClr val="dk1"/>
              </a:solidFill>
              <a:effectLst/>
              <a:latin typeface="+mn-ea"/>
              <a:ea typeface="+mn-ea"/>
              <a:cs typeface="+mn-cs"/>
            </a:rPr>
            <a:t>第</a:t>
          </a:r>
          <a:r>
            <a:rPr lang="en-US" altLang="zh-CN" sz="1200" b="1">
              <a:solidFill>
                <a:schemeClr val="dk1"/>
              </a:solidFill>
              <a:effectLst/>
              <a:latin typeface="+mn-ea"/>
              <a:ea typeface="+mn-ea"/>
              <a:cs typeface="+mn-cs"/>
            </a:rPr>
            <a:t>4</a:t>
          </a:r>
          <a:r>
            <a:rPr lang="zh-CN" altLang="en-US" sz="1200" b="1">
              <a:solidFill>
                <a:schemeClr val="dk1"/>
              </a:solidFill>
              <a:effectLst/>
              <a:latin typeface="+mn-ea"/>
              <a:ea typeface="+mn-ea"/>
              <a:cs typeface="+mn-cs"/>
            </a:rPr>
            <a:t>题（</a:t>
          </a:r>
          <a:r>
            <a:rPr lang="en-US" altLang="zh-CN" sz="1200" b="1">
              <a:solidFill>
                <a:schemeClr val="dk1"/>
              </a:solidFill>
              <a:effectLst/>
              <a:latin typeface="+mn-ea"/>
              <a:ea typeface="+mn-ea"/>
              <a:cs typeface="+mn-cs"/>
            </a:rPr>
            <a:t>10</a:t>
          </a:r>
          <a:r>
            <a:rPr lang="zh-CN" altLang="en-US" sz="1200" b="1">
              <a:solidFill>
                <a:schemeClr val="dk1"/>
              </a:solidFill>
              <a:effectLst/>
              <a:latin typeface="+mn-ea"/>
              <a:ea typeface="+mn-ea"/>
              <a:cs typeface="+mn-cs"/>
            </a:rPr>
            <a:t>分）</a:t>
          </a:r>
          <a:r>
            <a:rPr lang="zh-CN" altLang="zh-CN" sz="1200">
              <a:solidFill>
                <a:schemeClr val="dk1"/>
              </a:solidFill>
              <a:effectLst/>
              <a:latin typeface="+mn-ea"/>
              <a:ea typeface="+mn-ea"/>
              <a:cs typeface="+mn-cs"/>
            </a:rPr>
            <a:t>本工作表</a:t>
          </a:r>
          <a:r>
            <a:rPr lang="en-US" altLang="zh-CN" sz="1200">
              <a:solidFill>
                <a:schemeClr val="dk1"/>
              </a:solidFill>
              <a:effectLst/>
              <a:latin typeface="+mn-ea"/>
              <a:ea typeface="+mn-ea"/>
              <a:cs typeface="+mn-cs"/>
            </a:rPr>
            <a:t>A1:B25</a:t>
          </a:r>
          <a:r>
            <a:rPr lang="zh-CN" altLang="en-US" sz="1200">
              <a:solidFill>
                <a:schemeClr val="dk1"/>
              </a:solidFill>
              <a:effectLst/>
              <a:latin typeface="+mn-ea"/>
              <a:ea typeface="+mn-ea"/>
              <a:cs typeface="+mn-cs"/>
            </a:rPr>
            <a:t>单元格中是某公司某产品近二年的月度销售金额汇总值，</a:t>
          </a:r>
          <a:r>
            <a:rPr lang="zh-CN" altLang="zh-CN" sz="1200">
              <a:solidFill>
                <a:schemeClr val="dk1"/>
              </a:solidFill>
              <a:effectLst/>
              <a:latin typeface="+mn-ea"/>
              <a:ea typeface="+mn-ea"/>
              <a:cs typeface="+mn-cs"/>
            </a:rPr>
            <a:t>负责</a:t>
          </a:r>
          <a:r>
            <a:rPr lang="zh-CN" altLang="en-US" sz="1200">
              <a:solidFill>
                <a:schemeClr val="dk1"/>
              </a:solidFill>
              <a:effectLst/>
              <a:latin typeface="+mn-ea"/>
              <a:ea typeface="+mn-ea"/>
              <a:cs typeface="+mn-cs"/>
            </a:rPr>
            <a:t>此产品的</a:t>
          </a:r>
          <a:r>
            <a:rPr lang="zh-CN" altLang="zh-CN" sz="1200">
              <a:solidFill>
                <a:schemeClr val="dk1"/>
              </a:solidFill>
              <a:effectLst/>
              <a:latin typeface="+mn-ea"/>
              <a:ea typeface="+mn-ea"/>
              <a:cs typeface="+mn-cs"/>
            </a:rPr>
            <a:t>销售经理，发现</a:t>
          </a:r>
          <a:r>
            <a:rPr lang="zh-CN" altLang="en-US" sz="1200">
              <a:solidFill>
                <a:schemeClr val="dk1"/>
              </a:solidFill>
              <a:effectLst/>
              <a:latin typeface="+mn-ea"/>
              <a:ea typeface="+mn-ea"/>
              <a:cs typeface="+mn-cs"/>
            </a:rPr>
            <a:t>这个</a:t>
          </a:r>
          <a:r>
            <a:rPr lang="zh-CN" altLang="zh-CN" sz="1200">
              <a:solidFill>
                <a:schemeClr val="dk1"/>
              </a:solidFill>
              <a:effectLst/>
              <a:latin typeface="+mn-ea"/>
              <a:ea typeface="+mn-ea"/>
              <a:cs typeface="+mn-cs"/>
            </a:rPr>
            <a:t>销售数据整体上有增长趋势，</a:t>
          </a:r>
          <a:r>
            <a:rPr lang="zh-CN" altLang="en-US" sz="1200">
              <a:solidFill>
                <a:schemeClr val="dk1"/>
              </a:solidFill>
              <a:effectLst/>
              <a:latin typeface="+mn-ea"/>
              <a:ea typeface="+mn-ea"/>
              <a:cs typeface="+mn-cs"/>
            </a:rPr>
            <a:t>并且具有</a:t>
          </a:r>
          <a:r>
            <a:rPr lang="zh-CN" altLang="zh-CN" sz="1200">
              <a:solidFill>
                <a:schemeClr val="dk1"/>
              </a:solidFill>
              <a:effectLst/>
              <a:latin typeface="+mn-lt"/>
              <a:ea typeface="+mn-ea"/>
              <a:cs typeface="+mn-cs"/>
            </a:rPr>
            <a:t>明显的</a:t>
          </a:r>
          <a:r>
            <a:rPr lang="zh-CN" altLang="en-US" sz="1200">
              <a:solidFill>
                <a:schemeClr val="dk1"/>
              </a:solidFill>
              <a:effectLst/>
              <a:latin typeface="+mn-lt"/>
              <a:ea typeface="+mn-ea"/>
              <a:cs typeface="+mn-cs"/>
            </a:rPr>
            <a:t>月度</a:t>
          </a:r>
          <a:r>
            <a:rPr lang="zh-CN" altLang="zh-CN" sz="1200">
              <a:solidFill>
                <a:schemeClr val="dk1"/>
              </a:solidFill>
              <a:effectLst/>
              <a:latin typeface="+mn-lt"/>
              <a:ea typeface="+mn-ea"/>
              <a:cs typeface="+mn-cs"/>
            </a:rPr>
            <a:t>季节</a:t>
          </a:r>
          <a:r>
            <a:rPr lang="zh-CN" altLang="en-US" sz="1200">
              <a:solidFill>
                <a:schemeClr val="dk1"/>
              </a:solidFill>
              <a:effectLst/>
              <a:latin typeface="+mn-lt"/>
              <a:ea typeface="+mn-ea"/>
              <a:cs typeface="+mn-cs"/>
            </a:rPr>
            <a:t>波动影响，</a:t>
          </a:r>
          <a:r>
            <a:rPr lang="zh-CN" altLang="en-US" sz="1200">
              <a:solidFill>
                <a:schemeClr val="dk1"/>
              </a:solidFill>
              <a:effectLst/>
              <a:latin typeface="+mn-ea"/>
              <a:ea typeface="+mn-ea"/>
              <a:cs typeface="+mn-cs"/>
            </a:rPr>
            <a:t>请</a:t>
          </a:r>
          <a:r>
            <a:rPr lang="zh-CN" altLang="zh-CN" sz="1200">
              <a:solidFill>
                <a:schemeClr val="dk1"/>
              </a:solidFill>
              <a:effectLst/>
              <a:latin typeface="+mn-ea"/>
              <a:ea typeface="+mn-ea"/>
              <a:cs typeface="+mn-cs"/>
            </a:rPr>
            <a:t>用</a:t>
          </a:r>
          <a:r>
            <a:rPr lang="zh-CN" altLang="zh-CN" sz="1200" b="1">
              <a:solidFill>
                <a:srgbClr val="C00000"/>
              </a:solidFill>
              <a:effectLst/>
              <a:latin typeface="+mn-ea"/>
              <a:ea typeface="+mn-ea"/>
              <a:cs typeface="+mn-cs"/>
            </a:rPr>
            <a:t>季节指数预测模型</a:t>
          </a:r>
          <a:r>
            <a:rPr lang="zh-CN" altLang="en-US" sz="1200">
              <a:solidFill>
                <a:schemeClr val="dk1"/>
              </a:solidFill>
              <a:effectLst/>
              <a:latin typeface="+mn-ea"/>
              <a:ea typeface="+mn-ea"/>
              <a:cs typeface="+mn-cs"/>
            </a:rPr>
            <a:t>来预测未来一年各月的销售金额，并</a:t>
          </a:r>
          <a:r>
            <a:rPr lang="zh-CN" altLang="zh-CN" sz="1200" b="0" i="0" baseline="0">
              <a:solidFill>
                <a:schemeClr val="dk1"/>
              </a:solidFill>
              <a:effectLst/>
              <a:latin typeface="+mn-lt"/>
              <a:ea typeface="+mn-ea"/>
              <a:cs typeface="+mn-cs"/>
            </a:rPr>
            <a:t>以年月为</a:t>
          </a:r>
          <a:r>
            <a:rPr lang="en-US" altLang="zh-CN" sz="1200" b="0" i="0" baseline="0">
              <a:solidFill>
                <a:schemeClr val="dk1"/>
              </a:solidFill>
              <a:effectLst/>
              <a:latin typeface="+mn-lt"/>
              <a:ea typeface="+mn-ea"/>
              <a:cs typeface="+mn-cs"/>
            </a:rPr>
            <a:t>X</a:t>
          </a:r>
          <a:r>
            <a:rPr lang="zh-CN" altLang="zh-CN" sz="1200" b="0" i="0" baseline="0">
              <a:solidFill>
                <a:schemeClr val="dk1"/>
              </a:solidFill>
              <a:effectLst/>
              <a:latin typeface="+mn-lt"/>
              <a:ea typeface="+mn-ea"/>
              <a:cs typeface="+mn-cs"/>
            </a:rPr>
            <a:t>轴绘制销售金额和销售金额预测值的折线图。</a:t>
          </a:r>
          <a:endParaRPr lang="zh-CN" altLang="zh-CN" sz="1200">
            <a:effectLst/>
            <a:latin typeface="+mn-ea"/>
            <a:ea typeface="+mn-ea"/>
          </a:endParaRPr>
        </a:p>
        <a:p>
          <a:endParaRPr lang="zh-CN" altLang="en-US" sz="1200">
            <a:latin typeface="+mn-ea"/>
            <a:ea typeface="+mn-ea"/>
          </a:endParaRPr>
        </a:p>
      </xdr:txBody>
    </xdr:sp>
    <xdr:clientData/>
  </xdr:twoCellAnchor>
  <xdr:twoCellAnchor>
    <xdr:from>
      <xdr:col>4</xdr:col>
      <xdr:colOff>1198907</xdr:colOff>
      <xdr:row>39</xdr:row>
      <xdr:rowOff>162750</xdr:rowOff>
    </xdr:from>
    <xdr:to>
      <xdr:col>10</xdr:col>
      <xdr:colOff>140804</xdr:colOff>
      <xdr:row>62</xdr:row>
      <xdr:rowOff>169792</xdr:rowOff>
    </xdr:to>
    <xdr:graphicFrame macro="">
      <xdr:nvGraphicFramePr>
        <xdr:cNvPr id="3" name="图表 2">
          <a:extLst>
            <a:ext uri="{FF2B5EF4-FFF2-40B4-BE49-F238E27FC236}">
              <a16:creationId xmlns:a16="http://schemas.microsoft.com/office/drawing/2014/main" id="{22418C48-380D-3F56-0207-5F415BB80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55245</xdr:colOff>
      <xdr:row>10</xdr:row>
      <xdr:rowOff>131445</xdr:rowOff>
    </xdr:from>
    <xdr:to>
      <xdr:col>12</xdr:col>
      <xdr:colOff>664845</xdr:colOff>
      <xdr:row>25</xdr:row>
      <xdr:rowOff>154305</xdr:rowOff>
    </xdr:to>
    <xdr:sp macro="" textlink="">
      <xdr:nvSpPr>
        <xdr:cNvPr id="2" name="文本框 1">
          <a:extLst>
            <a:ext uri="{FF2B5EF4-FFF2-40B4-BE49-F238E27FC236}">
              <a16:creationId xmlns:a16="http://schemas.microsoft.com/office/drawing/2014/main" id="{0DE19176-0FFB-4140-A1A3-A8815E901249}"/>
            </a:ext>
          </a:extLst>
        </xdr:cNvPr>
        <xdr:cNvSpPr txBox="1"/>
      </xdr:nvSpPr>
      <xdr:spPr>
        <a:xfrm>
          <a:off x="3674745" y="2074545"/>
          <a:ext cx="5186363" cy="2594610"/>
        </a:xfrm>
        <a:prstGeom prst="rect">
          <a:avLst/>
        </a:prstGeom>
        <a:solidFill>
          <a:srgbClr val="DBEE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5</a:t>
          </a:r>
          <a:r>
            <a:rPr lang="zh-CN" altLang="en-US" sz="1200" b="1">
              <a:latin typeface="宋体" panose="02010600030101010101" pitchFamily="2" charset="-122"/>
              <a:ea typeface="宋体" panose="02010600030101010101" pitchFamily="2" charset="-122"/>
            </a:rPr>
            <a:t>题</a:t>
          </a:r>
          <a:r>
            <a:rPr lang="zh-CN" altLang="en-US" sz="1200" b="1">
              <a:solidFill>
                <a:sysClr val="windowText" lastClr="000000"/>
              </a:solidFill>
              <a:latin typeface="宋体" panose="02010600030101010101" pitchFamily="2" charset="-122"/>
              <a:ea typeface="宋体" panose="02010600030101010101" pitchFamily="2" charset="-122"/>
            </a:rPr>
            <a:t>（</a:t>
          </a:r>
          <a:r>
            <a:rPr lang="en-US" altLang="zh-CN" sz="1200" b="1">
              <a:solidFill>
                <a:sysClr val="windowText" lastClr="000000"/>
              </a:solidFill>
              <a:latin typeface="宋体" panose="02010600030101010101" pitchFamily="2" charset="-122"/>
              <a:ea typeface="宋体" panose="02010600030101010101" pitchFamily="2" charset="-122"/>
            </a:rPr>
            <a:t>9</a:t>
          </a:r>
          <a:r>
            <a:rPr lang="zh-CN" altLang="en-US" sz="1200" b="1">
              <a:solidFill>
                <a:sysClr val="windowText" lastClr="000000"/>
              </a:solidFill>
              <a:latin typeface="宋体" panose="02010600030101010101" pitchFamily="2" charset="-122"/>
              <a:ea typeface="宋体" panose="02010600030101010101" pitchFamily="2" charset="-122"/>
            </a:rPr>
            <a:t>分）</a:t>
          </a:r>
          <a:r>
            <a:rPr lang="zh-CN" altLang="en-US" sz="1200">
              <a:latin typeface="宋体" panose="02010600030101010101" pitchFamily="2" charset="-122"/>
              <a:ea typeface="宋体" panose="02010600030101010101" pitchFamily="2" charset="-122"/>
            </a:rPr>
            <a:t>本工作表列出了某手机</a:t>
          </a:r>
          <a:r>
            <a:rPr lang="en-US" altLang="zh-CN" sz="1200">
              <a:latin typeface="宋体" panose="02010600030101010101" pitchFamily="2" charset="-122"/>
              <a:ea typeface="宋体" panose="02010600030101010101" pitchFamily="2" charset="-122"/>
            </a:rPr>
            <a:t>APP</a:t>
          </a:r>
          <a:r>
            <a:rPr lang="zh-CN" altLang="en-US" sz="1200">
              <a:latin typeface="宋体" panose="02010600030101010101" pitchFamily="2" charset="-122"/>
              <a:ea typeface="宋体" panose="02010600030101010101" pitchFamily="2" charset="-122"/>
            </a:rPr>
            <a:t>发布上线</a:t>
          </a:r>
          <a:r>
            <a:rPr lang="en-US" altLang="zh-CN" sz="1200">
              <a:latin typeface="宋体" panose="02010600030101010101" pitchFamily="2" charset="-122"/>
              <a:ea typeface="宋体" panose="02010600030101010101" pitchFamily="2" charset="-122"/>
            </a:rPr>
            <a:t>30</a:t>
          </a:r>
          <a:r>
            <a:rPr lang="zh-CN" altLang="en-US" sz="1200">
              <a:latin typeface="宋体" panose="02010600030101010101" pitchFamily="2" charset="-122"/>
              <a:ea typeface="宋体" panose="02010600030101010101" pitchFamily="2" charset="-122"/>
            </a:rPr>
            <a:t>天里每天的活跃用户数。请使用</a:t>
          </a:r>
          <a:r>
            <a:rPr lang="zh-CN" altLang="en-US" sz="1200" b="1">
              <a:solidFill>
                <a:srgbClr val="C00000"/>
              </a:solidFill>
              <a:latin typeface="宋体" panose="02010600030101010101" pitchFamily="2" charset="-122"/>
              <a:ea typeface="宋体" panose="02010600030101010101" pitchFamily="2" charset="-122"/>
            </a:rPr>
            <a:t>线性回归</a:t>
          </a:r>
          <a:r>
            <a:rPr lang="zh-CN" altLang="en-US" sz="1200">
              <a:latin typeface="宋体" panose="02010600030101010101" pitchFamily="2" charset="-122"/>
              <a:ea typeface="宋体" panose="02010600030101010101" pitchFamily="2" charset="-122"/>
            </a:rPr>
            <a:t>和</a:t>
          </a:r>
          <a:r>
            <a:rPr lang="zh-CN" altLang="en-US" sz="1200" b="1">
              <a:solidFill>
                <a:srgbClr val="C00000"/>
              </a:solidFill>
              <a:latin typeface="宋体" panose="02010600030101010101" pitchFamily="2" charset="-122"/>
              <a:ea typeface="宋体" panose="02010600030101010101" pitchFamily="2" charset="-122"/>
              <a:cs typeface="+mn-cs"/>
            </a:rPr>
            <a:t>多项式回归</a:t>
          </a:r>
          <a:r>
            <a:rPr lang="zh-CN" altLang="en-US" sz="1200">
              <a:latin typeface="宋体" panose="02010600030101010101" pitchFamily="2" charset="-122"/>
              <a:ea typeface="宋体" panose="02010600030101010101" pitchFamily="2" charset="-122"/>
            </a:rPr>
            <a:t>确定</a:t>
          </a:r>
          <a:r>
            <a:rPr lang="zh-CN" altLang="zh-CN" sz="1200">
              <a:solidFill>
                <a:schemeClr val="dk1"/>
              </a:solidFill>
              <a:effectLst/>
              <a:latin typeface="宋体" panose="02010600030101010101" pitchFamily="2" charset="-122"/>
              <a:ea typeface="宋体" panose="02010600030101010101" pitchFamily="2" charset="-122"/>
              <a:cs typeface="+mn-cs"/>
            </a:rPr>
            <a:t>活跃用户数</a:t>
          </a:r>
          <a:r>
            <a:rPr lang="en-US" altLang="zh-CN" sz="1200">
              <a:solidFill>
                <a:schemeClr val="dk1"/>
              </a:solidFill>
              <a:effectLst/>
              <a:latin typeface="宋体" panose="02010600030101010101" pitchFamily="2" charset="-122"/>
              <a:ea typeface="宋体" panose="02010600030101010101" pitchFamily="2" charset="-122"/>
              <a:cs typeface="+mn-cs"/>
            </a:rPr>
            <a:t>Y</a:t>
          </a:r>
          <a:r>
            <a:rPr lang="zh-CN" altLang="zh-CN" sz="1200">
              <a:solidFill>
                <a:schemeClr val="dk1"/>
              </a:solidFill>
              <a:effectLst/>
              <a:latin typeface="宋体" panose="02010600030101010101" pitchFamily="2" charset="-122"/>
              <a:ea typeface="宋体" panose="02010600030101010101" pitchFamily="2" charset="-122"/>
              <a:cs typeface="+mn-cs"/>
            </a:rPr>
            <a:t>与对应的发布天数</a:t>
          </a:r>
          <a:r>
            <a:rPr lang="en-US" altLang="zh-CN" sz="1200">
              <a:solidFill>
                <a:schemeClr val="dk1"/>
              </a:solidFill>
              <a:effectLst/>
              <a:latin typeface="宋体" panose="02010600030101010101" pitchFamily="2" charset="-122"/>
              <a:ea typeface="宋体" panose="02010600030101010101" pitchFamily="2" charset="-122"/>
              <a:cs typeface="+mn-cs"/>
            </a:rPr>
            <a:t>X</a:t>
          </a:r>
          <a:r>
            <a:rPr lang="zh-CN" altLang="en-US" sz="1200">
              <a:solidFill>
                <a:schemeClr val="dk1"/>
              </a:solidFill>
              <a:effectLst/>
              <a:latin typeface="宋体" panose="02010600030101010101" pitchFamily="2" charset="-122"/>
              <a:ea typeface="宋体" panose="02010600030101010101" pitchFamily="2" charset="-122"/>
              <a:cs typeface="+mn-cs"/>
            </a:rPr>
            <a:t>之间的关系。</a:t>
          </a:r>
          <a:r>
            <a:rPr lang="zh-CN" altLang="en-US" sz="1200">
              <a:latin typeface="宋体" panose="02010600030101010101" pitchFamily="2" charset="-122"/>
              <a:ea typeface="宋体" panose="02010600030101010101" pitchFamily="2" charset="-122"/>
            </a:rPr>
            <a:t>要求：</a:t>
          </a:r>
        </a:p>
        <a:p>
          <a:pPr>
            <a:spcBef>
              <a:spcPts val="600"/>
            </a:spcBef>
          </a:pPr>
          <a:r>
            <a:rPr lang="en-US" altLang="zh-CN" sz="1200">
              <a:latin typeface="宋体" panose="02010600030101010101" pitchFamily="2" charset="-122"/>
              <a:ea typeface="宋体" panose="02010600030101010101" pitchFamily="2" charset="-122"/>
            </a:rPr>
            <a:t>1</a:t>
          </a:r>
          <a:r>
            <a:rPr lang="zh-CN" altLang="en-US" sz="1200">
              <a:latin typeface="宋体" panose="02010600030101010101" pitchFamily="2" charset="-122"/>
              <a:ea typeface="宋体" panose="02010600030101010101" pitchFamily="2" charset="-122"/>
            </a:rPr>
            <a:t>、绘制图表，观察数据变化规律</a:t>
          </a:r>
          <a:r>
            <a:rPr lang="en-US" altLang="zh-CN" sz="1200">
              <a:latin typeface="宋体" panose="02010600030101010101" pitchFamily="2" charset="-122"/>
              <a:ea typeface="宋体" panose="02010600030101010101" pitchFamily="2" charset="-122"/>
            </a:rPr>
            <a:t>;</a:t>
          </a:r>
        </a:p>
        <a:p>
          <a:pPr>
            <a:spcBef>
              <a:spcPts val="600"/>
            </a:spcBef>
          </a:pPr>
          <a:r>
            <a:rPr lang="en-US" altLang="zh-CN" sz="1200">
              <a:latin typeface="宋体" panose="02010600030101010101" pitchFamily="2" charset="-122"/>
              <a:ea typeface="宋体" panose="02010600030101010101" pitchFamily="2" charset="-122"/>
            </a:rPr>
            <a:t>2</a:t>
          </a:r>
          <a:r>
            <a:rPr lang="zh-CN" altLang="en-US" sz="1200">
              <a:latin typeface="宋体" panose="02010600030101010101" pitchFamily="2" charset="-122"/>
              <a:ea typeface="宋体" panose="02010600030101010101" pitchFamily="2" charset="-122"/>
            </a:rPr>
            <a:t>、计算</a:t>
          </a:r>
          <a:r>
            <a:rPr lang="zh-CN" altLang="en-US" sz="1200">
              <a:solidFill>
                <a:srgbClr val="C00000"/>
              </a:solidFill>
              <a:latin typeface="宋体" panose="02010600030101010101" pitchFamily="2" charset="-122"/>
              <a:ea typeface="宋体" panose="02010600030101010101" pitchFamily="2" charset="-122"/>
            </a:rPr>
            <a:t>线性回归</a:t>
          </a:r>
          <a:r>
            <a:rPr lang="zh-CN" altLang="en-US" sz="1200">
              <a:latin typeface="宋体" panose="02010600030101010101" pitchFamily="2" charset="-122"/>
              <a:ea typeface="宋体" panose="02010600030101010101" pitchFamily="2" charset="-122"/>
            </a:rPr>
            <a:t>方程的参数取值；使用线性回归方程预测第</a:t>
          </a:r>
          <a:r>
            <a:rPr lang="en-US" altLang="zh-CN" sz="1200">
              <a:latin typeface="宋体" panose="02010600030101010101" pitchFamily="2" charset="-122"/>
              <a:ea typeface="宋体" panose="02010600030101010101" pitchFamily="2" charset="-122"/>
            </a:rPr>
            <a:t>31</a:t>
          </a:r>
          <a:r>
            <a:rPr lang="zh-CN" altLang="en-US" sz="1200">
              <a:latin typeface="宋体" panose="02010600030101010101" pitchFamily="2" charset="-122"/>
              <a:ea typeface="宋体" panose="02010600030101010101" pitchFamily="2" charset="-122"/>
            </a:rPr>
            <a:t>天的活跃用户数，放在单元格</a:t>
          </a:r>
          <a:r>
            <a:rPr lang="en-US" altLang="zh-CN" sz="1200">
              <a:latin typeface="宋体" panose="02010600030101010101" pitchFamily="2" charset="-122"/>
              <a:ea typeface="宋体" panose="02010600030101010101" pitchFamily="2" charset="-122"/>
            </a:rPr>
            <a:t>J9</a:t>
          </a:r>
          <a:r>
            <a:rPr lang="zh-CN" altLang="en-US" sz="1200">
              <a:latin typeface="宋体" panose="02010600030101010101" pitchFamily="2" charset="-122"/>
              <a:ea typeface="宋体" panose="02010600030101010101" pitchFamily="2" charset="-122"/>
            </a:rPr>
            <a:t>；</a:t>
          </a:r>
          <a:endParaRPr lang="en-US" altLang="zh-CN" sz="1200">
            <a:latin typeface="宋体" panose="02010600030101010101" pitchFamily="2" charset="-122"/>
            <a:ea typeface="宋体" panose="02010600030101010101" pitchFamily="2" charset="-122"/>
          </a:endParaRPr>
        </a:p>
        <a:p>
          <a:pPr>
            <a:spcBef>
              <a:spcPts val="600"/>
            </a:spcBef>
          </a:pPr>
          <a:r>
            <a:rPr lang="en-US" altLang="zh-CN" sz="1200">
              <a:solidFill>
                <a:schemeClr val="dk1"/>
              </a:solidFill>
              <a:effectLst/>
              <a:latin typeface="宋体" panose="02010600030101010101" pitchFamily="2" charset="-122"/>
              <a:ea typeface="宋体" panose="02010600030101010101" pitchFamily="2" charset="-122"/>
              <a:cs typeface="+mn-cs"/>
            </a:rPr>
            <a:t>3</a:t>
          </a:r>
          <a:r>
            <a:rPr lang="zh-CN" altLang="en-US" sz="1200">
              <a:solidFill>
                <a:schemeClr val="dk1"/>
              </a:solidFill>
              <a:effectLst/>
              <a:latin typeface="宋体" panose="02010600030101010101" pitchFamily="2" charset="-122"/>
              <a:ea typeface="宋体" panose="02010600030101010101" pitchFamily="2" charset="-122"/>
              <a:cs typeface="+mn-cs"/>
            </a:rPr>
            <a:t>、</a:t>
          </a:r>
          <a:r>
            <a:rPr lang="zh-CN" altLang="zh-CN" sz="1200">
              <a:solidFill>
                <a:schemeClr val="dk1"/>
              </a:solidFill>
              <a:effectLst/>
              <a:latin typeface="宋体" panose="02010600030101010101" pitchFamily="2" charset="-122"/>
              <a:ea typeface="宋体" panose="02010600030101010101" pitchFamily="2" charset="-122"/>
              <a:cs typeface="+mn-cs"/>
            </a:rPr>
            <a:t>试用</a:t>
          </a:r>
          <a:r>
            <a:rPr lang="zh-CN" altLang="zh-CN" sz="1200" b="1" u="sng">
              <a:solidFill>
                <a:schemeClr val="dk1"/>
              </a:solidFill>
              <a:effectLst/>
              <a:latin typeface="宋体" panose="02010600030101010101" pitchFamily="2" charset="-122"/>
              <a:ea typeface="宋体" panose="02010600030101010101" pitchFamily="2" charset="-122"/>
              <a:cs typeface="+mn-cs"/>
            </a:rPr>
            <a:t>变量替换法</a:t>
          </a:r>
          <a:r>
            <a:rPr lang="zh-CN" altLang="en-US" sz="1200">
              <a:latin typeface="宋体" panose="02010600030101010101" pitchFamily="2" charset="-122"/>
              <a:ea typeface="宋体" panose="02010600030101010101" pitchFamily="2" charset="-122"/>
            </a:rPr>
            <a:t>计算</a:t>
          </a:r>
          <a:r>
            <a:rPr lang="zh-CN" altLang="en-US" sz="1200">
              <a:solidFill>
                <a:srgbClr val="C00000"/>
              </a:solidFill>
              <a:latin typeface="宋体" panose="02010600030101010101" pitchFamily="2" charset="-122"/>
              <a:ea typeface="宋体" panose="02010600030101010101" pitchFamily="2" charset="-122"/>
            </a:rPr>
            <a:t>多项式回归</a:t>
          </a:r>
          <a:r>
            <a:rPr lang="zh-CN" altLang="en-US" sz="1200">
              <a:latin typeface="宋体" panose="02010600030101010101" pitchFamily="2" charset="-122"/>
              <a:ea typeface="宋体" panose="02010600030101010101" pitchFamily="2" charset="-122"/>
            </a:rPr>
            <a:t>方程的各参数取值；使用多项式回归方程预测第</a:t>
          </a:r>
          <a:r>
            <a:rPr lang="en-US" altLang="zh-CN" sz="1200">
              <a:latin typeface="宋体" panose="02010600030101010101" pitchFamily="2" charset="-122"/>
              <a:ea typeface="宋体" panose="02010600030101010101" pitchFamily="2" charset="-122"/>
            </a:rPr>
            <a:t>31</a:t>
          </a:r>
          <a:r>
            <a:rPr lang="zh-CN" altLang="en-US" sz="1200">
              <a:latin typeface="宋体" panose="02010600030101010101" pitchFamily="2" charset="-122"/>
              <a:ea typeface="宋体" panose="02010600030101010101" pitchFamily="2" charset="-122"/>
            </a:rPr>
            <a:t>天的活跃用户数，放在单元格</a:t>
          </a:r>
          <a:r>
            <a:rPr lang="en-US" altLang="zh-CN" sz="1200">
              <a:latin typeface="宋体" panose="02010600030101010101" pitchFamily="2" charset="-122"/>
              <a:ea typeface="宋体" panose="02010600030101010101" pitchFamily="2" charset="-122"/>
            </a:rPr>
            <a:t>J10</a:t>
          </a:r>
          <a:r>
            <a:rPr lang="zh-CN" altLang="en-US" sz="1200">
              <a:latin typeface="宋体" panose="02010600030101010101" pitchFamily="2" charset="-122"/>
              <a:ea typeface="宋体" panose="02010600030101010101" pitchFamily="2" charset="-122"/>
            </a:rPr>
            <a:t>；</a:t>
          </a:r>
        </a:p>
        <a:p>
          <a:pPr>
            <a:spcBef>
              <a:spcPts val="600"/>
            </a:spcBef>
          </a:pPr>
          <a:r>
            <a:rPr lang="en-US" altLang="zh-CN" sz="1200">
              <a:latin typeface="宋体" panose="02010600030101010101" pitchFamily="2" charset="-122"/>
              <a:ea typeface="宋体" panose="02010600030101010101" pitchFamily="2" charset="-122"/>
            </a:rPr>
            <a:t>4</a:t>
          </a:r>
          <a:r>
            <a:rPr lang="zh-CN" altLang="en-US" sz="1200">
              <a:latin typeface="宋体" panose="02010600030101010101" pitchFamily="2" charset="-122"/>
              <a:ea typeface="宋体" panose="02010600030101010101" pitchFamily="2" charset="-122"/>
            </a:rPr>
            <a:t>、请在下列文本框中说明：</a:t>
          </a:r>
          <a:r>
            <a:rPr lang="en-US" altLang="zh-CN" sz="1200">
              <a:latin typeface="宋体" panose="02010600030101010101" pitchFamily="2" charset="-122"/>
              <a:ea typeface="宋体" panose="02010600030101010101" pitchFamily="2" charset="-122"/>
            </a:rPr>
            <a:t>A</a:t>
          </a:r>
          <a:r>
            <a:rPr lang="zh-CN" altLang="en-US" sz="1200">
              <a:latin typeface="宋体" panose="02010600030101010101" pitchFamily="2" charset="-122"/>
              <a:ea typeface="宋体" panose="02010600030101010101" pitchFamily="2" charset="-122"/>
            </a:rPr>
            <a:t>）应该选择哪个方程进行预测，</a:t>
          </a:r>
          <a:r>
            <a:rPr lang="en-US" altLang="zh-CN" sz="1200">
              <a:latin typeface="宋体" panose="02010600030101010101" pitchFamily="2" charset="-122"/>
              <a:ea typeface="宋体" panose="02010600030101010101" pitchFamily="2" charset="-122"/>
            </a:rPr>
            <a:t>B</a:t>
          </a:r>
          <a:r>
            <a:rPr lang="zh-CN" altLang="en-US" sz="1200">
              <a:latin typeface="宋体" panose="02010600030101010101" pitchFamily="2" charset="-122"/>
              <a:ea typeface="宋体" panose="02010600030101010101" pitchFamily="2" charset="-122"/>
            </a:rPr>
            <a:t>）为什么？</a:t>
          </a:r>
          <a:r>
            <a:rPr lang="en-US" altLang="zh-CN" sz="1200">
              <a:latin typeface="宋体" panose="02010600030101010101" pitchFamily="2" charset="-122"/>
              <a:ea typeface="宋体" panose="02010600030101010101" pitchFamily="2" charset="-122"/>
            </a:rPr>
            <a:t>C</a:t>
          </a:r>
          <a:r>
            <a:rPr lang="zh-CN" altLang="en-US" sz="1200">
              <a:latin typeface="宋体" panose="02010600030101010101" pitchFamily="2" charset="-122"/>
              <a:ea typeface="宋体" panose="02010600030101010101" pitchFamily="2" charset="-122"/>
            </a:rPr>
            <a:t>）</a:t>
          </a:r>
          <a:r>
            <a:rPr lang="zh-CN" altLang="zh-CN" sz="1200">
              <a:solidFill>
                <a:schemeClr val="dk1"/>
              </a:solidFill>
              <a:effectLst/>
              <a:latin typeface="宋体" panose="02010600030101010101" pitchFamily="2" charset="-122"/>
              <a:ea typeface="宋体" panose="02010600030101010101" pitchFamily="2" charset="-122"/>
              <a:cs typeface="+mn-cs"/>
            </a:rPr>
            <a:t>该方程自变量的</a:t>
          </a:r>
          <a:r>
            <a:rPr lang="en-US" altLang="zh-CN" sz="1200">
              <a:solidFill>
                <a:schemeClr val="dk1"/>
              </a:solidFill>
              <a:effectLst/>
              <a:latin typeface="宋体" panose="02010600030101010101" pitchFamily="2" charset="-122"/>
              <a:ea typeface="宋体" panose="02010600030101010101" pitchFamily="2" charset="-122"/>
              <a:cs typeface="+mn-cs"/>
            </a:rPr>
            <a:t>F</a:t>
          </a:r>
          <a:r>
            <a:rPr lang="zh-CN" altLang="zh-CN" sz="1200">
              <a:solidFill>
                <a:schemeClr val="dk1"/>
              </a:solidFill>
              <a:effectLst/>
              <a:latin typeface="宋体" panose="02010600030101010101" pitchFamily="2" charset="-122"/>
              <a:ea typeface="宋体" panose="02010600030101010101" pitchFamily="2" charset="-122"/>
              <a:cs typeface="+mn-cs"/>
            </a:rPr>
            <a:t>统计量的</a:t>
          </a:r>
          <a:r>
            <a:rPr lang="en-US" altLang="zh-CN" sz="1200">
              <a:solidFill>
                <a:schemeClr val="dk1"/>
              </a:solidFill>
              <a:effectLst/>
              <a:latin typeface="宋体" panose="02010600030101010101" pitchFamily="2" charset="-122"/>
              <a:ea typeface="宋体" panose="02010600030101010101" pitchFamily="2" charset="-122"/>
              <a:cs typeface="+mn-cs"/>
            </a:rPr>
            <a:t>p</a:t>
          </a:r>
          <a:r>
            <a:rPr lang="zh-CN" altLang="zh-CN" sz="1200">
              <a:solidFill>
                <a:schemeClr val="dk1"/>
              </a:solidFill>
              <a:effectLst/>
              <a:latin typeface="宋体" panose="02010600030101010101" pitchFamily="2" charset="-122"/>
              <a:ea typeface="宋体" panose="02010600030101010101" pitchFamily="2" charset="-122"/>
              <a:cs typeface="+mn-cs"/>
            </a:rPr>
            <a:t>值为多少。</a:t>
          </a:r>
          <a:endParaRPr lang="zh-CN" altLang="en-US" sz="1200">
            <a:latin typeface="宋体" panose="02010600030101010101" pitchFamily="2" charset="-122"/>
            <a:ea typeface="宋体" panose="02010600030101010101" pitchFamily="2" charset="-122"/>
          </a:endParaRPr>
        </a:p>
      </xdr:txBody>
    </xdr:sp>
    <xdr:clientData/>
  </xdr:twoCellAnchor>
  <xdr:twoCellAnchor>
    <xdr:from>
      <xdr:col>7</xdr:col>
      <xdr:colOff>99060</xdr:colOff>
      <xdr:row>26</xdr:row>
      <xdr:rowOff>30480</xdr:rowOff>
    </xdr:from>
    <xdr:to>
      <xdr:col>12</xdr:col>
      <xdr:colOff>678180</xdr:colOff>
      <xdr:row>32</xdr:row>
      <xdr:rowOff>83820</xdr:rowOff>
    </xdr:to>
    <xdr:sp macro="" textlink="">
      <xdr:nvSpPr>
        <xdr:cNvPr id="3" name="文本框 2">
          <a:extLst>
            <a:ext uri="{FF2B5EF4-FFF2-40B4-BE49-F238E27FC236}">
              <a16:creationId xmlns:a16="http://schemas.microsoft.com/office/drawing/2014/main" id="{B1749268-20F2-4159-B4A7-89831A92EECC}"/>
            </a:ext>
          </a:extLst>
        </xdr:cNvPr>
        <xdr:cNvSpPr txBox="1"/>
      </xdr:nvSpPr>
      <xdr:spPr>
        <a:xfrm>
          <a:off x="4564380" y="4815840"/>
          <a:ext cx="4221480" cy="1150620"/>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latin typeface="宋体" panose="02010600030101010101" pitchFamily="2" charset="-122"/>
              <a:ea typeface="宋体" panose="02010600030101010101" pitchFamily="2" charset="-122"/>
            </a:rPr>
            <a:t>4</a:t>
          </a:r>
          <a:r>
            <a:rPr lang="zh-CN" altLang="en-US" sz="1100">
              <a:latin typeface="宋体" panose="02010600030101010101" pitchFamily="2" charset="-122"/>
              <a:ea typeface="宋体" panose="02010600030101010101" pitchFamily="2" charset="-122"/>
            </a:rPr>
            <a:t>、回答：</a:t>
          </a:r>
          <a:endParaRPr lang="en-US" altLang="zh-CN" sz="1100">
            <a:latin typeface="宋体" panose="02010600030101010101" pitchFamily="2" charset="-122"/>
            <a:ea typeface="宋体" panose="02010600030101010101" pitchFamily="2" charset="-122"/>
          </a:endParaRPr>
        </a:p>
        <a:p>
          <a:r>
            <a:rPr lang="en-US" altLang="zh-CN" sz="1100">
              <a:latin typeface="宋体" panose="02010600030101010101" pitchFamily="2" charset="-122"/>
              <a:ea typeface="宋体" panose="02010600030101010101" pitchFamily="2" charset="-122"/>
            </a:rPr>
            <a:t>A</a:t>
          </a:r>
          <a:r>
            <a:rPr lang="zh-CN" altLang="en-US" sz="1100">
              <a:latin typeface="宋体" panose="02010600030101010101" pitchFamily="2" charset="-122"/>
              <a:ea typeface="宋体" panose="02010600030101010101" pitchFamily="2" charset="-122"/>
            </a:rPr>
            <a:t>）选择的方程是：</a:t>
          </a:r>
          <a:br>
            <a:rPr lang="en-US" altLang="zh-CN" sz="1100">
              <a:latin typeface="宋体" panose="02010600030101010101" pitchFamily="2" charset="-122"/>
              <a:ea typeface="宋体" panose="02010600030101010101" pitchFamily="2" charset="-122"/>
            </a:rPr>
          </a:br>
          <a:r>
            <a:rPr lang="en-US" altLang="zh-CN" sz="1100">
              <a:latin typeface="宋体" panose="02010600030101010101" pitchFamily="2" charset="-122"/>
              <a:ea typeface="宋体" panose="02010600030101010101" pitchFamily="2" charset="-122"/>
            </a:rPr>
            <a:t>B</a:t>
          </a:r>
          <a:r>
            <a:rPr lang="zh-CN" altLang="en-US" sz="1100">
              <a:latin typeface="宋体" panose="02010600030101010101" pitchFamily="2" charset="-122"/>
              <a:ea typeface="宋体" panose="02010600030101010101" pitchFamily="2" charset="-122"/>
            </a:rPr>
            <a:t>）为什么：</a:t>
          </a:r>
          <a:endParaRPr lang="en-US" altLang="zh-CN" sz="1100">
            <a:latin typeface="宋体" panose="02010600030101010101" pitchFamily="2" charset="-122"/>
            <a:ea typeface="宋体" panose="02010600030101010101" pitchFamily="2" charset="-122"/>
          </a:endParaRPr>
        </a:p>
        <a:p>
          <a:r>
            <a:rPr lang="en-US" altLang="zh-CN" sz="1100">
              <a:latin typeface="宋体" panose="02010600030101010101" pitchFamily="2" charset="-122"/>
              <a:ea typeface="宋体" panose="02010600030101010101" pitchFamily="2" charset="-122"/>
            </a:rPr>
            <a:t>C</a:t>
          </a:r>
          <a:r>
            <a:rPr lang="zh-CN" altLang="en-US" sz="1100">
              <a:latin typeface="宋体" panose="02010600030101010101" pitchFamily="2" charset="-122"/>
              <a:ea typeface="宋体" panose="02010600030101010101" pitchFamily="2" charset="-122"/>
            </a:rPr>
            <a:t>）</a:t>
          </a:r>
          <a:r>
            <a:rPr lang="en-US" altLang="zh-CN" sz="1100">
              <a:latin typeface="宋体" panose="02010600030101010101" pitchFamily="2" charset="-122"/>
              <a:ea typeface="宋体" panose="02010600030101010101" pitchFamily="2" charset="-122"/>
            </a:rPr>
            <a:t>P</a:t>
          </a:r>
          <a:r>
            <a:rPr lang="zh-CN" altLang="en-US" sz="1100">
              <a:latin typeface="宋体" panose="02010600030101010101" pitchFamily="2" charset="-122"/>
              <a:ea typeface="宋体" panose="02010600030101010101" pitchFamily="2" charset="-122"/>
            </a:rPr>
            <a:t>值：</a:t>
          </a:r>
        </a:p>
      </xdr:txBody>
    </xdr:sp>
    <xdr:clientData/>
  </xdr:twoCellAnchor>
  <xdr:twoCellAnchor>
    <xdr:from>
      <xdr:col>5</xdr:col>
      <xdr:colOff>371475</xdr:colOff>
      <xdr:row>31</xdr:row>
      <xdr:rowOff>52385</xdr:rowOff>
    </xdr:from>
    <xdr:to>
      <xdr:col>11</xdr:col>
      <xdr:colOff>476250</xdr:colOff>
      <xdr:row>48</xdr:row>
      <xdr:rowOff>28574</xdr:rowOff>
    </xdr:to>
    <xdr:graphicFrame macro="">
      <xdr:nvGraphicFramePr>
        <xdr:cNvPr id="4" name="图表 3">
          <a:extLst>
            <a:ext uri="{FF2B5EF4-FFF2-40B4-BE49-F238E27FC236}">
              <a16:creationId xmlns:a16="http://schemas.microsoft.com/office/drawing/2014/main" id="{8FFCE13C-E9E8-A5FF-7A53-9D39CE402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93345</xdr:colOff>
      <xdr:row>1</xdr:row>
      <xdr:rowOff>43815</xdr:rowOff>
    </xdr:from>
    <xdr:to>
      <xdr:col>17</xdr:col>
      <xdr:colOff>327660</xdr:colOff>
      <xdr:row>29</xdr:row>
      <xdr:rowOff>118110</xdr:rowOff>
    </xdr:to>
    <xdr:grpSp>
      <xdr:nvGrpSpPr>
        <xdr:cNvPr id="2" name="组合 1">
          <a:extLst>
            <a:ext uri="{FF2B5EF4-FFF2-40B4-BE49-F238E27FC236}">
              <a16:creationId xmlns:a16="http://schemas.microsoft.com/office/drawing/2014/main" id="{AC0AF740-1045-416E-929D-2186CCE47564}"/>
            </a:ext>
          </a:extLst>
        </xdr:cNvPr>
        <xdr:cNvGrpSpPr/>
      </xdr:nvGrpSpPr>
      <xdr:grpSpPr>
        <a:xfrm>
          <a:off x="6513195" y="215265"/>
          <a:ext cx="7387590" cy="5551170"/>
          <a:chOff x="3858793" y="106667"/>
          <a:chExt cx="7101840" cy="5685158"/>
        </a:xfrm>
      </xdr:grpSpPr>
      <mc:AlternateContent xmlns:mc="http://schemas.openxmlformats.org/markup-compatibility/2006" xmlns:a14="http://schemas.microsoft.com/office/drawing/2010/main">
        <mc:Choice Requires="a14">
          <xdr:sp macro="" textlink="">
            <xdr:nvSpPr>
              <xdr:cNvPr id="3" name="TextBox 5">
                <a:extLst>
                  <a:ext uri="{FF2B5EF4-FFF2-40B4-BE49-F238E27FC236}">
                    <a16:creationId xmlns:a16="http://schemas.microsoft.com/office/drawing/2014/main" id="{9AFBE473-DAA7-9893-4A22-5C9FE61E8E88}"/>
                  </a:ext>
                </a:extLst>
              </xdr:cNvPr>
              <xdr:cNvSpPr txBox="1"/>
            </xdr:nvSpPr>
            <xdr:spPr>
              <a:xfrm>
                <a:off x="3858793" y="106667"/>
                <a:ext cx="7101840" cy="5685158"/>
              </a:xfrm>
              <a:prstGeom prst="rect">
                <a:avLst/>
              </a:prstGeom>
              <a:solidFill>
                <a:srgbClr val="DBEE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t>第</a:t>
                </a:r>
                <a:r>
                  <a:rPr lang="en-US" altLang="zh-CN" sz="1200" b="1"/>
                  <a:t>6</a:t>
                </a:r>
                <a:r>
                  <a:rPr lang="zh-CN" altLang="en-US" sz="1200" b="1"/>
                  <a:t>题（</a:t>
                </a:r>
                <a:r>
                  <a:rPr lang="en-US" altLang="zh-CN" sz="1200" b="1"/>
                  <a:t>12</a:t>
                </a:r>
                <a:r>
                  <a:rPr lang="zh-CN" altLang="en-US" sz="1200" b="1"/>
                  <a:t>分）  </a:t>
                </a:r>
                <a:r>
                  <a:rPr lang="zh-CN" altLang="en-US" sz="1200" b="0">
                    <a:latin typeface="+mn-ea"/>
                    <a:ea typeface="+mn-ea"/>
                  </a:rPr>
                  <a:t>剃须刀生产的固定成本为</a:t>
                </a:r>
                <a:r>
                  <a:rPr lang="en-US" altLang="zh-CN" sz="1200" b="0">
                    <a:latin typeface="+mn-ea"/>
                    <a:ea typeface="+mn-ea"/>
                  </a:rPr>
                  <a:t>10</a:t>
                </a:r>
                <a:r>
                  <a:rPr lang="zh-CN" altLang="en-US" sz="1200" b="0">
                    <a:latin typeface="+mn-ea"/>
                    <a:ea typeface="+mn-ea"/>
                  </a:rPr>
                  <a:t>万元，其单价与单位变动成本均与销量有关：</a:t>
                </a:r>
                <a:r>
                  <a:rPr lang="en-US" altLang="zh-CN" sz="1200" b="0">
                    <a:latin typeface="+mn-ea"/>
                    <a:ea typeface="+mn-ea"/>
                  </a:rPr>
                  <a:t>p=a-bQ</a:t>
                </a:r>
                <a:r>
                  <a:rPr lang="zh-CN" altLang="en-US" sz="1200" b="0">
                    <a:latin typeface="+mn-ea"/>
                    <a:ea typeface="+mn-ea"/>
                  </a:rPr>
                  <a:t>，</a:t>
                </a:r>
                <a:r>
                  <a:rPr lang="en-US" altLang="zh-CN" sz="1200" b="0">
                    <a:latin typeface="+mn-ea"/>
                    <a:ea typeface="+mn-ea"/>
                  </a:rPr>
                  <a:t>v=c+dQ</a:t>
                </a:r>
                <a:r>
                  <a:rPr lang="zh-CN" altLang="en-US" sz="1200" b="0">
                    <a:latin typeface="+mn-ea"/>
                    <a:ea typeface="+mn-ea"/>
                  </a:rPr>
                  <a:t>，其中</a:t>
                </a:r>
                <a:r>
                  <a:rPr lang="en-US" altLang="zh-CN" sz="1200" b="0">
                    <a:latin typeface="+mn-ea"/>
                    <a:ea typeface="+mn-ea"/>
                  </a:rPr>
                  <a:t>a=3</a:t>
                </a:r>
                <a:r>
                  <a:rPr lang="zh-CN" altLang="en-US" sz="1200" b="0">
                    <a:latin typeface="+mn-ea"/>
                    <a:ea typeface="+mn-ea"/>
                  </a:rPr>
                  <a:t>，</a:t>
                </a:r>
                <a:r>
                  <a:rPr lang="en-US" altLang="zh-CN" sz="1200" b="0">
                    <a:latin typeface="+mn-ea"/>
                    <a:ea typeface="+mn-ea"/>
                  </a:rPr>
                  <a:t>b=0.04</a:t>
                </a:r>
                <a:r>
                  <a:rPr lang="zh-CN" altLang="en-US" sz="1200" b="0">
                    <a:latin typeface="+mn-ea"/>
                    <a:ea typeface="+mn-ea"/>
                  </a:rPr>
                  <a:t>，</a:t>
                </a:r>
                <a:r>
                  <a:rPr lang="en-US" altLang="zh-CN" sz="1200" b="0">
                    <a:latin typeface="+mn-ea"/>
                    <a:ea typeface="+mn-ea"/>
                  </a:rPr>
                  <a:t>c=0.2</a:t>
                </a:r>
                <a:r>
                  <a:rPr lang="zh-CN" altLang="en-US" sz="1200" b="0">
                    <a:latin typeface="+mn-ea"/>
                    <a:ea typeface="+mn-ea"/>
                  </a:rPr>
                  <a:t>，</a:t>
                </a:r>
                <a:r>
                  <a:rPr lang="en-US" altLang="zh-CN" sz="1200" b="0">
                    <a:latin typeface="+mn-ea"/>
                    <a:ea typeface="+mn-ea"/>
                  </a:rPr>
                  <a:t>d=0.04</a:t>
                </a:r>
                <a:r>
                  <a:rPr lang="zh-CN" altLang="en-US" sz="1200" b="0">
                    <a:latin typeface="+mn-ea"/>
                    <a:ea typeface="+mn-ea"/>
                  </a:rPr>
                  <a:t>，请确定剃须刀能达到利润极大的最优单价，并制作如下决策参考图表。</a:t>
                </a:r>
                <a:endParaRPr lang="en-US" altLang="zh-CN" sz="1200" b="0">
                  <a:solidFill>
                    <a:schemeClr val="dk1"/>
                  </a:solidFill>
                  <a:effectLst/>
                  <a:latin typeface="+mn-ea"/>
                  <a:ea typeface="+mn-ea"/>
                  <a:cs typeface="+mn-cs"/>
                </a:endParaRPr>
              </a:p>
              <a:p>
                <a:endParaRPr lang="en-US" altLang="zh-CN" sz="1200" b="0">
                  <a:solidFill>
                    <a:schemeClr val="dk1"/>
                  </a:solidFill>
                  <a:effectLst/>
                  <a:latin typeface="+mn-ea"/>
                  <a:ea typeface="+mn-ea"/>
                  <a:cs typeface="+mn-cs"/>
                </a:endParaRPr>
              </a:p>
              <a:p>
                <a:r>
                  <a:rPr lang="en-US" altLang="zh-CN" sz="1200" b="0">
                    <a:latin typeface="+mn-ea"/>
                    <a:ea typeface="+mn-ea"/>
                  </a:rPr>
                  <a:t>1</a:t>
                </a:r>
                <a:r>
                  <a:rPr lang="zh-CN" altLang="en-US" sz="1200" b="0">
                    <a:latin typeface="+mn-ea"/>
                    <a:ea typeface="+mn-ea"/>
                  </a:rPr>
                  <a:t>、假定销量为</a:t>
                </a:r>
                <a:r>
                  <a:rPr lang="en-US" altLang="zh-CN" sz="1200" b="0">
                    <a:latin typeface="+mn-ea"/>
                    <a:ea typeface="+mn-ea"/>
                  </a:rPr>
                  <a:t>10</a:t>
                </a:r>
                <a:r>
                  <a:rPr lang="zh-CN" altLang="en-US" sz="1200" b="0">
                    <a:latin typeface="+mn-ea"/>
                    <a:ea typeface="+mn-ea"/>
                  </a:rPr>
                  <a:t>万件，计算单价、单位变动成本。</a:t>
                </a:r>
              </a:p>
              <a:p>
                <a:r>
                  <a:rPr lang="en-US" altLang="zh-CN" sz="1200" b="0">
                    <a:latin typeface="+mn-ea"/>
                    <a:ea typeface="+mn-ea"/>
                  </a:rPr>
                  <a:t>2</a:t>
                </a:r>
                <a:r>
                  <a:rPr lang="zh-CN" altLang="en-US" sz="1200" b="0">
                    <a:latin typeface="+mn-ea"/>
                    <a:ea typeface="+mn-ea"/>
                  </a:rPr>
                  <a:t>、计算销售收入与总成本，计算单位边际贡献和利润。</a:t>
                </a:r>
              </a:p>
              <a:p>
                <a:r>
                  <a:rPr lang="en-US" altLang="zh-CN" sz="1200" b="0">
                    <a:latin typeface="+mn-ea"/>
                    <a:ea typeface="+mn-ea"/>
                  </a:rPr>
                  <a:t>3</a:t>
                </a:r>
                <a:r>
                  <a:rPr lang="zh-CN" altLang="en-US" sz="1200" b="0">
                    <a:latin typeface="+mn-ea"/>
                    <a:ea typeface="+mn-ea"/>
                  </a:rPr>
                  <a:t>、根据以上描述，利润</a:t>
                </a:r>
                <a:r>
                  <a:rPr lang="el-GR" altLang="zh-CN" sz="1100" b="0">
                    <a:solidFill>
                      <a:schemeClr val="dk1"/>
                    </a:solidFill>
                    <a:effectLst/>
                    <a:latin typeface="+mn-lt"/>
                    <a:ea typeface="+mn-ea"/>
                    <a:cs typeface="+mn-cs"/>
                  </a:rPr>
                  <a:t>π</a:t>
                </a:r>
                <a:r>
                  <a:rPr lang="zh-CN" altLang="en-US" sz="1200" b="0">
                    <a:latin typeface="+mn-ea"/>
                    <a:ea typeface="+mn-ea"/>
                  </a:rPr>
                  <a:t>可以写为：</a:t>
                </a:r>
                <a:r>
                  <a:rPr lang="el-GR" altLang="zh-CN" sz="1200" b="0">
                    <a:latin typeface="+mn-ea"/>
                    <a:ea typeface="+mn-ea"/>
                  </a:rPr>
                  <a:t>π</a:t>
                </a:r>
                <a:r>
                  <a:rPr lang="en-US" altLang="zh-CN" sz="1200" b="0">
                    <a:latin typeface="+mn-ea"/>
                    <a:ea typeface="+mn-ea"/>
                  </a:rPr>
                  <a:t> = -(b+d)Q</a:t>
                </a:r>
                <a:r>
                  <a:rPr lang="en-US" altLang="zh-CN" sz="1200" b="0" baseline="30000">
                    <a:latin typeface="+mn-ea"/>
                    <a:ea typeface="+mn-ea"/>
                  </a:rPr>
                  <a:t>2</a:t>
                </a:r>
                <a:r>
                  <a:rPr lang="en-US" altLang="zh-CN" sz="1200" b="0">
                    <a:latin typeface="+mn-ea"/>
                    <a:ea typeface="+mn-ea"/>
                  </a:rPr>
                  <a:t>+(a-c)Q-F</a:t>
                </a:r>
              </a:p>
              <a:p>
                <a:r>
                  <a:rPr lang="zh-CN" altLang="en-US" sz="1200" b="0">
                    <a:latin typeface="+mn-ea"/>
                    <a:ea typeface="+mn-ea"/>
                  </a:rPr>
                  <a:t>请采用数学公式计算最优销量及利润极大值、计算两个盈亏平衡点，及其对应的销售收入。</a:t>
                </a:r>
                <a:endParaRPr lang="en-US" altLang="zh-CN" sz="1200" b="0">
                  <a:latin typeface="+mn-ea"/>
                  <a:ea typeface="+mn-ea"/>
                </a:endParaRPr>
              </a:p>
              <a:p>
                <a:r>
                  <a:rPr lang="zh-CN" altLang="en-US" sz="1200" b="0">
                    <a:latin typeface="+mn-ea"/>
                    <a:ea typeface="+mn-ea"/>
                  </a:rPr>
                  <a:t>（提示：</a:t>
                </a:r>
                <a:r>
                  <a:rPr lang="en-US" altLang="zh-CN" sz="1200" b="0">
                    <a:solidFill>
                      <a:schemeClr val="dk1"/>
                    </a:solidFill>
                    <a:effectLst/>
                    <a:latin typeface="+mn-ea"/>
                    <a:ea typeface="+mn-ea"/>
                    <a:cs typeface="+mn-cs"/>
                  </a:rPr>
                  <a:t>y =aX</a:t>
                </a:r>
                <a:r>
                  <a:rPr lang="en-US" altLang="zh-CN" sz="1200" b="0" baseline="30000">
                    <a:solidFill>
                      <a:schemeClr val="dk1"/>
                    </a:solidFill>
                    <a:effectLst/>
                    <a:latin typeface="+mn-ea"/>
                    <a:ea typeface="+mn-ea"/>
                    <a:cs typeface="+mn-cs"/>
                  </a:rPr>
                  <a:t>2</a:t>
                </a:r>
                <a:r>
                  <a:rPr lang="en-US" altLang="zh-CN" sz="1200" b="0">
                    <a:solidFill>
                      <a:schemeClr val="dk1"/>
                    </a:solidFill>
                    <a:effectLst/>
                    <a:latin typeface="+mn-ea"/>
                    <a:ea typeface="+mn-ea"/>
                    <a:cs typeface="+mn-cs"/>
                  </a:rPr>
                  <a:t>+bX+c</a:t>
                </a:r>
                <a:r>
                  <a:rPr lang="zh-CN" altLang="en-US" sz="1200" b="0">
                    <a:solidFill>
                      <a:schemeClr val="dk1"/>
                    </a:solidFill>
                    <a:effectLst/>
                    <a:latin typeface="+mn-ea"/>
                    <a:ea typeface="+mn-ea"/>
                    <a:cs typeface="+mn-cs"/>
                  </a:rPr>
                  <a:t>等式为</a:t>
                </a:r>
                <a:r>
                  <a:rPr lang="en-US" altLang="zh-CN" sz="1200" b="0">
                    <a:solidFill>
                      <a:schemeClr val="dk1"/>
                    </a:solidFill>
                    <a:effectLst/>
                    <a:latin typeface="+mn-ea"/>
                    <a:ea typeface="+mn-ea"/>
                    <a:cs typeface="+mn-cs"/>
                  </a:rPr>
                  <a:t>0</a:t>
                </a:r>
                <a:r>
                  <a:rPr lang="zh-CN" altLang="en-US" sz="1200" b="0">
                    <a:solidFill>
                      <a:schemeClr val="dk1"/>
                    </a:solidFill>
                    <a:effectLst/>
                    <a:latin typeface="+mn-ea"/>
                    <a:ea typeface="+mn-ea"/>
                    <a:cs typeface="+mn-cs"/>
                  </a:rPr>
                  <a:t>的</a:t>
                </a:r>
                <a14:m>
                  <m:oMath xmlns:m="http://schemas.openxmlformats.org/officeDocument/2006/math">
                    <m:r>
                      <a:rPr lang="zh-CN" altLang="en-US" sz="1200" b="0" i="1">
                        <a:solidFill>
                          <a:schemeClr val="dk1"/>
                        </a:solidFill>
                        <a:effectLst/>
                        <a:latin typeface="Cambria Math" panose="02040503050406030204" pitchFamily="18" charset="0"/>
                        <a:ea typeface="+mn-ea"/>
                        <a:cs typeface="+mn-cs"/>
                      </a:rPr>
                      <m:t>解</m:t>
                    </m:r>
                    <m:r>
                      <a:rPr lang="en-US" altLang="zh-CN" sz="1200" b="0" i="1">
                        <a:solidFill>
                          <a:schemeClr val="dk1"/>
                        </a:solidFill>
                        <a:effectLst/>
                        <a:latin typeface="Cambria Math" panose="02040503050406030204" pitchFamily="18" charset="0"/>
                        <a:ea typeface="+mn-ea"/>
                        <a:cs typeface="+mn-cs"/>
                      </a:rPr>
                      <m:t>𝑥</m:t>
                    </m:r>
                    <m:r>
                      <a:rPr lang="en-US" altLang="zh-CN" sz="1200" b="0" i="1">
                        <a:solidFill>
                          <a:schemeClr val="dk1"/>
                        </a:solidFill>
                        <a:effectLst/>
                        <a:latin typeface="Cambria Math" panose="02040503050406030204" pitchFamily="18" charset="0"/>
                        <a:ea typeface="+mn-ea"/>
                        <a:cs typeface="+mn-cs"/>
                      </a:rPr>
                      <m:t>=</m:t>
                    </m:r>
                    <m:f>
                      <m:fPr>
                        <m:ctrlPr>
                          <a:rPr lang="en-US" altLang="zh-CN" sz="1200" b="0" i="1">
                            <a:solidFill>
                              <a:schemeClr val="dk1"/>
                            </a:solidFill>
                            <a:effectLst/>
                            <a:latin typeface="Cambria Math" panose="02040503050406030204" pitchFamily="18" charset="0"/>
                            <a:ea typeface="+mn-ea"/>
                            <a:cs typeface="+mn-cs"/>
                          </a:rPr>
                        </m:ctrlPr>
                      </m:fPr>
                      <m:num>
                        <m:r>
                          <a:rPr lang="en-US" altLang="zh-CN" sz="1200" b="0" i="1">
                            <a:solidFill>
                              <a:schemeClr val="dk1"/>
                            </a:solidFill>
                            <a:effectLst/>
                            <a:latin typeface="Cambria Math" panose="02040503050406030204" pitchFamily="18" charset="0"/>
                            <a:ea typeface="+mn-ea"/>
                            <a:cs typeface="+mn-cs"/>
                          </a:rPr>
                          <m:t>−</m:t>
                        </m:r>
                        <m:r>
                          <a:rPr lang="en-US" altLang="zh-CN" sz="1200" b="0" i="1">
                            <a:solidFill>
                              <a:schemeClr val="dk1"/>
                            </a:solidFill>
                            <a:effectLst/>
                            <a:latin typeface="Cambria Math" panose="02040503050406030204" pitchFamily="18" charset="0"/>
                            <a:ea typeface="+mn-ea"/>
                            <a:cs typeface="+mn-cs"/>
                          </a:rPr>
                          <m:t>𝑏</m:t>
                        </m:r>
                        <m:r>
                          <a:rPr lang="en-US" altLang="zh-CN" sz="1200" b="0" i="1">
                            <a:solidFill>
                              <a:schemeClr val="dk1"/>
                            </a:solidFill>
                            <a:effectLst/>
                            <a:latin typeface="Cambria Math" panose="02040503050406030204" pitchFamily="18" charset="0"/>
                            <a:ea typeface="+mn-ea"/>
                            <a:cs typeface="+mn-cs"/>
                          </a:rPr>
                          <m:t>±</m:t>
                        </m:r>
                        <m:rad>
                          <m:radPr>
                            <m:degHide m:val="on"/>
                            <m:ctrlPr>
                              <a:rPr lang="en-US" altLang="zh-CN" sz="1200" b="0" i="1">
                                <a:solidFill>
                                  <a:schemeClr val="dk1"/>
                                </a:solidFill>
                                <a:effectLst/>
                                <a:latin typeface="Cambria Math" panose="02040503050406030204" pitchFamily="18" charset="0"/>
                                <a:ea typeface="+mn-ea"/>
                                <a:cs typeface="+mn-cs"/>
                              </a:rPr>
                            </m:ctrlPr>
                          </m:radPr>
                          <m:deg/>
                          <m:e>
                            <m:sSup>
                              <m:sSupPr>
                                <m:ctrlPr>
                                  <a:rPr lang="en-US" altLang="zh-CN" sz="1200" b="0" i="1">
                                    <a:solidFill>
                                      <a:schemeClr val="dk1"/>
                                    </a:solidFill>
                                    <a:effectLst/>
                                    <a:latin typeface="Cambria Math" panose="02040503050406030204" pitchFamily="18" charset="0"/>
                                    <a:ea typeface="+mn-ea"/>
                                    <a:cs typeface="+mn-cs"/>
                                  </a:rPr>
                                </m:ctrlPr>
                              </m:sSupPr>
                              <m:e>
                                <m:r>
                                  <a:rPr lang="en-US" altLang="zh-CN" sz="1200" b="0" i="1">
                                    <a:solidFill>
                                      <a:schemeClr val="dk1"/>
                                    </a:solidFill>
                                    <a:effectLst/>
                                    <a:latin typeface="Cambria Math" panose="02040503050406030204" pitchFamily="18" charset="0"/>
                                    <a:ea typeface="+mn-ea"/>
                                    <a:cs typeface="+mn-cs"/>
                                  </a:rPr>
                                  <m:t>𝑏</m:t>
                                </m:r>
                              </m:e>
                              <m:sup>
                                <m:r>
                                  <a:rPr lang="en-US" altLang="zh-CN" sz="1200" b="0" i="1">
                                    <a:solidFill>
                                      <a:schemeClr val="dk1"/>
                                    </a:solidFill>
                                    <a:effectLst/>
                                    <a:latin typeface="Cambria Math" panose="02040503050406030204" pitchFamily="18" charset="0"/>
                                    <a:ea typeface="+mn-ea"/>
                                    <a:cs typeface="+mn-cs"/>
                                  </a:rPr>
                                  <m:t>2</m:t>
                                </m:r>
                              </m:sup>
                            </m:sSup>
                            <m:r>
                              <a:rPr lang="en-US" altLang="zh-CN" sz="1200" b="0" i="1">
                                <a:solidFill>
                                  <a:schemeClr val="dk1"/>
                                </a:solidFill>
                                <a:effectLst/>
                                <a:latin typeface="Cambria Math" panose="02040503050406030204" pitchFamily="18" charset="0"/>
                                <a:ea typeface="+mn-ea"/>
                                <a:cs typeface="+mn-cs"/>
                              </a:rPr>
                              <m:t>−4</m:t>
                            </m:r>
                            <m:r>
                              <a:rPr lang="en-US" altLang="zh-CN" sz="1200" b="0" i="1">
                                <a:solidFill>
                                  <a:schemeClr val="dk1"/>
                                </a:solidFill>
                                <a:effectLst/>
                                <a:latin typeface="Cambria Math" panose="02040503050406030204" pitchFamily="18" charset="0"/>
                                <a:ea typeface="+mn-ea"/>
                                <a:cs typeface="+mn-cs"/>
                              </a:rPr>
                              <m:t>𝑎𝑐</m:t>
                            </m:r>
                          </m:e>
                        </m:rad>
                      </m:num>
                      <m:den>
                        <m:r>
                          <a:rPr lang="en-US" altLang="zh-CN" sz="1200" b="0" i="1">
                            <a:solidFill>
                              <a:schemeClr val="dk1"/>
                            </a:solidFill>
                            <a:effectLst/>
                            <a:latin typeface="Cambria Math" panose="02040503050406030204" pitchFamily="18" charset="0"/>
                            <a:ea typeface="+mn-ea"/>
                            <a:cs typeface="+mn-cs"/>
                          </a:rPr>
                          <m:t>2</m:t>
                        </m:r>
                        <m:r>
                          <a:rPr lang="en-US" altLang="zh-CN" sz="1200" b="0" i="1">
                            <a:solidFill>
                              <a:schemeClr val="dk1"/>
                            </a:solidFill>
                            <a:effectLst/>
                            <a:latin typeface="Cambria Math" panose="02040503050406030204" pitchFamily="18" charset="0"/>
                            <a:ea typeface="+mn-ea"/>
                            <a:cs typeface="+mn-cs"/>
                          </a:rPr>
                          <m:t>𝑎</m:t>
                        </m:r>
                      </m:den>
                    </m:f>
                  </m:oMath>
                </a14:m>
                <a:r>
                  <a:rPr lang="zh-CN" altLang="en-US" sz="1200" b="0">
                    <a:latin typeface="+mn-ea"/>
                    <a:ea typeface="+mn-ea"/>
                  </a:rPr>
                  <a:t>）</a:t>
                </a:r>
                <a:endParaRPr lang="en-US" altLang="zh-CN" sz="1200" b="0">
                  <a:latin typeface="+mn-ea"/>
                  <a:ea typeface="+mn-ea"/>
                </a:endParaRPr>
              </a:p>
              <a:p>
                <a:r>
                  <a:rPr lang="en-US" altLang="zh-CN" sz="1200" b="0">
                    <a:latin typeface="+mn-ea"/>
                    <a:ea typeface="+mn-ea"/>
                  </a:rPr>
                  <a:t>4</a:t>
                </a:r>
                <a:r>
                  <a:rPr lang="zh-CN" altLang="en-US" sz="1200" b="0">
                    <a:latin typeface="+mn-ea"/>
                    <a:ea typeface="+mn-ea"/>
                  </a:rPr>
                  <a:t>、绘制如样图所示的销售收入、总成本和利润随销量变化的图表，并</a:t>
                </a:r>
                <a:r>
                  <a:rPr lang="zh-CN" altLang="zh-CN" sz="1200" b="0">
                    <a:solidFill>
                      <a:schemeClr val="dk1"/>
                    </a:solidFill>
                    <a:effectLst/>
                    <a:latin typeface="+mn-ea"/>
                    <a:ea typeface="+mn-ea"/>
                    <a:cs typeface="+mn-cs"/>
                  </a:rPr>
                  <a:t>在图中</a:t>
                </a:r>
                <a:r>
                  <a:rPr lang="zh-CN" altLang="en-US" sz="1200" b="0">
                    <a:solidFill>
                      <a:schemeClr val="dk1"/>
                    </a:solidFill>
                    <a:effectLst/>
                    <a:latin typeface="+mn-ea"/>
                    <a:ea typeface="+mn-ea"/>
                    <a:cs typeface="+mn-cs"/>
                  </a:rPr>
                  <a:t>标示通过利润极大值的点和盈亏平衡点的垂直参考线</a:t>
                </a:r>
                <a:r>
                  <a:rPr lang="zh-CN" altLang="zh-CN" sz="1200" b="0">
                    <a:solidFill>
                      <a:schemeClr val="dk1"/>
                    </a:solidFill>
                    <a:effectLst/>
                    <a:latin typeface="+mn-ea"/>
                    <a:ea typeface="+mn-ea"/>
                    <a:cs typeface="+mn-cs"/>
                  </a:rPr>
                  <a:t> 。</a:t>
                </a:r>
                <a:endParaRPr lang="en-US" altLang="zh-CN" sz="1200" b="0">
                  <a:solidFill>
                    <a:schemeClr val="dk1"/>
                  </a:solidFill>
                  <a:effectLst/>
                  <a:latin typeface="+mn-ea"/>
                  <a:ea typeface="+mn-ea"/>
                  <a:cs typeface="+mn-cs"/>
                </a:endParaRPr>
              </a:p>
              <a:p>
                <a:r>
                  <a:rPr lang="en-US" altLang="zh-CN" sz="1200" b="0" baseline="0">
                    <a:latin typeface="+mn-ea"/>
                    <a:ea typeface="+mn-ea"/>
                  </a:rPr>
                  <a:t>5</a:t>
                </a:r>
                <a:r>
                  <a:rPr lang="zh-CN" altLang="en-US" sz="1200" b="0" baseline="0">
                    <a:latin typeface="+mn-ea"/>
                    <a:ea typeface="+mn-ea"/>
                  </a:rPr>
                  <a:t>、在图中</a:t>
                </a:r>
                <a:r>
                  <a:rPr lang="zh-CN" altLang="en-US" sz="1200" b="0">
                    <a:latin typeface="+mn-ea"/>
                    <a:ea typeface="+mn-ea"/>
                  </a:rPr>
                  <a:t>添加一个微调项，使销量从</a:t>
                </a:r>
                <a:r>
                  <a:rPr lang="en-US" altLang="zh-CN" sz="1200" b="0">
                    <a:latin typeface="+mn-ea"/>
                    <a:ea typeface="+mn-ea"/>
                  </a:rPr>
                  <a:t>0</a:t>
                </a:r>
                <a:r>
                  <a:rPr lang="zh-CN" altLang="en-US" sz="1200" b="0">
                    <a:latin typeface="+mn-ea"/>
                    <a:ea typeface="+mn-ea"/>
                  </a:rPr>
                  <a:t>按步长</a:t>
                </a:r>
                <a:r>
                  <a:rPr lang="en-US" altLang="zh-CN" sz="1200" b="0">
                    <a:latin typeface="+mn-ea"/>
                    <a:ea typeface="+mn-ea"/>
                  </a:rPr>
                  <a:t>5</a:t>
                </a:r>
                <a:r>
                  <a:rPr lang="zh-CN" altLang="en-US" sz="1200" b="0">
                    <a:latin typeface="+mn-ea"/>
                    <a:ea typeface="+mn-ea"/>
                  </a:rPr>
                  <a:t>变化到</a:t>
                </a:r>
                <a:r>
                  <a:rPr lang="en-US" altLang="zh-CN" sz="1200" b="0">
                    <a:latin typeface="+mn-ea"/>
                    <a:ea typeface="+mn-ea"/>
                  </a:rPr>
                  <a:t>40</a:t>
                </a:r>
                <a:r>
                  <a:rPr lang="zh-CN" altLang="en-US" sz="1200" b="0">
                    <a:latin typeface="+mn-ea"/>
                    <a:ea typeface="+mn-ea"/>
                  </a:rPr>
                  <a:t>，通过当前销量垂直线反映</a:t>
                </a:r>
                <a:r>
                  <a:rPr lang="zh-CN" altLang="zh-CN" sz="1200" b="0">
                    <a:solidFill>
                      <a:schemeClr val="dk1"/>
                    </a:solidFill>
                    <a:effectLst/>
                    <a:latin typeface="+mn-ea"/>
                    <a:ea typeface="+mn-ea"/>
                    <a:cs typeface="+mn-cs"/>
                  </a:rPr>
                  <a:t>当前</a:t>
                </a:r>
                <a:r>
                  <a:rPr lang="zh-CN" altLang="en-US" sz="1200" b="0">
                    <a:solidFill>
                      <a:schemeClr val="dk1"/>
                    </a:solidFill>
                    <a:effectLst/>
                    <a:latin typeface="+mn-ea"/>
                    <a:ea typeface="+mn-ea"/>
                    <a:cs typeface="+mn-cs"/>
                  </a:rPr>
                  <a:t>销量对应盈利</a:t>
                </a:r>
                <a:r>
                  <a:rPr lang="en-US" altLang="zh-CN" sz="1200" b="0">
                    <a:solidFill>
                      <a:schemeClr val="dk1"/>
                    </a:solidFill>
                    <a:effectLst/>
                    <a:latin typeface="+mn-ea"/>
                    <a:ea typeface="+mn-ea"/>
                    <a:cs typeface="+mn-cs"/>
                  </a:rPr>
                  <a:t>-</a:t>
                </a:r>
                <a:r>
                  <a:rPr lang="zh-CN" altLang="en-US" sz="1200" b="0">
                    <a:solidFill>
                      <a:schemeClr val="dk1"/>
                    </a:solidFill>
                    <a:effectLst/>
                    <a:latin typeface="+mn-ea"/>
                    <a:ea typeface="+mn-ea"/>
                    <a:cs typeface="+mn-cs"/>
                  </a:rPr>
                  <a:t>亏损的变化，其中盈利时用红色线表示，亏损时用绿色线表示</a:t>
                </a:r>
                <a:r>
                  <a:rPr lang="zh-CN" altLang="en-US" sz="1200" b="0">
                    <a:latin typeface="+mn-ea"/>
                    <a:ea typeface="+mn-ea"/>
                  </a:rPr>
                  <a:t>。组合图表与该微调项。</a:t>
                </a:r>
                <a:endParaRPr lang="en-US" altLang="zh-CN" sz="1200" b="0">
                  <a:latin typeface="+mn-ea"/>
                  <a:ea typeface="+mn-ea"/>
                </a:endParaRPr>
              </a:p>
              <a:p>
                <a:r>
                  <a:rPr lang="en-US" altLang="zh-CN" sz="1200" b="0">
                    <a:effectLst/>
                    <a:latin typeface="+mn-ea"/>
                    <a:ea typeface="+mn-ea"/>
                  </a:rPr>
                  <a:t>6</a:t>
                </a:r>
                <a:r>
                  <a:rPr lang="zh-CN" altLang="en-US" sz="1200" b="0">
                    <a:effectLst/>
                    <a:latin typeface="+mn-ea"/>
                    <a:ea typeface="+mn-ea"/>
                  </a:rPr>
                  <a:t>、添加决策结论表明销量数值对应的盈利或亏损额。</a:t>
                </a:r>
                <a:endParaRPr lang="zh-CN" altLang="zh-CN" sz="1200" b="0">
                  <a:effectLst/>
                  <a:latin typeface="+mn-ea"/>
                  <a:ea typeface="+mn-ea"/>
                </a:endParaRPr>
              </a:p>
            </xdr:txBody>
          </xdr:sp>
        </mc:Choice>
        <mc:Fallback xmlns="">
          <xdr:sp macro="" textlink="">
            <xdr:nvSpPr>
              <xdr:cNvPr id="3" name="TextBox 5">
                <a:extLst>
                  <a:ext uri="{FF2B5EF4-FFF2-40B4-BE49-F238E27FC236}">
                    <a16:creationId xmlns:a16="http://schemas.microsoft.com/office/drawing/2014/main" id="{9AFBE473-DAA7-9893-4A22-5C9FE61E8E88}"/>
                  </a:ext>
                </a:extLst>
              </xdr:cNvPr>
              <xdr:cNvSpPr txBox="1"/>
            </xdr:nvSpPr>
            <xdr:spPr>
              <a:xfrm>
                <a:off x="3858793" y="106667"/>
                <a:ext cx="7101840" cy="5685158"/>
              </a:xfrm>
              <a:prstGeom prst="rect">
                <a:avLst/>
              </a:prstGeom>
              <a:solidFill>
                <a:srgbClr val="DBEE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t>第</a:t>
                </a:r>
                <a:r>
                  <a:rPr lang="en-US" altLang="zh-CN" sz="1200" b="1"/>
                  <a:t>6</a:t>
                </a:r>
                <a:r>
                  <a:rPr lang="zh-CN" altLang="en-US" sz="1200" b="1"/>
                  <a:t>题（</a:t>
                </a:r>
                <a:r>
                  <a:rPr lang="en-US" altLang="zh-CN" sz="1200" b="1"/>
                  <a:t>12</a:t>
                </a:r>
                <a:r>
                  <a:rPr lang="zh-CN" altLang="en-US" sz="1200" b="1"/>
                  <a:t>分）  </a:t>
                </a:r>
                <a:r>
                  <a:rPr lang="zh-CN" altLang="en-US" sz="1200" b="0">
                    <a:latin typeface="+mn-ea"/>
                    <a:ea typeface="+mn-ea"/>
                  </a:rPr>
                  <a:t>剃须刀生产的固定成本为</a:t>
                </a:r>
                <a:r>
                  <a:rPr lang="en-US" altLang="zh-CN" sz="1200" b="0">
                    <a:latin typeface="+mn-ea"/>
                    <a:ea typeface="+mn-ea"/>
                  </a:rPr>
                  <a:t>10</a:t>
                </a:r>
                <a:r>
                  <a:rPr lang="zh-CN" altLang="en-US" sz="1200" b="0">
                    <a:latin typeface="+mn-ea"/>
                    <a:ea typeface="+mn-ea"/>
                  </a:rPr>
                  <a:t>万元，其单价与单位变动成本均与销量有关：</a:t>
                </a:r>
                <a:r>
                  <a:rPr lang="en-US" altLang="zh-CN" sz="1200" b="0">
                    <a:latin typeface="+mn-ea"/>
                    <a:ea typeface="+mn-ea"/>
                  </a:rPr>
                  <a:t>p=a-bQ</a:t>
                </a:r>
                <a:r>
                  <a:rPr lang="zh-CN" altLang="en-US" sz="1200" b="0">
                    <a:latin typeface="+mn-ea"/>
                    <a:ea typeface="+mn-ea"/>
                  </a:rPr>
                  <a:t>，</a:t>
                </a:r>
                <a:r>
                  <a:rPr lang="en-US" altLang="zh-CN" sz="1200" b="0">
                    <a:latin typeface="+mn-ea"/>
                    <a:ea typeface="+mn-ea"/>
                  </a:rPr>
                  <a:t>v=c+dQ</a:t>
                </a:r>
                <a:r>
                  <a:rPr lang="zh-CN" altLang="en-US" sz="1200" b="0">
                    <a:latin typeface="+mn-ea"/>
                    <a:ea typeface="+mn-ea"/>
                  </a:rPr>
                  <a:t>，其中</a:t>
                </a:r>
                <a:r>
                  <a:rPr lang="en-US" altLang="zh-CN" sz="1200" b="0">
                    <a:latin typeface="+mn-ea"/>
                    <a:ea typeface="+mn-ea"/>
                  </a:rPr>
                  <a:t>a=3</a:t>
                </a:r>
                <a:r>
                  <a:rPr lang="zh-CN" altLang="en-US" sz="1200" b="0">
                    <a:latin typeface="+mn-ea"/>
                    <a:ea typeface="+mn-ea"/>
                  </a:rPr>
                  <a:t>，</a:t>
                </a:r>
                <a:r>
                  <a:rPr lang="en-US" altLang="zh-CN" sz="1200" b="0">
                    <a:latin typeface="+mn-ea"/>
                    <a:ea typeface="+mn-ea"/>
                  </a:rPr>
                  <a:t>b=0.04</a:t>
                </a:r>
                <a:r>
                  <a:rPr lang="zh-CN" altLang="en-US" sz="1200" b="0">
                    <a:latin typeface="+mn-ea"/>
                    <a:ea typeface="+mn-ea"/>
                  </a:rPr>
                  <a:t>，</a:t>
                </a:r>
                <a:r>
                  <a:rPr lang="en-US" altLang="zh-CN" sz="1200" b="0">
                    <a:latin typeface="+mn-ea"/>
                    <a:ea typeface="+mn-ea"/>
                  </a:rPr>
                  <a:t>c=0.2</a:t>
                </a:r>
                <a:r>
                  <a:rPr lang="zh-CN" altLang="en-US" sz="1200" b="0">
                    <a:latin typeface="+mn-ea"/>
                    <a:ea typeface="+mn-ea"/>
                  </a:rPr>
                  <a:t>，</a:t>
                </a:r>
                <a:r>
                  <a:rPr lang="en-US" altLang="zh-CN" sz="1200" b="0">
                    <a:latin typeface="+mn-ea"/>
                    <a:ea typeface="+mn-ea"/>
                  </a:rPr>
                  <a:t>d=0.04</a:t>
                </a:r>
                <a:r>
                  <a:rPr lang="zh-CN" altLang="en-US" sz="1200" b="0">
                    <a:latin typeface="+mn-ea"/>
                    <a:ea typeface="+mn-ea"/>
                  </a:rPr>
                  <a:t>，请确定剃须刀能达到利润极大的最优单价，并制作如下决策参考图表。</a:t>
                </a:r>
                <a:endParaRPr lang="en-US" altLang="zh-CN" sz="1200" b="0">
                  <a:solidFill>
                    <a:schemeClr val="dk1"/>
                  </a:solidFill>
                  <a:effectLst/>
                  <a:latin typeface="+mn-ea"/>
                  <a:ea typeface="+mn-ea"/>
                  <a:cs typeface="+mn-cs"/>
                </a:endParaRPr>
              </a:p>
              <a:p>
                <a:endParaRPr lang="en-US" altLang="zh-CN" sz="1200" b="0">
                  <a:solidFill>
                    <a:schemeClr val="dk1"/>
                  </a:solidFill>
                  <a:effectLst/>
                  <a:latin typeface="+mn-ea"/>
                  <a:ea typeface="+mn-ea"/>
                  <a:cs typeface="+mn-cs"/>
                </a:endParaRPr>
              </a:p>
              <a:p>
                <a:r>
                  <a:rPr lang="en-US" altLang="zh-CN" sz="1200" b="0">
                    <a:latin typeface="+mn-ea"/>
                    <a:ea typeface="+mn-ea"/>
                  </a:rPr>
                  <a:t>1</a:t>
                </a:r>
                <a:r>
                  <a:rPr lang="zh-CN" altLang="en-US" sz="1200" b="0">
                    <a:latin typeface="+mn-ea"/>
                    <a:ea typeface="+mn-ea"/>
                  </a:rPr>
                  <a:t>、假定销量为</a:t>
                </a:r>
                <a:r>
                  <a:rPr lang="en-US" altLang="zh-CN" sz="1200" b="0">
                    <a:latin typeface="+mn-ea"/>
                    <a:ea typeface="+mn-ea"/>
                  </a:rPr>
                  <a:t>10</a:t>
                </a:r>
                <a:r>
                  <a:rPr lang="zh-CN" altLang="en-US" sz="1200" b="0">
                    <a:latin typeface="+mn-ea"/>
                    <a:ea typeface="+mn-ea"/>
                  </a:rPr>
                  <a:t>万件，计算单价、单位变动成本。</a:t>
                </a:r>
              </a:p>
              <a:p>
                <a:r>
                  <a:rPr lang="en-US" altLang="zh-CN" sz="1200" b="0">
                    <a:latin typeface="+mn-ea"/>
                    <a:ea typeface="+mn-ea"/>
                  </a:rPr>
                  <a:t>2</a:t>
                </a:r>
                <a:r>
                  <a:rPr lang="zh-CN" altLang="en-US" sz="1200" b="0">
                    <a:latin typeface="+mn-ea"/>
                    <a:ea typeface="+mn-ea"/>
                  </a:rPr>
                  <a:t>、计算销售收入与总成本，计算单位边际贡献和利润。</a:t>
                </a:r>
              </a:p>
              <a:p>
                <a:r>
                  <a:rPr lang="en-US" altLang="zh-CN" sz="1200" b="0">
                    <a:latin typeface="+mn-ea"/>
                    <a:ea typeface="+mn-ea"/>
                  </a:rPr>
                  <a:t>3</a:t>
                </a:r>
                <a:r>
                  <a:rPr lang="zh-CN" altLang="en-US" sz="1200" b="0">
                    <a:latin typeface="+mn-ea"/>
                    <a:ea typeface="+mn-ea"/>
                  </a:rPr>
                  <a:t>、根据以上描述，利润</a:t>
                </a:r>
                <a:r>
                  <a:rPr lang="el-GR" altLang="zh-CN" sz="1100" b="0">
                    <a:solidFill>
                      <a:schemeClr val="dk1"/>
                    </a:solidFill>
                    <a:effectLst/>
                    <a:latin typeface="+mn-lt"/>
                    <a:ea typeface="+mn-ea"/>
                    <a:cs typeface="+mn-cs"/>
                  </a:rPr>
                  <a:t>π</a:t>
                </a:r>
                <a:r>
                  <a:rPr lang="zh-CN" altLang="en-US" sz="1200" b="0">
                    <a:latin typeface="+mn-ea"/>
                    <a:ea typeface="+mn-ea"/>
                  </a:rPr>
                  <a:t>可以写为：</a:t>
                </a:r>
                <a:r>
                  <a:rPr lang="el-GR" altLang="zh-CN" sz="1200" b="0">
                    <a:latin typeface="+mn-ea"/>
                    <a:ea typeface="+mn-ea"/>
                  </a:rPr>
                  <a:t>π</a:t>
                </a:r>
                <a:r>
                  <a:rPr lang="en-US" altLang="zh-CN" sz="1200" b="0">
                    <a:latin typeface="+mn-ea"/>
                    <a:ea typeface="+mn-ea"/>
                  </a:rPr>
                  <a:t> = -(b+d)Q</a:t>
                </a:r>
                <a:r>
                  <a:rPr lang="en-US" altLang="zh-CN" sz="1200" b="0" baseline="30000">
                    <a:latin typeface="+mn-ea"/>
                    <a:ea typeface="+mn-ea"/>
                  </a:rPr>
                  <a:t>2</a:t>
                </a:r>
                <a:r>
                  <a:rPr lang="en-US" altLang="zh-CN" sz="1200" b="0">
                    <a:latin typeface="+mn-ea"/>
                    <a:ea typeface="+mn-ea"/>
                  </a:rPr>
                  <a:t>+(a-c)Q-F</a:t>
                </a:r>
              </a:p>
              <a:p>
                <a:r>
                  <a:rPr lang="zh-CN" altLang="en-US" sz="1200" b="0">
                    <a:latin typeface="+mn-ea"/>
                    <a:ea typeface="+mn-ea"/>
                  </a:rPr>
                  <a:t>请采用数学公式计算最优销量及利润极大值、计算两个盈亏平衡点，及其对应的销售收入。</a:t>
                </a:r>
                <a:endParaRPr lang="en-US" altLang="zh-CN" sz="1200" b="0">
                  <a:latin typeface="+mn-ea"/>
                  <a:ea typeface="+mn-ea"/>
                </a:endParaRPr>
              </a:p>
              <a:p>
                <a:r>
                  <a:rPr lang="zh-CN" altLang="en-US" sz="1200" b="0">
                    <a:latin typeface="+mn-ea"/>
                    <a:ea typeface="+mn-ea"/>
                  </a:rPr>
                  <a:t>（提示：</a:t>
                </a:r>
                <a:r>
                  <a:rPr lang="en-US" altLang="zh-CN" sz="1200" b="0">
                    <a:solidFill>
                      <a:schemeClr val="dk1"/>
                    </a:solidFill>
                    <a:effectLst/>
                    <a:latin typeface="+mn-ea"/>
                    <a:ea typeface="+mn-ea"/>
                    <a:cs typeface="+mn-cs"/>
                  </a:rPr>
                  <a:t>y =aX</a:t>
                </a:r>
                <a:r>
                  <a:rPr lang="en-US" altLang="zh-CN" sz="1200" b="0" baseline="30000">
                    <a:solidFill>
                      <a:schemeClr val="dk1"/>
                    </a:solidFill>
                    <a:effectLst/>
                    <a:latin typeface="+mn-ea"/>
                    <a:ea typeface="+mn-ea"/>
                    <a:cs typeface="+mn-cs"/>
                  </a:rPr>
                  <a:t>2</a:t>
                </a:r>
                <a:r>
                  <a:rPr lang="en-US" altLang="zh-CN" sz="1200" b="0">
                    <a:solidFill>
                      <a:schemeClr val="dk1"/>
                    </a:solidFill>
                    <a:effectLst/>
                    <a:latin typeface="+mn-ea"/>
                    <a:ea typeface="+mn-ea"/>
                    <a:cs typeface="+mn-cs"/>
                  </a:rPr>
                  <a:t>+bX+c</a:t>
                </a:r>
                <a:r>
                  <a:rPr lang="zh-CN" altLang="en-US" sz="1200" b="0">
                    <a:solidFill>
                      <a:schemeClr val="dk1"/>
                    </a:solidFill>
                    <a:effectLst/>
                    <a:latin typeface="+mn-ea"/>
                    <a:ea typeface="+mn-ea"/>
                    <a:cs typeface="+mn-cs"/>
                  </a:rPr>
                  <a:t>等式为</a:t>
                </a:r>
                <a:r>
                  <a:rPr lang="en-US" altLang="zh-CN" sz="1200" b="0">
                    <a:solidFill>
                      <a:schemeClr val="dk1"/>
                    </a:solidFill>
                    <a:effectLst/>
                    <a:latin typeface="+mn-ea"/>
                    <a:ea typeface="+mn-ea"/>
                    <a:cs typeface="+mn-cs"/>
                  </a:rPr>
                  <a:t>0</a:t>
                </a:r>
                <a:r>
                  <a:rPr lang="zh-CN" altLang="en-US" sz="1200" b="0">
                    <a:solidFill>
                      <a:schemeClr val="dk1"/>
                    </a:solidFill>
                    <a:effectLst/>
                    <a:latin typeface="+mn-ea"/>
                    <a:ea typeface="+mn-ea"/>
                    <a:cs typeface="+mn-cs"/>
                  </a:rPr>
                  <a:t>的</a:t>
                </a:r>
                <a:r>
                  <a:rPr lang="zh-CN" altLang="en-US" sz="1200" b="0" i="0">
                    <a:solidFill>
                      <a:schemeClr val="dk1"/>
                    </a:solidFill>
                    <a:effectLst/>
                    <a:latin typeface="Cambria Math" panose="02040503050406030204" pitchFamily="18" charset="0"/>
                    <a:ea typeface="+mn-ea"/>
                    <a:cs typeface="+mn-cs"/>
                  </a:rPr>
                  <a:t>解</a:t>
                </a:r>
                <a:r>
                  <a:rPr lang="en-US" altLang="zh-CN" sz="1200" b="0" i="0">
                    <a:solidFill>
                      <a:schemeClr val="dk1"/>
                    </a:solidFill>
                    <a:effectLst/>
                    <a:latin typeface="Cambria Math" panose="02040503050406030204" pitchFamily="18" charset="0"/>
                    <a:ea typeface="+mn-ea"/>
                    <a:cs typeface="+mn-cs"/>
                  </a:rPr>
                  <a:t>𝑥=(−𝑏±√(𝑏^2−4𝑎𝑐))/2𝑎</a:t>
                </a:r>
                <a:r>
                  <a:rPr lang="zh-CN" altLang="en-US" sz="1200" b="0">
                    <a:latin typeface="+mn-ea"/>
                    <a:ea typeface="+mn-ea"/>
                  </a:rPr>
                  <a:t>）</a:t>
                </a:r>
                <a:endParaRPr lang="en-US" altLang="zh-CN" sz="1200" b="0">
                  <a:latin typeface="+mn-ea"/>
                  <a:ea typeface="+mn-ea"/>
                </a:endParaRPr>
              </a:p>
              <a:p>
                <a:r>
                  <a:rPr lang="en-US" altLang="zh-CN" sz="1200" b="0">
                    <a:latin typeface="+mn-ea"/>
                    <a:ea typeface="+mn-ea"/>
                  </a:rPr>
                  <a:t>4</a:t>
                </a:r>
                <a:r>
                  <a:rPr lang="zh-CN" altLang="en-US" sz="1200" b="0">
                    <a:latin typeface="+mn-ea"/>
                    <a:ea typeface="+mn-ea"/>
                  </a:rPr>
                  <a:t>、绘制如样图所示的销售收入、总成本和利润随销量变化的图表，并</a:t>
                </a:r>
                <a:r>
                  <a:rPr lang="zh-CN" altLang="zh-CN" sz="1200" b="0">
                    <a:solidFill>
                      <a:schemeClr val="dk1"/>
                    </a:solidFill>
                    <a:effectLst/>
                    <a:latin typeface="+mn-ea"/>
                    <a:ea typeface="+mn-ea"/>
                    <a:cs typeface="+mn-cs"/>
                  </a:rPr>
                  <a:t>在图中</a:t>
                </a:r>
                <a:r>
                  <a:rPr lang="zh-CN" altLang="en-US" sz="1200" b="0">
                    <a:solidFill>
                      <a:schemeClr val="dk1"/>
                    </a:solidFill>
                    <a:effectLst/>
                    <a:latin typeface="+mn-ea"/>
                    <a:ea typeface="+mn-ea"/>
                    <a:cs typeface="+mn-cs"/>
                  </a:rPr>
                  <a:t>标示通过利润极大值的点和盈亏平衡点的垂直参考线</a:t>
                </a:r>
                <a:r>
                  <a:rPr lang="zh-CN" altLang="zh-CN" sz="1200" b="0">
                    <a:solidFill>
                      <a:schemeClr val="dk1"/>
                    </a:solidFill>
                    <a:effectLst/>
                    <a:latin typeface="+mn-ea"/>
                    <a:ea typeface="+mn-ea"/>
                    <a:cs typeface="+mn-cs"/>
                  </a:rPr>
                  <a:t> 。</a:t>
                </a:r>
                <a:endParaRPr lang="en-US" altLang="zh-CN" sz="1200" b="0">
                  <a:solidFill>
                    <a:schemeClr val="dk1"/>
                  </a:solidFill>
                  <a:effectLst/>
                  <a:latin typeface="+mn-ea"/>
                  <a:ea typeface="+mn-ea"/>
                  <a:cs typeface="+mn-cs"/>
                </a:endParaRPr>
              </a:p>
              <a:p>
                <a:r>
                  <a:rPr lang="en-US" altLang="zh-CN" sz="1200" b="0" baseline="0">
                    <a:latin typeface="+mn-ea"/>
                    <a:ea typeface="+mn-ea"/>
                  </a:rPr>
                  <a:t>5</a:t>
                </a:r>
                <a:r>
                  <a:rPr lang="zh-CN" altLang="en-US" sz="1200" b="0" baseline="0">
                    <a:latin typeface="+mn-ea"/>
                    <a:ea typeface="+mn-ea"/>
                  </a:rPr>
                  <a:t>、在图中</a:t>
                </a:r>
                <a:r>
                  <a:rPr lang="zh-CN" altLang="en-US" sz="1200" b="0">
                    <a:latin typeface="+mn-ea"/>
                    <a:ea typeface="+mn-ea"/>
                  </a:rPr>
                  <a:t>添加一个微调项，使销量从</a:t>
                </a:r>
                <a:r>
                  <a:rPr lang="en-US" altLang="zh-CN" sz="1200" b="0">
                    <a:latin typeface="+mn-ea"/>
                    <a:ea typeface="+mn-ea"/>
                  </a:rPr>
                  <a:t>0</a:t>
                </a:r>
                <a:r>
                  <a:rPr lang="zh-CN" altLang="en-US" sz="1200" b="0">
                    <a:latin typeface="+mn-ea"/>
                    <a:ea typeface="+mn-ea"/>
                  </a:rPr>
                  <a:t>按步长</a:t>
                </a:r>
                <a:r>
                  <a:rPr lang="en-US" altLang="zh-CN" sz="1200" b="0">
                    <a:latin typeface="+mn-ea"/>
                    <a:ea typeface="+mn-ea"/>
                  </a:rPr>
                  <a:t>5</a:t>
                </a:r>
                <a:r>
                  <a:rPr lang="zh-CN" altLang="en-US" sz="1200" b="0">
                    <a:latin typeface="+mn-ea"/>
                    <a:ea typeface="+mn-ea"/>
                  </a:rPr>
                  <a:t>变化到</a:t>
                </a:r>
                <a:r>
                  <a:rPr lang="en-US" altLang="zh-CN" sz="1200" b="0">
                    <a:latin typeface="+mn-ea"/>
                    <a:ea typeface="+mn-ea"/>
                  </a:rPr>
                  <a:t>40</a:t>
                </a:r>
                <a:r>
                  <a:rPr lang="zh-CN" altLang="en-US" sz="1200" b="0">
                    <a:latin typeface="+mn-ea"/>
                    <a:ea typeface="+mn-ea"/>
                  </a:rPr>
                  <a:t>，通过当前销量垂直线反映</a:t>
                </a:r>
                <a:r>
                  <a:rPr lang="zh-CN" altLang="zh-CN" sz="1200" b="0">
                    <a:solidFill>
                      <a:schemeClr val="dk1"/>
                    </a:solidFill>
                    <a:effectLst/>
                    <a:latin typeface="+mn-ea"/>
                    <a:ea typeface="+mn-ea"/>
                    <a:cs typeface="+mn-cs"/>
                  </a:rPr>
                  <a:t>当前</a:t>
                </a:r>
                <a:r>
                  <a:rPr lang="zh-CN" altLang="en-US" sz="1200" b="0">
                    <a:solidFill>
                      <a:schemeClr val="dk1"/>
                    </a:solidFill>
                    <a:effectLst/>
                    <a:latin typeface="+mn-ea"/>
                    <a:ea typeface="+mn-ea"/>
                    <a:cs typeface="+mn-cs"/>
                  </a:rPr>
                  <a:t>销量对应盈利</a:t>
                </a:r>
                <a:r>
                  <a:rPr lang="en-US" altLang="zh-CN" sz="1200" b="0">
                    <a:solidFill>
                      <a:schemeClr val="dk1"/>
                    </a:solidFill>
                    <a:effectLst/>
                    <a:latin typeface="+mn-ea"/>
                    <a:ea typeface="+mn-ea"/>
                    <a:cs typeface="+mn-cs"/>
                  </a:rPr>
                  <a:t>-</a:t>
                </a:r>
                <a:r>
                  <a:rPr lang="zh-CN" altLang="en-US" sz="1200" b="0">
                    <a:solidFill>
                      <a:schemeClr val="dk1"/>
                    </a:solidFill>
                    <a:effectLst/>
                    <a:latin typeface="+mn-ea"/>
                    <a:ea typeface="+mn-ea"/>
                    <a:cs typeface="+mn-cs"/>
                  </a:rPr>
                  <a:t>亏损的变化，其中盈利时用红色线表示，亏损时用绿色线表示</a:t>
                </a:r>
                <a:r>
                  <a:rPr lang="zh-CN" altLang="en-US" sz="1200" b="0">
                    <a:latin typeface="+mn-ea"/>
                    <a:ea typeface="+mn-ea"/>
                  </a:rPr>
                  <a:t>。组合图表与该微调项。</a:t>
                </a:r>
                <a:endParaRPr lang="en-US" altLang="zh-CN" sz="1200" b="0">
                  <a:latin typeface="+mn-ea"/>
                  <a:ea typeface="+mn-ea"/>
                </a:endParaRPr>
              </a:p>
              <a:p>
                <a:r>
                  <a:rPr lang="en-US" altLang="zh-CN" sz="1200" b="0">
                    <a:effectLst/>
                    <a:latin typeface="+mn-ea"/>
                    <a:ea typeface="+mn-ea"/>
                  </a:rPr>
                  <a:t>6</a:t>
                </a:r>
                <a:r>
                  <a:rPr lang="zh-CN" altLang="en-US" sz="1200" b="0">
                    <a:effectLst/>
                    <a:latin typeface="+mn-ea"/>
                    <a:ea typeface="+mn-ea"/>
                  </a:rPr>
                  <a:t>、添加决策结论表明销量数值对应的盈利或亏损额。</a:t>
                </a:r>
                <a:endParaRPr lang="zh-CN" altLang="zh-CN" sz="1200" b="0">
                  <a:effectLst/>
                  <a:latin typeface="+mn-ea"/>
                  <a:ea typeface="+mn-ea"/>
                </a:endParaRPr>
              </a:p>
            </xdr:txBody>
          </xdr:sp>
        </mc:Fallback>
      </mc:AlternateContent>
      <xdr:pic>
        <xdr:nvPicPr>
          <xdr:cNvPr id="4" name="图片 3">
            <a:extLst>
              <a:ext uri="{FF2B5EF4-FFF2-40B4-BE49-F238E27FC236}">
                <a16:creationId xmlns:a16="http://schemas.microsoft.com/office/drawing/2014/main" id="{092739A1-0797-C6FC-C711-0A128EEFD023}"/>
              </a:ext>
            </a:extLst>
          </xdr:cNvPr>
          <xdr:cNvPicPr>
            <a:picLocks noChangeAspect="1"/>
          </xdr:cNvPicPr>
        </xdr:nvPicPr>
        <xdr:blipFill>
          <a:blip xmlns:r="http://schemas.openxmlformats.org/officeDocument/2006/relationships" r:embed="rId1"/>
          <a:stretch>
            <a:fillRect/>
          </a:stretch>
        </xdr:blipFill>
        <xdr:spPr>
          <a:xfrm>
            <a:off x="5225006" y="3019351"/>
            <a:ext cx="3283414" cy="2696894"/>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80681</xdr:colOff>
      <xdr:row>1</xdr:row>
      <xdr:rowOff>111385</xdr:rowOff>
    </xdr:from>
    <xdr:to>
      <xdr:col>46</xdr:col>
      <xdr:colOff>502502</xdr:colOff>
      <xdr:row>25</xdr:row>
      <xdr:rowOff>1007</xdr:rowOff>
    </xdr:to>
    <xdr:grpSp>
      <xdr:nvGrpSpPr>
        <xdr:cNvPr id="2" name="组合 1">
          <a:extLst>
            <a:ext uri="{FF2B5EF4-FFF2-40B4-BE49-F238E27FC236}">
              <a16:creationId xmlns:a16="http://schemas.microsoft.com/office/drawing/2014/main" id="{FE1B2116-81E2-49F9-A84A-D2EB0A1E6D43}"/>
            </a:ext>
          </a:extLst>
        </xdr:cNvPr>
        <xdr:cNvGrpSpPr/>
      </xdr:nvGrpSpPr>
      <xdr:grpSpPr>
        <a:xfrm>
          <a:off x="5773269" y="285077"/>
          <a:ext cx="9319292" cy="4921063"/>
          <a:chOff x="8957478" y="2732105"/>
          <a:chExt cx="9673958" cy="4514850"/>
        </a:xfrm>
      </xdr:grpSpPr>
      <xdr:grpSp>
        <xdr:nvGrpSpPr>
          <xdr:cNvPr id="3" name="组合 2">
            <a:extLst>
              <a:ext uri="{FF2B5EF4-FFF2-40B4-BE49-F238E27FC236}">
                <a16:creationId xmlns:a16="http://schemas.microsoft.com/office/drawing/2014/main" id="{E7EA618D-25CA-5B32-541E-33EB42DC8904}"/>
              </a:ext>
            </a:extLst>
          </xdr:cNvPr>
          <xdr:cNvGrpSpPr/>
        </xdr:nvGrpSpPr>
        <xdr:grpSpPr>
          <a:xfrm>
            <a:off x="8957478" y="2732105"/>
            <a:ext cx="9673958" cy="4514850"/>
            <a:chOff x="3279313" y="3417905"/>
            <a:chExt cx="9359633" cy="4514850"/>
          </a:xfrm>
        </xdr:grpSpPr>
        <xdr:sp macro="" textlink="">
          <xdr:nvSpPr>
            <xdr:cNvPr id="5" name="Text Box 1">
              <a:extLst>
                <a:ext uri="{FF2B5EF4-FFF2-40B4-BE49-F238E27FC236}">
                  <a16:creationId xmlns:a16="http://schemas.microsoft.com/office/drawing/2014/main" id="{D98BA8BF-0427-381F-685B-F6BE172CE0E2}"/>
                </a:ext>
              </a:extLst>
            </xdr:cNvPr>
            <xdr:cNvSpPr txBox="1">
              <a:spLocks noChangeArrowheads="1"/>
            </xdr:cNvSpPr>
          </xdr:nvSpPr>
          <xdr:spPr bwMode="auto">
            <a:xfrm>
              <a:off x="3279313" y="3417905"/>
              <a:ext cx="9359633" cy="4514850"/>
            </a:xfrm>
            <a:prstGeom prst="rect">
              <a:avLst/>
            </a:prstGeom>
            <a:solidFill>
              <a:srgbClr val="DBEEF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500"/>
                </a:lnSpc>
                <a:defRPr sz="1000"/>
              </a:pPr>
              <a:endParaRPr lang="en-US" altLang="zh-CN" sz="1200" b="1" i="0" u="none" strike="noStrike" baseline="0">
                <a:solidFill>
                  <a:srgbClr val="000000"/>
                </a:solidFill>
                <a:latin typeface="宋体"/>
                <a:ea typeface="宋体"/>
              </a:endParaRPr>
            </a:p>
            <a:p>
              <a:pPr algn="l" rtl="0">
                <a:lnSpc>
                  <a:spcPts val="20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7</a:t>
              </a:r>
              <a:r>
                <a:rPr lang="zh-CN" altLang="en-US" sz="1200" b="1" i="0" u="none" strike="noStrike" baseline="0">
                  <a:solidFill>
                    <a:srgbClr val="000000"/>
                  </a:solidFill>
                  <a:latin typeface="宋体"/>
                  <a:ea typeface="宋体"/>
                </a:rPr>
                <a:t>题（</a:t>
              </a:r>
              <a:r>
                <a:rPr lang="en-US" altLang="zh-CN" sz="1200" b="1" i="0" u="none" strike="noStrike" baseline="0">
                  <a:solidFill>
                    <a:srgbClr val="000000"/>
                  </a:solidFill>
                  <a:latin typeface="宋体"/>
                  <a:ea typeface="宋体"/>
                </a:rPr>
                <a:t>15</a:t>
              </a:r>
              <a:r>
                <a:rPr lang="zh-CN" altLang="en-US" sz="1200" b="1" i="0" u="none" strike="noStrike" baseline="0">
                  <a:solidFill>
                    <a:srgbClr val="000000"/>
                  </a:solidFill>
                  <a:latin typeface="宋体"/>
                  <a:ea typeface="宋体"/>
                </a:rPr>
                <a:t>分）</a:t>
              </a:r>
              <a:r>
                <a:rPr lang="zh-CN" altLang="en-US" sz="1200" b="0" i="0" u="none" strike="noStrike" baseline="0">
                  <a:solidFill>
                    <a:srgbClr val="000000"/>
                  </a:solidFill>
                  <a:latin typeface="宋体"/>
                  <a:ea typeface="宋体"/>
                  <a:cs typeface="+mn-cs"/>
                </a:rPr>
                <a:t> 某品牌的服装销售门店日销售量服从</a:t>
              </a:r>
              <a:r>
                <a:rPr lang="en-US" altLang="zh-CN" sz="1200" b="0" i="0" u="none" strike="noStrike" baseline="0">
                  <a:solidFill>
                    <a:srgbClr val="000000"/>
                  </a:solidFill>
                  <a:latin typeface="宋体"/>
                  <a:ea typeface="宋体"/>
                </a:rPr>
                <a:t>[</a:t>
              </a:r>
              <a:r>
                <a:rPr lang="en-US" altLang="zh-CN" sz="1200" b="0" i="0" u="none" strike="noStrike" baseline="0">
                  <a:solidFill>
                    <a:srgbClr val="000000"/>
                  </a:solidFill>
                  <a:latin typeface="宋体"/>
                  <a:ea typeface="宋体"/>
                  <a:cs typeface="+mn-cs"/>
                </a:rPr>
                <a:t>30,40]</a:t>
              </a:r>
              <a:r>
                <a:rPr lang="zh-CN" altLang="en-US" sz="1200" b="0" i="0" u="none" strike="noStrike" baseline="0">
                  <a:solidFill>
                    <a:srgbClr val="000000"/>
                  </a:solidFill>
                  <a:latin typeface="宋体"/>
                  <a:ea typeface="宋体"/>
                  <a:cs typeface="+mn-cs"/>
                </a:rPr>
                <a:t>之间的均匀分布。每件服装的销售成本均值为</a:t>
              </a:r>
              <a:r>
                <a:rPr lang="en-US" altLang="zh-CN" sz="1200" b="0" i="0" u="none" strike="noStrike" baseline="0">
                  <a:solidFill>
                    <a:srgbClr val="000000"/>
                  </a:solidFill>
                  <a:latin typeface="宋体"/>
                  <a:ea typeface="宋体"/>
                  <a:cs typeface="+mn-cs"/>
                </a:rPr>
                <a:t>15</a:t>
              </a:r>
              <a:r>
                <a:rPr lang="zh-CN" altLang="en-US" sz="1200" b="0" i="0" u="none" strike="noStrike" baseline="0">
                  <a:solidFill>
                    <a:srgbClr val="000000"/>
                  </a:solidFill>
                  <a:latin typeface="宋体"/>
                  <a:ea typeface="宋体"/>
                  <a:cs typeface="+mn-cs"/>
                </a:rPr>
                <a:t>元，标准差为</a:t>
              </a:r>
              <a:r>
                <a:rPr lang="en-US" altLang="zh-CN" sz="1200" b="0" i="0" u="none" strike="noStrike" baseline="0">
                  <a:solidFill>
                    <a:srgbClr val="000000"/>
                  </a:solidFill>
                  <a:latin typeface="宋体"/>
                  <a:ea typeface="宋体"/>
                  <a:cs typeface="+mn-cs"/>
                </a:rPr>
                <a:t>4</a:t>
              </a:r>
              <a:r>
                <a:rPr lang="zh-CN" altLang="en-US" sz="1200" b="0" i="0" u="none" strike="noStrike" baseline="0">
                  <a:solidFill>
                    <a:srgbClr val="000000"/>
                  </a:solidFill>
                  <a:latin typeface="宋体"/>
                  <a:ea typeface="宋体"/>
                  <a:cs typeface="+mn-cs"/>
                </a:rPr>
                <a:t>元的正态分布</a:t>
              </a:r>
              <a:r>
                <a:rPr lang="en-US" altLang="zh-CN" sz="1200" b="0" i="0" u="none" strike="noStrike" baseline="0">
                  <a:solidFill>
                    <a:srgbClr val="000000"/>
                  </a:solidFill>
                  <a:latin typeface="宋体"/>
                  <a:ea typeface="宋体"/>
                  <a:cs typeface="+mn-cs"/>
                </a:rPr>
                <a:t>(</a:t>
              </a:r>
              <a:r>
                <a:rPr lang="zh-CN" altLang="en-US" sz="1200" b="0" i="0" u="none" strike="noStrike" baseline="0">
                  <a:solidFill>
                    <a:srgbClr val="000000"/>
                  </a:solidFill>
                  <a:latin typeface="宋体"/>
                  <a:ea typeface="宋体"/>
                  <a:cs typeface="+mn-cs"/>
                </a:rPr>
                <a:t>结果保留</a:t>
              </a:r>
              <a:r>
                <a:rPr lang="en-US" altLang="zh-CN" sz="1200" b="0" i="0" u="none" strike="noStrike" baseline="0">
                  <a:solidFill>
                    <a:srgbClr val="000000"/>
                  </a:solidFill>
                  <a:latin typeface="宋体"/>
                  <a:ea typeface="宋体"/>
                  <a:cs typeface="+mn-cs"/>
                </a:rPr>
                <a:t>2</a:t>
              </a:r>
              <a:r>
                <a:rPr lang="zh-CN" altLang="en-US" sz="1200" b="0" i="0" u="none" strike="noStrike" baseline="0">
                  <a:solidFill>
                    <a:srgbClr val="000000"/>
                  </a:solidFill>
                  <a:latin typeface="宋体"/>
                  <a:ea typeface="宋体"/>
                  <a:cs typeface="+mn-cs"/>
                </a:rPr>
                <a:t>位小数</a:t>
              </a:r>
              <a:r>
                <a:rPr lang="en-US" altLang="zh-CN" sz="1200" b="0" i="0" u="none" strike="noStrike" baseline="0">
                  <a:solidFill>
                    <a:srgbClr val="000000"/>
                  </a:solidFill>
                  <a:latin typeface="宋体"/>
                  <a:ea typeface="宋体"/>
                  <a:cs typeface="+mn-cs"/>
                </a:rPr>
                <a:t>)</a:t>
              </a:r>
              <a:r>
                <a:rPr lang="zh-CN" altLang="en-US" sz="1200" b="0" i="0" u="none" strike="noStrike" baseline="0">
                  <a:solidFill>
                    <a:srgbClr val="000000"/>
                  </a:solidFill>
                  <a:latin typeface="宋体"/>
                  <a:ea typeface="宋体"/>
                  <a:cs typeface="+mn-cs"/>
                </a:rPr>
                <a:t>，一件服装储存一天的成本是</a:t>
              </a:r>
              <a:r>
                <a:rPr lang="en-US" altLang="zh-CN" sz="1200" b="0" i="0" u="none" strike="noStrike" baseline="0">
                  <a:solidFill>
                    <a:srgbClr val="000000"/>
                  </a:solidFill>
                  <a:latin typeface="宋体"/>
                  <a:ea typeface="宋体"/>
                  <a:cs typeface="+mn-cs"/>
                </a:rPr>
                <a:t>20</a:t>
              </a:r>
              <a:r>
                <a:rPr lang="zh-CN" altLang="en-US" sz="1200" b="0" i="0" u="none" strike="noStrike" baseline="0">
                  <a:solidFill>
                    <a:srgbClr val="000000"/>
                  </a:solidFill>
                  <a:latin typeface="宋体"/>
                  <a:ea typeface="宋体"/>
                  <a:cs typeface="+mn-cs"/>
                </a:rPr>
                <a:t>元，</a:t>
              </a:r>
              <a:r>
                <a:rPr lang="zh-CN" altLang="zh-CN" sz="1200" b="0" i="0" u="none" strike="noStrike" baseline="0">
                  <a:solidFill>
                    <a:srgbClr val="000000"/>
                  </a:solidFill>
                  <a:latin typeface="宋体"/>
                  <a:ea typeface="宋体"/>
                  <a:cs typeface="+mn-cs"/>
                </a:rPr>
                <a:t>单件缺货成本为</a:t>
              </a:r>
              <a:r>
                <a:rPr lang="en-US" altLang="zh-CN" sz="1200" b="0" i="0" u="none" strike="noStrike" baseline="0">
                  <a:solidFill>
                    <a:srgbClr val="000000"/>
                  </a:solidFill>
                  <a:latin typeface="宋体"/>
                  <a:ea typeface="宋体"/>
                  <a:cs typeface="+mn-cs"/>
                </a:rPr>
                <a:t>80</a:t>
              </a:r>
              <a:r>
                <a:rPr lang="zh-CN" altLang="zh-CN" sz="1200" b="0" i="0" u="none" strike="noStrike" baseline="0">
                  <a:solidFill>
                    <a:srgbClr val="000000"/>
                  </a:solidFill>
                  <a:latin typeface="宋体"/>
                  <a:ea typeface="宋体"/>
                  <a:cs typeface="+mn-cs"/>
                </a:rPr>
                <a:t>元，</a:t>
              </a:r>
              <a:r>
                <a:rPr lang="zh-CN" altLang="en-US" sz="1200" b="0" i="0" u="none" strike="noStrike" baseline="0">
                  <a:solidFill>
                    <a:srgbClr val="000000"/>
                  </a:solidFill>
                  <a:latin typeface="宋体"/>
                  <a:ea typeface="宋体"/>
                  <a:cs typeface="+mn-cs"/>
                </a:rPr>
                <a:t>当库存低于</a:t>
              </a:r>
              <a:r>
                <a:rPr lang="en-US" altLang="zh-CN" sz="1200" b="0" i="0" u="none" strike="noStrike" baseline="0">
                  <a:solidFill>
                    <a:srgbClr val="000000"/>
                  </a:solidFill>
                  <a:latin typeface="宋体"/>
                  <a:ea typeface="宋体"/>
                  <a:cs typeface="+mn-cs"/>
                </a:rPr>
                <a:t>20</a:t>
              </a:r>
              <a:r>
                <a:rPr lang="zh-CN" altLang="en-US" sz="1200" b="0" i="0" u="none" strike="noStrike" baseline="0">
                  <a:solidFill>
                    <a:srgbClr val="000000"/>
                  </a:solidFill>
                  <a:latin typeface="宋体"/>
                  <a:ea typeface="宋体"/>
                  <a:cs typeface="+mn-cs"/>
                </a:rPr>
                <a:t>件时就订货，</a:t>
              </a:r>
              <a:r>
                <a:rPr lang="zh-CN" altLang="zh-CN" sz="1200" b="0" i="0" u="none" strike="noStrike" baseline="0">
                  <a:solidFill>
                    <a:srgbClr val="000000"/>
                  </a:solidFill>
                  <a:latin typeface="宋体"/>
                  <a:ea typeface="宋体"/>
                  <a:cs typeface="+mn-cs"/>
                </a:rPr>
                <a:t>一次订购的订购成本为</a:t>
              </a:r>
              <a:r>
                <a:rPr lang="en-US" altLang="zh-CN" sz="1200" b="0" i="0" u="none" strike="noStrike" baseline="0">
                  <a:solidFill>
                    <a:srgbClr val="000000"/>
                  </a:solidFill>
                  <a:latin typeface="宋体"/>
                  <a:ea typeface="宋体"/>
                  <a:cs typeface="+mn-cs"/>
                </a:rPr>
                <a:t>100</a:t>
              </a:r>
              <a:r>
                <a:rPr lang="zh-CN" altLang="zh-CN" sz="1200" b="0" i="0" u="none" strike="noStrike" baseline="0">
                  <a:solidFill>
                    <a:srgbClr val="000000"/>
                  </a:solidFill>
                  <a:latin typeface="宋体"/>
                  <a:ea typeface="宋体"/>
                  <a:cs typeface="+mn-cs"/>
                </a:rPr>
                <a:t>元</a:t>
              </a:r>
              <a:r>
                <a:rPr lang="zh-CN" altLang="en-US" sz="1200" b="0" i="0" u="none" strike="noStrike" baseline="0">
                  <a:solidFill>
                    <a:srgbClr val="000000"/>
                  </a:solidFill>
                  <a:latin typeface="宋体"/>
                  <a:ea typeface="宋体"/>
                  <a:cs typeface="+mn-cs"/>
                </a:rPr>
                <a:t>，订购量为</a:t>
              </a:r>
              <a:r>
                <a:rPr lang="en-US" altLang="zh-CN" sz="1200" b="0" i="0" u="none" strike="noStrike" baseline="0">
                  <a:solidFill>
                    <a:srgbClr val="000000"/>
                  </a:solidFill>
                  <a:latin typeface="宋体"/>
                  <a:ea typeface="宋体"/>
                  <a:cs typeface="+mn-cs"/>
                </a:rPr>
                <a:t>100</a:t>
              </a:r>
              <a:r>
                <a:rPr lang="zh-CN" altLang="en-US" sz="1200" b="0" i="0" u="none" strike="noStrike" baseline="0">
                  <a:solidFill>
                    <a:srgbClr val="000000"/>
                  </a:solidFill>
                  <a:latin typeface="宋体"/>
                  <a:ea typeface="宋体"/>
                  <a:cs typeface="+mn-cs"/>
                </a:rPr>
                <a:t>件</a:t>
              </a:r>
              <a:r>
                <a:rPr lang="zh-CN" altLang="zh-CN" sz="1200" b="0" i="0" u="none" strike="noStrike" baseline="0">
                  <a:solidFill>
                    <a:srgbClr val="000000"/>
                  </a:solidFill>
                  <a:latin typeface="宋体"/>
                  <a:ea typeface="宋体"/>
                  <a:cs typeface="+mn-cs"/>
                </a:rPr>
                <a:t>，</a:t>
              </a:r>
              <a:r>
                <a:rPr lang="zh-CN" altLang="en-US" sz="1200" b="0" i="0" u="none" strike="noStrike" baseline="0">
                  <a:solidFill>
                    <a:srgbClr val="000000"/>
                  </a:solidFill>
                  <a:latin typeface="宋体"/>
                  <a:ea typeface="宋体"/>
                  <a:cs typeface="+mn-cs"/>
                </a:rPr>
                <a:t>服装</a:t>
              </a:r>
              <a:r>
                <a:rPr lang="zh-CN" altLang="en-US" sz="1200" b="0" i="0" u="none" strike="noStrike" baseline="0">
                  <a:solidFill>
                    <a:srgbClr val="000000"/>
                  </a:solidFill>
                  <a:latin typeface="宋体"/>
                  <a:ea typeface="宋体"/>
                </a:rPr>
                <a:t>达到的概率为</a:t>
              </a: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至</a:t>
              </a: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天的均匀分布。</a:t>
              </a:r>
              <a:endParaRPr lang="en-US" altLang="zh-CN" sz="1200" b="0" i="0" u="none" strike="noStrike" baseline="0">
                <a:solidFill>
                  <a:srgbClr val="000000"/>
                </a:solidFill>
                <a:latin typeface="宋体"/>
                <a:ea typeface="宋体"/>
              </a:endParaRPr>
            </a:p>
            <a:p>
              <a:pPr algn="l" rtl="0">
                <a:lnSpc>
                  <a:spcPts val="2000"/>
                </a:lnSpc>
                <a:defRPr sz="1000"/>
              </a:pPr>
              <a:r>
                <a:rPr lang="zh-CN" altLang="en-US" sz="1200" b="0" i="0" u="none" strike="noStrike" baseline="0">
                  <a:solidFill>
                    <a:srgbClr val="000000"/>
                  </a:solidFill>
                  <a:latin typeface="宋体"/>
                  <a:ea typeface="宋体"/>
                </a:rPr>
                <a:t> 假设初始库存为</a:t>
              </a:r>
              <a:r>
                <a:rPr lang="en-US" altLang="zh-CN" sz="1200" b="0" i="0" u="none" strike="noStrike" baseline="0">
                  <a:solidFill>
                    <a:srgbClr val="000000"/>
                  </a:solidFill>
                  <a:latin typeface="宋体"/>
                  <a:ea typeface="宋体"/>
                </a:rPr>
                <a:t>60</a:t>
              </a:r>
              <a:r>
                <a:rPr lang="zh-CN" altLang="en-US" sz="1200" b="0" i="0" u="none" strike="noStrike" baseline="0">
                  <a:solidFill>
                    <a:srgbClr val="000000"/>
                  </a:solidFill>
                  <a:latin typeface="宋体"/>
                  <a:ea typeface="宋体"/>
                </a:rPr>
                <a:t>件，完成以下要求：</a:t>
              </a:r>
              <a:endParaRPr lang="en-US" altLang="zh-CN" sz="1200" b="0" i="0" u="none" strike="noStrike" baseline="0">
                <a:solidFill>
                  <a:srgbClr val="000000"/>
                </a:solidFill>
                <a:latin typeface="宋体"/>
                <a:ea typeface="宋体"/>
              </a:endParaRPr>
            </a:p>
            <a:p>
              <a:pPr marL="0" marR="0" lvl="0" indent="0" algn="l" defTabSz="914400" rtl="0" eaLnBrk="1" fontAlgn="auto" latinLnBrk="0" hangingPunct="1">
                <a:lnSpc>
                  <a:spcPts val="2000"/>
                </a:lnSpc>
                <a:spcBef>
                  <a:spcPts val="0"/>
                </a:spcBef>
                <a:spcAft>
                  <a:spcPts val="0"/>
                </a:spcAft>
                <a:buClrTx/>
                <a:buSzTx/>
                <a:buFontTx/>
                <a:buNone/>
                <a:tabLst/>
                <a:defRPr sz="1000"/>
              </a:pPr>
              <a:r>
                <a:rPr lang="zh-CN" altLang="en-US" sz="1200" b="0" i="0" u="none" strike="noStrike" baseline="0">
                  <a:solidFill>
                    <a:srgbClr val="000000"/>
                  </a:solidFill>
                  <a:latin typeface="宋体"/>
                  <a:ea typeface="宋体"/>
                </a:rPr>
                <a:t>（</a:t>
              </a: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）模拟一个月</a:t>
              </a:r>
              <a:r>
                <a:rPr lang="en-US" altLang="zh-CN" sz="1200" b="0" i="0" u="none" strike="noStrike" baseline="0">
                  <a:solidFill>
                    <a:srgbClr val="000000"/>
                  </a:solidFill>
                  <a:latin typeface="宋体"/>
                  <a:ea typeface="宋体"/>
                </a:rPr>
                <a:t>(3</a:t>
              </a:r>
              <a:r>
                <a:rPr lang="zh-CN" altLang="en-US" sz="1200" b="0" i="0" u="none" strike="noStrike" baseline="0">
                  <a:solidFill>
                    <a:srgbClr val="000000"/>
                  </a:solidFill>
                  <a:latin typeface="宋体"/>
                  <a:ea typeface="宋体"/>
                </a:rPr>
                <a:t>0天</a:t>
              </a:r>
              <a:r>
                <a:rPr lang="en-US" altLang="zh-CN" sz="1200" b="0"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的库存的变化情况，如下图所</a:t>
              </a:r>
              <a:r>
                <a:rPr lang="zh-CN" altLang="en-US" sz="1200" b="0" i="0" u="none" strike="noStrike" baseline="0">
                  <a:solidFill>
                    <a:srgbClr val="000000"/>
                  </a:solidFill>
                  <a:latin typeface="宋体"/>
                  <a:ea typeface="宋体"/>
                  <a:cs typeface="+mn-cs"/>
                </a:rPr>
                <a:t>示。         </a:t>
              </a:r>
              <a:r>
                <a:rPr lang="zh-CN" altLang="zh-CN" sz="1200" b="0" i="0" u="none" strike="noStrike" baseline="0">
                  <a:solidFill>
                    <a:srgbClr val="000000"/>
                  </a:solidFill>
                  <a:latin typeface="宋体"/>
                  <a:ea typeface="宋体"/>
                  <a:cs typeface="+mn-cs"/>
                </a:rPr>
                <a:t>（</a:t>
              </a:r>
              <a:r>
                <a:rPr lang="en-US" altLang="zh-CN" sz="1200" b="0" i="0" u="none" strike="noStrike" baseline="0">
                  <a:solidFill>
                    <a:srgbClr val="000000"/>
                  </a:solidFill>
                  <a:latin typeface="宋体"/>
                  <a:ea typeface="宋体"/>
                  <a:cs typeface="+mn-cs"/>
                </a:rPr>
                <a:t>2</a:t>
              </a:r>
              <a:r>
                <a:rPr lang="zh-CN" altLang="zh-CN" sz="1200" b="0" i="0" u="none" strike="noStrike" baseline="0">
                  <a:solidFill>
                    <a:srgbClr val="000000"/>
                  </a:solidFill>
                  <a:latin typeface="宋体"/>
                  <a:ea typeface="宋体"/>
                  <a:cs typeface="+mn-cs"/>
                </a:rPr>
                <a:t>）当安全库存从</a:t>
              </a:r>
              <a:r>
                <a:rPr lang="en-US" altLang="zh-CN" sz="1200" b="0" i="0" u="none" strike="noStrike" baseline="0">
                  <a:solidFill>
                    <a:srgbClr val="000000"/>
                  </a:solidFill>
                  <a:latin typeface="宋体"/>
                  <a:ea typeface="宋体"/>
                  <a:cs typeface="+mn-cs"/>
                </a:rPr>
                <a:t>20</a:t>
              </a:r>
              <a:r>
                <a:rPr lang="zh-CN" altLang="zh-CN" sz="1200" b="0" i="0" u="none" strike="noStrike" baseline="0">
                  <a:solidFill>
                    <a:srgbClr val="000000"/>
                  </a:solidFill>
                  <a:latin typeface="宋体"/>
                  <a:ea typeface="宋体"/>
                  <a:cs typeface="+mn-cs"/>
                </a:rPr>
                <a:t>至</a:t>
              </a:r>
              <a:r>
                <a:rPr lang="en-US" altLang="zh-CN" sz="1200" b="0" i="0" u="none" strike="noStrike" baseline="0">
                  <a:solidFill>
                    <a:srgbClr val="000000"/>
                  </a:solidFill>
                  <a:latin typeface="宋体"/>
                  <a:ea typeface="宋体"/>
                  <a:cs typeface="+mn-cs"/>
                </a:rPr>
                <a:t>40</a:t>
              </a:r>
              <a:r>
                <a:rPr lang="zh-CN" altLang="zh-CN" sz="1200" b="0" i="0" u="none" strike="noStrike" baseline="0">
                  <a:solidFill>
                    <a:srgbClr val="000000"/>
                  </a:solidFill>
                  <a:latin typeface="宋体"/>
                  <a:ea typeface="宋体"/>
                  <a:cs typeface="+mn-cs"/>
                </a:rPr>
                <a:t>变化时，步长为</a:t>
              </a:r>
              <a:r>
                <a:rPr lang="en-US" altLang="zh-CN" sz="1200" b="0" i="0" u="none" strike="noStrike" baseline="0">
                  <a:solidFill>
                    <a:srgbClr val="000000"/>
                  </a:solidFill>
                  <a:latin typeface="宋体"/>
                  <a:ea typeface="宋体"/>
                  <a:cs typeface="+mn-cs"/>
                </a:rPr>
                <a:t>5</a:t>
              </a:r>
              <a:r>
                <a:rPr lang="zh-CN" altLang="zh-CN" sz="1200" b="0" i="0" u="none" strike="noStrike" baseline="0">
                  <a:solidFill>
                    <a:srgbClr val="000000"/>
                  </a:solidFill>
                  <a:latin typeface="宋体"/>
                  <a:ea typeface="宋体"/>
                  <a:cs typeface="+mn-cs"/>
                </a:rPr>
                <a:t>，模拟</a:t>
              </a:r>
              <a:r>
                <a:rPr lang="en-US" altLang="zh-CN" sz="1200" b="0" i="0" u="none" strike="noStrike" baseline="0">
                  <a:solidFill>
                    <a:srgbClr val="000000"/>
                  </a:solidFill>
                  <a:latin typeface="宋体"/>
                  <a:ea typeface="宋体"/>
                  <a:cs typeface="+mn-cs"/>
                </a:rPr>
                <a:t>30</a:t>
              </a:r>
              <a:r>
                <a:rPr lang="zh-CN" altLang="zh-CN" sz="1200" b="0" i="0" u="none" strike="noStrike" baseline="0">
                  <a:solidFill>
                    <a:srgbClr val="000000"/>
                  </a:solidFill>
                  <a:latin typeface="宋体"/>
                  <a:ea typeface="宋体"/>
                  <a:cs typeface="+mn-cs"/>
                </a:rPr>
                <a:t>次的总成本</a:t>
              </a:r>
              <a:r>
                <a:rPr lang="en-US" altLang="zh-CN" sz="1200" b="0" i="0" u="none" strike="noStrike" baseline="0">
                  <a:solidFill>
                    <a:srgbClr val="000000"/>
                  </a:solidFill>
                  <a:latin typeface="宋体"/>
                  <a:ea typeface="宋体"/>
                  <a:cs typeface="+mn-cs"/>
                </a:rPr>
                <a:t>(</a:t>
              </a:r>
              <a:r>
                <a:rPr lang="zh-CN" altLang="zh-CN" sz="1200" b="0" i="0" u="none" strike="noStrike" baseline="0">
                  <a:solidFill>
                    <a:srgbClr val="000000"/>
                  </a:solidFill>
                  <a:latin typeface="宋体"/>
                  <a:ea typeface="宋体"/>
                  <a:cs typeface="+mn-cs"/>
                </a:rPr>
                <a:t>储</a:t>
              </a:r>
              <a:endParaRPr lang="en-US" altLang="zh-CN" sz="1200" b="0" i="0" u="none" strike="noStrike" baseline="0">
                <a:solidFill>
                  <a:srgbClr val="000000"/>
                </a:solidFill>
                <a:latin typeface="宋体"/>
                <a:ea typeface="宋体"/>
                <a:cs typeface="+mn-cs"/>
              </a:endParaRPr>
            </a:p>
            <a:p>
              <a:pPr marL="0" marR="0" lvl="0" indent="0" algn="l" defTabSz="914400" rtl="0" eaLnBrk="1" fontAlgn="auto" latinLnBrk="0" hangingPunct="1">
                <a:lnSpc>
                  <a:spcPts val="2000"/>
                </a:lnSpc>
                <a:spcBef>
                  <a:spcPts val="0"/>
                </a:spcBef>
                <a:spcAft>
                  <a:spcPts val="0"/>
                </a:spcAft>
                <a:buClrTx/>
                <a:buSzTx/>
                <a:buFontTx/>
                <a:buNone/>
                <a:tabLst/>
                <a:defRPr sz="1000"/>
              </a:pPr>
              <a:r>
                <a:rPr lang="en-US" altLang="zh-CN" sz="1200" b="0" i="0" u="none" strike="noStrike" baseline="0">
                  <a:solidFill>
                    <a:srgbClr val="000000"/>
                  </a:solidFill>
                  <a:latin typeface="宋体"/>
                  <a:ea typeface="宋体"/>
                  <a:cs typeface="+mn-cs"/>
                </a:rPr>
                <a:t>                                                                 </a:t>
              </a:r>
              <a:r>
                <a:rPr lang="zh-CN" altLang="zh-CN" sz="1200" b="0" i="0" u="none" strike="noStrike" baseline="0">
                  <a:solidFill>
                    <a:srgbClr val="000000"/>
                  </a:solidFill>
                  <a:latin typeface="宋体"/>
                  <a:ea typeface="宋体"/>
                  <a:cs typeface="+mn-cs"/>
                </a:rPr>
                <a:t>存成本</a:t>
              </a:r>
              <a:r>
                <a:rPr lang="en-US" altLang="zh-CN" sz="1200" b="0" i="0" u="none" strike="noStrike" baseline="0">
                  <a:solidFill>
                    <a:srgbClr val="000000"/>
                  </a:solidFill>
                  <a:latin typeface="宋体"/>
                  <a:ea typeface="宋体"/>
                  <a:cs typeface="+mn-cs"/>
                </a:rPr>
                <a:t>=</a:t>
              </a:r>
              <a:r>
                <a:rPr lang="zh-CN" altLang="zh-CN" sz="1200" b="0" i="0" u="none" strike="noStrike" baseline="0">
                  <a:solidFill>
                    <a:srgbClr val="000000"/>
                  </a:solidFill>
                  <a:latin typeface="宋体"/>
                  <a:ea typeface="宋体"/>
                  <a:cs typeface="+mn-cs"/>
                </a:rPr>
                <a:t>单位储存成本</a:t>
              </a:r>
              <a:r>
                <a:rPr lang="en-US" altLang="zh-CN" sz="1200" b="0" i="0" u="none" strike="noStrike" baseline="0">
                  <a:solidFill>
                    <a:srgbClr val="000000"/>
                  </a:solidFill>
                  <a:latin typeface="宋体"/>
                  <a:ea typeface="宋体"/>
                  <a:cs typeface="+mn-cs"/>
                </a:rPr>
                <a:t>*</a:t>
              </a:r>
              <a:r>
                <a:rPr lang="zh-CN" altLang="zh-CN" sz="1200" b="0" i="0" u="none" strike="noStrike" baseline="0">
                  <a:solidFill>
                    <a:srgbClr val="000000"/>
                  </a:solidFill>
                  <a:latin typeface="宋体"/>
                  <a:ea typeface="宋体"/>
                  <a:cs typeface="+mn-cs"/>
                </a:rPr>
                <a:t>期末库存），随安全库存变化的图形。</a:t>
              </a:r>
            </a:p>
            <a:p>
              <a:pPr algn="l" rtl="0">
                <a:lnSpc>
                  <a:spcPts val="2000"/>
                </a:lnSpc>
                <a:defRPr sz="1000"/>
              </a:pPr>
              <a:endParaRPr lang="en-US" altLang="zh-CN" sz="1200" b="0" i="0" u="none" strike="noStrike" baseline="0">
                <a:solidFill>
                  <a:srgbClr val="000000"/>
                </a:solidFill>
                <a:latin typeface="宋体"/>
                <a:ea typeface="宋体"/>
              </a:endParaRPr>
            </a:p>
            <a:p>
              <a:pPr algn="l" rtl="0">
                <a:lnSpc>
                  <a:spcPts val="1500"/>
                </a:lnSpc>
                <a:defRPr sz="1000"/>
              </a:pPr>
              <a:endParaRPr lang="en-US" altLang="zh-CN" sz="1200" b="0" i="0" u="none" strike="noStrike" baseline="0">
                <a:solidFill>
                  <a:srgbClr val="000000"/>
                </a:solidFill>
                <a:latin typeface="宋体"/>
                <a:ea typeface="宋体"/>
              </a:endParaRPr>
            </a:p>
            <a:p>
              <a:pPr algn="l" rtl="0">
                <a:lnSpc>
                  <a:spcPts val="1500"/>
                </a:lnSpc>
                <a:defRPr sz="1000"/>
              </a:pPr>
              <a:endParaRPr lang="en-US" altLang="zh-CN" sz="1200" b="0" i="0" u="none" strike="noStrike" baseline="0">
                <a:solidFill>
                  <a:srgbClr val="000000"/>
                </a:solidFill>
                <a:latin typeface="宋体"/>
                <a:ea typeface="宋体"/>
              </a:endParaRPr>
            </a:p>
            <a:p>
              <a:pPr algn="l" rtl="0">
                <a:lnSpc>
                  <a:spcPts val="1500"/>
                </a:lnSpc>
                <a:defRPr sz="1000"/>
              </a:pPr>
              <a:endParaRPr lang="en-US" altLang="zh-CN" sz="1200" b="0" i="0" u="none" strike="noStrike" baseline="0">
                <a:solidFill>
                  <a:srgbClr val="000000"/>
                </a:solidFill>
                <a:latin typeface="宋体"/>
                <a:ea typeface="宋体"/>
              </a:endParaRPr>
            </a:p>
            <a:p>
              <a:pPr algn="l" rtl="0">
                <a:lnSpc>
                  <a:spcPts val="1500"/>
                </a:lnSpc>
                <a:defRPr sz="1000"/>
              </a:pPr>
              <a:endParaRPr lang="en-US" altLang="zh-CN" sz="1200" b="0" i="0" u="none" strike="noStrike" baseline="0">
                <a:solidFill>
                  <a:srgbClr val="000000"/>
                </a:solidFill>
                <a:latin typeface="宋体"/>
                <a:ea typeface="宋体"/>
              </a:endParaRPr>
            </a:p>
            <a:p>
              <a:pPr algn="l" rtl="0">
                <a:lnSpc>
                  <a:spcPts val="1500"/>
                </a:lnSpc>
                <a:defRPr sz="1000"/>
              </a:pPr>
              <a:endParaRPr lang="en-US" altLang="zh-CN" sz="1200" b="0" i="0" u="none" strike="noStrike" baseline="0">
                <a:solidFill>
                  <a:srgbClr val="000000"/>
                </a:solidFill>
                <a:latin typeface="宋体"/>
                <a:ea typeface="宋体"/>
              </a:endParaRPr>
            </a:p>
            <a:p>
              <a:pPr algn="l" rtl="0">
                <a:lnSpc>
                  <a:spcPts val="1500"/>
                </a:lnSpc>
                <a:defRPr sz="1000"/>
              </a:pPr>
              <a:endParaRPr lang="en-US" altLang="zh-CN" sz="1200" b="0" i="0" u="none" strike="noStrike" baseline="0">
                <a:solidFill>
                  <a:srgbClr val="000000"/>
                </a:solidFill>
                <a:latin typeface="宋体"/>
                <a:ea typeface="宋体"/>
              </a:endParaRPr>
            </a:p>
            <a:p>
              <a:pPr algn="l" rtl="0">
                <a:lnSpc>
                  <a:spcPts val="1500"/>
                </a:lnSpc>
                <a:defRPr sz="1000"/>
              </a:pPr>
              <a:endParaRPr lang="en-US" altLang="zh-CN" sz="1200" b="0" i="0" u="none" strike="noStrike" baseline="0">
                <a:solidFill>
                  <a:srgbClr val="000000"/>
                </a:solidFill>
                <a:latin typeface="宋体"/>
                <a:ea typeface="宋体"/>
              </a:endParaRPr>
            </a:p>
          </xdr:txBody>
        </xdr:sp>
        <xdr:pic>
          <xdr:nvPicPr>
            <xdr:cNvPr id="6" name="图片 5">
              <a:extLst>
                <a:ext uri="{FF2B5EF4-FFF2-40B4-BE49-F238E27FC236}">
                  <a16:creationId xmlns:a16="http://schemas.microsoft.com/office/drawing/2014/main" id="{47AA3DB3-A26E-CF3E-DE17-A743FF2D44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08454" y="5201064"/>
              <a:ext cx="4191001" cy="2564305"/>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4" name="图片 3">
            <a:extLst>
              <a:ext uri="{FF2B5EF4-FFF2-40B4-BE49-F238E27FC236}">
                <a16:creationId xmlns:a16="http://schemas.microsoft.com/office/drawing/2014/main" id="{3F780122-9C23-DFFB-DACF-A086B7D83F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40353" y="4497412"/>
            <a:ext cx="4467225" cy="26193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273048</xdr:colOff>
      <xdr:row>2</xdr:row>
      <xdr:rowOff>125412</xdr:rowOff>
    </xdr:from>
    <xdr:to>
      <xdr:col>19</xdr:col>
      <xdr:colOff>91440</xdr:colOff>
      <xdr:row>18</xdr:row>
      <xdr:rowOff>165735</xdr:rowOff>
    </xdr:to>
    <xdr:sp macro="" textlink="">
      <xdr:nvSpPr>
        <xdr:cNvPr id="2" name="Text Box 1">
          <a:extLst>
            <a:ext uri="{FF2B5EF4-FFF2-40B4-BE49-F238E27FC236}">
              <a16:creationId xmlns:a16="http://schemas.microsoft.com/office/drawing/2014/main" id="{46095928-BF03-4B92-8C97-22DAFA88DC7B}"/>
            </a:ext>
          </a:extLst>
        </xdr:cNvPr>
        <xdr:cNvSpPr txBox="1">
          <a:spLocks noChangeArrowheads="1"/>
        </xdr:cNvSpPr>
      </xdr:nvSpPr>
      <xdr:spPr bwMode="auto">
        <a:xfrm>
          <a:off x="5254623" y="525462"/>
          <a:ext cx="6904992" cy="3088323"/>
        </a:xfrm>
        <a:prstGeom prst="rect">
          <a:avLst/>
        </a:prstGeom>
        <a:solidFill>
          <a:srgbClr val="DBEEF4"/>
        </a:solidFill>
        <a:ln w="9525">
          <a:solidFill>
            <a:srgbClr val="000000"/>
          </a:solidFill>
          <a:miter lim="800000"/>
          <a:headEnd/>
          <a:tailEnd/>
        </a:ln>
      </xdr:spPr>
      <xdr:txBody>
        <a:bodyPr vertOverflow="clip" wrap="square" lIns="27432" tIns="18288" rIns="0" bIns="0" anchor="t" upright="1"/>
        <a:lstStyle/>
        <a:p>
          <a:pPr algn="l" rtl="0">
            <a:defRPr sz="1000"/>
          </a:pPr>
          <a:r>
            <a:rPr lang="zh-CN" altLang="en-US" sz="1200" b="1" i="0" strike="noStrike">
              <a:solidFill>
                <a:srgbClr val="000000"/>
              </a:solidFill>
              <a:latin typeface="+mn-ea"/>
              <a:ea typeface="+mn-ea"/>
            </a:rPr>
            <a:t>第</a:t>
          </a:r>
          <a:r>
            <a:rPr lang="en-US" altLang="zh-CN" sz="1200" b="1" i="0" strike="noStrike">
              <a:solidFill>
                <a:srgbClr val="000000"/>
              </a:solidFill>
              <a:latin typeface="+mn-ea"/>
              <a:ea typeface="+mn-ea"/>
            </a:rPr>
            <a:t>8</a:t>
          </a:r>
          <a:r>
            <a:rPr lang="zh-CN" altLang="en-US" sz="1200" b="1" i="0" strike="noStrike">
              <a:solidFill>
                <a:srgbClr val="000000"/>
              </a:solidFill>
              <a:latin typeface="+mn-ea"/>
              <a:ea typeface="+mn-ea"/>
            </a:rPr>
            <a:t>题（</a:t>
          </a:r>
          <a:r>
            <a:rPr lang="en-US" altLang="zh-CN" sz="1200" b="1" i="0" strike="noStrike">
              <a:solidFill>
                <a:srgbClr val="000000"/>
              </a:solidFill>
              <a:latin typeface="+mn-ea"/>
              <a:ea typeface="+mn-ea"/>
            </a:rPr>
            <a:t>12</a:t>
          </a:r>
          <a:r>
            <a:rPr lang="zh-CN" altLang="en-US" sz="1200" b="1" i="0" strike="noStrike">
              <a:solidFill>
                <a:srgbClr val="000000"/>
              </a:solidFill>
              <a:latin typeface="+mn-ea"/>
              <a:ea typeface="+mn-ea"/>
            </a:rPr>
            <a:t>分）</a:t>
          </a:r>
          <a:endParaRPr lang="en-US" altLang="zh-CN" sz="1200" b="1" i="0" strike="noStrike">
            <a:solidFill>
              <a:srgbClr val="000000"/>
            </a:solidFill>
            <a:latin typeface="+mn-ea"/>
            <a:ea typeface="+mn-ea"/>
          </a:endParaRPr>
        </a:p>
        <a:p>
          <a:pPr algn="l" rtl="0">
            <a:lnSpc>
              <a:spcPct val="150000"/>
            </a:lnSpc>
            <a:defRPr sz="1000"/>
          </a:pPr>
          <a:r>
            <a:rPr lang="zh-CN" altLang="en-US" sz="1200" b="0" i="0" strike="noStrike">
              <a:solidFill>
                <a:srgbClr val="000000"/>
              </a:solidFill>
              <a:latin typeface="+mn-ea"/>
              <a:ea typeface="+mn-ea"/>
            </a:rPr>
            <a:t>某投资者在第</a:t>
          </a:r>
          <a:r>
            <a:rPr lang="en-US" altLang="zh-CN" sz="1200" b="0" i="0" strike="noStrike">
              <a:solidFill>
                <a:srgbClr val="000000"/>
              </a:solidFill>
              <a:latin typeface="+mn-ea"/>
              <a:ea typeface="+mn-ea"/>
            </a:rPr>
            <a:t>0</a:t>
          </a:r>
          <a:r>
            <a:rPr lang="zh-CN" altLang="en-US" sz="1200" b="0" i="0" strike="noStrike">
              <a:solidFill>
                <a:srgbClr val="000000"/>
              </a:solidFill>
              <a:latin typeface="+mn-ea"/>
              <a:ea typeface="+mn-ea"/>
            </a:rPr>
            <a:t>年花</a:t>
          </a:r>
          <a:r>
            <a:rPr lang="en-US" altLang="zh-CN" sz="1200" b="0" i="0" strike="noStrike">
              <a:solidFill>
                <a:srgbClr val="000000"/>
              </a:solidFill>
              <a:latin typeface="+mn-ea"/>
              <a:ea typeface="+mn-ea"/>
            </a:rPr>
            <a:t>350</a:t>
          </a:r>
          <a:r>
            <a:rPr lang="zh-CN" altLang="en-US" sz="1200" b="0" i="0" strike="noStrike">
              <a:solidFill>
                <a:srgbClr val="000000"/>
              </a:solidFill>
              <a:latin typeface="+mn-ea"/>
              <a:ea typeface="+mn-ea"/>
            </a:rPr>
            <a:t>万购买某沿街店面，在随后的</a:t>
          </a:r>
          <a:r>
            <a:rPr lang="en-US" altLang="zh-CN" sz="1200" b="0" i="0" strike="noStrike">
              <a:solidFill>
                <a:srgbClr val="000000"/>
              </a:solidFill>
              <a:latin typeface="+mn-ea"/>
              <a:ea typeface="+mn-ea"/>
            </a:rPr>
            <a:t>5</a:t>
          </a:r>
          <a:r>
            <a:rPr lang="zh-CN" altLang="en-US" sz="1200" b="0" i="0" strike="noStrike">
              <a:solidFill>
                <a:srgbClr val="000000"/>
              </a:solidFill>
              <a:latin typeface="+mn-ea"/>
              <a:ea typeface="+mn-ea"/>
            </a:rPr>
            <a:t>年里出租该店面，每年可得租金</a:t>
          </a:r>
          <a:r>
            <a:rPr lang="en-US" altLang="zh-CN" sz="1200" b="0" i="0" strike="noStrike">
              <a:solidFill>
                <a:srgbClr val="000000"/>
              </a:solidFill>
              <a:latin typeface="+mn-ea"/>
              <a:ea typeface="+mn-ea"/>
            </a:rPr>
            <a:t>12</a:t>
          </a:r>
          <a:r>
            <a:rPr lang="zh-CN" altLang="en-US" sz="1200" b="0" i="0" strike="noStrike">
              <a:solidFill>
                <a:srgbClr val="000000"/>
              </a:solidFill>
              <a:latin typeface="+mn-ea"/>
              <a:ea typeface="+mn-ea"/>
            </a:rPr>
            <a:t>万，</a:t>
          </a:r>
          <a:r>
            <a:rPr lang="en-US" altLang="zh-CN" sz="1200" b="0" i="0" strike="noStrike">
              <a:solidFill>
                <a:srgbClr val="000000"/>
              </a:solidFill>
              <a:latin typeface="+mn-ea"/>
              <a:ea typeface="+mn-ea"/>
            </a:rPr>
            <a:t>5</a:t>
          </a:r>
          <a:r>
            <a:rPr lang="zh-CN" altLang="en-US" sz="1200" b="0" i="0" strike="noStrike">
              <a:solidFill>
                <a:srgbClr val="000000"/>
              </a:solidFill>
              <a:latin typeface="+mn-ea"/>
              <a:ea typeface="+mn-ea"/>
            </a:rPr>
            <a:t>年后因急需资金他将该店面以</a:t>
          </a:r>
          <a:r>
            <a:rPr lang="en-US" altLang="zh-CN" sz="1200" b="0" i="0" strike="noStrike">
              <a:solidFill>
                <a:srgbClr val="000000"/>
              </a:solidFill>
              <a:latin typeface="+mn-ea"/>
              <a:ea typeface="+mn-ea"/>
            </a:rPr>
            <a:t>410</a:t>
          </a:r>
          <a:r>
            <a:rPr lang="zh-CN" altLang="en-US" sz="1200" b="0" i="0" strike="noStrike">
              <a:solidFill>
                <a:srgbClr val="000000"/>
              </a:solidFill>
              <a:latin typeface="+mn-ea"/>
              <a:ea typeface="+mn-ea"/>
            </a:rPr>
            <a:t>万出售。要求：</a:t>
          </a:r>
          <a:endParaRPr lang="en-US" altLang="zh-CN" sz="1200" b="0" i="0" strike="noStrike">
            <a:solidFill>
              <a:srgbClr val="000000"/>
            </a:solidFill>
            <a:latin typeface="+mn-ea"/>
            <a:ea typeface="+mn-ea"/>
          </a:endParaRPr>
        </a:p>
        <a:p>
          <a:pPr algn="l" rtl="0">
            <a:lnSpc>
              <a:spcPct val="150000"/>
            </a:lnSpc>
            <a:defRPr sz="1000"/>
          </a:pPr>
          <a:r>
            <a:rPr lang="en-US" altLang="zh-CN" sz="1200" b="0" i="0" strike="noStrike">
              <a:solidFill>
                <a:srgbClr val="000000"/>
              </a:solidFill>
              <a:latin typeface="+mn-ea"/>
              <a:ea typeface="+mn-ea"/>
            </a:rPr>
            <a:t>1</a:t>
          </a:r>
          <a:r>
            <a:rPr lang="zh-CN" altLang="en-US" sz="1200" b="0" i="0" strike="noStrike">
              <a:solidFill>
                <a:srgbClr val="000000"/>
              </a:solidFill>
              <a:latin typeface="+mn-ea"/>
              <a:ea typeface="+mn-ea"/>
            </a:rPr>
            <a:t>、在</a:t>
          </a:r>
          <a:r>
            <a:rPr lang="en-US" altLang="zh-CN" sz="1200" b="0" i="0" strike="noStrike">
              <a:solidFill>
                <a:srgbClr val="FF0000"/>
              </a:solidFill>
              <a:latin typeface="+mn-ea"/>
              <a:ea typeface="+mn-ea"/>
            </a:rPr>
            <a:t>B7</a:t>
          </a:r>
          <a:r>
            <a:rPr lang="zh-CN" altLang="en-US" sz="1200" b="0" i="0" strike="noStrike">
              <a:solidFill>
                <a:srgbClr val="000000"/>
              </a:solidFill>
              <a:latin typeface="+mn-ea"/>
              <a:ea typeface="+mn-ea"/>
            </a:rPr>
            <a:t>单元计算该投资项目的净现值，在</a:t>
          </a:r>
          <a:r>
            <a:rPr lang="en-US" altLang="zh-CN" sz="1200" b="0" i="0" strike="noStrike">
              <a:solidFill>
                <a:srgbClr val="FF0000"/>
              </a:solidFill>
              <a:latin typeface="+mn-ea"/>
              <a:ea typeface="+mn-ea"/>
            </a:rPr>
            <a:t>B8</a:t>
          </a:r>
          <a:r>
            <a:rPr lang="zh-CN" altLang="en-US" sz="1200" b="0" i="0" strike="noStrike">
              <a:solidFill>
                <a:srgbClr val="000000"/>
              </a:solidFill>
              <a:latin typeface="+mn-ea"/>
              <a:ea typeface="+mn-ea"/>
            </a:rPr>
            <a:t>单元给出该项目“是”“否”值得投资的结论。</a:t>
          </a:r>
        </a:p>
        <a:p>
          <a:pPr algn="l" rtl="0">
            <a:lnSpc>
              <a:spcPct val="150000"/>
            </a:lnSpc>
            <a:defRPr sz="1000"/>
          </a:pPr>
          <a:r>
            <a:rPr lang="en-US" altLang="zh-CN" sz="1200" b="0" i="0" strike="noStrike">
              <a:solidFill>
                <a:srgbClr val="000000"/>
              </a:solidFill>
              <a:latin typeface="+mn-ea"/>
              <a:ea typeface="+mn-ea"/>
            </a:rPr>
            <a:t>2</a:t>
          </a:r>
          <a:r>
            <a:rPr lang="zh-CN" altLang="en-US" sz="1200" b="0" i="0" strike="noStrike">
              <a:solidFill>
                <a:srgbClr val="000000"/>
              </a:solidFill>
              <a:latin typeface="+mn-ea"/>
              <a:ea typeface="+mn-ea"/>
            </a:rPr>
            <a:t>、在</a:t>
          </a:r>
          <a:r>
            <a:rPr lang="en-US" altLang="zh-CN" sz="1200" b="0" i="0" strike="noStrike">
              <a:solidFill>
                <a:srgbClr val="FF0000"/>
              </a:solidFill>
              <a:latin typeface="+mn-ea"/>
              <a:ea typeface="+mn-ea"/>
            </a:rPr>
            <a:t>B10:B11</a:t>
          </a:r>
          <a:r>
            <a:rPr lang="zh-CN" altLang="en-US" sz="1200" b="0" i="0" strike="noStrike">
              <a:solidFill>
                <a:srgbClr val="000000"/>
              </a:solidFill>
              <a:latin typeface="+mn-ea"/>
              <a:ea typeface="+mn-ea"/>
            </a:rPr>
            <a:t>单元，</a:t>
          </a:r>
          <a:r>
            <a:rPr lang="zh-CN" altLang="en-US" sz="1200" b="0" i="0" strike="noStrike">
              <a:solidFill>
                <a:srgbClr val="FF0000"/>
              </a:solidFill>
              <a:latin typeface="+mn-ea"/>
              <a:ea typeface="+mn-ea"/>
            </a:rPr>
            <a:t>用两种财务函数</a:t>
          </a:r>
          <a:r>
            <a:rPr lang="zh-CN" altLang="en-US" sz="1200" b="0" i="0" strike="noStrike">
              <a:solidFill>
                <a:srgbClr val="000000"/>
              </a:solidFill>
              <a:latin typeface="+mn-ea"/>
              <a:ea typeface="+mn-ea"/>
            </a:rPr>
            <a:t>分别计算该店面投资项目的年回报率。</a:t>
          </a:r>
          <a:endParaRPr lang="en-US" altLang="zh-CN" sz="1200" b="0" i="0" strike="noStrike">
            <a:solidFill>
              <a:srgbClr val="000000"/>
            </a:solidFill>
            <a:latin typeface="+mn-ea"/>
            <a:ea typeface="+mn-ea"/>
          </a:endParaRPr>
        </a:p>
        <a:p>
          <a:pPr algn="l" rtl="0">
            <a:lnSpc>
              <a:spcPct val="150000"/>
            </a:lnSpc>
            <a:defRPr sz="1000"/>
          </a:pPr>
          <a:r>
            <a:rPr lang="en-US" altLang="zh-CN" sz="1200" b="0" i="0" strike="noStrike">
              <a:solidFill>
                <a:srgbClr val="000000"/>
              </a:solidFill>
              <a:latin typeface="+mn-ea"/>
              <a:ea typeface="+mn-ea"/>
            </a:rPr>
            <a:t>3</a:t>
          </a:r>
          <a:r>
            <a:rPr lang="zh-CN" altLang="en-US" sz="1200" b="0" i="0" strike="noStrike">
              <a:solidFill>
                <a:srgbClr val="000000"/>
              </a:solidFill>
              <a:latin typeface="+mn-ea"/>
              <a:ea typeface="+mn-ea"/>
            </a:rPr>
            <a:t>、</a:t>
          </a:r>
          <a:r>
            <a:rPr lang="zh-CN" altLang="en-US" sz="1200" b="0" i="0">
              <a:latin typeface="+mn-ea"/>
              <a:ea typeface="+mn-ea"/>
              <a:cs typeface="+mn-cs"/>
            </a:rPr>
            <a:t>一个项目的内部报酬率可以理解为银行的贷款利率，个人</a:t>
          </a:r>
          <a:r>
            <a:rPr lang="en-US" altLang="zh-CN" sz="1200" b="0" i="0">
              <a:latin typeface="+mn-ea"/>
              <a:ea typeface="+mn-ea"/>
              <a:cs typeface="+mn-cs"/>
            </a:rPr>
            <a:t>/</a:t>
          </a:r>
          <a:r>
            <a:rPr lang="zh-CN" altLang="en-US" sz="1200" b="0" i="0">
              <a:latin typeface="+mn-ea"/>
              <a:ea typeface="+mn-ea"/>
              <a:cs typeface="+mn-cs"/>
            </a:rPr>
            <a:t>企业为该项目而向银行贷款，几年后利用项目的回报恰好把银行的贷款还清。请对上述项目逐年模拟该过程。</a:t>
          </a:r>
          <a:endParaRPr lang="zh-CN" altLang="en-US" sz="1200" b="0" i="0" strike="noStrike">
            <a:solidFill>
              <a:srgbClr val="000000"/>
            </a:solidFill>
            <a:latin typeface="+mn-ea"/>
            <a:ea typeface="+mn-ea"/>
          </a:endParaRPr>
        </a:p>
        <a:p>
          <a:pPr algn="l" rtl="0">
            <a:lnSpc>
              <a:spcPct val="150000"/>
            </a:lnSpc>
            <a:defRPr sz="1000"/>
          </a:pPr>
          <a:r>
            <a:rPr lang="en-US" altLang="zh-CN" sz="1200" b="0" i="0" strike="noStrike">
              <a:solidFill>
                <a:srgbClr val="000000"/>
              </a:solidFill>
              <a:latin typeface="+mn-ea"/>
              <a:ea typeface="+mn-ea"/>
            </a:rPr>
            <a:t>4</a:t>
          </a:r>
          <a:r>
            <a:rPr lang="zh-CN" altLang="en-US" sz="1200" b="0" i="0" strike="noStrike">
              <a:solidFill>
                <a:srgbClr val="000000"/>
              </a:solidFill>
              <a:latin typeface="+mn-ea"/>
              <a:ea typeface="+mn-ea"/>
            </a:rPr>
            <a:t>、在</a:t>
          </a:r>
          <a:r>
            <a:rPr lang="en-US" altLang="zh-CN" sz="1200" b="0" i="0" strike="noStrike">
              <a:solidFill>
                <a:srgbClr val="FF0000"/>
              </a:solidFill>
              <a:latin typeface="+mn-ea"/>
              <a:ea typeface="+mn-ea"/>
            </a:rPr>
            <a:t>B14</a:t>
          </a:r>
          <a:r>
            <a:rPr lang="zh-CN" altLang="en-US" sz="1200" b="0" i="0" strike="noStrike">
              <a:solidFill>
                <a:srgbClr val="000000"/>
              </a:solidFill>
              <a:latin typeface="+mn-ea"/>
              <a:ea typeface="+mn-ea"/>
            </a:rPr>
            <a:t>单元，</a:t>
          </a:r>
          <a:r>
            <a:rPr lang="zh-CN" altLang="en-US" sz="1200" b="0" i="0" strike="noStrike">
              <a:solidFill>
                <a:srgbClr val="FF0000"/>
              </a:solidFill>
              <a:latin typeface="+mn-ea"/>
              <a:ea typeface="+mn-ea"/>
            </a:rPr>
            <a:t>用财务函数</a:t>
          </a:r>
          <a:r>
            <a:rPr lang="zh-CN" altLang="en-US" sz="1200" b="0" i="0" strike="noStrike">
              <a:solidFill>
                <a:srgbClr val="000000"/>
              </a:solidFill>
              <a:latin typeface="+mn-ea"/>
              <a:ea typeface="+mn-ea"/>
            </a:rPr>
            <a:t>计算，若投资者期望的回报率为</a:t>
          </a:r>
          <a:r>
            <a:rPr lang="en-US" altLang="zh-CN" sz="1200" b="0" i="0" strike="noStrike">
              <a:solidFill>
                <a:srgbClr val="000000"/>
              </a:solidFill>
              <a:latin typeface="+mn-ea"/>
              <a:ea typeface="+mn-ea"/>
            </a:rPr>
            <a:t>7%</a:t>
          </a:r>
          <a:r>
            <a:rPr lang="zh-CN" altLang="en-US" sz="1200" b="0" i="0" strike="noStrike">
              <a:solidFill>
                <a:srgbClr val="000000"/>
              </a:solidFill>
              <a:latin typeface="+mn-ea"/>
              <a:ea typeface="+mn-ea"/>
            </a:rPr>
            <a:t>，他每年的租金收入应该为多少？</a:t>
          </a:r>
        </a:p>
        <a:p>
          <a:pPr algn="l" rtl="0">
            <a:lnSpc>
              <a:spcPct val="150000"/>
            </a:lnSpc>
            <a:defRPr sz="1000"/>
          </a:pPr>
          <a:r>
            <a:rPr lang="en-US" altLang="zh-CN" sz="1200" b="0" i="0" strike="noStrike">
              <a:solidFill>
                <a:srgbClr val="000000"/>
              </a:solidFill>
              <a:latin typeface="+mn-ea"/>
              <a:ea typeface="+mn-ea"/>
            </a:rPr>
            <a:t>5</a:t>
          </a:r>
          <a:r>
            <a:rPr lang="zh-CN" altLang="en-US" sz="1200" b="0" i="0" strike="noStrike">
              <a:solidFill>
                <a:srgbClr val="000000"/>
              </a:solidFill>
              <a:latin typeface="+mn-ea"/>
              <a:ea typeface="+mn-ea"/>
            </a:rPr>
            <a:t>、在</a:t>
          </a:r>
          <a:r>
            <a:rPr lang="en-US" altLang="zh-CN" sz="1200" b="0" i="0" strike="noStrike">
              <a:solidFill>
                <a:srgbClr val="FF0000"/>
              </a:solidFill>
              <a:latin typeface="+mn-ea"/>
              <a:ea typeface="+mn-ea"/>
            </a:rPr>
            <a:t>B16</a:t>
          </a:r>
          <a:r>
            <a:rPr lang="zh-CN" altLang="en-US" sz="1200" b="0" i="0" strike="noStrike">
              <a:solidFill>
                <a:srgbClr val="000000"/>
              </a:solidFill>
              <a:latin typeface="+mn-ea"/>
              <a:ea typeface="+mn-ea"/>
            </a:rPr>
            <a:t>单元，</a:t>
          </a:r>
          <a:r>
            <a:rPr lang="zh-CN" altLang="en-US" sz="1200" b="0" i="0" strike="noStrike">
              <a:solidFill>
                <a:srgbClr val="FF0000"/>
              </a:solidFill>
              <a:latin typeface="+mn-ea"/>
              <a:ea typeface="+mn-ea"/>
            </a:rPr>
            <a:t>用财务函数</a:t>
          </a:r>
          <a:r>
            <a:rPr lang="zh-CN" altLang="en-US" sz="1200" b="0" i="0" strike="noStrike">
              <a:solidFill>
                <a:srgbClr val="000000"/>
              </a:solidFill>
              <a:latin typeface="+mn-ea"/>
              <a:ea typeface="+mn-ea"/>
            </a:rPr>
            <a:t>计算，</a:t>
          </a:r>
          <a:r>
            <a:rPr lang="zh-CN" altLang="en-US" sz="1200" b="0" i="0">
              <a:latin typeface="+mn-ea"/>
              <a:ea typeface="+mn-ea"/>
              <a:cs typeface="+mn-cs"/>
            </a:rPr>
            <a:t>在每年的租金收入仍为</a:t>
          </a:r>
          <a:r>
            <a:rPr lang="en-US" sz="1200" b="0" i="0">
              <a:latin typeface="+mn-ea"/>
              <a:ea typeface="+mn-ea"/>
              <a:cs typeface="+mn-cs"/>
            </a:rPr>
            <a:t>12</a:t>
          </a:r>
          <a:r>
            <a:rPr lang="zh-CN" altLang="en-US" sz="1200" b="0" i="0">
              <a:latin typeface="+mn-ea"/>
              <a:ea typeface="+mn-ea"/>
              <a:cs typeface="+mn-cs"/>
            </a:rPr>
            <a:t>万的情况下，若投资者期望达到</a:t>
          </a:r>
          <a:r>
            <a:rPr lang="en-US" sz="1200" b="0" i="0">
              <a:latin typeface="+mn-ea"/>
              <a:ea typeface="+mn-ea"/>
              <a:cs typeface="+mn-cs"/>
            </a:rPr>
            <a:t>7%</a:t>
          </a:r>
          <a:r>
            <a:rPr lang="zh-CN" altLang="en-US" sz="1200" b="0" i="0">
              <a:latin typeface="+mn-ea"/>
              <a:ea typeface="+mn-ea"/>
              <a:cs typeface="+mn-cs"/>
            </a:rPr>
            <a:t>的回报率</a:t>
          </a:r>
          <a:r>
            <a:rPr lang="zh-CN" altLang="en-US" sz="1200" b="0" i="0" strike="noStrike">
              <a:solidFill>
                <a:srgbClr val="000000"/>
              </a:solidFill>
              <a:latin typeface="+mn-ea"/>
              <a:ea typeface="+mn-ea"/>
            </a:rPr>
            <a:t>，该店面的售出价应为多少？</a:t>
          </a:r>
        </a:p>
        <a:p>
          <a:pPr algn="l" rtl="0">
            <a:defRPr sz="1000"/>
          </a:pPr>
          <a:endParaRPr lang="zh-CN" altLang="en-US" sz="1000" b="0" i="0" strike="noStrike">
            <a:solidFill>
              <a:srgbClr val="000000"/>
            </a:solidFill>
            <a:latin typeface="宋体"/>
            <a:ea typeface="宋体"/>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176212</xdr:colOff>
      <xdr:row>0</xdr:row>
      <xdr:rowOff>104775</xdr:rowOff>
    </xdr:from>
    <xdr:to>
      <xdr:col>18</xdr:col>
      <xdr:colOff>221932</xdr:colOff>
      <xdr:row>11</xdr:row>
      <xdr:rowOff>152400</xdr:rowOff>
    </xdr:to>
    <xdr:sp macro="" textlink="">
      <xdr:nvSpPr>
        <xdr:cNvPr id="2" name="文本框 1">
          <a:extLst>
            <a:ext uri="{FF2B5EF4-FFF2-40B4-BE49-F238E27FC236}">
              <a16:creationId xmlns:a16="http://schemas.microsoft.com/office/drawing/2014/main" id="{1A3BB104-5B75-46C8-83EC-9DF9389DA75F}"/>
            </a:ext>
          </a:extLst>
        </xdr:cNvPr>
        <xdr:cNvSpPr txBox="1"/>
      </xdr:nvSpPr>
      <xdr:spPr>
        <a:xfrm>
          <a:off x="5662612" y="104775"/>
          <a:ext cx="6903720" cy="2247900"/>
        </a:xfrm>
        <a:prstGeom prst="rect">
          <a:avLst/>
        </a:prstGeom>
        <a:solidFill>
          <a:srgbClr val="DBEE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50000"/>
            </a:lnSpc>
          </a:pPr>
          <a:r>
            <a:rPr lang="zh-CN" altLang="en-US" sz="1200" b="1">
              <a:solidFill>
                <a:schemeClr val="dk1"/>
              </a:solidFill>
              <a:effectLst/>
              <a:latin typeface="+mn-lt"/>
              <a:ea typeface="+mn-ea"/>
              <a:cs typeface="+mn-cs"/>
            </a:rPr>
            <a:t>第</a:t>
          </a:r>
          <a:r>
            <a:rPr lang="en-US" altLang="zh-CN" sz="1200" b="1">
              <a:solidFill>
                <a:schemeClr val="dk1"/>
              </a:solidFill>
              <a:effectLst/>
              <a:latin typeface="+mn-lt"/>
              <a:ea typeface="+mn-ea"/>
              <a:cs typeface="+mn-cs"/>
            </a:rPr>
            <a:t>9</a:t>
          </a:r>
          <a:r>
            <a:rPr lang="zh-CN" altLang="en-US" sz="1200" b="1">
              <a:solidFill>
                <a:schemeClr val="dk1"/>
              </a:solidFill>
              <a:effectLst/>
              <a:latin typeface="+mn-lt"/>
              <a:ea typeface="+mn-ea"/>
              <a:cs typeface="+mn-cs"/>
            </a:rPr>
            <a:t>题（</a:t>
          </a:r>
          <a:r>
            <a:rPr lang="en-US" altLang="zh-CN" sz="1200" b="1">
              <a:solidFill>
                <a:schemeClr val="dk1"/>
              </a:solidFill>
              <a:effectLst/>
              <a:latin typeface="+mn-lt"/>
              <a:ea typeface="+mn-ea"/>
              <a:cs typeface="+mn-cs"/>
            </a:rPr>
            <a:t>11</a:t>
          </a:r>
          <a:r>
            <a:rPr lang="zh-CN" altLang="en-US" sz="1200" b="1">
              <a:solidFill>
                <a:schemeClr val="dk1"/>
              </a:solidFill>
              <a:effectLst/>
              <a:latin typeface="+mn-lt"/>
              <a:ea typeface="+mn-ea"/>
              <a:cs typeface="+mn-cs"/>
            </a:rPr>
            <a:t>分）</a:t>
          </a:r>
          <a:r>
            <a:rPr lang="zh-CN" altLang="en-US" sz="1200">
              <a:solidFill>
                <a:schemeClr val="dk1"/>
              </a:solidFill>
              <a:effectLst/>
              <a:latin typeface="+mn-ea"/>
              <a:ea typeface="+mn-ea"/>
              <a:cs typeface="+mn-cs"/>
            </a:rPr>
            <a:t>公司正在考虑对几个项目的投资，对投资项目的要求如下：</a:t>
          </a:r>
          <a:endParaRPr lang="en-US" altLang="zh-CN" sz="1200">
            <a:solidFill>
              <a:schemeClr val="dk1"/>
            </a:solidFill>
            <a:effectLst/>
            <a:latin typeface="+mn-ea"/>
            <a:ea typeface="+mn-ea"/>
            <a:cs typeface="+mn-cs"/>
          </a:endParaRPr>
        </a:p>
        <a:p>
          <a:pPr lvl="0">
            <a:lnSpc>
              <a:spcPct val="150000"/>
            </a:lnSpc>
          </a:pPr>
          <a:r>
            <a:rPr lang="zh-CN" altLang="en-US" sz="1200">
              <a:solidFill>
                <a:schemeClr val="dk1"/>
              </a:solidFill>
              <a:effectLst/>
              <a:latin typeface="+mn-ea"/>
              <a:ea typeface="+mn-ea"/>
              <a:cs typeface="+mn-cs"/>
            </a:rPr>
            <a:t>（</a:t>
          </a:r>
          <a:r>
            <a:rPr lang="en-US" altLang="zh-CN" sz="1200">
              <a:solidFill>
                <a:schemeClr val="dk1"/>
              </a:solidFill>
              <a:effectLst/>
              <a:latin typeface="+mn-ea"/>
              <a:ea typeface="+mn-ea"/>
              <a:cs typeface="+mn-cs"/>
            </a:rPr>
            <a:t>1</a:t>
          </a:r>
          <a:r>
            <a:rPr lang="zh-CN" altLang="en-US" sz="1200">
              <a:solidFill>
                <a:schemeClr val="dk1"/>
              </a:solidFill>
              <a:effectLst/>
              <a:latin typeface="+mn-ea"/>
              <a:ea typeface="+mn-ea"/>
              <a:cs typeface="+mn-cs"/>
            </a:rPr>
            <a:t>）每个项目只能投资一次；</a:t>
          </a:r>
        </a:p>
        <a:p>
          <a:pPr lvl="0">
            <a:lnSpc>
              <a:spcPct val="150000"/>
            </a:lnSpc>
          </a:pPr>
          <a:r>
            <a:rPr lang="zh-CN" altLang="en-US" sz="1200">
              <a:solidFill>
                <a:schemeClr val="dk1"/>
              </a:solidFill>
              <a:effectLst/>
              <a:latin typeface="+mn-ea"/>
              <a:ea typeface="+mn-ea"/>
              <a:cs typeface="+mn-cs"/>
            </a:rPr>
            <a:t>（</a:t>
          </a:r>
          <a:r>
            <a:rPr lang="en-US" altLang="zh-CN" sz="1200">
              <a:solidFill>
                <a:schemeClr val="dk1"/>
              </a:solidFill>
              <a:effectLst/>
              <a:latin typeface="+mn-ea"/>
              <a:ea typeface="+mn-ea"/>
              <a:cs typeface="+mn-cs"/>
            </a:rPr>
            <a:t>2</a:t>
          </a:r>
          <a:r>
            <a:rPr lang="zh-CN" altLang="en-US" sz="1200">
              <a:solidFill>
                <a:schemeClr val="dk1"/>
              </a:solidFill>
              <a:effectLst/>
              <a:latin typeface="+mn-ea"/>
              <a:ea typeface="+mn-ea"/>
              <a:cs typeface="+mn-cs"/>
            </a:rPr>
            <a:t>）项目</a:t>
          </a:r>
          <a:r>
            <a:rPr lang="en-US" altLang="zh-CN" sz="1200">
              <a:solidFill>
                <a:schemeClr val="dk1"/>
              </a:solidFill>
              <a:effectLst/>
              <a:latin typeface="+mn-ea"/>
              <a:ea typeface="+mn-ea"/>
              <a:cs typeface="+mn-cs"/>
            </a:rPr>
            <a:t>1</a:t>
          </a:r>
          <a:r>
            <a:rPr lang="zh-CN" altLang="en-US" sz="1200">
              <a:solidFill>
                <a:schemeClr val="dk1"/>
              </a:solidFill>
              <a:effectLst/>
              <a:latin typeface="+mn-ea"/>
              <a:ea typeface="+mn-ea"/>
              <a:cs typeface="+mn-cs"/>
            </a:rPr>
            <a:t>和项目</a:t>
          </a:r>
          <a:r>
            <a:rPr lang="en-US" altLang="zh-CN" sz="1200">
              <a:solidFill>
                <a:schemeClr val="dk1"/>
              </a:solidFill>
              <a:effectLst/>
              <a:latin typeface="+mn-ea"/>
              <a:ea typeface="+mn-ea"/>
              <a:cs typeface="+mn-cs"/>
            </a:rPr>
            <a:t>2</a:t>
          </a:r>
          <a:r>
            <a:rPr lang="zh-CN" altLang="en-US" sz="1200">
              <a:solidFill>
                <a:schemeClr val="dk1"/>
              </a:solidFill>
              <a:effectLst/>
              <a:latin typeface="+mn-ea"/>
              <a:ea typeface="+mn-ea"/>
              <a:cs typeface="+mn-cs"/>
            </a:rPr>
            <a:t>是互相排斥的；</a:t>
          </a:r>
        </a:p>
        <a:p>
          <a:pPr lvl="0">
            <a:lnSpc>
              <a:spcPct val="150000"/>
            </a:lnSpc>
          </a:pPr>
          <a:r>
            <a:rPr lang="zh-CN" altLang="en-US" sz="1200">
              <a:solidFill>
                <a:schemeClr val="dk1"/>
              </a:solidFill>
              <a:effectLst/>
              <a:latin typeface="+mn-ea"/>
              <a:ea typeface="+mn-ea"/>
              <a:cs typeface="+mn-cs"/>
            </a:rPr>
            <a:t>（</a:t>
          </a:r>
          <a:r>
            <a:rPr lang="en-US" altLang="zh-CN" sz="1200">
              <a:solidFill>
                <a:schemeClr val="dk1"/>
              </a:solidFill>
              <a:effectLst/>
              <a:latin typeface="+mn-ea"/>
              <a:ea typeface="+mn-ea"/>
              <a:cs typeface="+mn-cs"/>
            </a:rPr>
            <a:t>3</a:t>
          </a:r>
          <a:r>
            <a:rPr lang="zh-CN" altLang="en-US" sz="1200">
              <a:solidFill>
                <a:schemeClr val="dk1"/>
              </a:solidFill>
              <a:effectLst/>
              <a:latin typeface="+mn-ea"/>
              <a:ea typeface="+mn-ea"/>
              <a:cs typeface="+mn-cs"/>
            </a:rPr>
            <a:t>）项目</a:t>
          </a:r>
          <a:r>
            <a:rPr lang="en-US" altLang="zh-CN" sz="1200">
              <a:solidFill>
                <a:schemeClr val="dk1"/>
              </a:solidFill>
              <a:effectLst/>
              <a:latin typeface="+mn-ea"/>
              <a:ea typeface="+mn-ea"/>
              <a:cs typeface="+mn-cs"/>
            </a:rPr>
            <a:t>3</a:t>
          </a:r>
          <a:r>
            <a:rPr lang="zh-CN" altLang="en-US" sz="1200">
              <a:solidFill>
                <a:schemeClr val="dk1"/>
              </a:solidFill>
              <a:effectLst/>
              <a:latin typeface="+mn-ea"/>
              <a:ea typeface="+mn-ea"/>
              <a:cs typeface="+mn-cs"/>
            </a:rPr>
            <a:t>和项目</a:t>
          </a:r>
          <a:r>
            <a:rPr lang="en-US" altLang="zh-CN" sz="1200">
              <a:solidFill>
                <a:schemeClr val="dk1"/>
              </a:solidFill>
              <a:effectLst/>
              <a:latin typeface="+mn-ea"/>
              <a:ea typeface="+mn-ea"/>
              <a:cs typeface="+mn-cs"/>
            </a:rPr>
            <a:t>4</a:t>
          </a:r>
          <a:r>
            <a:rPr lang="zh-CN" altLang="en-US" sz="1200">
              <a:solidFill>
                <a:schemeClr val="dk1"/>
              </a:solidFill>
              <a:effectLst/>
              <a:latin typeface="+mn-ea"/>
              <a:ea typeface="+mn-ea"/>
              <a:cs typeface="+mn-cs"/>
            </a:rPr>
            <a:t>也是</a:t>
          </a:r>
          <a:r>
            <a:rPr lang="zh-CN" altLang="zh-CN" sz="1200">
              <a:solidFill>
                <a:schemeClr val="dk1"/>
              </a:solidFill>
              <a:effectLst/>
              <a:latin typeface="+mn-ea"/>
              <a:ea typeface="+mn-ea"/>
              <a:cs typeface="+mn-cs"/>
            </a:rPr>
            <a:t>互相排斥</a:t>
          </a:r>
          <a:r>
            <a:rPr lang="zh-CN" altLang="en-US" sz="1200">
              <a:solidFill>
                <a:schemeClr val="dk1"/>
              </a:solidFill>
              <a:effectLst/>
              <a:latin typeface="+mn-ea"/>
              <a:ea typeface="+mn-ea"/>
              <a:cs typeface="+mn-cs"/>
            </a:rPr>
            <a:t>的；</a:t>
          </a:r>
        </a:p>
        <a:p>
          <a:pPr lvl="0">
            <a:lnSpc>
              <a:spcPct val="150000"/>
            </a:lnSpc>
          </a:pPr>
          <a:r>
            <a:rPr lang="zh-CN" altLang="en-US" sz="1200">
              <a:solidFill>
                <a:schemeClr val="dk1"/>
              </a:solidFill>
              <a:effectLst/>
              <a:latin typeface="+mn-ea"/>
              <a:ea typeface="+mn-ea"/>
              <a:cs typeface="+mn-cs"/>
            </a:rPr>
            <a:t>（</a:t>
          </a:r>
          <a:r>
            <a:rPr lang="en-US" altLang="zh-CN" sz="1200">
              <a:solidFill>
                <a:schemeClr val="dk1"/>
              </a:solidFill>
              <a:effectLst/>
              <a:latin typeface="+mn-ea"/>
              <a:ea typeface="+mn-ea"/>
              <a:cs typeface="+mn-cs"/>
            </a:rPr>
            <a:t>4</a:t>
          </a:r>
          <a:r>
            <a:rPr lang="zh-CN" altLang="en-US" sz="1200">
              <a:solidFill>
                <a:schemeClr val="dk1"/>
              </a:solidFill>
              <a:effectLst/>
              <a:latin typeface="+mn-ea"/>
              <a:ea typeface="+mn-ea"/>
              <a:cs typeface="+mn-cs"/>
            </a:rPr>
            <a:t>）如果不选择项目</a:t>
          </a:r>
          <a:r>
            <a:rPr lang="en-US" altLang="zh-CN" sz="1200">
              <a:solidFill>
                <a:schemeClr val="dk1"/>
              </a:solidFill>
              <a:effectLst/>
              <a:latin typeface="+mn-ea"/>
              <a:ea typeface="+mn-ea"/>
              <a:cs typeface="+mn-cs"/>
            </a:rPr>
            <a:t>1</a:t>
          </a:r>
          <a:r>
            <a:rPr lang="zh-CN" altLang="en-US" sz="1200">
              <a:solidFill>
                <a:schemeClr val="dk1"/>
              </a:solidFill>
              <a:effectLst/>
              <a:latin typeface="+mn-ea"/>
              <a:ea typeface="+mn-ea"/>
              <a:cs typeface="+mn-cs"/>
            </a:rPr>
            <a:t>或项目</a:t>
          </a:r>
          <a:r>
            <a:rPr lang="en-US" altLang="zh-CN" sz="1200">
              <a:solidFill>
                <a:schemeClr val="dk1"/>
              </a:solidFill>
              <a:effectLst/>
              <a:latin typeface="+mn-ea"/>
              <a:ea typeface="+mn-ea"/>
              <a:cs typeface="+mn-cs"/>
            </a:rPr>
            <a:t>2</a:t>
          </a:r>
          <a:r>
            <a:rPr lang="zh-CN" altLang="en-US" sz="1200">
              <a:solidFill>
                <a:schemeClr val="dk1"/>
              </a:solidFill>
              <a:effectLst/>
              <a:latin typeface="+mn-ea"/>
              <a:ea typeface="+mn-ea"/>
              <a:cs typeface="+mn-cs"/>
            </a:rPr>
            <a:t>，就无法选择项目</a:t>
          </a:r>
          <a:r>
            <a:rPr lang="en-US" altLang="zh-CN" sz="1200">
              <a:solidFill>
                <a:schemeClr val="dk1"/>
              </a:solidFill>
              <a:effectLst/>
              <a:latin typeface="+mn-ea"/>
              <a:ea typeface="+mn-ea"/>
              <a:cs typeface="+mn-cs"/>
            </a:rPr>
            <a:t>3</a:t>
          </a:r>
          <a:r>
            <a:rPr lang="zh-CN" altLang="en-US" sz="1200">
              <a:solidFill>
                <a:schemeClr val="dk1"/>
              </a:solidFill>
              <a:effectLst/>
              <a:latin typeface="+mn-ea"/>
              <a:ea typeface="+mn-ea"/>
              <a:cs typeface="+mn-cs"/>
            </a:rPr>
            <a:t>或项目</a:t>
          </a:r>
          <a:r>
            <a:rPr lang="en-US" altLang="zh-CN" sz="1200">
              <a:solidFill>
                <a:schemeClr val="dk1"/>
              </a:solidFill>
              <a:effectLst/>
              <a:latin typeface="+mn-ea"/>
              <a:ea typeface="+mn-ea"/>
              <a:cs typeface="+mn-cs"/>
            </a:rPr>
            <a:t>4</a:t>
          </a:r>
          <a:r>
            <a:rPr lang="zh-CN" altLang="en-US" sz="1200">
              <a:solidFill>
                <a:schemeClr val="dk1"/>
              </a:solidFill>
              <a:effectLst/>
              <a:latin typeface="+mn-ea"/>
              <a:ea typeface="+mn-ea"/>
              <a:cs typeface="+mn-cs"/>
            </a:rPr>
            <a:t>。</a:t>
          </a:r>
          <a:endParaRPr lang="en-US" altLang="zh-CN" sz="1200">
            <a:solidFill>
              <a:schemeClr val="dk1"/>
            </a:solidFill>
            <a:effectLst/>
            <a:latin typeface="+mn-ea"/>
            <a:ea typeface="+mn-ea"/>
            <a:cs typeface="+mn-cs"/>
          </a:endParaRPr>
        </a:p>
        <a:p>
          <a:pPr algn="l">
            <a:lnSpc>
              <a:spcPct val="150000"/>
            </a:lnSpc>
          </a:pPr>
          <a:r>
            <a:rPr lang="zh-CN" altLang="en-US" sz="1200">
              <a:solidFill>
                <a:schemeClr val="dk1"/>
              </a:solidFill>
              <a:effectLst/>
              <a:latin typeface="+mn-ea"/>
              <a:ea typeface="+mn-ea"/>
              <a:cs typeface="+mn-cs"/>
            </a:rPr>
            <a:t>目前该公司总的投资金额为</a:t>
          </a:r>
          <a:r>
            <a:rPr lang="en-US" altLang="zh-CN" sz="1200">
              <a:solidFill>
                <a:schemeClr val="dk1"/>
              </a:solidFill>
              <a:effectLst/>
              <a:latin typeface="+mn-ea"/>
              <a:ea typeface="+mn-ea"/>
              <a:cs typeface="+mn-cs"/>
            </a:rPr>
            <a:t>200</a:t>
          </a:r>
          <a:r>
            <a:rPr lang="zh-CN" altLang="en-US" sz="1200">
              <a:solidFill>
                <a:schemeClr val="dk1"/>
              </a:solidFill>
              <a:effectLst/>
              <a:latin typeface="+mn-ea"/>
              <a:ea typeface="+mn-ea"/>
              <a:cs typeface="+mn-cs"/>
            </a:rPr>
            <a:t>万元，投资各项目所需资金及各个项目产生的利润如下表所示。问该公司应如何进行投资组合，使公司的利润达到最大？</a:t>
          </a:r>
          <a:r>
            <a:rPr lang="zh-CN" altLang="zh-CN" sz="1200">
              <a:solidFill>
                <a:schemeClr val="dk1"/>
              </a:solidFill>
              <a:effectLst/>
              <a:latin typeface="+mn-ea"/>
              <a:ea typeface="+mn-ea"/>
              <a:cs typeface="+mn-cs"/>
            </a:rPr>
            <a:t>将规划求解模型保存在</a:t>
          </a:r>
          <a:r>
            <a:rPr lang="en-US" altLang="zh-CN" sz="1200">
              <a:solidFill>
                <a:schemeClr val="dk1"/>
              </a:solidFill>
              <a:effectLst/>
              <a:latin typeface="+mn-ea"/>
              <a:ea typeface="+mn-ea"/>
              <a:cs typeface="+mn-cs"/>
            </a:rPr>
            <a:t>A2</a:t>
          </a:r>
          <a:r>
            <a:rPr lang="zh-CN" altLang="zh-CN" sz="1200">
              <a:solidFill>
                <a:schemeClr val="dk1"/>
              </a:solidFill>
              <a:effectLst/>
              <a:latin typeface="+mn-ea"/>
              <a:ea typeface="+mn-ea"/>
              <a:cs typeface="+mn-cs"/>
            </a:rPr>
            <a:t>开始的单元格。</a:t>
          </a:r>
          <a:endParaRPr lang="en-US" altLang="zh-CN" sz="1500">
            <a:solidFill>
              <a:schemeClr val="dk1"/>
            </a:solidFill>
            <a:effectLst/>
            <a:latin typeface="+mn-lt"/>
            <a:ea typeface="+mn-ea"/>
            <a:cs typeface="+mn-cs"/>
          </a:endParaRPr>
        </a:p>
        <a:p>
          <a:endParaRPr lang="en-US" altLang="zh-CN" sz="1500">
            <a:solidFill>
              <a:schemeClr val="dk1"/>
            </a:solidFill>
            <a:effectLst/>
            <a:latin typeface="+mn-lt"/>
            <a:ea typeface="+mn-ea"/>
            <a:cs typeface="+mn-cs"/>
          </a:endParaRPr>
        </a:p>
        <a:p>
          <a:endParaRPr lang="zh-CN" altLang="en-US"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查询来自 MS Access Database" connectionId="1" xr16:uid="{91829538-023A-45EC-B14C-1C09C4B541D6}" autoFormatId="16" applyNumberFormats="0" applyBorderFormats="0" applyFontFormats="0" applyPatternFormats="0" applyAlignmentFormats="0" applyWidthHeightFormats="0">
  <queryTableRefresh nextId="4">
    <queryTableFields count="3">
      <queryTableField id="1" name="公司名称" tableColumnId="1"/>
      <queryTableField id="2" name="产品名称" tableColumnId="2"/>
      <queryTableField id="3" name="数量" tableColumnId="3"/>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v>
    <v>1</v>
  </rv>
</rvData>
</file>

<file path=xl/richData/rdrichvaluestructure.xml><?xml version="1.0" encoding="utf-8"?>
<rvStructures xmlns="http://schemas.microsoft.com/office/spreadsheetml/2017/richdata" count="1">
  <s t="_error">
    <k n="colOffset" t="i"/>
    <k n="errorType" t="i"/>
    <k n="rwOffset" t="i"/>
    <k n="subType" t="i"/>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58591C-D888-45F9-A3DE-69A2DC60BDFD}" name="表_查询来自_MS_Access_Database" displayName="表_查询来自_MS_Access_Database" ref="A1:C2" tableType="queryTable" totalsRowShown="0" headerRowCellStyle="常规 3 2" dataCellStyle="常规 3 2">
  <autoFilter ref="A1:C2" xr:uid="{C658591C-D888-45F9-A3DE-69A2DC60BDFD}"/>
  <tableColumns count="3">
    <tableColumn id="1" xr3:uid="{AEF057D0-321D-4738-A8A9-24D42A5CC469}" uniqueName="1" name="公司名称" queryTableFieldId="1" dataCellStyle="常规 3 2"/>
    <tableColumn id="2" xr3:uid="{3A7F15FC-2544-438E-83B3-20D08003C364}" uniqueName="2" name="产品名称" queryTableFieldId="2" dataCellStyle="常规 3 2"/>
    <tableColumn id="3" xr3:uid="{3C8F1634-E9A6-4488-AD9C-997858C71A25}" uniqueName="3" name="数量" queryTableFieldId="3" dataCellStyle="常规 3 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4.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16"/>
  <sheetViews>
    <sheetView showGridLines="0" workbookViewId="0">
      <selection activeCell="H20" sqref="H20"/>
    </sheetView>
  </sheetViews>
  <sheetFormatPr defaultColWidth="9" defaultRowHeight="15.75" x14ac:dyDescent="0.4"/>
  <cols>
    <col min="1" max="1" width="9" style="1"/>
    <col min="2" max="2" width="17.5" style="1" customWidth="1"/>
    <col min="3" max="4" width="9" style="1"/>
    <col min="5" max="5" width="21.375" style="1" customWidth="1"/>
    <col min="6" max="6" width="14.25" style="1" customWidth="1"/>
    <col min="7" max="8" width="9" style="1"/>
    <col min="9" max="9" width="4" style="1" customWidth="1"/>
    <col min="10" max="11" width="9" style="1" customWidth="1"/>
    <col min="12" max="16384" width="9" style="1"/>
  </cols>
  <sheetData>
    <row r="1" spans="1:256" x14ac:dyDescent="0.4">
      <c r="A1" s="6" t="s">
        <v>1</v>
      </c>
      <c r="B1" s="7"/>
      <c r="D1" s="6" t="s">
        <v>0</v>
      </c>
      <c r="E1" s="5"/>
      <c r="G1" s="4"/>
      <c r="IV1" s="3"/>
    </row>
    <row r="2" spans="1:256" x14ac:dyDescent="0.4">
      <c r="F2" s="2"/>
    </row>
    <row r="3" spans="1:256" ht="34.15" x14ac:dyDescent="1.1499999999999999">
      <c r="A3" s="66" t="s">
        <v>14</v>
      </c>
      <c r="B3" s="66"/>
      <c r="C3" s="66"/>
      <c r="D3" s="66"/>
      <c r="E3" s="66"/>
      <c r="F3" s="66"/>
      <c r="G3" s="66"/>
      <c r="H3" s="66"/>
    </row>
    <row r="4" spans="1:256" ht="22.9" x14ac:dyDescent="0.75">
      <c r="A4" s="67" t="s">
        <v>16</v>
      </c>
      <c r="B4" s="67"/>
      <c r="C4" s="67"/>
      <c r="D4" s="67"/>
      <c r="E4" s="67"/>
      <c r="F4" s="67"/>
      <c r="G4" s="67"/>
    </row>
    <row r="6" spans="1:256" x14ac:dyDescent="0.4">
      <c r="I6" s="9"/>
      <c r="J6" s="10" t="s">
        <v>2</v>
      </c>
      <c r="K6" s="10" t="s">
        <v>3</v>
      </c>
    </row>
    <row r="7" spans="1:256" x14ac:dyDescent="0.4">
      <c r="I7" s="2"/>
      <c r="J7" s="12" t="s">
        <v>7</v>
      </c>
      <c r="K7" s="13">
        <v>6</v>
      </c>
    </row>
    <row r="8" spans="1:256" x14ac:dyDescent="0.4">
      <c r="I8" s="2"/>
      <c r="J8" s="10" t="s">
        <v>8</v>
      </c>
      <c r="K8" s="11">
        <v>10</v>
      </c>
    </row>
    <row r="9" spans="1:256" x14ac:dyDescent="0.4">
      <c r="I9" s="2"/>
      <c r="J9" s="12" t="s">
        <v>9</v>
      </c>
      <c r="K9" s="13">
        <v>15</v>
      </c>
    </row>
    <row r="10" spans="1:256" x14ac:dyDescent="0.4">
      <c r="I10" s="2"/>
      <c r="J10" s="10" t="s">
        <v>10</v>
      </c>
      <c r="K10" s="11">
        <v>10</v>
      </c>
    </row>
    <row r="11" spans="1:256" x14ac:dyDescent="0.4">
      <c r="I11" s="2"/>
      <c r="J11" s="12" t="s">
        <v>11</v>
      </c>
      <c r="K11" s="13">
        <v>9</v>
      </c>
    </row>
    <row r="12" spans="1:256" x14ac:dyDescent="0.4">
      <c r="J12" s="10" t="s">
        <v>4</v>
      </c>
      <c r="K12" s="11">
        <v>12</v>
      </c>
    </row>
    <row r="13" spans="1:256" x14ac:dyDescent="0.4">
      <c r="I13" s="8"/>
      <c r="J13" s="12" t="s">
        <v>5</v>
      </c>
      <c r="K13" s="13">
        <v>15</v>
      </c>
    </row>
    <row r="14" spans="1:256" x14ac:dyDescent="0.4">
      <c r="I14" s="8"/>
      <c r="J14" s="10" t="s">
        <v>6</v>
      </c>
      <c r="K14" s="11">
        <v>12</v>
      </c>
    </row>
    <row r="15" spans="1:256" x14ac:dyDescent="0.4">
      <c r="J15" s="12" t="s">
        <v>13</v>
      </c>
      <c r="K15" s="13">
        <v>11</v>
      </c>
    </row>
    <row r="16" spans="1:256" x14ac:dyDescent="0.4">
      <c r="J16" s="10" t="s">
        <v>12</v>
      </c>
      <c r="K16" s="11">
        <v>100</v>
      </c>
    </row>
  </sheetData>
  <mergeCells count="2">
    <mergeCell ref="A3:H3"/>
    <mergeCell ref="A4:G4"/>
  </mergeCells>
  <phoneticPr fontId="10"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
  <sheetViews>
    <sheetView zoomScaleNormal="100" workbookViewId="0">
      <selection sqref="A1:C2"/>
    </sheetView>
  </sheetViews>
  <sheetFormatPr defaultColWidth="9" defaultRowHeight="13.5" x14ac:dyDescent="0.3"/>
  <cols>
    <col min="1" max="2" width="10.5625" style="14" bestFit="1" customWidth="1"/>
    <col min="3" max="3" width="6.8125" style="14" bestFit="1" customWidth="1"/>
    <col min="4" max="4" width="11.75" style="14" customWidth="1"/>
    <col min="5" max="16384" width="9" style="14"/>
  </cols>
  <sheetData>
    <row r="1" spans="1:3" x14ac:dyDescent="0.3">
      <c r="A1" s="14" t="s">
        <v>2461</v>
      </c>
      <c r="B1" s="14" t="s">
        <v>2462</v>
      </c>
      <c r="C1" s="14" t="s">
        <v>2463</v>
      </c>
    </row>
  </sheetData>
  <phoneticPr fontId="10"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21:P103"/>
  <sheetViews>
    <sheetView zoomScale="80" zoomScaleNormal="80" workbookViewId="0">
      <selection activeCell="D36" sqref="D36"/>
    </sheetView>
  </sheetViews>
  <sheetFormatPr defaultColWidth="8.75" defaultRowHeight="15.75" x14ac:dyDescent="0.4"/>
  <cols>
    <col min="1" max="1" width="12.25" style="15" bestFit="1" customWidth="1"/>
    <col min="2" max="2" width="10.25" style="15" bestFit="1" customWidth="1"/>
    <col min="3" max="3" width="12.75" style="15" bestFit="1" customWidth="1"/>
    <col min="4" max="4" width="8" style="15" bestFit="1" customWidth="1"/>
    <col min="5" max="5" width="6.375" style="15" customWidth="1"/>
    <col min="6" max="6" width="7" style="15" customWidth="1"/>
    <col min="7" max="7" width="12.25" style="15" customWidth="1"/>
    <col min="8" max="8" width="12.75" style="15" customWidth="1"/>
    <col min="9" max="9" width="17.25" style="15" customWidth="1"/>
    <col min="10" max="10" width="15" style="15" customWidth="1"/>
    <col min="11" max="11" width="16.5" style="15" customWidth="1"/>
    <col min="12" max="12" width="20.75" style="15" customWidth="1"/>
    <col min="13" max="13" width="25" style="15" bestFit="1" customWidth="1"/>
    <col min="14" max="14" width="13" style="15" bestFit="1" customWidth="1"/>
    <col min="15" max="15" width="8.125" style="15" customWidth="1"/>
    <col min="16" max="16384" width="8.75" style="15"/>
  </cols>
  <sheetData>
    <row r="21" spans="7:16" x14ac:dyDescent="0.4">
      <c r="G21"/>
      <c r="H21"/>
      <c r="I21"/>
      <c r="J21"/>
      <c r="K21"/>
      <c r="L21"/>
      <c r="M21"/>
      <c r="N21"/>
      <c r="O21"/>
      <c r="P21"/>
    </row>
    <row r="22" spans="7:16" x14ac:dyDescent="0.4">
      <c r="G22"/>
      <c r="H22"/>
      <c r="I22"/>
      <c r="J22"/>
      <c r="K22"/>
      <c r="L22"/>
      <c r="M22"/>
      <c r="N22"/>
      <c r="O22"/>
      <c r="P22"/>
    </row>
    <row r="23" spans="7:16" x14ac:dyDescent="0.4">
      <c r="G23"/>
      <c r="H23"/>
      <c r="I23"/>
      <c r="J23"/>
      <c r="K23"/>
      <c r="L23"/>
      <c r="M23"/>
      <c r="N23"/>
      <c r="O23"/>
      <c r="P23"/>
    </row>
    <row r="24" spans="7:16" x14ac:dyDescent="0.4">
      <c r="G24"/>
      <c r="H24"/>
      <c r="I24"/>
      <c r="J24"/>
      <c r="K24"/>
      <c r="L24"/>
      <c r="M24"/>
      <c r="N24"/>
      <c r="O24"/>
      <c r="P24"/>
    </row>
    <row r="25" spans="7:16" x14ac:dyDescent="0.4">
      <c r="G25"/>
      <c r="H25"/>
      <c r="I25"/>
      <c r="J25"/>
      <c r="K25"/>
      <c r="L25"/>
      <c r="M25"/>
      <c r="N25"/>
      <c r="O25"/>
      <c r="P25"/>
    </row>
    <row r="26" spans="7:16" x14ac:dyDescent="0.4">
      <c r="G26"/>
      <c r="H26"/>
      <c r="I26"/>
      <c r="J26"/>
      <c r="K26"/>
      <c r="L26"/>
      <c r="M26"/>
      <c r="N26"/>
      <c r="O26"/>
      <c r="P26"/>
    </row>
    <row r="27" spans="7:16" x14ac:dyDescent="0.4">
      <c r="G27"/>
      <c r="H27"/>
      <c r="I27"/>
      <c r="J27"/>
      <c r="K27"/>
      <c r="L27"/>
      <c r="M27"/>
      <c r="N27"/>
      <c r="O27"/>
      <c r="P27"/>
    </row>
    <row r="28" spans="7:16" x14ac:dyDescent="0.4">
      <c r="G28"/>
      <c r="H28"/>
      <c r="I28"/>
      <c r="J28"/>
      <c r="K28"/>
      <c r="L28"/>
      <c r="M28"/>
      <c r="N28"/>
      <c r="O28"/>
      <c r="P28"/>
    </row>
    <row r="29" spans="7:16" x14ac:dyDescent="0.4">
      <c r="G29"/>
      <c r="H29"/>
      <c r="I29"/>
      <c r="J29"/>
      <c r="K29"/>
      <c r="L29"/>
      <c r="M29"/>
      <c r="N29"/>
      <c r="O29"/>
      <c r="P29"/>
    </row>
    <row r="30" spans="7:16" x14ac:dyDescent="0.4">
      <c r="G30"/>
      <c r="H30"/>
      <c r="I30"/>
      <c r="J30"/>
      <c r="K30"/>
      <c r="L30"/>
      <c r="M30"/>
      <c r="N30"/>
      <c r="O30"/>
      <c r="P30"/>
    </row>
    <row r="31" spans="7:16" x14ac:dyDescent="0.4">
      <c r="G31"/>
      <c r="H31"/>
      <c r="I31"/>
      <c r="J31"/>
      <c r="K31"/>
      <c r="L31"/>
      <c r="M31"/>
      <c r="N31"/>
      <c r="O31"/>
      <c r="P31"/>
    </row>
    <row r="32" spans="7:16" x14ac:dyDescent="0.4">
      <c r="G32"/>
      <c r="H32"/>
      <c r="I32"/>
      <c r="J32"/>
      <c r="K32"/>
      <c r="L32"/>
      <c r="M32"/>
      <c r="N32"/>
      <c r="O32"/>
      <c r="P32"/>
    </row>
    <row r="33" spans="7:16" x14ac:dyDescent="0.4">
      <c r="G33"/>
      <c r="H33"/>
      <c r="I33"/>
      <c r="J33"/>
      <c r="K33"/>
      <c r="L33"/>
      <c r="M33"/>
      <c r="N33"/>
      <c r="O33"/>
      <c r="P33"/>
    </row>
    <row r="34" spans="7:16" x14ac:dyDescent="0.4">
      <c r="G34"/>
      <c r="H34"/>
      <c r="I34"/>
      <c r="J34"/>
      <c r="K34"/>
      <c r="L34"/>
      <c r="M34"/>
      <c r="N34"/>
      <c r="O34"/>
      <c r="P34"/>
    </row>
    <row r="35" spans="7:16" x14ac:dyDescent="0.4">
      <c r="G35"/>
      <c r="H35"/>
      <c r="I35"/>
      <c r="J35"/>
      <c r="K35"/>
      <c r="L35"/>
      <c r="M35"/>
      <c r="N35"/>
      <c r="O35"/>
      <c r="P35"/>
    </row>
    <row r="36" spans="7:16" x14ac:dyDescent="0.4">
      <c r="G36"/>
      <c r="H36"/>
      <c r="I36"/>
      <c r="J36"/>
      <c r="K36"/>
      <c r="L36"/>
      <c r="M36"/>
      <c r="N36"/>
      <c r="O36"/>
      <c r="P36"/>
    </row>
    <row r="37" spans="7:16" x14ac:dyDescent="0.4">
      <c r="G37"/>
      <c r="H37"/>
      <c r="I37"/>
      <c r="J37"/>
      <c r="K37"/>
      <c r="L37"/>
      <c r="M37"/>
      <c r="N37"/>
      <c r="O37"/>
      <c r="P37"/>
    </row>
    <row r="38" spans="7:16" x14ac:dyDescent="0.4">
      <c r="G38"/>
      <c r="H38"/>
      <c r="I38"/>
      <c r="J38"/>
      <c r="K38"/>
      <c r="L38"/>
      <c r="M38"/>
      <c r="N38"/>
      <c r="O38"/>
      <c r="P38"/>
    </row>
    <row r="39" spans="7:16" x14ac:dyDescent="0.4">
      <c r="G39"/>
      <c r="H39"/>
      <c r="I39"/>
      <c r="J39"/>
      <c r="K39"/>
      <c r="L39"/>
      <c r="M39"/>
      <c r="N39"/>
      <c r="O39"/>
      <c r="P39"/>
    </row>
    <row r="40" spans="7:16" x14ac:dyDescent="0.4">
      <c r="G40"/>
      <c r="H40"/>
      <c r="I40"/>
      <c r="J40"/>
      <c r="K40"/>
      <c r="L40"/>
      <c r="M40"/>
      <c r="N40"/>
      <c r="O40"/>
      <c r="P40"/>
    </row>
    <row r="41" spans="7:16" x14ac:dyDescent="0.4">
      <c r="G41"/>
      <c r="H41"/>
      <c r="I41"/>
      <c r="J41"/>
      <c r="K41"/>
      <c r="L41"/>
      <c r="M41"/>
      <c r="N41"/>
      <c r="O41"/>
      <c r="P41"/>
    </row>
    <row r="42" spans="7:16" x14ac:dyDescent="0.4">
      <c r="G42"/>
      <c r="H42"/>
      <c r="I42"/>
      <c r="J42"/>
      <c r="K42"/>
      <c r="L42"/>
      <c r="M42"/>
      <c r="N42"/>
      <c r="O42"/>
      <c r="P42"/>
    </row>
    <row r="43" spans="7:16" x14ac:dyDescent="0.4">
      <c r="G43"/>
      <c r="H43"/>
      <c r="I43"/>
      <c r="J43"/>
      <c r="K43"/>
      <c r="L43"/>
      <c r="M43"/>
      <c r="N43"/>
      <c r="O43"/>
      <c r="P43"/>
    </row>
    <row r="44" spans="7:16" x14ac:dyDescent="0.4">
      <c r="G44"/>
      <c r="H44"/>
      <c r="I44"/>
      <c r="J44"/>
      <c r="K44"/>
      <c r="L44"/>
      <c r="M44"/>
      <c r="N44"/>
      <c r="O44"/>
      <c r="P44"/>
    </row>
    <row r="45" spans="7:16" x14ac:dyDescent="0.4">
      <c r="G45"/>
      <c r="H45"/>
      <c r="I45"/>
      <c r="J45"/>
      <c r="K45"/>
      <c r="L45"/>
      <c r="M45"/>
      <c r="N45"/>
      <c r="O45"/>
      <c r="P45"/>
    </row>
    <row r="46" spans="7:16" x14ac:dyDescent="0.4">
      <c r="G46"/>
      <c r="H46"/>
      <c r="I46"/>
      <c r="J46"/>
      <c r="K46"/>
      <c r="L46"/>
      <c r="M46"/>
      <c r="N46"/>
      <c r="O46"/>
      <c r="P46"/>
    </row>
    <row r="47" spans="7:16" x14ac:dyDescent="0.4">
      <c r="G47"/>
      <c r="H47"/>
      <c r="I47"/>
      <c r="J47"/>
      <c r="K47"/>
      <c r="L47"/>
      <c r="M47"/>
      <c r="N47"/>
      <c r="O47"/>
      <c r="P47"/>
    </row>
    <row r="48" spans="7:16" x14ac:dyDescent="0.4">
      <c r="G48"/>
      <c r="H48"/>
      <c r="I48"/>
      <c r="J48"/>
      <c r="K48"/>
      <c r="L48"/>
      <c r="M48"/>
      <c r="N48"/>
      <c r="O48"/>
      <c r="P48"/>
    </row>
    <row r="49" spans="7:16" x14ac:dyDescent="0.4">
      <c r="G49"/>
      <c r="H49"/>
      <c r="I49"/>
      <c r="J49"/>
      <c r="K49"/>
      <c r="L49"/>
      <c r="M49"/>
      <c r="N49"/>
      <c r="O49"/>
      <c r="P49"/>
    </row>
    <row r="50" spans="7:16" x14ac:dyDescent="0.4">
      <c r="G50"/>
      <c r="H50"/>
      <c r="I50"/>
      <c r="J50"/>
      <c r="K50"/>
      <c r="L50"/>
      <c r="M50"/>
      <c r="N50"/>
      <c r="O50"/>
      <c r="P50"/>
    </row>
    <row r="51" spans="7:16" x14ac:dyDescent="0.4">
      <c r="G51"/>
      <c r="H51"/>
      <c r="I51"/>
      <c r="J51"/>
      <c r="K51"/>
      <c r="L51"/>
      <c r="M51"/>
      <c r="N51"/>
      <c r="O51"/>
      <c r="P51"/>
    </row>
    <row r="52" spans="7:16" x14ac:dyDescent="0.4">
      <c r="G52"/>
      <c r="H52"/>
      <c r="I52"/>
      <c r="J52"/>
      <c r="K52"/>
      <c r="L52"/>
      <c r="M52"/>
      <c r="N52"/>
      <c r="O52"/>
      <c r="P52"/>
    </row>
    <row r="53" spans="7:16" x14ac:dyDescent="0.4">
      <c r="G53"/>
      <c r="H53"/>
      <c r="I53"/>
      <c r="J53"/>
      <c r="K53"/>
      <c r="L53"/>
      <c r="M53"/>
      <c r="N53"/>
      <c r="O53"/>
      <c r="P53"/>
    </row>
    <row r="54" spans="7:16" x14ac:dyDescent="0.4">
      <c r="G54"/>
      <c r="H54"/>
      <c r="I54"/>
      <c r="J54"/>
      <c r="K54"/>
      <c r="L54"/>
      <c r="M54"/>
      <c r="N54"/>
      <c r="O54"/>
      <c r="P54"/>
    </row>
    <row r="55" spans="7:16" x14ac:dyDescent="0.4">
      <c r="G55"/>
      <c r="H55"/>
      <c r="I55"/>
      <c r="J55"/>
      <c r="K55"/>
      <c r="L55"/>
      <c r="M55"/>
      <c r="N55"/>
      <c r="O55"/>
      <c r="P55"/>
    </row>
    <row r="56" spans="7:16" x14ac:dyDescent="0.4">
      <c r="G56"/>
      <c r="H56"/>
      <c r="I56"/>
      <c r="J56"/>
      <c r="K56"/>
      <c r="L56"/>
      <c r="M56"/>
      <c r="N56"/>
      <c r="O56"/>
      <c r="P56"/>
    </row>
    <row r="57" spans="7:16" x14ac:dyDescent="0.4">
      <c r="G57"/>
      <c r="H57"/>
      <c r="I57"/>
      <c r="J57"/>
      <c r="K57"/>
      <c r="L57"/>
      <c r="M57"/>
      <c r="N57"/>
      <c r="O57"/>
      <c r="P57"/>
    </row>
    <row r="58" spans="7:16" x14ac:dyDescent="0.4">
      <c r="G58"/>
      <c r="H58"/>
      <c r="I58"/>
      <c r="J58"/>
      <c r="K58"/>
      <c r="L58"/>
      <c r="M58"/>
      <c r="N58"/>
      <c r="O58"/>
      <c r="P58"/>
    </row>
    <row r="59" spans="7:16" x14ac:dyDescent="0.4">
      <c r="G59"/>
      <c r="H59"/>
      <c r="I59"/>
      <c r="J59"/>
      <c r="K59"/>
      <c r="L59"/>
      <c r="M59"/>
      <c r="N59"/>
      <c r="O59"/>
      <c r="P59"/>
    </row>
    <row r="60" spans="7:16" x14ac:dyDescent="0.4">
      <c r="G60"/>
      <c r="H60"/>
      <c r="I60"/>
      <c r="J60"/>
      <c r="K60"/>
      <c r="L60"/>
      <c r="M60"/>
      <c r="N60"/>
      <c r="O60"/>
      <c r="P60"/>
    </row>
    <row r="61" spans="7:16" x14ac:dyDescent="0.4">
      <c r="G61"/>
      <c r="H61"/>
      <c r="I61"/>
      <c r="J61"/>
      <c r="K61"/>
      <c r="L61"/>
      <c r="M61"/>
      <c r="N61"/>
      <c r="O61"/>
      <c r="P61"/>
    </row>
    <row r="62" spans="7:16" x14ac:dyDescent="0.4">
      <c r="G62"/>
      <c r="H62"/>
      <c r="I62"/>
      <c r="J62"/>
      <c r="K62"/>
      <c r="L62"/>
      <c r="M62"/>
      <c r="N62"/>
      <c r="O62"/>
      <c r="P62"/>
    </row>
    <row r="63" spans="7:16" x14ac:dyDescent="0.4">
      <c r="G63"/>
      <c r="H63"/>
      <c r="I63"/>
      <c r="J63"/>
      <c r="K63"/>
      <c r="L63"/>
      <c r="M63"/>
      <c r="N63"/>
      <c r="O63"/>
      <c r="P63"/>
    </row>
    <row r="64" spans="7:16" x14ac:dyDescent="0.4">
      <c r="G64"/>
      <c r="H64"/>
      <c r="I64"/>
      <c r="J64"/>
      <c r="K64"/>
      <c r="L64"/>
      <c r="M64"/>
      <c r="N64"/>
      <c r="O64"/>
      <c r="P64"/>
    </row>
    <row r="65" spans="7:16" x14ac:dyDescent="0.4">
      <c r="G65"/>
      <c r="H65"/>
      <c r="I65"/>
      <c r="J65"/>
      <c r="K65"/>
      <c r="L65"/>
      <c r="M65"/>
      <c r="N65"/>
      <c r="O65"/>
      <c r="P65"/>
    </row>
    <row r="66" spans="7:16" x14ac:dyDescent="0.4">
      <c r="G66"/>
      <c r="H66"/>
      <c r="I66"/>
      <c r="J66"/>
      <c r="K66"/>
      <c r="L66"/>
      <c r="M66"/>
      <c r="N66"/>
      <c r="O66"/>
      <c r="P66"/>
    </row>
    <row r="67" spans="7:16" x14ac:dyDescent="0.4">
      <c r="G67"/>
      <c r="H67"/>
      <c r="I67"/>
      <c r="J67"/>
      <c r="K67"/>
      <c r="L67"/>
      <c r="M67"/>
      <c r="N67"/>
      <c r="O67"/>
      <c r="P67"/>
    </row>
    <row r="68" spans="7:16" x14ac:dyDescent="0.4">
      <c r="G68"/>
      <c r="H68"/>
      <c r="I68"/>
      <c r="J68"/>
      <c r="K68"/>
      <c r="L68"/>
      <c r="M68"/>
      <c r="N68"/>
      <c r="O68"/>
      <c r="P68"/>
    </row>
    <row r="69" spans="7:16" x14ac:dyDescent="0.4">
      <c r="G69"/>
      <c r="H69"/>
      <c r="I69"/>
      <c r="J69"/>
      <c r="K69"/>
      <c r="L69"/>
      <c r="M69"/>
      <c r="N69"/>
      <c r="O69"/>
      <c r="P69"/>
    </row>
    <row r="70" spans="7:16" x14ac:dyDescent="0.4">
      <c r="G70"/>
      <c r="H70"/>
      <c r="I70"/>
      <c r="J70"/>
      <c r="K70"/>
      <c r="L70"/>
      <c r="M70"/>
      <c r="N70"/>
      <c r="O70"/>
      <c r="P70"/>
    </row>
    <row r="71" spans="7:16" x14ac:dyDescent="0.4">
      <c r="G71"/>
      <c r="H71"/>
      <c r="I71"/>
      <c r="J71"/>
      <c r="K71"/>
      <c r="L71"/>
      <c r="M71"/>
      <c r="N71"/>
      <c r="O71"/>
      <c r="P71"/>
    </row>
    <row r="72" spans="7:16" x14ac:dyDescent="0.4">
      <c r="G72"/>
      <c r="H72"/>
      <c r="I72"/>
      <c r="J72"/>
      <c r="K72"/>
      <c r="L72"/>
      <c r="M72"/>
      <c r="N72"/>
      <c r="O72"/>
      <c r="P72"/>
    </row>
    <row r="73" spans="7:16" x14ac:dyDescent="0.4">
      <c r="G73"/>
      <c r="H73"/>
      <c r="I73"/>
      <c r="J73"/>
      <c r="K73"/>
      <c r="L73"/>
      <c r="M73"/>
      <c r="N73"/>
      <c r="O73"/>
      <c r="P73"/>
    </row>
    <row r="74" spans="7:16" x14ac:dyDescent="0.4">
      <c r="G74"/>
      <c r="H74"/>
      <c r="I74"/>
      <c r="J74"/>
      <c r="K74"/>
      <c r="L74"/>
      <c r="M74"/>
      <c r="N74"/>
      <c r="O74"/>
      <c r="P74"/>
    </row>
    <row r="75" spans="7:16" x14ac:dyDescent="0.4">
      <c r="G75"/>
      <c r="H75"/>
      <c r="I75"/>
      <c r="J75"/>
      <c r="K75"/>
      <c r="L75"/>
      <c r="M75"/>
      <c r="N75"/>
      <c r="O75"/>
      <c r="P75"/>
    </row>
    <row r="76" spans="7:16" x14ac:dyDescent="0.4">
      <c r="G76"/>
      <c r="H76"/>
      <c r="I76"/>
      <c r="J76"/>
      <c r="K76"/>
      <c r="L76"/>
      <c r="M76"/>
      <c r="N76"/>
      <c r="O76"/>
      <c r="P76"/>
    </row>
    <row r="77" spans="7:16" x14ac:dyDescent="0.4">
      <c r="G77"/>
      <c r="H77"/>
      <c r="I77"/>
      <c r="J77"/>
      <c r="K77"/>
      <c r="L77"/>
      <c r="M77"/>
      <c r="N77"/>
      <c r="O77"/>
      <c r="P77"/>
    </row>
    <row r="78" spans="7:16" x14ac:dyDescent="0.4">
      <c r="G78"/>
      <c r="H78"/>
      <c r="I78"/>
      <c r="J78"/>
      <c r="K78"/>
      <c r="L78"/>
      <c r="M78"/>
      <c r="N78"/>
      <c r="O78"/>
      <c r="P78"/>
    </row>
    <row r="79" spans="7:16" x14ac:dyDescent="0.4">
      <c r="G79"/>
      <c r="H79"/>
      <c r="I79"/>
      <c r="J79"/>
      <c r="K79"/>
      <c r="L79"/>
      <c r="M79"/>
      <c r="N79"/>
      <c r="O79"/>
      <c r="P79"/>
    </row>
    <row r="80" spans="7:16" x14ac:dyDescent="0.4">
      <c r="G80"/>
      <c r="H80"/>
      <c r="I80"/>
      <c r="J80"/>
      <c r="K80"/>
      <c r="L80"/>
      <c r="M80"/>
      <c r="N80"/>
      <c r="O80"/>
      <c r="P80"/>
    </row>
    <row r="81" spans="7:16" x14ac:dyDescent="0.4">
      <c r="G81"/>
      <c r="H81"/>
      <c r="I81"/>
      <c r="J81"/>
      <c r="K81"/>
      <c r="L81"/>
      <c r="M81"/>
      <c r="N81"/>
      <c r="O81"/>
      <c r="P81"/>
    </row>
    <row r="82" spans="7:16" x14ac:dyDescent="0.4">
      <c r="G82"/>
      <c r="H82"/>
      <c r="I82"/>
      <c r="J82"/>
      <c r="K82"/>
      <c r="L82"/>
      <c r="M82"/>
      <c r="N82"/>
      <c r="O82"/>
      <c r="P82"/>
    </row>
    <row r="83" spans="7:16" x14ac:dyDescent="0.4">
      <c r="G83"/>
      <c r="H83"/>
      <c r="I83"/>
      <c r="J83"/>
      <c r="K83"/>
      <c r="L83"/>
      <c r="M83"/>
      <c r="N83"/>
      <c r="O83"/>
      <c r="P83"/>
    </row>
    <row r="84" spans="7:16" x14ac:dyDescent="0.4">
      <c r="G84"/>
      <c r="H84"/>
      <c r="I84"/>
      <c r="J84"/>
      <c r="K84"/>
      <c r="L84"/>
      <c r="M84"/>
      <c r="N84"/>
      <c r="O84"/>
      <c r="P84"/>
    </row>
    <row r="85" spans="7:16" x14ac:dyDescent="0.4">
      <c r="G85"/>
      <c r="H85"/>
      <c r="I85"/>
      <c r="J85"/>
      <c r="K85"/>
      <c r="L85"/>
      <c r="M85"/>
      <c r="N85"/>
      <c r="O85"/>
      <c r="P85"/>
    </row>
    <row r="86" spans="7:16" x14ac:dyDescent="0.4">
      <c r="G86"/>
      <c r="H86"/>
      <c r="I86"/>
      <c r="J86"/>
      <c r="K86"/>
      <c r="L86"/>
      <c r="M86"/>
      <c r="N86"/>
      <c r="O86"/>
      <c r="P86"/>
    </row>
    <row r="87" spans="7:16" x14ac:dyDescent="0.4">
      <c r="G87"/>
      <c r="H87"/>
      <c r="I87"/>
      <c r="J87"/>
      <c r="K87"/>
      <c r="L87"/>
      <c r="M87"/>
      <c r="N87"/>
      <c r="O87"/>
      <c r="P87"/>
    </row>
    <row r="88" spans="7:16" x14ac:dyDescent="0.4">
      <c r="G88"/>
      <c r="H88"/>
      <c r="I88"/>
      <c r="J88"/>
      <c r="K88"/>
      <c r="L88"/>
      <c r="M88"/>
      <c r="N88"/>
      <c r="O88"/>
      <c r="P88"/>
    </row>
    <row r="89" spans="7:16" x14ac:dyDescent="0.4">
      <c r="G89"/>
      <c r="H89"/>
      <c r="I89"/>
      <c r="J89"/>
      <c r="K89"/>
      <c r="L89"/>
      <c r="M89"/>
      <c r="N89"/>
      <c r="O89"/>
      <c r="P89"/>
    </row>
    <row r="90" spans="7:16" x14ac:dyDescent="0.4">
      <c r="G90"/>
      <c r="H90"/>
      <c r="I90"/>
      <c r="J90"/>
      <c r="K90"/>
      <c r="L90"/>
      <c r="M90"/>
      <c r="N90"/>
      <c r="O90"/>
      <c r="P90"/>
    </row>
    <row r="91" spans="7:16" x14ac:dyDescent="0.4">
      <c r="G91"/>
      <c r="H91"/>
      <c r="I91"/>
      <c r="J91"/>
      <c r="K91"/>
      <c r="L91"/>
      <c r="M91"/>
      <c r="N91"/>
      <c r="O91"/>
      <c r="P91"/>
    </row>
    <row r="92" spans="7:16" x14ac:dyDescent="0.4">
      <c r="G92"/>
      <c r="H92"/>
      <c r="I92"/>
      <c r="J92"/>
      <c r="K92"/>
      <c r="L92"/>
      <c r="M92"/>
      <c r="N92"/>
      <c r="O92"/>
      <c r="P92"/>
    </row>
    <row r="93" spans="7:16" x14ac:dyDescent="0.4">
      <c r="G93"/>
      <c r="H93"/>
      <c r="I93"/>
      <c r="J93"/>
      <c r="K93"/>
      <c r="L93"/>
      <c r="M93"/>
      <c r="N93"/>
      <c r="O93"/>
      <c r="P93"/>
    </row>
    <row r="94" spans="7:16" x14ac:dyDescent="0.4">
      <c r="G94"/>
      <c r="H94"/>
      <c r="I94"/>
      <c r="J94"/>
      <c r="K94"/>
      <c r="L94"/>
      <c r="M94"/>
      <c r="N94"/>
      <c r="O94"/>
      <c r="P94"/>
    </row>
    <row r="95" spans="7:16" x14ac:dyDescent="0.4">
      <c r="G95"/>
      <c r="H95"/>
      <c r="I95"/>
      <c r="J95"/>
      <c r="K95"/>
      <c r="L95"/>
      <c r="M95"/>
      <c r="N95"/>
      <c r="O95"/>
      <c r="P95"/>
    </row>
    <row r="96" spans="7:16" x14ac:dyDescent="0.4">
      <c r="G96"/>
      <c r="H96"/>
      <c r="I96"/>
      <c r="J96"/>
      <c r="K96"/>
      <c r="L96"/>
      <c r="M96"/>
      <c r="N96"/>
      <c r="O96"/>
      <c r="P96"/>
    </row>
    <row r="97" spans="7:16" x14ac:dyDescent="0.4">
      <c r="G97"/>
      <c r="H97"/>
      <c r="I97"/>
      <c r="J97"/>
      <c r="K97"/>
      <c r="L97"/>
      <c r="M97"/>
      <c r="N97"/>
      <c r="O97"/>
      <c r="P97"/>
    </row>
    <row r="98" spans="7:16" x14ac:dyDescent="0.4">
      <c r="G98"/>
      <c r="H98"/>
      <c r="I98"/>
      <c r="J98"/>
      <c r="K98"/>
      <c r="L98"/>
      <c r="M98"/>
      <c r="N98"/>
      <c r="O98"/>
      <c r="P98"/>
    </row>
    <row r="99" spans="7:16" x14ac:dyDescent="0.4">
      <c r="G99"/>
      <c r="H99"/>
      <c r="I99"/>
      <c r="J99"/>
      <c r="K99"/>
      <c r="L99"/>
      <c r="M99"/>
      <c r="N99"/>
      <c r="O99"/>
      <c r="P99"/>
    </row>
    <row r="100" spans="7:16" x14ac:dyDescent="0.4">
      <c r="G100"/>
      <c r="H100"/>
      <c r="I100"/>
      <c r="J100"/>
      <c r="K100"/>
      <c r="L100"/>
      <c r="M100"/>
      <c r="N100"/>
      <c r="O100"/>
      <c r="P100"/>
    </row>
    <row r="101" spans="7:16" x14ac:dyDescent="0.4">
      <c r="G101"/>
      <c r="H101"/>
      <c r="I101"/>
      <c r="J101"/>
      <c r="K101"/>
      <c r="L101"/>
      <c r="M101"/>
      <c r="N101"/>
      <c r="O101"/>
      <c r="P101"/>
    </row>
    <row r="102" spans="7:16" x14ac:dyDescent="0.4">
      <c r="G102"/>
      <c r="H102"/>
      <c r="I102"/>
      <c r="J102"/>
      <c r="K102"/>
      <c r="L102"/>
      <c r="M102"/>
      <c r="N102"/>
      <c r="O102"/>
      <c r="P102"/>
    </row>
    <row r="103" spans="7:16" x14ac:dyDescent="0.4">
      <c r="G103"/>
      <c r="H103"/>
      <c r="I103"/>
      <c r="J103"/>
      <c r="K103"/>
      <c r="L103"/>
      <c r="M103"/>
      <c r="N103"/>
      <c r="O103"/>
      <c r="P103"/>
    </row>
  </sheetData>
  <phoneticPr fontId="10" type="noConversion"/>
  <pageMargins left="0.75" right="0.75" top="1" bottom="1" header="0.5" footer="0.5"/>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67"/>
  <sheetViews>
    <sheetView topLeftCell="A21" zoomScale="90" zoomScaleNormal="90" workbookViewId="0">
      <selection activeCell="O23" sqref="O23"/>
    </sheetView>
  </sheetViews>
  <sheetFormatPr defaultColWidth="8.75" defaultRowHeight="13.5" x14ac:dyDescent="0.4"/>
  <cols>
    <col min="1" max="3" width="8.75" style="16"/>
    <col min="4" max="4" width="18.25" style="16" customWidth="1"/>
    <col min="5" max="5" width="7.375" style="16" customWidth="1"/>
    <col min="6" max="10" width="8.75" style="16"/>
    <col min="11" max="11" width="8.25" style="16" bestFit="1" customWidth="1"/>
    <col min="12" max="12" width="10.25" style="16" bestFit="1" customWidth="1"/>
    <col min="13" max="16384" width="8.75" style="16"/>
  </cols>
  <sheetData>
    <row r="1" spans="1:20" x14ac:dyDescent="0.4">
      <c r="A1" s="16" t="s">
        <v>17</v>
      </c>
      <c r="B1" s="16" t="s">
        <v>18</v>
      </c>
      <c r="C1" s="60" t="s">
        <v>2466</v>
      </c>
      <c r="D1" s="16" t="s">
        <v>19</v>
      </c>
      <c r="E1" s="16" t="s">
        <v>20</v>
      </c>
      <c r="F1" s="49"/>
      <c r="I1" s="17" t="s">
        <v>18</v>
      </c>
      <c r="J1" s="17" t="s">
        <v>21</v>
      </c>
      <c r="M1" s="49"/>
      <c r="N1" s="49"/>
      <c r="O1" s="49"/>
    </row>
    <row r="2" spans="1:20" ht="15.75" x14ac:dyDescent="0.4">
      <c r="A2" s="16" t="s">
        <v>22</v>
      </c>
      <c r="B2" s="16" t="s">
        <v>23</v>
      </c>
      <c r="C2" s="16" t="str">
        <f>_xlfn.XLOOKUP(B2,$I$2:$I$32,$J$2:$J$32)</f>
        <v>西南</v>
      </c>
      <c r="D2" s="16" t="s">
        <v>24</v>
      </c>
      <c r="E2" s="16">
        <v>12</v>
      </c>
      <c r="H2" s="18"/>
      <c r="I2" s="17" t="s">
        <v>25</v>
      </c>
      <c r="J2" s="19" t="s">
        <v>26</v>
      </c>
      <c r="M2" s="49"/>
      <c r="O2" s="49"/>
    </row>
    <row r="3" spans="1:20" ht="15.75" x14ac:dyDescent="0.4">
      <c r="A3" s="16" t="s">
        <v>22</v>
      </c>
      <c r="B3" s="16" t="s">
        <v>25</v>
      </c>
      <c r="C3" s="16" t="str">
        <f t="shared" ref="C3:C66" si="0">_xlfn.XLOOKUP(B3,$I$2:$I$32,$J$2:$J$32)</f>
        <v>东北</v>
      </c>
      <c r="D3" s="16" t="s">
        <v>27</v>
      </c>
      <c r="E3" s="16">
        <v>13</v>
      </c>
      <c r="H3" s="18"/>
      <c r="I3" s="17" t="s">
        <v>28</v>
      </c>
      <c r="J3" s="19" t="s">
        <v>26</v>
      </c>
    </row>
    <row r="4" spans="1:20" ht="15.75" x14ac:dyDescent="0.4">
      <c r="A4" s="16" t="s">
        <v>29</v>
      </c>
      <c r="B4" s="16" t="s">
        <v>30</v>
      </c>
      <c r="C4" s="16" t="str">
        <f t="shared" si="0"/>
        <v>华北</v>
      </c>
      <c r="D4" s="16" t="s">
        <v>31</v>
      </c>
      <c r="E4" s="16">
        <v>26</v>
      </c>
      <c r="H4" s="18"/>
      <c r="I4" s="17" t="s">
        <v>32</v>
      </c>
      <c r="J4" s="19" t="s">
        <v>26</v>
      </c>
      <c r="M4" s="49"/>
    </row>
    <row r="5" spans="1:20" ht="15.75" x14ac:dyDescent="0.4">
      <c r="A5" s="16" t="s">
        <v>33</v>
      </c>
      <c r="B5" s="16" t="s">
        <v>34</v>
      </c>
      <c r="C5" s="16" t="str">
        <f t="shared" si="0"/>
        <v>西北</v>
      </c>
      <c r="D5" s="16" t="s">
        <v>35</v>
      </c>
      <c r="E5" s="16">
        <v>16</v>
      </c>
      <c r="H5" s="18"/>
      <c r="I5" s="17" t="s">
        <v>36</v>
      </c>
      <c r="J5" s="19" t="s">
        <v>37</v>
      </c>
      <c r="M5" s="49"/>
    </row>
    <row r="6" spans="1:20" ht="15.75" x14ac:dyDescent="0.4">
      <c r="A6" s="16" t="s">
        <v>29</v>
      </c>
      <c r="B6" s="16" t="s">
        <v>38</v>
      </c>
      <c r="C6" s="16" t="str">
        <f t="shared" si="0"/>
        <v>西北</v>
      </c>
      <c r="D6" s="16" t="s">
        <v>39</v>
      </c>
      <c r="E6" s="16">
        <v>27</v>
      </c>
      <c r="G6" s="16">
        <v>4</v>
      </c>
      <c r="H6" s="18"/>
      <c r="I6" s="17" t="s">
        <v>40</v>
      </c>
      <c r="J6" s="19" t="s">
        <v>37</v>
      </c>
    </row>
    <row r="7" spans="1:20" ht="15.75" x14ac:dyDescent="0.4">
      <c r="A7" s="16" t="s">
        <v>22</v>
      </c>
      <c r="B7" s="16" t="s">
        <v>34</v>
      </c>
      <c r="C7" s="16" t="str">
        <f t="shared" si="0"/>
        <v>西北</v>
      </c>
      <c r="D7" s="16" t="s">
        <v>41</v>
      </c>
      <c r="E7" s="16">
        <v>19</v>
      </c>
      <c r="G7" s="60" t="s">
        <v>2466</v>
      </c>
      <c r="H7" s="18"/>
      <c r="I7" s="17" t="s">
        <v>30</v>
      </c>
      <c r="J7" s="19" t="s">
        <v>42</v>
      </c>
    </row>
    <row r="8" spans="1:20" ht="15.75" x14ac:dyDescent="0.4">
      <c r="A8" s="16" t="s">
        <v>33</v>
      </c>
      <c r="B8" s="16" t="s">
        <v>34</v>
      </c>
      <c r="C8" s="16" t="str">
        <f t="shared" si="0"/>
        <v>西北</v>
      </c>
      <c r="D8" s="16" t="s">
        <v>43</v>
      </c>
      <c r="E8" s="16">
        <v>14</v>
      </c>
      <c r="G8" s="16" t="s">
        <v>87</v>
      </c>
      <c r="H8" s="18"/>
      <c r="I8" s="17" t="s">
        <v>44</v>
      </c>
      <c r="J8" s="19" t="s">
        <v>42</v>
      </c>
      <c r="M8"/>
      <c r="N8"/>
      <c r="O8"/>
      <c r="P8"/>
      <c r="Q8"/>
      <c r="R8"/>
      <c r="S8"/>
      <c r="T8"/>
    </row>
    <row r="9" spans="1:20" ht="15.75" x14ac:dyDescent="0.4">
      <c r="A9" s="16" t="s">
        <v>22</v>
      </c>
      <c r="B9" s="16" t="s">
        <v>30</v>
      </c>
      <c r="C9" s="16" t="str">
        <f t="shared" si="0"/>
        <v>华北</v>
      </c>
      <c r="D9" s="16" t="s">
        <v>45</v>
      </c>
      <c r="E9" s="16">
        <v>24</v>
      </c>
      <c r="G9" s="16" t="s">
        <v>26</v>
      </c>
      <c r="H9" s="18"/>
      <c r="I9" s="17" t="s">
        <v>46</v>
      </c>
      <c r="J9" s="19" t="s">
        <v>42</v>
      </c>
      <c r="M9"/>
      <c r="N9"/>
      <c r="O9"/>
      <c r="P9"/>
      <c r="Q9"/>
      <c r="R9"/>
      <c r="S9"/>
      <c r="T9"/>
    </row>
    <row r="10" spans="1:20" ht="15.75" x14ac:dyDescent="0.4">
      <c r="A10" s="16" t="s">
        <v>33</v>
      </c>
      <c r="B10" s="16" t="s">
        <v>34</v>
      </c>
      <c r="C10" s="16" t="str">
        <f t="shared" si="0"/>
        <v>西北</v>
      </c>
      <c r="D10" s="16" t="s">
        <v>47</v>
      </c>
      <c r="E10" s="16">
        <v>15</v>
      </c>
      <c r="G10" s="16" t="s">
        <v>42</v>
      </c>
      <c r="H10" s="18"/>
      <c r="I10" s="17" t="s">
        <v>48</v>
      </c>
      <c r="J10" s="19" t="s">
        <v>49</v>
      </c>
      <c r="K10" s="20"/>
      <c r="M10"/>
      <c r="N10"/>
      <c r="O10"/>
      <c r="P10"/>
      <c r="Q10"/>
      <c r="R10"/>
      <c r="S10"/>
      <c r="T10"/>
    </row>
    <row r="11" spans="1:20" ht="15.75" x14ac:dyDescent="0.4">
      <c r="A11" s="16" t="s">
        <v>22</v>
      </c>
      <c r="B11" s="16" t="s">
        <v>30</v>
      </c>
      <c r="C11" s="16" t="str">
        <f t="shared" si="0"/>
        <v>华北</v>
      </c>
      <c r="D11" s="16" t="s">
        <v>50</v>
      </c>
      <c r="E11" s="16">
        <v>15</v>
      </c>
      <c r="G11" s="16" t="s">
        <v>79</v>
      </c>
      <c r="H11" s="18"/>
      <c r="I11" s="17" t="s">
        <v>51</v>
      </c>
      <c r="J11" s="19" t="s">
        <v>49</v>
      </c>
      <c r="K11" s="20"/>
      <c r="M11"/>
      <c r="N11"/>
      <c r="O11"/>
      <c r="P11"/>
      <c r="Q11"/>
      <c r="R11"/>
      <c r="S11"/>
      <c r="T11"/>
    </row>
    <row r="12" spans="1:20" ht="15.75" x14ac:dyDescent="0.4">
      <c r="A12" s="16" t="s">
        <v>33</v>
      </c>
      <c r="B12" s="16" t="s">
        <v>34</v>
      </c>
      <c r="C12" s="16" t="str">
        <f t="shared" si="0"/>
        <v>西北</v>
      </c>
      <c r="D12" s="16" t="s">
        <v>52</v>
      </c>
      <c r="E12" s="16">
        <v>26</v>
      </c>
      <c r="G12" s="16" t="s">
        <v>49</v>
      </c>
      <c r="H12" s="18"/>
      <c r="I12" s="17" t="s">
        <v>53</v>
      </c>
      <c r="J12" s="19" t="s">
        <v>49</v>
      </c>
      <c r="K12" s="20"/>
      <c r="M12"/>
      <c r="N12"/>
      <c r="O12"/>
      <c r="P12"/>
      <c r="Q12"/>
      <c r="R12"/>
      <c r="S12"/>
      <c r="T12"/>
    </row>
    <row r="13" spans="1:20" ht="15.75" x14ac:dyDescent="0.4">
      <c r="A13" s="16" t="s">
        <v>33</v>
      </c>
      <c r="B13" s="16" t="s">
        <v>34</v>
      </c>
      <c r="C13" s="16" t="str">
        <f t="shared" si="0"/>
        <v>西北</v>
      </c>
      <c r="D13" s="16" t="s">
        <v>54</v>
      </c>
      <c r="E13" s="16">
        <v>21</v>
      </c>
      <c r="G13" s="16" t="s">
        <v>74</v>
      </c>
      <c r="H13" s="18"/>
      <c r="I13" s="17" t="s">
        <v>55</v>
      </c>
      <c r="J13" s="19" t="s">
        <v>49</v>
      </c>
      <c r="K13" s="20"/>
      <c r="M13"/>
      <c r="N13"/>
      <c r="O13"/>
      <c r="P13"/>
      <c r="Q13"/>
      <c r="R13"/>
      <c r="S13"/>
      <c r="T13"/>
    </row>
    <row r="14" spans="1:20" ht="15.75" x14ac:dyDescent="0.4">
      <c r="A14" s="16" t="s">
        <v>29</v>
      </c>
      <c r="B14" s="16" t="s">
        <v>55</v>
      </c>
      <c r="C14" s="16" t="str">
        <f t="shared" si="0"/>
        <v>华东</v>
      </c>
      <c r="D14" s="16" t="s">
        <v>56</v>
      </c>
      <c r="E14" s="16">
        <v>11</v>
      </c>
      <c r="G14" s="16" t="s">
        <v>66</v>
      </c>
      <c r="H14" s="18"/>
      <c r="I14" s="17" t="s">
        <v>57</v>
      </c>
      <c r="J14" s="19" t="s">
        <v>49</v>
      </c>
      <c r="K14" s="20"/>
      <c r="M14"/>
      <c r="N14"/>
      <c r="O14"/>
      <c r="P14"/>
      <c r="Q14"/>
      <c r="R14"/>
      <c r="S14"/>
      <c r="T14"/>
    </row>
    <row r="15" spans="1:20" ht="15.75" x14ac:dyDescent="0.4">
      <c r="A15" s="16" t="s">
        <v>29</v>
      </c>
      <c r="B15" s="16" t="s">
        <v>58</v>
      </c>
      <c r="C15" s="16" t="str">
        <f t="shared" si="0"/>
        <v>华中</v>
      </c>
      <c r="D15" s="16" t="s">
        <v>59</v>
      </c>
      <c r="E15" s="16">
        <v>25</v>
      </c>
      <c r="H15" s="18"/>
      <c r="I15" s="17" t="s">
        <v>60</v>
      </c>
      <c r="J15" s="19" t="s">
        <v>49</v>
      </c>
      <c r="K15" s="20"/>
    </row>
    <row r="16" spans="1:20" ht="15.75" x14ac:dyDescent="0.4">
      <c r="A16" s="16" t="s">
        <v>22</v>
      </c>
      <c r="B16" s="16" t="s">
        <v>61</v>
      </c>
      <c r="C16" s="16" t="str">
        <f t="shared" si="0"/>
        <v>华东</v>
      </c>
      <c r="D16" s="16" t="s">
        <v>62</v>
      </c>
      <c r="E16" s="16">
        <v>18</v>
      </c>
      <c r="H16" s="18"/>
      <c r="I16" s="17" t="s">
        <v>61</v>
      </c>
      <c r="J16" s="19" t="s">
        <v>49</v>
      </c>
      <c r="K16" s="20"/>
    </row>
    <row r="17" spans="1:19" ht="15.75" x14ac:dyDescent="0.4">
      <c r="A17" s="16" t="s">
        <v>22</v>
      </c>
      <c r="B17" s="16" t="s">
        <v>63</v>
      </c>
      <c r="C17" s="16" t="str">
        <f t="shared" si="0"/>
        <v>西南</v>
      </c>
      <c r="D17" s="16" t="s">
        <v>64</v>
      </c>
      <c r="E17" s="16">
        <v>15</v>
      </c>
      <c r="H17" s="18"/>
      <c r="I17" s="17" t="s">
        <v>65</v>
      </c>
      <c r="J17" s="19" t="s">
        <v>66</v>
      </c>
      <c r="K17" s="20"/>
    </row>
    <row r="18" spans="1:19" ht="15.75" x14ac:dyDescent="0.4">
      <c r="A18" s="16" t="s">
        <v>33</v>
      </c>
      <c r="B18" s="16" t="s">
        <v>67</v>
      </c>
      <c r="C18" s="16" t="str">
        <f t="shared" si="0"/>
        <v>华中</v>
      </c>
      <c r="D18" s="16" t="s">
        <v>68</v>
      </c>
      <c r="E18" s="16">
        <v>26</v>
      </c>
      <c r="H18" s="18"/>
      <c r="I18" s="17" t="s">
        <v>69</v>
      </c>
      <c r="J18" s="19" t="s">
        <v>66</v>
      </c>
    </row>
    <row r="19" spans="1:19" ht="15.75" x14ac:dyDescent="0.4">
      <c r="A19" s="16" t="s">
        <v>22</v>
      </c>
      <c r="B19" s="16" t="s">
        <v>48</v>
      </c>
      <c r="C19" s="16" t="str">
        <f t="shared" si="0"/>
        <v>华东</v>
      </c>
      <c r="D19" s="16" t="s">
        <v>70</v>
      </c>
      <c r="E19" s="16">
        <v>14</v>
      </c>
      <c r="H19" s="18"/>
      <c r="I19" s="17" t="s">
        <v>71</v>
      </c>
      <c r="J19" s="19" t="s">
        <v>66</v>
      </c>
    </row>
    <row r="20" spans="1:19" ht="15.75" x14ac:dyDescent="0.4">
      <c r="A20" s="16" t="s">
        <v>22</v>
      </c>
      <c r="B20" s="16" t="s">
        <v>57</v>
      </c>
      <c r="C20" s="16" t="str">
        <f t="shared" si="0"/>
        <v>华东</v>
      </c>
      <c r="D20" s="16" t="s">
        <v>72</v>
      </c>
      <c r="E20" s="16">
        <v>14</v>
      </c>
      <c r="H20" s="18"/>
      <c r="I20" s="17" t="s">
        <v>73</v>
      </c>
      <c r="J20" s="19" t="s">
        <v>74</v>
      </c>
    </row>
    <row r="21" spans="1:19" ht="15.75" x14ac:dyDescent="0.4">
      <c r="A21" s="16" t="s">
        <v>29</v>
      </c>
      <c r="B21" s="16" t="s">
        <v>58</v>
      </c>
      <c r="C21" s="16" t="str">
        <f t="shared" si="0"/>
        <v>华中</v>
      </c>
      <c r="D21" s="16" t="s">
        <v>75</v>
      </c>
      <c r="E21" s="16">
        <v>25</v>
      </c>
      <c r="H21" s="18"/>
      <c r="I21" s="17" t="s">
        <v>67</v>
      </c>
      <c r="J21" s="19" t="s">
        <v>74</v>
      </c>
    </row>
    <row r="22" spans="1:19" ht="15.75" x14ac:dyDescent="0.4">
      <c r="A22" s="16" t="s">
        <v>33</v>
      </c>
      <c r="B22" s="16" t="s">
        <v>76</v>
      </c>
      <c r="C22" s="16" t="str">
        <f t="shared" si="0"/>
        <v>西北</v>
      </c>
      <c r="D22" s="16" t="s">
        <v>77</v>
      </c>
      <c r="E22" s="16">
        <v>19</v>
      </c>
      <c r="H22" s="18"/>
      <c r="I22" s="17" t="s">
        <v>58</v>
      </c>
      <c r="J22" s="19" t="s">
        <v>74</v>
      </c>
      <c r="Q22" s="60" t="s">
        <v>2467</v>
      </c>
      <c r="R22" s="16">
        <v>1</v>
      </c>
    </row>
    <row r="23" spans="1:19" ht="15.75" x14ac:dyDescent="0.4">
      <c r="A23" s="16" t="s">
        <v>33</v>
      </c>
      <c r="B23" s="16" t="s">
        <v>76</v>
      </c>
      <c r="C23" s="16" t="str">
        <f t="shared" si="0"/>
        <v>西北</v>
      </c>
      <c r="D23" s="16" t="s">
        <v>78</v>
      </c>
      <c r="E23" s="16">
        <v>11</v>
      </c>
      <c r="H23" s="18"/>
      <c r="I23" s="17" t="s">
        <v>38</v>
      </c>
      <c r="J23" s="19" t="s">
        <v>79</v>
      </c>
      <c r="M23" s="16" t="str" cm="1">
        <f t="array" ref="M23">P25&amp;"地区"&amp;INDEX(L26:L27,L25)&amp;"统计"</f>
        <v>西北地区机构数统计</v>
      </c>
      <c r="Q23" s="60" t="s">
        <v>2468</v>
      </c>
      <c r="R23" s="16">
        <v>2</v>
      </c>
    </row>
    <row r="24" spans="1:19" ht="15.75" x14ac:dyDescent="0.4">
      <c r="A24" s="16" t="s">
        <v>22</v>
      </c>
      <c r="B24" s="16" t="s">
        <v>63</v>
      </c>
      <c r="C24" s="16" t="str">
        <f t="shared" si="0"/>
        <v>西南</v>
      </c>
      <c r="D24" s="16" t="s">
        <v>80</v>
      </c>
      <c r="E24" s="16">
        <v>25</v>
      </c>
      <c r="H24" s="18"/>
      <c r="I24" s="17" t="s">
        <v>81</v>
      </c>
      <c r="J24" s="19" t="s">
        <v>79</v>
      </c>
      <c r="Q24" s="60" t="s">
        <v>2469</v>
      </c>
      <c r="R24" s="16">
        <v>1</v>
      </c>
    </row>
    <row r="25" spans="1:19" ht="15.75" x14ac:dyDescent="0.4">
      <c r="A25" s="16" t="s">
        <v>22</v>
      </c>
      <c r="B25" s="16" t="s">
        <v>28</v>
      </c>
      <c r="C25" s="16" t="str">
        <f t="shared" si="0"/>
        <v>东北</v>
      </c>
      <c r="D25" s="16" t="s">
        <v>82</v>
      </c>
      <c r="E25" s="16">
        <v>16</v>
      </c>
      <c r="H25" s="18"/>
      <c r="I25" s="17" t="s">
        <v>83</v>
      </c>
      <c r="J25" s="19" t="s">
        <v>79</v>
      </c>
      <c r="L25" s="16">
        <v>1</v>
      </c>
      <c r="P25" s="16" t="str" cm="1">
        <f t="array" ref="P25">INDEX(G8:G14,G6)</f>
        <v>西北</v>
      </c>
    </row>
    <row r="26" spans="1:19" ht="15.75" x14ac:dyDescent="0.4">
      <c r="A26" s="16" t="s">
        <v>22</v>
      </c>
      <c r="B26" s="16" t="s">
        <v>51</v>
      </c>
      <c r="C26" s="16" t="str">
        <f t="shared" si="0"/>
        <v>华东</v>
      </c>
      <c r="D26" s="16" t="s">
        <v>84</v>
      </c>
      <c r="E26" s="16">
        <v>17</v>
      </c>
      <c r="H26" s="18"/>
      <c r="I26" s="17" t="s">
        <v>76</v>
      </c>
      <c r="J26" s="19" t="s">
        <v>79</v>
      </c>
      <c r="L26" s="60" t="s">
        <v>2464</v>
      </c>
    </row>
    <row r="27" spans="1:19" ht="15.75" x14ac:dyDescent="0.4">
      <c r="A27" s="16" t="s">
        <v>22</v>
      </c>
      <c r="B27" s="16" t="s">
        <v>73</v>
      </c>
      <c r="C27" s="16" t="str">
        <f t="shared" si="0"/>
        <v>华中</v>
      </c>
      <c r="D27" s="16" t="s">
        <v>85</v>
      </c>
      <c r="E27" s="16">
        <v>25</v>
      </c>
      <c r="H27" s="18"/>
      <c r="I27" s="17" t="s">
        <v>34</v>
      </c>
      <c r="J27" s="19" t="s">
        <v>79</v>
      </c>
      <c r="L27" s="60" t="s">
        <v>2465</v>
      </c>
    </row>
    <row r="28" spans="1:19" ht="15.75" x14ac:dyDescent="0.4">
      <c r="A28" s="16" t="s">
        <v>29</v>
      </c>
      <c r="B28" s="16" t="s">
        <v>73</v>
      </c>
      <c r="C28" s="16" t="str">
        <f t="shared" si="0"/>
        <v>华中</v>
      </c>
      <c r="D28" s="16" t="s">
        <v>86</v>
      </c>
      <c r="E28" s="16">
        <v>26</v>
      </c>
      <c r="H28" s="18"/>
      <c r="I28" s="17" t="s">
        <v>63</v>
      </c>
      <c r="J28" s="19" t="s">
        <v>87</v>
      </c>
      <c r="R28" s="16">
        <f>IF(L25=1,DCOUNTA(A:E,D1,L35:N36),DSUM(A:E,E1,L35:N36))</f>
        <v>10</v>
      </c>
    </row>
    <row r="29" spans="1:19" ht="15.75" x14ac:dyDescent="0.4">
      <c r="A29" s="16" t="s">
        <v>29</v>
      </c>
      <c r="B29" s="16" t="s">
        <v>73</v>
      </c>
      <c r="C29" s="16" t="str">
        <f t="shared" si="0"/>
        <v>华中</v>
      </c>
      <c r="D29" s="16" t="s">
        <v>88</v>
      </c>
      <c r="E29" s="16">
        <v>27</v>
      </c>
      <c r="H29" s="18"/>
      <c r="I29" s="17" t="s">
        <v>23</v>
      </c>
      <c r="J29" s="19" t="s">
        <v>89</v>
      </c>
      <c r="Q29" s="16" t="str" cm="1">
        <f t="array" ref="Q29:Q33">_xlfn._xlws.FILTER(I2:I32,J2:J32=P25)</f>
        <v>甘肃省</v>
      </c>
      <c r="R29" s="16">
        <f t="dataTable" ref="R29:R33" dt2D="0" dtr="0" r1="N36"/>
        <v>10</v>
      </c>
    </row>
    <row r="30" spans="1:19" ht="15.75" x14ac:dyDescent="0.4">
      <c r="A30" s="16" t="s">
        <v>29</v>
      </c>
      <c r="B30" s="16" t="s">
        <v>55</v>
      </c>
      <c r="C30" s="16" t="str">
        <f t="shared" si="0"/>
        <v>华东</v>
      </c>
      <c r="D30" s="16" t="s">
        <v>90</v>
      </c>
      <c r="E30" s="16">
        <v>29</v>
      </c>
      <c r="H30" s="18"/>
      <c r="I30" s="17" t="s">
        <v>91</v>
      </c>
      <c r="J30" s="19" t="s">
        <v>89</v>
      </c>
      <c r="Q30" s="16" t="str">
        <v>宁夏回族自治区</v>
      </c>
      <c r="R30" s="16">
        <v>6</v>
      </c>
    </row>
    <row r="31" spans="1:19" ht="15.75" x14ac:dyDescent="0.4">
      <c r="A31" s="16" t="s">
        <v>22</v>
      </c>
      <c r="B31" s="16" t="s">
        <v>55</v>
      </c>
      <c r="C31" s="16" t="str">
        <f t="shared" si="0"/>
        <v>华东</v>
      </c>
      <c r="D31" s="16" t="s">
        <v>92</v>
      </c>
      <c r="E31" s="16">
        <v>19</v>
      </c>
      <c r="H31" s="18"/>
      <c r="I31" s="17" t="s">
        <v>93</v>
      </c>
      <c r="J31" s="19" t="s">
        <v>87</v>
      </c>
      <c r="N31" s="16" t="e" cm="1" vm="1">
        <f t="array" aca="1" ref="N31" ca="1">_xlfn._xlws.FILTER(I2:I32,J2:J32=P25)</f>
        <v>#VALUE!</v>
      </c>
      <c r="Q31" s="16" t="str">
        <v>青海省</v>
      </c>
      <c r="R31" s="16">
        <v>5</v>
      </c>
      <c r="S31" s="60"/>
    </row>
    <row r="32" spans="1:19" ht="15.75" x14ac:dyDescent="0.4">
      <c r="A32" s="16" t="s">
        <v>22</v>
      </c>
      <c r="B32" s="16" t="s">
        <v>44</v>
      </c>
      <c r="C32" s="16" t="str">
        <f t="shared" si="0"/>
        <v>华北</v>
      </c>
      <c r="D32" s="16" t="s">
        <v>94</v>
      </c>
      <c r="E32" s="16">
        <v>25</v>
      </c>
      <c r="H32" s="18"/>
      <c r="I32" s="17" t="s">
        <v>95</v>
      </c>
      <c r="J32" s="19" t="s">
        <v>87</v>
      </c>
      <c r="L32" s="16" t="e" cm="1">
        <f t="array" ref="L32">_xlfn._xlws.FILTER(D2:D2337,C2:C2337=P25)</f>
        <v>#N/A</v>
      </c>
      <c r="Q32" s="16" t="str">
        <v>陕西省</v>
      </c>
      <c r="R32" s="16">
        <v>20</v>
      </c>
    </row>
    <row r="33" spans="1:18" x14ac:dyDescent="0.4">
      <c r="A33" s="16" t="s">
        <v>22</v>
      </c>
      <c r="B33" s="16" t="s">
        <v>23</v>
      </c>
      <c r="C33" s="16" t="str">
        <f t="shared" si="0"/>
        <v>西南</v>
      </c>
      <c r="D33" s="16" t="s">
        <v>96</v>
      </c>
      <c r="E33" s="16">
        <v>20</v>
      </c>
      <c r="Q33" s="16" t="str">
        <v>新疆维吾尔自治区</v>
      </c>
      <c r="R33" s="16">
        <v>9</v>
      </c>
    </row>
    <row r="34" spans="1:18" x14ac:dyDescent="0.4">
      <c r="A34" s="16" t="s">
        <v>29</v>
      </c>
      <c r="B34" s="16" t="s">
        <v>32</v>
      </c>
      <c r="C34" s="16" t="str">
        <f t="shared" si="0"/>
        <v>东北</v>
      </c>
      <c r="D34" s="16" t="s">
        <v>97</v>
      </c>
      <c r="E34" s="16">
        <v>17</v>
      </c>
    </row>
    <row r="35" spans="1:18" x14ac:dyDescent="0.4">
      <c r="A35" s="16" t="s">
        <v>22</v>
      </c>
      <c r="B35" s="16" t="s">
        <v>32</v>
      </c>
      <c r="C35" s="16" t="str">
        <f t="shared" si="0"/>
        <v>东北</v>
      </c>
      <c r="D35" s="16" t="s">
        <v>98</v>
      </c>
      <c r="E35" s="16">
        <v>15</v>
      </c>
      <c r="L35" s="16" t="s">
        <v>17</v>
      </c>
      <c r="M35" s="60" t="s">
        <v>2466</v>
      </c>
      <c r="N35" s="60" t="s">
        <v>2470</v>
      </c>
    </row>
    <row r="36" spans="1:18" x14ac:dyDescent="0.4">
      <c r="A36" s="16" t="s">
        <v>33</v>
      </c>
      <c r="B36" s="16" t="s">
        <v>32</v>
      </c>
      <c r="C36" s="16" t="str">
        <f t="shared" si="0"/>
        <v>东北</v>
      </c>
      <c r="D36" s="16" t="s">
        <v>99</v>
      </c>
      <c r="E36" s="16">
        <v>25</v>
      </c>
      <c r="L36" s="16" t="str" cm="1">
        <f t="array" ref="L36">INDEX(Q22:Q24,R24)</f>
        <v>合格</v>
      </c>
      <c r="M36" s="16" t="str" cm="1">
        <f t="array" ref="M36">INDEX(G8:G14,G6)</f>
        <v>西北</v>
      </c>
      <c r="N36" s="16" t="str">
        <f>P36</f>
        <v>甘肃省</v>
      </c>
      <c r="P36" s="16" t="str" cm="1">
        <f t="array" ref="P36:P40">_xlfn._xlws.FILTER(I2:I32,J2:J32=P25)</f>
        <v>甘肃省</v>
      </c>
    </row>
    <row r="37" spans="1:18" x14ac:dyDescent="0.4">
      <c r="A37" s="16" t="s">
        <v>29</v>
      </c>
      <c r="B37" s="16" t="s">
        <v>32</v>
      </c>
      <c r="C37" s="16" t="str">
        <f t="shared" si="0"/>
        <v>东北</v>
      </c>
      <c r="D37" s="16" t="s">
        <v>100</v>
      </c>
      <c r="E37" s="16">
        <v>13</v>
      </c>
      <c r="P37" s="16" t="str">
        <v>宁夏回族自治区</v>
      </c>
    </row>
    <row r="38" spans="1:18" x14ac:dyDescent="0.4">
      <c r="A38" s="16" t="s">
        <v>29</v>
      </c>
      <c r="B38" s="16" t="s">
        <v>32</v>
      </c>
      <c r="C38" s="16" t="str">
        <f t="shared" si="0"/>
        <v>东北</v>
      </c>
      <c r="D38" s="16" t="s">
        <v>101</v>
      </c>
      <c r="E38" s="16">
        <v>10</v>
      </c>
      <c r="P38" s="16" t="str">
        <v>青海省</v>
      </c>
    </row>
    <row r="39" spans="1:18" x14ac:dyDescent="0.4">
      <c r="A39" s="16" t="s">
        <v>29</v>
      </c>
      <c r="B39" s="16" t="s">
        <v>32</v>
      </c>
      <c r="C39" s="16" t="str">
        <f t="shared" si="0"/>
        <v>东北</v>
      </c>
      <c r="D39" s="16" t="s">
        <v>102</v>
      </c>
      <c r="E39" s="16">
        <v>24</v>
      </c>
      <c r="P39" s="16" t="str">
        <v>陕西省</v>
      </c>
    </row>
    <row r="40" spans="1:18" x14ac:dyDescent="0.4">
      <c r="A40" s="16" t="s">
        <v>29</v>
      </c>
      <c r="B40" s="16" t="s">
        <v>30</v>
      </c>
      <c r="C40" s="16" t="str">
        <f t="shared" si="0"/>
        <v>华北</v>
      </c>
      <c r="D40" s="16" t="s">
        <v>103</v>
      </c>
      <c r="E40" s="16">
        <v>19</v>
      </c>
      <c r="P40" s="16" t="str">
        <v>新疆维吾尔自治区</v>
      </c>
    </row>
    <row r="41" spans="1:18" x14ac:dyDescent="0.4">
      <c r="A41" s="16" t="s">
        <v>29</v>
      </c>
      <c r="B41" s="16" t="s">
        <v>60</v>
      </c>
      <c r="C41" s="16" t="str">
        <f t="shared" si="0"/>
        <v>华东</v>
      </c>
      <c r="D41" s="16" t="s">
        <v>104</v>
      </c>
      <c r="E41" s="16">
        <v>29</v>
      </c>
    </row>
    <row r="42" spans="1:18" x14ac:dyDescent="0.4">
      <c r="A42" s="16" t="s">
        <v>29</v>
      </c>
      <c r="B42" s="16" t="s">
        <v>34</v>
      </c>
      <c r="C42" s="16" t="str">
        <f t="shared" si="0"/>
        <v>西北</v>
      </c>
      <c r="D42" s="16" t="s">
        <v>105</v>
      </c>
      <c r="E42" s="16">
        <v>16</v>
      </c>
    </row>
    <row r="43" spans="1:18" x14ac:dyDescent="0.4">
      <c r="A43" s="16" t="s">
        <v>33</v>
      </c>
      <c r="B43" s="16" t="s">
        <v>67</v>
      </c>
      <c r="C43" s="16" t="str">
        <f t="shared" si="0"/>
        <v>华中</v>
      </c>
      <c r="D43" s="16" t="s">
        <v>106</v>
      </c>
      <c r="E43" s="16">
        <v>10</v>
      </c>
    </row>
    <row r="44" spans="1:18" x14ac:dyDescent="0.4">
      <c r="A44" s="16" t="s">
        <v>29</v>
      </c>
      <c r="B44" s="16" t="s">
        <v>30</v>
      </c>
      <c r="C44" s="16" t="str">
        <f t="shared" si="0"/>
        <v>华北</v>
      </c>
      <c r="D44" s="16" t="s">
        <v>107</v>
      </c>
      <c r="E44" s="16">
        <v>13</v>
      </c>
    </row>
    <row r="45" spans="1:18" x14ac:dyDescent="0.4">
      <c r="A45" s="16" t="s">
        <v>22</v>
      </c>
      <c r="B45" s="16" t="s">
        <v>30</v>
      </c>
      <c r="C45" s="16" t="str">
        <f t="shared" si="0"/>
        <v>华北</v>
      </c>
      <c r="D45" s="16" t="s">
        <v>108</v>
      </c>
      <c r="E45" s="16">
        <v>28</v>
      </c>
    </row>
    <row r="46" spans="1:18" x14ac:dyDescent="0.4">
      <c r="A46" s="16" t="s">
        <v>22</v>
      </c>
      <c r="B46" s="16" t="s">
        <v>69</v>
      </c>
      <c r="C46" s="16" t="str">
        <f t="shared" si="0"/>
        <v>华南</v>
      </c>
      <c r="D46" s="16" t="s">
        <v>109</v>
      </c>
      <c r="E46" s="16">
        <v>13</v>
      </c>
    </row>
    <row r="47" spans="1:18" x14ac:dyDescent="0.4">
      <c r="A47" s="16" t="s">
        <v>29</v>
      </c>
      <c r="B47" s="16" t="s">
        <v>23</v>
      </c>
      <c r="C47" s="16" t="str">
        <f t="shared" si="0"/>
        <v>西南</v>
      </c>
      <c r="D47" s="16" t="s">
        <v>110</v>
      </c>
      <c r="E47" s="16">
        <v>22</v>
      </c>
    </row>
    <row r="48" spans="1:18" x14ac:dyDescent="0.4">
      <c r="A48" s="16" t="s">
        <v>33</v>
      </c>
      <c r="B48" s="16" t="s">
        <v>23</v>
      </c>
      <c r="C48" s="16" t="str">
        <f t="shared" si="0"/>
        <v>西南</v>
      </c>
      <c r="D48" s="16" t="s">
        <v>111</v>
      </c>
      <c r="E48" s="16">
        <v>14</v>
      </c>
    </row>
    <row r="49" spans="1:5" x14ac:dyDescent="0.4">
      <c r="A49" s="16" t="s">
        <v>29</v>
      </c>
      <c r="B49" s="16" t="s">
        <v>40</v>
      </c>
      <c r="C49" s="16" t="str">
        <f t="shared" si="0"/>
        <v>华北</v>
      </c>
      <c r="D49" s="16" t="s">
        <v>112</v>
      </c>
      <c r="E49" s="16">
        <v>10</v>
      </c>
    </row>
    <row r="50" spans="1:5" x14ac:dyDescent="0.4">
      <c r="A50" s="16" t="s">
        <v>22</v>
      </c>
      <c r="B50" s="16" t="s">
        <v>28</v>
      </c>
      <c r="C50" s="16" t="str">
        <f t="shared" si="0"/>
        <v>东北</v>
      </c>
      <c r="D50" s="16" t="s">
        <v>113</v>
      </c>
      <c r="E50" s="16">
        <v>14</v>
      </c>
    </row>
    <row r="51" spans="1:5" x14ac:dyDescent="0.4">
      <c r="A51" s="16" t="s">
        <v>22</v>
      </c>
      <c r="B51" s="16" t="s">
        <v>76</v>
      </c>
      <c r="C51" s="16" t="str">
        <f t="shared" si="0"/>
        <v>西北</v>
      </c>
      <c r="D51" s="16" t="s">
        <v>114</v>
      </c>
      <c r="E51" s="16">
        <v>23</v>
      </c>
    </row>
    <row r="52" spans="1:5" x14ac:dyDescent="0.4">
      <c r="A52" s="16" t="s">
        <v>33</v>
      </c>
      <c r="B52" s="16" t="s">
        <v>69</v>
      </c>
      <c r="C52" s="16" t="str">
        <f t="shared" si="0"/>
        <v>华南</v>
      </c>
      <c r="D52" s="16" t="s">
        <v>115</v>
      </c>
      <c r="E52" s="16">
        <v>21</v>
      </c>
    </row>
    <row r="53" spans="1:5" x14ac:dyDescent="0.4">
      <c r="A53" s="16" t="s">
        <v>29</v>
      </c>
      <c r="B53" s="16" t="s">
        <v>40</v>
      </c>
      <c r="C53" s="16" t="str">
        <f t="shared" si="0"/>
        <v>华北</v>
      </c>
      <c r="D53" s="16" t="s">
        <v>116</v>
      </c>
      <c r="E53" s="16">
        <v>13</v>
      </c>
    </row>
    <row r="54" spans="1:5" x14ac:dyDescent="0.4">
      <c r="A54" s="16" t="s">
        <v>33</v>
      </c>
      <c r="B54" s="16" t="s">
        <v>34</v>
      </c>
      <c r="C54" s="16" t="str">
        <f t="shared" si="0"/>
        <v>西北</v>
      </c>
      <c r="D54" s="16" t="s">
        <v>117</v>
      </c>
      <c r="E54" s="16">
        <v>19</v>
      </c>
    </row>
    <row r="55" spans="1:5" x14ac:dyDescent="0.4">
      <c r="A55" s="16" t="s">
        <v>33</v>
      </c>
      <c r="B55" s="16" t="s">
        <v>25</v>
      </c>
      <c r="C55" s="16" t="str">
        <f t="shared" si="0"/>
        <v>东北</v>
      </c>
      <c r="D55" s="16" t="s">
        <v>118</v>
      </c>
      <c r="E55" s="16">
        <v>20</v>
      </c>
    </row>
    <row r="56" spans="1:5" x14ac:dyDescent="0.4">
      <c r="A56" s="16" t="s">
        <v>22</v>
      </c>
      <c r="B56" s="16" t="s">
        <v>48</v>
      </c>
      <c r="C56" s="16" t="str">
        <f t="shared" si="0"/>
        <v>华东</v>
      </c>
      <c r="D56" s="16" t="s">
        <v>119</v>
      </c>
      <c r="E56" s="16">
        <v>24</v>
      </c>
    </row>
    <row r="57" spans="1:5" x14ac:dyDescent="0.4">
      <c r="A57" s="16" t="s">
        <v>22</v>
      </c>
      <c r="B57" s="16" t="s">
        <v>30</v>
      </c>
      <c r="C57" s="16" t="str">
        <f t="shared" si="0"/>
        <v>华北</v>
      </c>
      <c r="D57" s="16" t="s">
        <v>120</v>
      </c>
      <c r="E57" s="16">
        <v>16</v>
      </c>
    </row>
    <row r="58" spans="1:5" x14ac:dyDescent="0.4">
      <c r="A58" s="16" t="s">
        <v>22</v>
      </c>
      <c r="B58" s="16" t="s">
        <v>30</v>
      </c>
      <c r="C58" s="16" t="str">
        <f t="shared" si="0"/>
        <v>华北</v>
      </c>
      <c r="D58" s="16" t="s">
        <v>121</v>
      </c>
      <c r="E58" s="16">
        <v>24</v>
      </c>
    </row>
    <row r="59" spans="1:5" x14ac:dyDescent="0.4">
      <c r="A59" s="16" t="s">
        <v>22</v>
      </c>
      <c r="B59" s="16" t="s">
        <v>30</v>
      </c>
      <c r="C59" s="16" t="str">
        <f t="shared" si="0"/>
        <v>华北</v>
      </c>
      <c r="D59" s="16" t="s">
        <v>122</v>
      </c>
      <c r="E59" s="16">
        <v>17</v>
      </c>
    </row>
    <row r="60" spans="1:5" x14ac:dyDescent="0.4">
      <c r="A60" s="16" t="s">
        <v>22</v>
      </c>
      <c r="B60" s="16" t="s">
        <v>73</v>
      </c>
      <c r="C60" s="16" t="str">
        <f t="shared" si="0"/>
        <v>华中</v>
      </c>
      <c r="D60" s="16" t="s">
        <v>123</v>
      </c>
      <c r="E60" s="16">
        <v>28</v>
      </c>
    </row>
    <row r="61" spans="1:5" x14ac:dyDescent="0.4">
      <c r="A61" s="16" t="s">
        <v>22</v>
      </c>
      <c r="B61" s="16" t="s">
        <v>73</v>
      </c>
      <c r="C61" s="16" t="str">
        <f t="shared" si="0"/>
        <v>华中</v>
      </c>
      <c r="D61" s="16" t="s">
        <v>124</v>
      </c>
      <c r="E61" s="16">
        <v>11</v>
      </c>
    </row>
    <row r="62" spans="1:5" x14ac:dyDescent="0.4">
      <c r="A62" s="16" t="s">
        <v>22</v>
      </c>
      <c r="B62" s="16" t="s">
        <v>76</v>
      </c>
      <c r="C62" s="16" t="str">
        <f t="shared" si="0"/>
        <v>西北</v>
      </c>
      <c r="D62" s="16" t="s">
        <v>125</v>
      </c>
      <c r="E62" s="16">
        <v>28</v>
      </c>
    </row>
    <row r="63" spans="1:5" x14ac:dyDescent="0.4">
      <c r="A63" s="16" t="s">
        <v>29</v>
      </c>
      <c r="B63" s="16" t="s">
        <v>25</v>
      </c>
      <c r="C63" s="16" t="str">
        <f t="shared" si="0"/>
        <v>东北</v>
      </c>
      <c r="D63" s="16" t="s">
        <v>126</v>
      </c>
      <c r="E63" s="16">
        <v>28</v>
      </c>
    </row>
    <row r="64" spans="1:5" x14ac:dyDescent="0.4">
      <c r="A64" s="16" t="s">
        <v>29</v>
      </c>
      <c r="B64" s="16" t="s">
        <v>25</v>
      </c>
      <c r="C64" s="16" t="str">
        <f t="shared" si="0"/>
        <v>东北</v>
      </c>
      <c r="D64" s="16" t="s">
        <v>127</v>
      </c>
      <c r="E64" s="16">
        <v>23</v>
      </c>
    </row>
    <row r="65" spans="1:5" x14ac:dyDescent="0.4">
      <c r="A65" s="16" t="s">
        <v>22</v>
      </c>
      <c r="B65" s="16" t="s">
        <v>23</v>
      </c>
      <c r="C65" s="16" t="str">
        <f t="shared" si="0"/>
        <v>西南</v>
      </c>
      <c r="D65" s="16" t="s">
        <v>128</v>
      </c>
      <c r="E65" s="16">
        <v>10</v>
      </c>
    </row>
    <row r="66" spans="1:5" x14ac:dyDescent="0.4">
      <c r="A66" s="16" t="s">
        <v>29</v>
      </c>
      <c r="B66" s="16" t="s">
        <v>53</v>
      </c>
      <c r="C66" s="16" t="str">
        <f t="shared" si="0"/>
        <v>华东</v>
      </c>
      <c r="D66" s="16" t="s">
        <v>129</v>
      </c>
      <c r="E66" s="16">
        <v>15</v>
      </c>
    </row>
    <row r="67" spans="1:5" x14ac:dyDescent="0.4">
      <c r="A67" s="16" t="s">
        <v>22</v>
      </c>
      <c r="B67" s="16" t="s">
        <v>53</v>
      </c>
      <c r="C67" s="16" t="str">
        <f t="shared" ref="C67:C130" si="1">_xlfn.XLOOKUP(B67,$I$2:$I$32,$J$2:$J$32)</f>
        <v>华东</v>
      </c>
      <c r="D67" s="16" t="s">
        <v>130</v>
      </c>
      <c r="E67" s="16">
        <v>27</v>
      </c>
    </row>
    <row r="68" spans="1:5" x14ac:dyDescent="0.4">
      <c r="A68" s="16" t="s">
        <v>22</v>
      </c>
      <c r="B68" s="16" t="s">
        <v>44</v>
      </c>
      <c r="C68" s="16" t="str">
        <f t="shared" si="1"/>
        <v>华北</v>
      </c>
      <c r="D68" s="16" t="s">
        <v>131</v>
      </c>
      <c r="E68" s="16">
        <v>29</v>
      </c>
    </row>
    <row r="69" spans="1:5" x14ac:dyDescent="0.4">
      <c r="A69" s="16" t="s">
        <v>33</v>
      </c>
      <c r="B69" s="16" t="s">
        <v>40</v>
      </c>
      <c r="C69" s="16" t="str">
        <f t="shared" si="1"/>
        <v>华北</v>
      </c>
      <c r="D69" s="16" t="s">
        <v>132</v>
      </c>
      <c r="E69" s="16">
        <v>21</v>
      </c>
    </row>
    <row r="70" spans="1:5" x14ac:dyDescent="0.4">
      <c r="A70" s="16" t="s">
        <v>33</v>
      </c>
      <c r="B70" s="16" t="s">
        <v>58</v>
      </c>
      <c r="C70" s="16" t="str">
        <f t="shared" si="1"/>
        <v>华中</v>
      </c>
      <c r="D70" s="16" t="s">
        <v>133</v>
      </c>
      <c r="E70" s="16">
        <v>15</v>
      </c>
    </row>
    <row r="71" spans="1:5" x14ac:dyDescent="0.4">
      <c r="A71" s="16" t="s">
        <v>33</v>
      </c>
      <c r="B71" s="16" t="s">
        <v>67</v>
      </c>
      <c r="C71" s="16" t="str">
        <f t="shared" si="1"/>
        <v>华中</v>
      </c>
      <c r="D71" s="16" t="s">
        <v>134</v>
      </c>
      <c r="E71" s="16">
        <v>13</v>
      </c>
    </row>
    <row r="72" spans="1:5" x14ac:dyDescent="0.4">
      <c r="A72" s="16" t="s">
        <v>29</v>
      </c>
      <c r="B72" s="16" t="s">
        <v>25</v>
      </c>
      <c r="C72" s="16" t="str">
        <f t="shared" si="1"/>
        <v>东北</v>
      </c>
      <c r="D72" s="16" t="s">
        <v>135</v>
      </c>
      <c r="E72" s="16">
        <v>18</v>
      </c>
    </row>
    <row r="73" spans="1:5" x14ac:dyDescent="0.4">
      <c r="A73" s="16" t="s">
        <v>33</v>
      </c>
      <c r="B73" s="16" t="s">
        <v>46</v>
      </c>
      <c r="C73" s="16" t="str">
        <f t="shared" si="1"/>
        <v>华北</v>
      </c>
      <c r="D73" s="16" t="s">
        <v>136</v>
      </c>
      <c r="E73" s="16">
        <v>16</v>
      </c>
    </row>
    <row r="74" spans="1:5" x14ac:dyDescent="0.4">
      <c r="A74" s="16" t="s">
        <v>22</v>
      </c>
      <c r="B74" s="16" t="s">
        <v>23</v>
      </c>
      <c r="C74" s="16" t="str">
        <f t="shared" si="1"/>
        <v>西南</v>
      </c>
      <c r="D74" s="16" t="s">
        <v>137</v>
      </c>
      <c r="E74" s="16">
        <v>14</v>
      </c>
    </row>
    <row r="75" spans="1:5" x14ac:dyDescent="0.4">
      <c r="A75" s="16" t="s">
        <v>29</v>
      </c>
      <c r="B75" s="16" t="s">
        <v>44</v>
      </c>
      <c r="C75" s="16" t="str">
        <f t="shared" si="1"/>
        <v>华北</v>
      </c>
      <c r="D75" s="16" t="s">
        <v>138</v>
      </c>
      <c r="E75" s="16">
        <v>21</v>
      </c>
    </row>
    <row r="76" spans="1:5" x14ac:dyDescent="0.4">
      <c r="A76" s="16" t="s">
        <v>33</v>
      </c>
      <c r="B76" s="16" t="s">
        <v>69</v>
      </c>
      <c r="C76" s="16" t="str">
        <f t="shared" si="1"/>
        <v>华南</v>
      </c>
      <c r="D76" s="16" t="s">
        <v>139</v>
      </c>
      <c r="E76" s="16">
        <v>22</v>
      </c>
    </row>
    <row r="77" spans="1:5" x14ac:dyDescent="0.4">
      <c r="A77" s="16" t="s">
        <v>22</v>
      </c>
      <c r="B77" s="16" t="s">
        <v>36</v>
      </c>
      <c r="C77" s="16" t="str">
        <f t="shared" si="1"/>
        <v>华北</v>
      </c>
      <c r="D77" s="16" t="s">
        <v>140</v>
      </c>
      <c r="E77" s="16">
        <v>29</v>
      </c>
    </row>
    <row r="78" spans="1:5" x14ac:dyDescent="0.4">
      <c r="A78" s="16" t="s">
        <v>29</v>
      </c>
      <c r="B78" s="16" t="s">
        <v>25</v>
      </c>
      <c r="C78" s="16" t="str">
        <f t="shared" si="1"/>
        <v>东北</v>
      </c>
      <c r="D78" s="16" t="s">
        <v>141</v>
      </c>
      <c r="E78" s="16">
        <v>16</v>
      </c>
    </row>
    <row r="79" spans="1:5" x14ac:dyDescent="0.4">
      <c r="A79" s="16" t="s">
        <v>29</v>
      </c>
      <c r="B79" s="16" t="s">
        <v>69</v>
      </c>
      <c r="C79" s="16" t="str">
        <f t="shared" si="1"/>
        <v>华南</v>
      </c>
      <c r="D79" s="16" t="s">
        <v>142</v>
      </c>
      <c r="E79" s="16">
        <v>10</v>
      </c>
    </row>
    <row r="80" spans="1:5" x14ac:dyDescent="0.4">
      <c r="A80" s="16" t="s">
        <v>29</v>
      </c>
      <c r="B80" s="16" t="s">
        <v>34</v>
      </c>
      <c r="C80" s="16" t="str">
        <f t="shared" si="1"/>
        <v>西北</v>
      </c>
      <c r="D80" s="16" t="s">
        <v>143</v>
      </c>
      <c r="E80" s="16">
        <v>20</v>
      </c>
    </row>
    <row r="81" spans="1:5" x14ac:dyDescent="0.4">
      <c r="A81" s="16" t="s">
        <v>33</v>
      </c>
      <c r="B81" s="16" t="s">
        <v>34</v>
      </c>
      <c r="C81" s="16" t="str">
        <f t="shared" si="1"/>
        <v>西北</v>
      </c>
      <c r="D81" s="16" t="s">
        <v>144</v>
      </c>
      <c r="E81" s="16">
        <v>20</v>
      </c>
    </row>
    <row r="82" spans="1:5" x14ac:dyDescent="0.4">
      <c r="A82" s="16" t="s">
        <v>29</v>
      </c>
      <c r="B82" s="16" t="s">
        <v>32</v>
      </c>
      <c r="C82" s="16" t="str">
        <f t="shared" si="1"/>
        <v>东北</v>
      </c>
      <c r="D82" s="16" t="s">
        <v>145</v>
      </c>
      <c r="E82" s="16">
        <v>17</v>
      </c>
    </row>
    <row r="83" spans="1:5" x14ac:dyDescent="0.4">
      <c r="A83" s="16" t="s">
        <v>22</v>
      </c>
      <c r="B83" s="16" t="s">
        <v>32</v>
      </c>
      <c r="C83" s="16" t="str">
        <f t="shared" si="1"/>
        <v>东北</v>
      </c>
      <c r="D83" s="16" t="s">
        <v>146</v>
      </c>
      <c r="E83" s="16">
        <v>19</v>
      </c>
    </row>
    <row r="84" spans="1:5" x14ac:dyDescent="0.4">
      <c r="A84" s="16" t="s">
        <v>22</v>
      </c>
      <c r="B84" s="16" t="s">
        <v>32</v>
      </c>
      <c r="C84" s="16" t="str">
        <f t="shared" si="1"/>
        <v>东北</v>
      </c>
      <c r="D84" s="16" t="s">
        <v>147</v>
      </c>
      <c r="E84" s="16">
        <v>11</v>
      </c>
    </row>
    <row r="85" spans="1:5" x14ac:dyDescent="0.4">
      <c r="A85" s="16" t="s">
        <v>22</v>
      </c>
      <c r="B85" s="16" t="s">
        <v>32</v>
      </c>
      <c r="C85" s="16" t="str">
        <f t="shared" si="1"/>
        <v>东北</v>
      </c>
      <c r="D85" s="16" t="s">
        <v>148</v>
      </c>
      <c r="E85" s="16">
        <v>13</v>
      </c>
    </row>
    <row r="86" spans="1:5" x14ac:dyDescent="0.4">
      <c r="A86" s="16" t="s">
        <v>22</v>
      </c>
      <c r="B86" s="16" t="s">
        <v>73</v>
      </c>
      <c r="C86" s="16" t="str">
        <f t="shared" si="1"/>
        <v>华中</v>
      </c>
      <c r="D86" s="16" t="s">
        <v>149</v>
      </c>
      <c r="E86" s="16">
        <v>25</v>
      </c>
    </row>
    <row r="87" spans="1:5" x14ac:dyDescent="0.4">
      <c r="A87" s="16" t="s">
        <v>29</v>
      </c>
      <c r="B87" s="16" t="s">
        <v>69</v>
      </c>
      <c r="C87" s="16" t="str">
        <f t="shared" si="1"/>
        <v>华南</v>
      </c>
      <c r="D87" s="16" t="s">
        <v>150</v>
      </c>
      <c r="E87" s="16">
        <v>27</v>
      </c>
    </row>
    <row r="88" spans="1:5" x14ac:dyDescent="0.4">
      <c r="A88" s="16" t="s">
        <v>22</v>
      </c>
      <c r="B88" s="16" t="s">
        <v>25</v>
      </c>
      <c r="C88" s="16" t="str">
        <f t="shared" si="1"/>
        <v>东北</v>
      </c>
      <c r="D88" s="16" t="s">
        <v>151</v>
      </c>
      <c r="E88" s="16">
        <v>16</v>
      </c>
    </row>
    <row r="89" spans="1:5" x14ac:dyDescent="0.4">
      <c r="A89" s="16" t="s">
        <v>29</v>
      </c>
      <c r="B89" s="16" t="s">
        <v>57</v>
      </c>
      <c r="C89" s="16" t="str">
        <f t="shared" si="1"/>
        <v>华东</v>
      </c>
      <c r="D89" s="16" t="s">
        <v>152</v>
      </c>
      <c r="E89" s="16">
        <v>21</v>
      </c>
    </row>
    <row r="90" spans="1:5" x14ac:dyDescent="0.4">
      <c r="A90" s="16" t="s">
        <v>29</v>
      </c>
      <c r="B90" s="16" t="s">
        <v>73</v>
      </c>
      <c r="C90" s="16" t="str">
        <f t="shared" si="1"/>
        <v>华中</v>
      </c>
      <c r="D90" s="16" t="s">
        <v>153</v>
      </c>
      <c r="E90" s="16">
        <v>15</v>
      </c>
    </row>
    <row r="91" spans="1:5" x14ac:dyDescent="0.4">
      <c r="A91" s="16" t="s">
        <v>22</v>
      </c>
      <c r="B91" s="16" t="s">
        <v>69</v>
      </c>
      <c r="C91" s="16" t="str">
        <f t="shared" si="1"/>
        <v>华南</v>
      </c>
      <c r="D91" s="16" t="s">
        <v>154</v>
      </c>
      <c r="E91" s="16">
        <v>25</v>
      </c>
    </row>
    <row r="92" spans="1:5" x14ac:dyDescent="0.4">
      <c r="A92" s="16" t="s">
        <v>29</v>
      </c>
      <c r="B92" s="16" t="s">
        <v>34</v>
      </c>
      <c r="C92" s="16" t="str">
        <f t="shared" si="1"/>
        <v>西北</v>
      </c>
      <c r="D92" s="16" t="s">
        <v>155</v>
      </c>
      <c r="E92" s="16">
        <v>11</v>
      </c>
    </row>
    <row r="93" spans="1:5" x14ac:dyDescent="0.4">
      <c r="A93" s="16" t="s">
        <v>29</v>
      </c>
      <c r="B93" s="16" t="s">
        <v>34</v>
      </c>
      <c r="C93" s="16" t="str">
        <f t="shared" si="1"/>
        <v>西北</v>
      </c>
      <c r="D93" s="16" t="s">
        <v>156</v>
      </c>
      <c r="E93" s="16">
        <v>17</v>
      </c>
    </row>
    <row r="94" spans="1:5" x14ac:dyDescent="0.4">
      <c r="A94" s="16" t="s">
        <v>22</v>
      </c>
      <c r="B94" s="16" t="s">
        <v>65</v>
      </c>
      <c r="C94" s="16" t="str">
        <f t="shared" si="1"/>
        <v>华南</v>
      </c>
      <c r="D94" s="16" t="s">
        <v>157</v>
      </c>
      <c r="E94" s="16">
        <v>20</v>
      </c>
    </row>
    <row r="95" spans="1:5" x14ac:dyDescent="0.4">
      <c r="A95" s="16" t="s">
        <v>29</v>
      </c>
      <c r="B95" s="16" t="s">
        <v>57</v>
      </c>
      <c r="C95" s="16" t="str">
        <f t="shared" si="1"/>
        <v>华东</v>
      </c>
      <c r="D95" s="16" t="s">
        <v>158</v>
      </c>
      <c r="E95" s="16">
        <v>12</v>
      </c>
    </row>
    <row r="96" spans="1:5" x14ac:dyDescent="0.4">
      <c r="A96" s="16" t="s">
        <v>33</v>
      </c>
      <c r="B96" s="16" t="s">
        <v>34</v>
      </c>
      <c r="C96" s="16" t="str">
        <f t="shared" si="1"/>
        <v>西北</v>
      </c>
      <c r="D96" s="16" t="s">
        <v>159</v>
      </c>
      <c r="E96" s="16">
        <v>25</v>
      </c>
    </row>
    <row r="97" spans="1:5" x14ac:dyDescent="0.4">
      <c r="A97" s="16" t="s">
        <v>29</v>
      </c>
      <c r="B97" s="16" t="s">
        <v>61</v>
      </c>
      <c r="C97" s="16" t="str">
        <f t="shared" si="1"/>
        <v>华东</v>
      </c>
      <c r="D97" s="16" t="s">
        <v>160</v>
      </c>
      <c r="E97" s="16">
        <v>22</v>
      </c>
    </row>
    <row r="98" spans="1:5" x14ac:dyDescent="0.4">
      <c r="A98" s="16" t="s">
        <v>22</v>
      </c>
      <c r="B98" s="16" t="s">
        <v>61</v>
      </c>
      <c r="C98" s="16" t="str">
        <f t="shared" si="1"/>
        <v>华东</v>
      </c>
      <c r="D98" s="16" t="s">
        <v>161</v>
      </c>
      <c r="E98" s="16">
        <v>18</v>
      </c>
    </row>
    <row r="99" spans="1:5" x14ac:dyDescent="0.4">
      <c r="A99" s="16" t="s">
        <v>22</v>
      </c>
      <c r="B99" s="16" t="s">
        <v>69</v>
      </c>
      <c r="C99" s="16" t="str">
        <f t="shared" si="1"/>
        <v>华南</v>
      </c>
      <c r="D99" s="16" t="s">
        <v>162</v>
      </c>
      <c r="E99" s="16">
        <v>10</v>
      </c>
    </row>
    <row r="100" spans="1:5" x14ac:dyDescent="0.4">
      <c r="A100" s="16" t="s">
        <v>22</v>
      </c>
      <c r="B100" s="16" t="s">
        <v>23</v>
      </c>
      <c r="C100" s="16" t="str">
        <f t="shared" si="1"/>
        <v>西南</v>
      </c>
      <c r="D100" s="16" t="s">
        <v>163</v>
      </c>
      <c r="E100" s="16">
        <v>14</v>
      </c>
    </row>
    <row r="101" spans="1:5" x14ac:dyDescent="0.4">
      <c r="A101" s="16" t="s">
        <v>33</v>
      </c>
      <c r="B101" s="16" t="s">
        <v>40</v>
      </c>
      <c r="C101" s="16" t="str">
        <f t="shared" si="1"/>
        <v>华北</v>
      </c>
      <c r="D101" s="16" t="s">
        <v>164</v>
      </c>
      <c r="E101" s="16">
        <v>17</v>
      </c>
    </row>
    <row r="102" spans="1:5" x14ac:dyDescent="0.4">
      <c r="A102" s="16" t="s">
        <v>29</v>
      </c>
      <c r="B102" s="16" t="s">
        <v>40</v>
      </c>
      <c r="C102" s="16" t="str">
        <f t="shared" si="1"/>
        <v>华北</v>
      </c>
      <c r="D102" s="16" t="s">
        <v>165</v>
      </c>
      <c r="E102" s="16">
        <v>17</v>
      </c>
    </row>
    <row r="103" spans="1:5" x14ac:dyDescent="0.4">
      <c r="A103" s="16" t="s">
        <v>22</v>
      </c>
      <c r="B103" s="16" t="s">
        <v>40</v>
      </c>
      <c r="C103" s="16" t="str">
        <f t="shared" si="1"/>
        <v>华北</v>
      </c>
      <c r="D103" s="16" t="s">
        <v>166</v>
      </c>
      <c r="E103" s="16">
        <v>20</v>
      </c>
    </row>
    <row r="104" spans="1:5" x14ac:dyDescent="0.4">
      <c r="A104" s="16" t="s">
        <v>22</v>
      </c>
      <c r="B104" s="16" t="s">
        <v>40</v>
      </c>
      <c r="C104" s="16" t="str">
        <f t="shared" si="1"/>
        <v>华北</v>
      </c>
      <c r="D104" s="16" t="s">
        <v>167</v>
      </c>
      <c r="E104" s="16">
        <v>23</v>
      </c>
    </row>
    <row r="105" spans="1:5" x14ac:dyDescent="0.4">
      <c r="A105" s="16" t="s">
        <v>22</v>
      </c>
      <c r="B105" s="16" t="s">
        <v>40</v>
      </c>
      <c r="C105" s="16" t="str">
        <f t="shared" si="1"/>
        <v>华北</v>
      </c>
      <c r="D105" s="16" t="s">
        <v>168</v>
      </c>
      <c r="E105" s="16">
        <v>24</v>
      </c>
    </row>
    <row r="106" spans="1:5" x14ac:dyDescent="0.4">
      <c r="A106" s="16" t="s">
        <v>22</v>
      </c>
      <c r="B106" s="16" t="s">
        <v>57</v>
      </c>
      <c r="C106" s="16" t="str">
        <f t="shared" si="1"/>
        <v>华东</v>
      </c>
      <c r="D106" s="16" t="s">
        <v>169</v>
      </c>
      <c r="E106" s="16">
        <v>28</v>
      </c>
    </row>
    <row r="107" spans="1:5" x14ac:dyDescent="0.4">
      <c r="A107" s="16" t="s">
        <v>22</v>
      </c>
      <c r="B107" s="16" t="s">
        <v>63</v>
      </c>
      <c r="C107" s="16" t="str">
        <f t="shared" si="1"/>
        <v>西南</v>
      </c>
      <c r="D107" s="16" t="s">
        <v>170</v>
      </c>
      <c r="E107" s="16">
        <v>11</v>
      </c>
    </row>
    <row r="108" spans="1:5" x14ac:dyDescent="0.4">
      <c r="A108" s="16" t="s">
        <v>22</v>
      </c>
      <c r="B108" s="16" t="s">
        <v>63</v>
      </c>
      <c r="C108" s="16" t="str">
        <f t="shared" si="1"/>
        <v>西南</v>
      </c>
      <c r="D108" s="16" t="s">
        <v>171</v>
      </c>
      <c r="E108" s="16">
        <v>22</v>
      </c>
    </row>
    <row r="109" spans="1:5" x14ac:dyDescent="0.4">
      <c r="A109" s="16" t="s">
        <v>22</v>
      </c>
      <c r="B109" s="16" t="s">
        <v>69</v>
      </c>
      <c r="C109" s="16" t="str">
        <f t="shared" si="1"/>
        <v>华南</v>
      </c>
      <c r="D109" s="16" t="s">
        <v>172</v>
      </c>
      <c r="E109" s="16">
        <v>10</v>
      </c>
    </row>
    <row r="110" spans="1:5" x14ac:dyDescent="0.4">
      <c r="A110" s="16" t="s">
        <v>33</v>
      </c>
      <c r="B110" s="16" t="s">
        <v>58</v>
      </c>
      <c r="C110" s="16" t="str">
        <f t="shared" si="1"/>
        <v>华中</v>
      </c>
      <c r="D110" s="16" t="s">
        <v>173</v>
      </c>
      <c r="E110" s="16">
        <v>25</v>
      </c>
    </row>
    <row r="111" spans="1:5" x14ac:dyDescent="0.4">
      <c r="A111" s="16" t="s">
        <v>29</v>
      </c>
      <c r="B111" s="16" t="s">
        <v>58</v>
      </c>
      <c r="C111" s="16" t="str">
        <f t="shared" si="1"/>
        <v>华中</v>
      </c>
      <c r="D111" s="16" t="s">
        <v>174</v>
      </c>
      <c r="E111" s="16">
        <v>16</v>
      </c>
    </row>
    <row r="112" spans="1:5" x14ac:dyDescent="0.4">
      <c r="A112" s="16" t="s">
        <v>29</v>
      </c>
      <c r="B112" s="16" t="s">
        <v>34</v>
      </c>
      <c r="C112" s="16" t="str">
        <f t="shared" si="1"/>
        <v>西北</v>
      </c>
      <c r="D112" s="16" t="s">
        <v>175</v>
      </c>
      <c r="E112" s="16">
        <v>27</v>
      </c>
    </row>
    <row r="113" spans="1:5" x14ac:dyDescent="0.4">
      <c r="A113" s="16" t="s">
        <v>22</v>
      </c>
      <c r="B113" s="16" t="s">
        <v>30</v>
      </c>
      <c r="C113" s="16" t="str">
        <f t="shared" si="1"/>
        <v>华北</v>
      </c>
      <c r="D113" s="16" t="s">
        <v>176</v>
      </c>
      <c r="E113" s="16">
        <v>20</v>
      </c>
    </row>
    <row r="114" spans="1:5" x14ac:dyDescent="0.4">
      <c r="A114" s="16" t="s">
        <v>29</v>
      </c>
      <c r="B114" s="16" t="s">
        <v>30</v>
      </c>
      <c r="C114" s="16" t="str">
        <f t="shared" si="1"/>
        <v>华北</v>
      </c>
      <c r="D114" s="16" t="s">
        <v>177</v>
      </c>
      <c r="E114" s="16">
        <v>24</v>
      </c>
    </row>
    <row r="115" spans="1:5" x14ac:dyDescent="0.4">
      <c r="A115" s="16" t="s">
        <v>29</v>
      </c>
      <c r="B115" s="16" t="s">
        <v>30</v>
      </c>
      <c r="C115" s="16" t="str">
        <f t="shared" si="1"/>
        <v>华北</v>
      </c>
      <c r="D115" s="16" t="s">
        <v>178</v>
      </c>
      <c r="E115" s="16">
        <v>21</v>
      </c>
    </row>
    <row r="116" spans="1:5" x14ac:dyDescent="0.4">
      <c r="A116" s="16" t="s">
        <v>29</v>
      </c>
      <c r="B116" s="16" t="s">
        <v>83</v>
      </c>
      <c r="C116" s="16" t="str">
        <f t="shared" si="1"/>
        <v>西北</v>
      </c>
      <c r="D116" s="16" t="s">
        <v>179</v>
      </c>
      <c r="E116" s="16">
        <v>28</v>
      </c>
    </row>
    <row r="117" spans="1:5" x14ac:dyDescent="0.4">
      <c r="A117" s="16" t="s">
        <v>22</v>
      </c>
      <c r="B117" s="16" t="s">
        <v>34</v>
      </c>
      <c r="C117" s="16" t="str">
        <f t="shared" si="1"/>
        <v>西北</v>
      </c>
      <c r="D117" s="16" t="s">
        <v>180</v>
      </c>
      <c r="E117" s="16">
        <v>23</v>
      </c>
    </row>
    <row r="118" spans="1:5" x14ac:dyDescent="0.4">
      <c r="A118" s="16" t="s">
        <v>22</v>
      </c>
      <c r="B118" s="16" t="s">
        <v>57</v>
      </c>
      <c r="C118" s="16" t="str">
        <f t="shared" si="1"/>
        <v>华东</v>
      </c>
      <c r="D118" s="16" t="s">
        <v>181</v>
      </c>
      <c r="E118" s="16">
        <v>26</v>
      </c>
    </row>
    <row r="119" spans="1:5" x14ac:dyDescent="0.4">
      <c r="A119" s="16" t="s">
        <v>29</v>
      </c>
      <c r="B119" s="16" t="s">
        <v>40</v>
      </c>
      <c r="C119" s="16" t="str">
        <f t="shared" si="1"/>
        <v>华北</v>
      </c>
      <c r="D119" s="16" t="s">
        <v>182</v>
      </c>
      <c r="E119" s="16">
        <v>14</v>
      </c>
    </row>
    <row r="120" spans="1:5" x14ac:dyDescent="0.4">
      <c r="A120" s="16" t="s">
        <v>29</v>
      </c>
      <c r="B120" s="16" t="s">
        <v>57</v>
      </c>
      <c r="C120" s="16" t="str">
        <f t="shared" si="1"/>
        <v>华东</v>
      </c>
      <c r="D120" s="16" t="s">
        <v>183</v>
      </c>
      <c r="E120" s="16">
        <v>10</v>
      </c>
    </row>
    <row r="121" spans="1:5" x14ac:dyDescent="0.4">
      <c r="A121" s="16" t="s">
        <v>29</v>
      </c>
      <c r="B121" s="16" t="s">
        <v>58</v>
      </c>
      <c r="C121" s="16" t="str">
        <f t="shared" si="1"/>
        <v>华中</v>
      </c>
      <c r="D121" s="16" t="s">
        <v>184</v>
      </c>
      <c r="E121" s="16">
        <v>27</v>
      </c>
    </row>
    <row r="122" spans="1:5" x14ac:dyDescent="0.4">
      <c r="A122" s="16" t="s">
        <v>22</v>
      </c>
      <c r="B122" s="16" t="s">
        <v>61</v>
      </c>
      <c r="C122" s="16" t="str">
        <f t="shared" si="1"/>
        <v>华东</v>
      </c>
      <c r="D122" s="16" t="s">
        <v>185</v>
      </c>
      <c r="E122" s="16">
        <v>27</v>
      </c>
    </row>
    <row r="123" spans="1:5" x14ac:dyDescent="0.4">
      <c r="A123" s="16" t="s">
        <v>22</v>
      </c>
      <c r="B123" s="16" t="s">
        <v>53</v>
      </c>
      <c r="C123" s="16" t="str">
        <f t="shared" si="1"/>
        <v>华东</v>
      </c>
      <c r="D123" s="16" t="s">
        <v>186</v>
      </c>
      <c r="E123" s="16">
        <v>20</v>
      </c>
    </row>
    <row r="124" spans="1:5" x14ac:dyDescent="0.4">
      <c r="A124" s="16" t="s">
        <v>22</v>
      </c>
      <c r="B124" s="16" t="s">
        <v>48</v>
      </c>
      <c r="C124" s="16" t="str">
        <f t="shared" si="1"/>
        <v>华东</v>
      </c>
      <c r="D124" s="16" t="s">
        <v>187</v>
      </c>
      <c r="E124" s="16">
        <v>12</v>
      </c>
    </row>
    <row r="125" spans="1:5" x14ac:dyDescent="0.4">
      <c r="A125" s="16" t="s">
        <v>29</v>
      </c>
      <c r="B125" s="16" t="s">
        <v>32</v>
      </c>
      <c r="C125" s="16" t="str">
        <f t="shared" si="1"/>
        <v>东北</v>
      </c>
      <c r="D125" s="16" t="s">
        <v>188</v>
      </c>
      <c r="E125" s="16">
        <v>13</v>
      </c>
    </row>
    <row r="126" spans="1:5" x14ac:dyDescent="0.4">
      <c r="A126" s="16" t="s">
        <v>29</v>
      </c>
      <c r="B126" s="16" t="s">
        <v>32</v>
      </c>
      <c r="C126" s="16" t="str">
        <f t="shared" si="1"/>
        <v>东北</v>
      </c>
      <c r="D126" s="16" t="s">
        <v>189</v>
      </c>
      <c r="E126" s="16">
        <v>13</v>
      </c>
    </row>
    <row r="127" spans="1:5" x14ac:dyDescent="0.4">
      <c r="A127" s="16" t="s">
        <v>29</v>
      </c>
      <c r="B127" s="16" t="s">
        <v>32</v>
      </c>
      <c r="C127" s="16" t="str">
        <f t="shared" si="1"/>
        <v>东北</v>
      </c>
      <c r="D127" s="16" t="s">
        <v>190</v>
      </c>
      <c r="E127" s="16">
        <v>14</v>
      </c>
    </row>
    <row r="128" spans="1:5" x14ac:dyDescent="0.4">
      <c r="A128" s="16" t="s">
        <v>33</v>
      </c>
      <c r="B128" s="16" t="s">
        <v>32</v>
      </c>
      <c r="C128" s="16" t="str">
        <f t="shared" si="1"/>
        <v>东北</v>
      </c>
      <c r="D128" s="16" t="s">
        <v>191</v>
      </c>
      <c r="E128" s="16">
        <v>24</v>
      </c>
    </row>
    <row r="129" spans="1:5" x14ac:dyDescent="0.4">
      <c r="A129" s="16" t="s">
        <v>29</v>
      </c>
      <c r="B129" s="16" t="s">
        <v>32</v>
      </c>
      <c r="C129" s="16" t="str">
        <f t="shared" si="1"/>
        <v>东北</v>
      </c>
      <c r="D129" s="16" t="s">
        <v>192</v>
      </c>
      <c r="E129" s="16">
        <v>28</v>
      </c>
    </row>
    <row r="130" spans="1:5" x14ac:dyDescent="0.4">
      <c r="A130" s="16" t="s">
        <v>22</v>
      </c>
      <c r="B130" s="16" t="s">
        <v>32</v>
      </c>
      <c r="C130" s="16" t="str">
        <f t="shared" si="1"/>
        <v>东北</v>
      </c>
      <c r="D130" s="16" t="s">
        <v>193</v>
      </c>
      <c r="E130" s="16">
        <v>25</v>
      </c>
    </row>
    <row r="131" spans="1:5" x14ac:dyDescent="0.4">
      <c r="A131" s="16" t="s">
        <v>29</v>
      </c>
      <c r="B131" s="16" t="s">
        <v>65</v>
      </c>
      <c r="C131" s="16" t="str">
        <f t="shared" ref="C131:C194" si="2">_xlfn.XLOOKUP(B131,$I$2:$I$32,$J$2:$J$32)</f>
        <v>华南</v>
      </c>
      <c r="D131" s="16" t="s">
        <v>194</v>
      </c>
      <c r="E131" s="16">
        <v>27</v>
      </c>
    </row>
    <row r="132" spans="1:5" x14ac:dyDescent="0.4">
      <c r="A132" s="16" t="s">
        <v>22</v>
      </c>
      <c r="B132" s="16" t="s">
        <v>65</v>
      </c>
      <c r="C132" s="16" t="str">
        <f t="shared" si="2"/>
        <v>华南</v>
      </c>
      <c r="D132" s="16" t="s">
        <v>195</v>
      </c>
      <c r="E132" s="16">
        <v>15</v>
      </c>
    </row>
    <row r="133" spans="1:5" x14ac:dyDescent="0.4">
      <c r="A133" s="16" t="s">
        <v>29</v>
      </c>
      <c r="B133" s="16" t="s">
        <v>65</v>
      </c>
      <c r="C133" s="16" t="str">
        <f t="shared" si="2"/>
        <v>华南</v>
      </c>
      <c r="D133" s="16" t="s">
        <v>196</v>
      </c>
      <c r="E133" s="16">
        <v>12</v>
      </c>
    </row>
    <row r="134" spans="1:5" x14ac:dyDescent="0.4">
      <c r="A134" s="16" t="s">
        <v>29</v>
      </c>
      <c r="B134" s="16" t="s">
        <v>58</v>
      </c>
      <c r="C134" s="16" t="str">
        <f t="shared" si="2"/>
        <v>华中</v>
      </c>
      <c r="D134" s="16" t="s">
        <v>197</v>
      </c>
      <c r="E134" s="16">
        <v>15</v>
      </c>
    </row>
    <row r="135" spans="1:5" x14ac:dyDescent="0.4">
      <c r="A135" s="16" t="s">
        <v>33</v>
      </c>
      <c r="B135" s="16" t="s">
        <v>58</v>
      </c>
      <c r="C135" s="16" t="str">
        <f t="shared" si="2"/>
        <v>华中</v>
      </c>
      <c r="D135" s="16" t="s">
        <v>198</v>
      </c>
      <c r="E135" s="16">
        <v>29</v>
      </c>
    </row>
    <row r="136" spans="1:5" x14ac:dyDescent="0.4">
      <c r="A136" s="16" t="s">
        <v>29</v>
      </c>
      <c r="B136" s="16" t="s">
        <v>76</v>
      </c>
      <c r="C136" s="16" t="str">
        <f t="shared" si="2"/>
        <v>西北</v>
      </c>
      <c r="D136" s="16" t="s">
        <v>199</v>
      </c>
      <c r="E136" s="16">
        <v>23</v>
      </c>
    </row>
    <row r="137" spans="1:5" x14ac:dyDescent="0.4">
      <c r="A137" s="16" t="s">
        <v>22</v>
      </c>
      <c r="B137" s="16" t="s">
        <v>23</v>
      </c>
      <c r="C137" s="16" t="str">
        <f t="shared" si="2"/>
        <v>西南</v>
      </c>
      <c r="D137" s="16" t="s">
        <v>200</v>
      </c>
      <c r="E137" s="16">
        <v>22</v>
      </c>
    </row>
    <row r="138" spans="1:5" x14ac:dyDescent="0.4">
      <c r="A138" s="16" t="s">
        <v>22</v>
      </c>
      <c r="B138" s="16" t="s">
        <v>23</v>
      </c>
      <c r="C138" s="16" t="str">
        <f t="shared" si="2"/>
        <v>西南</v>
      </c>
      <c r="D138" s="16" t="s">
        <v>201</v>
      </c>
      <c r="E138" s="16">
        <v>18</v>
      </c>
    </row>
    <row r="139" spans="1:5" x14ac:dyDescent="0.4">
      <c r="A139" s="16" t="s">
        <v>22</v>
      </c>
      <c r="B139" s="16" t="s">
        <v>57</v>
      </c>
      <c r="C139" s="16" t="str">
        <f t="shared" si="2"/>
        <v>华东</v>
      </c>
      <c r="D139" s="16" t="s">
        <v>202</v>
      </c>
      <c r="E139" s="16">
        <v>25</v>
      </c>
    </row>
    <row r="140" spans="1:5" x14ac:dyDescent="0.4">
      <c r="A140" s="16" t="s">
        <v>33</v>
      </c>
      <c r="B140" s="16" t="s">
        <v>40</v>
      </c>
      <c r="C140" s="16" t="str">
        <f t="shared" si="2"/>
        <v>华北</v>
      </c>
      <c r="D140" s="16" t="s">
        <v>203</v>
      </c>
      <c r="E140" s="16">
        <v>25</v>
      </c>
    </row>
    <row r="141" spans="1:5" x14ac:dyDescent="0.4">
      <c r="A141" s="16" t="s">
        <v>29</v>
      </c>
      <c r="B141" s="16" t="s">
        <v>40</v>
      </c>
      <c r="C141" s="16" t="str">
        <f t="shared" si="2"/>
        <v>华北</v>
      </c>
      <c r="D141" s="16" t="s">
        <v>204</v>
      </c>
      <c r="E141" s="16">
        <v>21</v>
      </c>
    </row>
    <row r="142" spans="1:5" x14ac:dyDescent="0.4">
      <c r="A142" s="16" t="s">
        <v>22</v>
      </c>
      <c r="B142" s="16" t="s">
        <v>40</v>
      </c>
      <c r="C142" s="16" t="str">
        <f t="shared" si="2"/>
        <v>华北</v>
      </c>
      <c r="D142" s="16" t="s">
        <v>205</v>
      </c>
      <c r="E142" s="16">
        <v>14</v>
      </c>
    </row>
    <row r="143" spans="1:5" x14ac:dyDescent="0.4">
      <c r="A143" s="16" t="s">
        <v>33</v>
      </c>
      <c r="B143" s="16" t="s">
        <v>58</v>
      </c>
      <c r="C143" s="16" t="str">
        <f t="shared" si="2"/>
        <v>华中</v>
      </c>
      <c r="D143" s="16" t="s">
        <v>206</v>
      </c>
      <c r="E143" s="16">
        <v>29</v>
      </c>
    </row>
    <row r="144" spans="1:5" x14ac:dyDescent="0.4">
      <c r="A144" s="16" t="s">
        <v>22</v>
      </c>
      <c r="B144" s="16" t="s">
        <v>65</v>
      </c>
      <c r="C144" s="16" t="str">
        <f t="shared" si="2"/>
        <v>华南</v>
      </c>
      <c r="D144" s="16" t="s">
        <v>207</v>
      </c>
      <c r="E144" s="16">
        <v>18</v>
      </c>
    </row>
    <row r="145" spans="1:5" x14ac:dyDescent="0.4">
      <c r="A145" s="16" t="s">
        <v>22</v>
      </c>
      <c r="B145" s="16" t="s">
        <v>48</v>
      </c>
      <c r="C145" s="16" t="str">
        <f t="shared" si="2"/>
        <v>华东</v>
      </c>
      <c r="D145" s="16" t="s">
        <v>208</v>
      </c>
      <c r="E145" s="16">
        <v>11</v>
      </c>
    </row>
    <row r="146" spans="1:5" x14ac:dyDescent="0.4">
      <c r="A146" s="16" t="s">
        <v>22</v>
      </c>
      <c r="B146" s="16" t="s">
        <v>57</v>
      </c>
      <c r="C146" s="16" t="str">
        <f t="shared" si="2"/>
        <v>华东</v>
      </c>
      <c r="D146" s="16" t="s">
        <v>209</v>
      </c>
      <c r="E146" s="16">
        <v>16</v>
      </c>
    </row>
    <row r="147" spans="1:5" x14ac:dyDescent="0.4">
      <c r="A147" s="16" t="s">
        <v>33</v>
      </c>
      <c r="B147" s="16" t="s">
        <v>67</v>
      </c>
      <c r="C147" s="16" t="str">
        <f t="shared" si="2"/>
        <v>华中</v>
      </c>
      <c r="D147" s="16" t="s">
        <v>210</v>
      </c>
      <c r="E147" s="16">
        <v>28</v>
      </c>
    </row>
    <row r="148" spans="1:5" x14ac:dyDescent="0.4">
      <c r="A148" s="16" t="s">
        <v>33</v>
      </c>
      <c r="B148" s="16" t="s">
        <v>40</v>
      </c>
      <c r="C148" s="16" t="str">
        <f t="shared" si="2"/>
        <v>华北</v>
      </c>
      <c r="D148" s="16" t="s">
        <v>211</v>
      </c>
      <c r="E148" s="16">
        <v>25</v>
      </c>
    </row>
    <row r="149" spans="1:5" x14ac:dyDescent="0.4">
      <c r="A149" s="16" t="s">
        <v>22</v>
      </c>
      <c r="B149" s="16" t="s">
        <v>30</v>
      </c>
      <c r="C149" s="16" t="str">
        <f t="shared" si="2"/>
        <v>华北</v>
      </c>
      <c r="D149" s="16" t="s">
        <v>212</v>
      </c>
      <c r="E149" s="16">
        <v>23</v>
      </c>
    </row>
    <row r="150" spans="1:5" x14ac:dyDescent="0.4">
      <c r="A150" s="16" t="s">
        <v>29</v>
      </c>
      <c r="B150" s="16" t="s">
        <v>30</v>
      </c>
      <c r="C150" s="16" t="str">
        <f t="shared" si="2"/>
        <v>华北</v>
      </c>
      <c r="D150" s="16" t="s">
        <v>213</v>
      </c>
      <c r="E150" s="16">
        <v>23</v>
      </c>
    </row>
    <row r="151" spans="1:5" x14ac:dyDescent="0.4">
      <c r="A151" s="16" t="s">
        <v>22</v>
      </c>
      <c r="B151" s="16" t="s">
        <v>30</v>
      </c>
      <c r="C151" s="16" t="str">
        <f t="shared" si="2"/>
        <v>华北</v>
      </c>
      <c r="D151" s="16" t="s">
        <v>214</v>
      </c>
      <c r="E151" s="16">
        <v>16</v>
      </c>
    </row>
    <row r="152" spans="1:5" x14ac:dyDescent="0.4">
      <c r="A152" s="16" t="s">
        <v>22</v>
      </c>
      <c r="B152" s="16" t="s">
        <v>63</v>
      </c>
      <c r="C152" s="16" t="str">
        <f t="shared" si="2"/>
        <v>西南</v>
      </c>
      <c r="D152" s="16" t="s">
        <v>215</v>
      </c>
      <c r="E152" s="16">
        <v>13</v>
      </c>
    </row>
    <row r="153" spans="1:5" x14ac:dyDescent="0.4">
      <c r="A153" s="16" t="s">
        <v>33</v>
      </c>
      <c r="B153" s="16" t="s">
        <v>55</v>
      </c>
      <c r="C153" s="16" t="str">
        <f t="shared" si="2"/>
        <v>华东</v>
      </c>
      <c r="D153" s="16" t="s">
        <v>216</v>
      </c>
      <c r="E153" s="16">
        <v>19</v>
      </c>
    </row>
    <row r="154" spans="1:5" x14ac:dyDescent="0.4">
      <c r="A154" s="16" t="s">
        <v>22</v>
      </c>
      <c r="B154" s="16" t="s">
        <v>55</v>
      </c>
      <c r="C154" s="16" t="str">
        <f t="shared" si="2"/>
        <v>华东</v>
      </c>
      <c r="D154" s="16" t="s">
        <v>217</v>
      </c>
      <c r="E154" s="16">
        <v>12</v>
      </c>
    </row>
    <row r="155" spans="1:5" x14ac:dyDescent="0.4">
      <c r="A155" s="16" t="s">
        <v>22</v>
      </c>
      <c r="B155" s="16" t="s">
        <v>67</v>
      </c>
      <c r="C155" s="16" t="str">
        <f t="shared" si="2"/>
        <v>华中</v>
      </c>
      <c r="D155" s="16" t="s">
        <v>218</v>
      </c>
      <c r="E155" s="16">
        <v>20</v>
      </c>
    </row>
    <row r="156" spans="1:5" x14ac:dyDescent="0.4">
      <c r="A156" s="16" t="s">
        <v>22</v>
      </c>
      <c r="B156" s="16" t="s">
        <v>55</v>
      </c>
      <c r="C156" s="16" t="str">
        <f t="shared" si="2"/>
        <v>华东</v>
      </c>
      <c r="D156" s="16" t="s">
        <v>219</v>
      </c>
      <c r="E156" s="16">
        <v>18</v>
      </c>
    </row>
    <row r="157" spans="1:5" x14ac:dyDescent="0.4">
      <c r="A157" s="16" t="s">
        <v>22</v>
      </c>
      <c r="B157" s="16" t="s">
        <v>61</v>
      </c>
      <c r="C157" s="16" t="str">
        <f t="shared" si="2"/>
        <v>华东</v>
      </c>
      <c r="D157" s="16" t="s">
        <v>220</v>
      </c>
      <c r="E157" s="16">
        <v>29</v>
      </c>
    </row>
    <row r="158" spans="1:5" x14ac:dyDescent="0.4">
      <c r="A158" s="16" t="s">
        <v>29</v>
      </c>
      <c r="B158" s="16" t="s">
        <v>76</v>
      </c>
      <c r="C158" s="16" t="str">
        <f t="shared" si="2"/>
        <v>西北</v>
      </c>
      <c r="D158" s="16" t="s">
        <v>221</v>
      </c>
      <c r="E158" s="16">
        <v>23</v>
      </c>
    </row>
    <row r="159" spans="1:5" x14ac:dyDescent="0.4">
      <c r="A159" s="16" t="s">
        <v>29</v>
      </c>
      <c r="B159" s="16" t="s">
        <v>58</v>
      </c>
      <c r="C159" s="16" t="str">
        <f t="shared" si="2"/>
        <v>华中</v>
      </c>
      <c r="D159" s="16" t="s">
        <v>222</v>
      </c>
      <c r="E159" s="16">
        <v>26</v>
      </c>
    </row>
    <row r="160" spans="1:5" x14ac:dyDescent="0.4">
      <c r="A160" s="16" t="s">
        <v>29</v>
      </c>
      <c r="B160" s="16" t="s">
        <v>58</v>
      </c>
      <c r="C160" s="16" t="str">
        <f t="shared" si="2"/>
        <v>华中</v>
      </c>
      <c r="D160" s="16" t="s">
        <v>223</v>
      </c>
      <c r="E160" s="16">
        <v>11</v>
      </c>
    </row>
    <row r="161" spans="1:5" x14ac:dyDescent="0.4">
      <c r="A161" s="16" t="s">
        <v>22</v>
      </c>
      <c r="B161" s="16" t="s">
        <v>61</v>
      </c>
      <c r="C161" s="16" t="str">
        <f t="shared" si="2"/>
        <v>华东</v>
      </c>
      <c r="D161" s="16" t="s">
        <v>224</v>
      </c>
      <c r="E161" s="16">
        <v>25</v>
      </c>
    </row>
    <row r="162" spans="1:5" x14ac:dyDescent="0.4">
      <c r="A162" s="16" t="s">
        <v>22</v>
      </c>
      <c r="B162" s="16" t="s">
        <v>48</v>
      </c>
      <c r="C162" s="16" t="str">
        <f t="shared" si="2"/>
        <v>华东</v>
      </c>
      <c r="D162" s="16" t="s">
        <v>225</v>
      </c>
      <c r="E162" s="16">
        <v>25</v>
      </c>
    </row>
    <row r="163" spans="1:5" x14ac:dyDescent="0.4">
      <c r="A163" s="16" t="s">
        <v>33</v>
      </c>
      <c r="B163" s="16" t="s">
        <v>48</v>
      </c>
      <c r="C163" s="16" t="str">
        <f t="shared" si="2"/>
        <v>华东</v>
      </c>
      <c r="D163" s="16" t="s">
        <v>226</v>
      </c>
      <c r="E163" s="16">
        <v>24</v>
      </c>
    </row>
    <row r="164" spans="1:5" x14ac:dyDescent="0.4">
      <c r="A164" s="16" t="s">
        <v>33</v>
      </c>
      <c r="B164" s="16" t="s">
        <v>30</v>
      </c>
      <c r="C164" s="16" t="str">
        <f t="shared" si="2"/>
        <v>华北</v>
      </c>
      <c r="D164" s="16" t="s">
        <v>227</v>
      </c>
      <c r="E164" s="16">
        <v>16</v>
      </c>
    </row>
    <row r="165" spans="1:5" x14ac:dyDescent="0.4">
      <c r="A165" s="16" t="s">
        <v>29</v>
      </c>
      <c r="B165" s="16" t="s">
        <v>23</v>
      </c>
      <c r="C165" s="16" t="str">
        <f t="shared" si="2"/>
        <v>西南</v>
      </c>
      <c r="D165" s="16" t="s">
        <v>228</v>
      </c>
      <c r="E165" s="16">
        <v>14</v>
      </c>
    </row>
    <row r="166" spans="1:5" x14ac:dyDescent="0.4">
      <c r="A166" s="16" t="s">
        <v>22</v>
      </c>
      <c r="B166" s="16" t="s">
        <v>23</v>
      </c>
      <c r="C166" s="16" t="str">
        <f t="shared" si="2"/>
        <v>西南</v>
      </c>
      <c r="D166" s="16" t="s">
        <v>229</v>
      </c>
      <c r="E166" s="16">
        <v>17</v>
      </c>
    </row>
    <row r="167" spans="1:5" x14ac:dyDescent="0.4">
      <c r="A167" s="16" t="s">
        <v>22</v>
      </c>
      <c r="B167" s="16" t="s">
        <v>28</v>
      </c>
      <c r="C167" s="16" t="str">
        <f t="shared" si="2"/>
        <v>东北</v>
      </c>
      <c r="D167" s="16" t="s">
        <v>230</v>
      </c>
      <c r="E167" s="16">
        <v>10</v>
      </c>
    </row>
    <row r="168" spans="1:5" x14ac:dyDescent="0.4">
      <c r="A168" s="16" t="s">
        <v>22</v>
      </c>
      <c r="B168" s="16" t="s">
        <v>40</v>
      </c>
      <c r="C168" s="16" t="str">
        <f t="shared" si="2"/>
        <v>华北</v>
      </c>
      <c r="D168" s="16" t="s">
        <v>231</v>
      </c>
      <c r="E168" s="16">
        <v>19</v>
      </c>
    </row>
    <row r="169" spans="1:5" x14ac:dyDescent="0.4">
      <c r="A169" s="16" t="s">
        <v>22</v>
      </c>
      <c r="B169" s="16" t="s">
        <v>53</v>
      </c>
      <c r="C169" s="16" t="str">
        <f t="shared" si="2"/>
        <v>华东</v>
      </c>
      <c r="D169" s="16" t="s">
        <v>232</v>
      </c>
      <c r="E169" s="16">
        <v>14</v>
      </c>
    </row>
    <row r="170" spans="1:5" x14ac:dyDescent="0.4">
      <c r="A170" s="16" t="s">
        <v>29</v>
      </c>
      <c r="B170" s="16" t="s">
        <v>60</v>
      </c>
      <c r="C170" s="16" t="str">
        <f t="shared" si="2"/>
        <v>华东</v>
      </c>
      <c r="D170" s="16" t="s">
        <v>233</v>
      </c>
      <c r="E170" s="16">
        <v>28</v>
      </c>
    </row>
    <row r="171" spans="1:5" x14ac:dyDescent="0.4">
      <c r="A171" s="16" t="s">
        <v>22</v>
      </c>
      <c r="B171" s="16" t="s">
        <v>69</v>
      </c>
      <c r="C171" s="16" t="str">
        <f t="shared" si="2"/>
        <v>华南</v>
      </c>
      <c r="D171" s="16" t="s">
        <v>234</v>
      </c>
      <c r="E171" s="16">
        <v>20</v>
      </c>
    </row>
    <row r="172" spans="1:5" x14ac:dyDescent="0.4">
      <c r="A172" s="16" t="s">
        <v>29</v>
      </c>
      <c r="B172" s="16" t="s">
        <v>32</v>
      </c>
      <c r="C172" s="16" t="str">
        <f t="shared" si="2"/>
        <v>东北</v>
      </c>
      <c r="D172" s="16" t="s">
        <v>235</v>
      </c>
      <c r="E172" s="16">
        <v>20</v>
      </c>
    </row>
    <row r="173" spans="1:5" x14ac:dyDescent="0.4">
      <c r="A173" s="16" t="s">
        <v>29</v>
      </c>
      <c r="B173" s="16" t="s">
        <v>32</v>
      </c>
      <c r="C173" s="16" t="str">
        <f t="shared" si="2"/>
        <v>东北</v>
      </c>
      <c r="D173" s="16" t="s">
        <v>236</v>
      </c>
      <c r="E173" s="16">
        <v>19</v>
      </c>
    </row>
    <row r="174" spans="1:5" x14ac:dyDescent="0.4">
      <c r="A174" s="16" t="s">
        <v>22</v>
      </c>
      <c r="B174" s="16" t="s">
        <v>32</v>
      </c>
      <c r="C174" s="16" t="str">
        <f t="shared" si="2"/>
        <v>东北</v>
      </c>
      <c r="D174" s="16" t="s">
        <v>237</v>
      </c>
      <c r="E174" s="16">
        <v>14</v>
      </c>
    </row>
    <row r="175" spans="1:5" x14ac:dyDescent="0.4">
      <c r="A175" s="16" t="s">
        <v>29</v>
      </c>
      <c r="B175" s="16" t="s">
        <v>32</v>
      </c>
      <c r="C175" s="16" t="str">
        <f t="shared" si="2"/>
        <v>东北</v>
      </c>
      <c r="D175" s="16" t="s">
        <v>238</v>
      </c>
      <c r="E175" s="16">
        <v>20</v>
      </c>
    </row>
    <row r="176" spans="1:5" x14ac:dyDescent="0.4">
      <c r="A176" s="16" t="s">
        <v>22</v>
      </c>
      <c r="B176" s="16" t="s">
        <v>65</v>
      </c>
      <c r="C176" s="16" t="str">
        <f t="shared" si="2"/>
        <v>华南</v>
      </c>
      <c r="D176" s="16" t="s">
        <v>239</v>
      </c>
      <c r="E176" s="16">
        <v>23</v>
      </c>
    </row>
    <row r="177" spans="1:5" x14ac:dyDescent="0.4">
      <c r="A177" s="16" t="s">
        <v>22</v>
      </c>
      <c r="B177" s="16" t="s">
        <v>25</v>
      </c>
      <c r="C177" s="16" t="str">
        <f t="shared" si="2"/>
        <v>东北</v>
      </c>
      <c r="D177" s="16" t="s">
        <v>240</v>
      </c>
      <c r="E177" s="16">
        <v>14</v>
      </c>
    </row>
    <row r="178" spans="1:5" x14ac:dyDescent="0.4">
      <c r="A178" s="16" t="s">
        <v>22</v>
      </c>
      <c r="B178" s="16" t="s">
        <v>83</v>
      </c>
      <c r="C178" s="16" t="str">
        <f t="shared" si="2"/>
        <v>西北</v>
      </c>
      <c r="D178" s="16" t="s">
        <v>241</v>
      </c>
      <c r="E178" s="16">
        <v>29</v>
      </c>
    </row>
    <row r="179" spans="1:5" x14ac:dyDescent="0.4">
      <c r="A179" s="16" t="s">
        <v>29</v>
      </c>
      <c r="B179" s="16" t="s">
        <v>44</v>
      </c>
      <c r="C179" s="16" t="str">
        <f t="shared" si="2"/>
        <v>华北</v>
      </c>
      <c r="D179" s="16" t="s">
        <v>242</v>
      </c>
      <c r="E179" s="16">
        <v>22</v>
      </c>
    </row>
    <row r="180" spans="1:5" x14ac:dyDescent="0.4">
      <c r="A180" s="16" t="s">
        <v>33</v>
      </c>
      <c r="B180" s="16" t="s">
        <v>67</v>
      </c>
      <c r="C180" s="16" t="str">
        <f t="shared" si="2"/>
        <v>华中</v>
      </c>
      <c r="D180" s="16" t="s">
        <v>243</v>
      </c>
      <c r="E180" s="16">
        <v>24</v>
      </c>
    </row>
    <row r="181" spans="1:5" x14ac:dyDescent="0.4">
      <c r="A181" s="16" t="s">
        <v>22</v>
      </c>
      <c r="B181" s="16" t="s">
        <v>69</v>
      </c>
      <c r="C181" s="16" t="str">
        <f t="shared" si="2"/>
        <v>华南</v>
      </c>
      <c r="D181" s="16" t="s">
        <v>244</v>
      </c>
      <c r="E181" s="16">
        <v>20</v>
      </c>
    </row>
    <row r="182" spans="1:5" x14ac:dyDescent="0.4">
      <c r="A182" s="16" t="s">
        <v>22</v>
      </c>
      <c r="B182" s="16" t="s">
        <v>25</v>
      </c>
      <c r="C182" s="16" t="str">
        <f t="shared" si="2"/>
        <v>东北</v>
      </c>
      <c r="D182" s="16" t="s">
        <v>245</v>
      </c>
      <c r="E182" s="16">
        <v>18</v>
      </c>
    </row>
    <row r="183" spans="1:5" x14ac:dyDescent="0.4">
      <c r="A183" s="16" t="s">
        <v>22</v>
      </c>
      <c r="B183" s="16" t="s">
        <v>67</v>
      </c>
      <c r="C183" s="16" t="str">
        <f t="shared" si="2"/>
        <v>华中</v>
      </c>
      <c r="D183" s="16" t="s">
        <v>246</v>
      </c>
      <c r="E183" s="16">
        <v>14</v>
      </c>
    </row>
    <row r="184" spans="1:5" x14ac:dyDescent="0.4">
      <c r="A184" s="16" t="s">
        <v>22</v>
      </c>
      <c r="B184" s="16" t="s">
        <v>23</v>
      </c>
      <c r="C184" s="16" t="str">
        <f t="shared" si="2"/>
        <v>西南</v>
      </c>
      <c r="D184" s="16" t="s">
        <v>247</v>
      </c>
      <c r="E184" s="16">
        <v>27</v>
      </c>
    </row>
    <row r="185" spans="1:5" x14ac:dyDescent="0.4">
      <c r="A185" s="16" t="s">
        <v>29</v>
      </c>
      <c r="B185" s="16" t="s">
        <v>55</v>
      </c>
      <c r="C185" s="16" t="str">
        <f t="shared" si="2"/>
        <v>华东</v>
      </c>
      <c r="D185" s="16" t="s">
        <v>248</v>
      </c>
      <c r="E185" s="16">
        <v>25</v>
      </c>
    </row>
    <row r="186" spans="1:5" x14ac:dyDescent="0.4">
      <c r="A186" s="16" t="s">
        <v>29</v>
      </c>
      <c r="B186" s="16" t="s">
        <v>23</v>
      </c>
      <c r="C186" s="16" t="str">
        <f t="shared" si="2"/>
        <v>西南</v>
      </c>
      <c r="D186" s="16" t="s">
        <v>249</v>
      </c>
      <c r="E186" s="16">
        <v>24</v>
      </c>
    </row>
    <row r="187" spans="1:5" x14ac:dyDescent="0.4">
      <c r="A187" s="16" t="s">
        <v>33</v>
      </c>
      <c r="B187" s="16" t="s">
        <v>23</v>
      </c>
      <c r="C187" s="16" t="str">
        <f t="shared" si="2"/>
        <v>西南</v>
      </c>
      <c r="D187" s="16" t="s">
        <v>250</v>
      </c>
      <c r="E187" s="16">
        <v>18</v>
      </c>
    </row>
    <row r="188" spans="1:5" x14ac:dyDescent="0.4">
      <c r="A188" s="16" t="s">
        <v>29</v>
      </c>
      <c r="B188" s="16" t="s">
        <v>61</v>
      </c>
      <c r="C188" s="16" t="str">
        <f t="shared" si="2"/>
        <v>华东</v>
      </c>
      <c r="D188" s="16" t="s">
        <v>251</v>
      </c>
      <c r="E188" s="16">
        <v>11</v>
      </c>
    </row>
    <row r="189" spans="1:5" x14ac:dyDescent="0.4">
      <c r="A189" s="16" t="s">
        <v>29</v>
      </c>
      <c r="B189" s="16" t="s">
        <v>57</v>
      </c>
      <c r="C189" s="16" t="str">
        <f t="shared" si="2"/>
        <v>华东</v>
      </c>
      <c r="D189" s="16" t="s">
        <v>252</v>
      </c>
      <c r="E189" s="16">
        <v>25</v>
      </c>
    </row>
    <row r="190" spans="1:5" x14ac:dyDescent="0.4">
      <c r="A190" s="16" t="s">
        <v>29</v>
      </c>
      <c r="B190" s="16" t="s">
        <v>32</v>
      </c>
      <c r="C190" s="16" t="str">
        <f t="shared" si="2"/>
        <v>东北</v>
      </c>
      <c r="D190" s="16" t="s">
        <v>253</v>
      </c>
      <c r="E190" s="16">
        <v>15</v>
      </c>
    </row>
    <row r="191" spans="1:5" x14ac:dyDescent="0.4">
      <c r="A191" s="16" t="s">
        <v>22</v>
      </c>
      <c r="B191" s="16" t="s">
        <v>32</v>
      </c>
      <c r="C191" s="16" t="str">
        <f t="shared" si="2"/>
        <v>东北</v>
      </c>
      <c r="D191" s="16" t="s">
        <v>254</v>
      </c>
      <c r="E191" s="16">
        <v>14</v>
      </c>
    </row>
    <row r="192" spans="1:5" x14ac:dyDescent="0.4">
      <c r="A192" s="16" t="s">
        <v>22</v>
      </c>
      <c r="B192" s="16" t="s">
        <v>32</v>
      </c>
      <c r="C192" s="16" t="str">
        <f t="shared" si="2"/>
        <v>东北</v>
      </c>
      <c r="D192" s="16" t="s">
        <v>255</v>
      </c>
      <c r="E192" s="16">
        <v>27</v>
      </c>
    </row>
    <row r="193" spans="1:5" x14ac:dyDescent="0.4">
      <c r="A193" s="16" t="s">
        <v>22</v>
      </c>
      <c r="B193" s="16" t="s">
        <v>32</v>
      </c>
      <c r="C193" s="16" t="str">
        <f t="shared" si="2"/>
        <v>东北</v>
      </c>
      <c r="D193" s="16" t="s">
        <v>256</v>
      </c>
      <c r="E193" s="16">
        <v>13</v>
      </c>
    </row>
    <row r="194" spans="1:5" x14ac:dyDescent="0.4">
      <c r="A194" s="16" t="s">
        <v>22</v>
      </c>
      <c r="B194" s="16" t="s">
        <v>32</v>
      </c>
      <c r="C194" s="16" t="str">
        <f t="shared" si="2"/>
        <v>东北</v>
      </c>
      <c r="D194" s="16" t="s">
        <v>257</v>
      </c>
      <c r="E194" s="16">
        <v>19</v>
      </c>
    </row>
    <row r="195" spans="1:5" x14ac:dyDescent="0.4">
      <c r="A195" s="16" t="s">
        <v>22</v>
      </c>
      <c r="B195" s="16" t="s">
        <v>32</v>
      </c>
      <c r="C195" s="16" t="str">
        <f t="shared" ref="C195:C258" si="3">_xlfn.XLOOKUP(B195,$I$2:$I$32,$J$2:$J$32)</f>
        <v>东北</v>
      </c>
      <c r="D195" s="16" t="s">
        <v>258</v>
      </c>
      <c r="E195" s="16">
        <v>27</v>
      </c>
    </row>
    <row r="196" spans="1:5" x14ac:dyDescent="0.4">
      <c r="A196" s="16" t="s">
        <v>29</v>
      </c>
      <c r="B196" s="16" t="s">
        <v>32</v>
      </c>
      <c r="C196" s="16" t="str">
        <f t="shared" si="3"/>
        <v>东北</v>
      </c>
      <c r="D196" s="16" t="s">
        <v>259</v>
      </c>
      <c r="E196" s="16">
        <v>20</v>
      </c>
    </row>
    <row r="197" spans="1:5" x14ac:dyDescent="0.4">
      <c r="A197" s="16" t="s">
        <v>29</v>
      </c>
      <c r="B197" s="16" t="s">
        <v>32</v>
      </c>
      <c r="C197" s="16" t="str">
        <f t="shared" si="3"/>
        <v>东北</v>
      </c>
      <c r="D197" s="16" t="s">
        <v>260</v>
      </c>
      <c r="E197" s="16">
        <v>20</v>
      </c>
    </row>
    <row r="198" spans="1:5" x14ac:dyDescent="0.4">
      <c r="A198" s="16" t="s">
        <v>29</v>
      </c>
      <c r="B198" s="16" t="s">
        <v>32</v>
      </c>
      <c r="C198" s="16" t="str">
        <f t="shared" si="3"/>
        <v>东北</v>
      </c>
      <c r="D198" s="16" t="s">
        <v>261</v>
      </c>
      <c r="E198" s="16">
        <v>27</v>
      </c>
    </row>
    <row r="199" spans="1:5" x14ac:dyDescent="0.4">
      <c r="A199" s="16" t="s">
        <v>29</v>
      </c>
      <c r="B199" s="16" t="s">
        <v>32</v>
      </c>
      <c r="C199" s="16" t="str">
        <f t="shared" si="3"/>
        <v>东北</v>
      </c>
      <c r="D199" s="16" t="s">
        <v>262</v>
      </c>
      <c r="E199" s="16">
        <v>19</v>
      </c>
    </row>
    <row r="200" spans="1:5" x14ac:dyDescent="0.4">
      <c r="A200" s="16" t="s">
        <v>22</v>
      </c>
      <c r="B200" s="16" t="s">
        <v>32</v>
      </c>
      <c r="C200" s="16" t="str">
        <f t="shared" si="3"/>
        <v>东北</v>
      </c>
      <c r="D200" s="16" t="s">
        <v>263</v>
      </c>
      <c r="E200" s="16">
        <v>29</v>
      </c>
    </row>
    <row r="201" spans="1:5" x14ac:dyDescent="0.4">
      <c r="A201" s="16" t="s">
        <v>22</v>
      </c>
      <c r="B201" s="16" t="s">
        <v>67</v>
      </c>
      <c r="C201" s="16" t="str">
        <f t="shared" si="3"/>
        <v>华中</v>
      </c>
      <c r="D201" s="16" t="s">
        <v>264</v>
      </c>
      <c r="E201" s="16">
        <v>22</v>
      </c>
    </row>
    <row r="202" spans="1:5" x14ac:dyDescent="0.4">
      <c r="A202" s="16" t="s">
        <v>22</v>
      </c>
      <c r="B202" s="16" t="s">
        <v>23</v>
      </c>
      <c r="C202" s="16" t="str">
        <f t="shared" si="3"/>
        <v>西南</v>
      </c>
      <c r="D202" s="16" t="s">
        <v>265</v>
      </c>
      <c r="E202" s="16">
        <v>20</v>
      </c>
    </row>
    <row r="203" spans="1:5" x14ac:dyDescent="0.4">
      <c r="A203" s="16" t="s">
        <v>29</v>
      </c>
      <c r="B203" s="16" t="s">
        <v>53</v>
      </c>
      <c r="C203" s="16" t="str">
        <f t="shared" si="3"/>
        <v>华东</v>
      </c>
      <c r="D203" s="16" t="s">
        <v>266</v>
      </c>
      <c r="E203" s="16">
        <v>21</v>
      </c>
    </row>
    <row r="204" spans="1:5" x14ac:dyDescent="0.4">
      <c r="A204" s="16" t="s">
        <v>29</v>
      </c>
      <c r="B204" s="16" t="s">
        <v>63</v>
      </c>
      <c r="C204" s="16" t="str">
        <f t="shared" si="3"/>
        <v>西南</v>
      </c>
      <c r="D204" s="16" t="s">
        <v>267</v>
      </c>
      <c r="E204" s="16">
        <v>10</v>
      </c>
    </row>
    <row r="205" spans="1:5" x14ac:dyDescent="0.4">
      <c r="A205" s="16" t="s">
        <v>22</v>
      </c>
      <c r="B205" s="16" t="s">
        <v>57</v>
      </c>
      <c r="C205" s="16" t="str">
        <f t="shared" si="3"/>
        <v>华东</v>
      </c>
      <c r="D205" s="16" t="s">
        <v>268</v>
      </c>
      <c r="E205" s="16">
        <v>25</v>
      </c>
    </row>
    <row r="206" spans="1:5" x14ac:dyDescent="0.4">
      <c r="A206" s="16" t="s">
        <v>29</v>
      </c>
      <c r="B206" s="16" t="s">
        <v>73</v>
      </c>
      <c r="C206" s="16" t="str">
        <f t="shared" si="3"/>
        <v>华中</v>
      </c>
      <c r="D206" s="16" t="s">
        <v>269</v>
      </c>
      <c r="E206" s="16">
        <v>20</v>
      </c>
    </row>
    <row r="207" spans="1:5" x14ac:dyDescent="0.4">
      <c r="A207" s="16" t="s">
        <v>33</v>
      </c>
      <c r="B207" s="16" t="s">
        <v>67</v>
      </c>
      <c r="C207" s="16" t="str">
        <f t="shared" si="3"/>
        <v>华中</v>
      </c>
      <c r="D207" s="16" t="s">
        <v>270</v>
      </c>
      <c r="E207" s="16">
        <v>24</v>
      </c>
    </row>
    <row r="208" spans="1:5" x14ac:dyDescent="0.4">
      <c r="A208" s="16" t="s">
        <v>22</v>
      </c>
      <c r="B208" s="16" t="s">
        <v>48</v>
      </c>
      <c r="C208" s="16" t="str">
        <f t="shared" si="3"/>
        <v>华东</v>
      </c>
      <c r="D208" s="16" t="s">
        <v>271</v>
      </c>
      <c r="E208" s="16">
        <v>12</v>
      </c>
    </row>
    <row r="209" spans="1:5" x14ac:dyDescent="0.4">
      <c r="A209" s="16" t="s">
        <v>29</v>
      </c>
      <c r="B209" s="16" t="s">
        <v>38</v>
      </c>
      <c r="C209" s="16" t="str">
        <f t="shared" si="3"/>
        <v>西北</v>
      </c>
      <c r="D209" s="16" t="s">
        <v>272</v>
      </c>
      <c r="E209" s="16">
        <v>23</v>
      </c>
    </row>
    <row r="210" spans="1:5" x14ac:dyDescent="0.4">
      <c r="A210" s="16" t="s">
        <v>29</v>
      </c>
      <c r="B210" s="16" t="s">
        <v>58</v>
      </c>
      <c r="C210" s="16" t="str">
        <f t="shared" si="3"/>
        <v>华中</v>
      </c>
      <c r="D210" s="16" t="s">
        <v>273</v>
      </c>
      <c r="E210" s="16">
        <v>15</v>
      </c>
    </row>
    <row r="211" spans="1:5" x14ac:dyDescent="0.4">
      <c r="A211" s="16" t="s">
        <v>22</v>
      </c>
      <c r="B211" s="16" t="s">
        <v>63</v>
      </c>
      <c r="C211" s="16" t="str">
        <f t="shared" si="3"/>
        <v>西南</v>
      </c>
      <c r="D211" s="16" t="s">
        <v>274</v>
      </c>
      <c r="E211" s="16">
        <v>24</v>
      </c>
    </row>
    <row r="212" spans="1:5" x14ac:dyDescent="0.4">
      <c r="A212" s="16" t="s">
        <v>29</v>
      </c>
      <c r="B212" s="16" t="s">
        <v>69</v>
      </c>
      <c r="C212" s="16" t="str">
        <f t="shared" si="3"/>
        <v>华南</v>
      </c>
      <c r="D212" s="16" t="s">
        <v>275</v>
      </c>
      <c r="E212" s="16">
        <v>18</v>
      </c>
    </row>
    <row r="213" spans="1:5" x14ac:dyDescent="0.4">
      <c r="A213" s="16" t="s">
        <v>22</v>
      </c>
      <c r="B213" s="16" t="s">
        <v>51</v>
      </c>
      <c r="C213" s="16" t="str">
        <f t="shared" si="3"/>
        <v>华东</v>
      </c>
      <c r="D213" s="16" t="s">
        <v>276</v>
      </c>
      <c r="E213" s="16">
        <v>28</v>
      </c>
    </row>
    <row r="214" spans="1:5" x14ac:dyDescent="0.4">
      <c r="A214" s="16" t="s">
        <v>29</v>
      </c>
      <c r="B214" s="16" t="s">
        <v>28</v>
      </c>
      <c r="C214" s="16" t="str">
        <f t="shared" si="3"/>
        <v>东北</v>
      </c>
      <c r="D214" s="16" t="s">
        <v>277</v>
      </c>
      <c r="E214" s="16">
        <v>11</v>
      </c>
    </row>
    <row r="215" spans="1:5" x14ac:dyDescent="0.4">
      <c r="A215" s="16" t="s">
        <v>29</v>
      </c>
      <c r="B215" s="16" t="s">
        <v>63</v>
      </c>
      <c r="C215" s="16" t="str">
        <f t="shared" si="3"/>
        <v>西南</v>
      </c>
      <c r="D215" s="16" t="s">
        <v>278</v>
      </c>
      <c r="E215" s="16">
        <v>22</v>
      </c>
    </row>
    <row r="216" spans="1:5" x14ac:dyDescent="0.4">
      <c r="A216" s="16" t="s">
        <v>22</v>
      </c>
      <c r="B216" s="16" t="s">
        <v>61</v>
      </c>
      <c r="C216" s="16" t="str">
        <f t="shared" si="3"/>
        <v>华东</v>
      </c>
      <c r="D216" s="16" t="s">
        <v>279</v>
      </c>
      <c r="E216" s="16">
        <v>25</v>
      </c>
    </row>
    <row r="217" spans="1:5" x14ac:dyDescent="0.4">
      <c r="A217" s="16" t="s">
        <v>29</v>
      </c>
      <c r="B217" s="16" t="s">
        <v>65</v>
      </c>
      <c r="C217" s="16" t="str">
        <f t="shared" si="3"/>
        <v>华南</v>
      </c>
      <c r="D217" s="16" t="s">
        <v>280</v>
      </c>
      <c r="E217" s="16">
        <v>22</v>
      </c>
    </row>
    <row r="218" spans="1:5" x14ac:dyDescent="0.4">
      <c r="A218" s="16" t="s">
        <v>29</v>
      </c>
      <c r="B218" s="16" t="s">
        <v>55</v>
      </c>
      <c r="C218" s="16" t="str">
        <f t="shared" si="3"/>
        <v>华东</v>
      </c>
      <c r="D218" s="16" t="s">
        <v>281</v>
      </c>
      <c r="E218" s="16">
        <v>13</v>
      </c>
    </row>
    <row r="219" spans="1:5" x14ac:dyDescent="0.4">
      <c r="A219" s="16" t="s">
        <v>22</v>
      </c>
      <c r="B219" s="16" t="s">
        <v>23</v>
      </c>
      <c r="C219" s="16" t="str">
        <f t="shared" si="3"/>
        <v>西南</v>
      </c>
      <c r="D219" s="16" t="s">
        <v>282</v>
      </c>
      <c r="E219" s="16">
        <v>23</v>
      </c>
    </row>
    <row r="220" spans="1:5" x14ac:dyDescent="0.4">
      <c r="A220" s="16" t="s">
        <v>22</v>
      </c>
      <c r="B220" s="16" t="s">
        <v>36</v>
      </c>
      <c r="C220" s="16" t="str">
        <f t="shared" si="3"/>
        <v>华北</v>
      </c>
      <c r="D220" s="16" t="s">
        <v>283</v>
      </c>
      <c r="E220" s="16">
        <v>22</v>
      </c>
    </row>
    <row r="221" spans="1:5" x14ac:dyDescent="0.4">
      <c r="A221" s="16" t="s">
        <v>29</v>
      </c>
      <c r="B221" s="16" t="s">
        <v>57</v>
      </c>
      <c r="C221" s="16" t="str">
        <f t="shared" si="3"/>
        <v>华东</v>
      </c>
      <c r="D221" s="16" t="s">
        <v>284</v>
      </c>
      <c r="E221" s="16">
        <v>27</v>
      </c>
    </row>
    <row r="222" spans="1:5" x14ac:dyDescent="0.4">
      <c r="A222" s="16" t="s">
        <v>22</v>
      </c>
      <c r="B222" s="16" t="s">
        <v>57</v>
      </c>
      <c r="C222" s="16" t="str">
        <f t="shared" si="3"/>
        <v>华东</v>
      </c>
      <c r="D222" s="16" t="s">
        <v>285</v>
      </c>
      <c r="E222" s="16">
        <v>18</v>
      </c>
    </row>
    <row r="223" spans="1:5" x14ac:dyDescent="0.4">
      <c r="A223" s="16" t="s">
        <v>29</v>
      </c>
      <c r="B223" s="16" t="s">
        <v>73</v>
      </c>
      <c r="C223" s="16" t="str">
        <f t="shared" si="3"/>
        <v>华中</v>
      </c>
      <c r="D223" s="16" t="s">
        <v>286</v>
      </c>
      <c r="E223" s="16">
        <v>24</v>
      </c>
    </row>
    <row r="224" spans="1:5" x14ac:dyDescent="0.4">
      <c r="A224" s="16" t="s">
        <v>22</v>
      </c>
      <c r="B224" s="16" t="s">
        <v>65</v>
      </c>
      <c r="C224" s="16" t="str">
        <f t="shared" si="3"/>
        <v>华南</v>
      </c>
      <c r="D224" s="16" t="s">
        <v>287</v>
      </c>
      <c r="E224" s="16">
        <v>23</v>
      </c>
    </row>
    <row r="225" spans="1:5" x14ac:dyDescent="0.4">
      <c r="A225" s="16" t="s">
        <v>29</v>
      </c>
      <c r="B225" s="16" t="s">
        <v>65</v>
      </c>
      <c r="C225" s="16" t="str">
        <f t="shared" si="3"/>
        <v>华南</v>
      </c>
      <c r="D225" s="16" t="s">
        <v>288</v>
      </c>
      <c r="E225" s="16">
        <v>23</v>
      </c>
    </row>
    <row r="226" spans="1:5" x14ac:dyDescent="0.4">
      <c r="A226" s="16" t="s">
        <v>22</v>
      </c>
      <c r="B226" s="16" t="s">
        <v>76</v>
      </c>
      <c r="C226" s="16" t="str">
        <f t="shared" si="3"/>
        <v>西北</v>
      </c>
      <c r="D226" s="16" t="s">
        <v>289</v>
      </c>
      <c r="E226" s="16">
        <v>26</v>
      </c>
    </row>
    <row r="227" spans="1:5" x14ac:dyDescent="0.4">
      <c r="A227" s="16" t="s">
        <v>29</v>
      </c>
      <c r="B227" s="16" t="s">
        <v>61</v>
      </c>
      <c r="C227" s="16" t="str">
        <f t="shared" si="3"/>
        <v>华东</v>
      </c>
      <c r="D227" s="16" t="s">
        <v>290</v>
      </c>
      <c r="E227" s="16">
        <v>15</v>
      </c>
    </row>
    <row r="228" spans="1:5" x14ac:dyDescent="0.4">
      <c r="A228" s="16" t="s">
        <v>22</v>
      </c>
      <c r="B228" s="16" t="s">
        <v>61</v>
      </c>
      <c r="C228" s="16" t="str">
        <f t="shared" si="3"/>
        <v>华东</v>
      </c>
      <c r="D228" s="16" t="s">
        <v>291</v>
      </c>
      <c r="E228" s="16">
        <v>10</v>
      </c>
    </row>
    <row r="229" spans="1:5" x14ac:dyDescent="0.4">
      <c r="A229" s="16" t="s">
        <v>22</v>
      </c>
      <c r="B229" s="16" t="s">
        <v>55</v>
      </c>
      <c r="C229" s="16" t="str">
        <f t="shared" si="3"/>
        <v>华东</v>
      </c>
      <c r="D229" s="16" t="s">
        <v>292</v>
      </c>
      <c r="E229" s="16">
        <v>16</v>
      </c>
    </row>
    <row r="230" spans="1:5" x14ac:dyDescent="0.4">
      <c r="A230" s="16" t="s">
        <v>22</v>
      </c>
      <c r="B230" s="16" t="s">
        <v>57</v>
      </c>
      <c r="C230" s="16" t="str">
        <f t="shared" si="3"/>
        <v>华东</v>
      </c>
      <c r="D230" s="16" t="s">
        <v>293</v>
      </c>
      <c r="E230" s="16">
        <v>20</v>
      </c>
    </row>
    <row r="231" spans="1:5" x14ac:dyDescent="0.4">
      <c r="A231" s="16" t="s">
        <v>22</v>
      </c>
      <c r="B231" s="16" t="s">
        <v>38</v>
      </c>
      <c r="C231" s="16" t="str">
        <f t="shared" si="3"/>
        <v>西北</v>
      </c>
      <c r="D231" s="16" t="s">
        <v>294</v>
      </c>
      <c r="E231" s="16">
        <v>13</v>
      </c>
    </row>
    <row r="232" spans="1:5" x14ac:dyDescent="0.4">
      <c r="A232" s="16" t="s">
        <v>29</v>
      </c>
      <c r="B232" s="16" t="s">
        <v>44</v>
      </c>
      <c r="C232" s="16" t="str">
        <f t="shared" si="3"/>
        <v>华北</v>
      </c>
      <c r="D232" s="16" t="s">
        <v>295</v>
      </c>
      <c r="E232" s="16">
        <v>17</v>
      </c>
    </row>
    <row r="233" spans="1:5" x14ac:dyDescent="0.4">
      <c r="A233" s="16" t="s">
        <v>22</v>
      </c>
      <c r="B233" s="16" t="s">
        <v>48</v>
      </c>
      <c r="C233" s="16" t="str">
        <f t="shared" si="3"/>
        <v>华东</v>
      </c>
      <c r="D233" s="16" t="s">
        <v>296</v>
      </c>
      <c r="E233" s="16">
        <v>23</v>
      </c>
    </row>
    <row r="234" spans="1:5" x14ac:dyDescent="0.4">
      <c r="A234" s="16" t="s">
        <v>33</v>
      </c>
      <c r="B234" s="16" t="s">
        <v>40</v>
      </c>
      <c r="C234" s="16" t="str">
        <f t="shared" si="3"/>
        <v>华北</v>
      </c>
      <c r="D234" s="16" t="s">
        <v>297</v>
      </c>
      <c r="E234" s="16">
        <v>22</v>
      </c>
    </row>
    <row r="235" spans="1:5" x14ac:dyDescent="0.4">
      <c r="A235" s="16" t="s">
        <v>22</v>
      </c>
      <c r="B235" s="16" t="s">
        <v>57</v>
      </c>
      <c r="C235" s="16" t="str">
        <f t="shared" si="3"/>
        <v>华东</v>
      </c>
      <c r="D235" s="16" t="s">
        <v>298</v>
      </c>
      <c r="E235" s="16">
        <v>22</v>
      </c>
    </row>
    <row r="236" spans="1:5" x14ac:dyDescent="0.4">
      <c r="A236" s="16" t="s">
        <v>33</v>
      </c>
      <c r="B236" s="16" t="s">
        <v>58</v>
      </c>
      <c r="C236" s="16" t="str">
        <f t="shared" si="3"/>
        <v>华中</v>
      </c>
      <c r="D236" s="16" t="s">
        <v>299</v>
      </c>
      <c r="E236" s="16">
        <v>21</v>
      </c>
    </row>
    <row r="237" spans="1:5" x14ac:dyDescent="0.4">
      <c r="A237" s="16" t="s">
        <v>29</v>
      </c>
      <c r="B237" s="16" t="s">
        <v>60</v>
      </c>
      <c r="C237" s="16" t="str">
        <f t="shared" si="3"/>
        <v>华东</v>
      </c>
      <c r="D237" s="16" t="s">
        <v>300</v>
      </c>
      <c r="E237" s="16">
        <v>27</v>
      </c>
    </row>
    <row r="238" spans="1:5" x14ac:dyDescent="0.4">
      <c r="A238" s="16" t="s">
        <v>29</v>
      </c>
      <c r="B238" s="16" t="s">
        <v>57</v>
      </c>
      <c r="C238" s="16" t="str">
        <f t="shared" si="3"/>
        <v>华东</v>
      </c>
      <c r="D238" s="16" t="s">
        <v>301</v>
      </c>
      <c r="E238" s="16">
        <v>11</v>
      </c>
    </row>
    <row r="239" spans="1:5" x14ac:dyDescent="0.4">
      <c r="A239" s="16" t="s">
        <v>22</v>
      </c>
      <c r="B239" s="16" t="s">
        <v>65</v>
      </c>
      <c r="C239" s="16" t="str">
        <f t="shared" si="3"/>
        <v>华南</v>
      </c>
      <c r="D239" s="16" t="s">
        <v>302</v>
      </c>
      <c r="E239" s="16">
        <v>14</v>
      </c>
    </row>
    <row r="240" spans="1:5" x14ac:dyDescent="0.4">
      <c r="A240" s="16" t="s">
        <v>22</v>
      </c>
      <c r="B240" s="16" t="s">
        <v>65</v>
      </c>
      <c r="C240" s="16" t="str">
        <f t="shared" si="3"/>
        <v>华南</v>
      </c>
      <c r="D240" s="16" t="s">
        <v>303</v>
      </c>
      <c r="E240" s="16">
        <v>16</v>
      </c>
    </row>
    <row r="241" spans="1:5" x14ac:dyDescent="0.4">
      <c r="A241" s="16" t="s">
        <v>29</v>
      </c>
      <c r="B241" s="16" t="s">
        <v>40</v>
      </c>
      <c r="C241" s="16" t="str">
        <f t="shared" si="3"/>
        <v>华北</v>
      </c>
      <c r="D241" s="16" t="s">
        <v>304</v>
      </c>
      <c r="E241" s="16">
        <v>18</v>
      </c>
    </row>
    <row r="242" spans="1:5" x14ac:dyDescent="0.4">
      <c r="A242" s="16" t="s">
        <v>22</v>
      </c>
      <c r="B242" s="16" t="s">
        <v>53</v>
      </c>
      <c r="C242" s="16" t="str">
        <f t="shared" si="3"/>
        <v>华东</v>
      </c>
      <c r="D242" s="16" t="s">
        <v>305</v>
      </c>
      <c r="E242" s="16">
        <v>16</v>
      </c>
    </row>
    <row r="243" spans="1:5" x14ac:dyDescent="0.4">
      <c r="A243" s="16" t="s">
        <v>29</v>
      </c>
      <c r="B243" s="16" t="s">
        <v>57</v>
      </c>
      <c r="C243" s="16" t="str">
        <f t="shared" si="3"/>
        <v>华东</v>
      </c>
      <c r="D243" s="16" t="s">
        <v>306</v>
      </c>
      <c r="E243" s="16">
        <v>10</v>
      </c>
    </row>
    <row r="244" spans="1:5" x14ac:dyDescent="0.4">
      <c r="A244" s="16" t="s">
        <v>29</v>
      </c>
      <c r="B244" s="16" t="s">
        <v>25</v>
      </c>
      <c r="C244" s="16" t="str">
        <f t="shared" si="3"/>
        <v>东北</v>
      </c>
      <c r="D244" s="16" t="s">
        <v>307</v>
      </c>
      <c r="E244" s="16">
        <v>10</v>
      </c>
    </row>
    <row r="245" spans="1:5" x14ac:dyDescent="0.4">
      <c r="A245" s="16" t="s">
        <v>33</v>
      </c>
      <c r="B245" s="16" t="s">
        <v>25</v>
      </c>
      <c r="C245" s="16" t="str">
        <f t="shared" si="3"/>
        <v>东北</v>
      </c>
      <c r="D245" s="16" t="s">
        <v>308</v>
      </c>
      <c r="E245" s="16">
        <v>13</v>
      </c>
    </row>
    <row r="246" spans="1:5" x14ac:dyDescent="0.4">
      <c r="A246" s="16" t="s">
        <v>29</v>
      </c>
      <c r="B246" s="16" t="s">
        <v>57</v>
      </c>
      <c r="C246" s="16" t="str">
        <f t="shared" si="3"/>
        <v>华东</v>
      </c>
      <c r="D246" s="16" t="s">
        <v>309</v>
      </c>
      <c r="E246" s="16">
        <v>29</v>
      </c>
    </row>
    <row r="247" spans="1:5" x14ac:dyDescent="0.4">
      <c r="A247" s="16" t="s">
        <v>22</v>
      </c>
      <c r="B247" s="16" t="s">
        <v>53</v>
      </c>
      <c r="C247" s="16" t="str">
        <f t="shared" si="3"/>
        <v>华东</v>
      </c>
      <c r="D247" s="16" t="s">
        <v>310</v>
      </c>
      <c r="E247" s="16">
        <v>28</v>
      </c>
    </row>
    <row r="248" spans="1:5" x14ac:dyDescent="0.4">
      <c r="A248" s="16" t="s">
        <v>22</v>
      </c>
      <c r="B248" s="16" t="s">
        <v>55</v>
      </c>
      <c r="C248" s="16" t="str">
        <f t="shared" si="3"/>
        <v>华东</v>
      </c>
      <c r="D248" s="16" t="s">
        <v>311</v>
      </c>
      <c r="E248" s="16">
        <v>19</v>
      </c>
    </row>
    <row r="249" spans="1:5" x14ac:dyDescent="0.4">
      <c r="A249" s="16" t="s">
        <v>33</v>
      </c>
      <c r="B249" s="16" t="s">
        <v>69</v>
      </c>
      <c r="C249" s="16" t="str">
        <f t="shared" si="3"/>
        <v>华南</v>
      </c>
      <c r="D249" s="16" t="s">
        <v>312</v>
      </c>
      <c r="E249" s="16">
        <v>19</v>
      </c>
    </row>
    <row r="250" spans="1:5" x14ac:dyDescent="0.4">
      <c r="A250" s="16" t="s">
        <v>29</v>
      </c>
      <c r="B250" s="16" t="s">
        <v>69</v>
      </c>
      <c r="C250" s="16" t="str">
        <f t="shared" si="3"/>
        <v>华南</v>
      </c>
      <c r="D250" s="16" t="s">
        <v>313</v>
      </c>
      <c r="E250" s="16">
        <v>19</v>
      </c>
    </row>
    <row r="251" spans="1:5" x14ac:dyDescent="0.4">
      <c r="A251" s="16" t="s">
        <v>29</v>
      </c>
      <c r="B251" s="16" t="s">
        <v>60</v>
      </c>
      <c r="C251" s="16" t="str">
        <f t="shared" si="3"/>
        <v>华东</v>
      </c>
      <c r="D251" s="16" t="s">
        <v>314</v>
      </c>
      <c r="E251" s="16">
        <v>10</v>
      </c>
    </row>
    <row r="252" spans="1:5" x14ac:dyDescent="0.4">
      <c r="A252" s="16" t="s">
        <v>22</v>
      </c>
      <c r="B252" s="16" t="s">
        <v>61</v>
      </c>
      <c r="C252" s="16" t="str">
        <f t="shared" si="3"/>
        <v>华东</v>
      </c>
      <c r="D252" s="16" t="s">
        <v>315</v>
      </c>
      <c r="E252" s="16">
        <v>14</v>
      </c>
    </row>
    <row r="253" spans="1:5" x14ac:dyDescent="0.4">
      <c r="A253" s="16" t="s">
        <v>22</v>
      </c>
      <c r="B253" s="16" t="s">
        <v>61</v>
      </c>
      <c r="C253" s="16" t="str">
        <f t="shared" si="3"/>
        <v>华东</v>
      </c>
      <c r="D253" s="16" t="s">
        <v>316</v>
      </c>
      <c r="E253" s="16">
        <v>20</v>
      </c>
    </row>
    <row r="254" spans="1:5" x14ac:dyDescent="0.4">
      <c r="A254" s="16" t="s">
        <v>29</v>
      </c>
      <c r="B254" s="16" t="s">
        <v>57</v>
      </c>
      <c r="C254" s="16" t="str">
        <f t="shared" si="3"/>
        <v>华东</v>
      </c>
      <c r="D254" s="16" t="s">
        <v>317</v>
      </c>
      <c r="E254" s="16">
        <v>28</v>
      </c>
    </row>
    <row r="255" spans="1:5" x14ac:dyDescent="0.4">
      <c r="A255" s="16" t="s">
        <v>29</v>
      </c>
      <c r="B255" s="16" t="s">
        <v>57</v>
      </c>
      <c r="C255" s="16" t="str">
        <f t="shared" si="3"/>
        <v>华东</v>
      </c>
      <c r="D255" s="16" t="s">
        <v>318</v>
      </c>
      <c r="E255" s="16">
        <v>26</v>
      </c>
    </row>
    <row r="256" spans="1:5" x14ac:dyDescent="0.4">
      <c r="A256" s="16" t="s">
        <v>22</v>
      </c>
      <c r="B256" s="16" t="s">
        <v>57</v>
      </c>
      <c r="C256" s="16" t="str">
        <f t="shared" si="3"/>
        <v>华东</v>
      </c>
      <c r="D256" s="16" t="s">
        <v>319</v>
      </c>
      <c r="E256" s="16">
        <v>29</v>
      </c>
    </row>
    <row r="257" spans="1:5" x14ac:dyDescent="0.4">
      <c r="A257" s="16" t="s">
        <v>22</v>
      </c>
      <c r="B257" s="16" t="s">
        <v>65</v>
      </c>
      <c r="C257" s="16" t="str">
        <f t="shared" si="3"/>
        <v>华南</v>
      </c>
      <c r="D257" s="16" t="s">
        <v>320</v>
      </c>
      <c r="E257" s="16">
        <v>19</v>
      </c>
    </row>
    <row r="258" spans="1:5" x14ac:dyDescent="0.4">
      <c r="A258" s="16" t="s">
        <v>22</v>
      </c>
      <c r="B258" s="16" t="s">
        <v>48</v>
      </c>
      <c r="C258" s="16" t="str">
        <f t="shared" si="3"/>
        <v>华东</v>
      </c>
      <c r="D258" s="16" t="s">
        <v>321</v>
      </c>
      <c r="E258" s="16">
        <v>19</v>
      </c>
    </row>
    <row r="259" spans="1:5" x14ac:dyDescent="0.4">
      <c r="A259" s="16" t="s">
        <v>29</v>
      </c>
      <c r="B259" s="16" t="s">
        <v>48</v>
      </c>
      <c r="C259" s="16" t="str">
        <f t="shared" ref="C259:C322" si="4">_xlfn.XLOOKUP(B259,$I$2:$I$32,$J$2:$J$32)</f>
        <v>华东</v>
      </c>
      <c r="D259" s="16" t="s">
        <v>322</v>
      </c>
      <c r="E259" s="16">
        <v>15</v>
      </c>
    </row>
    <row r="260" spans="1:5" x14ac:dyDescent="0.4">
      <c r="A260" s="16" t="s">
        <v>33</v>
      </c>
      <c r="B260" s="16" t="s">
        <v>58</v>
      </c>
      <c r="C260" s="16" t="str">
        <f t="shared" si="4"/>
        <v>华中</v>
      </c>
      <c r="D260" s="16" t="s">
        <v>323</v>
      </c>
      <c r="E260" s="16">
        <v>21</v>
      </c>
    </row>
    <row r="261" spans="1:5" x14ac:dyDescent="0.4">
      <c r="A261" s="16" t="s">
        <v>22</v>
      </c>
      <c r="B261" s="16" t="s">
        <v>61</v>
      </c>
      <c r="C261" s="16" t="str">
        <f t="shared" si="4"/>
        <v>华东</v>
      </c>
      <c r="D261" s="16" t="s">
        <v>324</v>
      </c>
      <c r="E261" s="16">
        <v>16</v>
      </c>
    </row>
    <row r="262" spans="1:5" x14ac:dyDescent="0.4">
      <c r="A262" s="16" t="s">
        <v>22</v>
      </c>
      <c r="B262" s="16" t="s">
        <v>61</v>
      </c>
      <c r="C262" s="16" t="str">
        <f t="shared" si="4"/>
        <v>华东</v>
      </c>
      <c r="D262" s="16" t="s">
        <v>325</v>
      </c>
      <c r="E262" s="16">
        <v>19</v>
      </c>
    </row>
    <row r="263" spans="1:5" x14ac:dyDescent="0.4">
      <c r="A263" s="16" t="s">
        <v>29</v>
      </c>
      <c r="B263" s="16" t="s">
        <v>55</v>
      </c>
      <c r="C263" s="16" t="str">
        <f t="shared" si="4"/>
        <v>华东</v>
      </c>
      <c r="D263" s="16" t="s">
        <v>326</v>
      </c>
      <c r="E263" s="16">
        <v>13</v>
      </c>
    </row>
    <row r="264" spans="1:5" x14ac:dyDescent="0.4">
      <c r="A264" s="16" t="s">
        <v>29</v>
      </c>
      <c r="B264" s="16" t="s">
        <v>83</v>
      </c>
      <c r="C264" s="16" t="str">
        <f t="shared" si="4"/>
        <v>西北</v>
      </c>
      <c r="D264" s="16" t="s">
        <v>327</v>
      </c>
      <c r="E264" s="16">
        <v>15</v>
      </c>
    </row>
    <row r="265" spans="1:5" x14ac:dyDescent="0.4">
      <c r="A265" s="16" t="s">
        <v>22</v>
      </c>
      <c r="B265" s="16" t="s">
        <v>63</v>
      </c>
      <c r="C265" s="16" t="str">
        <f t="shared" si="4"/>
        <v>西南</v>
      </c>
      <c r="D265" s="16" t="s">
        <v>328</v>
      </c>
      <c r="E265" s="16">
        <v>14</v>
      </c>
    </row>
    <row r="266" spans="1:5" x14ac:dyDescent="0.4">
      <c r="A266" s="16" t="s">
        <v>22</v>
      </c>
      <c r="B266" s="16" t="s">
        <v>63</v>
      </c>
      <c r="C266" s="16" t="str">
        <f t="shared" si="4"/>
        <v>西南</v>
      </c>
      <c r="D266" s="16" t="s">
        <v>329</v>
      </c>
      <c r="E266" s="16">
        <v>10</v>
      </c>
    </row>
    <row r="267" spans="1:5" x14ac:dyDescent="0.4">
      <c r="A267" s="16" t="s">
        <v>29</v>
      </c>
      <c r="B267" s="16" t="s">
        <v>25</v>
      </c>
      <c r="C267" s="16" t="str">
        <f t="shared" si="4"/>
        <v>东北</v>
      </c>
      <c r="D267" s="16" t="s">
        <v>330</v>
      </c>
      <c r="E267" s="16">
        <v>23</v>
      </c>
    </row>
    <row r="268" spans="1:5" x14ac:dyDescent="0.4">
      <c r="A268" s="16" t="s">
        <v>22</v>
      </c>
      <c r="B268" s="16" t="s">
        <v>28</v>
      </c>
      <c r="C268" s="16" t="str">
        <f t="shared" si="4"/>
        <v>东北</v>
      </c>
      <c r="D268" s="16" t="s">
        <v>331</v>
      </c>
      <c r="E268" s="16">
        <v>17</v>
      </c>
    </row>
    <row r="269" spans="1:5" x14ac:dyDescent="0.4">
      <c r="A269" s="16" t="s">
        <v>29</v>
      </c>
      <c r="B269" s="16" t="s">
        <v>38</v>
      </c>
      <c r="C269" s="16" t="str">
        <f t="shared" si="4"/>
        <v>西北</v>
      </c>
      <c r="D269" s="16" t="s">
        <v>332</v>
      </c>
      <c r="E269" s="16">
        <v>20</v>
      </c>
    </row>
    <row r="270" spans="1:5" x14ac:dyDescent="0.4">
      <c r="A270" s="16" t="s">
        <v>29</v>
      </c>
      <c r="B270" s="16" t="s">
        <v>30</v>
      </c>
      <c r="C270" s="16" t="str">
        <f t="shared" si="4"/>
        <v>华北</v>
      </c>
      <c r="D270" s="16" t="s">
        <v>333</v>
      </c>
      <c r="E270" s="16">
        <v>21</v>
      </c>
    </row>
    <row r="271" spans="1:5" x14ac:dyDescent="0.4">
      <c r="A271" s="16" t="s">
        <v>33</v>
      </c>
      <c r="B271" s="16" t="s">
        <v>34</v>
      </c>
      <c r="C271" s="16" t="str">
        <f t="shared" si="4"/>
        <v>西北</v>
      </c>
      <c r="D271" s="16" t="s">
        <v>334</v>
      </c>
      <c r="E271" s="16">
        <v>13</v>
      </c>
    </row>
    <row r="272" spans="1:5" x14ac:dyDescent="0.4">
      <c r="A272" s="16" t="s">
        <v>22</v>
      </c>
      <c r="B272" s="16" t="s">
        <v>30</v>
      </c>
      <c r="C272" s="16" t="str">
        <f t="shared" si="4"/>
        <v>华北</v>
      </c>
      <c r="D272" s="16" t="s">
        <v>335</v>
      </c>
      <c r="E272" s="16">
        <v>28</v>
      </c>
    </row>
    <row r="273" spans="1:5" x14ac:dyDescent="0.4">
      <c r="A273" s="16" t="s">
        <v>22</v>
      </c>
      <c r="B273" s="16" t="s">
        <v>30</v>
      </c>
      <c r="C273" s="16" t="str">
        <f t="shared" si="4"/>
        <v>华北</v>
      </c>
      <c r="D273" s="16" t="s">
        <v>336</v>
      </c>
      <c r="E273" s="16">
        <v>14</v>
      </c>
    </row>
    <row r="274" spans="1:5" x14ac:dyDescent="0.4">
      <c r="A274" s="16" t="s">
        <v>22</v>
      </c>
      <c r="B274" s="16" t="s">
        <v>30</v>
      </c>
      <c r="C274" s="16" t="str">
        <f t="shared" si="4"/>
        <v>华北</v>
      </c>
      <c r="D274" s="16" t="s">
        <v>337</v>
      </c>
      <c r="E274" s="16">
        <v>12</v>
      </c>
    </row>
    <row r="275" spans="1:5" x14ac:dyDescent="0.4">
      <c r="A275" s="16" t="s">
        <v>29</v>
      </c>
      <c r="B275" s="16" t="s">
        <v>30</v>
      </c>
      <c r="C275" s="16" t="str">
        <f t="shared" si="4"/>
        <v>华北</v>
      </c>
      <c r="D275" s="16" t="s">
        <v>338</v>
      </c>
      <c r="E275" s="16">
        <v>18</v>
      </c>
    </row>
    <row r="276" spans="1:5" x14ac:dyDescent="0.4">
      <c r="A276" s="16" t="s">
        <v>29</v>
      </c>
      <c r="B276" s="16" t="s">
        <v>30</v>
      </c>
      <c r="C276" s="16" t="str">
        <f t="shared" si="4"/>
        <v>华北</v>
      </c>
      <c r="D276" s="16" t="s">
        <v>339</v>
      </c>
      <c r="E276" s="16">
        <v>19</v>
      </c>
    </row>
    <row r="277" spans="1:5" x14ac:dyDescent="0.4">
      <c r="A277" s="16" t="s">
        <v>33</v>
      </c>
      <c r="B277" s="16" t="s">
        <v>67</v>
      </c>
      <c r="C277" s="16" t="str">
        <f t="shared" si="4"/>
        <v>华中</v>
      </c>
      <c r="D277" s="16" t="s">
        <v>340</v>
      </c>
      <c r="E277" s="16">
        <v>12</v>
      </c>
    </row>
    <row r="278" spans="1:5" x14ac:dyDescent="0.4">
      <c r="A278" s="16" t="s">
        <v>22</v>
      </c>
      <c r="B278" s="16" t="s">
        <v>67</v>
      </c>
      <c r="C278" s="16" t="str">
        <f t="shared" si="4"/>
        <v>华中</v>
      </c>
      <c r="D278" s="16" t="s">
        <v>341</v>
      </c>
      <c r="E278" s="16">
        <v>29</v>
      </c>
    </row>
    <row r="279" spans="1:5" x14ac:dyDescent="0.4">
      <c r="A279" s="16" t="s">
        <v>33</v>
      </c>
      <c r="B279" s="16" t="s">
        <v>67</v>
      </c>
      <c r="C279" s="16" t="str">
        <f t="shared" si="4"/>
        <v>华中</v>
      </c>
      <c r="D279" s="16" t="s">
        <v>342</v>
      </c>
      <c r="E279" s="16">
        <v>11</v>
      </c>
    </row>
    <row r="280" spans="1:5" x14ac:dyDescent="0.4">
      <c r="A280" s="16" t="s">
        <v>22</v>
      </c>
      <c r="B280" s="16" t="s">
        <v>60</v>
      </c>
      <c r="C280" s="16" t="str">
        <f t="shared" si="4"/>
        <v>华东</v>
      </c>
      <c r="D280" s="16" t="s">
        <v>343</v>
      </c>
      <c r="E280" s="16">
        <v>29</v>
      </c>
    </row>
    <row r="281" spans="1:5" x14ac:dyDescent="0.4">
      <c r="A281" s="16" t="s">
        <v>29</v>
      </c>
      <c r="B281" s="16" t="s">
        <v>48</v>
      </c>
      <c r="C281" s="16" t="str">
        <f t="shared" si="4"/>
        <v>华东</v>
      </c>
      <c r="D281" s="16" t="s">
        <v>344</v>
      </c>
      <c r="E281" s="16">
        <v>15</v>
      </c>
    </row>
    <row r="282" spans="1:5" x14ac:dyDescent="0.4">
      <c r="A282" s="16" t="s">
        <v>22</v>
      </c>
      <c r="B282" s="16" t="s">
        <v>48</v>
      </c>
      <c r="C282" s="16" t="str">
        <f t="shared" si="4"/>
        <v>华东</v>
      </c>
      <c r="D282" s="16" t="s">
        <v>345</v>
      </c>
      <c r="E282" s="16">
        <v>13</v>
      </c>
    </row>
    <row r="283" spans="1:5" x14ac:dyDescent="0.4">
      <c r="A283" s="16" t="s">
        <v>22</v>
      </c>
      <c r="B283" s="16" t="s">
        <v>44</v>
      </c>
      <c r="C283" s="16" t="str">
        <f t="shared" si="4"/>
        <v>华北</v>
      </c>
      <c r="D283" s="16" t="s">
        <v>346</v>
      </c>
      <c r="E283" s="16">
        <v>10</v>
      </c>
    </row>
    <row r="284" spans="1:5" x14ac:dyDescent="0.4">
      <c r="A284" s="16" t="s">
        <v>29</v>
      </c>
      <c r="B284" s="16" t="s">
        <v>73</v>
      </c>
      <c r="C284" s="16" t="str">
        <f t="shared" si="4"/>
        <v>华中</v>
      </c>
      <c r="D284" s="16" t="s">
        <v>347</v>
      </c>
      <c r="E284" s="16">
        <v>19</v>
      </c>
    </row>
    <row r="285" spans="1:5" x14ac:dyDescent="0.4">
      <c r="A285" s="16" t="s">
        <v>29</v>
      </c>
      <c r="B285" s="16" t="s">
        <v>73</v>
      </c>
      <c r="C285" s="16" t="str">
        <f t="shared" si="4"/>
        <v>华中</v>
      </c>
      <c r="D285" s="16" t="s">
        <v>348</v>
      </c>
      <c r="E285" s="16">
        <v>18</v>
      </c>
    </row>
    <row r="286" spans="1:5" x14ac:dyDescent="0.4">
      <c r="A286" s="16" t="s">
        <v>29</v>
      </c>
      <c r="B286" s="16" t="s">
        <v>44</v>
      </c>
      <c r="C286" s="16" t="str">
        <f t="shared" si="4"/>
        <v>华北</v>
      </c>
      <c r="D286" s="16" t="s">
        <v>349</v>
      </c>
      <c r="E286" s="16">
        <v>29</v>
      </c>
    </row>
    <row r="287" spans="1:5" x14ac:dyDescent="0.4">
      <c r="A287" s="16" t="s">
        <v>29</v>
      </c>
      <c r="B287" s="16" t="s">
        <v>25</v>
      </c>
      <c r="C287" s="16" t="str">
        <f t="shared" si="4"/>
        <v>东北</v>
      </c>
      <c r="D287" s="16" t="s">
        <v>350</v>
      </c>
      <c r="E287" s="16">
        <v>19</v>
      </c>
    </row>
    <row r="288" spans="1:5" x14ac:dyDescent="0.4">
      <c r="A288" s="16" t="s">
        <v>29</v>
      </c>
      <c r="B288" s="16" t="s">
        <v>69</v>
      </c>
      <c r="C288" s="16" t="str">
        <f t="shared" si="4"/>
        <v>华南</v>
      </c>
      <c r="D288" s="16" t="s">
        <v>351</v>
      </c>
      <c r="E288" s="16">
        <v>16</v>
      </c>
    </row>
    <row r="289" spans="1:5" x14ac:dyDescent="0.4">
      <c r="A289" s="16" t="s">
        <v>33</v>
      </c>
      <c r="B289" s="16" t="s">
        <v>69</v>
      </c>
      <c r="C289" s="16" t="str">
        <f t="shared" si="4"/>
        <v>华南</v>
      </c>
      <c r="D289" s="16" t="s">
        <v>352</v>
      </c>
      <c r="E289" s="16">
        <v>21</v>
      </c>
    </row>
    <row r="290" spans="1:5" x14ac:dyDescent="0.4">
      <c r="A290" s="16" t="s">
        <v>22</v>
      </c>
      <c r="B290" s="16" t="s">
        <v>69</v>
      </c>
      <c r="C290" s="16" t="str">
        <f t="shared" si="4"/>
        <v>华南</v>
      </c>
      <c r="D290" s="16" t="s">
        <v>353</v>
      </c>
      <c r="E290" s="16">
        <v>24</v>
      </c>
    </row>
    <row r="291" spans="1:5" x14ac:dyDescent="0.4">
      <c r="A291" s="16" t="s">
        <v>29</v>
      </c>
      <c r="B291" s="16" t="s">
        <v>67</v>
      </c>
      <c r="C291" s="16" t="str">
        <f t="shared" si="4"/>
        <v>华中</v>
      </c>
      <c r="D291" s="16" t="s">
        <v>354</v>
      </c>
      <c r="E291" s="16">
        <v>26</v>
      </c>
    </row>
    <row r="292" spans="1:5" x14ac:dyDescent="0.4">
      <c r="A292" s="16" t="s">
        <v>29</v>
      </c>
      <c r="B292" s="16" t="s">
        <v>57</v>
      </c>
      <c r="C292" s="16" t="str">
        <f t="shared" si="4"/>
        <v>华东</v>
      </c>
      <c r="D292" s="16" t="s">
        <v>355</v>
      </c>
      <c r="E292" s="16">
        <v>16</v>
      </c>
    </row>
    <row r="293" spans="1:5" x14ac:dyDescent="0.4">
      <c r="A293" s="16" t="s">
        <v>33</v>
      </c>
      <c r="B293" s="16" t="s">
        <v>48</v>
      </c>
      <c r="C293" s="16" t="str">
        <f t="shared" si="4"/>
        <v>华东</v>
      </c>
      <c r="D293" s="16" t="s">
        <v>356</v>
      </c>
      <c r="E293" s="16">
        <v>11</v>
      </c>
    </row>
    <row r="294" spans="1:5" x14ac:dyDescent="0.4">
      <c r="A294" s="16" t="s">
        <v>22</v>
      </c>
      <c r="B294" s="16" t="s">
        <v>48</v>
      </c>
      <c r="C294" s="16" t="str">
        <f t="shared" si="4"/>
        <v>华东</v>
      </c>
      <c r="D294" s="16" t="s">
        <v>357</v>
      </c>
      <c r="E294" s="16">
        <v>19</v>
      </c>
    </row>
    <row r="295" spans="1:5" x14ac:dyDescent="0.4">
      <c r="A295" s="16" t="s">
        <v>22</v>
      </c>
      <c r="B295" s="16" t="s">
        <v>48</v>
      </c>
      <c r="C295" s="16" t="str">
        <f t="shared" si="4"/>
        <v>华东</v>
      </c>
      <c r="D295" s="16" t="s">
        <v>358</v>
      </c>
      <c r="E295" s="16">
        <v>12</v>
      </c>
    </row>
    <row r="296" spans="1:5" x14ac:dyDescent="0.4">
      <c r="A296" s="16" t="s">
        <v>33</v>
      </c>
      <c r="B296" s="16" t="s">
        <v>48</v>
      </c>
      <c r="C296" s="16" t="str">
        <f t="shared" si="4"/>
        <v>华东</v>
      </c>
      <c r="D296" s="16" t="s">
        <v>359</v>
      </c>
      <c r="E296" s="16">
        <v>12</v>
      </c>
    </row>
    <row r="297" spans="1:5" x14ac:dyDescent="0.4">
      <c r="A297" s="16" t="s">
        <v>22</v>
      </c>
      <c r="B297" s="16" t="s">
        <v>57</v>
      </c>
      <c r="C297" s="16" t="str">
        <f t="shared" si="4"/>
        <v>华东</v>
      </c>
      <c r="D297" s="16" t="s">
        <v>360</v>
      </c>
      <c r="E297" s="16">
        <v>29</v>
      </c>
    </row>
    <row r="298" spans="1:5" x14ac:dyDescent="0.4">
      <c r="A298" s="16" t="s">
        <v>29</v>
      </c>
      <c r="B298" s="16" t="s">
        <v>44</v>
      </c>
      <c r="C298" s="16" t="str">
        <f t="shared" si="4"/>
        <v>华北</v>
      </c>
      <c r="D298" s="16" t="s">
        <v>361</v>
      </c>
      <c r="E298" s="16">
        <v>22</v>
      </c>
    </row>
    <row r="299" spans="1:5" x14ac:dyDescent="0.4">
      <c r="A299" s="16" t="s">
        <v>29</v>
      </c>
      <c r="B299" s="16" t="s">
        <v>44</v>
      </c>
      <c r="C299" s="16" t="str">
        <f t="shared" si="4"/>
        <v>华北</v>
      </c>
      <c r="D299" s="16" t="s">
        <v>362</v>
      </c>
      <c r="E299" s="16">
        <v>19</v>
      </c>
    </row>
    <row r="300" spans="1:5" x14ac:dyDescent="0.4">
      <c r="A300" s="16" t="s">
        <v>29</v>
      </c>
      <c r="B300" s="16" t="s">
        <v>55</v>
      </c>
      <c r="C300" s="16" t="str">
        <f t="shared" si="4"/>
        <v>华东</v>
      </c>
      <c r="D300" s="16" t="s">
        <v>363</v>
      </c>
      <c r="E300" s="16">
        <v>10</v>
      </c>
    </row>
    <row r="301" spans="1:5" x14ac:dyDescent="0.4">
      <c r="A301" s="16" t="s">
        <v>29</v>
      </c>
      <c r="B301" s="16" t="s">
        <v>40</v>
      </c>
      <c r="C301" s="16" t="str">
        <f t="shared" si="4"/>
        <v>华北</v>
      </c>
      <c r="D301" s="16" t="s">
        <v>364</v>
      </c>
      <c r="E301" s="16">
        <v>14</v>
      </c>
    </row>
    <row r="302" spans="1:5" x14ac:dyDescent="0.4">
      <c r="A302" s="16" t="s">
        <v>29</v>
      </c>
      <c r="B302" s="16" t="s">
        <v>40</v>
      </c>
      <c r="C302" s="16" t="str">
        <f t="shared" si="4"/>
        <v>华北</v>
      </c>
      <c r="D302" s="16" t="s">
        <v>365</v>
      </c>
      <c r="E302" s="16">
        <v>24</v>
      </c>
    </row>
    <row r="303" spans="1:5" x14ac:dyDescent="0.4">
      <c r="A303" s="16" t="s">
        <v>22</v>
      </c>
      <c r="B303" s="16" t="s">
        <v>65</v>
      </c>
      <c r="C303" s="16" t="str">
        <f t="shared" si="4"/>
        <v>华南</v>
      </c>
      <c r="D303" s="16" t="s">
        <v>366</v>
      </c>
      <c r="E303" s="16">
        <v>10</v>
      </c>
    </row>
    <row r="304" spans="1:5" x14ac:dyDescent="0.4">
      <c r="A304" s="16" t="s">
        <v>22</v>
      </c>
      <c r="B304" s="16" t="s">
        <v>53</v>
      </c>
      <c r="C304" s="16" t="str">
        <f t="shared" si="4"/>
        <v>华东</v>
      </c>
      <c r="D304" s="16" t="s">
        <v>367</v>
      </c>
      <c r="E304" s="16">
        <v>25</v>
      </c>
    </row>
    <row r="305" spans="1:5" x14ac:dyDescent="0.4">
      <c r="A305" s="16" t="s">
        <v>22</v>
      </c>
      <c r="B305" s="16" t="s">
        <v>53</v>
      </c>
      <c r="C305" s="16" t="str">
        <f t="shared" si="4"/>
        <v>华东</v>
      </c>
      <c r="D305" s="16" t="s">
        <v>368</v>
      </c>
      <c r="E305" s="16">
        <v>15</v>
      </c>
    </row>
    <row r="306" spans="1:5" x14ac:dyDescent="0.4">
      <c r="A306" s="16" t="s">
        <v>22</v>
      </c>
      <c r="B306" s="16" t="s">
        <v>30</v>
      </c>
      <c r="C306" s="16" t="str">
        <f t="shared" si="4"/>
        <v>华北</v>
      </c>
      <c r="D306" s="16" t="s">
        <v>369</v>
      </c>
      <c r="E306" s="16">
        <v>25</v>
      </c>
    </row>
    <row r="307" spans="1:5" x14ac:dyDescent="0.4">
      <c r="A307" s="16" t="s">
        <v>29</v>
      </c>
      <c r="B307" s="16" t="s">
        <v>65</v>
      </c>
      <c r="C307" s="16" t="str">
        <f t="shared" si="4"/>
        <v>华南</v>
      </c>
      <c r="D307" s="16" t="s">
        <v>370</v>
      </c>
      <c r="E307" s="16">
        <v>15</v>
      </c>
    </row>
    <row r="308" spans="1:5" x14ac:dyDescent="0.4">
      <c r="A308" s="16" t="s">
        <v>22</v>
      </c>
      <c r="B308" s="16" t="s">
        <v>73</v>
      </c>
      <c r="C308" s="16" t="str">
        <f t="shared" si="4"/>
        <v>华中</v>
      </c>
      <c r="D308" s="16" t="s">
        <v>371</v>
      </c>
      <c r="E308" s="16">
        <v>11</v>
      </c>
    </row>
    <row r="309" spans="1:5" x14ac:dyDescent="0.4">
      <c r="A309" s="16" t="s">
        <v>29</v>
      </c>
      <c r="B309" s="16" t="s">
        <v>63</v>
      </c>
      <c r="C309" s="16" t="str">
        <f t="shared" si="4"/>
        <v>西南</v>
      </c>
      <c r="D309" s="16" t="s">
        <v>372</v>
      </c>
      <c r="E309" s="16">
        <v>12</v>
      </c>
    </row>
    <row r="310" spans="1:5" x14ac:dyDescent="0.4">
      <c r="A310" s="16" t="s">
        <v>33</v>
      </c>
      <c r="B310" s="16" t="s">
        <v>58</v>
      </c>
      <c r="C310" s="16" t="str">
        <f t="shared" si="4"/>
        <v>华中</v>
      </c>
      <c r="D310" s="16" t="s">
        <v>373</v>
      </c>
      <c r="E310" s="16">
        <v>25</v>
      </c>
    </row>
    <row r="311" spans="1:5" x14ac:dyDescent="0.4">
      <c r="A311" s="16" t="s">
        <v>22</v>
      </c>
      <c r="B311" s="16" t="s">
        <v>69</v>
      </c>
      <c r="C311" s="16" t="str">
        <f t="shared" si="4"/>
        <v>华南</v>
      </c>
      <c r="D311" s="16" t="s">
        <v>374</v>
      </c>
      <c r="E311" s="16">
        <v>22</v>
      </c>
    </row>
    <row r="312" spans="1:5" x14ac:dyDescent="0.4">
      <c r="A312" s="16" t="s">
        <v>22</v>
      </c>
      <c r="B312" s="16" t="s">
        <v>48</v>
      </c>
      <c r="C312" s="16" t="str">
        <f t="shared" si="4"/>
        <v>华东</v>
      </c>
      <c r="D312" s="16" t="s">
        <v>375</v>
      </c>
      <c r="E312" s="16">
        <v>19</v>
      </c>
    </row>
    <row r="313" spans="1:5" x14ac:dyDescent="0.4">
      <c r="A313" s="16" t="s">
        <v>22</v>
      </c>
      <c r="B313" s="16" t="s">
        <v>76</v>
      </c>
      <c r="C313" s="16" t="str">
        <f t="shared" si="4"/>
        <v>西北</v>
      </c>
      <c r="D313" s="16" t="s">
        <v>376</v>
      </c>
      <c r="E313" s="16">
        <v>14</v>
      </c>
    </row>
    <row r="314" spans="1:5" x14ac:dyDescent="0.4">
      <c r="A314" s="16" t="s">
        <v>29</v>
      </c>
      <c r="B314" s="16" t="s">
        <v>48</v>
      </c>
      <c r="C314" s="16" t="str">
        <f t="shared" si="4"/>
        <v>华东</v>
      </c>
      <c r="D314" s="16" t="s">
        <v>377</v>
      </c>
      <c r="E314" s="16">
        <v>21</v>
      </c>
    </row>
    <row r="315" spans="1:5" x14ac:dyDescent="0.4">
      <c r="A315" s="16" t="s">
        <v>22</v>
      </c>
      <c r="B315" s="16" t="s">
        <v>48</v>
      </c>
      <c r="C315" s="16" t="str">
        <f t="shared" si="4"/>
        <v>华东</v>
      </c>
      <c r="D315" s="16" t="s">
        <v>378</v>
      </c>
      <c r="E315" s="16">
        <v>11</v>
      </c>
    </row>
    <row r="316" spans="1:5" x14ac:dyDescent="0.4">
      <c r="A316" s="16" t="s">
        <v>29</v>
      </c>
      <c r="B316" s="16" t="s">
        <v>55</v>
      </c>
      <c r="C316" s="16" t="str">
        <f t="shared" si="4"/>
        <v>华东</v>
      </c>
      <c r="D316" s="16" t="s">
        <v>379</v>
      </c>
      <c r="E316" s="16">
        <v>19</v>
      </c>
    </row>
    <row r="317" spans="1:5" x14ac:dyDescent="0.4">
      <c r="A317" s="16" t="s">
        <v>29</v>
      </c>
      <c r="B317" s="16" t="s">
        <v>73</v>
      </c>
      <c r="C317" s="16" t="str">
        <f t="shared" si="4"/>
        <v>华中</v>
      </c>
      <c r="D317" s="16" t="s">
        <v>380</v>
      </c>
      <c r="E317" s="16">
        <v>13</v>
      </c>
    </row>
    <row r="318" spans="1:5" x14ac:dyDescent="0.4">
      <c r="A318" s="16" t="s">
        <v>22</v>
      </c>
      <c r="B318" s="16" t="s">
        <v>69</v>
      </c>
      <c r="C318" s="16" t="str">
        <f t="shared" si="4"/>
        <v>华南</v>
      </c>
      <c r="D318" s="16" t="s">
        <v>381</v>
      </c>
      <c r="E318" s="16">
        <v>27</v>
      </c>
    </row>
    <row r="319" spans="1:5" x14ac:dyDescent="0.4">
      <c r="A319" s="16" t="s">
        <v>22</v>
      </c>
      <c r="B319" s="16" t="s">
        <v>65</v>
      </c>
      <c r="C319" s="16" t="str">
        <f t="shared" si="4"/>
        <v>华南</v>
      </c>
      <c r="D319" s="16" t="s">
        <v>382</v>
      </c>
      <c r="E319" s="16">
        <v>19</v>
      </c>
    </row>
    <row r="320" spans="1:5" x14ac:dyDescent="0.4">
      <c r="A320" s="16" t="s">
        <v>22</v>
      </c>
      <c r="B320" s="16" t="s">
        <v>65</v>
      </c>
      <c r="C320" s="16" t="str">
        <f t="shared" si="4"/>
        <v>华南</v>
      </c>
      <c r="D320" s="16" t="s">
        <v>383</v>
      </c>
      <c r="E320" s="16">
        <v>25</v>
      </c>
    </row>
    <row r="321" spans="1:5" x14ac:dyDescent="0.4">
      <c r="A321" s="16" t="s">
        <v>22</v>
      </c>
      <c r="B321" s="16" t="s">
        <v>65</v>
      </c>
      <c r="C321" s="16" t="str">
        <f t="shared" si="4"/>
        <v>华南</v>
      </c>
      <c r="D321" s="16" t="s">
        <v>384</v>
      </c>
      <c r="E321" s="16">
        <v>23</v>
      </c>
    </row>
    <row r="322" spans="1:5" x14ac:dyDescent="0.4">
      <c r="A322" s="16" t="s">
        <v>29</v>
      </c>
      <c r="B322" s="16" t="s">
        <v>55</v>
      </c>
      <c r="C322" s="16" t="str">
        <f t="shared" si="4"/>
        <v>华东</v>
      </c>
      <c r="D322" s="16" t="s">
        <v>385</v>
      </c>
      <c r="E322" s="16">
        <v>12</v>
      </c>
    </row>
    <row r="323" spans="1:5" x14ac:dyDescent="0.4">
      <c r="A323" s="16" t="s">
        <v>29</v>
      </c>
      <c r="B323" s="16" t="s">
        <v>34</v>
      </c>
      <c r="C323" s="16" t="str">
        <f t="shared" ref="C323:C386" si="5">_xlfn.XLOOKUP(B323,$I$2:$I$32,$J$2:$J$32)</f>
        <v>西北</v>
      </c>
      <c r="D323" s="16" t="s">
        <v>386</v>
      </c>
      <c r="E323" s="16">
        <v>15</v>
      </c>
    </row>
    <row r="324" spans="1:5" x14ac:dyDescent="0.4">
      <c r="A324" s="16" t="s">
        <v>22</v>
      </c>
      <c r="B324" s="16" t="s">
        <v>51</v>
      </c>
      <c r="C324" s="16" t="str">
        <f t="shared" si="5"/>
        <v>华东</v>
      </c>
      <c r="D324" s="16" t="s">
        <v>387</v>
      </c>
      <c r="E324" s="16">
        <v>27</v>
      </c>
    </row>
    <row r="325" spans="1:5" x14ac:dyDescent="0.4">
      <c r="A325" s="16" t="s">
        <v>22</v>
      </c>
      <c r="B325" s="16" t="s">
        <v>51</v>
      </c>
      <c r="C325" s="16" t="str">
        <f t="shared" si="5"/>
        <v>华东</v>
      </c>
      <c r="D325" s="16" t="s">
        <v>388</v>
      </c>
      <c r="E325" s="16">
        <v>25</v>
      </c>
    </row>
    <row r="326" spans="1:5" x14ac:dyDescent="0.4">
      <c r="A326" s="16" t="s">
        <v>22</v>
      </c>
      <c r="B326" s="16" t="s">
        <v>51</v>
      </c>
      <c r="C326" s="16" t="str">
        <f t="shared" si="5"/>
        <v>华东</v>
      </c>
      <c r="D326" s="16" t="s">
        <v>389</v>
      </c>
      <c r="E326" s="16">
        <v>11</v>
      </c>
    </row>
    <row r="327" spans="1:5" x14ac:dyDescent="0.4">
      <c r="A327" s="16" t="s">
        <v>29</v>
      </c>
      <c r="B327" s="16" t="s">
        <v>51</v>
      </c>
      <c r="C327" s="16" t="str">
        <f t="shared" si="5"/>
        <v>华东</v>
      </c>
      <c r="D327" s="16" t="s">
        <v>390</v>
      </c>
      <c r="E327" s="16">
        <v>28</v>
      </c>
    </row>
    <row r="328" spans="1:5" x14ac:dyDescent="0.4">
      <c r="A328" s="16" t="s">
        <v>22</v>
      </c>
      <c r="B328" s="16" t="s">
        <v>51</v>
      </c>
      <c r="C328" s="16" t="str">
        <f t="shared" si="5"/>
        <v>华东</v>
      </c>
      <c r="D328" s="16" t="s">
        <v>391</v>
      </c>
      <c r="E328" s="16">
        <v>20</v>
      </c>
    </row>
    <row r="329" spans="1:5" x14ac:dyDescent="0.4">
      <c r="A329" s="16" t="s">
        <v>22</v>
      </c>
      <c r="B329" s="16" t="s">
        <v>51</v>
      </c>
      <c r="C329" s="16" t="str">
        <f t="shared" si="5"/>
        <v>华东</v>
      </c>
      <c r="D329" s="16" t="s">
        <v>392</v>
      </c>
      <c r="E329" s="16">
        <v>21</v>
      </c>
    </row>
    <row r="330" spans="1:5" x14ac:dyDescent="0.4">
      <c r="A330" s="16" t="s">
        <v>22</v>
      </c>
      <c r="B330" s="16" t="s">
        <v>51</v>
      </c>
      <c r="C330" s="16" t="str">
        <f t="shared" si="5"/>
        <v>华东</v>
      </c>
      <c r="D330" s="16" t="s">
        <v>393</v>
      </c>
      <c r="E330" s="16">
        <v>24</v>
      </c>
    </row>
    <row r="331" spans="1:5" x14ac:dyDescent="0.4">
      <c r="A331" s="16" t="s">
        <v>22</v>
      </c>
      <c r="B331" s="16" t="s">
        <v>63</v>
      </c>
      <c r="C331" s="16" t="str">
        <f t="shared" si="5"/>
        <v>西南</v>
      </c>
      <c r="D331" s="16" t="s">
        <v>394</v>
      </c>
      <c r="E331" s="16">
        <v>19</v>
      </c>
    </row>
    <row r="332" spans="1:5" x14ac:dyDescent="0.4">
      <c r="A332" s="16" t="s">
        <v>29</v>
      </c>
      <c r="B332" s="16" t="s">
        <v>51</v>
      </c>
      <c r="C332" s="16" t="str">
        <f t="shared" si="5"/>
        <v>华东</v>
      </c>
      <c r="D332" s="16" t="s">
        <v>395</v>
      </c>
      <c r="E332" s="16">
        <v>14</v>
      </c>
    </row>
    <row r="333" spans="1:5" x14ac:dyDescent="0.4">
      <c r="A333" s="16" t="s">
        <v>22</v>
      </c>
      <c r="B333" s="16" t="s">
        <v>51</v>
      </c>
      <c r="C333" s="16" t="str">
        <f t="shared" si="5"/>
        <v>华东</v>
      </c>
      <c r="D333" s="16" t="s">
        <v>396</v>
      </c>
      <c r="E333" s="16">
        <v>21</v>
      </c>
    </row>
    <row r="334" spans="1:5" x14ac:dyDescent="0.4">
      <c r="A334" s="16" t="s">
        <v>22</v>
      </c>
      <c r="B334" s="16" t="s">
        <v>51</v>
      </c>
      <c r="C334" s="16" t="str">
        <f t="shared" si="5"/>
        <v>华东</v>
      </c>
      <c r="D334" s="16" t="s">
        <v>397</v>
      </c>
      <c r="E334" s="16">
        <v>17</v>
      </c>
    </row>
    <row r="335" spans="1:5" x14ac:dyDescent="0.4">
      <c r="A335" s="16" t="s">
        <v>22</v>
      </c>
      <c r="B335" s="16" t="s">
        <v>51</v>
      </c>
      <c r="C335" s="16" t="str">
        <f t="shared" si="5"/>
        <v>华东</v>
      </c>
      <c r="D335" s="16" t="s">
        <v>398</v>
      </c>
      <c r="E335" s="16">
        <v>12</v>
      </c>
    </row>
    <row r="336" spans="1:5" x14ac:dyDescent="0.4">
      <c r="A336" s="16" t="s">
        <v>22</v>
      </c>
      <c r="B336" s="16" t="s">
        <v>51</v>
      </c>
      <c r="C336" s="16" t="str">
        <f t="shared" si="5"/>
        <v>华东</v>
      </c>
      <c r="D336" s="16" t="s">
        <v>399</v>
      </c>
      <c r="E336" s="16">
        <v>29</v>
      </c>
    </row>
    <row r="337" spans="1:5" x14ac:dyDescent="0.4">
      <c r="A337" s="16" t="s">
        <v>29</v>
      </c>
      <c r="B337" s="16" t="s">
        <v>40</v>
      </c>
      <c r="C337" s="16" t="str">
        <f t="shared" si="5"/>
        <v>华北</v>
      </c>
      <c r="D337" s="16" t="s">
        <v>400</v>
      </c>
      <c r="E337" s="16">
        <v>25</v>
      </c>
    </row>
    <row r="338" spans="1:5" x14ac:dyDescent="0.4">
      <c r="A338" s="16" t="s">
        <v>22</v>
      </c>
      <c r="B338" s="16" t="s">
        <v>32</v>
      </c>
      <c r="C338" s="16" t="str">
        <f t="shared" si="5"/>
        <v>东北</v>
      </c>
      <c r="D338" s="16" t="s">
        <v>401</v>
      </c>
      <c r="E338" s="16">
        <v>21</v>
      </c>
    </row>
    <row r="339" spans="1:5" x14ac:dyDescent="0.4">
      <c r="A339" s="16" t="s">
        <v>22</v>
      </c>
      <c r="B339" s="16" t="s">
        <v>25</v>
      </c>
      <c r="C339" s="16" t="str">
        <f t="shared" si="5"/>
        <v>东北</v>
      </c>
      <c r="D339" s="16" t="s">
        <v>402</v>
      </c>
      <c r="E339" s="16">
        <v>11</v>
      </c>
    </row>
    <row r="340" spans="1:5" x14ac:dyDescent="0.4">
      <c r="A340" s="16" t="s">
        <v>22</v>
      </c>
      <c r="B340" s="16" t="s">
        <v>55</v>
      </c>
      <c r="C340" s="16" t="str">
        <f t="shared" si="5"/>
        <v>华东</v>
      </c>
      <c r="D340" s="16" t="s">
        <v>403</v>
      </c>
      <c r="E340" s="16">
        <v>15</v>
      </c>
    </row>
    <row r="341" spans="1:5" x14ac:dyDescent="0.4">
      <c r="A341" s="16" t="s">
        <v>33</v>
      </c>
      <c r="B341" s="16" t="s">
        <v>76</v>
      </c>
      <c r="C341" s="16" t="str">
        <f t="shared" si="5"/>
        <v>西北</v>
      </c>
      <c r="D341" s="16" t="s">
        <v>404</v>
      </c>
      <c r="E341" s="16">
        <v>13</v>
      </c>
    </row>
    <row r="342" spans="1:5" x14ac:dyDescent="0.4">
      <c r="A342" s="16" t="s">
        <v>29</v>
      </c>
      <c r="B342" s="16" t="s">
        <v>40</v>
      </c>
      <c r="C342" s="16" t="str">
        <f t="shared" si="5"/>
        <v>华北</v>
      </c>
      <c r="D342" s="16" t="s">
        <v>405</v>
      </c>
      <c r="E342" s="16">
        <v>29</v>
      </c>
    </row>
    <row r="343" spans="1:5" x14ac:dyDescent="0.4">
      <c r="A343" s="16" t="s">
        <v>29</v>
      </c>
      <c r="B343" s="16" t="s">
        <v>34</v>
      </c>
      <c r="C343" s="16" t="str">
        <f t="shared" si="5"/>
        <v>西北</v>
      </c>
      <c r="D343" s="16" t="s">
        <v>406</v>
      </c>
      <c r="E343" s="16">
        <v>28</v>
      </c>
    </row>
    <row r="344" spans="1:5" x14ac:dyDescent="0.4">
      <c r="A344" s="16" t="s">
        <v>22</v>
      </c>
      <c r="B344" s="16" t="s">
        <v>48</v>
      </c>
      <c r="C344" s="16" t="str">
        <f t="shared" si="5"/>
        <v>华东</v>
      </c>
      <c r="D344" s="16" t="s">
        <v>407</v>
      </c>
      <c r="E344" s="16">
        <v>14</v>
      </c>
    </row>
    <row r="345" spans="1:5" x14ac:dyDescent="0.4">
      <c r="A345" s="16" t="s">
        <v>22</v>
      </c>
      <c r="B345" s="16" t="s">
        <v>53</v>
      </c>
      <c r="C345" s="16" t="str">
        <f t="shared" si="5"/>
        <v>华东</v>
      </c>
      <c r="D345" s="16" t="s">
        <v>408</v>
      </c>
      <c r="E345" s="16">
        <v>25</v>
      </c>
    </row>
    <row r="346" spans="1:5" x14ac:dyDescent="0.4">
      <c r="A346" s="16" t="s">
        <v>33</v>
      </c>
      <c r="B346" s="16" t="s">
        <v>32</v>
      </c>
      <c r="C346" s="16" t="str">
        <f t="shared" si="5"/>
        <v>东北</v>
      </c>
      <c r="D346" s="16" t="s">
        <v>409</v>
      </c>
      <c r="E346" s="16">
        <v>26</v>
      </c>
    </row>
    <row r="347" spans="1:5" x14ac:dyDescent="0.4">
      <c r="A347" s="16" t="s">
        <v>29</v>
      </c>
      <c r="B347" s="16" t="s">
        <v>32</v>
      </c>
      <c r="C347" s="16" t="str">
        <f t="shared" si="5"/>
        <v>东北</v>
      </c>
      <c r="D347" s="16" t="s">
        <v>410</v>
      </c>
      <c r="E347" s="16">
        <v>26</v>
      </c>
    </row>
    <row r="348" spans="1:5" x14ac:dyDescent="0.4">
      <c r="A348" s="16" t="s">
        <v>22</v>
      </c>
      <c r="B348" s="16" t="s">
        <v>32</v>
      </c>
      <c r="C348" s="16" t="str">
        <f t="shared" si="5"/>
        <v>东北</v>
      </c>
      <c r="D348" s="16" t="s">
        <v>411</v>
      </c>
      <c r="E348" s="16">
        <v>22</v>
      </c>
    </row>
    <row r="349" spans="1:5" x14ac:dyDescent="0.4">
      <c r="A349" s="16" t="s">
        <v>22</v>
      </c>
      <c r="B349" s="16" t="s">
        <v>60</v>
      </c>
      <c r="C349" s="16" t="str">
        <f t="shared" si="5"/>
        <v>华东</v>
      </c>
      <c r="D349" s="16" t="s">
        <v>412</v>
      </c>
      <c r="E349" s="16">
        <v>10</v>
      </c>
    </row>
    <row r="350" spans="1:5" x14ac:dyDescent="0.4">
      <c r="A350" s="16" t="s">
        <v>22</v>
      </c>
      <c r="B350" s="16" t="s">
        <v>69</v>
      </c>
      <c r="C350" s="16" t="str">
        <f t="shared" si="5"/>
        <v>华南</v>
      </c>
      <c r="D350" s="16" t="s">
        <v>413</v>
      </c>
      <c r="E350" s="16">
        <v>28</v>
      </c>
    </row>
    <row r="351" spans="1:5" x14ac:dyDescent="0.4">
      <c r="A351" s="16" t="s">
        <v>22</v>
      </c>
      <c r="B351" s="16" t="s">
        <v>93</v>
      </c>
      <c r="C351" s="16" t="str">
        <f t="shared" si="5"/>
        <v>西南</v>
      </c>
      <c r="D351" s="16" t="s">
        <v>414</v>
      </c>
      <c r="E351" s="16">
        <v>19</v>
      </c>
    </row>
    <row r="352" spans="1:5" x14ac:dyDescent="0.4">
      <c r="A352" s="16" t="s">
        <v>22</v>
      </c>
      <c r="B352" s="16" t="s">
        <v>23</v>
      </c>
      <c r="C352" s="16" t="str">
        <f t="shared" si="5"/>
        <v>西南</v>
      </c>
      <c r="D352" s="16" t="s">
        <v>415</v>
      </c>
      <c r="E352" s="16">
        <v>28</v>
      </c>
    </row>
    <row r="353" spans="1:5" x14ac:dyDescent="0.4">
      <c r="A353" s="16" t="s">
        <v>29</v>
      </c>
      <c r="B353" s="16" t="s">
        <v>61</v>
      </c>
      <c r="C353" s="16" t="str">
        <f t="shared" si="5"/>
        <v>华东</v>
      </c>
      <c r="D353" s="16" t="s">
        <v>416</v>
      </c>
      <c r="E353" s="16">
        <v>15</v>
      </c>
    </row>
    <row r="354" spans="1:5" x14ac:dyDescent="0.4">
      <c r="A354" s="16" t="s">
        <v>22</v>
      </c>
      <c r="B354" s="16" t="s">
        <v>61</v>
      </c>
      <c r="C354" s="16" t="str">
        <f t="shared" si="5"/>
        <v>华东</v>
      </c>
      <c r="D354" s="16" t="s">
        <v>417</v>
      </c>
      <c r="E354" s="16">
        <v>29</v>
      </c>
    </row>
    <row r="355" spans="1:5" x14ac:dyDescent="0.4">
      <c r="A355" s="16" t="s">
        <v>33</v>
      </c>
      <c r="B355" s="16" t="s">
        <v>25</v>
      </c>
      <c r="C355" s="16" t="str">
        <f t="shared" si="5"/>
        <v>东北</v>
      </c>
      <c r="D355" s="16" t="s">
        <v>418</v>
      </c>
      <c r="E355" s="16">
        <v>20</v>
      </c>
    </row>
    <row r="356" spans="1:5" x14ac:dyDescent="0.4">
      <c r="A356" s="16" t="s">
        <v>29</v>
      </c>
      <c r="B356" s="16" t="s">
        <v>34</v>
      </c>
      <c r="C356" s="16" t="str">
        <f t="shared" si="5"/>
        <v>西北</v>
      </c>
      <c r="D356" s="16" t="s">
        <v>419</v>
      </c>
      <c r="E356" s="16">
        <v>23</v>
      </c>
    </row>
    <row r="357" spans="1:5" x14ac:dyDescent="0.4">
      <c r="A357" s="16" t="s">
        <v>33</v>
      </c>
      <c r="B357" s="16" t="s">
        <v>34</v>
      </c>
      <c r="C357" s="16" t="str">
        <f t="shared" si="5"/>
        <v>西北</v>
      </c>
      <c r="D357" s="16" t="s">
        <v>420</v>
      </c>
      <c r="E357" s="16">
        <v>14</v>
      </c>
    </row>
    <row r="358" spans="1:5" x14ac:dyDescent="0.4">
      <c r="A358" s="16" t="s">
        <v>29</v>
      </c>
      <c r="B358" s="16" t="s">
        <v>34</v>
      </c>
      <c r="C358" s="16" t="str">
        <f t="shared" si="5"/>
        <v>西北</v>
      </c>
      <c r="D358" s="16" t="s">
        <v>421</v>
      </c>
      <c r="E358" s="16">
        <v>26</v>
      </c>
    </row>
    <row r="359" spans="1:5" x14ac:dyDescent="0.4">
      <c r="A359" s="16" t="s">
        <v>33</v>
      </c>
      <c r="B359" s="16" t="s">
        <v>38</v>
      </c>
      <c r="C359" s="16" t="str">
        <f t="shared" si="5"/>
        <v>西北</v>
      </c>
      <c r="D359" s="16" t="s">
        <v>422</v>
      </c>
      <c r="E359" s="16">
        <v>15</v>
      </c>
    </row>
    <row r="360" spans="1:5" x14ac:dyDescent="0.4">
      <c r="A360" s="16" t="s">
        <v>33</v>
      </c>
      <c r="B360" s="16" t="s">
        <v>25</v>
      </c>
      <c r="C360" s="16" t="str">
        <f t="shared" si="5"/>
        <v>东北</v>
      </c>
      <c r="D360" s="16" t="s">
        <v>423</v>
      </c>
      <c r="E360" s="16">
        <v>28</v>
      </c>
    </row>
    <row r="361" spans="1:5" x14ac:dyDescent="0.4">
      <c r="A361" s="16" t="s">
        <v>22</v>
      </c>
      <c r="B361" s="16" t="s">
        <v>38</v>
      </c>
      <c r="C361" s="16" t="str">
        <f t="shared" si="5"/>
        <v>西北</v>
      </c>
      <c r="D361" s="16" t="s">
        <v>424</v>
      </c>
      <c r="E361" s="16">
        <v>19</v>
      </c>
    </row>
    <row r="362" spans="1:5" x14ac:dyDescent="0.4">
      <c r="A362" s="16" t="s">
        <v>33</v>
      </c>
      <c r="B362" s="16" t="s">
        <v>23</v>
      </c>
      <c r="C362" s="16" t="str">
        <f t="shared" si="5"/>
        <v>西南</v>
      </c>
      <c r="D362" s="16" t="s">
        <v>425</v>
      </c>
      <c r="E362" s="16">
        <v>26</v>
      </c>
    </row>
    <row r="363" spans="1:5" x14ac:dyDescent="0.4">
      <c r="A363" s="16" t="s">
        <v>22</v>
      </c>
      <c r="B363" s="16" t="s">
        <v>55</v>
      </c>
      <c r="C363" s="16" t="str">
        <f t="shared" si="5"/>
        <v>华东</v>
      </c>
      <c r="D363" s="16" t="s">
        <v>426</v>
      </c>
      <c r="E363" s="16">
        <v>11</v>
      </c>
    </row>
    <row r="364" spans="1:5" x14ac:dyDescent="0.4">
      <c r="A364" s="16" t="s">
        <v>22</v>
      </c>
      <c r="B364" s="16" t="s">
        <v>55</v>
      </c>
      <c r="C364" s="16" t="str">
        <f t="shared" si="5"/>
        <v>华东</v>
      </c>
      <c r="D364" s="16" t="s">
        <v>427</v>
      </c>
      <c r="E364" s="16">
        <v>20</v>
      </c>
    </row>
    <row r="365" spans="1:5" x14ac:dyDescent="0.4">
      <c r="A365" s="16" t="s">
        <v>22</v>
      </c>
      <c r="B365" s="16" t="s">
        <v>55</v>
      </c>
      <c r="C365" s="16" t="str">
        <f t="shared" si="5"/>
        <v>华东</v>
      </c>
      <c r="D365" s="16" t="s">
        <v>428</v>
      </c>
      <c r="E365" s="16">
        <v>10</v>
      </c>
    </row>
    <row r="366" spans="1:5" x14ac:dyDescent="0.4">
      <c r="A366" s="16" t="s">
        <v>22</v>
      </c>
      <c r="B366" s="16" t="s">
        <v>55</v>
      </c>
      <c r="C366" s="16" t="str">
        <f t="shared" si="5"/>
        <v>华东</v>
      </c>
      <c r="D366" s="16" t="s">
        <v>429</v>
      </c>
      <c r="E366" s="16">
        <v>13</v>
      </c>
    </row>
    <row r="367" spans="1:5" x14ac:dyDescent="0.4">
      <c r="A367" s="16" t="s">
        <v>33</v>
      </c>
      <c r="B367" s="16" t="s">
        <v>83</v>
      </c>
      <c r="C367" s="16" t="str">
        <f t="shared" si="5"/>
        <v>西北</v>
      </c>
      <c r="D367" s="16" t="s">
        <v>430</v>
      </c>
      <c r="E367" s="16">
        <v>10</v>
      </c>
    </row>
    <row r="368" spans="1:5" x14ac:dyDescent="0.4">
      <c r="A368" s="16" t="s">
        <v>29</v>
      </c>
      <c r="B368" s="16" t="s">
        <v>55</v>
      </c>
      <c r="C368" s="16" t="str">
        <f t="shared" si="5"/>
        <v>华东</v>
      </c>
      <c r="D368" s="16" t="s">
        <v>431</v>
      </c>
      <c r="E368" s="16">
        <v>26</v>
      </c>
    </row>
    <row r="369" spans="1:5" x14ac:dyDescent="0.4">
      <c r="A369" s="16" t="s">
        <v>29</v>
      </c>
      <c r="B369" s="16" t="s">
        <v>53</v>
      </c>
      <c r="C369" s="16" t="str">
        <f t="shared" si="5"/>
        <v>华东</v>
      </c>
      <c r="D369" s="16" t="s">
        <v>432</v>
      </c>
      <c r="E369" s="16">
        <v>21</v>
      </c>
    </row>
    <row r="370" spans="1:5" x14ac:dyDescent="0.4">
      <c r="A370" s="16" t="s">
        <v>22</v>
      </c>
      <c r="B370" s="16" t="s">
        <v>57</v>
      </c>
      <c r="C370" s="16" t="str">
        <f t="shared" si="5"/>
        <v>华东</v>
      </c>
      <c r="D370" s="16" t="s">
        <v>433</v>
      </c>
      <c r="E370" s="16">
        <v>23</v>
      </c>
    </row>
    <row r="371" spans="1:5" x14ac:dyDescent="0.4">
      <c r="A371" s="16" t="s">
        <v>22</v>
      </c>
      <c r="B371" s="16" t="s">
        <v>44</v>
      </c>
      <c r="C371" s="16" t="str">
        <f t="shared" si="5"/>
        <v>华北</v>
      </c>
      <c r="D371" s="16" t="s">
        <v>434</v>
      </c>
      <c r="E371" s="16">
        <v>24</v>
      </c>
    </row>
    <row r="372" spans="1:5" x14ac:dyDescent="0.4">
      <c r="A372" s="16" t="s">
        <v>29</v>
      </c>
      <c r="B372" s="16" t="s">
        <v>57</v>
      </c>
      <c r="C372" s="16" t="str">
        <f t="shared" si="5"/>
        <v>华东</v>
      </c>
      <c r="D372" s="16" t="s">
        <v>435</v>
      </c>
      <c r="E372" s="16">
        <v>19</v>
      </c>
    </row>
    <row r="373" spans="1:5" x14ac:dyDescent="0.4">
      <c r="A373" s="16" t="s">
        <v>29</v>
      </c>
      <c r="B373" s="16" t="s">
        <v>38</v>
      </c>
      <c r="C373" s="16" t="str">
        <f t="shared" si="5"/>
        <v>西北</v>
      </c>
      <c r="D373" s="16" t="s">
        <v>436</v>
      </c>
      <c r="E373" s="16">
        <v>22</v>
      </c>
    </row>
    <row r="374" spans="1:5" x14ac:dyDescent="0.4">
      <c r="A374" s="16" t="s">
        <v>22</v>
      </c>
      <c r="B374" s="16" t="s">
        <v>57</v>
      </c>
      <c r="C374" s="16" t="str">
        <f t="shared" si="5"/>
        <v>华东</v>
      </c>
      <c r="D374" s="16" t="s">
        <v>437</v>
      </c>
      <c r="E374" s="16">
        <v>11</v>
      </c>
    </row>
    <row r="375" spans="1:5" x14ac:dyDescent="0.4">
      <c r="A375" s="16" t="s">
        <v>22</v>
      </c>
      <c r="B375" s="16" t="s">
        <v>65</v>
      </c>
      <c r="C375" s="16" t="str">
        <f t="shared" si="5"/>
        <v>华南</v>
      </c>
      <c r="D375" s="16" t="s">
        <v>438</v>
      </c>
      <c r="E375" s="16">
        <v>14</v>
      </c>
    </row>
    <row r="376" spans="1:5" x14ac:dyDescent="0.4">
      <c r="A376" s="16" t="s">
        <v>22</v>
      </c>
      <c r="B376" s="16" t="s">
        <v>53</v>
      </c>
      <c r="C376" s="16" t="str">
        <f t="shared" si="5"/>
        <v>华东</v>
      </c>
      <c r="D376" s="16" t="s">
        <v>439</v>
      </c>
      <c r="E376" s="16">
        <v>12</v>
      </c>
    </row>
    <row r="377" spans="1:5" x14ac:dyDescent="0.4">
      <c r="A377" s="16" t="s">
        <v>29</v>
      </c>
      <c r="B377" s="16" t="s">
        <v>53</v>
      </c>
      <c r="C377" s="16" t="str">
        <f t="shared" si="5"/>
        <v>华东</v>
      </c>
      <c r="D377" s="16" t="s">
        <v>440</v>
      </c>
      <c r="E377" s="16">
        <v>17</v>
      </c>
    </row>
    <row r="378" spans="1:5" x14ac:dyDescent="0.4">
      <c r="A378" s="16" t="s">
        <v>22</v>
      </c>
      <c r="B378" s="16" t="s">
        <v>65</v>
      </c>
      <c r="C378" s="16" t="str">
        <f t="shared" si="5"/>
        <v>华南</v>
      </c>
      <c r="D378" s="16" t="s">
        <v>441</v>
      </c>
      <c r="E378" s="16">
        <v>12</v>
      </c>
    </row>
    <row r="379" spans="1:5" x14ac:dyDescent="0.4">
      <c r="A379" s="16" t="s">
        <v>29</v>
      </c>
      <c r="B379" s="16" t="s">
        <v>40</v>
      </c>
      <c r="C379" s="16" t="str">
        <f t="shared" si="5"/>
        <v>华北</v>
      </c>
      <c r="D379" s="16" t="s">
        <v>442</v>
      </c>
      <c r="E379" s="16">
        <v>26</v>
      </c>
    </row>
    <row r="380" spans="1:5" x14ac:dyDescent="0.4">
      <c r="A380" s="16" t="s">
        <v>33</v>
      </c>
      <c r="B380" s="16" t="s">
        <v>83</v>
      </c>
      <c r="C380" s="16" t="str">
        <f t="shared" si="5"/>
        <v>西北</v>
      </c>
      <c r="D380" s="16" t="s">
        <v>443</v>
      </c>
      <c r="E380" s="16">
        <v>29</v>
      </c>
    </row>
    <row r="381" spans="1:5" x14ac:dyDescent="0.4">
      <c r="A381" s="16" t="s">
        <v>29</v>
      </c>
      <c r="B381" s="16" t="s">
        <v>67</v>
      </c>
      <c r="C381" s="16" t="str">
        <f t="shared" si="5"/>
        <v>华中</v>
      </c>
      <c r="D381" s="16" t="s">
        <v>444</v>
      </c>
      <c r="E381" s="16">
        <v>16</v>
      </c>
    </row>
    <row r="382" spans="1:5" x14ac:dyDescent="0.4">
      <c r="A382" s="16" t="s">
        <v>33</v>
      </c>
      <c r="B382" s="16" t="s">
        <v>67</v>
      </c>
      <c r="C382" s="16" t="str">
        <f t="shared" si="5"/>
        <v>华中</v>
      </c>
      <c r="D382" s="16" t="s">
        <v>445</v>
      </c>
      <c r="E382" s="16">
        <v>16</v>
      </c>
    </row>
    <row r="383" spans="1:5" x14ac:dyDescent="0.4">
      <c r="A383" s="16" t="s">
        <v>22</v>
      </c>
      <c r="B383" s="16" t="s">
        <v>28</v>
      </c>
      <c r="C383" s="16" t="str">
        <f t="shared" si="5"/>
        <v>东北</v>
      </c>
      <c r="D383" s="16" t="s">
        <v>446</v>
      </c>
      <c r="E383" s="16">
        <v>10</v>
      </c>
    </row>
    <row r="384" spans="1:5" x14ac:dyDescent="0.4">
      <c r="A384" s="16" t="s">
        <v>29</v>
      </c>
      <c r="B384" s="16" t="s">
        <v>34</v>
      </c>
      <c r="C384" s="16" t="str">
        <f t="shared" si="5"/>
        <v>西北</v>
      </c>
      <c r="D384" s="16" t="s">
        <v>447</v>
      </c>
      <c r="E384" s="16">
        <v>20</v>
      </c>
    </row>
    <row r="385" spans="1:5" x14ac:dyDescent="0.4">
      <c r="A385" s="16" t="s">
        <v>22</v>
      </c>
      <c r="B385" s="16" t="s">
        <v>73</v>
      </c>
      <c r="C385" s="16" t="str">
        <f t="shared" si="5"/>
        <v>华中</v>
      </c>
      <c r="D385" s="16" t="s">
        <v>448</v>
      </c>
      <c r="E385" s="16">
        <v>15</v>
      </c>
    </row>
    <row r="386" spans="1:5" x14ac:dyDescent="0.4">
      <c r="A386" s="16" t="s">
        <v>29</v>
      </c>
      <c r="B386" s="16" t="s">
        <v>73</v>
      </c>
      <c r="C386" s="16" t="str">
        <f t="shared" si="5"/>
        <v>华中</v>
      </c>
      <c r="D386" s="16" t="s">
        <v>449</v>
      </c>
      <c r="E386" s="16">
        <v>20</v>
      </c>
    </row>
    <row r="387" spans="1:5" x14ac:dyDescent="0.4">
      <c r="A387" s="16" t="s">
        <v>29</v>
      </c>
      <c r="B387" s="16" t="s">
        <v>83</v>
      </c>
      <c r="C387" s="16" t="str">
        <f t="shared" ref="C387:C450" si="6">_xlfn.XLOOKUP(B387,$I$2:$I$32,$J$2:$J$32)</f>
        <v>西北</v>
      </c>
      <c r="D387" s="16" t="s">
        <v>450</v>
      </c>
      <c r="E387" s="16">
        <v>17</v>
      </c>
    </row>
    <row r="388" spans="1:5" x14ac:dyDescent="0.4">
      <c r="A388" s="16" t="s">
        <v>29</v>
      </c>
      <c r="B388" s="16" t="s">
        <v>55</v>
      </c>
      <c r="C388" s="16" t="str">
        <f t="shared" si="6"/>
        <v>华东</v>
      </c>
      <c r="D388" s="16" t="s">
        <v>451</v>
      </c>
      <c r="E388" s="16">
        <v>25</v>
      </c>
    </row>
    <row r="389" spans="1:5" x14ac:dyDescent="0.4">
      <c r="A389" s="16" t="s">
        <v>29</v>
      </c>
      <c r="B389" s="16" t="s">
        <v>40</v>
      </c>
      <c r="C389" s="16" t="str">
        <f t="shared" si="6"/>
        <v>华北</v>
      </c>
      <c r="D389" s="16" t="s">
        <v>452</v>
      </c>
      <c r="E389" s="16">
        <v>24</v>
      </c>
    </row>
    <row r="390" spans="1:5" x14ac:dyDescent="0.4">
      <c r="A390" s="16" t="s">
        <v>29</v>
      </c>
      <c r="B390" s="16" t="s">
        <v>38</v>
      </c>
      <c r="C390" s="16" t="str">
        <f t="shared" si="6"/>
        <v>西北</v>
      </c>
      <c r="D390" s="16" t="s">
        <v>453</v>
      </c>
      <c r="E390" s="16">
        <v>23</v>
      </c>
    </row>
    <row r="391" spans="1:5" x14ac:dyDescent="0.4">
      <c r="A391" s="16" t="s">
        <v>22</v>
      </c>
      <c r="B391" s="16" t="s">
        <v>44</v>
      </c>
      <c r="C391" s="16" t="str">
        <f t="shared" si="6"/>
        <v>华北</v>
      </c>
      <c r="D391" s="16" t="s">
        <v>454</v>
      </c>
      <c r="E391" s="16">
        <v>15</v>
      </c>
    </row>
    <row r="392" spans="1:5" x14ac:dyDescent="0.4">
      <c r="A392" s="16" t="s">
        <v>29</v>
      </c>
      <c r="B392" s="16" t="s">
        <v>58</v>
      </c>
      <c r="C392" s="16" t="str">
        <f t="shared" si="6"/>
        <v>华中</v>
      </c>
      <c r="D392" s="16" t="s">
        <v>455</v>
      </c>
      <c r="E392" s="16">
        <v>14</v>
      </c>
    </row>
    <row r="393" spans="1:5" x14ac:dyDescent="0.4">
      <c r="A393" s="16" t="s">
        <v>22</v>
      </c>
      <c r="B393" s="16" t="s">
        <v>73</v>
      </c>
      <c r="C393" s="16" t="str">
        <f t="shared" si="6"/>
        <v>华中</v>
      </c>
      <c r="D393" s="16" t="s">
        <v>456</v>
      </c>
      <c r="E393" s="16">
        <v>11</v>
      </c>
    </row>
    <row r="394" spans="1:5" x14ac:dyDescent="0.4">
      <c r="A394" s="16" t="s">
        <v>29</v>
      </c>
      <c r="B394" s="16" t="s">
        <v>73</v>
      </c>
      <c r="C394" s="16" t="str">
        <f t="shared" si="6"/>
        <v>华中</v>
      </c>
      <c r="D394" s="16" t="s">
        <v>457</v>
      </c>
      <c r="E394" s="16">
        <v>26</v>
      </c>
    </row>
    <row r="395" spans="1:5" x14ac:dyDescent="0.4">
      <c r="A395" s="16" t="s">
        <v>22</v>
      </c>
      <c r="B395" s="16" t="s">
        <v>81</v>
      </c>
      <c r="C395" s="16" t="str">
        <f t="shared" si="6"/>
        <v>西北</v>
      </c>
      <c r="D395" s="16" t="s">
        <v>458</v>
      </c>
      <c r="E395" s="16">
        <v>25</v>
      </c>
    </row>
    <row r="396" spans="1:5" x14ac:dyDescent="0.4">
      <c r="A396" s="16" t="s">
        <v>22</v>
      </c>
      <c r="B396" s="16" t="s">
        <v>48</v>
      </c>
      <c r="C396" s="16" t="str">
        <f t="shared" si="6"/>
        <v>华东</v>
      </c>
      <c r="D396" s="16" t="s">
        <v>459</v>
      </c>
      <c r="E396" s="16">
        <v>21</v>
      </c>
    </row>
    <row r="397" spans="1:5" x14ac:dyDescent="0.4">
      <c r="A397" s="16" t="s">
        <v>29</v>
      </c>
      <c r="B397" s="16" t="s">
        <v>48</v>
      </c>
      <c r="C397" s="16" t="str">
        <f t="shared" si="6"/>
        <v>华东</v>
      </c>
      <c r="D397" s="16" t="s">
        <v>460</v>
      </c>
      <c r="E397" s="16">
        <v>10</v>
      </c>
    </row>
    <row r="398" spans="1:5" x14ac:dyDescent="0.4">
      <c r="A398" s="16" t="s">
        <v>29</v>
      </c>
      <c r="B398" s="16" t="s">
        <v>38</v>
      </c>
      <c r="C398" s="16" t="str">
        <f t="shared" si="6"/>
        <v>西北</v>
      </c>
      <c r="D398" s="16" t="s">
        <v>461</v>
      </c>
      <c r="E398" s="16">
        <v>14</v>
      </c>
    </row>
    <row r="399" spans="1:5" x14ac:dyDescent="0.4">
      <c r="A399" s="16" t="s">
        <v>22</v>
      </c>
      <c r="B399" s="16" t="s">
        <v>63</v>
      </c>
      <c r="C399" s="16" t="str">
        <f t="shared" si="6"/>
        <v>西南</v>
      </c>
      <c r="D399" s="16" t="s">
        <v>462</v>
      </c>
      <c r="E399" s="16">
        <v>27</v>
      </c>
    </row>
    <row r="400" spans="1:5" x14ac:dyDescent="0.4">
      <c r="A400" s="16" t="s">
        <v>29</v>
      </c>
      <c r="B400" s="16" t="s">
        <v>69</v>
      </c>
      <c r="C400" s="16" t="str">
        <f t="shared" si="6"/>
        <v>华南</v>
      </c>
      <c r="D400" s="16" t="s">
        <v>463</v>
      </c>
      <c r="E400" s="16">
        <v>21</v>
      </c>
    </row>
    <row r="401" spans="1:5" x14ac:dyDescent="0.4">
      <c r="A401" s="16" t="s">
        <v>22</v>
      </c>
      <c r="B401" s="16" t="s">
        <v>53</v>
      </c>
      <c r="C401" s="16" t="str">
        <f t="shared" si="6"/>
        <v>华东</v>
      </c>
      <c r="D401" s="16" t="s">
        <v>464</v>
      </c>
      <c r="E401" s="16">
        <v>15</v>
      </c>
    </row>
    <row r="402" spans="1:5" x14ac:dyDescent="0.4">
      <c r="A402" s="16" t="s">
        <v>29</v>
      </c>
      <c r="B402" s="16" t="s">
        <v>73</v>
      </c>
      <c r="C402" s="16" t="str">
        <f t="shared" si="6"/>
        <v>华中</v>
      </c>
      <c r="D402" s="16" t="s">
        <v>465</v>
      </c>
      <c r="E402" s="16">
        <v>15</v>
      </c>
    </row>
    <row r="403" spans="1:5" x14ac:dyDescent="0.4">
      <c r="A403" s="16" t="s">
        <v>33</v>
      </c>
      <c r="B403" s="16" t="s">
        <v>23</v>
      </c>
      <c r="C403" s="16" t="str">
        <f t="shared" si="6"/>
        <v>西南</v>
      </c>
      <c r="D403" s="16" t="s">
        <v>466</v>
      </c>
      <c r="E403" s="16">
        <v>22</v>
      </c>
    </row>
    <row r="404" spans="1:5" x14ac:dyDescent="0.4">
      <c r="A404" s="16" t="s">
        <v>22</v>
      </c>
      <c r="B404" s="16" t="s">
        <v>23</v>
      </c>
      <c r="C404" s="16" t="str">
        <f t="shared" si="6"/>
        <v>西南</v>
      </c>
      <c r="D404" s="16" t="s">
        <v>467</v>
      </c>
      <c r="E404" s="16">
        <v>28</v>
      </c>
    </row>
    <row r="405" spans="1:5" x14ac:dyDescent="0.4">
      <c r="A405" s="16" t="s">
        <v>33</v>
      </c>
      <c r="B405" s="16" t="s">
        <v>55</v>
      </c>
      <c r="C405" s="16" t="str">
        <f t="shared" si="6"/>
        <v>华东</v>
      </c>
      <c r="D405" s="16" t="s">
        <v>468</v>
      </c>
      <c r="E405" s="16">
        <v>25</v>
      </c>
    </row>
    <row r="406" spans="1:5" x14ac:dyDescent="0.4">
      <c r="A406" s="16" t="s">
        <v>22</v>
      </c>
      <c r="B406" s="16" t="s">
        <v>55</v>
      </c>
      <c r="C406" s="16" t="str">
        <f t="shared" si="6"/>
        <v>华东</v>
      </c>
      <c r="D406" s="16" t="s">
        <v>469</v>
      </c>
      <c r="E406" s="16">
        <v>29</v>
      </c>
    </row>
    <row r="407" spans="1:5" x14ac:dyDescent="0.4">
      <c r="A407" s="16" t="s">
        <v>22</v>
      </c>
      <c r="B407" s="16" t="s">
        <v>48</v>
      </c>
      <c r="C407" s="16" t="str">
        <f t="shared" si="6"/>
        <v>华东</v>
      </c>
      <c r="D407" s="16" t="s">
        <v>470</v>
      </c>
      <c r="E407" s="16">
        <v>28</v>
      </c>
    </row>
    <row r="408" spans="1:5" x14ac:dyDescent="0.4">
      <c r="A408" s="16" t="s">
        <v>29</v>
      </c>
      <c r="B408" s="16" t="s">
        <v>48</v>
      </c>
      <c r="C408" s="16" t="str">
        <f t="shared" si="6"/>
        <v>华东</v>
      </c>
      <c r="D408" s="16" t="s">
        <v>471</v>
      </c>
      <c r="E408" s="16">
        <v>26</v>
      </c>
    </row>
    <row r="409" spans="1:5" x14ac:dyDescent="0.4">
      <c r="A409" s="16" t="s">
        <v>22</v>
      </c>
      <c r="B409" s="16" t="s">
        <v>65</v>
      </c>
      <c r="C409" s="16" t="str">
        <f t="shared" si="6"/>
        <v>华南</v>
      </c>
      <c r="D409" s="16" t="s">
        <v>472</v>
      </c>
      <c r="E409" s="16">
        <v>15</v>
      </c>
    </row>
    <row r="410" spans="1:5" x14ac:dyDescent="0.4">
      <c r="A410" s="16" t="s">
        <v>22</v>
      </c>
      <c r="B410" s="16" t="s">
        <v>65</v>
      </c>
      <c r="C410" s="16" t="str">
        <f t="shared" si="6"/>
        <v>华南</v>
      </c>
      <c r="D410" s="16" t="s">
        <v>473</v>
      </c>
      <c r="E410" s="16">
        <v>28</v>
      </c>
    </row>
    <row r="411" spans="1:5" x14ac:dyDescent="0.4">
      <c r="A411" s="16" t="s">
        <v>29</v>
      </c>
      <c r="B411" s="16" t="s">
        <v>65</v>
      </c>
      <c r="C411" s="16" t="str">
        <f t="shared" si="6"/>
        <v>华南</v>
      </c>
      <c r="D411" s="16" t="s">
        <v>474</v>
      </c>
      <c r="E411" s="16">
        <v>18</v>
      </c>
    </row>
    <row r="412" spans="1:5" x14ac:dyDescent="0.4">
      <c r="A412" s="16" t="s">
        <v>22</v>
      </c>
      <c r="B412" s="16" t="s">
        <v>65</v>
      </c>
      <c r="C412" s="16" t="str">
        <f t="shared" si="6"/>
        <v>华南</v>
      </c>
      <c r="D412" s="16" t="s">
        <v>475</v>
      </c>
      <c r="E412" s="16">
        <v>13</v>
      </c>
    </row>
    <row r="413" spans="1:5" x14ac:dyDescent="0.4">
      <c r="A413" s="16" t="s">
        <v>22</v>
      </c>
      <c r="B413" s="16" t="s">
        <v>65</v>
      </c>
      <c r="C413" s="16" t="str">
        <f t="shared" si="6"/>
        <v>华南</v>
      </c>
      <c r="D413" s="16" t="s">
        <v>476</v>
      </c>
      <c r="E413" s="16">
        <v>29</v>
      </c>
    </row>
    <row r="414" spans="1:5" x14ac:dyDescent="0.4">
      <c r="A414" s="16" t="s">
        <v>22</v>
      </c>
      <c r="B414" s="16" t="s">
        <v>65</v>
      </c>
      <c r="C414" s="16" t="str">
        <f t="shared" si="6"/>
        <v>华南</v>
      </c>
      <c r="D414" s="16" t="s">
        <v>477</v>
      </c>
      <c r="E414" s="16">
        <v>23</v>
      </c>
    </row>
    <row r="415" spans="1:5" x14ac:dyDescent="0.4">
      <c r="A415" s="16" t="s">
        <v>22</v>
      </c>
      <c r="B415" s="16" t="s">
        <v>65</v>
      </c>
      <c r="C415" s="16" t="str">
        <f t="shared" si="6"/>
        <v>华南</v>
      </c>
      <c r="D415" s="16" t="s">
        <v>478</v>
      </c>
      <c r="E415" s="16">
        <v>24</v>
      </c>
    </row>
    <row r="416" spans="1:5" x14ac:dyDescent="0.4">
      <c r="A416" s="16" t="s">
        <v>22</v>
      </c>
      <c r="B416" s="16" t="s">
        <v>55</v>
      </c>
      <c r="C416" s="16" t="str">
        <f t="shared" si="6"/>
        <v>华东</v>
      </c>
      <c r="D416" s="16" t="s">
        <v>479</v>
      </c>
      <c r="E416" s="16">
        <v>29</v>
      </c>
    </row>
    <row r="417" spans="1:5" x14ac:dyDescent="0.4">
      <c r="A417" s="16" t="s">
        <v>22</v>
      </c>
      <c r="B417" s="16" t="s">
        <v>55</v>
      </c>
      <c r="C417" s="16" t="str">
        <f t="shared" si="6"/>
        <v>华东</v>
      </c>
      <c r="D417" s="16" t="s">
        <v>480</v>
      </c>
      <c r="E417" s="16">
        <v>21</v>
      </c>
    </row>
    <row r="418" spans="1:5" x14ac:dyDescent="0.4">
      <c r="A418" s="16" t="s">
        <v>29</v>
      </c>
      <c r="B418" s="16" t="s">
        <v>23</v>
      </c>
      <c r="C418" s="16" t="str">
        <f t="shared" si="6"/>
        <v>西南</v>
      </c>
      <c r="D418" s="16" t="s">
        <v>481</v>
      </c>
      <c r="E418" s="16">
        <v>12</v>
      </c>
    </row>
    <row r="419" spans="1:5" x14ac:dyDescent="0.4">
      <c r="A419" s="16" t="s">
        <v>33</v>
      </c>
      <c r="B419" s="16" t="s">
        <v>23</v>
      </c>
      <c r="C419" s="16" t="str">
        <f t="shared" si="6"/>
        <v>西南</v>
      </c>
      <c r="D419" s="16" t="s">
        <v>482</v>
      </c>
      <c r="E419" s="16">
        <v>27</v>
      </c>
    </row>
    <row r="420" spans="1:5" x14ac:dyDescent="0.4">
      <c r="A420" s="16" t="s">
        <v>29</v>
      </c>
      <c r="B420" s="16" t="s">
        <v>53</v>
      </c>
      <c r="C420" s="16" t="str">
        <f t="shared" si="6"/>
        <v>华东</v>
      </c>
      <c r="D420" s="16" t="s">
        <v>483</v>
      </c>
      <c r="E420" s="16">
        <v>18</v>
      </c>
    </row>
    <row r="421" spans="1:5" x14ac:dyDescent="0.4">
      <c r="A421" s="16" t="s">
        <v>29</v>
      </c>
      <c r="B421" s="16" t="s">
        <v>65</v>
      </c>
      <c r="C421" s="16" t="str">
        <f t="shared" si="6"/>
        <v>华南</v>
      </c>
      <c r="D421" s="16" t="s">
        <v>484</v>
      </c>
      <c r="E421" s="16">
        <v>27</v>
      </c>
    </row>
    <row r="422" spans="1:5" x14ac:dyDescent="0.4">
      <c r="A422" s="16" t="s">
        <v>29</v>
      </c>
      <c r="B422" s="16" t="s">
        <v>57</v>
      </c>
      <c r="C422" s="16" t="str">
        <f t="shared" si="6"/>
        <v>华东</v>
      </c>
      <c r="D422" s="16" t="s">
        <v>485</v>
      </c>
      <c r="E422" s="16">
        <v>25</v>
      </c>
    </row>
    <row r="423" spans="1:5" x14ac:dyDescent="0.4">
      <c r="A423" s="16" t="s">
        <v>22</v>
      </c>
      <c r="B423" s="16" t="s">
        <v>69</v>
      </c>
      <c r="C423" s="16" t="str">
        <f t="shared" si="6"/>
        <v>华南</v>
      </c>
      <c r="D423" s="16" t="s">
        <v>486</v>
      </c>
      <c r="E423" s="16">
        <v>26</v>
      </c>
    </row>
    <row r="424" spans="1:5" x14ac:dyDescent="0.4">
      <c r="A424" s="16" t="s">
        <v>22</v>
      </c>
      <c r="B424" s="16" t="s">
        <v>69</v>
      </c>
      <c r="C424" s="16" t="str">
        <f t="shared" si="6"/>
        <v>华南</v>
      </c>
      <c r="D424" s="16" t="s">
        <v>487</v>
      </c>
      <c r="E424" s="16">
        <v>14</v>
      </c>
    </row>
    <row r="425" spans="1:5" x14ac:dyDescent="0.4">
      <c r="A425" s="16" t="s">
        <v>29</v>
      </c>
      <c r="B425" s="16" t="s">
        <v>69</v>
      </c>
      <c r="C425" s="16" t="str">
        <f t="shared" si="6"/>
        <v>华南</v>
      </c>
      <c r="D425" s="16" t="s">
        <v>488</v>
      </c>
      <c r="E425" s="16">
        <v>24</v>
      </c>
    </row>
    <row r="426" spans="1:5" x14ac:dyDescent="0.4">
      <c r="A426" s="16" t="s">
        <v>22</v>
      </c>
      <c r="B426" s="16" t="s">
        <v>69</v>
      </c>
      <c r="C426" s="16" t="str">
        <f t="shared" si="6"/>
        <v>华南</v>
      </c>
      <c r="D426" s="16" t="s">
        <v>489</v>
      </c>
      <c r="E426" s="16">
        <v>28</v>
      </c>
    </row>
    <row r="427" spans="1:5" x14ac:dyDescent="0.4">
      <c r="A427" s="16" t="s">
        <v>29</v>
      </c>
      <c r="B427" s="16" t="s">
        <v>69</v>
      </c>
      <c r="C427" s="16" t="str">
        <f t="shared" si="6"/>
        <v>华南</v>
      </c>
      <c r="D427" s="16" t="s">
        <v>490</v>
      </c>
      <c r="E427" s="16">
        <v>28</v>
      </c>
    </row>
    <row r="428" spans="1:5" x14ac:dyDescent="0.4">
      <c r="A428" s="16" t="s">
        <v>29</v>
      </c>
      <c r="B428" s="16" t="s">
        <v>69</v>
      </c>
      <c r="C428" s="16" t="str">
        <f t="shared" si="6"/>
        <v>华南</v>
      </c>
      <c r="D428" s="16" t="s">
        <v>491</v>
      </c>
      <c r="E428" s="16">
        <v>23</v>
      </c>
    </row>
    <row r="429" spans="1:5" x14ac:dyDescent="0.4">
      <c r="A429" s="16" t="s">
        <v>29</v>
      </c>
      <c r="B429" s="16" t="s">
        <v>69</v>
      </c>
      <c r="C429" s="16" t="str">
        <f t="shared" si="6"/>
        <v>华南</v>
      </c>
      <c r="D429" s="16" t="s">
        <v>492</v>
      </c>
      <c r="E429" s="16">
        <v>23</v>
      </c>
    </row>
    <row r="430" spans="1:5" x14ac:dyDescent="0.4">
      <c r="A430" s="16" t="s">
        <v>22</v>
      </c>
      <c r="B430" s="16" t="s">
        <v>55</v>
      </c>
      <c r="C430" s="16" t="str">
        <f t="shared" si="6"/>
        <v>华东</v>
      </c>
      <c r="D430" s="16" t="s">
        <v>493</v>
      </c>
      <c r="E430" s="16">
        <v>10</v>
      </c>
    </row>
    <row r="431" spans="1:5" x14ac:dyDescent="0.4">
      <c r="A431" s="16" t="s">
        <v>29</v>
      </c>
      <c r="B431" s="16" t="s">
        <v>23</v>
      </c>
      <c r="C431" s="16" t="str">
        <f t="shared" si="6"/>
        <v>西南</v>
      </c>
      <c r="D431" s="16" t="s">
        <v>494</v>
      </c>
      <c r="E431" s="16">
        <v>29</v>
      </c>
    </row>
    <row r="432" spans="1:5" x14ac:dyDescent="0.4">
      <c r="A432" s="16" t="s">
        <v>22</v>
      </c>
      <c r="B432" s="16" t="s">
        <v>23</v>
      </c>
      <c r="C432" s="16" t="str">
        <f t="shared" si="6"/>
        <v>西南</v>
      </c>
      <c r="D432" s="16" t="s">
        <v>495</v>
      </c>
      <c r="E432" s="16">
        <v>21</v>
      </c>
    </row>
    <row r="433" spans="1:5" x14ac:dyDescent="0.4">
      <c r="A433" s="16" t="s">
        <v>22</v>
      </c>
      <c r="B433" s="16" t="s">
        <v>23</v>
      </c>
      <c r="C433" s="16" t="str">
        <f t="shared" si="6"/>
        <v>西南</v>
      </c>
      <c r="D433" s="16" t="s">
        <v>496</v>
      </c>
      <c r="E433" s="16">
        <v>21</v>
      </c>
    </row>
    <row r="434" spans="1:5" x14ac:dyDescent="0.4">
      <c r="A434" s="16" t="s">
        <v>29</v>
      </c>
      <c r="B434" s="16" t="s">
        <v>65</v>
      </c>
      <c r="C434" s="16" t="str">
        <f t="shared" si="6"/>
        <v>华南</v>
      </c>
      <c r="D434" s="16" t="s">
        <v>497</v>
      </c>
      <c r="E434" s="16">
        <v>28</v>
      </c>
    </row>
    <row r="435" spans="1:5" x14ac:dyDescent="0.4">
      <c r="A435" s="16" t="s">
        <v>22</v>
      </c>
      <c r="B435" s="16" t="s">
        <v>65</v>
      </c>
      <c r="C435" s="16" t="str">
        <f t="shared" si="6"/>
        <v>华南</v>
      </c>
      <c r="D435" s="16" t="s">
        <v>498</v>
      </c>
      <c r="E435" s="16">
        <v>16</v>
      </c>
    </row>
    <row r="436" spans="1:5" x14ac:dyDescent="0.4">
      <c r="A436" s="16" t="s">
        <v>22</v>
      </c>
      <c r="B436" s="16" t="s">
        <v>65</v>
      </c>
      <c r="C436" s="16" t="str">
        <f t="shared" si="6"/>
        <v>华南</v>
      </c>
      <c r="D436" s="16" t="s">
        <v>499</v>
      </c>
      <c r="E436" s="16">
        <v>21</v>
      </c>
    </row>
    <row r="437" spans="1:5" x14ac:dyDescent="0.4">
      <c r="A437" s="16" t="s">
        <v>29</v>
      </c>
      <c r="B437" s="16" t="s">
        <v>40</v>
      </c>
      <c r="C437" s="16" t="str">
        <f t="shared" si="6"/>
        <v>华北</v>
      </c>
      <c r="D437" s="16" t="s">
        <v>500</v>
      </c>
      <c r="E437" s="16">
        <v>10</v>
      </c>
    </row>
    <row r="438" spans="1:5" x14ac:dyDescent="0.4">
      <c r="A438" s="16" t="s">
        <v>29</v>
      </c>
      <c r="B438" s="16" t="s">
        <v>48</v>
      </c>
      <c r="C438" s="16" t="str">
        <f t="shared" si="6"/>
        <v>华东</v>
      </c>
      <c r="D438" s="16" t="s">
        <v>501</v>
      </c>
      <c r="E438" s="16">
        <v>28</v>
      </c>
    </row>
    <row r="439" spans="1:5" x14ac:dyDescent="0.4">
      <c r="A439" s="16" t="s">
        <v>33</v>
      </c>
      <c r="B439" s="16" t="s">
        <v>83</v>
      </c>
      <c r="C439" s="16" t="str">
        <f t="shared" si="6"/>
        <v>西北</v>
      </c>
      <c r="D439" s="16" t="s">
        <v>502</v>
      </c>
      <c r="E439" s="16">
        <v>19</v>
      </c>
    </row>
    <row r="440" spans="1:5" x14ac:dyDescent="0.4">
      <c r="A440" s="16" t="s">
        <v>22</v>
      </c>
      <c r="B440" s="16" t="s">
        <v>63</v>
      </c>
      <c r="C440" s="16" t="str">
        <f t="shared" si="6"/>
        <v>西南</v>
      </c>
      <c r="D440" s="16" t="s">
        <v>503</v>
      </c>
      <c r="E440" s="16">
        <v>22</v>
      </c>
    </row>
    <row r="441" spans="1:5" x14ac:dyDescent="0.4">
      <c r="A441" s="16" t="s">
        <v>22</v>
      </c>
      <c r="B441" s="16" t="s">
        <v>69</v>
      </c>
      <c r="C441" s="16" t="str">
        <f t="shared" si="6"/>
        <v>华南</v>
      </c>
      <c r="D441" s="16" t="s">
        <v>504</v>
      </c>
      <c r="E441" s="16">
        <v>26</v>
      </c>
    </row>
    <row r="442" spans="1:5" x14ac:dyDescent="0.4">
      <c r="A442" s="16" t="s">
        <v>33</v>
      </c>
      <c r="B442" s="16" t="s">
        <v>83</v>
      </c>
      <c r="C442" s="16" t="str">
        <f t="shared" si="6"/>
        <v>西北</v>
      </c>
      <c r="D442" s="16" t="s">
        <v>505</v>
      </c>
      <c r="E442" s="16">
        <v>28</v>
      </c>
    </row>
    <row r="443" spans="1:5" x14ac:dyDescent="0.4">
      <c r="A443" s="16" t="s">
        <v>29</v>
      </c>
      <c r="B443" s="16" t="s">
        <v>63</v>
      </c>
      <c r="C443" s="16" t="str">
        <f t="shared" si="6"/>
        <v>西南</v>
      </c>
      <c r="D443" s="16" t="s">
        <v>506</v>
      </c>
      <c r="E443" s="16">
        <v>18</v>
      </c>
    </row>
    <row r="444" spans="1:5" x14ac:dyDescent="0.4">
      <c r="A444" s="16" t="s">
        <v>22</v>
      </c>
      <c r="B444" s="16" t="s">
        <v>63</v>
      </c>
      <c r="C444" s="16" t="str">
        <f t="shared" si="6"/>
        <v>西南</v>
      </c>
      <c r="D444" s="16" t="s">
        <v>507</v>
      </c>
      <c r="E444" s="16">
        <v>11</v>
      </c>
    </row>
    <row r="445" spans="1:5" x14ac:dyDescent="0.4">
      <c r="A445" s="16" t="s">
        <v>22</v>
      </c>
      <c r="B445" s="16" t="s">
        <v>63</v>
      </c>
      <c r="C445" s="16" t="str">
        <f t="shared" si="6"/>
        <v>西南</v>
      </c>
      <c r="D445" s="16" t="s">
        <v>508</v>
      </c>
      <c r="E445" s="16">
        <v>11</v>
      </c>
    </row>
    <row r="446" spans="1:5" x14ac:dyDescent="0.4">
      <c r="A446" s="16" t="s">
        <v>22</v>
      </c>
      <c r="B446" s="16" t="s">
        <v>63</v>
      </c>
      <c r="C446" s="16" t="str">
        <f t="shared" si="6"/>
        <v>西南</v>
      </c>
      <c r="D446" s="16" t="s">
        <v>509</v>
      </c>
      <c r="E446" s="16">
        <v>13</v>
      </c>
    </row>
    <row r="447" spans="1:5" x14ac:dyDescent="0.4">
      <c r="A447" s="16" t="s">
        <v>22</v>
      </c>
      <c r="B447" s="16" t="s">
        <v>63</v>
      </c>
      <c r="C447" s="16" t="str">
        <f t="shared" si="6"/>
        <v>西南</v>
      </c>
      <c r="D447" s="16" t="s">
        <v>510</v>
      </c>
      <c r="E447" s="16">
        <v>27</v>
      </c>
    </row>
    <row r="448" spans="1:5" x14ac:dyDescent="0.4">
      <c r="A448" s="16" t="s">
        <v>22</v>
      </c>
      <c r="B448" s="16" t="s">
        <v>63</v>
      </c>
      <c r="C448" s="16" t="str">
        <f t="shared" si="6"/>
        <v>西南</v>
      </c>
      <c r="D448" s="16" t="s">
        <v>511</v>
      </c>
      <c r="E448" s="16">
        <v>25</v>
      </c>
    </row>
    <row r="449" spans="1:5" x14ac:dyDescent="0.4">
      <c r="A449" s="16" t="s">
        <v>22</v>
      </c>
      <c r="B449" s="16" t="s">
        <v>63</v>
      </c>
      <c r="C449" s="16" t="str">
        <f t="shared" si="6"/>
        <v>西南</v>
      </c>
      <c r="D449" s="16" t="s">
        <v>512</v>
      </c>
      <c r="E449" s="16">
        <v>29</v>
      </c>
    </row>
    <row r="450" spans="1:5" x14ac:dyDescent="0.4">
      <c r="A450" s="16" t="s">
        <v>22</v>
      </c>
      <c r="B450" s="16" t="s">
        <v>63</v>
      </c>
      <c r="C450" s="16" t="str">
        <f t="shared" si="6"/>
        <v>西南</v>
      </c>
      <c r="D450" s="16" t="s">
        <v>513</v>
      </c>
      <c r="E450" s="16">
        <v>23</v>
      </c>
    </row>
    <row r="451" spans="1:5" x14ac:dyDescent="0.4">
      <c r="A451" s="16" t="s">
        <v>22</v>
      </c>
      <c r="B451" s="16" t="s">
        <v>63</v>
      </c>
      <c r="C451" s="16" t="str">
        <f t="shared" ref="C451:C514" si="7">_xlfn.XLOOKUP(B451,$I$2:$I$32,$J$2:$J$32)</f>
        <v>西南</v>
      </c>
      <c r="D451" s="16" t="s">
        <v>514</v>
      </c>
      <c r="E451" s="16">
        <v>26</v>
      </c>
    </row>
    <row r="452" spans="1:5" x14ac:dyDescent="0.4">
      <c r="A452" s="16" t="s">
        <v>22</v>
      </c>
      <c r="B452" s="16" t="s">
        <v>63</v>
      </c>
      <c r="C452" s="16" t="str">
        <f t="shared" si="7"/>
        <v>西南</v>
      </c>
      <c r="D452" s="16" t="s">
        <v>515</v>
      </c>
      <c r="E452" s="16">
        <v>10</v>
      </c>
    </row>
    <row r="453" spans="1:5" x14ac:dyDescent="0.4">
      <c r="A453" s="16" t="s">
        <v>29</v>
      </c>
      <c r="B453" s="16" t="s">
        <v>63</v>
      </c>
      <c r="C453" s="16" t="str">
        <f t="shared" si="7"/>
        <v>西南</v>
      </c>
      <c r="D453" s="16" t="s">
        <v>516</v>
      </c>
      <c r="E453" s="16">
        <v>15</v>
      </c>
    </row>
    <row r="454" spans="1:5" x14ac:dyDescent="0.4">
      <c r="A454" s="16" t="s">
        <v>29</v>
      </c>
      <c r="B454" s="16" t="s">
        <v>63</v>
      </c>
      <c r="C454" s="16" t="str">
        <f t="shared" si="7"/>
        <v>西南</v>
      </c>
      <c r="D454" s="16" t="s">
        <v>517</v>
      </c>
      <c r="E454" s="16">
        <v>16</v>
      </c>
    </row>
    <row r="455" spans="1:5" x14ac:dyDescent="0.4">
      <c r="A455" s="16" t="s">
        <v>22</v>
      </c>
      <c r="B455" s="16" t="s">
        <v>63</v>
      </c>
      <c r="C455" s="16" t="str">
        <f t="shared" si="7"/>
        <v>西南</v>
      </c>
      <c r="D455" s="16" t="s">
        <v>518</v>
      </c>
      <c r="E455" s="16">
        <v>25</v>
      </c>
    </row>
    <row r="456" spans="1:5" x14ac:dyDescent="0.4">
      <c r="A456" s="16" t="s">
        <v>22</v>
      </c>
      <c r="B456" s="16" t="s">
        <v>63</v>
      </c>
      <c r="C456" s="16" t="str">
        <f t="shared" si="7"/>
        <v>西南</v>
      </c>
      <c r="D456" s="16" t="s">
        <v>519</v>
      </c>
      <c r="E456" s="16">
        <v>26</v>
      </c>
    </row>
    <row r="457" spans="1:5" x14ac:dyDescent="0.4">
      <c r="A457" s="16" t="s">
        <v>22</v>
      </c>
      <c r="B457" s="16" t="s">
        <v>63</v>
      </c>
      <c r="C457" s="16" t="str">
        <f t="shared" si="7"/>
        <v>西南</v>
      </c>
      <c r="D457" s="16" t="s">
        <v>520</v>
      </c>
      <c r="E457" s="16">
        <v>16</v>
      </c>
    </row>
    <row r="458" spans="1:5" x14ac:dyDescent="0.4">
      <c r="A458" s="16" t="s">
        <v>22</v>
      </c>
      <c r="B458" s="16" t="s">
        <v>63</v>
      </c>
      <c r="C458" s="16" t="str">
        <f t="shared" si="7"/>
        <v>西南</v>
      </c>
      <c r="D458" s="16" t="s">
        <v>521</v>
      </c>
      <c r="E458" s="16">
        <v>25</v>
      </c>
    </row>
    <row r="459" spans="1:5" x14ac:dyDescent="0.4">
      <c r="A459" s="16" t="s">
        <v>22</v>
      </c>
      <c r="B459" s="16" t="s">
        <v>69</v>
      </c>
      <c r="C459" s="16" t="str">
        <f t="shared" si="7"/>
        <v>华南</v>
      </c>
      <c r="D459" s="16" t="s">
        <v>522</v>
      </c>
      <c r="E459" s="16">
        <v>20</v>
      </c>
    </row>
    <row r="460" spans="1:5" x14ac:dyDescent="0.4">
      <c r="A460" s="16" t="s">
        <v>29</v>
      </c>
      <c r="B460" s="16" t="s">
        <v>58</v>
      </c>
      <c r="C460" s="16" t="str">
        <f t="shared" si="7"/>
        <v>华中</v>
      </c>
      <c r="D460" s="16" t="s">
        <v>523</v>
      </c>
      <c r="E460" s="16">
        <v>28</v>
      </c>
    </row>
    <row r="461" spans="1:5" x14ac:dyDescent="0.4">
      <c r="A461" s="16" t="s">
        <v>29</v>
      </c>
      <c r="B461" s="16" t="s">
        <v>69</v>
      </c>
      <c r="C461" s="16" t="str">
        <f t="shared" si="7"/>
        <v>华南</v>
      </c>
      <c r="D461" s="16" t="s">
        <v>524</v>
      </c>
      <c r="E461" s="16">
        <v>18</v>
      </c>
    </row>
    <row r="462" spans="1:5" x14ac:dyDescent="0.4">
      <c r="A462" s="16" t="s">
        <v>22</v>
      </c>
      <c r="B462" s="16" t="s">
        <v>69</v>
      </c>
      <c r="C462" s="16" t="str">
        <f t="shared" si="7"/>
        <v>华南</v>
      </c>
      <c r="D462" s="16" t="s">
        <v>525</v>
      </c>
      <c r="E462" s="16">
        <v>10</v>
      </c>
    </row>
    <row r="463" spans="1:5" x14ac:dyDescent="0.4">
      <c r="A463" s="16" t="s">
        <v>22</v>
      </c>
      <c r="B463" s="16" t="s">
        <v>69</v>
      </c>
      <c r="C463" s="16" t="str">
        <f t="shared" si="7"/>
        <v>华南</v>
      </c>
      <c r="D463" s="16" t="s">
        <v>526</v>
      </c>
      <c r="E463" s="16">
        <v>23</v>
      </c>
    </row>
    <row r="464" spans="1:5" x14ac:dyDescent="0.4">
      <c r="A464" s="16" t="s">
        <v>29</v>
      </c>
      <c r="B464" s="16" t="s">
        <v>58</v>
      </c>
      <c r="C464" s="16" t="str">
        <f t="shared" si="7"/>
        <v>华中</v>
      </c>
      <c r="D464" s="16" t="s">
        <v>527</v>
      </c>
      <c r="E464" s="16">
        <v>11</v>
      </c>
    </row>
    <row r="465" spans="1:5" x14ac:dyDescent="0.4">
      <c r="A465" s="16" t="s">
        <v>33</v>
      </c>
      <c r="B465" s="16" t="s">
        <v>83</v>
      </c>
      <c r="C465" s="16" t="str">
        <f t="shared" si="7"/>
        <v>西北</v>
      </c>
      <c r="D465" s="16" t="s">
        <v>528</v>
      </c>
      <c r="E465" s="16">
        <v>15</v>
      </c>
    </row>
    <row r="466" spans="1:5" x14ac:dyDescent="0.4">
      <c r="A466" s="16" t="s">
        <v>29</v>
      </c>
      <c r="B466" s="16" t="s">
        <v>34</v>
      </c>
      <c r="C466" s="16" t="str">
        <f t="shared" si="7"/>
        <v>西北</v>
      </c>
      <c r="D466" s="16" t="s">
        <v>529</v>
      </c>
      <c r="E466" s="16">
        <v>25</v>
      </c>
    </row>
    <row r="467" spans="1:5" x14ac:dyDescent="0.4">
      <c r="A467" s="16" t="s">
        <v>22</v>
      </c>
      <c r="B467" s="16" t="s">
        <v>25</v>
      </c>
      <c r="C467" s="16" t="str">
        <f t="shared" si="7"/>
        <v>东北</v>
      </c>
      <c r="D467" s="16" t="s">
        <v>530</v>
      </c>
      <c r="E467" s="16">
        <v>24</v>
      </c>
    </row>
    <row r="468" spans="1:5" x14ac:dyDescent="0.4">
      <c r="A468" s="16" t="s">
        <v>22</v>
      </c>
      <c r="B468" s="16" t="s">
        <v>25</v>
      </c>
      <c r="C468" s="16" t="str">
        <f t="shared" si="7"/>
        <v>东北</v>
      </c>
      <c r="D468" s="16" t="s">
        <v>531</v>
      </c>
      <c r="E468" s="16">
        <v>20</v>
      </c>
    </row>
    <row r="469" spans="1:5" x14ac:dyDescent="0.4">
      <c r="A469" s="16" t="s">
        <v>22</v>
      </c>
      <c r="B469" s="16" t="s">
        <v>34</v>
      </c>
      <c r="C469" s="16" t="str">
        <f t="shared" si="7"/>
        <v>西北</v>
      </c>
      <c r="D469" s="16" t="s">
        <v>532</v>
      </c>
      <c r="E469" s="16">
        <v>20</v>
      </c>
    </row>
    <row r="470" spans="1:5" x14ac:dyDescent="0.4">
      <c r="A470" s="16" t="s">
        <v>22</v>
      </c>
      <c r="B470" s="16" t="s">
        <v>53</v>
      </c>
      <c r="C470" s="16" t="str">
        <f t="shared" si="7"/>
        <v>华东</v>
      </c>
      <c r="D470" s="16" t="s">
        <v>533</v>
      </c>
      <c r="E470" s="16">
        <v>24</v>
      </c>
    </row>
    <row r="471" spans="1:5" x14ac:dyDescent="0.4">
      <c r="A471" s="16" t="s">
        <v>29</v>
      </c>
      <c r="B471" s="16" t="s">
        <v>53</v>
      </c>
      <c r="C471" s="16" t="str">
        <f t="shared" si="7"/>
        <v>华东</v>
      </c>
      <c r="D471" s="16" t="s">
        <v>534</v>
      </c>
      <c r="E471" s="16">
        <v>24</v>
      </c>
    </row>
    <row r="472" spans="1:5" x14ac:dyDescent="0.4">
      <c r="A472" s="16" t="s">
        <v>29</v>
      </c>
      <c r="B472" s="16" t="s">
        <v>65</v>
      </c>
      <c r="C472" s="16" t="str">
        <f t="shared" si="7"/>
        <v>华南</v>
      </c>
      <c r="D472" s="16" t="s">
        <v>535</v>
      </c>
      <c r="E472" s="16">
        <v>28</v>
      </c>
    </row>
    <row r="473" spans="1:5" x14ac:dyDescent="0.4">
      <c r="A473" s="16" t="s">
        <v>29</v>
      </c>
      <c r="B473" s="16" t="s">
        <v>28</v>
      </c>
      <c r="C473" s="16" t="str">
        <f t="shared" si="7"/>
        <v>东北</v>
      </c>
      <c r="D473" s="16" t="s">
        <v>536</v>
      </c>
      <c r="E473" s="16">
        <v>21</v>
      </c>
    </row>
    <row r="474" spans="1:5" x14ac:dyDescent="0.4">
      <c r="A474" s="16" t="s">
        <v>22</v>
      </c>
      <c r="B474" s="16" t="s">
        <v>71</v>
      </c>
      <c r="C474" s="16" t="str">
        <f t="shared" si="7"/>
        <v>华南</v>
      </c>
      <c r="D474" s="16" t="s">
        <v>537</v>
      </c>
      <c r="E474" s="16">
        <v>20</v>
      </c>
    </row>
    <row r="475" spans="1:5" x14ac:dyDescent="0.4">
      <c r="A475" s="16" t="s">
        <v>22</v>
      </c>
      <c r="B475" s="16" t="s">
        <v>71</v>
      </c>
      <c r="C475" s="16" t="str">
        <f t="shared" si="7"/>
        <v>华南</v>
      </c>
      <c r="D475" s="16" t="s">
        <v>538</v>
      </c>
      <c r="E475" s="16">
        <v>22</v>
      </c>
    </row>
    <row r="476" spans="1:5" x14ac:dyDescent="0.4">
      <c r="A476" s="16" t="s">
        <v>29</v>
      </c>
      <c r="B476" s="16" t="s">
        <v>71</v>
      </c>
      <c r="C476" s="16" t="str">
        <f t="shared" si="7"/>
        <v>华南</v>
      </c>
      <c r="D476" s="16" t="s">
        <v>539</v>
      </c>
      <c r="E476" s="16">
        <v>19</v>
      </c>
    </row>
    <row r="477" spans="1:5" x14ac:dyDescent="0.4">
      <c r="A477" s="16" t="s">
        <v>29</v>
      </c>
      <c r="B477" s="16" t="s">
        <v>25</v>
      </c>
      <c r="C477" s="16" t="str">
        <f t="shared" si="7"/>
        <v>东北</v>
      </c>
      <c r="D477" s="16" t="s">
        <v>540</v>
      </c>
      <c r="E477" s="16">
        <v>29</v>
      </c>
    </row>
    <row r="478" spans="1:5" x14ac:dyDescent="0.4">
      <c r="A478" s="16" t="s">
        <v>33</v>
      </c>
      <c r="B478" s="16" t="s">
        <v>25</v>
      </c>
      <c r="C478" s="16" t="str">
        <f t="shared" si="7"/>
        <v>东北</v>
      </c>
      <c r="D478" s="16" t="s">
        <v>541</v>
      </c>
      <c r="E478" s="16">
        <v>27</v>
      </c>
    </row>
    <row r="479" spans="1:5" x14ac:dyDescent="0.4">
      <c r="A479" s="16" t="s">
        <v>22</v>
      </c>
      <c r="B479" s="16" t="s">
        <v>65</v>
      </c>
      <c r="C479" s="16" t="str">
        <f t="shared" si="7"/>
        <v>华南</v>
      </c>
      <c r="D479" s="16" t="s">
        <v>542</v>
      </c>
      <c r="E479" s="16">
        <v>26</v>
      </c>
    </row>
    <row r="480" spans="1:5" x14ac:dyDescent="0.4">
      <c r="A480" s="16" t="s">
        <v>22</v>
      </c>
      <c r="B480" s="16" t="s">
        <v>53</v>
      </c>
      <c r="C480" s="16" t="str">
        <f t="shared" si="7"/>
        <v>华东</v>
      </c>
      <c r="D480" s="16" t="s">
        <v>543</v>
      </c>
      <c r="E480" s="16">
        <v>27</v>
      </c>
    </row>
    <row r="481" spans="1:5" x14ac:dyDescent="0.4">
      <c r="A481" s="16" t="s">
        <v>22</v>
      </c>
      <c r="B481" s="16" t="s">
        <v>71</v>
      </c>
      <c r="C481" s="16" t="str">
        <f t="shared" si="7"/>
        <v>华南</v>
      </c>
      <c r="D481" s="16" t="s">
        <v>544</v>
      </c>
      <c r="E481" s="16">
        <v>29</v>
      </c>
    </row>
    <row r="482" spans="1:5" x14ac:dyDescent="0.4">
      <c r="A482" s="16" t="s">
        <v>22</v>
      </c>
      <c r="B482" s="16" t="s">
        <v>61</v>
      </c>
      <c r="C482" s="16" t="str">
        <f t="shared" si="7"/>
        <v>华东</v>
      </c>
      <c r="D482" s="16" t="s">
        <v>545</v>
      </c>
      <c r="E482" s="16">
        <v>16</v>
      </c>
    </row>
    <row r="483" spans="1:5" x14ac:dyDescent="0.4">
      <c r="A483" s="16" t="s">
        <v>29</v>
      </c>
      <c r="B483" s="16" t="s">
        <v>40</v>
      </c>
      <c r="C483" s="16" t="str">
        <f t="shared" si="7"/>
        <v>华北</v>
      </c>
      <c r="D483" s="16" t="s">
        <v>546</v>
      </c>
      <c r="E483" s="16">
        <v>14</v>
      </c>
    </row>
    <row r="484" spans="1:5" x14ac:dyDescent="0.4">
      <c r="A484" s="16" t="s">
        <v>22</v>
      </c>
      <c r="B484" s="16" t="s">
        <v>61</v>
      </c>
      <c r="C484" s="16" t="str">
        <f t="shared" si="7"/>
        <v>华东</v>
      </c>
      <c r="D484" s="16" t="s">
        <v>547</v>
      </c>
      <c r="E484" s="16">
        <v>29</v>
      </c>
    </row>
    <row r="485" spans="1:5" x14ac:dyDescent="0.4">
      <c r="A485" s="16" t="s">
        <v>33</v>
      </c>
      <c r="B485" s="16" t="s">
        <v>83</v>
      </c>
      <c r="C485" s="16" t="str">
        <f t="shared" si="7"/>
        <v>西北</v>
      </c>
      <c r="D485" s="16" t="s">
        <v>548</v>
      </c>
      <c r="E485" s="16">
        <v>21</v>
      </c>
    </row>
    <row r="486" spans="1:5" x14ac:dyDescent="0.4">
      <c r="A486" s="16" t="s">
        <v>33</v>
      </c>
      <c r="B486" s="16" t="s">
        <v>81</v>
      </c>
      <c r="C486" s="16" t="str">
        <f t="shared" si="7"/>
        <v>西北</v>
      </c>
      <c r="D486" s="16" t="s">
        <v>549</v>
      </c>
      <c r="E486" s="16">
        <v>20</v>
      </c>
    </row>
    <row r="487" spans="1:5" x14ac:dyDescent="0.4">
      <c r="A487" s="16" t="s">
        <v>22</v>
      </c>
      <c r="B487" s="16" t="s">
        <v>53</v>
      </c>
      <c r="C487" s="16" t="str">
        <f t="shared" si="7"/>
        <v>华东</v>
      </c>
      <c r="D487" s="16" t="s">
        <v>550</v>
      </c>
      <c r="E487" s="16">
        <v>15</v>
      </c>
    </row>
    <row r="488" spans="1:5" x14ac:dyDescent="0.4">
      <c r="A488" s="16" t="s">
        <v>22</v>
      </c>
      <c r="B488" s="16" t="s">
        <v>53</v>
      </c>
      <c r="C488" s="16" t="str">
        <f t="shared" si="7"/>
        <v>华东</v>
      </c>
      <c r="D488" s="16" t="s">
        <v>551</v>
      </c>
      <c r="E488" s="16">
        <v>23</v>
      </c>
    </row>
    <row r="489" spans="1:5" x14ac:dyDescent="0.4">
      <c r="A489" s="16" t="s">
        <v>29</v>
      </c>
      <c r="B489" s="16" t="s">
        <v>40</v>
      </c>
      <c r="C489" s="16" t="str">
        <f t="shared" si="7"/>
        <v>华北</v>
      </c>
      <c r="D489" s="16" t="s">
        <v>552</v>
      </c>
      <c r="E489" s="16">
        <v>16</v>
      </c>
    </row>
    <row r="490" spans="1:5" x14ac:dyDescent="0.4">
      <c r="A490" s="16" t="s">
        <v>33</v>
      </c>
      <c r="B490" s="16" t="s">
        <v>40</v>
      </c>
      <c r="C490" s="16" t="str">
        <f t="shared" si="7"/>
        <v>华北</v>
      </c>
      <c r="D490" s="16" t="s">
        <v>553</v>
      </c>
      <c r="E490" s="16">
        <v>10</v>
      </c>
    </row>
    <row r="491" spans="1:5" x14ac:dyDescent="0.4">
      <c r="A491" s="16" t="s">
        <v>22</v>
      </c>
      <c r="B491" s="16" t="s">
        <v>40</v>
      </c>
      <c r="C491" s="16" t="str">
        <f t="shared" si="7"/>
        <v>华北</v>
      </c>
      <c r="D491" s="16" t="s">
        <v>554</v>
      </c>
      <c r="E491" s="16">
        <v>24</v>
      </c>
    </row>
    <row r="492" spans="1:5" x14ac:dyDescent="0.4">
      <c r="A492" s="16" t="s">
        <v>22</v>
      </c>
      <c r="B492" s="16" t="s">
        <v>48</v>
      </c>
      <c r="C492" s="16" t="str">
        <f t="shared" si="7"/>
        <v>华东</v>
      </c>
      <c r="D492" s="16" t="s">
        <v>555</v>
      </c>
      <c r="E492" s="16">
        <v>29</v>
      </c>
    </row>
    <row r="493" spans="1:5" x14ac:dyDescent="0.4">
      <c r="A493" s="16" t="s">
        <v>33</v>
      </c>
      <c r="B493" s="16" t="s">
        <v>76</v>
      </c>
      <c r="C493" s="16" t="str">
        <f t="shared" si="7"/>
        <v>西北</v>
      </c>
      <c r="D493" s="16" t="s">
        <v>556</v>
      </c>
      <c r="E493" s="16">
        <v>19</v>
      </c>
    </row>
    <row r="494" spans="1:5" x14ac:dyDescent="0.4">
      <c r="A494" s="16" t="s">
        <v>33</v>
      </c>
      <c r="B494" s="16" t="s">
        <v>36</v>
      </c>
      <c r="C494" s="16" t="str">
        <f t="shared" si="7"/>
        <v>华北</v>
      </c>
      <c r="D494" s="16" t="s">
        <v>557</v>
      </c>
      <c r="E494" s="16">
        <v>20</v>
      </c>
    </row>
    <row r="495" spans="1:5" x14ac:dyDescent="0.4">
      <c r="A495" s="16" t="s">
        <v>33</v>
      </c>
      <c r="B495" s="16" t="s">
        <v>67</v>
      </c>
      <c r="C495" s="16" t="str">
        <f t="shared" si="7"/>
        <v>华中</v>
      </c>
      <c r="D495" s="16" t="s">
        <v>558</v>
      </c>
      <c r="E495" s="16">
        <v>16</v>
      </c>
    </row>
    <row r="496" spans="1:5" x14ac:dyDescent="0.4">
      <c r="A496" s="16" t="s">
        <v>22</v>
      </c>
      <c r="B496" s="16" t="s">
        <v>67</v>
      </c>
      <c r="C496" s="16" t="str">
        <f t="shared" si="7"/>
        <v>华中</v>
      </c>
      <c r="D496" s="16" t="s">
        <v>559</v>
      </c>
      <c r="E496" s="16">
        <v>26</v>
      </c>
    </row>
    <row r="497" spans="1:5" x14ac:dyDescent="0.4">
      <c r="A497" s="16" t="s">
        <v>29</v>
      </c>
      <c r="B497" s="16" t="s">
        <v>58</v>
      </c>
      <c r="C497" s="16" t="str">
        <f t="shared" si="7"/>
        <v>华中</v>
      </c>
      <c r="D497" s="16" t="s">
        <v>560</v>
      </c>
      <c r="E497" s="16">
        <v>26</v>
      </c>
    </row>
    <row r="498" spans="1:5" x14ac:dyDescent="0.4">
      <c r="A498" s="16" t="s">
        <v>22</v>
      </c>
      <c r="B498" s="16" t="s">
        <v>76</v>
      </c>
      <c r="C498" s="16" t="str">
        <f t="shared" si="7"/>
        <v>西北</v>
      </c>
      <c r="D498" s="16" t="s">
        <v>561</v>
      </c>
      <c r="E498" s="16">
        <v>19</v>
      </c>
    </row>
    <row r="499" spans="1:5" x14ac:dyDescent="0.4">
      <c r="A499" s="16" t="s">
        <v>29</v>
      </c>
      <c r="B499" s="16" t="s">
        <v>23</v>
      </c>
      <c r="C499" s="16" t="str">
        <f t="shared" si="7"/>
        <v>西南</v>
      </c>
      <c r="D499" s="16" t="s">
        <v>562</v>
      </c>
      <c r="E499" s="16">
        <v>11</v>
      </c>
    </row>
    <row r="500" spans="1:5" x14ac:dyDescent="0.4">
      <c r="A500" s="16" t="s">
        <v>33</v>
      </c>
      <c r="B500" s="16" t="s">
        <v>30</v>
      </c>
      <c r="C500" s="16" t="str">
        <f t="shared" si="7"/>
        <v>华北</v>
      </c>
      <c r="D500" s="16" t="s">
        <v>563</v>
      </c>
      <c r="E500" s="16">
        <v>25</v>
      </c>
    </row>
    <row r="501" spans="1:5" x14ac:dyDescent="0.4">
      <c r="A501" s="16" t="s">
        <v>22</v>
      </c>
      <c r="B501" s="16" t="s">
        <v>61</v>
      </c>
      <c r="C501" s="16" t="str">
        <f t="shared" si="7"/>
        <v>华东</v>
      </c>
      <c r="D501" s="16" t="s">
        <v>564</v>
      </c>
      <c r="E501" s="16">
        <v>22</v>
      </c>
    </row>
    <row r="502" spans="1:5" x14ac:dyDescent="0.4">
      <c r="A502" s="16" t="s">
        <v>22</v>
      </c>
      <c r="B502" s="16" t="s">
        <v>61</v>
      </c>
      <c r="C502" s="16" t="str">
        <f t="shared" si="7"/>
        <v>华东</v>
      </c>
      <c r="D502" s="16" t="s">
        <v>565</v>
      </c>
      <c r="E502" s="16">
        <v>16</v>
      </c>
    </row>
    <row r="503" spans="1:5" x14ac:dyDescent="0.4">
      <c r="A503" s="16" t="s">
        <v>22</v>
      </c>
      <c r="B503" s="16" t="s">
        <v>61</v>
      </c>
      <c r="C503" s="16" t="str">
        <f t="shared" si="7"/>
        <v>华东</v>
      </c>
      <c r="D503" s="16" t="s">
        <v>566</v>
      </c>
      <c r="E503" s="16">
        <v>24</v>
      </c>
    </row>
    <row r="504" spans="1:5" x14ac:dyDescent="0.4">
      <c r="A504" s="16" t="s">
        <v>22</v>
      </c>
      <c r="B504" s="16" t="s">
        <v>48</v>
      </c>
      <c r="C504" s="16" t="str">
        <f t="shared" si="7"/>
        <v>华东</v>
      </c>
      <c r="D504" s="16" t="s">
        <v>567</v>
      </c>
      <c r="E504" s="16">
        <v>27</v>
      </c>
    </row>
    <row r="505" spans="1:5" x14ac:dyDescent="0.4">
      <c r="A505" s="16" t="s">
        <v>33</v>
      </c>
      <c r="B505" s="16" t="s">
        <v>69</v>
      </c>
      <c r="C505" s="16" t="str">
        <f t="shared" si="7"/>
        <v>华南</v>
      </c>
      <c r="D505" s="16" t="s">
        <v>568</v>
      </c>
      <c r="E505" s="16">
        <v>27</v>
      </c>
    </row>
    <row r="506" spans="1:5" x14ac:dyDescent="0.4">
      <c r="A506" s="16" t="s">
        <v>22</v>
      </c>
      <c r="B506" s="16" t="s">
        <v>69</v>
      </c>
      <c r="C506" s="16" t="str">
        <f t="shared" si="7"/>
        <v>华南</v>
      </c>
      <c r="D506" s="16" t="s">
        <v>569</v>
      </c>
      <c r="E506" s="16">
        <v>13</v>
      </c>
    </row>
    <row r="507" spans="1:5" x14ac:dyDescent="0.4">
      <c r="A507" s="16" t="s">
        <v>33</v>
      </c>
      <c r="B507" s="16" t="s">
        <v>34</v>
      </c>
      <c r="C507" s="16" t="str">
        <f t="shared" si="7"/>
        <v>西北</v>
      </c>
      <c r="D507" s="16" t="s">
        <v>570</v>
      </c>
      <c r="E507" s="16">
        <v>19</v>
      </c>
    </row>
    <row r="508" spans="1:5" x14ac:dyDescent="0.4">
      <c r="A508" s="16" t="s">
        <v>29</v>
      </c>
      <c r="B508" s="16" t="s">
        <v>34</v>
      </c>
      <c r="C508" s="16" t="str">
        <f t="shared" si="7"/>
        <v>西北</v>
      </c>
      <c r="D508" s="16" t="s">
        <v>571</v>
      </c>
      <c r="E508" s="16">
        <v>16</v>
      </c>
    </row>
    <row r="509" spans="1:5" x14ac:dyDescent="0.4">
      <c r="A509" s="16" t="s">
        <v>29</v>
      </c>
      <c r="B509" s="16" t="s">
        <v>30</v>
      </c>
      <c r="C509" s="16" t="str">
        <f t="shared" si="7"/>
        <v>华北</v>
      </c>
      <c r="D509" s="16" t="s">
        <v>572</v>
      </c>
      <c r="E509" s="16">
        <v>28</v>
      </c>
    </row>
    <row r="510" spans="1:5" x14ac:dyDescent="0.4">
      <c r="A510" s="16" t="s">
        <v>22</v>
      </c>
      <c r="B510" s="16" t="s">
        <v>28</v>
      </c>
      <c r="C510" s="16" t="str">
        <f t="shared" si="7"/>
        <v>东北</v>
      </c>
      <c r="D510" s="16" t="s">
        <v>573</v>
      </c>
      <c r="E510" s="16">
        <v>29</v>
      </c>
    </row>
    <row r="511" spans="1:5" x14ac:dyDescent="0.4">
      <c r="A511" s="16" t="s">
        <v>22</v>
      </c>
      <c r="B511" s="16" t="s">
        <v>65</v>
      </c>
      <c r="C511" s="16" t="str">
        <f t="shared" si="7"/>
        <v>华南</v>
      </c>
      <c r="D511" s="16" t="s">
        <v>574</v>
      </c>
      <c r="E511" s="16">
        <v>28</v>
      </c>
    </row>
    <row r="512" spans="1:5" x14ac:dyDescent="0.4">
      <c r="A512" s="16" t="s">
        <v>29</v>
      </c>
      <c r="B512" s="16" t="s">
        <v>34</v>
      </c>
      <c r="C512" s="16" t="str">
        <f t="shared" si="7"/>
        <v>西北</v>
      </c>
      <c r="D512" s="16" t="s">
        <v>575</v>
      </c>
      <c r="E512" s="16">
        <v>19</v>
      </c>
    </row>
    <row r="513" spans="1:5" x14ac:dyDescent="0.4">
      <c r="A513" s="16" t="s">
        <v>22</v>
      </c>
      <c r="B513" s="16" t="s">
        <v>48</v>
      </c>
      <c r="C513" s="16" t="str">
        <f t="shared" si="7"/>
        <v>华东</v>
      </c>
      <c r="D513" s="16" t="s">
        <v>576</v>
      </c>
      <c r="E513" s="16">
        <v>26</v>
      </c>
    </row>
    <row r="514" spans="1:5" x14ac:dyDescent="0.4">
      <c r="A514" s="16" t="s">
        <v>29</v>
      </c>
      <c r="B514" s="16" t="s">
        <v>48</v>
      </c>
      <c r="C514" s="16" t="str">
        <f t="shared" si="7"/>
        <v>华东</v>
      </c>
      <c r="D514" s="16" t="s">
        <v>577</v>
      </c>
      <c r="E514" s="16">
        <v>22</v>
      </c>
    </row>
    <row r="515" spans="1:5" x14ac:dyDescent="0.4">
      <c r="A515" s="16" t="s">
        <v>33</v>
      </c>
      <c r="B515" s="16" t="s">
        <v>40</v>
      </c>
      <c r="C515" s="16" t="str">
        <f t="shared" ref="C515:C578" si="8">_xlfn.XLOOKUP(B515,$I$2:$I$32,$J$2:$J$32)</f>
        <v>华北</v>
      </c>
      <c r="D515" s="16" t="s">
        <v>578</v>
      </c>
      <c r="E515" s="16">
        <v>20</v>
      </c>
    </row>
    <row r="516" spans="1:5" x14ac:dyDescent="0.4">
      <c r="A516" s="16" t="s">
        <v>22</v>
      </c>
      <c r="B516" s="16" t="s">
        <v>40</v>
      </c>
      <c r="C516" s="16" t="str">
        <f t="shared" si="8"/>
        <v>华北</v>
      </c>
      <c r="D516" s="16" t="s">
        <v>579</v>
      </c>
      <c r="E516" s="16">
        <v>18</v>
      </c>
    </row>
    <row r="517" spans="1:5" x14ac:dyDescent="0.4">
      <c r="A517" s="16" t="s">
        <v>29</v>
      </c>
      <c r="B517" s="16" t="s">
        <v>40</v>
      </c>
      <c r="C517" s="16" t="str">
        <f t="shared" si="8"/>
        <v>华北</v>
      </c>
      <c r="D517" s="16" t="s">
        <v>580</v>
      </c>
      <c r="E517" s="16">
        <v>27</v>
      </c>
    </row>
    <row r="518" spans="1:5" x14ac:dyDescent="0.4">
      <c r="A518" s="16" t="s">
        <v>22</v>
      </c>
      <c r="B518" s="16" t="s">
        <v>69</v>
      </c>
      <c r="C518" s="16" t="str">
        <f t="shared" si="8"/>
        <v>华南</v>
      </c>
      <c r="D518" s="16" t="s">
        <v>581</v>
      </c>
      <c r="E518" s="16">
        <v>24</v>
      </c>
    </row>
    <row r="519" spans="1:5" x14ac:dyDescent="0.4">
      <c r="A519" s="16" t="s">
        <v>22</v>
      </c>
      <c r="B519" s="16" t="s">
        <v>57</v>
      </c>
      <c r="C519" s="16" t="str">
        <f t="shared" si="8"/>
        <v>华东</v>
      </c>
      <c r="D519" s="16" t="s">
        <v>582</v>
      </c>
      <c r="E519" s="16">
        <v>29</v>
      </c>
    </row>
    <row r="520" spans="1:5" x14ac:dyDescent="0.4">
      <c r="A520" s="16" t="s">
        <v>29</v>
      </c>
      <c r="B520" s="16" t="s">
        <v>57</v>
      </c>
      <c r="C520" s="16" t="str">
        <f t="shared" si="8"/>
        <v>华东</v>
      </c>
      <c r="D520" s="16" t="s">
        <v>583</v>
      </c>
      <c r="E520" s="16">
        <v>22</v>
      </c>
    </row>
    <row r="521" spans="1:5" x14ac:dyDescent="0.4">
      <c r="A521" s="16" t="s">
        <v>22</v>
      </c>
      <c r="B521" s="16" t="s">
        <v>40</v>
      </c>
      <c r="C521" s="16" t="str">
        <f t="shared" si="8"/>
        <v>华北</v>
      </c>
      <c r="D521" s="16" t="s">
        <v>584</v>
      </c>
      <c r="E521" s="16">
        <v>25</v>
      </c>
    </row>
    <row r="522" spans="1:5" x14ac:dyDescent="0.4">
      <c r="A522" s="16" t="s">
        <v>22</v>
      </c>
      <c r="B522" s="16" t="s">
        <v>73</v>
      </c>
      <c r="C522" s="16" t="str">
        <f t="shared" si="8"/>
        <v>华中</v>
      </c>
      <c r="D522" s="16" t="s">
        <v>585</v>
      </c>
      <c r="E522" s="16">
        <v>15</v>
      </c>
    </row>
    <row r="523" spans="1:5" x14ac:dyDescent="0.4">
      <c r="A523" s="16" t="s">
        <v>22</v>
      </c>
      <c r="B523" s="16" t="s">
        <v>73</v>
      </c>
      <c r="C523" s="16" t="str">
        <f t="shared" si="8"/>
        <v>华中</v>
      </c>
      <c r="D523" s="16" t="s">
        <v>586</v>
      </c>
      <c r="E523" s="16">
        <v>27</v>
      </c>
    </row>
    <row r="524" spans="1:5" x14ac:dyDescent="0.4">
      <c r="A524" s="16" t="s">
        <v>33</v>
      </c>
      <c r="B524" s="16" t="s">
        <v>83</v>
      </c>
      <c r="C524" s="16" t="str">
        <f t="shared" si="8"/>
        <v>西北</v>
      </c>
      <c r="D524" s="16" t="s">
        <v>587</v>
      </c>
      <c r="E524" s="16">
        <v>26</v>
      </c>
    </row>
    <row r="525" spans="1:5" x14ac:dyDescent="0.4">
      <c r="A525" s="16" t="s">
        <v>29</v>
      </c>
      <c r="B525" s="16" t="s">
        <v>73</v>
      </c>
      <c r="C525" s="16" t="str">
        <f t="shared" si="8"/>
        <v>华中</v>
      </c>
      <c r="D525" s="16" t="s">
        <v>588</v>
      </c>
      <c r="E525" s="16">
        <v>20</v>
      </c>
    </row>
    <row r="526" spans="1:5" x14ac:dyDescent="0.4">
      <c r="A526" s="16" t="s">
        <v>22</v>
      </c>
      <c r="B526" s="16" t="s">
        <v>44</v>
      </c>
      <c r="C526" s="16" t="str">
        <f t="shared" si="8"/>
        <v>华北</v>
      </c>
      <c r="D526" s="16" t="s">
        <v>589</v>
      </c>
      <c r="E526" s="16">
        <v>26</v>
      </c>
    </row>
    <row r="527" spans="1:5" x14ac:dyDescent="0.4">
      <c r="A527" s="16" t="s">
        <v>29</v>
      </c>
      <c r="B527" s="16" t="s">
        <v>30</v>
      </c>
      <c r="C527" s="16" t="str">
        <f t="shared" si="8"/>
        <v>华北</v>
      </c>
      <c r="D527" s="16" t="s">
        <v>590</v>
      </c>
      <c r="E527" s="16">
        <v>24</v>
      </c>
    </row>
    <row r="528" spans="1:5" x14ac:dyDescent="0.4">
      <c r="A528" s="16" t="s">
        <v>22</v>
      </c>
      <c r="B528" s="16" t="s">
        <v>65</v>
      </c>
      <c r="C528" s="16" t="str">
        <f t="shared" si="8"/>
        <v>华南</v>
      </c>
      <c r="D528" s="16" t="s">
        <v>591</v>
      </c>
      <c r="E528" s="16">
        <v>28</v>
      </c>
    </row>
    <row r="529" spans="1:5" x14ac:dyDescent="0.4">
      <c r="A529" s="16" t="s">
        <v>22</v>
      </c>
      <c r="B529" s="16" t="s">
        <v>57</v>
      </c>
      <c r="C529" s="16" t="str">
        <f t="shared" si="8"/>
        <v>华东</v>
      </c>
      <c r="D529" s="16" t="s">
        <v>592</v>
      </c>
      <c r="E529" s="16">
        <v>15</v>
      </c>
    </row>
    <row r="530" spans="1:5" x14ac:dyDescent="0.4">
      <c r="A530" s="16" t="s">
        <v>33</v>
      </c>
      <c r="B530" s="16" t="s">
        <v>81</v>
      </c>
      <c r="C530" s="16" t="str">
        <f t="shared" si="8"/>
        <v>西北</v>
      </c>
      <c r="D530" s="16" t="s">
        <v>593</v>
      </c>
      <c r="E530" s="16">
        <v>26</v>
      </c>
    </row>
    <row r="531" spans="1:5" x14ac:dyDescent="0.4">
      <c r="A531" s="16" t="s">
        <v>22</v>
      </c>
      <c r="B531" s="16" t="s">
        <v>81</v>
      </c>
      <c r="C531" s="16" t="str">
        <f t="shared" si="8"/>
        <v>西北</v>
      </c>
      <c r="D531" s="16" t="s">
        <v>594</v>
      </c>
      <c r="E531" s="16">
        <v>11</v>
      </c>
    </row>
    <row r="532" spans="1:5" x14ac:dyDescent="0.4">
      <c r="A532" s="16" t="s">
        <v>22</v>
      </c>
      <c r="B532" s="16" t="s">
        <v>63</v>
      </c>
      <c r="C532" s="16" t="str">
        <f t="shared" si="8"/>
        <v>西南</v>
      </c>
      <c r="D532" s="16" t="s">
        <v>595</v>
      </c>
      <c r="E532" s="16">
        <v>19</v>
      </c>
    </row>
    <row r="533" spans="1:5" x14ac:dyDescent="0.4">
      <c r="A533" s="16" t="s">
        <v>22</v>
      </c>
      <c r="B533" s="16" t="s">
        <v>73</v>
      </c>
      <c r="C533" s="16" t="str">
        <f t="shared" si="8"/>
        <v>华中</v>
      </c>
      <c r="D533" s="16" t="s">
        <v>596</v>
      </c>
      <c r="E533" s="16">
        <v>27</v>
      </c>
    </row>
    <row r="534" spans="1:5" x14ac:dyDescent="0.4">
      <c r="A534" s="16" t="s">
        <v>33</v>
      </c>
      <c r="B534" s="16" t="s">
        <v>67</v>
      </c>
      <c r="C534" s="16" t="str">
        <f t="shared" si="8"/>
        <v>华中</v>
      </c>
      <c r="D534" s="16" t="s">
        <v>597</v>
      </c>
      <c r="E534" s="16">
        <v>28</v>
      </c>
    </row>
    <row r="535" spans="1:5" x14ac:dyDescent="0.4">
      <c r="A535" s="16" t="s">
        <v>22</v>
      </c>
      <c r="B535" s="16" t="s">
        <v>65</v>
      </c>
      <c r="C535" s="16" t="str">
        <f t="shared" si="8"/>
        <v>华南</v>
      </c>
      <c r="D535" s="16" t="s">
        <v>598</v>
      </c>
      <c r="E535" s="16">
        <v>19</v>
      </c>
    </row>
    <row r="536" spans="1:5" x14ac:dyDescent="0.4">
      <c r="A536" s="16" t="s">
        <v>22</v>
      </c>
      <c r="B536" s="16" t="s">
        <v>25</v>
      </c>
      <c r="C536" s="16" t="str">
        <f t="shared" si="8"/>
        <v>东北</v>
      </c>
      <c r="D536" s="16" t="s">
        <v>599</v>
      </c>
      <c r="E536" s="16">
        <v>20</v>
      </c>
    </row>
    <row r="537" spans="1:5" x14ac:dyDescent="0.4">
      <c r="A537" s="16" t="s">
        <v>29</v>
      </c>
      <c r="B537" s="16" t="s">
        <v>60</v>
      </c>
      <c r="C537" s="16" t="str">
        <f t="shared" si="8"/>
        <v>华东</v>
      </c>
      <c r="D537" s="16" t="s">
        <v>600</v>
      </c>
      <c r="E537" s="16">
        <v>12</v>
      </c>
    </row>
    <row r="538" spans="1:5" x14ac:dyDescent="0.4">
      <c r="A538" s="16" t="s">
        <v>29</v>
      </c>
      <c r="B538" s="16" t="s">
        <v>55</v>
      </c>
      <c r="C538" s="16" t="str">
        <f t="shared" si="8"/>
        <v>华东</v>
      </c>
      <c r="D538" s="16" t="s">
        <v>601</v>
      </c>
      <c r="E538" s="16">
        <v>10</v>
      </c>
    </row>
    <row r="539" spans="1:5" x14ac:dyDescent="0.4">
      <c r="A539" s="16" t="s">
        <v>33</v>
      </c>
      <c r="B539" s="16" t="s">
        <v>76</v>
      </c>
      <c r="C539" s="16" t="str">
        <f t="shared" si="8"/>
        <v>西北</v>
      </c>
      <c r="D539" s="16" t="s">
        <v>602</v>
      </c>
      <c r="E539" s="16">
        <v>24</v>
      </c>
    </row>
    <row r="540" spans="1:5" x14ac:dyDescent="0.4">
      <c r="A540" s="16" t="s">
        <v>29</v>
      </c>
      <c r="B540" s="16" t="s">
        <v>58</v>
      </c>
      <c r="C540" s="16" t="str">
        <f t="shared" si="8"/>
        <v>华中</v>
      </c>
      <c r="D540" s="16" t="s">
        <v>603</v>
      </c>
      <c r="E540" s="16">
        <v>19</v>
      </c>
    </row>
    <row r="541" spans="1:5" x14ac:dyDescent="0.4">
      <c r="A541" s="16" t="s">
        <v>29</v>
      </c>
      <c r="B541" s="16" t="s">
        <v>40</v>
      </c>
      <c r="C541" s="16" t="str">
        <f t="shared" si="8"/>
        <v>华北</v>
      </c>
      <c r="D541" s="16" t="s">
        <v>604</v>
      </c>
      <c r="E541" s="16">
        <v>15</v>
      </c>
    </row>
    <row r="542" spans="1:5" x14ac:dyDescent="0.4">
      <c r="A542" s="16" t="s">
        <v>33</v>
      </c>
      <c r="B542" s="16" t="s">
        <v>58</v>
      </c>
      <c r="C542" s="16" t="str">
        <f t="shared" si="8"/>
        <v>华中</v>
      </c>
      <c r="D542" s="16" t="s">
        <v>605</v>
      </c>
      <c r="E542" s="16">
        <v>25</v>
      </c>
    </row>
    <row r="543" spans="1:5" x14ac:dyDescent="0.4">
      <c r="A543" s="16" t="s">
        <v>29</v>
      </c>
      <c r="B543" s="16" t="s">
        <v>63</v>
      </c>
      <c r="C543" s="16" t="str">
        <f t="shared" si="8"/>
        <v>西南</v>
      </c>
      <c r="D543" s="16" t="s">
        <v>606</v>
      </c>
      <c r="E543" s="16">
        <v>25</v>
      </c>
    </row>
    <row r="544" spans="1:5" x14ac:dyDescent="0.4">
      <c r="A544" s="16" t="s">
        <v>29</v>
      </c>
      <c r="B544" s="16" t="s">
        <v>81</v>
      </c>
      <c r="C544" s="16" t="str">
        <f t="shared" si="8"/>
        <v>西北</v>
      </c>
      <c r="D544" s="16" t="s">
        <v>607</v>
      </c>
      <c r="E544" s="16">
        <v>25</v>
      </c>
    </row>
    <row r="545" spans="1:5" x14ac:dyDescent="0.4">
      <c r="A545" s="16" t="s">
        <v>22</v>
      </c>
      <c r="B545" s="16" t="s">
        <v>44</v>
      </c>
      <c r="C545" s="16" t="str">
        <f t="shared" si="8"/>
        <v>华北</v>
      </c>
      <c r="D545" s="16" t="s">
        <v>608</v>
      </c>
      <c r="E545" s="16">
        <v>21</v>
      </c>
    </row>
    <row r="546" spans="1:5" x14ac:dyDescent="0.4">
      <c r="A546" s="16" t="s">
        <v>22</v>
      </c>
      <c r="B546" s="16" t="s">
        <v>67</v>
      </c>
      <c r="C546" s="16" t="str">
        <f t="shared" si="8"/>
        <v>华中</v>
      </c>
      <c r="D546" s="16" t="s">
        <v>609</v>
      </c>
      <c r="E546" s="16">
        <v>23</v>
      </c>
    </row>
    <row r="547" spans="1:5" x14ac:dyDescent="0.4">
      <c r="A547" s="16" t="s">
        <v>33</v>
      </c>
      <c r="B547" s="16" t="s">
        <v>67</v>
      </c>
      <c r="C547" s="16" t="str">
        <f t="shared" si="8"/>
        <v>华中</v>
      </c>
      <c r="D547" s="16" t="s">
        <v>610</v>
      </c>
      <c r="E547" s="16">
        <v>23</v>
      </c>
    </row>
    <row r="548" spans="1:5" x14ac:dyDescent="0.4">
      <c r="A548" s="16" t="s">
        <v>22</v>
      </c>
      <c r="B548" s="16" t="s">
        <v>23</v>
      </c>
      <c r="C548" s="16" t="str">
        <f t="shared" si="8"/>
        <v>西南</v>
      </c>
      <c r="D548" s="16" t="s">
        <v>611</v>
      </c>
      <c r="E548" s="16">
        <v>25</v>
      </c>
    </row>
    <row r="549" spans="1:5" x14ac:dyDescent="0.4">
      <c r="A549" s="16" t="s">
        <v>22</v>
      </c>
      <c r="B549" s="16" t="s">
        <v>53</v>
      </c>
      <c r="C549" s="16" t="str">
        <f t="shared" si="8"/>
        <v>华东</v>
      </c>
      <c r="D549" s="16" t="s">
        <v>612</v>
      </c>
      <c r="E549" s="16">
        <v>17</v>
      </c>
    </row>
    <row r="550" spans="1:5" x14ac:dyDescent="0.4">
      <c r="A550" s="16" t="s">
        <v>22</v>
      </c>
      <c r="B550" s="16" t="s">
        <v>44</v>
      </c>
      <c r="C550" s="16" t="str">
        <f t="shared" si="8"/>
        <v>华北</v>
      </c>
      <c r="D550" s="16" t="s">
        <v>613</v>
      </c>
      <c r="E550" s="16">
        <v>15</v>
      </c>
    </row>
    <row r="551" spans="1:5" x14ac:dyDescent="0.4">
      <c r="A551" s="16" t="s">
        <v>29</v>
      </c>
      <c r="B551" s="16" t="s">
        <v>44</v>
      </c>
      <c r="C551" s="16" t="str">
        <f t="shared" si="8"/>
        <v>华北</v>
      </c>
      <c r="D551" s="16" t="s">
        <v>614</v>
      </c>
      <c r="E551" s="16">
        <v>18</v>
      </c>
    </row>
    <row r="552" spans="1:5" x14ac:dyDescent="0.4">
      <c r="A552" s="16" t="s">
        <v>22</v>
      </c>
      <c r="B552" s="16" t="s">
        <v>30</v>
      </c>
      <c r="C552" s="16" t="str">
        <f t="shared" si="8"/>
        <v>华北</v>
      </c>
      <c r="D552" s="16" t="s">
        <v>615</v>
      </c>
      <c r="E552" s="16">
        <v>28</v>
      </c>
    </row>
    <row r="553" spans="1:5" x14ac:dyDescent="0.4">
      <c r="A553" s="16" t="s">
        <v>29</v>
      </c>
      <c r="B553" s="16" t="s">
        <v>25</v>
      </c>
      <c r="C553" s="16" t="str">
        <f t="shared" si="8"/>
        <v>东北</v>
      </c>
      <c r="D553" s="16" t="s">
        <v>616</v>
      </c>
      <c r="E553" s="16">
        <v>19</v>
      </c>
    </row>
    <row r="554" spans="1:5" x14ac:dyDescent="0.4">
      <c r="A554" s="16" t="s">
        <v>33</v>
      </c>
      <c r="B554" s="16" t="s">
        <v>34</v>
      </c>
      <c r="C554" s="16" t="str">
        <f t="shared" si="8"/>
        <v>西北</v>
      </c>
      <c r="D554" s="16" t="s">
        <v>617</v>
      </c>
      <c r="E554" s="16">
        <v>12</v>
      </c>
    </row>
    <row r="555" spans="1:5" x14ac:dyDescent="0.4">
      <c r="A555" s="16" t="s">
        <v>22</v>
      </c>
      <c r="B555" s="16" t="s">
        <v>44</v>
      </c>
      <c r="C555" s="16" t="str">
        <f t="shared" si="8"/>
        <v>华北</v>
      </c>
      <c r="D555" s="16" t="s">
        <v>618</v>
      </c>
      <c r="E555" s="16">
        <v>15</v>
      </c>
    </row>
    <row r="556" spans="1:5" x14ac:dyDescent="0.4">
      <c r="A556" s="16" t="s">
        <v>22</v>
      </c>
      <c r="B556" s="16" t="s">
        <v>32</v>
      </c>
      <c r="C556" s="16" t="str">
        <f t="shared" si="8"/>
        <v>东北</v>
      </c>
      <c r="D556" s="16" t="s">
        <v>619</v>
      </c>
      <c r="E556" s="16">
        <v>21</v>
      </c>
    </row>
    <row r="557" spans="1:5" x14ac:dyDescent="0.4">
      <c r="A557" s="16" t="s">
        <v>29</v>
      </c>
      <c r="B557" s="16" t="s">
        <v>32</v>
      </c>
      <c r="C557" s="16" t="str">
        <f t="shared" si="8"/>
        <v>东北</v>
      </c>
      <c r="D557" s="16" t="s">
        <v>620</v>
      </c>
      <c r="E557" s="16">
        <v>19</v>
      </c>
    </row>
    <row r="558" spans="1:5" x14ac:dyDescent="0.4">
      <c r="A558" s="16" t="s">
        <v>33</v>
      </c>
      <c r="B558" s="16" t="s">
        <v>32</v>
      </c>
      <c r="C558" s="16" t="str">
        <f t="shared" si="8"/>
        <v>东北</v>
      </c>
      <c r="D558" s="16" t="s">
        <v>621</v>
      </c>
      <c r="E558" s="16">
        <v>24</v>
      </c>
    </row>
    <row r="559" spans="1:5" x14ac:dyDescent="0.4">
      <c r="A559" s="16" t="s">
        <v>22</v>
      </c>
      <c r="B559" s="16" t="s">
        <v>32</v>
      </c>
      <c r="C559" s="16" t="str">
        <f t="shared" si="8"/>
        <v>东北</v>
      </c>
      <c r="D559" s="16" t="s">
        <v>622</v>
      </c>
      <c r="E559" s="16">
        <v>25</v>
      </c>
    </row>
    <row r="560" spans="1:5" x14ac:dyDescent="0.4">
      <c r="A560" s="16" t="s">
        <v>33</v>
      </c>
      <c r="B560" s="16" t="s">
        <v>32</v>
      </c>
      <c r="C560" s="16" t="str">
        <f t="shared" si="8"/>
        <v>东北</v>
      </c>
      <c r="D560" s="16" t="s">
        <v>623</v>
      </c>
      <c r="E560" s="16">
        <v>22</v>
      </c>
    </row>
    <row r="561" spans="1:5" x14ac:dyDescent="0.4">
      <c r="A561" s="16" t="s">
        <v>33</v>
      </c>
      <c r="B561" s="16" t="s">
        <v>32</v>
      </c>
      <c r="C561" s="16" t="str">
        <f t="shared" si="8"/>
        <v>东北</v>
      </c>
      <c r="D561" s="16" t="s">
        <v>624</v>
      </c>
      <c r="E561" s="16">
        <v>20</v>
      </c>
    </row>
    <row r="562" spans="1:5" x14ac:dyDescent="0.4">
      <c r="A562" s="16" t="s">
        <v>29</v>
      </c>
      <c r="B562" s="16" t="s">
        <v>32</v>
      </c>
      <c r="C562" s="16" t="str">
        <f t="shared" si="8"/>
        <v>东北</v>
      </c>
      <c r="D562" s="16" t="s">
        <v>625</v>
      </c>
      <c r="E562" s="16">
        <v>28</v>
      </c>
    </row>
    <row r="563" spans="1:5" x14ac:dyDescent="0.4">
      <c r="A563" s="16" t="s">
        <v>29</v>
      </c>
      <c r="B563" s="16" t="s">
        <v>32</v>
      </c>
      <c r="C563" s="16" t="str">
        <f t="shared" si="8"/>
        <v>东北</v>
      </c>
      <c r="D563" s="16" t="s">
        <v>626</v>
      </c>
      <c r="E563" s="16">
        <v>25</v>
      </c>
    </row>
    <row r="564" spans="1:5" x14ac:dyDescent="0.4">
      <c r="A564" s="16" t="s">
        <v>22</v>
      </c>
      <c r="B564" s="16" t="s">
        <v>32</v>
      </c>
      <c r="C564" s="16" t="str">
        <f t="shared" si="8"/>
        <v>东北</v>
      </c>
      <c r="D564" s="16" t="s">
        <v>627</v>
      </c>
      <c r="E564" s="16">
        <v>10</v>
      </c>
    </row>
    <row r="565" spans="1:5" x14ac:dyDescent="0.4">
      <c r="A565" s="16" t="s">
        <v>33</v>
      </c>
      <c r="B565" s="16" t="s">
        <v>67</v>
      </c>
      <c r="C565" s="16" t="str">
        <f t="shared" si="8"/>
        <v>华中</v>
      </c>
      <c r="D565" s="16" t="s">
        <v>628</v>
      </c>
      <c r="E565" s="16">
        <v>12</v>
      </c>
    </row>
    <row r="566" spans="1:5" x14ac:dyDescent="0.4">
      <c r="A566" s="16" t="s">
        <v>22</v>
      </c>
      <c r="B566" s="16" t="s">
        <v>67</v>
      </c>
      <c r="C566" s="16" t="str">
        <f t="shared" si="8"/>
        <v>华中</v>
      </c>
      <c r="D566" s="16" t="s">
        <v>629</v>
      </c>
      <c r="E566" s="16">
        <v>25</v>
      </c>
    </row>
    <row r="567" spans="1:5" x14ac:dyDescent="0.4">
      <c r="A567" s="16" t="s">
        <v>29</v>
      </c>
      <c r="B567" s="16" t="s">
        <v>73</v>
      </c>
      <c r="C567" s="16" t="str">
        <f t="shared" si="8"/>
        <v>华中</v>
      </c>
      <c r="D567" s="16" t="s">
        <v>630</v>
      </c>
      <c r="E567" s="16">
        <v>18</v>
      </c>
    </row>
    <row r="568" spans="1:5" x14ac:dyDescent="0.4">
      <c r="A568" s="16" t="s">
        <v>29</v>
      </c>
      <c r="B568" s="16" t="s">
        <v>55</v>
      </c>
      <c r="C568" s="16" t="str">
        <f t="shared" si="8"/>
        <v>华东</v>
      </c>
      <c r="D568" s="16" t="s">
        <v>631</v>
      </c>
      <c r="E568" s="16">
        <v>17</v>
      </c>
    </row>
    <row r="569" spans="1:5" x14ac:dyDescent="0.4">
      <c r="A569" s="16" t="s">
        <v>33</v>
      </c>
      <c r="B569" s="16" t="s">
        <v>58</v>
      </c>
      <c r="C569" s="16" t="str">
        <f t="shared" si="8"/>
        <v>华中</v>
      </c>
      <c r="D569" s="16" t="s">
        <v>632</v>
      </c>
      <c r="E569" s="16">
        <v>25</v>
      </c>
    </row>
    <row r="570" spans="1:5" x14ac:dyDescent="0.4">
      <c r="A570" s="16" t="s">
        <v>33</v>
      </c>
      <c r="B570" s="16" t="s">
        <v>58</v>
      </c>
      <c r="C570" s="16" t="str">
        <f t="shared" si="8"/>
        <v>华中</v>
      </c>
      <c r="D570" s="16" t="s">
        <v>633</v>
      </c>
      <c r="E570" s="16">
        <v>26</v>
      </c>
    </row>
    <row r="571" spans="1:5" x14ac:dyDescent="0.4">
      <c r="A571" s="16" t="s">
        <v>22</v>
      </c>
      <c r="B571" s="16" t="s">
        <v>58</v>
      </c>
      <c r="C571" s="16" t="str">
        <f t="shared" si="8"/>
        <v>华中</v>
      </c>
      <c r="D571" s="16" t="s">
        <v>634</v>
      </c>
      <c r="E571" s="16">
        <v>20</v>
      </c>
    </row>
    <row r="572" spans="1:5" x14ac:dyDescent="0.4">
      <c r="A572" s="16" t="s">
        <v>29</v>
      </c>
      <c r="B572" s="16" t="s">
        <v>58</v>
      </c>
      <c r="C572" s="16" t="str">
        <f t="shared" si="8"/>
        <v>华中</v>
      </c>
      <c r="D572" s="16" t="s">
        <v>635</v>
      </c>
      <c r="E572" s="16">
        <v>15</v>
      </c>
    </row>
    <row r="573" spans="1:5" x14ac:dyDescent="0.4">
      <c r="A573" s="16" t="s">
        <v>22</v>
      </c>
      <c r="B573" s="16" t="s">
        <v>61</v>
      </c>
      <c r="C573" s="16" t="str">
        <f t="shared" si="8"/>
        <v>华东</v>
      </c>
      <c r="D573" s="16" t="s">
        <v>636</v>
      </c>
      <c r="E573" s="16">
        <v>20</v>
      </c>
    </row>
    <row r="574" spans="1:5" x14ac:dyDescent="0.4">
      <c r="A574" s="16" t="s">
        <v>22</v>
      </c>
      <c r="B574" s="16" t="s">
        <v>25</v>
      </c>
      <c r="C574" s="16" t="str">
        <f t="shared" si="8"/>
        <v>东北</v>
      </c>
      <c r="D574" s="16" t="s">
        <v>637</v>
      </c>
      <c r="E574" s="16">
        <v>10</v>
      </c>
    </row>
    <row r="575" spans="1:5" x14ac:dyDescent="0.4">
      <c r="A575" s="16" t="s">
        <v>22</v>
      </c>
      <c r="B575" s="16" t="s">
        <v>83</v>
      </c>
      <c r="C575" s="16" t="str">
        <f t="shared" si="8"/>
        <v>西北</v>
      </c>
      <c r="D575" s="16" t="s">
        <v>638</v>
      </c>
      <c r="E575" s="16">
        <v>17</v>
      </c>
    </row>
    <row r="576" spans="1:5" x14ac:dyDescent="0.4">
      <c r="A576" s="16" t="s">
        <v>22</v>
      </c>
      <c r="B576" s="16" t="s">
        <v>60</v>
      </c>
      <c r="C576" s="16" t="str">
        <f t="shared" si="8"/>
        <v>华东</v>
      </c>
      <c r="D576" s="16" t="s">
        <v>639</v>
      </c>
      <c r="E576" s="16">
        <v>25</v>
      </c>
    </row>
    <row r="577" spans="1:5" x14ac:dyDescent="0.4">
      <c r="A577" s="16" t="s">
        <v>33</v>
      </c>
      <c r="B577" s="16" t="s">
        <v>58</v>
      </c>
      <c r="C577" s="16" t="str">
        <f t="shared" si="8"/>
        <v>华中</v>
      </c>
      <c r="D577" s="16" t="s">
        <v>640</v>
      </c>
      <c r="E577" s="16">
        <v>11</v>
      </c>
    </row>
    <row r="578" spans="1:5" x14ac:dyDescent="0.4">
      <c r="A578" s="16" t="s">
        <v>29</v>
      </c>
      <c r="B578" s="16" t="s">
        <v>46</v>
      </c>
      <c r="C578" s="16" t="str">
        <f t="shared" si="8"/>
        <v>华北</v>
      </c>
      <c r="D578" s="16" t="s">
        <v>641</v>
      </c>
      <c r="E578" s="16">
        <v>21</v>
      </c>
    </row>
    <row r="579" spans="1:5" x14ac:dyDescent="0.4">
      <c r="A579" s="16" t="s">
        <v>29</v>
      </c>
      <c r="B579" s="16" t="s">
        <v>60</v>
      </c>
      <c r="C579" s="16" t="str">
        <f t="shared" ref="C579:C642" si="9">_xlfn.XLOOKUP(B579,$I$2:$I$32,$J$2:$J$32)</f>
        <v>华东</v>
      </c>
      <c r="D579" s="16" t="s">
        <v>642</v>
      </c>
      <c r="E579" s="16">
        <v>18</v>
      </c>
    </row>
    <row r="580" spans="1:5" x14ac:dyDescent="0.4">
      <c r="A580" s="16" t="s">
        <v>29</v>
      </c>
      <c r="B580" s="16" t="s">
        <v>58</v>
      </c>
      <c r="C580" s="16" t="str">
        <f t="shared" si="9"/>
        <v>华中</v>
      </c>
      <c r="D580" s="16" t="s">
        <v>643</v>
      </c>
      <c r="E580" s="16">
        <v>22</v>
      </c>
    </row>
    <row r="581" spans="1:5" x14ac:dyDescent="0.4">
      <c r="A581" s="16" t="s">
        <v>22</v>
      </c>
      <c r="B581" s="16" t="s">
        <v>58</v>
      </c>
      <c r="C581" s="16" t="str">
        <f t="shared" si="9"/>
        <v>华中</v>
      </c>
      <c r="D581" s="16" t="s">
        <v>644</v>
      </c>
      <c r="E581" s="16">
        <v>23</v>
      </c>
    </row>
    <row r="582" spans="1:5" x14ac:dyDescent="0.4">
      <c r="A582" s="16" t="s">
        <v>22</v>
      </c>
      <c r="B582" s="16" t="s">
        <v>645</v>
      </c>
      <c r="C582" s="16" t="e">
        <f t="shared" si="9"/>
        <v>#N/A</v>
      </c>
      <c r="D582" s="16" t="s">
        <v>646</v>
      </c>
      <c r="E582" s="16">
        <v>16</v>
      </c>
    </row>
    <row r="583" spans="1:5" x14ac:dyDescent="0.4">
      <c r="A583" s="16" t="s">
        <v>29</v>
      </c>
      <c r="B583" s="16" t="s">
        <v>73</v>
      </c>
      <c r="C583" s="16" t="str">
        <f t="shared" si="9"/>
        <v>华中</v>
      </c>
      <c r="D583" s="16" t="s">
        <v>647</v>
      </c>
      <c r="E583" s="16">
        <v>19</v>
      </c>
    </row>
    <row r="584" spans="1:5" x14ac:dyDescent="0.4">
      <c r="A584" s="16" t="s">
        <v>29</v>
      </c>
      <c r="B584" s="16" t="s">
        <v>73</v>
      </c>
      <c r="C584" s="16" t="str">
        <f t="shared" si="9"/>
        <v>华中</v>
      </c>
      <c r="D584" s="16" t="s">
        <v>648</v>
      </c>
      <c r="E584" s="16">
        <v>12</v>
      </c>
    </row>
    <row r="585" spans="1:5" x14ac:dyDescent="0.4">
      <c r="A585" s="16" t="s">
        <v>29</v>
      </c>
      <c r="B585" s="16" t="s">
        <v>30</v>
      </c>
      <c r="C585" s="16" t="str">
        <f t="shared" si="9"/>
        <v>华北</v>
      </c>
      <c r="D585" s="16" t="s">
        <v>649</v>
      </c>
      <c r="E585" s="16">
        <v>11</v>
      </c>
    </row>
    <row r="586" spans="1:5" x14ac:dyDescent="0.4">
      <c r="A586" s="16" t="s">
        <v>33</v>
      </c>
      <c r="B586" s="16" t="s">
        <v>83</v>
      </c>
      <c r="C586" s="16" t="str">
        <f t="shared" si="9"/>
        <v>西北</v>
      </c>
      <c r="D586" s="16" t="s">
        <v>650</v>
      </c>
      <c r="E586" s="16">
        <v>29</v>
      </c>
    </row>
    <row r="587" spans="1:5" x14ac:dyDescent="0.4">
      <c r="A587" s="16" t="s">
        <v>22</v>
      </c>
      <c r="B587" s="16" t="s">
        <v>65</v>
      </c>
      <c r="C587" s="16" t="str">
        <f t="shared" si="9"/>
        <v>华南</v>
      </c>
      <c r="D587" s="16" t="s">
        <v>651</v>
      </c>
      <c r="E587" s="16">
        <v>29</v>
      </c>
    </row>
    <row r="588" spans="1:5" x14ac:dyDescent="0.4">
      <c r="A588" s="16" t="s">
        <v>29</v>
      </c>
      <c r="B588" s="16" t="s">
        <v>28</v>
      </c>
      <c r="C588" s="16" t="str">
        <f t="shared" si="9"/>
        <v>东北</v>
      </c>
      <c r="D588" s="16" t="s">
        <v>652</v>
      </c>
      <c r="E588" s="16">
        <v>15</v>
      </c>
    </row>
    <row r="589" spans="1:5" x14ac:dyDescent="0.4">
      <c r="A589" s="16" t="s">
        <v>22</v>
      </c>
      <c r="B589" s="16" t="s">
        <v>65</v>
      </c>
      <c r="C589" s="16" t="str">
        <f t="shared" si="9"/>
        <v>华南</v>
      </c>
      <c r="D589" s="16" t="s">
        <v>653</v>
      </c>
      <c r="E589" s="16">
        <v>12</v>
      </c>
    </row>
    <row r="590" spans="1:5" x14ac:dyDescent="0.4">
      <c r="A590" s="16" t="s">
        <v>33</v>
      </c>
      <c r="B590" s="16" t="s">
        <v>40</v>
      </c>
      <c r="C590" s="16" t="str">
        <f t="shared" si="9"/>
        <v>华北</v>
      </c>
      <c r="D590" s="16" t="s">
        <v>654</v>
      </c>
      <c r="E590" s="16">
        <v>16</v>
      </c>
    </row>
    <row r="591" spans="1:5" x14ac:dyDescent="0.4">
      <c r="A591" s="16" t="s">
        <v>29</v>
      </c>
      <c r="B591" s="16" t="s">
        <v>48</v>
      </c>
      <c r="C591" s="16" t="str">
        <f t="shared" si="9"/>
        <v>华东</v>
      </c>
      <c r="D591" s="16" t="s">
        <v>655</v>
      </c>
      <c r="E591" s="16">
        <v>20</v>
      </c>
    </row>
    <row r="592" spans="1:5" x14ac:dyDescent="0.4">
      <c r="A592" s="16" t="s">
        <v>22</v>
      </c>
      <c r="B592" s="16" t="s">
        <v>48</v>
      </c>
      <c r="C592" s="16" t="str">
        <f t="shared" si="9"/>
        <v>华东</v>
      </c>
      <c r="D592" s="16" t="s">
        <v>656</v>
      </c>
      <c r="E592" s="16">
        <v>11</v>
      </c>
    </row>
    <row r="593" spans="1:5" x14ac:dyDescent="0.4">
      <c r="A593" s="16" t="s">
        <v>29</v>
      </c>
      <c r="B593" s="16" t="s">
        <v>48</v>
      </c>
      <c r="C593" s="16" t="str">
        <f t="shared" si="9"/>
        <v>华东</v>
      </c>
      <c r="D593" s="16" t="s">
        <v>657</v>
      </c>
      <c r="E593" s="16">
        <v>14</v>
      </c>
    </row>
    <row r="594" spans="1:5" x14ac:dyDescent="0.4">
      <c r="A594" s="16" t="s">
        <v>22</v>
      </c>
      <c r="B594" s="16" t="s">
        <v>48</v>
      </c>
      <c r="C594" s="16" t="str">
        <f t="shared" si="9"/>
        <v>华东</v>
      </c>
      <c r="D594" s="16" t="s">
        <v>658</v>
      </c>
      <c r="E594" s="16">
        <v>20</v>
      </c>
    </row>
    <row r="595" spans="1:5" x14ac:dyDescent="0.4">
      <c r="A595" s="16" t="s">
        <v>22</v>
      </c>
      <c r="B595" s="16" t="s">
        <v>53</v>
      </c>
      <c r="C595" s="16" t="str">
        <f t="shared" si="9"/>
        <v>华东</v>
      </c>
      <c r="D595" s="16" t="s">
        <v>659</v>
      </c>
      <c r="E595" s="16">
        <v>25</v>
      </c>
    </row>
    <row r="596" spans="1:5" x14ac:dyDescent="0.4">
      <c r="A596" s="16" t="s">
        <v>22</v>
      </c>
      <c r="B596" s="16" t="s">
        <v>48</v>
      </c>
      <c r="C596" s="16" t="str">
        <f t="shared" si="9"/>
        <v>华东</v>
      </c>
      <c r="D596" s="16" t="s">
        <v>660</v>
      </c>
      <c r="E596" s="16">
        <v>15</v>
      </c>
    </row>
    <row r="597" spans="1:5" x14ac:dyDescent="0.4">
      <c r="A597" s="16" t="s">
        <v>29</v>
      </c>
      <c r="B597" s="16" t="s">
        <v>73</v>
      </c>
      <c r="C597" s="16" t="str">
        <f t="shared" si="9"/>
        <v>华中</v>
      </c>
      <c r="D597" s="16" t="s">
        <v>661</v>
      </c>
      <c r="E597" s="16">
        <v>14</v>
      </c>
    </row>
    <row r="598" spans="1:5" x14ac:dyDescent="0.4">
      <c r="A598" s="16" t="s">
        <v>29</v>
      </c>
      <c r="B598" s="16" t="s">
        <v>53</v>
      </c>
      <c r="C598" s="16" t="str">
        <f t="shared" si="9"/>
        <v>华东</v>
      </c>
      <c r="D598" s="16" t="s">
        <v>662</v>
      </c>
      <c r="E598" s="16">
        <v>24</v>
      </c>
    </row>
    <row r="599" spans="1:5" x14ac:dyDescent="0.4">
      <c r="A599" s="16" t="s">
        <v>22</v>
      </c>
      <c r="B599" s="16" t="s">
        <v>48</v>
      </c>
      <c r="C599" s="16" t="str">
        <f t="shared" si="9"/>
        <v>华东</v>
      </c>
      <c r="D599" s="16" t="s">
        <v>663</v>
      </c>
      <c r="E599" s="16">
        <v>12</v>
      </c>
    </row>
    <row r="600" spans="1:5" x14ac:dyDescent="0.4">
      <c r="A600" s="16" t="s">
        <v>29</v>
      </c>
      <c r="B600" s="16" t="s">
        <v>73</v>
      </c>
      <c r="C600" s="16" t="str">
        <f t="shared" si="9"/>
        <v>华中</v>
      </c>
      <c r="D600" s="16" t="s">
        <v>664</v>
      </c>
      <c r="E600" s="16">
        <v>14</v>
      </c>
    </row>
    <row r="601" spans="1:5" x14ac:dyDescent="0.4">
      <c r="A601" s="16" t="s">
        <v>22</v>
      </c>
      <c r="B601" s="16" t="s">
        <v>69</v>
      </c>
      <c r="C601" s="16" t="str">
        <f t="shared" si="9"/>
        <v>华南</v>
      </c>
      <c r="D601" s="16" t="s">
        <v>665</v>
      </c>
      <c r="E601" s="16">
        <v>21</v>
      </c>
    </row>
    <row r="602" spans="1:5" x14ac:dyDescent="0.4">
      <c r="A602" s="16" t="s">
        <v>33</v>
      </c>
      <c r="B602" s="16" t="s">
        <v>67</v>
      </c>
      <c r="C602" s="16" t="str">
        <f t="shared" si="9"/>
        <v>华中</v>
      </c>
      <c r="D602" s="16" t="s">
        <v>666</v>
      </c>
      <c r="E602" s="16">
        <v>15</v>
      </c>
    </row>
    <row r="603" spans="1:5" x14ac:dyDescent="0.4">
      <c r="A603" s="16" t="s">
        <v>22</v>
      </c>
      <c r="B603" s="16" t="s">
        <v>81</v>
      </c>
      <c r="C603" s="16" t="str">
        <f t="shared" si="9"/>
        <v>西北</v>
      </c>
      <c r="D603" s="16" t="s">
        <v>667</v>
      </c>
      <c r="E603" s="16">
        <v>25</v>
      </c>
    </row>
    <row r="604" spans="1:5" x14ac:dyDescent="0.4">
      <c r="A604" s="16" t="s">
        <v>29</v>
      </c>
      <c r="B604" s="16" t="s">
        <v>40</v>
      </c>
      <c r="C604" s="16" t="str">
        <f t="shared" si="9"/>
        <v>华北</v>
      </c>
      <c r="D604" s="16" t="s">
        <v>668</v>
      </c>
      <c r="E604" s="16">
        <v>19</v>
      </c>
    </row>
    <row r="605" spans="1:5" x14ac:dyDescent="0.4">
      <c r="A605" s="16" t="s">
        <v>33</v>
      </c>
      <c r="B605" s="16" t="s">
        <v>76</v>
      </c>
      <c r="C605" s="16" t="str">
        <f t="shared" si="9"/>
        <v>西北</v>
      </c>
      <c r="D605" s="16" t="s">
        <v>669</v>
      </c>
      <c r="E605" s="16">
        <v>14</v>
      </c>
    </row>
    <row r="606" spans="1:5" x14ac:dyDescent="0.4">
      <c r="A606" s="16" t="s">
        <v>22</v>
      </c>
      <c r="B606" s="16" t="s">
        <v>67</v>
      </c>
      <c r="C606" s="16" t="str">
        <f t="shared" si="9"/>
        <v>华中</v>
      </c>
      <c r="D606" s="16" t="s">
        <v>670</v>
      </c>
      <c r="E606" s="16">
        <v>27</v>
      </c>
    </row>
    <row r="607" spans="1:5" x14ac:dyDescent="0.4">
      <c r="A607" s="16" t="s">
        <v>29</v>
      </c>
      <c r="B607" s="16" t="s">
        <v>67</v>
      </c>
      <c r="C607" s="16" t="str">
        <f t="shared" si="9"/>
        <v>华中</v>
      </c>
      <c r="D607" s="16" t="s">
        <v>671</v>
      </c>
      <c r="E607" s="16">
        <v>23</v>
      </c>
    </row>
    <row r="608" spans="1:5" x14ac:dyDescent="0.4">
      <c r="A608" s="16" t="s">
        <v>22</v>
      </c>
      <c r="B608" s="16" t="s">
        <v>63</v>
      </c>
      <c r="C608" s="16" t="str">
        <f t="shared" si="9"/>
        <v>西南</v>
      </c>
      <c r="D608" s="16" t="s">
        <v>672</v>
      </c>
      <c r="E608" s="16">
        <v>17</v>
      </c>
    </row>
    <row r="609" spans="1:5" x14ac:dyDescent="0.4">
      <c r="A609" s="16" t="s">
        <v>22</v>
      </c>
      <c r="B609" s="16" t="s">
        <v>67</v>
      </c>
      <c r="C609" s="16" t="str">
        <f t="shared" si="9"/>
        <v>华中</v>
      </c>
      <c r="D609" s="16" t="s">
        <v>673</v>
      </c>
      <c r="E609" s="16">
        <v>28</v>
      </c>
    </row>
    <row r="610" spans="1:5" x14ac:dyDescent="0.4">
      <c r="A610" s="16" t="s">
        <v>22</v>
      </c>
      <c r="B610" s="16" t="s">
        <v>61</v>
      </c>
      <c r="C610" s="16" t="str">
        <f t="shared" si="9"/>
        <v>华东</v>
      </c>
      <c r="D610" s="16" t="s">
        <v>674</v>
      </c>
      <c r="E610" s="16">
        <v>28</v>
      </c>
    </row>
    <row r="611" spans="1:5" x14ac:dyDescent="0.4">
      <c r="A611" s="16" t="s">
        <v>22</v>
      </c>
      <c r="B611" s="16" t="s">
        <v>61</v>
      </c>
      <c r="C611" s="16" t="str">
        <f t="shared" si="9"/>
        <v>华东</v>
      </c>
      <c r="D611" s="16" t="s">
        <v>675</v>
      </c>
      <c r="E611" s="16">
        <v>17</v>
      </c>
    </row>
    <row r="612" spans="1:5" x14ac:dyDescent="0.4">
      <c r="A612" s="16" t="s">
        <v>33</v>
      </c>
      <c r="B612" s="16" t="s">
        <v>83</v>
      </c>
      <c r="C612" s="16" t="str">
        <f t="shared" si="9"/>
        <v>西北</v>
      </c>
      <c r="D612" s="16" t="s">
        <v>676</v>
      </c>
      <c r="E612" s="16">
        <v>10</v>
      </c>
    </row>
    <row r="613" spans="1:5" x14ac:dyDescent="0.4">
      <c r="A613" s="16" t="s">
        <v>33</v>
      </c>
      <c r="B613" s="16" t="s">
        <v>83</v>
      </c>
      <c r="C613" s="16" t="str">
        <f t="shared" si="9"/>
        <v>西北</v>
      </c>
      <c r="D613" s="16" t="s">
        <v>677</v>
      </c>
      <c r="E613" s="16">
        <v>19</v>
      </c>
    </row>
    <row r="614" spans="1:5" x14ac:dyDescent="0.4">
      <c r="A614" s="16" t="s">
        <v>29</v>
      </c>
      <c r="B614" s="16" t="s">
        <v>73</v>
      </c>
      <c r="C614" s="16" t="str">
        <f t="shared" si="9"/>
        <v>华中</v>
      </c>
      <c r="D614" s="16" t="s">
        <v>678</v>
      </c>
      <c r="E614" s="16">
        <v>25</v>
      </c>
    </row>
    <row r="615" spans="1:5" x14ac:dyDescent="0.4">
      <c r="A615" s="16" t="s">
        <v>29</v>
      </c>
      <c r="B615" s="16" t="s">
        <v>28</v>
      </c>
      <c r="C615" s="16" t="str">
        <f t="shared" si="9"/>
        <v>东北</v>
      </c>
      <c r="D615" s="16" t="s">
        <v>679</v>
      </c>
      <c r="E615" s="16">
        <v>22</v>
      </c>
    </row>
    <row r="616" spans="1:5" x14ac:dyDescent="0.4">
      <c r="A616" s="16" t="s">
        <v>29</v>
      </c>
      <c r="B616" s="16" t="s">
        <v>73</v>
      </c>
      <c r="C616" s="16" t="str">
        <f t="shared" si="9"/>
        <v>华中</v>
      </c>
      <c r="D616" s="16" t="s">
        <v>680</v>
      </c>
      <c r="E616" s="16">
        <v>26</v>
      </c>
    </row>
    <row r="617" spans="1:5" x14ac:dyDescent="0.4">
      <c r="A617" s="16" t="s">
        <v>22</v>
      </c>
      <c r="B617" s="16" t="s">
        <v>73</v>
      </c>
      <c r="C617" s="16" t="str">
        <f t="shared" si="9"/>
        <v>华中</v>
      </c>
      <c r="D617" s="16" t="s">
        <v>681</v>
      </c>
      <c r="E617" s="16">
        <v>25</v>
      </c>
    </row>
    <row r="618" spans="1:5" x14ac:dyDescent="0.4">
      <c r="A618" s="16" t="s">
        <v>22</v>
      </c>
      <c r="B618" s="16" t="s">
        <v>48</v>
      </c>
      <c r="C618" s="16" t="str">
        <f t="shared" si="9"/>
        <v>华东</v>
      </c>
      <c r="D618" s="16" t="s">
        <v>682</v>
      </c>
      <c r="E618" s="16">
        <v>14</v>
      </c>
    </row>
    <row r="619" spans="1:5" x14ac:dyDescent="0.4">
      <c r="A619" s="16" t="s">
        <v>22</v>
      </c>
      <c r="B619" s="16" t="s">
        <v>48</v>
      </c>
      <c r="C619" s="16" t="str">
        <f t="shared" si="9"/>
        <v>华东</v>
      </c>
      <c r="D619" s="16" t="s">
        <v>683</v>
      </c>
      <c r="E619" s="16">
        <v>29</v>
      </c>
    </row>
    <row r="620" spans="1:5" x14ac:dyDescent="0.4">
      <c r="A620" s="16" t="s">
        <v>22</v>
      </c>
      <c r="B620" s="16" t="s">
        <v>63</v>
      </c>
      <c r="C620" s="16" t="str">
        <f t="shared" si="9"/>
        <v>西南</v>
      </c>
      <c r="D620" s="16" t="s">
        <v>684</v>
      </c>
      <c r="E620" s="16">
        <v>15</v>
      </c>
    </row>
    <row r="621" spans="1:5" x14ac:dyDescent="0.4">
      <c r="A621" s="16" t="s">
        <v>22</v>
      </c>
      <c r="B621" s="16" t="s">
        <v>60</v>
      </c>
      <c r="C621" s="16" t="str">
        <f t="shared" si="9"/>
        <v>华东</v>
      </c>
      <c r="D621" s="16" t="s">
        <v>685</v>
      </c>
      <c r="E621" s="16">
        <v>19</v>
      </c>
    </row>
    <row r="622" spans="1:5" x14ac:dyDescent="0.4">
      <c r="A622" s="16" t="s">
        <v>29</v>
      </c>
      <c r="B622" s="16" t="s">
        <v>55</v>
      </c>
      <c r="C622" s="16" t="str">
        <f t="shared" si="9"/>
        <v>华东</v>
      </c>
      <c r="D622" s="16" t="s">
        <v>686</v>
      </c>
      <c r="E622" s="16">
        <v>10</v>
      </c>
    </row>
    <row r="623" spans="1:5" x14ac:dyDescent="0.4">
      <c r="A623" s="16" t="s">
        <v>33</v>
      </c>
      <c r="B623" s="16" t="s">
        <v>58</v>
      </c>
      <c r="C623" s="16" t="str">
        <f t="shared" si="9"/>
        <v>华中</v>
      </c>
      <c r="D623" s="16" t="s">
        <v>687</v>
      </c>
      <c r="E623" s="16">
        <v>28</v>
      </c>
    </row>
    <row r="624" spans="1:5" x14ac:dyDescent="0.4">
      <c r="A624" s="16" t="s">
        <v>22</v>
      </c>
      <c r="B624" s="16" t="s">
        <v>51</v>
      </c>
      <c r="C624" s="16" t="str">
        <f t="shared" si="9"/>
        <v>华东</v>
      </c>
      <c r="D624" s="16" t="s">
        <v>688</v>
      </c>
      <c r="E624" s="16">
        <v>10</v>
      </c>
    </row>
    <row r="625" spans="1:5" x14ac:dyDescent="0.4">
      <c r="A625" s="16" t="s">
        <v>22</v>
      </c>
      <c r="B625" s="16" t="s">
        <v>65</v>
      </c>
      <c r="C625" s="16" t="str">
        <f t="shared" si="9"/>
        <v>华南</v>
      </c>
      <c r="D625" s="16" t="s">
        <v>689</v>
      </c>
      <c r="E625" s="16">
        <v>21</v>
      </c>
    </row>
    <row r="626" spans="1:5" x14ac:dyDescent="0.4">
      <c r="A626" s="16" t="s">
        <v>29</v>
      </c>
      <c r="B626" s="16" t="s">
        <v>65</v>
      </c>
      <c r="C626" s="16" t="str">
        <f t="shared" si="9"/>
        <v>华南</v>
      </c>
      <c r="D626" s="16" t="s">
        <v>690</v>
      </c>
      <c r="E626" s="16">
        <v>17</v>
      </c>
    </row>
    <row r="627" spans="1:5" x14ac:dyDescent="0.4">
      <c r="A627" s="16" t="s">
        <v>33</v>
      </c>
      <c r="B627" s="16" t="s">
        <v>53</v>
      </c>
      <c r="C627" s="16" t="str">
        <f t="shared" si="9"/>
        <v>华东</v>
      </c>
      <c r="D627" s="16" t="s">
        <v>691</v>
      </c>
      <c r="E627" s="16">
        <v>23</v>
      </c>
    </row>
    <row r="628" spans="1:5" x14ac:dyDescent="0.4">
      <c r="A628" s="16" t="s">
        <v>22</v>
      </c>
      <c r="B628" s="16" t="s">
        <v>63</v>
      </c>
      <c r="C628" s="16" t="str">
        <f t="shared" si="9"/>
        <v>西南</v>
      </c>
      <c r="D628" s="16" t="s">
        <v>692</v>
      </c>
      <c r="E628" s="16">
        <v>17</v>
      </c>
    </row>
    <row r="629" spans="1:5" x14ac:dyDescent="0.4">
      <c r="A629" s="16" t="s">
        <v>22</v>
      </c>
      <c r="B629" s="16" t="s">
        <v>65</v>
      </c>
      <c r="C629" s="16" t="str">
        <f t="shared" si="9"/>
        <v>华南</v>
      </c>
      <c r="D629" s="16" t="s">
        <v>693</v>
      </c>
      <c r="E629" s="16">
        <v>27</v>
      </c>
    </row>
    <row r="630" spans="1:5" x14ac:dyDescent="0.4">
      <c r="A630" s="16" t="s">
        <v>22</v>
      </c>
      <c r="B630" s="16" t="s">
        <v>65</v>
      </c>
      <c r="C630" s="16" t="str">
        <f t="shared" si="9"/>
        <v>华南</v>
      </c>
      <c r="D630" s="16" t="s">
        <v>694</v>
      </c>
      <c r="E630" s="16">
        <v>29</v>
      </c>
    </row>
    <row r="631" spans="1:5" x14ac:dyDescent="0.4">
      <c r="A631" s="16" t="s">
        <v>29</v>
      </c>
      <c r="B631" s="16" t="s">
        <v>28</v>
      </c>
      <c r="C631" s="16" t="str">
        <f t="shared" si="9"/>
        <v>东北</v>
      </c>
      <c r="D631" s="16" t="s">
        <v>695</v>
      </c>
      <c r="E631" s="16">
        <v>28</v>
      </c>
    </row>
    <row r="632" spans="1:5" x14ac:dyDescent="0.4">
      <c r="A632" s="16" t="s">
        <v>22</v>
      </c>
      <c r="B632" s="16" t="s">
        <v>73</v>
      </c>
      <c r="C632" s="16" t="str">
        <f t="shared" si="9"/>
        <v>华中</v>
      </c>
      <c r="D632" s="16" t="s">
        <v>696</v>
      </c>
      <c r="E632" s="16">
        <v>17</v>
      </c>
    </row>
    <row r="633" spans="1:5" x14ac:dyDescent="0.4">
      <c r="A633" s="16" t="s">
        <v>29</v>
      </c>
      <c r="B633" s="16" t="s">
        <v>34</v>
      </c>
      <c r="C633" s="16" t="str">
        <f t="shared" si="9"/>
        <v>西北</v>
      </c>
      <c r="D633" s="16" t="s">
        <v>697</v>
      </c>
      <c r="E633" s="16">
        <v>12</v>
      </c>
    </row>
    <row r="634" spans="1:5" x14ac:dyDescent="0.4">
      <c r="A634" s="16" t="s">
        <v>33</v>
      </c>
      <c r="B634" s="16" t="s">
        <v>30</v>
      </c>
      <c r="C634" s="16" t="str">
        <f t="shared" si="9"/>
        <v>华北</v>
      </c>
      <c r="D634" s="16" t="s">
        <v>698</v>
      </c>
      <c r="E634" s="16">
        <v>17</v>
      </c>
    </row>
    <row r="635" spans="1:5" x14ac:dyDescent="0.4">
      <c r="A635" s="16" t="s">
        <v>22</v>
      </c>
      <c r="B635" s="16" t="s">
        <v>48</v>
      </c>
      <c r="C635" s="16" t="str">
        <f t="shared" si="9"/>
        <v>华东</v>
      </c>
      <c r="D635" s="16" t="s">
        <v>699</v>
      </c>
      <c r="E635" s="16">
        <v>29</v>
      </c>
    </row>
    <row r="636" spans="1:5" x14ac:dyDescent="0.4">
      <c r="A636" s="16" t="s">
        <v>22</v>
      </c>
      <c r="B636" s="16" t="s">
        <v>48</v>
      </c>
      <c r="C636" s="16" t="str">
        <f t="shared" si="9"/>
        <v>华东</v>
      </c>
      <c r="D636" s="16" t="s">
        <v>700</v>
      </c>
      <c r="E636" s="16">
        <v>18</v>
      </c>
    </row>
    <row r="637" spans="1:5" x14ac:dyDescent="0.4">
      <c r="A637" s="16" t="s">
        <v>29</v>
      </c>
      <c r="B637" s="16" t="s">
        <v>44</v>
      </c>
      <c r="C637" s="16" t="str">
        <f t="shared" si="9"/>
        <v>华北</v>
      </c>
      <c r="D637" s="16" t="s">
        <v>701</v>
      </c>
      <c r="E637" s="16">
        <v>29</v>
      </c>
    </row>
    <row r="638" spans="1:5" x14ac:dyDescent="0.4">
      <c r="A638" s="16" t="s">
        <v>33</v>
      </c>
      <c r="B638" s="16" t="s">
        <v>25</v>
      </c>
      <c r="C638" s="16" t="str">
        <f t="shared" si="9"/>
        <v>东北</v>
      </c>
      <c r="D638" s="16" t="s">
        <v>702</v>
      </c>
      <c r="E638" s="16">
        <v>20</v>
      </c>
    </row>
    <row r="639" spans="1:5" x14ac:dyDescent="0.4">
      <c r="A639" s="16" t="s">
        <v>22</v>
      </c>
      <c r="B639" s="16" t="s">
        <v>25</v>
      </c>
      <c r="C639" s="16" t="str">
        <f t="shared" si="9"/>
        <v>东北</v>
      </c>
      <c r="D639" s="16" t="s">
        <v>703</v>
      </c>
      <c r="E639" s="16">
        <v>21</v>
      </c>
    </row>
    <row r="640" spans="1:5" x14ac:dyDescent="0.4">
      <c r="A640" s="16" t="s">
        <v>22</v>
      </c>
      <c r="B640" s="16" t="s">
        <v>55</v>
      </c>
      <c r="C640" s="16" t="str">
        <f t="shared" si="9"/>
        <v>华东</v>
      </c>
      <c r="D640" s="16" t="s">
        <v>704</v>
      </c>
      <c r="E640" s="16">
        <v>10</v>
      </c>
    </row>
    <row r="641" spans="1:5" x14ac:dyDescent="0.4">
      <c r="A641" s="16" t="s">
        <v>29</v>
      </c>
      <c r="B641" s="16" t="s">
        <v>28</v>
      </c>
      <c r="C641" s="16" t="str">
        <f t="shared" si="9"/>
        <v>东北</v>
      </c>
      <c r="D641" s="16" t="s">
        <v>705</v>
      </c>
      <c r="E641" s="16">
        <v>25</v>
      </c>
    </row>
    <row r="642" spans="1:5" x14ac:dyDescent="0.4">
      <c r="A642" s="16" t="s">
        <v>29</v>
      </c>
      <c r="B642" s="16" t="s">
        <v>28</v>
      </c>
      <c r="C642" s="16" t="str">
        <f t="shared" si="9"/>
        <v>东北</v>
      </c>
      <c r="D642" s="16" t="s">
        <v>706</v>
      </c>
      <c r="E642" s="16">
        <v>25</v>
      </c>
    </row>
    <row r="643" spans="1:5" x14ac:dyDescent="0.4">
      <c r="A643" s="16" t="s">
        <v>22</v>
      </c>
      <c r="B643" s="16" t="s">
        <v>28</v>
      </c>
      <c r="C643" s="16" t="str">
        <f t="shared" ref="C643:C706" si="10">_xlfn.XLOOKUP(B643,$I$2:$I$32,$J$2:$J$32)</f>
        <v>东北</v>
      </c>
      <c r="D643" s="16" t="s">
        <v>707</v>
      </c>
      <c r="E643" s="16">
        <v>15</v>
      </c>
    </row>
    <row r="644" spans="1:5" x14ac:dyDescent="0.4">
      <c r="A644" s="16" t="s">
        <v>22</v>
      </c>
      <c r="B644" s="16" t="s">
        <v>28</v>
      </c>
      <c r="C644" s="16" t="str">
        <f t="shared" si="10"/>
        <v>东北</v>
      </c>
      <c r="D644" s="16" t="s">
        <v>708</v>
      </c>
      <c r="E644" s="16">
        <v>15</v>
      </c>
    </row>
    <row r="645" spans="1:5" x14ac:dyDescent="0.4">
      <c r="A645" s="16" t="s">
        <v>33</v>
      </c>
      <c r="B645" s="16" t="s">
        <v>34</v>
      </c>
      <c r="C645" s="16" t="str">
        <f t="shared" si="10"/>
        <v>西北</v>
      </c>
      <c r="D645" s="16" t="s">
        <v>709</v>
      </c>
      <c r="E645" s="16">
        <v>20</v>
      </c>
    </row>
    <row r="646" spans="1:5" x14ac:dyDescent="0.4">
      <c r="A646" s="16" t="s">
        <v>33</v>
      </c>
      <c r="B646" s="16" t="s">
        <v>34</v>
      </c>
      <c r="C646" s="16" t="str">
        <f t="shared" si="10"/>
        <v>西北</v>
      </c>
      <c r="D646" s="16" t="s">
        <v>710</v>
      </c>
      <c r="E646" s="16">
        <v>17</v>
      </c>
    </row>
    <row r="647" spans="1:5" x14ac:dyDescent="0.4">
      <c r="A647" s="16" t="s">
        <v>33</v>
      </c>
      <c r="B647" s="16" t="s">
        <v>58</v>
      </c>
      <c r="C647" s="16" t="str">
        <f t="shared" si="10"/>
        <v>华中</v>
      </c>
      <c r="D647" s="16" t="s">
        <v>711</v>
      </c>
      <c r="E647" s="16">
        <v>17</v>
      </c>
    </row>
    <row r="648" spans="1:5" x14ac:dyDescent="0.4">
      <c r="A648" s="16" t="s">
        <v>29</v>
      </c>
      <c r="B648" s="16" t="s">
        <v>55</v>
      </c>
      <c r="C648" s="16" t="str">
        <f t="shared" si="10"/>
        <v>华东</v>
      </c>
      <c r="D648" s="16" t="s">
        <v>712</v>
      </c>
      <c r="E648" s="16">
        <v>24</v>
      </c>
    </row>
    <row r="649" spans="1:5" x14ac:dyDescent="0.4">
      <c r="A649" s="16" t="s">
        <v>22</v>
      </c>
      <c r="B649" s="16" t="s">
        <v>44</v>
      </c>
      <c r="C649" s="16" t="str">
        <f t="shared" si="10"/>
        <v>华北</v>
      </c>
      <c r="D649" s="16" t="s">
        <v>713</v>
      </c>
      <c r="E649" s="16">
        <v>16</v>
      </c>
    </row>
    <row r="650" spans="1:5" x14ac:dyDescent="0.4">
      <c r="A650" s="16" t="s">
        <v>22</v>
      </c>
      <c r="B650" s="16" t="s">
        <v>55</v>
      </c>
      <c r="C650" s="16" t="str">
        <f t="shared" si="10"/>
        <v>华东</v>
      </c>
      <c r="D650" s="16" t="s">
        <v>714</v>
      </c>
      <c r="E650" s="16">
        <v>16</v>
      </c>
    </row>
    <row r="651" spans="1:5" x14ac:dyDescent="0.4">
      <c r="A651" s="16" t="s">
        <v>22</v>
      </c>
      <c r="B651" s="16" t="s">
        <v>57</v>
      </c>
      <c r="C651" s="16" t="str">
        <f t="shared" si="10"/>
        <v>华东</v>
      </c>
      <c r="D651" s="16" t="s">
        <v>715</v>
      </c>
      <c r="E651" s="16">
        <v>16</v>
      </c>
    </row>
    <row r="652" spans="1:5" x14ac:dyDescent="0.4">
      <c r="A652" s="16" t="s">
        <v>29</v>
      </c>
      <c r="B652" s="16" t="s">
        <v>57</v>
      </c>
      <c r="C652" s="16" t="str">
        <f t="shared" si="10"/>
        <v>华东</v>
      </c>
      <c r="D652" s="16" t="s">
        <v>716</v>
      </c>
      <c r="E652" s="16">
        <v>14</v>
      </c>
    </row>
    <row r="653" spans="1:5" x14ac:dyDescent="0.4">
      <c r="A653" s="16" t="s">
        <v>29</v>
      </c>
      <c r="B653" s="16" t="s">
        <v>57</v>
      </c>
      <c r="C653" s="16" t="str">
        <f t="shared" si="10"/>
        <v>华东</v>
      </c>
      <c r="D653" s="16" t="s">
        <v>717</v>
      </c>
      <c r="E653" s="16">
        <v>22</v>
      </c>
    </row>
    <row r="654" spans="1:5" x14ac:dyDescent="0.4">
      <c r="A654" s="16" t="s">
        <v>22</v>
      </c>
      <c r="B654" s="16" t="s">
        <v>57</v>
      </c>
      <c r="C654" s="16" t="str">
        <f t="shared" si="10"/>
        <v>华东</v>
      </c>
      <c r="D654" s="16" t="s">
        <v>718</v>
      </c>
      <c r="E654" s="16">
        <v>28</v>
      </c>
    </row>
    <row r="655" spans="1:5" x14ac:dyDescent="0.4">
      <c r="A655" s="16" t="s">
        <v>22</v>
      </c>
      <c r="B655" s="16" t="s">
        <v>57</v>
      </c>
      <c r="C655" s="16" t="str">
        <f t="shared" si="10"/>
        <v>华东</v>
      </c>
      <c r="D655" s="16" t="s">
        <v>719</v>
      </c>
      <c r="E655" s="16">
        <v>15</v>
      </c>
    </row>
    <row r="656" spans="1:5" x14ac:dyDescent="0.4">
      <c r="A656" s="16" t="s">
        <v>22</v>
      </c>
      <c r="B656" s="16" t="s">
        <v>73</v>
      </c>
      <c r="C656" s="16" t="str">
        <f t="shared" si="10"/>
        <v>华中</v>
      </c>
      <c r="D656" s="16" t="s">
        <v>720</v>
      </c>
      <c r="E656" s="16">
        <v>17</v>
      </c>
    </row>
    <row r="657" spans="1:5" x14ac:dyDescent="0.4">
      <c r="A657" s="16" t="s">
        <v>33</v>
      </c>
      <c r="B657" s="16" t="s">
        <v>73</v>
      </c>
      <c r="C657" s="16" t="str">
        <f t="shared" si="10"/>
        <v>华中</v>
      </c>
      <c r="D657" s="16" t="s">
        <v>721</v>
      </c>
      <c r="E657" s="16">
        <v>24</v>
      </c>
    </row>
    <row r="658" spans="1:5" x14ac:dyDescent="0.4">
      <c r="A658" s="16" t="s">
        <v>22</v>
      </c>
      <c r="B658" s="16" t="s">
        <v>48</v>
      </c>
      <c r="C658" s="16" t="str">
        <f t="shared" si="10"/>
        <v>华东</v>
      </c>
      <c r="D658" s="16" t="s">
        <v>722</v>
      </c>
      <c r="E658" s="16">
        <v>25</v>
      </c>
    </row>
    <row r="659" spans="1:5" x14ac:dyDescent="0.4">
      <c r="A659" s="16" t="s">
        <v>22</v>
      </c>
      <c r="B659" s="16" t="s">
        <v>44</v>
      </c>
      <c r="C659" s="16" t="str">
        <f t="shared" si="10"/>
        <v>华北</v>
      </c>
      <c r="D659" s="16" t="s">
        <v>723</v>
      </c>
      <c r="E659" s="16">
        <v>12</v>
      </c>
    </row>
    <row r="660" spans="1:5" x14ac:dyDescent="0.4">
      <c r="A660" s="16" t="s">
        <v>29</v>
      </c>
      <c r="B660" s="16" t="s">
        <v>76</v>
      </c>
      <c r="C660" s="16" t="str">
        <f t="shared" si="10"/>
        <v>西北</v>
      </c>
      <c r="D660" s="16" t="s">
        <v>724</v>
      </c>
      <c r="E660" s="16">
        <v>22</v>
      </c>
    </row>
    <row r="661" spans="1:5" x14ac:dyDescent="0.4">
      <c r="A661" s="16" t="s">
        <v>29</v>
      </c>
      <c r="B661" s="16" t="s">
        <v>58</v>
      </c>
      <c r="C661" s="16" t="str">
        <f t="shared" si="10"/>
        <v>华中</v>
      </c>
      <c r="D661" s="16" t="s">
        <v>725</v>
      </c>
      <c r="E661" s="16">
        <v>10</v>
      </c>
    </row>
    <row r="662" spans="1:5" x14ac:dyDescent="0.4">
      <c r="A662" s="16" t="s">
        <v>22</v>
      </c>
      <c r="B662" s="16" t="s">
        <v>61</v>
      </c>
      <c r="C662" s="16" t="str">
        <f t="shared" si="10"/>
        <v>华东</v>
      </c>
      <c r="D662" s="16" t="s">
        <v>726</v>
      </c>
      <c r="E662" s="16">
        <v>13</v>
      </c>
    </row>
    <row r="663" spans="1:5" x14ac:dyDescent="0.4">
      <c r="A663" s="16" t="s">
        <v>22</v>
      </c>
      <c r="B663" s="16" t="s">
        <v>61</v>
      </c>
      <c r="C663" s="16" t="str">
        <f t="shared" si="10"/>
        <v>华东</v>
      </c>
      <c r="D663" s="16" t="s">
        <v>727</v>
      </c>
      <c r="E663" s="16">
        <v>17</v>
      </c>
    </row>
    <row r="664" spans="1:5" x14ac:dyDescent="0.4">
      <c r="A664" s="16" t="s">
        <v>29</v>
      </c>
      <c r="B664" s="16" t="s">
        <v>57</v>
      </c>
      <c r="C664" s="16" t="str">
        <f t="shared" si="10"/>
        <v>华东</v>
      </c>
      <c r="D664" s="16" t="s">
        <v>728</v>
      </c>
      <c r="E664" s="16">
        <v>14</v>
      </c>
    </row>
    <row r="665" spans="1:5" x14ac:dyDescent="0.4">
      <c r="A665" s="16" t="s">
        <v>22</v>
      </c>
      <c r="B665" s="16" t="s">
        <v>61</v>
      </c>
      <c r="C665" s="16" t="str">
        <f t="shared" si="10"/>
        <v>华东</v>
      </c>
      <c r="D665" s="16" t="s">
        <v>729</v>
      </c>
      <c r="E665" s="16">
        <v>24</v>
      </c>
    </row>
    <row r="666" spans="1:5" x14ac:dyDescent="0.4">
      <c r="A666" s="16" t="s">
        <v>33</v>
      </c>
      <c r="B666" s="16" t="s">
        <v>67</v>
      </c>
      <c r="C666" s="16" t="str">
        <f t="shared" si="10"/>
        <v>华中</v>
      </c>
      <c r="D666" s="16" t="s">
        <v>730</v>
      </c>
      <c r="E666" s="16">
        <v>20</v>
      </c>
    </row>
    <row r="667" spans="1:5" x14ac:dyDescent="0.4">
      <c r="A667" s="16" t="s">
        <v>22</v>
      </c>
      <c r="B667" s="16" t="s">
        <v>38</v>
      </c>
      <c r="C667" s="16" t="str">
        <f t="shared" si="10"/>
        <v>西北</v>
      </c>
      <c r="D667" s="16" t="s">
        <v>731</v>
      </c>
      <c r="E667" s="16">
        <v>23</v>
      </c>
    </row>
    <row r="668" spans="1:5" x14ac:dyDescent="0.4">
      <c r="A668" s="16" t="s">
        <v>22</v>
      </c>
      <c r="B668" s="16" t="s">
        <v>73</v>
      </c>
      <c r="C668" s="16" t="str">
        <f t="shared" si="10"/>
        <v>华中</v>
      </c>
      <c r="D668" s="16" t="s">
        <v>732</v>
      </c>
      <c r="E668" s="16">
        <v>20</v>
      </c>
    </row>
    <row r="669" spans="1:5" x14ac:dyDescent="0.4">
      <c r="A669" s="16" t="s">
        <v>33</v>
      </c>
      <c r="B669" s="16" t="s">
        <v>83</v>
      </c>
      <c r="C669" s="16" t="str">
        <f t="shared" si="10"/>
        <v>西北</v>
      </c>
      <c r="D669" s="16" t="s">
        <v>733</v>
      </c>
      <c r="E669" s="16">
        <v>12</v>
      </c>
    </row>
    <row r="670" spans="1:5" x14ac:dyDescent="0.4">
      <c r="A670" s="16" t="s">
        <v>29</v>
      </c>
      <c r="B670" s="16" t="s">
        <v>67</v>
      </c>
      <c r="C670" s="16" t="str">
        <f t="shared" si="10"/>
        <v>华中</v>
      </c>
      <c r="D670" s="16" t="s">
        <v>734</v>
      </c>
      <c r="E670" s="16">
        <v>29</v>
      </c>
    </row>
    <row r="671" spans="1:5" x14ac:dyDescent="0.4">
      <c r="A671" s="16" t="s">
        <v>29</v>
      </c>
      <c r="B671" s="16" t="s">
        <v>67</v>
      </c>
      <c r="C671" s="16" t="str">
        <f t="shared" si="10"/>
        <v>华中</v>
      </c>
      <c r="D671" s="16" t="s">
        <v>735</v>
      </c>
      <c r="E671" s="16">
        <v>18</v>
      </c>
    </row>
    <row r="672" spans="1:5" x14ac:dyDescent="0.4">
      <c r="A672" s="16" t="s">
        <v>22</v>
      </c>
      <c r="B672" s="16" t="s">
        <v>23</v>
      </c>
      <c r="C672" s="16" t="str">
        <f t="shared" si="10"/>
        <v>西南</v>
      </c>
      <c r="D672" s="16" t="s">
        <v>736</v>
      </c>
      <c r="E672" s="16">
        <v>10</v>
      </c>
    </row>
    <row r="673" spans="1:5" x14ac:dyDescent="0.4">
      <c r="A673" s="16" t="s">
        <v>22</v>
      </c>
      <c r="B673" s="16" t="s">
        <v>23</v>
      </c>
      <c r="C673" s="16" t="str">
        <f t="shared" si="10"/>
        <v>西南</v>
      </c>
      <c r="D673" s="16" t="s">
        <v>737</v>
      </c>
      <c r="E673" s="16">
        <v>12</v>
      </c>
    </row>
    <row r="674" spans="1:5" x14ac:dyDescent="0.4">
      <c r="A674" s="16" t="s">
        <v>22</v>
      </c>
      <c r="B674" s="16" t="s">
        <v>61</v>
      </c>
      <c r="C674" s="16" t="str">
        <f t="shared" si="10"/>
        <v>华东</v>
      </c>
      <c r="D674" s="16" t="s">
        <v>738</v>
      </c>
      <c r="E674" s="16">
        <v>26</v>
      </c>
    </row>
    <row r="675" spans="1:5" x14ac:dyDescent="0.4">
      <c r="A675" s="16" t="s">
        <v>22</v>
      </c>
      <c r="B675" s="16" t="s">
        <v>61</v>
      </c>
      <c r="C675" s="16" t="str">
        <f t="shared" si="10"/>
        <v>华东</v>
      </c>
      <c r="D675" s="16" t="s">
        <v>739</v>
      </c>
      <c r="E675" s="16">
        <v>16</v>
      </c>
    </row>
    <row r="676" spans="1:5" x14ac:dyDescent="0.4">
      <c r="A676" s="16" t="s">
        <v>29</v>
      </c>
      <c r="B676" s="16" t="s">
        <v>67</v>
      </c>
      <c r="C676" s="16" t="str">
        <f t="shared" si="10"/>
        <v>华中</v>
      </c>
      <c r="D676" s="16" t="s">
        <v>740</v>
      </c>
      <c r="E676" s="16">
        <v>17</v>
      </c>
    </row>
    <row r="677" spans="1:5" x14ac:dyDescent="0.4">
      <c r="A677" s="16" t="s">
        <v>22</v>
      </c>
      <c r="B677" s="16" t="s">
        <v>23</v>
      </c>
      <c r="C677" s="16" t="str">
        <f t="shared" si="10"/>
        <v>西南</v>
      </c>
      <c r="D677" s="16" t="s">
        <v>741</v>
      </c>
      <c r="E677" s="16">
        <v>27</v>
      </c>
    </row>
    <row r="678" spans="1:5" x14ac:dyDescent="0.4">
      <c r="A678" s="16" t="s">
        <v>29</v>
      </c>
      <c r="B678" s="16" t="s">
        <v>63</v>
      </c>
      <c r="C678" s="16" t="str">
        <f t="shared" si="10"/>
        <v>西南</v>
      </c>
      <c r="D678" s="16" t="s">
        <v>742</v>
      </c>
      <c r="E678" s="16">
        <v>11</v>
      </c>
    </row>
    <row r="679" spans="1:5" x14ac:dyDescent="0.4">
      <c r="A679" s="16" t="s">
        <v>29</v>
      </c>
      <c r="B679" s="16" t="s">
        <v>53</v>
      </c>
      <c r="C679" s="16" t="str">
        <f t="shared" si="10"/>
        <v>华东</v>
      </c>
      <c r="D679" s="16" t="s">
        <v>743</v>
      </c>
      <c r="E679" s="16">
        <v>29</v>
      </c>
    </row>
    <row r="680" spans="1:5" x14ac:dyDescent="0.4">
      <c r="A680" s="16" t="s">
        <v>22</v>
      </c>
      <c r="B680" s="16" t="s">
        <v>53</v>
      </c>
      <c r="C680" s="16" t="str">
        <f t="shared" si="10"/>
        <v>华东</v>
      </c>
      <c r="D680" s="16" t="s">
        <v>744</v>
      </c>
      <c r="E680" s="16">
        <v>26</v>
      </c>
    </row>
    <row r="681" spans="1:5" x14ac:dyDescent="0.4">
      <c r="A681" s="16" t="s">
        <v>33</v>
      </c>
      <c r="B681" s="16" t="s">
        <v>58</v>
      </c>
      <c r="C681" s="16" t="str">
        <f t="shared" si="10"/>
        <v>华中</v>
      </c>
      <c r="D681" s="16" t="s">
        <v>745</v>
      </c>
      <c r="E681" s="16">
        <v>10</v>
      </c>
    </row>
    <row r="682" spans="1:5" x14ac:dyDescent="0.4">
      <c r="A682" s="16" t="s">
        <v>22</v>
      </c>
      <c r="B682" s="16" t="s">
        <v>63</v>
      </c>
      <c r="C682" s="16" t="str">
        <f t="shared" si="10"/>
        <v>西南</v>
      </c>
      <c r="D682" s="16" t="s">
        <v>746</v>
      </c>
      <c r="E682" s="16">
        <v>19</v>
      </c>
    </row>
    <row r="683" spans="1:5" x14ac:dyDescent="0.4">
      <c r="A683" s="16" t="s">
        <v>33</v>
      </c>
      <c r="B683" s="16" t="s">
        <v>67</v>
      </c>
      <c r="C683" s="16" t="str">
        <f t="shared" si="10"/>
        <v>华中</v>
      </c>
      <c r="D683" s="16" t="s">
        <v>747</v>
      </c>
      <c r="E683" s="16">
        <v>27</v>
      </c>
    </row>
    <row r="684" spans="1:5" x14ac:dyDescent="0.4">
      <c r="A684" s="16" t="s">
        <v>22</v>
      </c>
      <c r="B684" s="16" t="s">
        <v>65</v>
      </c>
      <c r="C684" s="16" t="str">
        <f t="shared" si="10"/>
        <v>华南</v>
      </c>
      <c r="D684" s="16" t="s">
        <v>748</v>
      </c>
      <c r="E684" s="16">
        <v>27</v>
      </c>
    </row>
    <row r="685" spans="1:5" x14ac:dyDescent="0.4">
      <c r="A685" s="16" t="s">
        <v>22</v>
      </c>
      <c r="B685" s="16" t="s">
        <v>65</v>
      </c>
      <c r="C685" s="16" t="str">
        <f t="shared" si="10"/>
        <v>华南</v>
      </c>
      <c r="D685" s="16" t="s">
        <v>749</v>
      </c>
      <c r="E685" s="16">
        <v>28</v>
      </c>
    </row>
    <row r="686" spans="1:5" x14ac:dyDescent="0.4">
      <c r="A686" s="16" t="s">
        <v>22</v>
      </c>
      <c r="B686" s="16" t="s">
        <v>53</v>
      </c>
      <c r="C686" s="16" t="str">
        <f t="shared" si="10"/>
        <v>华东</v>
      </c>
      <c r="D686" s="16" t="s">
        <v>750</v>
      </c>
      <c r="E686" s="16">
        <v>25</v>
      </c>
    </row>
    <row r="687" spans="1:5" x14ac:dyDescent="0.4">
      <c r="A687" s="16" t="s">
        <v>22</v>
      </c>
      <c r="B687" s="16" t="s">
        <v>61</v>
      </c>
      <c r="C687" s="16" t="str">
        <f t="shared" si="10"/>
        <v>华东</v>
      </c>
      <c r="D687" s="16" t="s">
        <v>751</v>
      </c>
      <c r="E687" s="16">
        <v>26</v>
      </c>
    </row>
    <row r="688" spans="1:5" x14ac:dyDescent="0.4">
      <c r="A688" s="16" t="s">
        <v>22</v>
      </c>
      <c r="B688" s="16" t="s">
        <v>53</v>
      </c>
      <c r="C688" s="16" t="str">
        <f t="shared" si="10"/>
        <v>华东</v>
      </c>
      <c r="D688" s="16" t="s">
        <v>752</v>
      </c>
      <c r="E688" s="16">
        <v>24</v>
      </c>
    </row>
    <row r="689" spans="1:5" x14ac:dyDescent="0.4">
      <c r="A689" s="16" t="s">
        <v>22</v>
      </c>
      <c r="B689" s="16" t="s">
        <v>53</v>
      </c>
      <c r="C689" s="16" t="str">
        <f t="shared" si="10"/>
        <v>华东</v>
      </c>
      <c r="D689" s="16" t="s">
        <v>753</v>
      </c>
      <c r="E689" s="16">
        <v>20</v>
      </c>
    </row>
    <row r="690" spans="1:5" x14ac:dyDescent="0.4">
      <c r="A690" s="16" t="s">
        <v>22</v>
      </c>
      <c r="B690" s="16" t="s">
        <v>53</v>
      </c>
      <c r="C690" s="16" t="str">
        <f t="shared" si="10"/>
        <v>华东</v>
      </c>
      <c r="D690" s="16" t="s">
        <v>754</v>
      </c>
      <c r="E690" s="16">
        <v>18</v>
      </c>
    </row>
    <row r="691" spans="1:5" x14ac:dyDescent="0.4">
      <c r="A691" s="16" t="s">
        <v>22</v>
      </c>
      <c r="B691" s="16" t="s">
        <v>53</v>
      </c>
      <c r="C691" s="16" t="str">
        <f t="shared" si="10"/>
        <v>华东</v>
      </c>
      <c r="D691" s="16" t="s">
        <v>755</v>
      </c>
      <c r="E691" s="16">
        <v>12</v>
      </c>
    </row>
    <row r="692" spans="1:5" x14ac:dyDescent="0.4">
      <c r="A692" s="16" t="s">
        <v>22</v>
      </c>
      <c r="B692" s="16" t="s">
        <v>53</v>
      </c>
      <c r="C692" s="16" t="str">
        <f t="shared" si="10"/>
        <v>华东</v>
      </c>
      <c r="D692" s="16" t="s">
        <v>756</v>
      </c>
      <c r="E692" s="16">
        <v>29</v>
      </c>
    </row>
    <row r="693" spans="1:5" x14ac:dyDescent="0.4">
      <c r="A693" s="16" t="s">
        <v>22</v>
      </c>
      <c r="B693" s="16" t="s">
        <v>53</v>
      </c>
      <c r="C693" s="16" t="str">
        <f t="shared" si="10"/>
        <v>华东</v>
      </c>
      <c r="D693" s="16" t="s">
        <v>757</v>
      </c>
      <c r="E693" s="16">
        <v>10</v>
      </c>
    </row>
    <row r="694" spans="1:5" x14ac:dyDescent="0.4">
      <c r="A694" s="16" t="s">
        <v>29</v>
      </c>
      <c r="B694" s="16" t="s">
        <v>53</v>
      </c>
      <c r="C694" s="16" t="str">
        <f t="shared" si="10"/>
        <v>华东</v>
      </c>
      <c r="D694" s="16" t="s">
        <v>758</v>
      </c>
      <c r="E694" s="16">
        <v>29</v>
      </c>
    </row>
    <row r="695" spans="1:5" x14ac:dyDescent="0.4">
      <c r="A695" s="16" t="s">
        <v>22</v>
      </c>
      <c r="B695" s="16" t="s">
        <v>53</v>
      </c>
      <c r="C695" s="16" t="str">
        <f t="shared" si="10"/>
        <v>华东</v>
      </c>
      <c r="D695" s="16" t="s">
        <v>759</v>
      </c>
      <c r="E695" s="16">
        <v>18</v>
      </c>
    </row>
    <row r="696" spans="1:5" x14ac:dyDescent="0.4">
      <c r="A696" s="16" t="s">
        <v>22</v>
      </c>
      <c r="B696" s="16" t="s">
        <v>53</v>
      </c>
      <c r="C696" s="16" t="str">
        <f t="shared" si="10"/>
        <v>华东</v>
      </c>
      <c r="D696" s="16" t="s">
        <v>760</v>
      </c>
      <c r="E696" s="16">
        <v>18</v>
      </c>
    </row>
    <row r="697" spans="1:5" x14ac:dyDescent="0.4">
      <c r="A697" s="16" t="s">
        <v>22</v>
      </c>
      <c r="B697" s="16" t="s">
        <v>53</v>
      </c>
      <c r="C697" s="16" t="str">
        <f t="shared" si="10"/>
        <v>华东</v>
      </c>
      <c r="D697" s="16" t="s">
        <v>761</v>
      </c>
      <c r="E697" s="16">
        <v>13</v>
      </c>
    </row>
    <row r="698" spans="1:5" x14ac:dyDescent="0.4">
      <c r="A698" s="16" t="s">
        <v>22</v>
      </c>
      <c r="B698" s="16" t="s">
        <v>53</v>
      </c>
      <c r="C698" s="16" t="str">
        <f t="shared" si="10"/>
        <v>华东</v>
      </c>
      <c r="D698" s="16" t="s">
        <v>762</v>
      </c>
      <c r="E698" s="16">
        <v>27</v>
      </c>
    </row>
    <row r="699" spans="1:5" x14ac:dyDescent="0.4">
      <c r="A699" s="16" t="s">
        <v>22</v>
      </c>
      <c r="B699" s="16" t="s">
        <v>53</v>
      </c>
      <c r="C699" s="16" t="str">
        <f t="shared" si="10"/>
        <v>华东</v>
      </c>
      <c r="D699" s="16" t="s">
        <v>763</v>
      </c>
      <c r="E699" s="16">
        <v>18</v>
      </c>
    </row>
    <row r="700" spans="1:5" x14ac:dyDescent="0.4">
      <c r="A700" s="16" t="s">
        <v>22</v>
      </c>
      <c r="B700" s="16" t="s">
        <v>53</v>
      </c>
      <c r="C700" s="16" t="str">
        <f t="shared" si="10"/>
        <v>华东</v>
      </c>
      <c r="D700" s="16" t="s">
        <v>764</v>
      </c>
      <c r="E700" s="16">
        <v>27</v>
      </c>
    </row>
    <row r="701" spans="1:5" x14ac:dyDescent="0.4">
      <c r="A701" s="16" t="s">
        <v>29</v>
      </c>
      <c r="B701" s="16" t="s">
        <v>53</v>
      </c>
      <c r="C701" s="16" t="str">
        <f t="shared" si="10"/>
        <v>华东</v>
      </c>
      <c r="D701" s="16" t="s">
        <v>765</v>
      </c>
      <c r="E701" s="16">
        <v>24</v>
      </c>
    </row>
    <row r="702" spans="1:5" x14ac:dyDescent="0.4">
      <c r="A702" s="16" t="s">
        <v>29</v>
      </c>
      <c r="B702" s="16" t="s">
        <v>53</v>
      </c>
      <c r="C702" s="16" t="str">
        <f t="shared" si="10"/>
        <v>华东</v>
      </c>
      <c r="D702" s="16" t="s">
        <v>766</v>
      </c>
      <c r="E702" s="16">
        <v>14</v>
      </c>
    </row>
    <row r="703" spans="1:5" x14ac:dyDescent="0.4">
      <c r="A703" s="16" t="s">
        <v>29</v>
      </c>
      <c r="B703" s="16" t="s">
        <v>53</v>
      </c>
      <c r="C703" s="16" t="str">
        <f t="shared" si="10"/>
        <v>华东</v>
      </c>
      <c r="D703" s="16" t="s">
        <v>767</v>
      </c>
      <c r="E703" s="16">
        <v>24</v>
      </c>
    </row>
    <row r="704" spans="1:5" x14ac:dyDescent="0.4">
      <c r="A704" s="16" t="s">
        <v>22</v>
      </c>
      <c r="B704" s="16" t="s">
        <v>53</v>
      </c>
      <c r="C704" s="16" t="str">
        <f t="shared" si="10"/>
        <v>华东</v>
      </c>
      <c r="D704" s="16" t="s">
        <v>768</v>
      </c>
      <c r="E704" s="16">
        <v>16</v>
      </c>
    </row>
    <row r="705" spans="1:5" x14ac:dyDescent="0.4">
      <c r="A705" s="16" t="s">
        <v>22</v>
      </c>
      <c r="B705" s="16" t="s">
        <v>53</v>
      </c>
      <c r="C705" s="16" t="str">
        <f t="shared" si="10"/>
        <v>华东</v>
      </c>
      <c r="D705" s="16" t="s">
        <v>769</v>
      </c>
      <c r="E705" s="16">
        <v>20</v>
      </c>
    </row>
    <row r="706" spans="1:5" x14ac:dyDescent="0.4">
      <c r="A706" s="16" t="s">
        <v>22</v>
      </c>
      <c r="B706" s="16" t="s">
        <v>53</v>
      </c>
      <c r="C706" s="16" t="str">
        <f t="shared" si="10"/>
        <v>华东</v>
      </c>
      <c r="D706" s="16" t="s">
        <v>770</v>
      </c>
      <c r="E706" s="16">
        <v>29</v>
      </c>
    </row>
    <row r="707" spans="1:5" x14ac:dyDescent="0.4">
      <c r="A707" s="16" t="s">
        <v>29</v>
      </c>
      <c r="B707" s="16" t="s">
        <v>53</v>
      </c>
      <c r="C707" s="16" t="str">
        <f t="shared" ref="C707:C770" si="11">_xlfn.XLOOKUP(B707,$I$2:$I$32,$J$2:$J$32)</f>
        <v>华东</v>
      </c>
      <c r="D707" s="16" t="s">
        <v>771</v>
      </c>
      <c r="E707" s="16">
        <v>24</v>
      </c>
    </row>
    <row r="708" spans="1:5" x14ac:dyDescent="0.4">
      <c r="A708" s="16" t="s">
        <v>22</v>
      </c>
      <c r="B708" s="16" t="s">
        <v>53</v>
      </c>
      <c r="C708" s="16" t="str">
        <f t="shared" si="11"/>
        <v>华东</v>
      </c>
      <c r="D708" s="16" t="s">
        <v>772</v>
      </c>
      <c r="E708" s="16">
        <v>24</v>
      </c>
    </row>
    <row r="709" spans="1:5" x14ac:dyDescent="0.4">
      <c r="A709" s="16" t="s">
        <v>22</v>
      </c>
      <c r="B709" s="16" t="s">
        <v>53</v>
      </c>
      <c r="C709" s="16" t="str">
        <f t="shared" si="11"/>
        <v>华东</v>
      </c>
      <c r="D709" s="16" t="s">
        <v>773</v>
      </c>
      <c r="E709" s="16">
        <v>28</v>
      </c>
    </row>
    <row r="710" spans="1:5" x14ac:dyDescent="0.4">
      <c r="A710" s="16" t="s">
        <v>22</v>
      </c>
      <c r="B710" s="16" t="s">
        <v>53</v>
      </c>
      <c r="C710" s="16" t="str">
        <f t="shared" si="11"/>
        <v>华东</v>
      </c>
      <c r="D710" s="16" t="s">
        <v>774</v>
      </c>
      <c r="E710" s="16">
        <v>13</v>
      </c>
    </row>
    <row r="711" spans="1:5" x14ac:dyDescent="0.4">
      <c r="A711" s="16" t="s">
        <v>22</v>
      </c>
      <c r="B711" s="16" t="s">
        <v>53</v>
      </c>
      <c r="C711" s="16" t="str">
        <f t="shared" si="11"/>
        <v>华东</v>
      </c>
      <c r="D711" s="16" t="s">
        <v>775</v>
      </c>
      <c r="E711" s="16">
        <v>22</v>
      </c>
    </row>
    <row r="712" spans="1:5" x14ac:dyDescent="0.4">
      <c r="A712" s="16" t="s">
        <v>22</v>
      </c>
      <c r="B712" s="16" t="s">
        <v>55</v>
      </c>
      <c r="C712" s="16" t="str">
        <f t="shared" si="11"/>
        <v>华东</v>
      </c>
      <c r="D712" s="16" t="s">
        <v>776</v>
      </c>
      <c r="E712" s="16">
        <v>28</v>
      </c>
    </row>
    <row r="713" spans="1:5" x14ac:dyDescent="0.4">
      <c r="A713" s="16" t="s">
        <v>22</v>
      </c>
      <c r="B713" s="16" t="s">
        <v>55</v>
      </c>
      <c r="C713" s="16" t="str">
        <f t="shared" si="11"/>
        <v>华东</v>
      </c>
      <c r="D713" s="16" t="s">
        <v>777</v>
      </c>
      <c r="E713" s="16">
        <v>16</v>
      </c>
    </row>
    <row r="714" spans="1:5" x14ac:dyDescent="0.4">
      <c r="A714" s="16" t="s">
        <v>22</v>
      </c>
      <c r="B714" s="16" t="s">
        <v>53</v>
      </c>
      <c r="C714" s="16" t="str">
        <f t="shared" si="11"/>
        <v>华东</v>
      </c>
      <c r="D714" s="16" t="s">
        <v>778</v>
      </c>
      <c r="E714" s="16">
        <v>29</v>
      </c>
    </row>
    <row r="715" spans="1:5" x14ac:dyDescent="0.4">
      <c r="A715" s="16" t="s">
        <v>29</v>
      </c>
      <c r="B715" s="16" t="s">
        <v>53</v>
      </c>
      <c r="C715" s="16" t="str">
        <f t="shared" si="11"/>
        <v>华东</v>
      </c>
      <c r="D715" s="16" t="s">
        <v>779</v>
      </c>
      <c r="E715" s="16">
        <v>28</v>
      </c>
    </row>
    <row r="716" spans="1:5" x14ac:dyDescent="0.4">
      <c r="A716" s="16" t="s">
        <v>33</v>
      </c>
      <c r="B716" s="16" t="s">
        <v>58</v>
      </c>
      <c r="C716" s="16" t="str">
        <f t="shared" si="11"/>
        <v>华中</v>
      </c>
      <c r="D716" s="16" t="s">
        <v>780</v>
      </c>
      <c r="E716" s="16">
        <v>11</v>
      </c>
    </row>
    <row r="717" spans="1:5" x14ac:dyDescent="0.4">
      <c r="A717" s="16" t="s">
        <v>22</v>
      </c>
      <c r="B717" s="16" t="s">
        <v>23</v>
      </c>
      <c r="C717" s="16" t="str">
        <f t="shared" si="11"/>
        <v>西南</v>
      </c>
      <c r="D717" s="16" t="s">
        <v>781</v>
      </c>
      <c r="E717" s="16">
        <v>15</v>
      </c>
    </row>
    <row r="718" spans="1:5" x14ac:dyDescent="0.4">
      <c r="A718" s="16" t="s">
        <v>29</v>
      </c>
      <c r="B718" s="16" t="s">
        <v>55</v>
      </c>
      <c r="C718" s="16" t="str">
        <f t="shared" si="11"/>
        <v>华东</v>
      </c>
      <c r="D718" s="16" t="s">
        <v>782</v>
      </c>
      <c r="E718" s="16">
        <v>20</v>
      </c>
    </row>
    <row r="719" spans="1:5" x14ac:dyDescent="0.4">
      <c r="A719" s="16" t="s">
        <v>22</v>
      </c>
      <c r="B719" s="16" t="s">
        <v>53</v>
      </c>
      <c r="C719" s="16" t="str">
        <f t="shared" si="11"/>
        <v>华东</v>
      </c>
      <c r="D719" s="16" t="s">
        <v>783</v>
      </c>
      <c r="E719" s="16">
        <v>18</v>
      </c>
    </row>
    <row r="720" spans="1:5" x14ac:dyDescent="0.4">
      <c r="A720" s="16" t="s">
        <v>22</v>
      </c>
      <c r="B720" s="16" t="s">
        <v>44</v>
      </c>
      <c r="C720" s="16" t="str">
        <f t="shared" si="11"/>
        <v>华北</v>
      </c>
      <c r="D720" s="16" t="s">
        <v>784</v>
      </c>
      <c r="E720" s="16">
        <v>13</v>
      </c>
    </row>
    <row r="721" spans="1:5" x14ac:dyDescent="0.4">
      <c r="A721" s="16" t="s">
        <v>29</v>
      </c>
      <c r="B721" s="16" t="s">
        <v>44</v>
      </c>
      <c r="C721" s="16" t="str">
        <f t="shared" si="11"/>
        <v>华北</v>
      </c>
      <c r="D721" s="16" t="s">
        <v>785</v>
      </c>
      <c r="E721" s="16">
        <v>10</v>
      </c>
    </row>
    <row r="722" spans="1:5" x14ac:dyDescent="0.4">
      <c r="A722" s="16" t="s">
        <v>29</v>
      </c>
      <c r="B722" s="16" t="s">
        <v>44</v>
      </c>
      <c r="C722" s="16" t="str">
        <f t="shared" si="11"/>
        <v>华北</v>
      </c>
      <c r="D722" s="16" t="s">
        <v>786</v>
      </c>
      <c r="E722" s="16">
        <v>24</v>
      </c>
    </row>
    <row r="723" spans="1:5" x14ac:dyDescent="0.4">
      <c r="A723" s="16" t="s">
        <v>29</v>
      </c>
      <c r="B723" s="16" t="s">
        <v>44</v>
      </c>
      <c r="C723" s="16" t="str">
        <f t="shared" si="11"/>
        <v>华北</v>
      </c>
      <c r="D723" s="16" t="s">
        <v>787</v>
      </c>
      <c r="E723" s="16">
        <v>26</v>
      </c>
    </row>
    <row r="724" spans="1:5" x14ac:dyDescent="0.4">
      <c r="A724" s="16" t="s">
        <v>29</v>
      </c>
      <c r="B724" s="16" t="s">
        <v>44</v>
      </c>
      <c r="C724" s="16" t="str">
        <f t="shared" si="11"/>
        <v>华北</v>
      </c>
      <c r="D724" s="16" t="s">
        <v>788</v>
      </c>
      <c r="E724" s="16">
        <v>14</v>
      </c>
    </row>
    <row r="725" spans="1:5" x14ac:dyDescent="0.4">
      <c r="A725" s="16" t="s">
        <v>29</v>
      </c>
      <c r="B725" s="16" t="s">
        <v>73</v>
      </c>
      <c r="C725" s="16" t="str">
        <f t="shared" si="11"/>
        <v>华中</v>
      </c>
      <c r="D725" s="16" t="s">
        <v>789</v>
      </c>
      <c r="E725" s="16">
        <v>13</v>
      </c>
    </row>
    <row r="726" spans="1:5" x14ac:dyDescent="0.4">
      <c r="A726" s="16" t="s">
        <v>29</v>
      </c>
      <c r="B726" s="16" t="s">
        <v>73</v>
      </c>
      <c r="C726" s="16" t="str">
        <f t="shared" si="11"/>
        <v>华中</v>
      </c>
      <c r="D726" s="16" t="s">
        <v>790</v>
      </c>
      <c r="E726" s="16">
        <v>26</v>
      </c>
    </row>
    <row r="727" spans="1:5" x14ac:dyDescent="0.4">
      <c r="A727" s="16" t="s">
        <v>33</v>
      </c>
      <c r="B727" s="16" t="s">
        <v>73</v>
      </c>
      <c r="C727" s="16" t="str">
        <f t="shared" si="11"/>
        <v>华中</v>
      </c>
      <c r="D727" s="16" t="s">
        <v>791</v>
      </c>
      <c r="E727" s="16">
        <v>18</v>
      </c>
    </row>
    <row r="728" spans="1:5" x14ac:dyDescent="0.4">
      <c r="A728" s="16" t="s">
        <v>29</v>
      </c>
      <c r="B728" s="16" t="s">
        <v>73</v>
      </c>
      <c r="C728" s="16" t="str">
        <f t="shared" si="11"/>
        <v>华中</v>
      </c>
      <c r="D728" s="16" t="s">
        <v>792</v>
      </c>
      <c r="E728" s="16">
        <v>24</v>
      </c>
    </row>
    <row r="729" spans="1:5" x14ac:dyDescent="0.4">
      <c r="A729" s="16" t="s">
        <v>22</v>
      </c>
      <c r="B729" s="16" t="s">
        <v>73</v>
      </c>
      <c r="C729" s="16" t="str">
        <f t="shared" si="11"/>
        <v>华中</v>
      </c>
      <c r="D729" s="16" t="s">
        <v>793</v>
      </c>
      <c r="E729" s="16">
        <v>10</v>
      </c>
    </row>
    <row r="730" spans="1:5" x14ac:dyDescent="0.4">
      <c r="A730" s="16" t="s">
        <v>22</v>
      </c>
      <c r="B730" s="16" t="s">
        <v>65</v>
      </c>
      <c r="C730" s="16" t="str">
        <f t="shared" si="11"/>
        <v>华南</v>
      </c>
      <c r="D730" s="16" t="s">
        <v>794</v>
      </c>
      <c r="E730" s="16">
        <v>18</v>
      </c>
    </row>
    <row r="731" spans="1:5" x14ac:dyDescent="0.4">
      <c r="A731" s="16" t="s">
        <v>29</v>
      </c>
      <c r="B731" s="16" t="s">
        <v>65</v>
      </c>
      <c r="C731" s="16" t="str">
        <f t="shared" si="11"/>
        <v>华南</v>
      </c>
      <c r="D731" s="16" t="s">
        <v>795</v>
      </c>
      <c r="E731" s="16">
        <v>19</v>
      </c>
    </row>
    <row r="732" spans="1:5" x14ac:dyDescent="0.4">
      <c r="A732" s="16" t="s">
        <v>29</v>
      </c>
      <c r="B732" s="16" t="s">
        <v>65</v>
      </c>
      <c r="C732" s="16" t="str">
        <f t="shared" si="11"/>
        <v>华南</v>
      </c>
      <c r="D732" s="16" t="s">
        <v>796</v>
      </c>
      <c r="E732" s="16">
        <v>24</v>
      </c>
    </row>
    <row r="733" spans="1:5" x14ac:dyDescent="0.4">
      <c r="A733" s="16" t="s">
        <v>22</v>
      </c>
      <c r="B733" s="16" t="s">
        <v>44</v>
      </c>
      <c r="C733" s="16" t="str">
        <f t="shared" si="11"/>
        <v>华北</v>
      </c>
      <c r="D733" s="16" t="s">
        <v>797</v>
      </c>
      <c r="E733" s="16">
        <v>16</v>
      </c>
    </row>
    <row r="734" spans="1:5" x14ac:dyDescent="0.4">
      <c r="A734" s="16" t="s">
        <v>22</v>
      </c>
      <c r="B734" s="16" t="s">
        <v>48</v>
      </c>
      <c r="C734" s="16" t="str">
        <f t="shared" si="11"/>
        <v>华东</v>
      </c>
      <c r="D734" s="16" t="s">
        <v>798</v>
      </c>
      <c r="E734" s="16">
        <v>14</v>
      </c>
    </row>
    <row r="735" spans="1:5" x14ac:dyDescent="0.4">
      <c r="A735" s="16" t="s">
        <v>22</v>
      </c>
      <c r="B735" s="16" t="s">
        <v>53</v>
      </c>
      <c r="C735" s="16" t="str">
        <f t="shared" si="11"/>
        <v>华东</v>
      </c>
      <c r="D735" s="16" t="s">
        <v>799</v>
      </c>
      <c r="E735" s="16">
        <v>16</v>
      </c>
    </row>
    <row r="736" spans="1:5" x14ac:dyDescent="0.4">
      <c r="A736" s="16" t="s">
        <v>22</v>
      </c>
      <c r="B736" s="16" t="s">
        <v>61</v>
      </c>
      <c r="C736" s="16" t="str">
        <f t="shared" si="11"/>
        <v>华东</v>
      </c>
      <c r="D736" s="16" t="s">
        <v>800</v>
      </c>
      <c r="E736" s="16">
        <v>29</v>
      </c>
    </row>
    <row r="737" spans="1:5" x14ac:dyDescent="0.4">
      <c r="A737" s="16" t="s">
        <v>22</v>
      </c>
      <c r="B737" s="16" t="s">
        <v>61</v>
      </c>
      <c r="C737" s="16" t="str">
        <f t="shared" si="11"/>
        <v>华东</v>
      </c>
      <c r="D737" s="16" t="s">
        <v>801</v>
      </c>
      <c r="E737" s="16">
        <v>21</v>
      </c>
    </row>
    <row r="738" spans="1:5" x14ac:dyDescent="0.4">
      <c r="A738" s="16" t="s">
        <v>22</v>
      </c>
      <c r="B738" s="16" t="s">
        <v>63</v>
      </c>
      <c r="C738" s="16" t="str">
        <f t="shared" si="11"/>
        <v>西南</v>
      </c>
      <c r="D738" s="16" t="s">
        <v>802</v>
      </c>
      <c r="E738" s="16">
        <v>13</v>
      </c>
    </row>
    <row r="739" spans="1:5" x14ac:dyDescent="0.4">
      <c r="A739" s="16" t="s">
        <v>29</v>
      </c>
      <c r="B739" s="16" t="s">
        <v>76</v>
      </c>
      <c r="C739" s="16" t="str">
        <f t="shared" si="11"/>
        <v>西北</v>
      </c>
      <c r="D739" s="16" t="s">
        <v>803</v>
      </c>
      <c r="E739" s="16">
        <v>23</v>
      </c>
    </row>
    <row r="740" spans="1:5" x14ac:dyDescent="0.4">
      <c r="A740" s="16" t="s">
        <v>33</v>
      </c>
      <c r="B740" s="16" t="s">
        <v>55</v>
      </c>
      <c r="C740" s="16" t="str">
        <f t="shared" si="11"/>
        <v>华东</v>
      </c>
      <c r="D740" s="16" t="s">
        <v>804</v>
      </c>
      <c r="E740" s="16">
        <v>22</v>
      </c>
    </row>
    <row r="741" spans="1:5" x14ac:dyDescent="0.4">
      <c r="A741" s="16" t="s">
        <v>22</v>
      </c>
      <c r="B741" s="16" t="s">
        <v>55</v>
      </c>
      <c r="C741" s="16" t="str">
        <f t="shared" si="11"/>
        <v>华东</v>
      </c>
      <c r="D741" s="16" t="s">
        <v>805</v>
      </c>
      <c r="E741" s="16">
        <v>26</v>
      </c>
    </row>
    <row r="742" spans="1:5" x14ac:dyDescent="0.4">
      <c r="A742" s="16" t="s">
        <v>22</v>
      </c>
      <c r="B742" s="16" t="s">
        <v>57</v>
      </c>
      <c r="C742" s="16" t="str">
        <f t="shared" si="11"/>
        <v>华东</v>
      </c>
      <c r="D742" s="16" t="s">
        <v>806</v>
      </c>
      <c r="E742" s="16">
        <v>29</v>
      </c>
    </row>
    <row r="743" spans="1:5" x14ac:dyDescent="0.4">
      <c r="A743" s="16" t="s">
        <v>22</v>
      </c>
      <c r="B743" s="16" t="s">
        <v>69</v>
      </c>
      <c r="C743" s="16" t="str">
        <f t="shared" si="11"/>
        <v>华南</v>
      </c>
      <c r="D743" s="16" t="s">
        <v>807</v>
      </c>
      <c r="E743" s="16">
        <v>22</v>
      </c>
    </row>
    <row r="744" spans="1:5" x14ac:dyDescent="0.4">
      <c r="A744" s="16" t="s">
        <v>29</v>
      </c>
      <c r="B744" s="16" t="s">
        <v>48</v>
      </c>
      <c r="C744" s="16" t="str">
        <f t="shared" si="11"/>
        <v>华东</v>
      </c>
      <c r="D744" s="16" t="s">
        <v>808</v>
      </c>
      <c r="E744" s="16">
        <v>19</v>
      </c>
    </row>
    <row r="745" spans="1:5" x14ac:dyDescent="0.4">
      <c r="A745" s="16" t="s">
        <v>22</v>
      </c>
      <c r="B745" s="16" t="s">
        <v>48</v>
      </c>
      <c r="C745" s="16" t="str">
        <f t="shared" si="11"/>
        <v>华东</v>
      </c>
      <c r="D745" s="16" t="s">
        <v>809</v>
      </c>
      <c r="E745" s="16">
        <v>23</v>
      </c>
    </row>
    <row r="746" spans="1:5" x14ac:dyDescent="0.4">
      <c r="A746" s="16" t="s">
        <v>29</v>
      </c>
      <c r="B746" s="16" t="s">
        <v>58</v>
      </c>
      <c r="C746" s="16" t="str">
        <f t="shared" si="11"/>
        <v>华中</v>
      </c>
      <c r="D746" s="16" t="s">
        <v>810</v>
      </c>
      <c r="E746" s="16">
        <v>22</v>
      </c>
    </row>
    <row r="747" spans="1:5" x14ac:dyDescent="0.4">
      <c r="A747" s="16" t="s">
        <v>22</v>
      </c>
      <c r="B747" s="16" t="s">
        <v>63</v>
      </c>
      <c r="C747" s="16" t="str">
        <f t="shared" si="11"/>
        <v>西南</v>
      </c>
      <c r="D747" s="16" t="s">
        <v>811</v>
      </c>
      <c r="E747" s="16">
        <v>16</v>
      </c>
    </row>
    <row r="748" spans="1:5" x14ac:dyDescent="0.4">
      <c r="A748" s="16" t="s">
        <v>22</v>
      </c>
      <c r="B748" s="16" t="s">
        <v>32</v>
      </c>
      <c r="C748" s="16" t="str">
        <f t="shared" si="11"/>
        <v>东北</v>
      </c>
      <c r="D748" s="16" t="s">
        <v>812</v>
      </c>
      <c r="E748" s="16">
        <v>10</v>
      </c>
    </row>
    <row r="749" spans="1:5" x14ac:dyDescent="0.4">
      <c r="A749" s="16" t="s">
        <v>22</v>
      </c>
      <c r="B749" s="16" t="s">
        <v>55</v>
      </c>
      <c r="C749" s="16" t="str">
        <f t="shared" si="11"/>
        <v>华东</v>
      </c>
      <c r="D749" s="16" t="s">
        <v>813</v>
      </c>
      <c r="E749" s="16">
        <v>29</v>
      </c>
    </row>
    <row r="750" spans="1:5" x14ac:dyDescent="0.4">
      <c r="A750" s="16" t="s">
        <v>22</v>
      </c>
      <c r="B750" s="16" t="s">
        <v>44</v>
      </c>
      <c r="C750" s="16" t="str">
        <f t="shared" si="11"/>
        <v>华北</v>
      </c>
      <c r="D750" s="16" t="s">
        <v>814</v>
      </c>
      <c r="E750" s="16">
        <v>18</v>
      </c>
    </row>
    <row r="751" spans="1:5" x14ac:dyDescent="0.4">
      <c r="A751" s="16" t="s">
        <v>22</v>
      </c>
      <c r="B751" s="16" t="s">
        <v>44</v>
      </c>
      <c r="C751" s="16" t="str">
        <f t="shared" si="11"/>
        <v>华北</v>
      </c>
      <c r="D751" s="16" t="s">
        <v>815</v>
      </c>
      <c r="E751" s="16">
        <v>26</v>
      </c>
    </row>
    <row r="752" spans="1:5" x14ac:dyDescent="0.4">
      <c r="A752" s="16" t="s">
        <v>22</v>
      </c>
      <c r="B752" s="16" t="s">
        <v>51</v>
      </c>
      <c r="C752" s="16" t="str">
        <f t="shared" si="11"/>
        <v>华东</v>
      </c>
      <c r="D752" s="16" t="s">
        <v>816</v>
      </c>
      <c r="E752" s="16">
        <v>15</v>
      </c>
    </row>
    <row r="753" spans="1:5" x14ac:dyDescent="0.4">
      <c r="A753" s="16" t="s">
        <v>22</v>
      </c>
      <c r="B753" s="16" t="s">
        <v>44</v>
      </c>
      <c r="C753" s="16" t="str">
        <f t="shared" si="11"/>
        <v>华北</v>
      </c>
      <c r="D753" s="16" t="s">
        <v>817</v>
      </c>
      <c r="E753" s="16">
        <v>19</v>
      </c>
    </row>
    <row r="754" spans="1:5" x14ac:dyDescent="0.4">
      <c r="A754" s="16" t="s">
        <v>22</v>
      </c>
      <c r="B754" s="16" t="s">
        <v>44</v>
      </c>
      <c r="C754" s="16" t="str">
        <f t="shared" si="11"/>
        <v>华北</v>
      </c>
      <c r="D754" s="16" t="s">
        <v>818</v>
      </c>
      <c r="E754" s="16">
        <v>17</v>
      </c>
    </row>
    <row r="755" spans="1:5" x14ac:dyDescent="0.4">
      <c r="A755" s="16" t="s">
        <v>22</v>
      </c>
      <c r="B755" s="16" t="s">
        <v>44</v>
      </c>
      <c r="C755" s="16" t="str">
        <f t="shared" si="11"/>
        <v>华北</v>
      </c>
      <c r="D755" s="16" t="s">
        <v>819</v>
      </c>
      <c r="E755" s="16">
        <v>29</v>
      </c>
    </row>
    <row r="756" spans="1:5" x14ac:dyDescent="0.4">
      <c r="A756" s="16" t="s">
        <v>29</v>
      </c>
      <c r="B756" s="16" t="s">
        <v>40</v>
      </c>
      <c r="C756" s="16" t="str">
        <f t="shared" si="11"/>
        <v>华北</v>
      </c>
      <c r="D756" s="16" t="s">
        <v>820</v>
      </c>
      <c r="E756" s="16">
        <v>14</v>
      </c>
    </row>
    <row r="757" spans="1:5" x14ac:dyDescent="0.4">
      <c r="A757" s="16" t="s">
        <v>29</v>
      </c>
      <c r="B757" s="16" t="s">
        <v>40</v>
      </c>
      <c r="C757" s="16" t="str">
        <f t="shared" si="11"/>
        <v>华北</v>
      </c>
      <c r="D757" s="16" t="s">
        <v>821</v>
      </c>
      <c r="E757" s="16">
        <v>11</v>
      </c>
    </row>
    <row r="758" spans="1:5" x14ac:dyDescent="0.4">
      <c r="A758" s="16" t="s">
        <v>29</v>
      </c>
      <c r="B758" s="16" t="s">
        <v>61</v>
      </c>
      <c r="C758" s="16" t="str">
        <f t="shared" si="11"/>
        <v>华东</v>
      </c>
      <c r="D758" s="16" t="s">
        <v>822</v>
      </c>
      <c r="E758" s="16">
        <v>11</v>
      </c>
    </row>
    <row r="759" spans="1:5" x14ac:dyDescent="0.4">
      <c r="A759" s="16" t="s">
        <v>22</v>
      </c>
      <c r="B759" s="16" t="s">
        <v>61</v>
      </c>
      <c r="C759" s="16" t="str">
        <f t="shared" si="11"/>
        <v>华东</v>
      </c>
      <c r="D759" s="16" t="s">
        <v>823</v>
      </c>
      <c r="E759" s="16">
        <v>25</v>
      </c>
    </row>
    <row r="760" spans="1:5" x14ac:dyDescent="0.4">
      <c r="A760" s="16" t="s">
        <v>22</v>
      </c>
      <c r="B760" s="16" t="s">
        <v>48</v>
      </c>
      <c r="C760" s="16" t="str">
        <f t="shared" si="11"/>
        <v>华东</v>
      </c>
      <c r="D760" s="16" t="s">
        <v>824</v>
      </c>
      <c r="E760" s="16">
        <v>24</v>
      </c>
    </row>
    <row r="761" spans="1:5" x14ac:dyDescent="0.4">
      <c r="A761" s="16" t="s">
        <v>29</v>
      </c>
      <c r="B761" s="16" t="s">
        <v>48</v>
      </c>
      <c r="C761" s="16" t="str">
        <f t="shared" si="11"/>
        <v>华东</v>
      </c>
      <c r="D761" s="16" t="s">
        <v>825</v>
      </c>
      <c r="E761" s="16">
        <v>24</v>
      </c>
    </row>
    <row r="762" spans="1:5" x14ac:dyDescent="0.4">
      <c r="A762" s="16" t="s">
        <v>33</v>
      </c>
      <c r="B762" s="16" t="s">
        <v>81</v>
      </c>
      <c r="C762" s="16" t="str">
        <f t="shared" si="11"/>
        <v>西北</v>
      </c>
      <c r="D762" s="16" t="s">
        <v>826</v>
      </c>
      <c r="E762" s="16">
        <v>20</v>
      </c>
    </row>
    <row r="763" spans="1:5" x14ac:dyDescent="0.4">
      <c r="A763" s="16" t="s">
        <v>29</v>
      </c>
      <c r="B763" s="16" t="s">
        <v>67</v>
      </c>
      <c r="C763" s="16" t="str">
        <f t="shared" si="11"/>
        <v>华中</v>
      </c>
      <c r="D763" s="16" t="s">
        <v>827</v>
      </c>
      <c r="E763" s="16">
        <v>18</v>
      </c>
    </row>
    <row r="764" spans="1:5" x14ac:dyDescent="0.4">
      <c r="A764" s="16" t="s">
        <v>22</v>
      </c>
      <c r="B764" s="16" t="s">
        <v>67</v>
      </c>
      <c r="C764" s="16" t="str">
        <f t="shared" si="11"/>
        <v>华中</v>
      </c>
      <c r="D764" s="16" t="s">
        <v>828</v>
      </c>
      <c r="E764" s="16">
        <v>15</v>
      </c>
    </row>
    <row r="765" spans="1:5" x14ac:dyDescent="0.4">
      <c r="A765" s="16" t="s">
        <v>22</v>
      </c>
      <c r="B765" s="16" t="s">
        <v>48</v>
      </c>
      <c r="C765" s="16" t="str">
        <f t="shared" si="11"/>
        <v>华东</v>
      </c>
      <c r="D765" s="16" t="s">
        <v>829</v>
      </c>
      <c r="E765" s="16">
        <v>20</v>
      </c>
    </row>
    <row r="766" spans="1:5" x14ac:dyDescent="0.4">
      <c r="A766" s="16" t="s">
        <v>29</v>
      </c>
      <c r="B766" s="16" t="s">
        <v>34</v>
      </c>
      <c r="C766" s="16" t="str">
        <f t="shared" si="11"/>
        <v>西北</v>
      </c>
      <c r="D766" s="16" t="s">
        <v>830</v>
      </c>
      <c r="E766" s="16">
        <v>22</v>
      </c>
    </row>
    <row r="767" spans="1:5" x14ac:dyDescent="0.4">
      <c r="A767" s="16" t="s">
        <v>22</v>
      </c>
      <c r="B767" s="16" t="s">
        <v>55</v>
      </c>
      <c r="C767" s="16" t="str">
        <f t="shared" si="11"/>
        <v>华东</v>
      </c>
      <c r="D767" s="16" t="s">
        <v>831</v>
      </c>
      <c r="E767" s="16">
        <v>20</v>
      </c>
    </row>
    <row r="768" spans="1:5" x14ac:dyDescent="0.4">
      <c r="A768" s="16" t="s">
        <v>33</v>
      </c>
      <c r="B768" s="16" t="s">
        <v>40</v>
      </c>
      <c r="C768" s="16" t="str">
        <f t="shared" si="11"/>
        <v>华北</v>
      </c>
      <c r="D768" s="16" t="s">
        <v>832</v>
      </c>
      <c r="E768" s="16">
        <v>25</v>
      </c>
    </row>
    <row r="769" spans="1:5" x14ac:dyDescent="0.4">
      <c r="A769" s="16" t="s">
        <v>22</v>
      </c>
      <c r="B769" s="16" t="s">
        <v>55</v>
      </c>
      <c r="C769" s="16" t="str">
        <f t="shared" si="11"/>
        <v>华东</v>
      </c>
      <c r="D769" s="16" t="s">
        <v>833</v>
      </c>
      <c r="E769" s="16">
        <v>25</v>
      </c>
    </row>
    <row r="770" spans="1:5" x14ac:dyDescent="0.4">
      <c r="A770" s="16" t="s">
        <v>22</v>
      </c>
      <c r="B770" s="16" t="s">
        <v>93</v>
      </c>
      <c r="C770" s="16" t="str">
        <f t="shared" si="11"/>
        <v>西南</v>
      </c>
      <c r="D770" s="16" t="s">
        <v>834</v>
      </c>
      <c r="E770" s="16">
        <v>18</v>
      </c>
    </row>
    <row r="771" spans="1:5" x14ac:dyDescent="0.4">
      <c r="A771" s="16" t="s">
        <v>22</v>
      </c>
      <c r="B771" s="16" t="s">
        <v>61</v>
      </c>
      <c r="C771" s="16" t="str">
        <f t="shared" ref="C771:C834" si="12">_xlfn.XLOOKUP(B771,$I$2:$I$32,$J$2:$J$32)</f>
        <v>华东</v>
      </c>
      <c r="D771" s="16" t="s">
        <v>835</v>
      </c>
      <c r="E771" s="16">
        <v>12</v>
      </c>
    </row>
    <row r="772" spans="1:5" x14ac:dyDescent="0.4">
      <c r="A772" s="16" t="s">
        <v>29</v>
      </c>
      <c r="B772" s="16" t="s">
        <v>61</v>
      </c>
      <c r="C772" s="16" t="str">
        <f t="shared" si="12"/>
        <v>华东</v>
      </c>
      <c r="D772" s="16" t="s">
        <v>836</v>
      </c>
      <c r="E772" s="16">
        <v>28</v>
      </c>
    </row>
    <row r="773" spans="1:5" x14ac:dyDescent="0.4">
      <c r="A773" s="16" t="s">
        <v>33</v>
      </c>
      <c r="B773" s="16" t="s">
        <v>38</v>
      </c>
      <c r="C773" s="16" t="str">
        <f t="shared" si="12"/>
        <v>西北</v>
      </c>
      <c r="D773" s="16" t="s">
        <v>837</v>
      </c>
      <c r="E773" s="16">
        <v>12</v>
      </c>
    </row>
    <row r="774" spans="1:5" x14ac:dyDescent="0.4">
      <c r="A774" s="16" t="s">
        <v>29</v>
      </c>
      <c r="B774" s="16" t="s">
        <v>40</v>
      </c>
      <c r="C774" s="16" t="str">
        <f t="shared" si="12"/>
        <v>华北</v>
      </c>
      <c r="D774" s="16" t="s">
        <v>838</v>
      </c>
      <c r="E774" s="16">
        <v>15</v>
      </c>
    </row>
    <row r="775" spans="1:5" x14ac:dyDescent="0.4">
      <c r="A775" s="16" t="s">
        <v>22</v>
      </c>
      <c r="B775" s="16" t="s">
        <v>55</v>
      </c>
      <c r="C775" s="16" t="str">
        <f t="shared" si="12"/>
        <v>华东</v>
      </c>
      <c r="D775" s="16" t="s">
        <v>839</v>
      </c>
      <c r="E775" s="16">
        <v>20</v>
      </c>
    </row>
    <row r="776" spans="1:5" x14ac:dyDescent="0.4">
      <c r="A776" s="16" t="s">
        <v>29</v>
      </c>
      <c r="B776" s="16" t="s">
        <v>76</v>
      </c>
      <c r="C776" s="16" t="str">
        <f t="shared" si="12"/>
        <v>西北</v>
      </c>
      <c r="D776" s="16" t="s">
        <v>840</v>
      </c>
      <c r="E776" s="16">
        <v>11</v>
      </c>
    </row>
    <row r="777" spans="1:5" x14ac:dyDescent="0.4">
      <c r="A777" s="16" t="s">
        <v>22</v>
      </c>
      <c r="B777" s="16" t="s">
        <v>53</v>
      </c>
      <c r="C777" s="16" t="str">
        <f t="shared" si="12"/>
        <v>华东</v>
      </c>
      <c r="D777" s="16" t="s">
        <v>841</v>
      </c>
      <c r="E777" s="16">
        <v>23</v>
      </c>
    </row>
    <row r="778" spans="1:5" x14ac:dyDescent="0.4">
      <c r="A778" s="16" t="s">
        <v>22</v>
      </c>
      <c r="B778" s="16" t="s">
        <v>69</v>
      </c>
      <c r="C778" s="16" t="str">
        <f t="shared" si="12"/>
        <v>华南</v>
      </c>
      <c r="D778" s="16" t="s">
        <v>842</v>
      </c>
      <c r="E778" s="16">
        <v>16</v>
      </c>
    </row>
    <row r="779" spans="1:5" x14ac:dyDescent="0.4">
      <c r="A779" s="16" t="s">
        <v>29</v>
      </c>
      <c r="B779" s="16" t="s">
        <v>28</v>
      </c>
      <c r="C779" s="16" t="str">
        <f t="shared" si="12"/>
        <v>东北</v>
      </c>
      <c r="D779" s="16" t="s">
        <v>843</v>
      </c>
      <c r="E779" s="16">
        <v>25</v>
      </c>
    </row>
    <row r="780" spans="1:5" x14ac:dyDescent="0.4">
      <c r="A780" s="16" t="s">
        <v>22</v>
      </c>
      <c r="B780" s="16" t="s">
        <v>44</v>
      </c>
      <c r="C780" s="16" t="str">
        <f t="shared" si="12"/>
        <v>华北</v>
      </c>
      <c r="D780" s="16" t="s">
        <v>844</v>
      </c>
      <c r="E780" s="16">
        <v>11</v>
      </c>
    </row>
    <row r="781" spans="1:5" x14ac:dyDescent="0.4">
      <c r="A781" s="16" t="s">
        <v>29</v>
      </c>
      <c r="B781" s="16" t="s">
        <v>55</v>
      </c>
      <c r="C781" s="16" t="str">
        <f t="shared" si="12"/>
        <v>华东</v>
      </c>
      <c r="D781" s="16" t="s">
        <v>845</v>
      </c>
      <c r="E781" s="16">
        <v>23</v>
      </c>
    </row>
    <row r="782" spans="1:5" x14ac:dyDescent="0.4">
      <c r="A782" s="16" t="s">
        <v>22</v>
      </c>
      <c r="B782" s="16" t="s">
        <v>55</v>
      </c>
      <c r="C782" s="16" t="str">
        <f t="shared" si="12"/>
        <v>华东</v>
      </c>
      <c r="D782" s="16" t="s">
        <v>846</v>
      </c>
      <c r="E782" s="16">
        <v>26</v>
      </c>
    </row>
    <row r="783" spans="1:5" x14ac:dyDescent="0.4">
      <c r="A783" s="16" t="s">
        <v>22</v>
      </c>
      <c r="B783" s="16" t="s">
        <v>55</v>
      </c>
      <c r="C783" s="16" t="str">
        <f t="shared" si="12"/>
        <v>华东</v>
      </c>
      <c r="D783" s="16" t="s">
        <v>847</v>
      </c>
      <c r="E783" s="16">
        <v>20</v>
      </c>
    </row>
    <row r="784" spans="1:5" x14ac:dyDescent="0.4">
      <c r="A784" s="16" t="s">
        <v>29</v>
      </c>
      <c r="B784" s="16" t="s">
        <v>28</v>
      </c>
      <c r="C784" s="16" t="str">
        <f t="shared" si="12"/>
        <v>东北</v>
      </c>
      <c r="D784" s="16" t="s">
        <v>848</v>
      </c>
      <c r="E784" s="16">
        <v>12</v>
      </c>
    </row>
    <row r="785" spans="1:5" x14ac:dyDescent="0.4">
      <c r="A785" s="16" t="s">
        <v>22</v>
      </c>
      <c r="B785" s="16" t="s">
        <v>38</v>
      </c>
      <c r="C785" s="16" t="str">
        <f t="shared" si="12"/>
        <v>西北</v>
      </c>
      <c r="D785" s="16" t="s">
        <v>849</v>
      </c>
      <c r="E785" s="16">
        <v>12</v>
      </c>
    </row>
    <row r="786" spans="1:5" x14ac:dyDescent="0.4">
      <c r="A786" s="16" t="s">
        <v>29</v>
      </c>
      <c r="B786" s="16" t="s">
        <v>57</v>
      </c>
      <c r="C786" s="16" t="str">
        <f t="shared" si="12"/>
        <v>华东</v>
      </c>
      <c r="D786" s="16" t="s">
        <v>850</v>
      </c>
      <c r="E786" s="16">
        <v>22</v>
      </c>
    </row>
    <row r="787" spans="1:5" x14ac:dyDescent="0.4">
      <c r="A787" s="16" t="s">
        <v>29</v>
      </c>
      <c r="B787" s="16" t="s">
        <v>57</v>
      </c>
      <c r="C787" s="16" t="str">
        <f t="shared" si="12"/>
        <v>华东</v>
      </c>
      <c r="D787" s="16" t="s">
        <v>851</v>
      </c>
      <c r="E787" s="16">
        <v>25</v>
      </c>
    </row>
    <row r="788" spans="1:5" x14ac:dyDescent="0.4">
      <c r="A788" s="16" t="s">
        <v>29</v>
      </c>
      <c r="B788" s="16" t="s">
        <v>40</v>
      </c>
      <c r="C788" s="16" t="str">
        <f t="shared" si="12"/>
        <v>华北</v>
      </c>
      <c r="D788" s="16" t="s">
        <v>852</v>
      </c>
      <c r="E788" s="16">
        <v>26</v>
      </c>
    </row>
    <row r="789" spans="1:5" x14ac:dyDescent="0.4">
      <c r="A789" s="16" t="s">
        <v>29</v>
      </c>
      <c r="B789" s="16" t="s">
        <v>57</v>
      </c>
      <c r="C789" s="16" t="str">
        <f t="shared" si="12"/>
        <v>华东</v>
      </c>
      <c r="D789" s="16" t="s">
        <v>853</v>
      </c>
      <c r="E789" s="16">
        <v>23</v>
      </c>
    </row>
    <row r="790" spans="1:5" x14ac:dyDescent="0.4">
      <c r="A790" s="16" t="s">
        <v>22</v>
      </c>
      <c r="B790" s="16" t="s">
        <v>57</v>
      </c>
      <c r="C790" s="16" t="str">
        <f t="shared" si="12"/>
        <v>华东</v>
      </c>
      <c r="D790" s="16" t="s">
        <v>854</v>
      </c>
      <c r="E790" s="16">
        <v>12</v>
      </c>
    </row>
    <row r="791" spans="1:5" x14ac:dyDescent="0.4">
      <c r="A791" s="16" t="s">
        <v>29</v>
      </c>
      <c r="B791" s="16" t="s">
        <v>73</v>
      </c>
      <c r="C791" s="16" t="str">
        <f t="shared" si="12"/>
        <v>华中</v>
      </c>
      <c r="D791" s="16" t="s">
        <v>855</v>
      </c>
      <c r="E791" s="16">
        <v>10</v>
      </c>
    </row>
    <row r="792" spans="1:5" x14ac:dyDescent="0.4">
      <c r="A792" s="16" t="s">
        <v>29</v>
      </c>
      <c r="B792" s="16" t="s">
        <v>30</v>
      </c>
      <c r="C792" s="16" t="str">
        <f t="shared" si="12"/>
        <v>华北</v>
      </c>
      <c r="D792" s="16" t="s">
        <v>856</v>
      </c>
      <c r="E792" s="16">
        <v>29</v>
      </c>
    </row>
    <row r="793" spans="1:5" x14ac:dyDescent="0.4">
      <c r="A793" s="16" t="s">
        <v>22</v>
      </c>
      <c r="B793" s="16" t="s">
        <v>34</v>
      </c>
      <c r="C793" s="16" t="str">
        <f t="shared" si="12"/>
        <v>西北</v>
      </c>
      <c r="D793" s="16" t="s">
        <v>857</v>
      </c>
      <c r="E793" s="16">
        <v>14</v>
      </c>
    </row>
    <row r="794" spans="1:5" x14ac:dyDescent="0.4">
      <c r="A794" s="16" t="s">
        <v>33</v>
      </c>
      <c r="B794" s="16" t="s">
        <v>73</v>
      </c>
      <c r="C794" s="16" t="str">
        <f t="shared" si="12"/>
        <v>华中</v>
      </c>
      <c r="D794" s="16" t="s">
        <v>858</v>
      </c>
      <c r="E794" s="16">
        <v>26</v>
      </c>
    </row>
    <row r="795" spans="1:5" x14ac:dyDescent="0.4">
      <c r="A795" s="16" t="s">
        <v>22</v>
      </c>
      <c r="B795" s="16" t="s">
        <v>61</v>
      </c>
      <c r="C795" s="16" t="str">
        <f t="shared" si="12"/>
        <v>华东</v>
      </c>
      <c r="D795" s="16" t="s">
        <v>859</v>
      </c>
      <c r="E795" s="16">
        <v>18</v>
      </c>
    </row>
    <row r="796" spans="1:5" x14ac:dyDescent="0.4">
      <c r="A796" s="16" t="s">
        <v>29</v>
      </c>
      <c r="B796" s="16" t="s">
        <v>23</v>
      </c>
      <c r="C796" s="16" t="str">
        <f t="shared" si="12"/>
        <v>西南</v>
      </c>
      <c r="D796" s="16" t="s">
        <v>860</v>
      </c>
      <c r="E796" s="16">
        <v>11</v>
      </c>
    </row>
    <row r="797" spans="1:5" x14ac:dyDescent="0.4">
      <c r="A797" s="16" t="s">
        <v>29</v>
      </c>
      <c r="B797" s="16" t="s">
        <v>30</v>
      </c>
      <c r="C797" s="16" t="str">
        <f t="shared" si="12"/>
        <v>华北</v>
      </c>
      <c r="D797" s="16" t="s">
        <v>861</v>
      </c>
      <c r="E797" s="16">
        <v>25</v>
      </c>
    </row>
    <row r="798" spans="1:5" x14ac:dyDescent="0.4">
      <c r="A798" s="16" t="s">
        <v>22</v>
      </c>
      <c r="B798" s="16" t="s">
        <v>65</v>
      </c>
      <c r="C798" s="16" t="str">
        <f t="shared" si="12"/>
        <v>华南</v>
      </c>
      <c r="D798" s="16" t="s">
        <v>862</v>
      </c>
      <c r="E798" s="16">
        <v>14</v>
      </c>
    </row>
    <row r="799" spans="1:5" x14ac:dyDescent="0.4">
      <c r="A799" s="16" t="s">
        <v>22</v>
      </c>
      <c r="B799" s="16" t="s">
        <v>63</v>
      </c>
      <c r="C799" s="16" t="str">
        <f t="shared" si="12"/>
        <v>西南</v>
      </c>
      <c r="D799" s="16" t="s">
        <v>863</v>
      </c>
      <c r="E799" s="16">
        <v>11</v>
      </c>
    </row>
    <row r="800" spans="1:5" x14ac:dyDescent="0.4">
      <c r="A800" s="16" t="s">
        <v>29</v>
      </c>
      <c r="B800" s="16" t="s">
        <v>63</v>
      </c>
      <c r="C800" s="16" t="str">
        <f t="shared" si="12"/>
        <v>西南</v>
      </c>
      <c r="D800" s="16" t="s">
        <v>864</v>
      </c>
      <c r="E800" s="16">
        <v>16</v>
      </c>
    </row>
    <row r="801" spans="1:5" x14ac:dyDescent="0.4">
      <c r="A801" s="16" t="s">
        <v>33</v>
      </c>
      <c r="B801" s="16" t="s">
        <v>40</v>
      </c>
      <c r="C801" s="16" t="str">
        <f t="shared" si="12"/>
        <v>华北</v>
      </c>
      <c r="D801" s="16" t="s">
        <v>865</v>
      </c>
      <c r="E801" s="16">
        <v>21</v>
      </c>
    </row>
    <row r="802" spans="1:5" x14ac:dyDescent="0.4">
      <c r="A802" s="16" t="s">
        <v>33</v>
      </c>
      <c r="B802" s="16" t="s">
        <v>40</v>
      </c>
      <c r="C802" s="16" t="str">
        <f t="shared" si="12"/>
        <v>华北</v>
      </c>
      <c r="D802" s="16" t="s">
        <v>866</v>
      </c>
      <c r="E802" s="16">
        <v>26</v>
      </c>
    </row>
    <row r="803" spans="1:5" x14ac:dyDescent="0.4">
      <c r="A803" s="16" t="s">
        <v>22</v>
      </c>
      <c r="B803" s="16" t="s">
        <v>38</v>
      </c>
      <c r="C803" s="16" t="str">
        <f t="shared" si="12"/>
        <v>西北</v>
      </c>
      <c r="D803" s="16" t="s">
        <v>867</v>
      </c>
      <c r="E803" s="16">
        <v>11</v>
      </c>
    </row>
    <row r="804" spans="1:5" x14ac:dyDescent="0.4">
      <c r="A804" s="16" t="s">
        <v>22</v>
      </c>
      <c r="B804" s="16" t="s">
        <v>61</v>
      </c>
      <c r="C804" s="16" t="str">
        <f t="shared" si="12"/>
        <v>华东</v>
      </c>
      <c r="D804" s="16" t="s">
        <v>868</v>
      </c>
      <c r="E804" s="16">
        <v>29</v>
      </c>
    </row>
    <row r="805" spans="1:5" x14ac:dyDescent="0.4">
      <c r="A805" s="16" t="s">
        <v>29</v>
      </c>
      <c r="B805" s="16" t="s">
        <v>61</v>
      </c>
      <c r="C805" s="16" t="str">
        <f t="shared" si="12"/>
        <v>华东</v>
      </c>
      <c r="D805" s="16" t="s">
        <v>869</v>
      </c>
      <c r="E805" s="16">
        <v>11</v>
      </c>
    </row>
    <row r="806" spans="1:5" x14ac:dyDescent="0.4">
      <c r="A806" s="16" t="s">
        <v>29</v>
      </c>
      <c r="B806" s="16" t="s">
        <v>30</v>
      </c>
      <c r="C806" s="16" t="str">
        <f t="shared" si="12"/>
        <v>华北</v>
      </c>
      <c r="D806" s="16" t="s">
        <v>870</v>
      </c>
      <c r="E806" s="16">
        <v>10</v>
      </c>
    </row>
    <row r="807" spans="1:5" x14ac:dyDescent="0.4">
      <c r="A807" s="16" t="s">
        <v>33</v>
      </c>
      <c r="B807" s="16" t="s">
        <v>25</v>
      </c>
      <c r="C807" s="16" t="str">
        <f t="shared" si="12"/>
        <v>东北</v>
      </c>
      <c r="D807" s="16" t="s">
        <v>871</v>
      </c>
      <c r="E807" s="16">
        <v>19</v>
      </c>
    </row>
    <row r="808" spans="1:5" x14ac:dyDescent="0.4">
      <c r="A808" s="16" t="s">
        <v>33</v>
      </c>
      <c r="B808" s="16" t="s">
        <v>25</v>
      </c>
      <c r="C808" s="16" t="str">
        <f t="shared" si="12"/>
        <v>东北</v>
      </c>
      <c r="D808" s="16" t="s">
        <v>872</v>
      </c>
      <c r="E808" s="16">
        <v>18</v>
      </c>
    </row>
    <row r="809" spans="1:5" x14ac:dyDescent="0.4">
      <c r="A809" s="16" t="s">
        <v>29</v>
      </c>
      <c r="B809" s="16" t="s">
        <v>30</v>
      </c>
      <c r="C809" s="16" t="str">
        <f t="shared" si="12"/>
        <v>华北</v>
      </c>
      <c r="D809" s="16" t="s">
        <v>873</v>
      </c>
      <c r="E809" s="16">
        <v>12</v>
      </c>
    </row>
    <row r="810" spans="1:5" x14ac:dyDescent="0.4">
      <c r="A810" s="16" t="s">
        <v>22</v>
      </c>
      <c r="B810" s="16" t="s">
        <v>57</v>
      </c>
      <c r="C810" s="16" t="str">
        <f t="shared" si="12"/>
        <v>华东</v>
      </c>
      <c r="D810" s="16" t="s">
        <v>874</v>
      </c>
      <c r="E810" s="16">
        <v>26</v>
      </c>
    </row>
    <row r="811" spans="1:5" x14ac:dyDescent="0.4">
      <c r="A811" s="16" t="s">
        <v>29</v>
      </c>
      <c r="B811" s="16" t="s">
        <v>34</v>
      </c>
      <c r="C811" s="16" t="str">
        <f t="shared" si="12"/>
        <v>西北</v>
      </c>
      <c r="D811" s="16" t="s">
        <v>875</v>
      </c>
      <c r="E811" s="16">
        <v>21</v>
      </c>
    </row>
    <row r="812" spans="1:5" x14ac:dyDescent="0.4">
      <c r="A812" s="16" t="s">
        <v>29</v>
      </c>
      <c r="B812" s="16" t="s">
        <v>34</v>
      </c>
      <c r="C812" s="16" t="str">
        <f t="shared" si="12"/>
        <v>西北</v>
      </c>
      <c r="D812" s="16" t="s">
        <v>876</v>
      </c>
      <c r="E812" s="16">
        <v>18</v>
      </c>
    </row>
    <row r="813" spans="1:5" x14ac:dyDescent="0.4">
      <c r="A813" s="16" t="s">
        <v>29</v>
      </c>
      <c r="B813" s="16" t="s">
        <v>34</v>
      </c>
      <c r="C813" s="16" t="str">
        <f t="shared" si="12"/>
        <v>西北</v>
      </c>
      <c r="D813" s="16" t="s">
        <v>877</v>
      </c>
      <c r="E813" s="16">
        <v>24</v>
      </c>
    </row>
    <row r="814" spans="1:5" x14ac:dyDescent="0.4">
      <c r="A814" s="16" t="s">
        <v>29</v>
      </c>
      <c r="B814" s="16" t="s">
        <v>30</v>
      </c>
      <c r="C814" s="16" t="str">
        <f t="shared" si="12"/>
        <v>华北</v>
      </c>
      <c r="D814" s="16" t="s">
        <v>878</v>
      </c>
      <c r="E814" s="16">
        <v>25</v>
      </c>
    </row>
    <row r="815" spans="1:5" x14ac:dyDescent="0.4">
      <c r="A815" s="16" t="s">
        <v>29</v>
      </c>
      <c r="B815" s="16" t="s">
        <v>40</v>
      </c>
      <c r="C815" s="16" t="str">
        <f t="shared" si="12"/>
        <v>华北</v>
      </c>
      <c r="D815" s="16" t="s">
        <v>879</v>
      </c>
      <c r="E815" s="16">
        <v>19</v>
      </c>
    </row>
    <row r="816" spans="1:5" x14ac:dyDescent="0.4">
      <c r="A816" s="16" t="s">
        <v>22</v>
      </c>
      <c r="B816" s="16" t="s">
        <v>34</v>
      </c>
      <c r="C816" s="16" t="str">
        <f t="shared" si="12"/>
        <v>西北</v>
      </c>
      <c r="D816" s="16" t="s">
        <v>880</v>
      </c>
      <c r="E816" s="16">
        <v>21</v>
      </c>
    </row>
    <row r="817" spans="1:5" x14ac:dyDescent="0.4">
      <c r="A817" s="16" t="s">
        <v>22</v>
      </c>
      <c r="B817" s="16" t="s">
        <v>93</v>
      </c>
      <c r="C817" s="16" t="str">
        <f t="shared" si="12"/>
        <v>西南</v>
      </c>
      <c r="D817" s="16" t="s">
        <v>881</v>
      </c>
      <c r="E817" s="16">
        <v>20</v>
      </c>
    </row>
    <row r="818" spans="1:5" x14ac:dyDescent="0.4">
      <c r="A818" s="16" t="s">
        <v>29</v>
      </c>
      <c r="B818" s="16" t="s">
        <v>93</v>
      </c>
      <c r="C818" s="16" t="str">
        <f t="shared" si="12"/>
        <v>西南</v>
      </c>
      <c r="D818" s="16" t="s">
        <v>882</v>
      </c>
      <c r="E818" s="16">
        <v>12</v>
      </c>
    </row>
    <row r="819" spans="1:5" x14ac:dyDescent="0.4">
      <c r="A819" s="16" t="s">
        <v>22</v>
      </c>
      <c r="B819" s="16" t="s">
        <v>93</v>
      </c>
      <c r="C819" s="16" t="str">
        <f t="shared" si="12"/>
        <v>西南</v>
      </c>
      <c r="D819" s="16" t="s">
        <v>883</v>
      </c>
      <c r="E819" s="16">
        <v>18</v>
      </c>
    </row>
    <row r="820" spans="1:5" x14ac:dyDescent="0.4">
      <c r="A820" s="16" t="s">
        <v>22</v>
      </c>
      <c r="B820" s="16" t="s">
        <v>93</v>
      </c>
      <c r="C820" s="16" t="str">
        <f t="shared" si="12"/>
        <v>西南</v>
      </c>
      <c r="D820" s="16" t="s">
        <v>884</v>
      </c>
      <c r="E820" s="16">
        <v>19</v>
      </c>
    </row>
    <row r="821" spans="1:5" x14ac:dyDescent="0.4">
      <c r="A821" s="16" t="s">
        <v>29</v>
      </c>
      <c r="B821" s="16" t="s">
        <v>53</v>
      </c>
      <c r="C821" s="16" t="str">
        <f t="shared" si="12"/>
        <v>华东</v>
      </c>
      <c r="D821" s="16" t="s">
        <v>885</v>
      </c>
      <c r="E821" s="16">
        <v>24</v>
      </c>
    </row>
    <row r="822" spans="1:5" x14ac:dyDescent="0.4">
      <c r="A822" s="16" t="s">
        <v>22</v>
      </c>
      <c r="B822" s="16" t="s">
        <v>53</v>
      </c>
      <c r="C822" s="16" t="str">
        <f t="shared" si="12"/>
        <v>华东</v>
      </c>
      <c r="D822" s="16" t="s">
        <v>886</v>
      </c>
      <c r="E822" s="16">
        <v>24</v>
      </c>
    </row>
    <row r="823" spans="1:5" x14ac:dyDescent="0.4">
      <c r="A823" s="16" t="s">
        <v>22</v>
      </c>
      <c r="B823" s="16" t="s">
        <v>48</v>
      </c>
      <c r="C823" s="16" t="str">
        <f t="shared" si="12"/>
        <v>华东</v>
      </c>
      <c r="D823" s="16" t="s">
        <v>887</v>
      </c>
      <c r="E823" s="16">
        <v>22</v>
      </c>
    </row>
    <row r="824" spans="1:5" x14ac:dyDescent="0.4">
      <c r="A824" s="16" t="s">
        <v>22</v>
      </c>
      <c r="B824" s="16" t="s">
        <v>69</v>
      </c>
      <c r="C824" s="16" t="str">
        <f t="shared" si="12"/>
        <v>华南</v>
      </c>
      <c r="D824" s="16" t="s">
        <v>888</v>
      </c>
      <c r="E824" s="16">
        <v>23</v>
      </c>
    </row>
    <row r="825" spans="1:5" x14ac:dyDescent="0.4">
      <c r="A825" s="16" t="s">
        <v>29</v>
      </c>
      <c r="B825" s="16" t="s">
        <v>67</v>
      </c>
      <c r="C825" s="16" t="str">
        <f t="shared" si="12"/>
        <v>华中</v>
      </c>
      <c r="D825" s="16" t="s">
        <v>889</v>
      </c>
      <c r="E825" s="16">
        <v>21</v>
      </c>
    </row>
    <row r="826" spans="1:5" x14ac:dyDescent="0.4">
      <c r="A826" s="16" t="s">
        <v>22</v>
      </c>
      <c r="B826" s="16" t="s">
        <v>57</v>
      </c>
      <c r="C826" s="16" t="str">
        <f t="shared" si="12"/>
        <v>华东</v>
      </c>
      <c r="D826" s="16" t="s">
        <v>890</v>
      </c>
      <c r="E826" s="16">
        <v>15</v>
      </c>
    </row>
    <row r="827" spans="1:5" x14ac:dyDescent="0.4">
      <c r="A827" s="16" t="s">
        <v>22</v>
      </c>
      <c r="B827" s="16" t="s">
        <v>57</v>
      </c>
      <c r="C827" s="16" t="str">
        <f t="shared" si="12"/>
        <v>华东</v>
      </c>
      <c r="D827" s="16" t="s">
        <v>891</v>
      </c>
      <c r="E827" s="16">
        <v>12</v>
      </c>
    </row>
    <row r="828" spans="1:5" x14ac:dyDescent="0.4">
      <c r="A828" s="16" t="s">
        <v>22</v>
      </c>
      <c r="B828" s="16" t="s">
        <v>57</v>
      </c>
      <c r="C828" s="16" t="str">
        <f t="shared" si="12"/>
        <v>华东</v>
      </c>
      <c r="D828" s="16" t="s">
        <v>892</v>
      </c>
      <c r="E828" s="16">
        <v>25</v>
      </c>
    </row>
    <row r="829" spans="1:5" x14ac:dyDescent="0.4">
      <c r="A829" s="16" t="s">
        <v>22</v>
      </c>
      <c r="B829" s="16" t="s">
        <v>57</v>
      </c>
      <c r="C829" s="16" t="str">
        <f t="shared" si="12"/>
        <v>华东</v>
      </c>
      <c r="D829" s="16" t="s">
        <v>893</v>
      </c>
      <c r="E829" s="16">
        <v>16</v>
      </c>
    </row>
    <row r="830" spans="1:5" x14ac:dyDescent="0.4">
      <c r="A830" s="16" t="s">
        <v>29</v>
      </c>
      <c r="B830" s="16" t="s">
        <v>57</v>
      </c>
      <c r="C830" s="16" t="str">
        <f t="shared" si="12"/>
        <v>华东</v>
      </c>
      <c r="D830" s="16" t="s">
        <v>894</v>
      </c>
      <c r="E830" s="16">
        <v>15</v>
      </c>
    </row>
    <row r="831" spans="1:5" x14ac:dyDescent="0.4">
      <c r="A831" s="16" t="s">
        <v>33</v>
      </c>
      <c r="B831" s="16" t="s">
        <v>73</v>
      </c>
      <c r="C831" s="16" t="str">
        <f t="shared" si="12"/>
        <v>华中</v>
      </c>
      <c r="D831" s="16" t="s">
        <v>895</v>
      </c>
      <c r="E831" s="16">
        <v>14</v>
      </c>
    </row>
    <row r="832" spans="1:5" x14ac:dyDescent="0.4">
      <c r="A832" s="16" t="s">
        <v>29</v>
      </c>
      <c r="B832" s="16" t="s">
        <v>57</v>
      </c>
      <c r="C832" s="16" t="str">
        <f t="shared" si="12"/>
        <v>华东</v>
      </c>
      <c r="D832" s="16" t="s">
        <v>896</v>
      </c>
      <c r="E832" s="16">
        <v>25</v>
      </c>
    </row>
    <row r="833" spans="1:5" x14ac:dyDescent="0.4">
      <c r="A833" s="16" t="s">
        <v>22</v>
      </c>
      <c r="B833" s="16" t="s">
        <v>57</v>
      </c>
      <c r="C833" s="16" t="str">
        <f t="shared" si="12"/>
        <v>华东</v>
      </c>
      <c r="D833" s="16" t="s">
        <v>897</v>
      </c>
      <c r="E833" s="16">
        <v>24</v>
      </c>
    </row>
    <row r="834" spans="1:5" x14ac:dyDescent="0.4">
      <c r="A834" s="16" t="s">
        <v>22</v>
      </c>
      <c r="B834" s="16" t="s">
        <v>57</v>
      </c>
      <c r="C834" s="16" t="str">
        <f t="shared" si="12"/>
        <v>华东</v>
      </c>
      <c r="D834" s="16" t="s">
        <v>898</v>
      </c>
      <c r="E834" s="16">
        <v>13</v>
      </c>
    </row>
    <row r="835" spans="1:5" x14ac:dyDescent="0.4">
      <c r="A835" s="16" t="s">
        <v>22</v>
      </c>
      <c r="B835" s="16" t="s">
        <v>61</v>
      </c>
      <c r="C835" s="16" t="str">
        <f t="shared" ref="C835:C898" si="13">_xlfn.XLOOKUP(B835,$I$2:$I$32,$J$2:$J$32)</f>
        <v>华东</v>
      </c>
      <c r="D835" s="16" t="s">
        <v>899</v>
      </c>
      <c r="E835" s="16">
        <v>20</v>
      </c>
    </row>
    <row r="836" spans="1:5" x14ac:dyDescent="0.4">
      <c r="A836" s="16" t="s">
        <v>29</v>
      </c>
      <c r="B836" s="16" t="s">
        <v>38</v>
      </c>
      <c r="C836" s="16" t="str">
        <f t="shared" si="13"/>
        <v>西北</v>
      </c>
      <c r="D836" s="16" t="s">
        <v>900</v>
      </c>
      <c r="E836" s="16">
        <v>18</v>
      </c>
    </row>
    <row r="837" spans="1:5" x14ac:dyDescent="0.4">
      <c r="A837" s="16" t="s">
        <v>22</v>
      </c>
      <c r="B837" s="16" t="s">
        <v>38</v>
      </c>
      <c r="C837" s="16" t="str">
        <f t="shared" si="13"/>
        <v>西北</v>
      </c>
      <c r="D837" s="16" t="s">
        <v>901</v>
      </c>
      <c r="E837" s="16">
        <v>17</v>
      </c>
    </row>
    <row r="838" spans="1:5" x14ac:dyDescent="0.4">
      <c r="A838" s="16" t="s">
        <v>29</v>
      </c>
      <c r="B838" s="16" t="s">
        <v>76</v>
      </c>
      <c r="C838" s="16" t="str">
        <f t="shared" si="13"/>
        <v>西北</v>
      </c>
      <c r="D838" s="16" t="s">
        <v>902</v>
      </c>
      <c r="E838" s="16">
        <v>27</v>
      </c>
    </row>
    <row r="839" spans="1:5" x14ac:dyDescent="0.4">
      <c r="A839" s="16" t="s">
        <v>29</v>
      </c>
      <c r="B839" s="16" t="s">
        <v>57</v>
      </c>
      <c r="C839" s="16" t="str">
        <f t="shared" si="13"/>
        <v>华东</v>
      </c>
      <c r="D839" s="16" t="s">
        <v>903</v>
      </c>
      <c r="E839" s="16">
        <v>26</v>
      </c>
    </row>
    <row r="840" spans="1:5" x14ac:dyDescent="0.4">
      <c r="A840" s="16" t="s">
        <v>29</v>
      </c>
      <c r="B840" s="16" t="s">
        <v>44</v>
      </c>
      <c r="C840" s="16" t="str">
        <f t="shared" si="13"/>
        <v>华北</v>
      </c>
      <c r="D840" s="16" t="s">
        <v>904</v>
      </c>
      <c r="E840" s="16">
        <v>22</v>
      </c>
    </row>
    <row r="841" spans="1:5" x14ac:dyDescent="0.4">
      <c r="A841" s="16" t="s">
        <v>33</v>
      </c>
      <c r="B841" s="16" t="s">
        <v>58</v>
      </c>
      <c r="C841" s="16" t="str">
        <f t="shared" si="13"/>
        <v>华中</v>
      </c>
      <c r="D841" s="16" t="s">
        <v>905</v>
      </c>
      <c r="E841" s="16">
        <v>22</v>
      </c>
    </row>
    <row r="842" spans="1:5" x14ac:dyDescent="0.4">
      <c r="A842" s="16" t="s">
        <v>22</v>
      </c>
      <c r="B842" s="16" t="s">
        <v>48</v>
      </c>
      <c r="C842" s="16" t="str">
        <f t="shared" si="13"/>
        <v>华东</v>
      </c>
      <c r="D842" s="16" t="s">
        <v>906</v>
      </c>
      <c r="E842" s="16">
        <v>10</v>
      </c>
    </row>
    <row r="843" spans="1:5" x14ac:dyDescent="0.4">
      <c r="A843" s="16" t="s">
        <v>29</v>
      </c>
      <c r="B843" s="16" t="s">
        <v>48</v>
      </c>
      <c r="C843" s="16" t="str">
        <f t="shared" si="13"/>
        <v>华东</v>
      </c>
      <c r="D843" s="16" t="s">
        <v>907</v>
      </c>
      <c r="E843" s="16">
        <v>23</v>
      </c>
    </row>
    <row r="844" spans="1:5" x14ac:dyDescent="0.4">
      <c r="A844" s="16" t="s">
        <v>22</v>
      </c>
      <c r="B844" s="16" t="s">
        <v>23</v>
      </c>
      <c r="C844" s="16" t="str">
        <f t="shared" si="13"/>
        <v>西南</v>
      </c>
      <c r="D844" s="16" t="s">
        <v>908</v>
      </c>
      <c r="E844" s="16">
        <v>16</v>
      </c>
    </row>
    <row r="845" spans="1:5" x14ac:dyDescent="0.4">
      <c r="A845" s="16" t="s">
        <v>22</v>
      </c>
      <c r="B845" s="16" t="s">
        <v>40</v>
      </c>
      <c r="C845" s="16" t="str">
        <f t="shared" si="13"/>
        <v>华北</v>
      </c>
      <c r="D845" s="16" t="s">
        <v>909</v>
      </c>
      <c r="E845" s="16">
        <v>20</v>
      </c>
    </row>
    <row r="846" spans="1:5" x14ac:dyDescent="0.4">
      <c r="A846" s="16" t="s">
        <v>33</v>
      </c>
      <c r="B846" s="16" t="s">
        <v>55</v>
      </c>
      <c r="C846" s="16" t="str">
        <f t="shared" si="13"/>
        <v>华东</v>
      </c>
      <c r="D846" s="16" t="s">
        <v>910</v>
      </c>
      <c r="E846" s="16">
        <v>13</v>
      </c>
    </row>
    <row r="847" spans="1:5" x14ac:dyDescent="0.4">
      <c r="A847" s="16" t="s">
        <v>22</v>
      </c>
      <c r="B847" s="16" t="s">
        <v>55</v>
      </c>
      <c r="C847" s="16" t="str">
        <f t="shared" si="13"/>
        <v>华东</v>
      </c>
      <c r="D847" s="16" t="s">
        <v>911</v>
      </c>
      <c r="E847" s="16">
        <v>23</v>
      </c>
    </row>
    <row r="848" spans="1:5" x14ac:dyDescent="0.4">
      <c r="A848" s="16" t="s">
        <v>29</v>
      </c>
      <c r="B848" s="16" t="s">
        <v>65</v>
      </c>
      <c r="C848" s="16" t="str">
        <f t="shared" si="13"/>
        <v>华南</v>
      </c>
      <c r="D848" s="16" t="s">
        <v>912</v>
      </c>
      <c r="E848" s="16">
        <v>20</v>
      </c>
    </row>
    <row r="849" spans="1:5" x14ac:dyDescent="0.4">
      <c r="A849" s="16" t="s">
        <v>33</v>
      </c>
      <c r="B849" s="16" t="s">
        <v>83</v>
      </c>
      <c r="C849" s="16" t="str">
        <f t="shared" si="13"/>
        <v>西北</v>
      </c>
      <c r="D849" s="16" t="s">
        <v>913</v>
      </c>
      <c r="E849" s="16">
        <v>29</v>
      </c>
    </row>
    <row r="850" spans="1:5" x14ac:dyDescent="0.4">
      <c r="A850" s="16" t="s">
        <v>22</v>
      </c>
      <c r="B850" s="16" t="s">
        <v>57</v>
      </c>
      <c r="C850" s="16" t="str">
        <f t="shared" si="13"/>
        <v>华东</v>
      </c>
      <c r="D850" s="16" t="s">
        <v>914</v>
      </c>
      <c r="E850" s="16">
        <v>21</v>
      </c>
    </row>
    <row r="851" spans="1:5" x14ac:dyDescent="0.4">
      <c r="A851" s="16" t="s">
        <v>22</v>
      </c>
      <c r="B851" s="16" t="s">
        <v>61</v>
      </c>
      <c r="C851" s="16" t="str">
        <f t="shared" si="13"/>
        <v>华东</v>
      </c>
      <c r="D851" s="16" t="s">
        <v>915</v>
      </c>
      <c r="E851" s="16">
        <v>21</v>
      </c>
    </row>
    <row r="852" spans="1:5" x14ac:dyDescent="0.4">
      <c r="A852" s="16" t="s">
        <v>22</v>
      </c>
      <c r="B852" s="16" t="s">
        <v>61</v>
      </c>
      <c r="C852" s="16" t="str">
        <f t="shared" si="13"/>
        <v>华东</v>
      </c>
      <c r="D852" s="16" t="s">
        <v>916</v>
      </c>
      <c r="E852" s="16">
        <v>17</v>
      </c>
    </row>
    <row r="853" spans="1:5" x14ac:dyDescent="0.4">
      <c r="A853" s="16" t="s">
        <v>22</v>
      </c>
      <c r="B853" s="16" t="s">
        <v>23</v>
      </c>
      <c r="C853" s="16" t="str">
        <f t="shared" si="13"/>
        <v>西南</v>
      </c>
      <c r="D853" s="16" t="s">
        <v>917</v>
      </c>
      <c r="E853" s="16">
        <v>11</v>
      </c>
    </row>
    <row r="854" spans="1:5" x14ac:dyDescent="0.4">
      <c r="A854" s="16" t="s">
        <v>22</v>
      </c>
      <c r="B854" s="16" t="s">
        <v>23</v>
      </c>
      <c r="C854" s="16" t="str">
        <f t="shared" si="13"/>
        <v>西南</v>
      </c>
      <c r="D854" s="16" t="s">
        <v>918</v>
      </c>
      <c r="E854" s="16">
        <v>16</v>
      </c>
    </row>
    <row r="855" spans="1:5" x14ac:dyDescent="0.4">
      <c r="A855" s="16" t="s">
        <v>29</v>
      </c>
      <c r="B855" s="16" t="s">
        <v>40</v>
      </c>
      <c r="C855" s="16" t="str">
        <f t="shared" si="13"/>
        <v>华北</v>
      </c>
      <c r="D855" s="16" t="s">
        <v>919</v>
      </c>
      <c r="E855" s="16">
        <v>28</v>
      </c>
    </row>
    <row r="856" spans="1:5" x14ac:dyDescent="0.4">
      <c r="A856" s="16" t="s">
        <v>29</v>
      </c>
      <c r="B856" s="16" t="s">
        <v>69</v>
      </c>
      <c r="C856" s="16" t="str">
        <f t="shared" si="13"/>
        <v>华南</v>
      </c>
      <c r="D856" s="16" t="s">
        <v>920</v>
      </c>
      <c r="E856" s="16">
        <v>16</v>
      </c>
    </row>
    <row r="857" spans="1:5" x14ac:dyDescent="0.4">
      <c r="A857" s="16" t="s">
        <v>22</v>
      </c>
      <c r="B857" s="16" t="s">
        <v>23</v>
      </c>
      <c r="C857" s="16" t="str">
        <f t="shared" si="13"/>
        <v>西南</v>
      </c>
      <c r="D857" s="16" t="s">
        <v>921</v>
      </c>
      <c r="E857" s="16">
        <v>24</v>
      </c>
    </row>
    <row r="858" spans="1:5" x14ac:dyDescent="0.4">
      <c r="A858" s="16" t="s">
        <v>29</v>
      </c>
      <c r="B858" s="16" t="s">
        <v>63</v>
      </c>
      <c r="C858" s="16" t="str">
        <f t="shared" si="13"/>
        <v>西南</v>
      </c>
      <c r="D858" s="16" t="s">
        <v>922</v>
      </c>
      <c r="E858" s="16">
        <v>16</v>
      </c>
    </row>
    <row r="859" spans="1:5" x14ac:dyDescent="0.4">
      <c r="A859" s="16" t="s">
        <v>22</v>
      </c>
      <c r="B859" s="16" t="s">
        <v>65</v>
      </c>
      <c r="C859" s="16" t="str">
        <f t="shared" si="13"/>
        <v>华南</v>
      </c>
      <c r="D859" s="16" t="s">
        <v>923</v>
      </c>
      <c r="E859" s="16">
        <v>27</v>
      </c>
    </row>
    <row r="860" spans="1:5" x14ac:dyDescent="0.4">
      <c r="A860" s="16" t="s">
        <v>29</v>
      </c>
      <c r="B860" s="16" t="s">
        <v>58</v>
      </c>
      <c r="C860" s="16" t="str">
        <f t="shared" si="13"/>
        <v>华中</v>
      </c>
      <c r="D860" s="16" t="s">
        <v>924</v>
      </c>
      <c r="E860" s="16">
        <v>20</v>
      </c>
    </row>
    <row r="861" spans="1:5" x14ac:dyDescent="0.4">
      <c r="A861" s="16" t="s">
        <v>29</v>
      </c>
      <c r="B861" s="16" t="s">
        <v>44</v>
      </c>
      <c r="C861" s="16" t="str">
        <f t="shared" si="13"/>
        <v>华北</v>
      </c>
      <c r="D861" s="16" t="s">
        <v>925</v>
      </c>
      <c r="E861" s="16">
        <v>24</v>
      </c>
    </row>
    <row r="862" spans="1:5" x14ac:dyDescent="0.4">
      <c r="A862" s="16" t="s">
        <v>22</v>
      </c>
      <c r="B862" s="16" t="s">
        <v>69</v>
      </c>
      <c r="C862" s="16" t="str">
        <f t="shared" si="13"/>
        <v>华南</v>
      </c>
      <c r="D862" s="16" t="s">
        <v>926</v>
      </c>
      <c r="E862" s="16">
        <v>27</v>
      </c>
    </row>
    <row r="863" spans="1:5" x14ac:dyDescent="0.4">
      <c r="A863" s="16" t="s">
        <v>33</v>
      </c>
      <c r="B863" s="16" t="s">
        <v>55</v>
      </c>
      <c r="C863" s="16" t="str">
        <f t="shared" si="13"/>
        <v>华东</v>
      </c>
      <c r="D863" s="16" t="s">
        <v>927</v>
      </c>
      <c r="E863" s="16">
        <v>18</v>
      </c>
    </row>
    <row r="864" spans="1:5" x14ac:dyDescent="0.4">
      <c r="A864" s="16" t="s">
        <v>22</v>
      </c>
      <c r="B864" s="16" t="s">
        <v>55</v>
      </c>
      <c r="C864" s="16" t="str">
        <f t="shared" si="13"/>
        <v>华东</v>
      </c>
      <c r="D864" s="16" t="s">
        <v>928</v>
      </c>
      <c r="E864" s="16">
        <v>27</v>
      </c>
    </row>
    <row r="865" spans="1:5" x14ac:dyDescent="0.4">
      <c r="A865" s="16" t="s">
        <v>29</v>
      </c>
      <c r="B865" s="16" t="s">
        <v>58</v>
      </c>
      <c r="C865" s="16" t="str">
        <f t="shared" si="13"/>
        <v>华中</v>
      </c>
      <c r="D865" s="16" t="s">
        <v>929</v>
      </c>
      <c r="E865" s="16">
        <v>16</v>
      </c>
    </row>
    <row r="866" spans="1:5" x14ac:dyDescent="0.4">
      <c r="A866" s="16" t="s">
        <v>29</v>
      </c>
      <c r="B866" s="16" t="s">
        <v>58</v>
      </c>
      <c r="C866" s="16" t="str">
        <f t="shared" si="13"/>
        <v>华中</v>
      </c>
      <c r="D866" s="16" t="s">
        <v>930</v>
      </c>
      <c r="E866" s="16">
        <v>12</v>
      </c>
    </row>
    <row r="867" spans="1:5" x14ac:dyDescent="0.4">
      <c r="A867" s="16" t="s">
        <v>22</v>
      </c>
      <c r="B867" s="16" t="s">
        <v>67</v>
      </c>
      <c r="C867" s="16" t="str">
        <f t="shared" si="13"/>
        <v>华中</v>
      </c>
      <c r="D867" s="16" t="s">
        <v>931</v>
      </c>
      <c r="E867" s="16">
        <v>13</v>
      </c>
    </row>
    <row r="868" spans="1:5" x14ac:dyDescent="0.4">
      <c r="A868" s="16" t="s">
        <v>22</v>
      </c>
      <c r="B868" s="16" t="s">
        <v>57</v>
      </c>
      <c r="C868" s="16" t="str">
        <f t="shared" si="13"/>
        <v>华东</v>
      </c>
      <c r="D868" s="16" t="s">
        <v>932</v>
      </c>
      <c r="E868" s="16">
        <v>27</v>
      </c>
    </row>
    <row r="869" spans="1:5" x14ac:dyDescent="0.4">
      <c r="A869" s="16" t="s">
        <v>29</v>
      </c>
      <c r="B869" s="16" t="s">
        <v>48</v>
      </c>
      <c r="C869" s="16" t="str">
        <f t="shared" si="13"/>
        <v>华东</v>
      </c>
      <c r="D869" s="16" t="s">
        <v>933</v>
      </c>
      <c r="E869" s="16">
        <v>22</v>
      </c>
    </row>
    <row r="870" spans="1:5" x14ac:dyDescent="0.4">
      <c r="A870" s="16" t="s">
        <v>22</v>
      </c>
      <c r="B870" s="16" t="s">
        <v>48</v>
      </c>
      <c r="C870" s="16" t="str">
        <f t="shared" si="13"/>
        <v>华东</v>
      </c>
      <c r="D870" s="16" t="s">
        <v>934</v>
      </c>
      <c r="E870" s="16">
        <v>10</v>
      </c>
    </row>
    <row r="871" spans="1:5" x14ac:dyDescent="0.4">
      <c r="A871" s="16" t="s">
        <v>22</v>
      </c>
      <c r="B871" s="16" t="s">
        <v>63</v>
      </c>
      <c r="C871" s="16" t="str">
        <f t="shared" si="13"/>
        <v>西南</v>
      </c>
      <c r="D871" s="16" t="s">
        <v>935</v>
      </c>
      <c r="E871" s="16">
        <v>29</v>
      </c>
    </row>
    <row r="872" spans="1:5" x14ac:dyDescent="0.4">
      <c r="A872" s="16" t="s">
        <v>22</v>
      </c>
      <c r="B872" s="16" t="s">
        <v>69</v>
      </c>
      <c r="C872" s="16" t="str">
        <f t="shared" si="13"/>
        <v>华南</v>
      </c>
      <c r="D872" s="16" t="s">
        <v>936</v>
      </c>
      <c r="E872" s="16">
        <v>27</v>
      </c>
    </row>
    <row r="873" spans="1:5" x14ac:dyDescent="0.4">
      <c r="A873" s="16" t="s">
        <v>22</v>
      </c>
      <c r="B873" s="16" t="s">
        <v>53</v>
      </c>
      <c r="C873" s="16" t="str">
        <f t="shared" si="13"/>
        <v>华东</v>
      </c>
      <c r="D873" s="16" t="s">
        <v>937</v>
      </c>
      <c r="E873" s="16">
        <v>24</v>
      </c>
    </row>
    <row r="874" spans="1:5" x14ac:dyDescent="0.4">
      <c r="A874" s="16" t="s">
        <v>22</v>
      </c>
      <c r="B874" s="16" t="s">
        <v>65</v>
      </c>
      <c r="C874" s="16" t="str">
        <f t="shared" si="13"/>
        <v>华南</v>
      </c>
      <c r="D874" s="16" t="s">
        <v>938</v>
      </c>
      <c r="E874" s="16">
        <v>27</v>
      </c>
    </row>
    <row r="875" spans="1:5" x14ac:dyDescent="0.4">
      <c r="A875" s="16" t="s">
        <v>22</v>
      </c>
      <c r="B875" s="16" t="s">
        <v>65</v>
      </c>
      <c r="C875" s="16" t="str">
        <f t="shared" si="13"/>
        <v>华南</v>
      </c>
      <c r="D875" s="16" t="s">
        <v>939</v>
      </c>
      <c r="E875" s="16">
        <v>20</v>
      </c>
    </row>
    <row r="876" spans="1:5" x14ac:dyDescent="0.4">
      <c r="A876" s="16" t="s">
        <v>29</v>
      </c>
      <c r="B876" s="16" t="s">
        <v>65</v>
      </c>
      <c r="C876" s="16" t="str">
        <f t="shared" si="13"/>
        <v>华南</v>
      </c>
      <c r="D876" s="16" t="s">
        <v>940</v>
      </c>
      <c r="E876" s="16">
        <v>14</v>
      </c>
    </row>
    <row r="877" spans="1:5" x14ac:dyDescent="0.4">
      <c r="A877" s="16" t="s">
        <v>22</v>
      </c>
      <c r="B877" s="16" t="s">
        <v>53</v>
      </c>
      <c r="C877" s="16" t="str">
        <f t="shared" si="13"/>
        <v>华东</v>
      </c>
      <c r="D877" s="16" t="s">
        <v>941</v>
      </c>
      <c r="E877" s="16">
        <v>12</v>
      </c>
    </row>
    <row r="878" spans="1:5" x14ac:dyDescent="0.4">
      <c r="A878" s="16" t="s">
        <v>22</v>
      </c>
      <c r="B878" s="16" t="s">
        <v>65</v>
      </c>
      <c r="C878" s="16" t="str">
        <f t="shared" si="13"/>
        <v>华南</v>
      </c>
      <c r="D878" s="16" t="s">
        <v>942</v>
      </c>
      <c r="E878" s="16">
        <v>13</v>
      </c>
    </row>
    <row r="879" spans="1:5" x14ac:dyDescent="0.4">
      <c r="A879" s="16" t="s">
        <v>22</v>
      </c>
      <c r="B879" s="16" t="s">
        <v>61</v>
      </c>
      <c r="C879" s="16" t="str">
        <f t="shared" si="13"/>
        <v>华东</v>
      </c>
      <c r="D879" s="16" t="s">
        <v>943</v>
      </c>
      <c r="E879" s="16">
        <v>24</v>
      </c>
    </row>
    <row r="880" spans="1:5" x14ac:dyDescent="0.4">
      <c r="A880" s="16" t="s">
        <v>29</v>
      </c>
      <c r="B880" s="16" t="s">
        <v>55</v>
      </c>
      <c r="C880" s="16" t="str">
        <f t="shared" si="13"/>
        <v>华东</v>
      </c>
      <c r="D880" s="16" t="s">
        <v>944</v>
      </c>
      <c r="E880" s="16">
        <v>13</v>
      </c>
    </row>
    <row r="881" spans="1:5" x14ac:dyDescent="0.4">
      <c r="A881" s="16" t="s">
        <v>22</v>
      </c>
      <c r="B881" s="16" t="s">
        <v>53</v>
      </c>
      <c r="C881" s="16" t="str">
        <f t="shared" si="13"/>
        <v>华东</v>
      </c>
      <c r="D881" s="16" t="s">
        <v>945</v>
      </c>
      <c r="E881" s="16">
        <v>19</v>
      </c>
    </row>
    <row r="882" spans="1:5" x14ac:dyDescent="0.4">
      <c r="A882" s="16" t="s">
        <v>33</v>
      </c>
      <c r="B882" s="16" t="s">
        <v>58</v>
      </c>
      <c r="C882" s="16" t="str">
        <f t="shared" si="13"/>
        <v>华中</v>
      </c>
      <c r="D882" s="16" t="s">
        <v>946</v>
      </c>
      <c r="E882" s="16">
        <v>19</v>
      </c>
    </row>
    <row r="883" spans="1:5" x14ac:dyDescent="0.4">
      <c r="A883" s="16" t="s">
        <v>29</v>
      </c>
      <c r="B883" s="16" t="s">
        <v>65</v>
      </c>
      <c r="C883" s="16" t="str">
        <f t="shared" si="13"/>
        <v>华南</v>
      </c>
      <c r="D883" s="16" t="s">
        <v>947</v>
      </c>
      <c r="E883" s="16">
        <v>17</v>
      </c>
    </row>
    <row r="884" spans="1:5" x14ac:dyDescent="0.4">
      <c r="A884" s="16" t="s">
        <v>29</v>
      </c>
      <c r="B884" s="16" t="s">
        <v>30</v>
      </c>
      <c r="C884" s="16" t="str">
        <f t="shared" si="13"/>
        <v>华北</v>
      </c>
      <c r="D884" s="16" t="s">
        <v>948</v>
      </c>
      <c r="E884" s="16">
        <v>19</v>
      </c>
    </row>
    <row r="885" spans="1:5" x14ac:dyDescent="0.4">
      <c r="A885" s="16" t="s">
        <v>22</v>
      </c>
      <c r="B885" s="16" t="s">
        <v>23</v>
      </c>
      <c r="C885" s="16" t="str">
        <f t="shared" si="13"/>
        <v>西南</v>
      </c>
      <c r="D885" s="16" t="s">
        <v>949</v>
      </c>
      <c r="E885" s="16">
        <v>23</v>
      </c>
    </row>
    <row r="886" spans="1:5" x14ac:dyDescent="0.4">
      <c r="A886" s="16" t="s">
        <v>29</v>
      </c>
      <c r="B886" s="16" t="s">
        <v>23</v>
      </c>
      <c r="C886" s="16" t="str">
        <f t="shared" si="13"/>
        <v>西南</v>
      </c>
      <c r="D886" s="16" t="s">
        <v>950</v>
      </c>
      <c r="E886" s="16">
        <v>13</v>
      </c>
    </row>
    <row r="887" spans="1:5" x14ac:dyDescent="0.4">
      <c r="A887" s="16" t="s">
        <v>29</v>
      </c>
      <c r="B887" s="16" t="s">
        <v>57</v>
      </c>
      <c r="C887" s="16" t="str">
        <f t="shared" si="13"/>
        <v>华东</v>
      </c>
      <c r="D887" s="16" t="s">
        <v>951</v>
      </c>
      <c r="E887" s="16">
        <v>15</v>
      </c>
    </row>
    <row r="888" spans="1:5" x14ac:dyDescent="0.4">
      <c r="A888" s="16" t="s">
        <v>22</v>
      </c>
      <c r="B888" s="16" t="s">
        <v>57</v>
      </c>
      <c r="C888" s="16" t="str">
        <f t="shared" si="13"/>
        <v>华东</v>
      </c>
      <c r="D888" s="16" t="s">
        <v>952</v>
      </c>
      <c r="E888" s="16">
        <v>24</v>
      </c>
    </row>
    <row r="889" spans="1:5" x14ac:dyDescent="0.4">
      <c r="A889" s="16" t="s">
        <v>29</v>
      </c>
      <c r="B889" s="16" t="s">
        <v>32</v>
      </c>
      <c r="C889" s="16" t="str">
        <f t="shared" si="13"/>
        <v>东北</v>
      </c>
      <c r="D889" s="16" t="s">
        <v>953</v>
      </c>
      <c r="E889" s="16">
        <v>27</v>
      </c>
    </row>
    <row r="890" spans="1:5" x14ac:dyDescent="0.4">
      <c r="A890" s="16" t="s">
        <v>29</v>
      </c>
      <c r="B890" s="16" t="s">
        <v>32</v>
      </c>
      <c r="C890" s="16" t="str">
        <f t="shared" si="13"/>
        <v>东北</v>
      </c>
      <c r="D890" s="16" t="s">
        <v>954</v>
      </c>
      <c r="E890" s="16">
        <v>26</v>
      </c>
    </row>
    <row r="891" spans="1:5" x14ac:dyDescent="0.4">
      <c r="A891" s="16" t="s">
        <v>22</v>
      </c>
      <c r="B891" s="16" t="s">
        <v>32</v>
      </c>
      <c r="C891" s="16" t="str">
        <f t="shared" si="13"/>
        <v>东北</v>
      </c>
      <c r="D891" s="16" t="s">
        <v>955</v>
      </c>
      <c r="E891" s="16">
        <v>21</v>
      </c>
    </row>
    <row r="892" spans="1:5" x14ac:dyDescent="0.4">
      <c r="A892" s="16" t="s">
        <v>22</v>
      </c>
      <c r="B892" s="16" t="s">
        <v>32</v>
      </c>
      <c r="C892" s="16" t="str">
        <f t="shared" si="13"/>
        <v>东北</v>
      </c>
      <c r="D892" s="16" t="s">
        <v>956</v>
      </c>
      <c r="E892" s="16">
        <v>27</v>
      </c>
    </row>
    <row r="893" spans="1:5" x14ac:dyDescent="0.4">
      <c r="A893" s="16" t="s">
        <v>33</v>
      </c>
      <c r="B893" s="16" t="s">
        <v>32</v>
      </c>
      <c r="C893" s="16" t="str">
        <f t="shared" si="13"/>
        <v>东北</v>
      </c>
      <c r="D893" s="16" t="s">
        <v>957</v>
      </c>
      <c r="E893" s="16">
        <v>27</v>
      </c>
    </row>
    <row r="894" spans="1:5" x14ac:dyDescent="0.4">
      <c r="A894" s="16" t="s">
        <v>33</v>
      </c>
      <c r="B894" s="16" t="s">
        <v>32</v>
      </c>
      <c r="C894" s="16" t="str">
        <f t="shared" si="13"/>
        <v>东北</v>
      </c>
      <c r="D894" s="16" t="s">
        <v>958</v>
      </c>
      <c r="E894" s="16">
        <v>11</v>
      </c>
    </row>
    <row r="895" spans="1:5" x14ac:dyDescent="0.4">
      <c r="A895" s="16" t="s">
        <v>22</v>
      </c>
      <c r="B895" s="16" t="s">
        <v>32</v>
      </c>
      <c r="C895" s="16" t="str">
        <f t="shared" si="13"/>
        <v>东北</v>
      </c>
      <c r="D895" s="16" t="s">
        <v>959</v>
      </c>
      <c r="E895" s="16">
        <v>14</v>
      </c>
    </row>
    <row r="896" spans="1:5" x14ac:dyDescent="0.4">
      <c r="A896" s="16" t="s">
        <v>29</v>
      </c>
      <c r="B896" s="16" t="s">
        <v>28</v>
      </c>
      <c r="C896" s="16" t="str">
        <f t="shared" si="13"/>
        <v>东北</v>
      </c>
      <c r="D896" s="16" t="s">
        <v>960</v>
      </c>
      <c r="E896" s="16">
        <v>21</v>
      </c>
    </row>
    <row r="897" spans="1:5" x14ac:dyDescent="0.4">
      <c r="A897" s="16" t="s">
        <v>22</v>
      </c>
      <c r="B897" s="16" t="s">
        <v>57</v>
      </c>
      <c r="C897" s="16" t="str">
        <f t="shared" si="13"/>
        <v>华东</v>
      </c>
      <c r="D897" s="16" t="s">
        <v>961</v>
      </c>
      <c r="E897" s="16">
        <v>18</v>
      </c>
    </row>
    <row r="898" spans="1:5" x14ac:dyDescent="0.4">
      <c r="A898" s="16" t="s">
        <v>29</v>
      </c>
      <c r="B898" s="16" t="s">
        <v>57</v>
      </c>
      <c r="C898" s="16" t="str">
        <f t="shared" si="13"/>
        <v>华东</v>
      </c>
      <c r="D898" s="16" t="s">
        <v>962</v>
      </c>
      <c r="E898" s="16">
        <v>28</v>
      </c>
    </row>
    <row r="899" spans="1:5" x14ac:dyDescent="0.4">
      <c r="A899" s="16" t="s">
        <v>22</v>
      </c>
      <c r="B899" s="16" t="s">
        <v>23</v>
      </c>
      <c r="C899" s="16" t="str">
        <f t="shared" ref="C899:C962" si="14">_xlfn.XLOOKUP(B899,$I$2:$I$32,$J$2:$J$32)</f>
        <v>西南</v>
      </c>
      <c r="D899" s="16" t="s">
        <v>963</v>
      </c>
      <c r="E899" s="16">
        <v>25</v>
      </c>
    </row>
    <row r="900" spans="1:5" x14ac:dyDescent="0.4">
      <c r="A900" s="16" t="s">
        <v>33</v>
      </c>
      <c r="B900" s="16" t="s">
        <v>23</v>
      </c>
      <c r="C900" s="16" t="str">
        <f t="shared" si="14"/>
        <v>西南</v>
      </c>
      <c r="D900" s="16" t="s">
        <v>964</v>
      </c>
      <c r="E900" s="16">
        <v>23</v>
      </c>
    </row>
    <row r="901" spans="1:5" x14ac:dyDescent="0.4">
      <c r="A901" s="16" t="s">
        <v>33</v>
      </c>
      <c r="B901" s="16" t="s">
        <v>25</v>
      </c>
      <c r="C901" s="16" t="str">
        <f t="shared" si="14"/>
        <v>东北</v>
      </c>
      <c r="D901" s="16" t="s">
        <v>965</v>
      </c>
      <c r="E901" s="16">
        <v>25</v>
      </c>
    </row>
    <row r="902" spans="1:5" x14ac:dyDescent="0.4">
      <c r="A902" s="16" t="s">
        <v>33</v>
      </c>
      <c r="B902" s="16" t="s">
        <v>25</v>
      </c>
      <c r="C902" s="16" t="str">
        <f t="shared" si="14"/>
        <v>东北</v>
      </c>
      <c r="D902" s="16" t="s">
        <v>966</v>
      </c>
      <c r="E902" s="16">
        <v>13</v>
      </c>
    </row>
    <row r="903" spans="1:5" x14ac:dyDescent="0.4">
      <c r="A903" s="16" t="s">
        <v>33</v>
      </c>
      <c r="B903" s="16" t="s">
        <v>91</v>
      </c>
      <c r="C903" s="16" t="str">
        <f t="shared" si="14"/>
        <v>西南</v>
      </c>
      <c r="D903" s="16" t="s">
        <v>967</v>
      </c>
      <c r="E903" s="16">
        <v>12</v>
      </c>
    </row>
    <row r="904" spans="1:5" x14ac:dyDescent="0.4">
      <c r="A904" s="16" t="s">
        <v>29</v>
      </c>
      <c r="B904" s="16" t="s">
        <v>73</v>
      </c>
      <c r="C904" s="16" t="str">
        <f t="shared" si="14"/>
        <v>华中</v>
      </c>
      <c r="D904" s="16" t="s">
        <v>968</v>
      </c>
      <c r="E904" s="16">
        <v>28</v>
      </c>
    </row>
    <row r="905" spans="1:5" x14ac:dyDescent="0.4">
      <c r="A905" s="16" t="s">
        <v>29</v>
      </c>
      <c r="B905" s="16" t="s">
        <v>73</v>
      </c>
      <c r="C905" s="16" t="str">
        <f t="shared" si="14"/>
        <v>华中</v>
      </c>
      <c r="D905" s="16" t="s">
        <v>969</v>
      </c>
      <c r="E905" s="16">
        <v>25</v>
      </c>
    </row>
    <row r="906" spans="1:5" x14ac:dyDescent="0.4">
      <c r="A906" s="16" t="s">
        <v>22</v>
      </c>
      <c r="B906" s="16" t="s">
        <v>61</v>
      </c>
      <c r="C906" s="16" t="str">
        <f t="shared" si="14"/>
        <v>华东</v>
      </c>
      <c r="D906" s="16" t="s">
        <v>970</v>
      </c>
      <c r="E906" s="16">
        <v>14</v>
      </c>
    </row>
    <row r="907" spans="1:5" x14ac:dyDescent="0.4">
      <c r="A907" s="16" t="s">
        <v>29</v>
      </c>
      <c r="B907" s="16" t="s">
        <v>40</v>
      </c>
      <c r="C907" s="16" t="str">
        <f t="shared" si="14"/>
        <v>华北</v>
      </c>
      <c r="D907" s="16" t="s">
        <v>971</v>
      </c>
      <c r="E907" s="16">
        <v>12</v>
      </c>
    </row>
    <row r="908" spans="1:5" x14ac:dyDescent="0.4">
      <c r="A908" s="16" t="s">
        <v>29</v>
      </c>
      <c r="B908" s="16" t="s">
        <v>55</v>
      </c>
      <c r="C908" s="16" t="str">
        <f t="shared" si="14"/>
        <v>华东</v>
      </c>
      <c r="D908" s="16" t="s">
        <v>972</v>
      </c>
      <c r="E908" s="16">
        <v>25</v>
      </c>
    </row>
    <row r="909" spans="1:5" x14ac:dyDescent="0.4">
      <c r="A909" s="16" t="s">
        <v>22</v>
      </c>
      <c r="B909" s="16" t="s">
        <v>69</v>
      </c>
      <c r="C909" s="16" t="str">
        <f t="shared" si="14"/>
        <v>华南</v>
      </c>
      <c r="D909" s="16" t="s">
        <v>973</v>
      </c>
      <c r="E909" s="16">
        <v>22</v>
      </c>
    </row>
    <row r="910" spans="1:5" x14ac:dyDescent="0.4">
      <c r="A910" s="16" t="s">
        <v>22</v>
      </c>
      <c r="B910" s="16" t="s">
        <v>61</v>
      </c>
      <c r="C910" s="16" t="str">
        <f t="shared" si="14"/>
        <v>华东</v>
      </c>
      <c r="D910" s="16" t="s">
        <v>974</v>
      </c>
      <c r="E910" s="16">
        <v>29</v>
      </c>
    </row>
    <row r="911" spans="1:5" x14ac:dyDescent="0.4">
      <c r="A911" s="16" t="s">
        <v>29</v>
      </c>
      <c r="B911" s="16" t="s">
        <v>28</v>
      </c>
      <c r="C911" s="16" t="str">
        <f t="shared" si="14"/>
        <v>东北</v>
      </c>
      <c r="D911" s="16" t="s">
        <v>975</v>
      </c>
      <c r="E911" s="16">
        <v>21</v>
      </c>
    </row>
    <row r="912" spans="1:5" x14ac:dyDescent="0.4">
      <c r="A912" s="16" t="s">
        <v>33</v>
      </c>
      <c r="B912" s="16" t="s">
        <v>58</v>
      </c>
      <c r="C912" s="16" t="str">
        <f t="shared" si="14"/>
        <v>华中</v>
      </c>
      <c r="D912" s="16" t="s">
        <v>976</v>
      </c>
      <c r="E912" s="16">
        <v>21</v>
      </c>
    </row>
    <row r="913" spans="1:5" x14ac:dyDescent="0.4">
      <c r="A913" s="16" t="s">
        <v>29</v>
      </c>
      <c r="B913" s="16" t="s">
        <v>58</v>
      </c>
      <c r="C913" s="16" t="str">
        <f t="shared" si="14"/>
        <v>华中</v>
      </c>
      <c r="D913" s="16" t="s">
        <v>977</v>
      </c>
      <c r="E913" s="16">
        <v>19</v>
      </c>
    </row>
    <row r="914" spans="1:5" x14ac:dyDescent="0.4">
      <c r="A914" s="16" t="s">
        <v>22</v>
      </c>
      <c r="B914" s="16" t="s">
        <v>57</v>
      </c>
      <c r="C914" s="16" t="str">
        <f t="shared" si="14"/>
        <v>华东</v>
      </c>
      <c r="D914" s="16" t="s">
        <v>978</v>
      </c>
      <c r="E914" s="16">
        <v>24</v>
      </c>
    </row>
    <row r="915" spans="1:5" x14ac:dyDescent="0.4">
      <c r="A915" s="16" t="s">
        <v>29</v>
      </c>
      <c r="B915" s="16" t="s">
        <v>57</v>
      </c>
      <c r="C915" s="16" t="str">
        <f t="shared" si="14"/>
        <v>华东</v>
      </c>
      <c r="D915" s="16" t="s">
        <v>979</v>
      </c>
      <c r="E915" s="16">
        <v>14</v>
      </c>
    </row>
    <row r="916" spans="1:5" x14ac:dyDescent="0.4">
      <c r="A916" s="16" t="s">
        <v>22</v>
      </c>
      <c r="B916" s="16" t="s">
        <v>57</v>
      </c>
      <c r="C916" s="16" t="str">
        <f t="shared" si="14"/>
        <v>华东</v>
      </c>
      <c r="D916" s="16" t="s">
        <v>980</v>
      </c>
      <c r="E916" s="16">
        <v>23</v>
      </c>
    </row>
    <row r="917" spans="1:5" x14ac:dyDescent="0.4">
      <c r="A917" s="16" t="s">
        <v>22</v>
      </c>
      <c r="B917" s="16" t="s">
        <v>48</v>
      </c>
      <c r="C917" s="16" t="str">
        <f t="shared" si="14"/>
        <v>华东</v>
      </c>
      <c r="D917" s="16" t="s">
        <v>981</v>
      </c>
      <c r="E917" s="16">
        <v>29</v>
      </c>
    </row>
    <row r="918" spans="1:5" x14ac:dyDescent="0.4">
      <c r="A918" s="16" t="s">
        <v>22</v>
      </c>
      <c r="B918" s="16" t="s">
        <v>57</v>
      </c>
      <c r="C918" s="16" t="str">
        <f t="shared" si="14"/>
        <v>华东</v>
      </c>
      <c r="D918" s="16" t="s">
        <v>982</v>
      </c>
      <c r="E918" s="16">
        <v>20</v>
      </c>
    </row>
    <row r="919" spans="1:5" x14ac:dyDescent="0.4">
      <c r="A919" s="16" t="s">
        <v>22</v>
      </c>
      <c r="B919" s="16" t="s">
        <v>57</v>
      </c>
      <c r="C919" s="16" t="str">
        <f t="shared" si="14"/>
        <v>华东</v>
      </c>
      <c r="D919" s="16" t="s">
        <v>983</v>
      </c>
      <c r="E919" s="16">
        <v>24</v>
      </c>
    </row>
    <row r="920" spans="1:5" x14ac:dyDescent="0.4">
      <c r="A920" s="16" t="s">
        <v>22</v>
      </c>
      <c r="B920" s="16" t="s">
        <v>38</v>
      </c>
      <c r="C920" s="16" t="str">
        <f t="shared" si="14"/>
        <v>西北</v>
      </c>
      <c r="D920" s="16" t="s">
        <v>984</v>
      </c>
      <c r="E920" s="16">
        <v>14</v>
      </c>
    </row>
    <row r="921" spans="1:5" x14ac:dyDescent="0.4">
      <c r="A921" s="16" t="s">
        <v>29</v>
      </c>
      <c r="B921" s="16" t="s">
        <v>58</v>
      </c>
      <c r="C921" s="16" t="str">
        <f t="shared" si="14"/>
        <v>华中</v>
      </c>
      <c r="D921" s="16" t="s">
        <v>985</v>
      </c>
      <c r="E921" s="16">
        <v>14</v>
      </c>
    </row>
    <row r="922" spans="1:5" x14ac:dyDescent="0.4">
      <c r="A922" s="16" t="s">
        <v>33</v>
      </c>
      <c r="B922" s="16" t="s">
        <v>58</v>
      </c>
      <c r="C922" s="16" t="str">
        <f t="shared" si="14"/>
        <v>华中</v>
      </c>
      <c r="D922" s="16" t="s">
        <v>986</v>
      </c>
      <c r="E922" s="16">
        <v>19</v>
      </c>
    </row>
    <row r="923" spans="1:5" x14ac:dyDescent="0.4">
      <c r="A923" s="16" t="s">
        <v>33</v>
      </c>
      <c r="B923" s="16" t="s">
        <v>40</v>
      </c>
      <c r="C923" s="16" t="str">
        <f t="shared" si="14"/>
        <v>华北</v>
      </c>
      <c r="D923" s="16" t="s">
        <v>987</v>
      </c>
      <c r="E923" s="16">
        <v>17</v>
      </c>
    </row>
    <row r="924" spans="1:5" x14ac:dyDescent="0.4">
      <c r="A924" s="16" t="s">
        <v>29</v>
      </c>
      <c r="B924" s="16" t="s">
        <v>38</v>
      </c>
      <c r="C924" s="16" t="str">
        <f t="shared" si="14"/>
        <v>西北</v>
      </c>
      <c r="D924" s="16" t="s">
        <v>988</v>
      </c>
      <c r="E924" s="16">
        <v>12</v>
      </c>
    </row>
    <row r="925" spans="1:5" x14ac:dyDescent="0.4">
      <c r="A925" s="16" t="s">
        <v>29</v>
      </c>
      <c r="B925" s="16" t="s">
        <v>44</v>
      </c>
      <c r="C925" s="16" t="str">
        <f t="shared" si="14"/>
        <v>华北</v>
      </c>
      <c r="D925" s="16" t="s">
        <v>989</v>
      </c>
      <c r="E925" s="16">
        <v>14</v>
      </c>
    </row>
    <row r="926" spans="1:5" x14ac:dyDescent="0.4">
      <c r="A926" s="16" t="s">
        <v>29</v>
      </c>
      <c r="B926" s="16" t="s">
        <v>44</v>
      </c>
      <c r="C926" s="16" t="str">
        <f t="shared" si="14"/>
        <v>华北</v>
      </c>
      <c r="D926" s="16" t="s">
        <v>990</v>
      </c>
      <c r="E926" s="16">
        <v>25</v>
      </c>
    </row>
    <row r="927" spans="1:5" x14ac:dyDescent="0.4">
      <c r="A927" s="16" t="s">
        <v>29</v>
      </c>
      <c r="B927" s="16" t="s">
        <v>58</v>
      </c>
      <c r="C927" s="16" t="str">
        <f t="shared" si="14"/>
        <v>华中</v>
      </c>
      <c r="D927" s="16" t="s">
        <v>991</v>
      </c>
      <c r="E927" s="16">
        <v>27</v>
      </c>
    </row>
    <row r="928" spans="1:5" x14ac:dyDescent="0.4">
      <c r="A928" s="16" t="s">
        <v>22</v>
      </c>
      <c r="B928" s="16" t="s">
        <v>44</v>
      </c>
      <c r="C928" s="16" t="str">
        <f t="shared" si="14"/>
        <v>华北</v>
      </c>
      <c r="D928" s="16" t="s">
        <v>992</v>
      </c>
      <c r="E928" s="16">
        <v>20</v>
      </c>
    </row>
    <row r="929" spans="1:5" x14ac:dyDescent="0.4">
      <c r="A929" s="16" t="s">
        <v>29</v>
      </c>
      <c r="B929" s="16" t="s">
        <v>44</v>
      </c>
      <c r="C929" s="16" t="str">
        <f t="shared" si="14"/>
        <v>华北</v>
      </c>
      <c r="D929" s="16" t="s">
        <v>993</v>
      </c>
      <c r="E929" s="16">
        <v>19</v>
      </c>
    </row>
    <row r="930" spans="1:5" x14ac:dyDescent="0.4">
      <c r="A930" s="16" t="s">
        <v>22</v>
      </c>
      <c r="B930" s="16" t="s">
        <v>57</v>
      </c>
      <c r="C930" s="16" t="str">
        <f t="shared" si="14"/>
        <v>华东</v>
      </c>
      <c r="D930" s="16" t="s">
        <v>994</v>
      </c>
      <c r="E930" s="16">
        <v>17</v>
      </c>
    </row>
    <row r="931" spans="1:5" x14ac:dyDescent="0.4">
      <c r="A931" s="16" t="s">
        <v>29</v>
      </c>
      <c r="B931" s="16" t="s">
        <v>73</v>
      </c>
      <c r="C931" s="16" t="str">
        <f t="shared" si="14"/>
        <v>华中</v>
      </c>
      <c r="D931" s="16" t="s">
        <v>995</v>
      </c>
      <c r="E931" s="16">
        <v>13</v>
      </c>
    </row>
    <row r="932" spans="1:5" x14ac:dyDescent="0.4">
      <c r="A932" s="16" t="s">
        <v>29</v>
      </c>
      <c r="B932" s="16" t="s">
        <v>38</v>
      </c>
      <c r="C932" s="16" t="str">
        <f t="shared" si="14"/>
        <v>西北</v>
      </c>
      <c r="D932" s="16" t="s">
        <v>996</v>
      </c>
      <c r="E932" s="16">
        <v>20</v>
      </c>
    </row>
    <row r="933" spans="1:5" x14ac:dyDescent="0.4">
      <c r="A933" s="16" t="s">
        <v>29</v>
      </c>
      <c r="B933" s="16" t="s">
        <v>76</v>
      </c>
      <c r="C933" s="16" t="str">
        <f t="shared" si="14"/>
        <v>西北</v>
      </c>
      <c r="D933" s="16" t="s">
        <v>997</v>
      </c>
      <c r="E933" s="16">
        <v>14</v>
      </c>
    </row>
    <row r="934" spans="1:5" x14ac:dyDescent="0.4">
      <c r="A934" s="16" t="s">
        <v>29</v>
      </c>
      <c r="B934" s="16" t="s">
        <v>73</v>
      </c>
      <c r="C934" s="16" t="str">
        <f t="shared" si="14"/>
        <v>华中</v>
      </c>
      <c r="D934" s="16" t="s">
        <v>998</v>
      </c>
      <c r="E934" s="16">
        <v>11</v>
      </c>
    </row>
    <row r="935" spans="1:5" x14ac:dyDescent="0.4">
      <c r="A935" s="16" t="s">
        <v>29</v>
      </c>
      <c r="B935" s="16" t="s">
        <v>73</v>
      </c>
      <c r="C935" s="16" t="str">
        <f t="shared" si="14"/>
        <v>华中</v>
      </c>
      <c r="D935" s="16" t="s">
        <v>999</v>
      </c>
      <c r="E935" s="16">
        <v>14</v>
      </c>
    </row>
    <row r="936" spans="1:5" x14ac:dyDescent="0.4">
      <c r="A936" s="16" t="s">
        <v>29</v>
      </c>
      <c r="B936" s="16" t="s">
        <v>48</v>
      </c>
      <c r="C936" s="16" t="str">
        <f t="shared" si="14"/>
        <v>华东</v>
      </c>
      <c r="D936" s="16" t="s">
        <v>1000</v>
      </c>
      <c r="E936" s="16">
        <v>12</v>
      </c>
    </row>
    <row r="937" spans="1:5" x14ac:dyDescent="0.4">
      <c r="A937" s="16" t="s">
        <v>22</v>
      </c>
      <c r="B937" s="16" t="s">
        <v>48</v>
      </c>
      <c r="C937" s="16" t="str">
        <f t="shared" si="14"/>
        <v>华东</v>
      </c>
      <c r="D937" s="16" t="s">
        <v>1001</v>
      </c>
      <c r="E937" s="16">
        <v>11</v>
      </c>
    </row>
    <row r="938" spans="1:5" x14ac:dyDescent="0.4">
      <c r="A938" s="16" t="s">
        <v>22</v>
      </c>
      <c r="B938" s="16" t="s">
        <v>69</v>
      </c>
      <c r="C938" s="16" t="str">
        <f t="shared" si="14"/>
        <v>华南</v>
      </c>
      <c r="D938" s="16" t="s">
        <v>1002</v>
      </c>
      <c r="E938" s="16">
        <v>25</v>
      </c>
    </row>
    <row r="939" spans="1:5" x14ac:dyDescent="0.4">
      <c r="A939" s="16" t="s">
        <v>33</v>
      </c>
      <c r="B939" s="16" t="s">
        <v>69</v>
      </c>
      <c r="C939" s="16" t="str">
        <f t="shared" si="14"/>
        <v>华南</v>
      </c>
      <c r="D939" s="16" t="s">
        <v>1003</v>
      </c>
      <c r="E939" s="16">
        <v>11</v>
      </c>
    </row>
    <row r="940" spans="1:5" x14ac:dyDescent="0.4">
      <c r="A940" s="16" t="s">
        <v>29</v>
      </c>
      <c r="B940" s="16" t="s">
        <v>69</v>
      </c>
      <c r="C940" s="16" t="str">
        <f t="shared" si="14"/>
        <v>华南</v>
      </c>
      <c r="D940" s="16" t="s">
        <v>1004</v>
      </c>
      <c r="E940" s="16">
        <v>23</v>
      </c>
    </row>
    <row r="941" spans="1:5" x14ac:dyDescent="0.4">
      <c r="A941" s="16" t="s">
        <v>22</v>
      </c>
      <c r="B941" s="16" t="s">
        <v>69</v>
      </c>
      <c r="C941" s="16" t="str">
        <f t="shared" si="14"/>
        <v>华南</v>
      </c>
      <c r="D941" s="16" t="s">
        <v>1005</v>
      </c>
      <c r="E941" s="16">
        <v>16</v>
      </c>
    </row>
    <row r="942" spans="1:5" x14ac:dyDescent="0.4">
      <c r="A942" s="16" t="s">
        <v>22</v>
      </c>
      <c r="B942" s="16" t="s">
        <v>44</v>
      </c>
      <c r="C942" s="16" t="str">
        <f t="shared" si="14"/>
        <v>华北</v>
      </c>
      <c r="D942" s="16" t="s">
        <v>1006</v>
      </c>
      <c r="E942" s="16">
        <v>29</v>
      </c>
    </row>
    <row r="943" spans="1:5" x14ac:dyDescent="0.4">
      <c r="A943" s="16" t="s">
        <v>29</v>
      </c>
      <c r="B943" s="16" t="s">
        <v>81</v>
      </c>
      <c r="C943" s="16" t="str">
        <f t="shared" si="14"/>
        <v>西北</v>
      </c>
      <c r="D943" s="16" t="s">
        <v>1007</v>
      </c>
      <c r="E943" s="16">
        <v>18</v>
      </c>
    </row>
    <row r="944" spans="1:5" x14ac:dyDescent="0.4">
      <c r="A944" s="16" t="s">
        <v>22</v>
      </c>
      <c r="B944" s="16" t="s">
        <v>69</v>
      </c>
      <c r="C944" s="16" t="str">
        <f t="shared" si="14"/>
        <v>华南</v>
      </c>
      <c r="D944" s="16" t="s">
        <v>1008</v>
      </c>
      <c r="E944" s="16">
        <v>13</v>
      </c>
    </row>
    <row r="945" spans="1:5" x14ac:dyDescent="0.4">
      <c r="A945" s="16" t="s">
        <v>22</v>
      </c>
      <c r="B945" s="16" t="s">
        <v>57</v>
      </c>
      <c r="C945" s="16" t="str">
        <f t="shared" si="14"/>
        <v>华东</v>
      </c>
      <c r="D945" s="16" t="s">
        <v>1009</v>
      </c>
      <c r="E945" s="16">
        <v>19</v>
      </c>
    </row>
    <row r="946" spans="1:5" x14ac:dyDescent="0.4">
      <c r="A946" s="16" t="s">
        <v>22</v>
      </c>
      <c r="B946" s="16" t="s">
        <v>58</v>
      </c>
      <c r="C946" s="16" t="str">
        <f t="shared" si="14"/>
        <v>华中</v>
      </c>
      <c r="D946" s="16" t="s">
        <v>1010</v>
      </c>
      <c r="E946" s="16">
        <v>22</v>
      </c>
    </row>
    <row r="947" spans="1:5" x14ac:dyDescent="0.4">
      <c r="A947" s="16" t="s">
        <v>22</v>
      </c>
      <c r="B947" s="16" t="s">
        <v>69</v>
      </c>
      <c r="C947" s="16" t="str">
        <f t="shared" si="14"/>
        <v>华南</v>
      </c>
      <c r="D947" s="16" t="s">
        <v>1011</v>
      </c>
      <c r="E947" s="16">
        <v>26</v>
      </c>
    </row>
    <row r="948" spans="1:5" x14ac:dyDescent="0.4">
      <c r="A948" s="16" t="s">
        <v>29</v>
      </c>
      <c r="B948" s="16" t="s">
        <v>69</v>
      </c>
      <c r="C948" s="16" t="str">
        <f t="shared" si="14"/>
        <v>华南</v>
      </c>
      <c r="D948" s="16" t="s">
        <v>1012</v>
      </c>
      <c r="E948" s="16">
        <v>10</v>
      </c>
    </row>
    <row r="949" spans="1:5" x14ac:dyDescent="0.4">
      <c r="A949" s="16" t="s">
        <v>22</v>
      </c>
      <c r="B949" s="16" t="s">
        <v>44</v>
      </c>
      <c r="C949" s="16" t="str">
        <f t="shared" si="14"/>
        <v>华北</v>
      </c>
      <c r="D949" s="16" t="s">
        <v>1013</v>
      </c>
      <c r="E949" s="16">
        <v>10</v>
      </c>
    </row>
    <row r="950" spans="1:5" x14ac:dyDescent="0.4">
      <c r="A950" s="16" t="s">
        <v>22</v>
      </c>
      <c r="B950" s="16" t="s">
        <v>69</v>
      </c>
      <c r="C950" s="16" t="str">
        <f t="shared" si="14"/>
        <v>华南</v>
      </c>
      <c r="D950" s="16" t="s">
        <v>1014</v>
      </c>
      <c r="E950" s="16">
        <v>12</v>
      </c>
    </row>
    <row r="951" spans="1:5" x14ac:dyDescent="0.4">
      <c r="A951" s="16" t="s">
        <v>29</v>
      </c>
      <c r="B951" s="16" t="s">
        <v>69</v>
      </c>
      <c r="C951" s="16" t="str">
        <f t="shared" si="14"/>
        <v>华南</v>
      </c>
      <c r="D951" s="16" t="s">
        <v>1015</v>
      </c>
      <c r="E951" s="16">
        <v>15</v>
      </c>
    </row>
    <row r="952" spans="1:5" x14ac:dyDescent="0.4">
      <c r="A952" s="16" t="s">
        <v>22</v>
      </c>
      <c r="B952" s="16" t="s">
        <v>48</v>
      </c>
      <c r="C952" s="16" t="str">
        <f t="shared" si="14"/>
        <v>华东</v>
      </c>
      <c r="D952" s="16" t="s">
        <v>1016</v>
      </c>
      <c r="E952" s="16">
        <v>28</v>
      </c>
    </row>
    <row r="953" spans="1:5" x14ac:dyDescent="0.4">
      <c r="A953" s="16" t="s">
        <v>22</v>
      </c>
      <c r="B953" s="16" t="s">
        <v>63</v>
      </c>
      <c r="C953" s="16" t="str">
        <f t="shared" si="14"/>
        <v>西南</v>
      </c>
      <c r="D953" s="16" t="s">
        <v>1017</v>
      </c>
      <c r="E953" s="16">
        <v>21</v>
      </c>
    </row>
    <row r="954" spans="1:5" x14ac:dyDescent="0.4">
      <c r="A954" s="16" t="s">
        <v>22</v>
      </c>
      <c r="B954" s="16" t="s">
        <v>63</v>
      </c>
      <c r="C954" s="16" t="str">
        <f t="shared" si="14"/>
        <v>西南</v>
      </c>
      <c r="D954" s="16" t="s">
        <v>1018</v>
      </c>
      <c r="E954" s="16">
        <v>28</v>
      </c>
    </row>
    <row r="955" spans="1:5" x14ac:dyDescent="0.4">
      <c r="A955" s="16" t="s">
        <v>22</v>
      </c>
      <c r="B955" s="16" t="s">
        <v>65</v>
      </c>
      <c r="C955" s="16" t="str">
        <f t="shared" si="14"/>
        <v>华南</v>
      </c>
      <c r="D955" s="16" t="s">
        <v>1019</v>
      </c>
      <c r="E955" s="16">
        <v>15</v>
      </c>
    </row>
    <row r="956" spans="1:5" x14ac:dyDescent="0.4">
      <c r="A956" s="16" t="s">
        <v>22</v>
      </c>
      <c r="B956" s="16" t="s">
        <v>51</v>
      </c>
      <c r="C956" s="16" t="str">
        <f t="shared" si="14"/>
        <v>华东</v>
      </c>
      <c r="D956" s="16" t="s">
        <v>1020</v>
      </c>
      <c r="E956" s="16">
        <v>17</v>
      </c>
    </row>
    <row r="957" spans="1:5" x14ac:dyDescent="0.4">
      <c r="A957" s="16" t="s">
        <v>22</v>
      </c>
      <c r="B957" s="16" t="s">
        <v>25</v>
      </c>
      <c r="C957" s="16" t="str">
        <f t="shared" si="14"/>
        <v>东北</v>
      </c>
      <c r="D957" s="16" t="s">
        <v>1021</v>
      </c>
      <c r="E957" s="16">
        <v>19</v>
      </c>
    </row>
    <row r="958" spans="1:5" x14ac:dyDescent="0.4">
      <c r="A958" s="16" t="s">
        <v>22</v>
      </c>
      <c r="B958" s="16" t="s">
        <v>57</v>
      </c>
      <c r="C958" s="16" t="str">
        <f t="shared" si="14"/>
        <v>华东</v>
      </c>
      <c r="D958" s="16" t="s">
        <v>1022</v>
      </c>
      <c r="E958" s="16">
        <v>16</v>
      </c>
    </row>
    <row r="959" spans="1:5" x14ac:dyDescent="0.4">
      <c r="A959" s="16" t="s">
        <v>22</v>
      </c>
      <c r="B959" s="16" t="s">
        <v>63</v>
      </c>
      <c r="C959" s="16" t="str">
        <f t="shared" si="14"/>
        <v>西南</v>
      </c>
      <c r="D959" s="16" t="s">
        <v>1023</v>
      </c>
      <c r="E959" s="16">
        <v>25</v>
      </c>
    </row>
    <row r="960" spans="1:5" x14ac:dyDescent="0.4">
      <c r="A960" s="16" t="s">
        <v>22</v>
      </c>
      <c r="B960" s="16" t="s">
        <v>65</v>
      </c>
      <c r="C960" s="16" t="str">
        <f t="shared" si="14"/>
        <v>华南</v>
      </c>
      <c r="D960" s="16" t="s">
        <v>1024</v>
      </c>
      <c r="E960" s="16">
        <v>24</v>
      </c>
    </row>
    <row r="961" spans="1:5" x14ac:dyDescent="0.4">
      <c r="A961" s="16" t="s">
        <v>22</v>
      </c>
      <c r="B961" s="16" t="s">
        <v>55</v>
      </c>
      <c r="C961" s="16" t="str">
        <f t="shared" si="14"/>
        <v>华东</v>
      </c>
      <c r="D961" s="16" t="s">
        <v>1025</v>
      </c>
      <c r="E961" s="16">
        <v>20</v>
      </c>
    </row>
    <row r="962" spans="1:5" x14ac:dyDescent="0.4">
      <c r="A962" s="16" t="s">
        <v>29</v>
      </c>
      <c r="B962" s="16" t="s">
        <v>61</v>
      </c>
      <c r="C962" s="16" t="str">
        <f t="shared" si="14"/>
        <v>华东</v>
      </c>
      <c r="D962" s="16" t="s">
        <v>1026</v>
      </c>
      <c r="E962" s="16">
        <v>21</v>
      </c>
    </row>
    <row r="963" spans="1:5" x14ac:dyDescent="0.4">
      <c r="A963" s="16" t="s">
        <v>22</v>
      </c>
      <c r="B963" s="16" t="s">
        <v>61</v>
      </c>
      <c r="C963" s="16" t="str">
        <f t="shared" ref="C963:C1026" si="15">_xlfn.XLOOKUP(B963,$I$2:$I$32,$J$2:$J$32)</f>
        <v>华东</v>
      </c>
      <c r="D963" s="16" t="s">
        <v>1027</v>
      </c>
      <c r="E963" s="16">
        <v>15</v>
      </c>
    </row>
    <row r="964" spans="1:5" x14ac:dyDescent="0.4">
      <c r="A964" s="16" t="s">
        <v>33</v>
      </c>
      <c r="B964" s="16" t="s">
        <v>58</v>
      </c>
      <c r="C964" s="16" t="str">
        <f t="shared" si="15"/>
        <v>华中</v>
      </c>
      <c r="D964" s="16" t="s">
        <v>1028</v>
      </c>
      <c r="E964" s="16">
        <v>14</v>
      </c>
    </row>
    <row r="965" spans="1:5" x14ac:dyDescent="0.4">
      <c r="A965" s="16" t="s">
        <v>22</v>
      </c>
      <c r="B965" s="16" t="s">
        <v>69</v>
      </c>
      <c r="C965" s="16" t="str">
        <f t="shared" si="15"/>
        <v>华南</v>
      </c>
      <c r="D965" s="16" t="s">
        <v>1029</v>
      </c>
      <c r="E965" s="16">
        <v>25</v>
      </c>
    </row>
    <row r="966" spans="1:5" x14ac:dyDescent="0.4">
      <c r="A966" s="16" t="s">
        <v>22</v>
      </c>
      <c r="B966" s="16" t="s">
        <v>61</v>
      </c>
      <c r="C966" s="16" t="str">
        <f t="shared" si="15"/>
        <v>华东</v>
      </c>
      <c r="D966" s="16" t="s">
        <v>1030</v>
      </c>
      <c r="E966" s="16">
        <v>29</v>
      </c>
    </row>
    <row r="967" spans="1:5" x14ac:dyDescent="0.4">
      <c r="A967" s="16" t="s">
        <v>22</v>
      </c>
      <c r="B967" s="16" t="s">
        <v>51</v>
      </c>
      <c r="C967" s="16" t="str">
        <f t="shared" si="15"/>
        <v>华东</v>
      </c>
      <c r="D967" s="16" t="s">
        <v>1031</v>
      </c>
      <c r="E967" s="16">
        <v>20</v>
      </c>
    </row>
    <row r="968" spans="1:5" x14ac:dyDescent="0.4">
      <c r="A968" s="16" t="s">
        <v>29</v>
      </c>
      <c r="B968" s="16" t="s">
        <v>51</v>
      </c>
      <c r="C968" s="16" t="str">
        <f t="shared" si="15"/>
        <v>华东</v>
      </c>
      <c r="D968" s="16" t="s">
        <v>1032</v>
      </c>
      <c r="E968" s="16">
        <v>21</v>
      </c>
    </row>
    <row r="969" spans="1:5" x14ac:dyDescent="0.4">
      <c r="A969" s="16" t="s">
        <v>29</v>
      </c>
      <c r="B969" s="16" t="s">
        <v>51</v>
      </c>
      <c r="C969" s="16" t="str">
        <f t="shared" si="15"/>
        <v>华东</v>
      </c>
      <c r="D969" s="16" t="s">
        <v>1033</v>
      </c>
      <c r="E969" s="16">
        <v>20</v>
      </c>
    </row>
    <row r="970" spans="1:5" x14ac:dyDescent="0.4">
      <c r="A970" s="16" t="s">
        <v>22</v>
      </c>
      <c r="B970" s="16" t="s">
        <v>51</v>
      </c>
      <c r="C970" s="16" t="str">
        <f t="shared" si="15"/>
        <v>华东</v>
      </c>
      <c r="D970" s="16" t="s">
        <v>1034</v>
      </c>
      <c r="E970" s="16">
        <v>17</v>
      </c>
    </row>
    <row r="971" spans="1:5" x14ac:dyDescent="0.4">
      <c r="A971" s="16" t="s">
        <v>22</v>
      </c>
      <c r="B971" s="16" t="s">
        <v>51</v>
      </c>
      <c r="C971" s="16" t="str">
        <f t="shared" si="15"/>
        <v>华东</v>
      </c>
      <c r="D971" s="16" t="s">
        <v>1035</v>
      </c>
      <c r="E971" s="16">
        <v>12</v>
      </c>
    </row>
    <row r="972" spans="1:5" x14ac:dyDescent="0.4">
      <c r="A972" s="16" t="s">
        <v>29</v>
      </c>
      <c r="B972" s="16" t="s">
        <v>51</v>
      </c>
      <c r="C972" s="16" t="str">
        <f t="shared" si="15"/>
        <v>华东</v>
      </c>
      <c r="D972" s="16" t="s">
        <v>1036</v>
      </c>
      <c r="E972" s="16">
        <v>25</v>
      </c>
    </row>
    <row r="973" spans="1:5" x14ac:dyDescent="0.4">
      <c r="A973" s="16" t="s">
        <v>22</v>
      </c>
      <c r="B973" s="16" t="s">
        <v>51</v>
      </c>
      <c r="C973" s="16" t="str">
        <f t="shared" si="15"/>
        <v>华东</v>
      </c>
      <c r="D973" s="16" t="s">
        <v>1037</v>
      </c>
      <c r="E973" s="16">
        <v>13</v>
      </c>
    </row>
    <row r="974" spans="1:5" x14ac:dyDescent="0.4">
      <c r="A974" s="16" t="s">
        <v>22</v>
      </c>
      <c r="B974" s="16" t="s">
        <v>69</v>
      </c>
      <c r="C974" s="16" t="str">
        <f t="shared" si="15"/>
        <v>华南</v>
      </c>
      <c r="D974" s="16" t="s">
        <v>1038</v>
      </c>
      <c r="E974" s="16">
        <v>25</v>
      </c>
    </row>
    <row r="975" spans="1:5" x14ac:dyDescent="0.4">
      <c r="A975" s="16" t="s">
        <v>29</v>
      </c>
      <c r="B975" s="16" t="s">
        <v>23</v>
      </c>
      <c r="C975" s="16" t="str">
        <f t="shared" si="15"/>
        <v>西南</v>
      </c>
      <c r="D975" s="16" t="s">
        <v>1039</v>
      </c>
      <c r="E975" s="16">
        <v>27</v>
      </c>
    </row>
    <row r="976" spans="1:5" x14ac:dyDescent="0.4">
      <c r="A976" s="16" t="s">
        <v>33</v>
      </c>
      <c r="B976" s="16" t="s">
        <v>81</v>
      </c>
      <c r="C976" s="16" t="str">
        <f t="shared" si="15"/>
        <v>西北</v>
      </c>
      <c r="D976" s="16" t="s">
        <v>1040</v>
      </c>
      <c r="E976" s="16">
        <v>27</v>
      </c>
    </row>
    <row r="977" spans="1:5" x14ac:dyDescent="0.4">
      <c r="A977" s="16" t="s">
        <v>33</v>
      </c>
      <c r="B977" s="16" t="s">
        <v>81</v>
      </c>
      <c r="C977" s="16" t="str">
        <f t="shared" si="15"/>
        <v>西北</v>
      </c>
      <c r="D977" s="16" t="s">
        <v>1041</v>
      </c>
      <c r="E977" s="16">
        <v>29</v>
      </c>
    </row>
    <row r="978" spans="1:5" x14ac:dyDescent="0.4">
      <c r="A978" s="16" t="s">
        <v>29</v>
      </c>
      <c r="B978" s="16" t="s">
        <v>40</v>
      </c>
      <c r="C978" s="16" t="str">
        <f t="shared" si="15"/>
        <v>华北</v>
      </c>
      <c r="D978" s="16" t="s">
        <v>1042</v>
      </c>
      <c r="E978" s="16">
        <v>19</v>
      </c>
    </row>
    <row r="979" spans="1:5" x14ac:dyDescent="0.4">
      <c r="A979" s="16" t="s">
        <v>33</v>
      </c>
      <c r="B979" s="16" t="s">
        <v>58</v>
      </c>
      <c r="C979" s="16" t="str">
        <f t="shared" si="15"/>
        <v>华中</v>
      </c>
      <c r="D979" s="16" t="s">
        <v>1043</v>
      </c>
      <c r="E979" s="16">
        <v>10</v>
      </c>
    </row>
    <row r="980" spans="1:5" x14ac:dyDescent="0.4">
      <c r="A980" s="16" t="s">
        <v>22</v>
      </c>
      <c r="B980" s="16" t="s">
        <v>69</v>
      </c>
      <c r="C980" s="16" t="str">
        <f t="shared" si="15"/>
        <v>华南</v>
      </c>
      <c r="D980" s="16" t="s">
        <v>1044</v>
      </c>
      <c r="E980" s="16">
        <v>26</v>
      </c>
    </row>
    <row r="981" spans="1:5" x14ac:dyDescent="0.4">
      <c r="A981" s="16" t="s">
        <v>29</v>
      </c>
      <c r="B981" s="16" t="s">
        <v>40</v>
      </c>
      <c r="C981" s="16" t="str">
        <f t="shared" si="15"/>
        <v>华北</v>
      </c>
      <c r="D981" s="16" t="s">
        <v>1045</v>
      </c>
      <c r="E981" s="16">
        <v>13</v>
      </c>
    </row>
    <row r="982" spans="1:5" x14ac:dyDescent="0.4">
      <c r="A982" s="16" t="s">
        <v>33</v>
      </c>
      <c r="B982" s="16" t="s">
        <v>58</v>
      </c>
      <c r="C982" s="16" t="str">
        <f t="shared" si="15"/>
        <v>华中</v>
      </c>
      <c r="D982" s="16" t="s">
        <v>1046</v>
      </c>
      <c r="E982" s="16">
        <v>25</v>
      </c>
    </row>
    <row r="983" spans="1:5" x14ac:dyDescent="0.4">
      <c r="A983" s="16" t="s">
        <v>29</v>
      </c>
      <c r="B983" s="16" t="s">
        <v>40</v>
      </c>
      <c r="C983" s="16" t="str">
        <f t="shared" si="15"/>
        <v>华北</v>
      </c>
      <c r="D983" s="16" t="s">
        <v>1047</v>
      </c>
      <c r="E983" s="16">
        <v>11</v>
      </c>
    </row>
    <row r="984" spans="1:5" x14ac:dyDescent="0.4">
      <c r="A984" s="16" t="s">
        <v>29</v>
      </c>
      <c r="B984" s="16" t="s">
        <v>73</v>
      </c>
      <c r="C984" s="16" t="str">
        <f t="shared" si="15"/>
        <v>华中</v>
      </c>
      <c r="D984" s="16" t="s">
        <v>1048</v>
      </c>
      <c r="E984" s="16">
        <v>23</v>
      </c>
    </row>
    <row r="985" spans="1:5" x14ac:dyDescent="0.4">
      <c r="A985" s="16" t="s">
        <v>29</v>
      </c>
      <c r="B985" s="16" t="s">
        <v>73</v>
      </c>
      <c r="C985" s="16" t="str">
        <f t="shared" si="15"/>
        <v>华中</v>
      </c>
      <c r="D985" s="16" t="s">
        <v>1049</v>
      </c>
      <c r="E985" s="16">
        <v>15</v>
      </c>
    </row>
    <row r="986" spans="1:5" x14ac:dyDescent="0.4">
      <c r="A986" s="16" t="s">
        <v>29</v>
      </c>
      <c r="B986" s="16" t="s">
        <v>23</v>
      </c>
      <c r="C986" s="16" t="str">
        <f t="shared" si="15"/>
        <v>西南</v>
      </c>
      <c r="D986" s="16" t="s">
        <v>1050</v>
      </c>
      <c r="E986" s="16">
        <v>28</v>
      </c>
    </row>
    <row r="987" spans="1:5" x14ac:dyDescent="0.4">
      <c r="A987" s="16" t="s">
        <v>22</v>
      </c>
      <c r="B987" s="16" t="s">
        <v>55</v>
      </c>
      <c r="C987" s="16" t="str">
        <f t="shared" si="15"/>
        <v>华东</v>
      </c>
      <c r="D987" s="16" t="s">
        <v>1051</v>
      </c>
      <c r="E987" s="16">
        <v>29</v>
      </c>
    </row>
    <row r="988" spans="1:5" x14ac:dyDescent="0.4">
      <c r="A988" s="16" t="s">
        <v>22</v>
      </c>
      <c r="B988" s="16" t="s">
        <v>48</v>
      </c>
      <c r="C988" s="16" t="str">
        <f t="shared" si="15"/>
        <v>华东</v>
      </c>
      <c r="D988" s="16" t="s">
        <v>1052</v>
      </c>
      <c r="E988" s="16">
        <v>11</v>
      </c>
    </row>
    <row r="989" spans="1:5" x14ac:dyDescent="0.4">
      <c r="A989" s="16" t="s">
        <v>22</v>
      </c>
      <c r="B989" s="16" t="s">
        <v>55</v>
      </c>
      <c r="C989" s="16" t="str">
        <f t="shared" si="15"/>
        <v>华东</v>
      </c>
      <c r="D989" s="16" t="s">
        <v>1053</v>
      </c>
      <c r="E989" s="16">
        <v>12</v>
      </c>
    </row>
    <row r="990" spans="1:5" x14ac:dyDescent="0.4">
      <c r="A990" s="16" t="s">
        <v>29</v>
      </c>
      <c r="B990" s="16" t="s">
        <v>55</v>
      </c>
      <c r="C990" s="16" t="str">
        <f t="shared" si="15"/>
        <v>华东</v>
      </c>
      <c r="D990" s="16" t="s">
        <v>1054</v>
      </c>
      <c r="E990" s="16">
        <v>23</v>
      </c>
    </row>
    <row r="991" spans="1:5" x14ac:dyDescent="0.4">
      <c r="A991" s="16" t="s">
        <v>33</v>
      </c>
      <c r="B991" s="16" t="s">
        <v>58</v>
      </c>
      <c r="C991" s="16" t="str">
        <f t="shared" si="15"/>
        <v>华中</v>
      </c>
      <c r="D991" s="16" t="s">
        <v>1055</v>
      </c>
      <c r="E991" s="16">
        <v>21</v>
      </c>
    </row>
    <row r="992" spans="1:5" x14ac:dyDescent="0.4">
      <c r="A992" s="16" t="s">
        <v>22</v>
      </c>
      <c r="B992" s="16" t="s">
        <v>23</v>
      </c>
      <c r="C992" s="16" t="str">
        <f t="shared" si="15"/>
        <v>西南</v>
      </c>
      <c r="D992" s="16" t="s">
        <v>1056</v>
      </c>
      <c r="E992" s="16">
        <v>26</v>
      </c>
    </row>
    <row r="993" spans="1:5" x14ac:dyDescent="0.4">
      <c r="A993" s="16" t="s">
        <v>22</v>
      </c>
      <c r="B993" s="16" t="s">
        <v>23</v>
      </c>
      <c r="C993" s="16" t="str">
        <f t="shared" si="15"/>
        <v>西南</v>
      </c>
      <c r="D993" s="16" t="s">
        <v>1057</v>
      </c>
      <c r="E993" s="16">
        <v>28</v>
      </c>
    </row>
    <row r="994" spans="1:5" x14ac:dyDescent="0.4">
      <c r="A994" s="16" t="s">
        <v>22</v>
      </c>
      <c r="B994" s="16" t="s">
        <v>23</v>
      </c>
      <c r="C994" s="16" t="str">
        <f t="shared" si="15"/>
        <v>西南</v>
      </c>
      <c r="D994" s="16" t="s">
        <v>1058</v>
      </c>
      <c r="E994" s="16">
        <v>21</v>
      </c>
    </row>
    <row r="995" spans="1:5" x14ac:dyDescent="0.4">
      <c r="A995" s="16" t="s">
        <v>22</v>
      </c>
      <c r="B995" s="16" t="s">
        <v>73</v>
      </c>
      <c r="C995" s="16" t="str">
        <f t="shared" si="15"/>
        <v>华中</v>
      </c>
      <c r="D995" s="16" t="s">
        <v>1059</v>
      </c>
      <c r="E995" s="16">
        <v>27</v>
      </c>
    </row>
    <row r="996" spans="1:5" x14ac:dyDescent="0.4">
      <c r="A996" s="16" t="s">
        <v>29</v>
      </c>
      <c r="B996" s="16" t="s">
        <v>69</v>
      </c>
      <c r="C996" s="16" t="str">
        <f t="shared" si="15"/>
        <v>华南</v>
      </c>
      <c r="D996" s="16" t="s">
        <v>1060</v>
      </c>
      <c r="E996" s="16">
        <v>11</v>
      </c>
    </row>
    <row r="997" spans="1:5" x14ac:dyDescent="0.4">
      <c r="A997" s="16" t="s">
        <v>29</v>
      </c>
      <c r="B997" s="16" t="s">
        <v>65</v>
      </c>
      <c r="C997" s="16" t="str">
        <f t="shared" si="15"/>
        <v>华南</v>
      </c>
      <c r="D997" s="16" t="s">
        <v>1061</v>
      </c>
      <c r="E997" s="16">
        <v>12</v>
      </c>
    </row>
    <row r="998" spans="1:5" x14ac:dyDescent="0.4">
      <c r="A998" s="16" t="s">
        <v>29</v>
      </c>
      <c r="B998" s="16" t="s">
        <v>65</v>
      </c>
      <c r="C998" s="16" t="str">
        <f t="shared" si="15"/>
        <v>华南</v>
      </c>
      <c r="D998" s="16" t="s">
        <v>1062</v>
      </c>
      <c r="E998" s="16">
        <v>12</v>
      </c>
    </row>
    <row r="999" spans="1:5" x14ac:dyDescent="0.4">
      <c r="A999" s="16" t="s">
        <v>22</v>
      </c>
      <c r="B999" s="16" t="s">
        <v>61</v>
      </c>
      <c r="C999" s="16" t="str">
        <f t="shared" si="15"/>
        <v>华东</v>
      </c>
      <c r="D999" s="16" t="s">
        <v>1063</v>
      </c>
      <c r="E999" s="16">
        <v>23</v>
      </c>
    </row>
    <row r="1000" spans="1:5" x14ac:dyDescent="0.4">
      <c r="A1000" s="16" t="s">
        <v>29</v>
      </c>
      <c r="B1000" s="16" t="s">
        <v>73</v>
      </c>
      <c r="C1000" s="16" t="str">
        <f t="shared" si="15"/>
        <v>华中</v>
      </c>
      <c r="D1000" s="16" t="s">
        <v>1064</v>
      </c>
      <c r="E1000" s="16">
        <v>14</v>
      </c>
    </row>
    <row r="1001" spans="1:5" x14ac:dyDescent="0.4">
      <c r="A1001" s="16" t="s">
        <v>29</v>
      </c>
      <c r="B1001" s="16" t="s">
        <v>69</v>
      </c>
      <c r="C1001" s="16" t="str">
        <f t="shared" si="15"/>
        <v>华南</v>
      </c>
      <c r="D1001" s="16" t="s">
        <v>1065</v>
      </c>
      <c r="E1001" s="16">
        <v>21</v>
      </c>
    </row>
    <row r="1002" spans="1:5" x14ac:dyDescent="0.4">
      <c r="A1002" s="16" t="s">
        <v>29</v>
      </c>
      <c r="B1002" s="16" t="s">
        <v>61</v>
      </c>
      <c r="C1002" s="16" t="str">
        <f t="shared" si="15"/>
        <v>华东</v>
      </c>
      <c r="D1002" s="16" t="s">
        <v>1066</v>
      </c>
      <c r="E1002" s="16">
        <v>18</v>
      </c>
    </row>
    <row r="1003" spans="1:5" x14ac:dyDescent="0.4">
      <c r="A1003" s="16" t="s">
        <v>22</v>
      </c>
      <c r="B1003" s="16" t="s">
        <v>61</v>
      </c>
      <c r="C1003" s="16" t="str">
        <f t="shared" si="15"/>
        <v>华东</v>
      </c>
      <c r="D1003" s="16" t="s">
        <v>1067</v>
      </c>
      <c r="E1003" s="16">
        <v>10</v>
      </c>
    </row>
    <row r="1004" spans="1:5" x14ac:dyDescent="0.4">
      <c r="A1004" s="16" t="s">
        <v>22</v>
      </c>
      <c r="B1004" s="16" t="s">
        <v>44</v>
      </c>
      <c r="C1004" s="16" t="str">
        <f t="shared" si="15"/>
        <v>华北</v>
      </c>
      <c r="D1004" s="16" t="s">
        <v>1068</v>
      </c>
      <c r="E1004" s="16">
        <v>18</v>
      </c>
    </row>
    <row r="1005" spans="1:5" x14ac:dyDescent="0.4">
      <c r="A1005" s="16" t="s">
        <v>29</v>
      </c>
      <c r="B1005" s="16" t="s">
        <v>73</v>
      </c>
      <c r="C1005" s="16" t="str">
        <f t="shared" si="15"/>
        <v>华中</v>
      </c>
      <c r="D1005" s="16" t="s">
        <v>1069</v>
      </c>
      <c r="E1005" s="16">
        <v>20</v>
      </c>
    </row>
    <row r="1006" spans="1:5" x14ac:dyDescent="0.4">
      <c r="A1006" s="16" t="s">
        <v>29</v>
      </c>
      <c r="B1006" s="16" t="s">
        <v>73</v>
      </c>
      <c r="C1006" s="16" t="str">
        <f t="shared" si="15"/>
        <v>华中</v>
      </c>
      <c r="D1006" s="16" t="s">
        <v>1070</v>
      </c>
      <c r="E1006" s="16">
        <v>11</v>
      </c>
    </row>
    <row r="1007" spans="1:5" x14ac:dyDescent="0.4">
      <c r="A1007" s="16" t="s">
        <v>29</v>
      </c>
      <c r="B1007" s="16" t="s">
        <v>40</v>
      </c>
      <c r="C1007" s="16" t="str">
        <f t="shared" si="15"/>
        <v>华北</v>
      </c>
      <c r="D1007" s="16" t="s">
        <v>1071</v>
      </c>
      <c r="E1007" s="16">
        <v>13</v>
      </c>
    </row>
    <row r="1008" spans="1:5" x14ac:dyDescent="0.4">
      <c r="A1008" s="16" t="s">
        <v>33</v>
      </c>
      <c r="B1008" s="16" t="s">
        <v>40</v>
      </c>
      <c r="C1008" s="16" t="str">
        <f t="shared" si="15"/>
        <v>华北</v>
      </c>
      <c r="D1008" s="16" t="s">
        <v>1072</v>
      </c>
      <c r="E1008" s="16">
        <v>18</v>
      </c>
    </row>
    <row r="1009" spans="1:5" x14ac:dyDescent="0.4">
      <c r="A1009" s="16" t="s">
        <v>33</v>
      </c>
      <c r="B1009" s="16" t="s">
        <v>40</v>
      </c>
      <c r="C1009" s="16" t="str">
        <f t="shared" si="15"/>
        <v>华北</v>
      </c>
      <c r="D1009" s="16" t="s">
        <v>1073</v>
      </c>
      <c r="E1009" s="16">
        <v>26</v>
      </c>
    </row>
    <row r="1010" spans="1:5" x14ac:dyDescent="0.4">
      <c r="A1010" s="16" t="s">
        <v>29</v>
      </c>
      <c r="B1010" s="16" t="s">
        <v>40</v>
      </c>
      <c r="C1010" s="16" t="str">
        <f t="shared" si="15"/>
        <v>华北</v>
      </c>
      <c r="D1010" s="16" t="s">
        <v>1074</v>
      </c>
      <c r="E1010" s="16">
        <v>24</v>
      </c>
    </row>
    <row r="1011" spans="1:5" x14ac:dyDescent="0.4">
      <c r="A1011" s="16" t="s">
        <v>29</v>
      </c>
      <c r="B1011" s="16" t="s">
        <v>34</v>
      </c>
      <c r="C1011" s="16" t="str">
        <f t="shared" si="15"/>
        <v>西北</v>
      </c>
      <c r="D1011" s="16" t="s">
        <v>1075</v>
      </c>
      <c r="E1011" s="16">
        <v>19</v>
      </c>
    </row>
    <row r="1012" spans="1:5" x14ac:dyDescent="0.4">
      <c r="A1012" s="16" t="s">
        <v>22</v>
      </c>
      <c r="B1012" s="16" t="s">
        <v>69</v>
      </c>
      <c r="C1012" s="16" t="str">
        <f t="shared" si="15"/>
        <v>华南</v>
      </c>
      <c r="D1012" s="16" t="s">
        <v>1076</v>
      </c>
      <c r="E1012" s="16">
        <v>15</v>
      </c>
    </row>
    <row r="1013" spans="1:5" x14ac:dyDescent="0.4">
      <c r="A1013" s="16" t="s">
        <v>29</v>
      </c>
      <c r="B1013" s="16" t="s">
        <v>63</v>
      </c>
      <c r="C1013" s="16" t="str">
        <f t="shared" si="15"/>
        <v>西南</v>
      </c>
      <c r="D1013" s="16" t="s">
        <v>1077</v>
      </c>
      <c r="E1013" s="16">
        <v>17</v>
      </c>
    </row>
    <row r="1014" spans="1:5" x14ac:dyDescent="0.4">
      <c r="A1014" s="16" t="s">
        <v>22</v>
      </c>
      <c r="B1014" s="16" t="s">
        <v>65</v>
      </c>
      <c r="C1014" s="16" t="str">
        <f t="shared" si="15"/>
        <v>华南</v>
      </c>
      <c r="D1014" s="16" t="s">
        <v>1078</v>
      </c>
      <c r="E1014" s="16">
        <v>18</v>
      </c>
    </row>
    <row r="1015" spans="1:5" x14ac:dyDescent="0.4">
      <c r="A1015" s="16" t="s">
        <v>22</v>
      </c>
      <c r="B1015" s="16" t="s">
        <v>23</v>
      </c>
      <c r="C1015" s="16" t="str">
        <f t="shared" si="15"/>
        <v>西南</v>
      </c>
      <c r="D1015" s="16" t="s">
        <v>1079</v>
      </c>
      <c r="E1015" s="16">
        <v>13</v>
      </c>
    </row>
    <row r="1016" spans="1:5" x14ac:dyDescent="0.4">
      <c r="A1016" s="16" t="s">
        <v>29</v>
      </c>
      <c r="B1016" s="16" t="s">
        <v>73</v>
      </c>
      <c r="C1016" s="16" t="str">
        <f t="shared" si="15"/>
        <v>华中</v>
      </c>
      <c r="D1016" s="16" t="s">
        <v>1080</v>
      </c>
      <c r="E1016" s="16">
        <v>14</v>
      </c>
    </row>
    <row r="1017" spans="1:5" x14ac:dyDescent="0.4">
      <c r="A1017" s="16" t="s">
        <v>22</v>
      </c>
      <c r="B1017" s="16" t="s">
        <v>57</v>
      </c>
      <c r="C1017" s="16" t="str">
        <f t="shared" si="15"/>
        <v>华东</v>
      </c>
      <c r="D1017" s="16" t="s">
        <v>1081</v>
      </c>
      <c r="E1017" s="16">
        <v>21</v>
      </c>
    </row>
    <row r="1018" spans="1:5" x14ac:dyDescent="0.4">
      <c r="A1018" s="16" t="s">
        <v>29</v>
      </c>
      <c r="B1018" s="16" t="s">
        <v>76</v>
      </c>
      <c r="C1018" s="16" t="str">
        <f t="shared" si="15"/>
        <v>西北</v>
      </c>
      <c r="D1018" s="16" t="s">
        <v>1082</v>
      </c>
      <c r="E1018" s="16">
        <v>20</v>
      </c>
    </row>
    <row r="1019" spans="1:5" x14ac:dyDescent="0.4">
      <c r="A1019" s="16" t="s">
        <v>33</v>
      </c>
      <c r="B1019" s="16" t="s">
        <v>76</v>
      </c>
      <c r="C1019" s="16" t="str">
        <f t="shared" si="15"/>
        <v>西北</v>
      </c>
      <c r="D1019" s="16" t="s">
        <v>1083</v>
      </c>
      <c r="E1019" s="16">
        <v>25</v>
      </c>
    </row>
    <row r="1020" spans="1:5" x14ac:dyDescent="0.4">
      <c r="A1020" s="16" t="s">
        <v>22</v>
      </c>
      <c r="B1020" s="16" t="s">
        <v>73</v>
      </c>
      <c r="C1020" s="16" t="str">
        <f t="shared" si="15"/>
        <v>华中</v>
      </c>
      <c r="D1020" s="16" t="s">
        <v>1084</v>
      </c>
      <c r="E1020" s="16">
        <v>14</v>
      </c>
    </row>
    <row r="1021" spans="1:5" x14ac:dyDescent="0.4">
      <c r="A1021" s="16" t="s">
        <v>33</v>
      </c>
      <c r="B1021" s="16" t="s">
        <v>73</v>
      </c>
      <c r="C1021" s="16" t="str">
        <f t="shared" si="15"/>
        <v>华中</v>
      </c>
      <c r="D1021" s="16" t="s">
        <v>1085</v>
      </c>
      <c r="E1021" s="16">
        <v>16</v>
      </c>
    </row>
    <row r="1022" spans="1:5" x14ac:dyDescent="0.4">
      <c r="A1022" s="16" t="s">
        <v>22</v>
      </c>
      <c r="B1022" s="16" t="s">
        <v>73</v>
      </c>
      <c r="C1022" s="16" t="str">
        <f t="shared" si="15"/>
        <v>华中</v>
      </c>
      <c r="D1022" s="16" t="s">
        <v>1086</v>
      </c>
      <c r="E1022" s="16">
        <v>21</v>
      </c>
    </row>
    <row r="1023" spans="1:5" x14ac:dyDescent="0.4">
      <c r="A1023" s="16" t="s">
        <v>29</v>
      </c>
      <c r="B1023" s="16" t="s">
        <v>73</v>
      </c>
      <c r="C1023" s="16" t="str">
        <f t="shared" si="15"/>
        <v>华中</v>
      </c>
      <c r="D1023" s="16" t="s">
        <v>1087</v>
      </c>
      <c r="E1023" s="16">
        <v>17</v>
      </c>
    </row>
    <row r="1024" spans="1:5" x14ac:dyDescent="0.4">
      <c r="A1024" s="16" t="s">
        <v>29</v>
      </c>
      <c r="B1024" s="16" t="s">
        <v>73</v>
      </c>
      <c r="C1024" s="16" t="str">
        <f t="shared" si="15"/>
        <v>华中</v>
      </c>
      <c r="D1024" s="16" t="s">
        <v>1088</v>
      </c>
      <c r="E1024" s="16">
        <v>11</v>
      </c>
    </row>
    <row r="1025" spans="1:5" x14ac:dyDescent="0.4">
      <c r="A1025" s="16" t="s">
        <v>33</v>
      </c>
      <c r="B1025" s="16" t="s">
        <v>67</v>
      </c>
      <c r="C1025" s="16" t="str">
        <f t="shared" si="15"/>
        <v>华中</v>
      </c>
      <c r="D1025" s="16" t="s">
        <v>1089</v>
      </c>
      <c r="E1025" s="16">
        <v>14</v>
      </c>
    </row>
    <row r="1026" spans="1:5" x14ac:dyDescent="0.4">
      <c r="A1026" s="16" t="s">
        <v>33</v>
      </c>
      <c r="B1026" s="16" t="s">
        <v>67</v>
      </c>
      <c r="C1026" s="16" t="str">
        <f t="shared" si="15"/>
        <v>华中</v>
      </c>
      <c r="D1026" s="16" t="s">
        <v>1090</v>
      </c>
      <c r="E1026" s="16">
        <v>13</v>
      </c>
    </row>
    <row r="1027" spans="1:5" x14ac:dyDescent="0.4">
      <c r="A1027" s="16" t="s">
        <v>22</v>
      </c>
      <c r="B1027" s="16" t="s">
        <v>63</v>
      </c>
      <c r="C1027" s="16" t="str">
        <f t="shared" ref="C1027:C1090" si="16">_xlfn.XLOOKUP(B1027,$I$2:$I$32,$J$2:$J$32)</f>
        <v>西南</v>
      </c>
      <c r="D1027" s="16" t="s">
        <v>1091</v>
      </c>
      <c r="E1027" s="16">
        <v>23</v>
      </c>
    </row>
    <row r="1028" spans="1:5" x14ac:dyDescent="0.4">
      <c r="A1028" s="16" t="s">
        <v>29</v>
      </c>
      <c r="B1028" s="16" t="s">
        <v>58</v>
      </c>
      <c r="C1028" s="16" t="str">
        <f t="shared" si="16"/>
        <v>华中</v>
      </c>
      <c r="D1028" s="16" t="s">
        <v>1092</v>
      </c>
      <c r="E1028" s="16">
        <v>20</v>
      </c>
    </row>
    <row r="1029" spans="1:5" x14ac:dyDescent="0.4">
      <c r="A1029" s="16" t="s">
        <v>22</v>
      </c>
      <c r="B1029" s="16" t="s">
        <v>48</v>
      </c>
      <c r="C1029" s="16" t="str">
        <f t="shared" si="16"/>
        <v>华东</v>
      </c>
      <c r="D1029" s="16" t="s">
        <v>1093</v>
      </c>
      <c r="E1029" s="16">
        <v>21</v>
      </c>
    </row>
    <row r="1030" spans="1:5" x14ac:dyDescent="0.4">
      <c r="A1030" s="16" t="s">
        <v>33</v>
      </c>
      <c r="B1030" s="16" t="s">
        <v>34</v>
      </c>
      <c r="C1030" s="16" t="str">
        <f t="shared" si="16"/>
        <v>西北</v>
      </c>
      <c r="D1030" s="16" t="s">
        <v>1094</v>
      </c>
      <c r="E1030" s="16">
        <v>28</v>
      </c>
    </row>
    <row r="1031" spans="1:5" x14ac:dyDescent="0.4">
      <c r="A1031" s="16" t="s">
        <v>29</v>
      </c>
      <c r="B1031" s="16" t="s">
        <v>34</v>
      </c>
      <c r="C1031" s="16" t="str">
        <f t="shared" si="16"/>
        <v>西北</v>
      </c>
      <c r="D1031" s="16" t="s">
        <v>1095</v>
      </c>
      <c r="E1031" s="16">
        <v>25</v>
      </c>
    </row>
    <row r="1032" spans="1:5" x14ac:dyDescent="0.4">
      <c r="A1032" s="16" t="s">
        <v>22</v>
      </c>
      <c r="B1032" s="16" t="s">
        <v>38</v>
      </c>
      <c r="C1032" s="16" t="str">
        <f t="shared" si="16"/>
        <v>西北</v>
      </c>
      <c r="D1032" s="16" t="s">
        <v>1096</v>
      </c>
      <c r="E1032" s="16">
        <v>14</v>
      </c>
    </row>
    <row r="1033" spans="1:5" x14ac:dyDescent="0.4">
      <c r="A1033" s="16" t="s">
        <v>33</v>
      </c>
      <c r="B1033" s="16" t="s">
        <v>30</v>
      </c>
      <c r="C1033" s="16" t="str">
        <f t="shared" si="16"/>
        <v>华北</v>
      </c>
      <c r="D1033" s="16" t="s">
        <v>1097</v>
      </c>
      <c r="E1033" s="16">
        <v>26</v>
      </c>
    </row>
    <row r="1034" spans="1:5" x14ac:dyDescent="0.4">
      <c r="A1034" s="16" t="s">
        <v>22</v>
      </c>
      <c r="B1034" s="16" t="s">
        <v>63</v>
      </c>
      <c r="C1034" s="16" t="str">
        <f t="shared" si="16"/>
        <v>西南</v>
      </c>
      <c r="D1034" s="16" t="s">
        <v>1098</v>
      </c>
      <c r="E1034" s="16">
        <v>19</v>
      </c>
    </row>
    <row r="1035" spans="1:5" x14ac:dyDescent="0.4">
      <c r="A1035" s="16" t="s">
        <v>22</v>
      </c>
      <c r="B1035" s="16" t="s">
        <v>65</v>
      </c>
      <c r="C1035" s="16" t="str">
        <f t="shared" si="16"/>
        <v>华南</v>
      </c>
      <c r="D1035" s="16" t="s">
        <v>1099</v>
      </c>
      <c r="E1035" s="16">
        <v>12</v>
      </c>
    </row>
    <row r="1036" spans="1:5" x14ac:dyDescent="0.4">
      <c r="A1036" s="16" t="s">
        <v>22</v>
      </c>
      <c r="B1036" s="16" t="s">
        <v>23</v>
      </c>
      <c r="C1036" s="16" t="str">
        <f t="shared" si="16"/>
        <v>西南</v>
      </c>
      <c r="D1036" s="16" t="s">
        <v>1100</v>
      </c>
      <c r="E1036" s="16">
        <v>29</v>
      </c>
    </row>
    <row r="1037" spans="1:5" x14ac:dyDescent="0.4">
      <c r="A1037" s="16" t="s">
        <v>22</v>
      </c>
      <c r="B1037" s="16" t="s">
        <v>65</v>
      </c>
      <c r="C1037" s="16" t="str">
        <f t="shared" si="16"/>
        <v>华南</v>
      </c>
      <c r="D1037" s="16" t="s">
        <v>1101</v>
      </c>
      <c r="E1037" s="16">
        <v>15</v>
      </c>
    </row>
    <row r="1038" spans="1:5" x14ac:dyDescent="0.4">
      <c r="A1038" s="16" t="s">
        <v>22</v>
      </c>
      <c r="B1038" s="16" t="s">
        <v>65</v>
      </c>
      <c r="C1038" s="16" t="str">
        <f t="shared" si="16"/>
        <v>华南</v>
      </c>
      <c r="D1038" s="16" t="s">
        <v>1102</v>
      </c>
      <c r="E1038" s="16">
        <v>17</v>
      </c>
    </row>
    <row r="1039" spans="1:5" x14ac:dyDescent="0.4">
      <c r="A1039" s="16" t="s">
        <v>22</v>
      </c>
      <c r="B1039" s="16" t="s">
        <v>65</v>
      </c>
      <c r="C1039" s="16" t="str">
        <f t="shared" si="16"/>
        <v>华南</v>
      </c>
      <c r="D1039" s="16" t="s">
        <v>1103</v>
      </c>
      <c r="E1039" s="16">
        <v>15</v>
      </c>
    </row>
    <row r="1040" spans="1:5" x14ac:dyDescent="0.4">
      <c r="A1040" s="16" t="s">
        <v>22</v>
      </c>
      <c r="B1040" s="16" t="s">
        <v>63</v>
      </c>
      <c r="C1040" s="16" t="str">
        <f t="shared" si="16"/>
        <v>西南</v>
      </c>
      <c r="D1040" s="16" t="s">
        <v>1104</v>
      </c>
      <c r="E1040" s="16">
        <v>25</v>
      </c>
    </row>
    <row r="1041" spans="1:5" x14ac:dyDescent="0.4">
      <c r="A1041" s="16" t="s">
        <v>33</v>
      </c>
      <c r="B1041" s="16" t="s">
        <v>83</v>
      </c>
      <c r="C1041" s="16" t="str">
        <f t="shared" si="16"/>
        <v>西北</v>
      </c>
      <c r="D1041" s="16" t="s">
        <v>1105</v>
      </c>
      <c r="E1041" s="16">
        <v>29</v>
      </c>
    </row>
    <row r="1042" spans="1:5" x14ac:dyDescent="0.4">
      <c r="A1042" s="16" t="s">
        <v>29</v>
      </c>
      <c r="B1042" s="16" t="s">
        <v>48</v>
      </c>
      <c r="C1042" s="16" t="str">
        <f t="shared" si="16"/>
        <v>华东</v>
      </c>
      <c r="D1042" s="16" t="s">
        <v>1106</v>
      </c>
      <c r="E1042" s="16">
        <v>18</v>
      </c>
    </row>
    <row r="1043" spans="1:5" x14ac:dyDescent="0.4">
      <c r="A1043" s="16" t="s">
        <v>22</v>
      </c>
      <c r="B1043" s="16" t="s">
        <v>48</v>
      </c>
      <c r="C1043" s="16" t="str">
        <f t="shared" si="16"/>
        <v>华东</v>
      </c>
      <c r="D1043" s="16" t="s">
        <v>1107</v>
      </c>
      <c r="E1043" s="16">
        <v>29</v>
      </c>
    </row>
    <row r="1044" spans="1:5" x14ac:dyDescent="0.4">
      <c r="A1044" s="16" t="s">
        <v>22</v>
      </c>
      <c r="B1044" s="16" t="s">
        <v>69</v>
      </c>
      <c r="C1044" s="16" t="str">
        <f t="shared" si="16"/>
        <v>华南</v>
      </c>
      <c r="D1044" s="16" t="s">
        <v>1108</v>
      </c>
      <c r="E1044" s="16">
        <v>24</v>
      </c>
    </row>
    <row r="1045" spans="1:5" x14ac:dyDescent="0.4">
      <c r="A1045" s="16" t="s">
        <v>29</v>
      </c>
      <c r="B1045" s="16" t="s">
        <v>36</v>
      </c>
      <c r="C1045" s="16" t="str">
        <f t="shared" si="16"/>
        <v>华北</v>
      </c>
      <c r="D1045" s="16" t="s">
        <v>1109</v>
      </c>
      <c r="E1045" s="16">
        <v>15</v>
      </c>
    </row>
    <row r="1046" spans="1:5" x14ac:dyDescent="0.4">
      <c r="A1046" s="16" t="s">
        <v>22</v>
      </c>
      <c r="B1046" s="16" t="s">
        <v>57</v>
      </c>
      <c r="C1046" s="16" t="str">
        <f t="shared" si="16"/>
        <v>华东</v>
      </c>
      <c r="D1046" s="16" t="s">
        <v>1110</v>
      </c>
      <c r="E1046" s="16">
        <v>10</v>
      </c>
    </row>
    <row r="1047" spans="1:5" x14ac:dyDescent="0.4">
      <c r="A1047" s="16" t="s">
        <v>22</v>
      </c>
      <c r="B1047" s="16" t="s">
        <v>93</v>
      </c>
      <c r="C1047" s="16" t="str">
        <f t="shared" si="16"/>
        <v>西南</v>
      </c>
      <c r="D1047" s="16" t="s">
        <v>1111</v>
      </c>
      <c r="E1047" s="16">
        <v>13</v>
      </c>
    </row>
    <row r="1048" spans="1:5" x14ac:dyDescent="0.4">
      <c r="A1048" s="16" t="s">
        <v>29</v>
      </c>
      <c r="B1048" s="16" t="s">
        <v>40</v>
      </c>
      <c r="C1048" s="16" t="str">
        <f t="shared" si="16"/>
        <v>华北</v>
      </c>
      <c r="D1048" s="16" t="s">
        <v>1112</v>
      </c>
      <c r="E1048" s="16">
        <v>25</v>
      </c>
    </row>
    <row r="1049" spans="1:5" x14ac:dyDescent="0.4">
      <c r="A1049" s="16" t="s">
        <v>33</v>
      </c>
      <c r="B1049" s="16" t="s">
        <v>40</v>
      </c>
      <c r="C1049" s="16" t="str">
        <f t="shared" si="16"/>
        <v>华北</v>
      </c>
      <c r="D1049" s="16" t="s">
        <v>1113</v>
      </c>
      <c r="E1049" s="16">
        <v>16</v>
      </c>
    </row>
    <row r="1050" spans="1:5" x14ac:dyDescent="0.4">
      <c r="A1050" s="16" t="s">
        <v>22</v>
      </c>
      <c r="B1050" s="16" t="s">
        <v>73</v>
      </c>
      <c r="C1050" s="16" t="str">
        <f t="shared" si="16"/>
        <v>华中</v>
      </c>
      <c r="D1050" s="16" t="s">
        <v>1114</v>
      </c>
      <c r="E1050" s="16">
        <v>11</v>
      </c>
    </row>
    <row r="1051" spans="1:5" x14ac:dyDescent="0.4">
      <c r="A1051" s="16" t="s">
        <v>29</v>
      </c>
      <c r="B1051" s="16" t="s">
        <v>73</v>
      </c>
      <c r="C1051" s="16" t="str">
        <f t="shared" si="16"/>
        <v>华中</v>
      </c>
      <c r="D1051" s="16" t="s">
        <v>1115</v>
      </c>
      <c r="E1051" s="16">
        <v>28</v>
      </c>
    </row>
    <row r="1052" spans="1:5" x14ac:dyDescent="0.4">
      <c r="A1052" s="16" t="s">
        <v>22</v>
      </c>
      <c r="B1052" s="16" t="s">
        <v>76</v>
      </c>
      <c r="C1052" s="16" t="str">
        <f t="shared" si="16"/>
        <v>西北</v>
      </c>
      <c r="D1052" s="16" t="s">
        <v>1116</v>
      </c>
      <c r="E1052" s="16">
        <v>14</v>
      </c>
    </row>
    <row r="1053" spans="1:5" x14ac:dyDescent="0.4">
      <c r="A1053" s="16" t="s">
        <v>29</v>
      </c>
      <c r="B1053" s="16" t="s">
        <v>58</v>
      </c>
      <c r="C1053" s="16" t="str">
        <f t="shared" si="16"/>
        <v>华中</v>
      </c>
      <c r="D1053" s="16" t="s">
        <v>1117</v>
      </c>
      <c r="E1053" s="16">
        <v>18</v>
      </c>
    </row>
    <row r="1054" spans="1:5" x14ac:dyDescent="0.4">
      <c r="A1054" s="16" t="s">
        <v>29</v>
      </c>
      <c r="B1054" s="16" t="s">
        <v>58</v>
      </c>
      <c r="C1054" s="16" t="str">
        <f t="shared" si="16"/>
        <v>华中</v>
      </c>
      <c r="D1054" s="16" t="s">
        <v>1118</v>
      </c>
      <c r="E1054" s="16">
        <v>16</v>
      </c>
    </row>
    <row r="1055" spans="1:5" x14ac:dyDescent="0.4">
      <c r="A1055" s="16" t="s">
        <v>22</v>
      </c>
      <c r="B1055" s="16" t="s">
        <v>73</v>
      </c>
      <c r="C1055" s="16" t="str">
        <f t="shared" si="16"/>
        <v>华中</v>
      </c>
      <c r="D1055" s="16" t="s">
        <v>1119</v>
      </c>
      <c r="E1055" s="16">
        <v>25</v>
      </c>
    </row>
    <row r="1056" spans="1:5" x14ac:dyDescent="0.4">
      <c r="A1056" s="16" t="s">
        <v>29</v>
      </c>
      <c r="B1056" s="16" t="s">
        <v>25</v>
      </c>
      <c r="C1056" s="16" t="str">
        <f t="shared" si="16"/>
        <v>东北</v>
      </c>
      <c r="D1056" s="16" t="s">
        <v>1120</v>
      </c>
      <c r="E1056" s="16">
        <v>25</v>
      </c>
    </row>
    <row r="1057" spans="1:5" x14ac:dyDescent="0.4">
      <c r="A1057" s="16" t="s">
        <v>29</v>
      </c>
      <c r="B1057" s="16" t="s">
        <v>23</v>
      </c>
      <c r="C1057" s="16" t="str">
        <f t="shared" si="16"/>
        <v>西南</v>
      </c>
      <c r="D1057" s="16" t="s">
        <v>1121</v>
      </c>
      <c r="E1057" s="16">
        <v>12</v>
      </c>
    </row>
    <row r="1058" spans="1:5" x14ac:dyDescent="0.4">
      <c r="A1058" s="16" t="s">
        <v>22</v>
      </c>
      <c r="B1058" s="16" t="s">
        <v>23</v>
      </c>
      <c r="C1058" s="16" t="str">
        <f t="shared" si="16"/>
        <v>西南</v>
      </c>
      <c r="D1058" s="16" t="s">
        <v>1122</v>
      </c>
      <c r="E1058" s="16">
        <v>27</v>
      </c>
    </row>
    <row r="1059" spans="1:5" x14ac:dyDescent="0.4">
      <c r="A1059" s="16" t="s">
        <v>29</v>
      </c>
      <c r="B1059" s="16" t="s">
        <v>23</v>
      </c>
      <c r="C1059" s="16" t="str">
        <f t="shared" si="16"/>
        <v>西南</v>
      </c>
      <c r="D1059" s="16" t="s">
        <v>1123</v>
      </c>
      <c r="E1059" s="16">
        <v>27</v>
      </c>
    </row>
    <row r="1060" spans="1:5" x14ac:dyDescent="0.4">
      <c r="A1060" s="16" t="s">
        <v>22</v>
      </c>
      <c r="B1060" s="16" t="s">
        <v>23</v>
      </c>
      <c r="C1060" s="16" t="str">
        <f t="shared" si="16"/>
        <v>西南</v>
      </c>
      <c r="D1060" s="16" t="s">
        <v>1124</v>
      </c>
      <c r="E1060" s="16">
        <v>22</v>
      </c>
    </row>
    <row r="1061" spans="1:5" x14ac:dyDescent="0.4">
      <c r="A1061" s="16" t="s">
        <v>33</v>
      </c>
      <c r="B1061" s="16" t="s">
        <v>73</v>
      </c>
      <c r="C1061" s="16" t="str">
        <f t="shared" si="16"/>
        <v>华中</v>
      </c>
      <c r="D1061" s="16" t="s">
        <v>1125</v>
      </c>
      <c r="E1061" s="16">
        <v>17</v>
      </c>
    </row>
    <row r="1062" spans="1:5" x14ac:dyDescent="0.4">
      <c r="A1062" s="16" t="s">
        <v>33</v>
      </c>
      <c r="B1062" s="16" t="s">
        <v>73</v>
      </c>
      <c r="C1062" s="16" t="str">
        <f t="shared" si="16"/>
        <v>华中</v>
      </c>
      <c r="D1062" s="16" t="s">
        <v>1126</v>
      </c>
      <c r="E1062" s="16">
        <v>15</v>
      </c>
    </row>
    <row r="1063" spans="1:5" x14ac:dyDescent="0.4">
      <c r="A1063" s="16" t="s">
        <v>29</v>
      </c>
      <c r="B1063" s="16" t="s">
        <v>83</v>
      </c>
      <c r="C1063" s="16" t="str">
        <f t="shared" si="16"/>
        <v>西北</v>
      </c>
      <c r="D1063" s="16" t="s">
        <v>1127</v>
      </c>
      <c r="E1063" s="16">
        <v>29</v>
      </c>
    </row>
    <row r="1064" spans="1:5" x14ac:dyDescent="0.4">
      <c r="A1064" s="16" t="s">
        <v>29</v>
      </c>
      <c r="B1064" s="16" t="s">
        <v>38</v>
      </c>
      <c r="C1064" s="16" t="str">
        <f t="shared" si="16"/>
        <v>西北</v>
      </c>
      <c r="D1064" s="16" t="s">
        <v>1128</v>
      </c>
      <c r="E1064" s="16">
        <v>18</v>
      </c>
    </row>
    <row r="1065" spans="1:5" x14ac:dyDescent="0.4">
      <c r="A1065" s="16" t="s">
        <v>29</v>
      </c>
      <c r="B1065" s="16" t="s">
        <v>38</v>
      </c>
      <c r="C1065" s="16" t="str">
        <f t="shared" si="16"/>
        <v>西北</v>
      </c>
      <c r="D1065" s="16" t="s">
        <v>1129</v>
      </c>
      <c r="E1065" s="16">
        <v>13</v>
      </c>
    </row>
    <row r="1066" spans="1:5" x14ac:dyDescent="0.4">
      <c r="A1066" s="16" t="s">
        <v>29</v>
      </c>
      <c r="B1066" s="16" t="s">
        <v>73</v>
      </c>
      <c r="C1066" s="16" t="str">
        <f t="shared" si="16"/>
        <v>华中</v>
      </c>
      <c r="D1066" s="16" t="s">
        <v>1130</v>
      </c>
      <c r="E1066" s="16">
        <v>14</v>
      </c>
    </row>
    <row r="1067" spans="1:5" x14ac:dyDescent="0.4">
      <c r="A1067" s="16" t="s">
        <v>29</v>
      </c>
      <c r="B1067" s="16" t="s">
        <v>73</v>
      </c>
      <c r="C1067" s="16" t="str">
        <f t="shared" si="16"/>
        <v>华中</v>
      </c>
      <c r="D1067" s="16" t="s">
        <v>1131</v>
      </c>
      <c r="E1067" s="16">
        <v>18</v>
      </c>
    </row>
    <row r="1068" spans="1:5" x14ac:dyDescent="0.4">
      <c r="A1068" s="16" t="s">
        <v>29</v>
      </c>
      <c r="B1068" s="16" t="s">
        <v>60</v>
      </c>
      <c r="C1068" s="16" t="str">
        <f t="shared" si="16"/>
        <v>华东</v>
      </c>
      <c r="D1068" s="16" t="s">
        <v>1132</v>
      </c>
      <c r="E1068" s="16">
        <v>20</v>
      </c>
    </row>
    <row r="1069" spans="1:5" x14ac:dyDescent="0.4">
      <c r="A1069" s="16" t="s">
        <v>22</v>
      </c>
      <c r="B1069" s="16" t="s">
        <v>51</v>
      </c>
      <c r="C1069" s="16" t="str">
        <f t="shared" si="16"/>
        <v>华东</v>
      </c>
      <c r="D1069" s="16" t="s">
        <v>1133</v>
      </c>
      <c r="E1069" s="16">
        <v>14</v>
      </c>
    </row>
    <row r="1070" spans="1:5" x14ac:dyDescent="0.4">
      <c r="A1070" s="16" t="s">
        <v>29</v>
      </c>
      <c r="B1070" s="16" t="s">
        <v>51</v>
      </c>
      <c r="C1070" s="16" t="str">
        <f t="shared" si="16"/>
        <v>华东</v>
      </c>
      <c r="D1070" s="16" t="s">
        <v>1134</v>
      </c>
      <c r="E1070" s="16">
        <v>27</v>
      </c>
    </row>
    <row r="1071" spans="1:5" x14ac:dyDescent="0.4">
      <c r="A1071" s="16" t="s">
        <v>22</v>
      </c>
      <c r="B1071" s="16" t="s">
        <v>51</v>
      </c>
      <c r="C1071" s="16" t="str">
        <f t="shared" si="16"/>
        <v>华东</v>
      </c>
      <c r="D1071" s="16" t="s">
        <v>1135</v>
      </c>
      <c r="E1071" s="16">
        <v>24</v>
      </c>
    </row>
    <row r="1072" spans="1:5" x14ac:dyDescent="0.4">
      <c r="A1072" s="16" t="s">
        <v>29</v>
      </c>
      <c r="B1072" s="16" t="s">
        <v>73</v>
      </c>
      <c r="C1072" s="16" t="str">
        <f t="shared" si="16"/>
        <v>华中</v>
      </c>
      <c r="D1072" s="16" t="s">
        <v>1136</v>
      </c>
      <c r="E1072" s="16">
        <v>18</v>
      </c>
    </row>
    <row r="1073" spans="1:5" x14ac:dyDescent="0.4">
      <c r="A1073" s="16" t="s">
        <v>29</v>
      </c>
      <c r="B1073" s="16" t="s">
        <v>48</v>
      </c>
      <c r="C1073" s="16" t="str">
        <f t="shared" si="16"/>
        <v>华东</v>
      </c>
      <c r="D1073" s="16" t="s">
        <v>1137</v>
      </c>
      <c r="E1073" s="16">
        <v>14</v>
      </c>
    </row>
    <row r="1074" spans="1:5" x14ac:dyDescent="0.4">
      <c r="A1074" s="16" t="s">
        <v>22</v>
      </c>
      <c r="B1074" s="16" t="s">
        <v>48</v>
      </c>
      <c r="C1074" s="16" t="str">
        <f t="shared" si="16"/>
        <v>华东</v>
      </c>
      <c r="D1074" s="16" t="s">
        <v>1138</v>
      </c>
      <c r="E1074" s="16">
        <v>11</v>
      </c>
    </row>
    <row r="1075" spans="1:5" x14ac:dyDescent="0.4">
      <c r="A1075" s="16" t="s">
        <v>29</v>
      </c>
      <c r="B1075" s="16" t="s">
        <v>65</v>
      </c>
      <c r="C1075" s="16" t="str">
        <f t="shared" si="16"/>
        <v>华南</v>
      </c>
      <c r="D1075" s="16" t="s">
        <v>1139</v>
      </c>
      <c r="E1075" s="16">
        <v>17</v>
      </c>
    </row>
    <row r="1076" spans="1:5" x14ac:dyDescent="0.4">
      <c r="A1076" s="16" t="s">
        <v>22</v>
      </c>
      <c r="B1076" s="16" t="s">
        <v>25</v>
      </c>
      <c r="C1076" s="16" t="str">
        <f t="shared" si="16"/>
        <v>东北</v>
      </c>
      <c r="D1076" s="16" t="s">
        <v>1140</v>
      </c>
      <c r="E1076" s="16">
        <v>21</v>
      </c>
    </row>
    <row r="1077" spans="1:5" x14ac:dyDescent="0.4">
      <c r="A1077" s="16" t="s">
        <v>33</v>
      </c>
      <c r="B1077" s="16" t="s">
        <v>25</v>
      </c>
      <c r="C1077" s="16" t="str">
        <f t="shared" si="16"/>
        <v>东北</v>
      </c>
      <c r="D1077" s="16" t="s">
        <v>1141</v>
      </c>
      <c r="E1077" s="16">
        <v>14</v>
      </c>
    </row>
    <row r="1078" spans="1:5" x14ac:dyDescent="0.4">
      <c r="A1078" s="16" t="s">
        <v>29</v>
      </c>
      <c r="B1078" s="16" t="s">
        <v>25</v>
      </c>
      <c r="C1078" s="16" t="str">
        <f t="shared" si="16"/>
        <v>东北</v>
      </c>
      <c r="D1078" s="16" t="s">
        <v>1142</v>
      </c>
      <c r="E1078" s="16">
        <v>12</v>
      </c>
    </row>
    <row r="1079" spans="1:5" x14ac:dyDescent="0.4">
      <c r="A1079" s="16" t="s">
        <v>29</v>
      </c>
      <c r="B1079" s="16" t="s">
        <v>34</v>
      </c>
      <c r="C1079" s="16" t="str">
        <f t="shared" si="16"/>
        <v>西北</v>
      </c>
      <c r="D1079" s="16" t="s">
        <v>1143</v>
      </c>
      <c r="E1079" s="16">
        <v>27</v>
      </c>
    </row>
    <row r="1080" spans="1:5" x14ac:dyDescent="0.4">
      <c r="A1080" s="16" t="s">
        <v>33</v>
      </c>
      <c r="B1080" s="16" t="s">
        <v>25</v>
      </c>
      <c r="C1080" s="16" t="str">
        <f t="shared" si="16"/>
        <v>东北</v>
      </c>
      <c r="D1080" s="16" t="s">
        <v>1144</v>
      </c>
      <c r="E1080" s="16">
        <v>18</v>
      </c>
    </row>
    <row r="1081" spans="1:5" x14ac:dyDescent="0.4">
      <c r="A1081" s="16" t="s">
        <v>22</v>
      </c>
      <c r="B1081" s="16" t="s">
        <v>69</v>
      </c>
      <c r="C1081" s="16" t="str">
        <f t="shared" si="16"/>
        <v>华南</v>
      </c>
      <c r="D1081" s="16" t="s">
        <v>1145</v>
      </c>
      <c r="E1081" s="16">
        <v>16</v>
      </c>
    </row>
    <row r="1082" spans="1:5" x14ac:dyDescent="0.4">
      <c r="A1082" s="16" t="s">
        <v>22</v>
      </c>
      <c r="B1082" s="16" t="s">
        <v>63</v>
      </c>
      <c r="C1082" s="16" t="str">
        <f t="shared" si="16"/>
        <v>西南</v>
      </c>
      <c r="D1082" s="16" t="s">
        <v>1146</v>
      </c>
      <c r="E1082" s="16">
        <v>18</v>
      </c>
    </row>
    <row r="1083" spans="1:5" x14ac:dyDescent="0.4">
      <c r="A1083" s="16" t="s">
        <v>29</v>
      </c>
      <c r="B1083" s="16" t="s">
        <v>30</v>
      </c>
      <c r="C1083" s="16" t="str">
        <f t="shared" si="16"/>
        <v>华北</v>
      </c>
      <c r="D1083" s="16" t="s">
        <v>1147</v>
      </c>
      <c r="E1083" s="16">
        <v>12</v>
      </c>
    </row>
    <row r="1084" spans="1:5" x14ac:dyDescent="0.4">
      <c r="A1084" s="16" t="s">
        <v>22</v>
      </c>
      <c r="B1084" s="16" t="s">
        <v>65</v>
      </c>
      <c r="C1084" s="16" t="str">
        <f t="shared" si="16"/>
        <v>华南</v>
      </c>
      <c r="D1084" s="16" t="s">
        <v>1148</v>
      </c>
      <c r="E1084" s="16">
        <v>18</v>
      </c>
    </row>
    <row r="1085" spans="1:5" x14ac:dyDescent="0.4">
      <c r="A1085" s="16" t="s">
        <v>22</v>
      </c>
      <c r="B1085" s="16" t="s">
        <v>55</v>
      </c>
      <c r="C1085" s="16" t="str">
        <f t="shared" si="16"/>
        <v>华东</v>
      </c>
      <c r="D1085" s="16" t="s">
        <v>1149</v>
      </c>
      <c r="E1085" s="16">
        <v>26</v>
      </c>
    </row>
    <row r="1086" spans="1:5" x14ac:dyDescent="0.4">
      <c r="A1086" s="16" t="s">
        <v>22</v>
      </c>
      <c r="B1086" s="16" t="s">
        <v>55</v>
      </c>
      <c r="C1086" s="16" t="str">
        <f t="shared" si="16"/>
        <v>华东</v>
      </c>
      <c r="D1086" s="16" t="s">
        <v>1150</v>
      </c>
      <c r="E1086" s="16">
        <v>13</v>
      </c>
    </row>
    <row r="1087" spans="1:5" x14ac:dyDescent="0.4">
      <c r="A1087" s="16" t="s">
        <v>29</v>
      </c>
      <c r="B1087" s="16" t="s">
        <v>23</v>
      </c>
      <c r="C1087" s="16" t="str">
        <f t="shared" si="16"/>
        <v>西南</v>
      </c>
      <c r="D1087" s="16" t="s">
        <v>1151</v>
      </c>
      <c r="E1087" s="16">
        <v>26</v>
      </c>
    </row>
    <row r="1088" spans="1:5" x14ac:dyDescent="0.4">
      <c r="A1088" s="16" t="s">
        <v>22</v>
      </c>
      <c r="B1088" s="16" t="s">
        <v>23</v>
      </c>
      <c r="C1088" s="16" t="str">
        <f t="shared" si="16"/>
        <v>西南</v>
      </c>
      <c r="D1088" s="16" t="s">
        <v>1152</v>
      </c>
      <c r="E1088" s="16">
        <v>12</v>
      </c>
    </row>
    <row r="1089" spans="1:5" x14ac:dyDescent="0.4">
      <c r="A1089" s="16" t="s">
        <v>22</v>
      </c>
      <c r="B1089" s="16" t="s">
        <v>69</v>
      </c>
      <c r="C1089" s="16" t="str">
        <f t="shared" si="16"/>
        <v>华南</v>
      </c>
      <c r="D1089" s="16" t="s">
        <v>1153</v>
      </c>
      <c r="E1089" s="16">
        <v>11</v>
      </c>
    </row>
    <row r="1090" spans="1:5" x14ac:dyDescent="0.4">
      <c r="A1090" s="16" t="s">
        <v>22</v>
      </c>
      <c r="B1090" s="16" t="s">
        <v>55</v>
      </c>
      <c r="C1090" s="16" t="str">
        <f t="shared" si="16"/>
        <v>华东</v>
      </c>
      <c r="D1090" s="16" t="s">
        <v>1154</v>
      </c>
      <c r="E1090" s="16">
        <v>19</v>
      </c>
    </row>
    <row r="1091" spans="1:5" x14ac:dyDescent="0.4">
      <c r="A1091" s="16" t="s">
        <v>22</v>
      </c>
      <c r="B1091" s="16" t="s">
        <v>55</v>
      </c>
      <c r="C1091" s="16" t="str">
        <f t="shared" ref="C1091:C1154" si="17">_xlfn.XLOOKUP(B1091,$I$2:$I$32,$J$2:$J$32)</f>
        <v>华东</v>
      </c>
      <c r="D1091" s="16" t="s">
        <v>1155</v>
      </c>
      <c r="E1091" s="16">
        <v>19</v>
      </c>
    </row>
    <row r="1092" spans="1:5" x14ac:dyDescent="0.4">
      <c r="A1092" s="16" t="s">
        <v>29</v>
      </c>
      <c r="B1092" s="16" t="s">
        <v>40</v>
      </c>
      <c r="C1092" s="16" t="str">
        <f t="shared" si="17"/>
        <v>华北</v>
      </c>
      <c r="D1092" s="16" t="s">
        <v>1156</v>
      </c>
      <c r="E1092" s="16">
        <v>25</v>
      </c>
    </row>
    <row r="1093" spans="1:5" x14ac:dyDescent="0.4">
      <c r="A1093" s="16" t="s">
        <v>29</v>
      </c>
      <c r="B1093" s="16" t="s">
        <v>40</v>
      </c>
      <c r="C1093" s="16" t="str">
        <f t="shared" si="17"/>
        <v>华北</v>
      </c>
      <c r="D1093" s="16" t="s">
        <v>1157</v>
      </c>
      <c r="E1093" s="16">
        <v>20</v>
      </c>
    </row>
    <row r="1094" spans="1:5" x14ac:dyDescent="0.4">
      <c r="A1094" s="16" t="s">
        <v>22</v>
      </c>
      <c r="B1094" s="16" t="s">
        <v>23</v>
      </c>
      <c r="C1094" s="16" t="str">
        <f t="shared" si="17"/>
        <v>西南</v>
      </c>
      <c r="D1094" s="16" t="s">
        <v>1158</v>
      </c>
      <c r="E1094" s="16">
        <v>24</v>
      </c>
    </row>
    <row r="1095" spans="1:5" x14ac:dyDescent="0.4">
      <c r="A1095" s="16" t="s">
        <v>22</v>
      </c>
      <c r="B1095" s="16" t="s">
        <v>53</v>
      </c>
      <c r="C1095" s="16" t="str">
        <f t="shared" si="17"/>
        <v>华东</v>
      </c>
      <c r="D1095" s="16" t="s">
        <v>1159</v>
      </c>
      <c r="E1095" s="16">
        <v>14</v>
      </c>
    </row>
    <row r="1096" spans="1:5" x14ac:dyDescent="0.4">
      <c r="A1096" s="16" t="s">
        <v>22</v>
      </c>
      <c r="B1096" s="16" t="s">
        <v>51</v>
      </c>
      <c r="C1096" s="16" t="str">
        <f t="shared" si="17"/>
        <v>华东</v>
      </c>
      <c r="D1096" s="16" t="s">
        <v>1160</v>
      </c>
      <c r="E1096" s="16">
        <v>18</v>
      </c>
    </row>
    <row r="1097" spans="1:5" x14ac:dyDescent="0.4">
      <c r="A1097" s="16" t="s">
        <v>29</v>
      </c>
      <c r="B1097" s="16" t="s">
        <v>73</v>
      </c>
      <c r="C1097" s="16" t="str">
        <f t="shared" si="17"/>
        <v>华中</v>
      </c>
      <c r="D1097" s="16" t="s">
        <v>1161</v>
      </c>
      <c r="E1097" s="16">
        <v>24</v>
      </c>
    </row>
    <row r="1098" spans="1:5" x14ac:dyDescent="0.4">
      <c r="A1098" s="16" t="s">
        <v>22</v>
      </c>
      <c r="B1098" s="16" t="s">
        <v>48</v>
      </c>
      <c r="C1098" s="16" t="str">
        <f t="shared" si="17"/>
        <v>华东</v>
      </c>
      <c r="D1098" s="16" t="s">
        <v>1162</v>
      </c>
      <c r="E1098" s="16">
        <v>17</v>
      </c>
    </row>
    <row r="1099" spans="1:5" x14ac:dyDescent="0.4">
      <c r="A1099" s="16" t="s">
        <v>22</v>
      </c>
      <c r="B1099" s="16" t="s">
        <v>69</v>
      </c>
      <c r="C1099" s="16" t="str">
        <f t="shared" si="17"/>
        <v>华南</v>
      </c>
      <c r="D1099" s="16" t="s">
        <v>1163</v>
      </c>
      <c r="E1099" s="16">
        <v>24</v>
      </c>
    </row>
    <row r="1100" spans="1:5" x14ac:dyDescent="0.4">
      <c r="A1100" s="16" t="s">
        <v>22</v>
      </c>
      <c r="B1100" s="16" t="s">
        <v>40</v>
      </c>
      <c r="C1100" s="16" t="str">
        <f t="shared" si="17"/>
        <v>华北</v>
      </c>
      <c r="D1100" s="16" t="s">
        <v>1164</v>
      </c>
      <c r="E1100" s="16">
        <v>17</v>
      </c>
    </row>
    <row r="1101" spans="1:5" x14ac:dyDescent="0.4">
      <c r="A1101" s="16" t="s">
        <v>29</v>
      </c>
      <c r="B1101" s="16" t="s">
        <v>51</v>
      </c>
      <c r="C1101" s="16" t="str">
        <f t="shared" si="17"/>
        <v>华东</v>
      </c>
      <c r="D1101" s="16" t="s">
        <v>1165</v>
      </c>
      <c r="E1101" s="16">
        <v>14</v>
      </c>
    </row>
    <row r="1102" spans="1:5" x14ac:dyDescent="0.4">
      <c r="A1102" s="16" t="s">
        <v>29</v>
      </c>
      <c r="B1102" s="16" t="s">
        <v>51</v>
      </c>
      <c r="C1102" s="16" t="str">
        <f t="shared" si="17"/>
        <v>华东</v>
      </c>
      <c r="D1102" s="16" t="s">
        <v>1166</v>
      </c>
      <c r="E1102" s="16">
        <v>22</v>
      </c>
    </row>
    <row r="1103" spans="1:5" x14ac:dyDescent="0.4">
      <c r="A1103" s="16" t="s">
        <v>22</v>
      </c>
      <c r="B1103" s="16" t="s">
        <v>51</v>
      </c>
      <c r="C1103" s="16" t="str">
        <f t="shared" si="17"/>
        <v>华东</v>
      </c>
      <c r="D1103" s="16" t="s">
        <v>1167</v>
      </c>
      <c r="E1103" s="16">
        <v>11</v>
      </c>
    </row>
    <row r="1104" spans="1:5" x14ac:dyDescent="0.4">
      <c r="A1104" s="16" t="s">
        <v>29</v>
      </c>
      <c r="B1104" s="16" t="s">
        <v>51</v>
      </c>
      <c r="C1104" s="16" t="str">
        <f t="shared" si="17"/>
        <v>华东</v>
      </c>
      <c r="D1104" s="16" t="s">
        <v>1168</v>
      </c>
      <c r="E1104" s="16">
        <v>26</v>
      </c>
    </row>
    <row r="1105" spans="1:5" x14ac:dyDescent="0.4">
      <c r="A1105" s="16" t="s">
        <v>29</v>
      </c>
      <c r="B1105" s="16" t="s">
        <v>51</v>
      </c>
      <c r="C1105" s="16" t="str">
        <f t="shared" si="17"/>
        <v>华东</v>
      </c>
      <c r="D1105" s="16" t="s">
        <v>1169</v>
      </c>
      <c r="E1105" s="16">
        <v>22</v>
      </c>
    </row>
    <row r="1106" spans="1:5" x14ac:dyDescent="0.4">
      <c r="A1106" s="16" t="s">
        <v>29</v>
      </c>
      <c r="B1106" s="16" t="s">
        <v>51</v>
      </c>
      <c r="C1106" s="16" t="str">
        <f t="shared" si="17"/>
        <v>华东</v>
      </c>
      <c r="D1106" s="16" t="s">
        <v>1170</v>
      </c>
      <c r="E1106" s="16">
        <v>24</v>
      </c>
    </row>
    <row r="1107" spans="1:5" x14ac:dyDescent="0.4">
      <c r="A1107" s="16" t="s">
        <v>29</v>
      </c>
      <c r="B1107" s="16" t="s">
        <v>51</v>
      </c>
      <c r="C1107" s="16" t="str">
        <f t="shared" si="17"/>
        <v>华东</v>
      </c>
      <c r="D1107" s="16" t="s">
        <v>1171</v>
      </c>
      <c r="E1107" s="16">
        <v>20</v>
      </c>
    </row>
    <row r="1108" spans="1:5" x14ac:dyDescent="0.4">
      <c r="A1108" s="16" t="s">
        <v>29</v>
      </c>
      <c r="B1108" s="16" t="s">
        <v>51</v>
      </c>
      <c r="C1108" s="16" t="str">
        <f t="shared" si="17"/>
        <v>华东</v>
      </c>
      <c r="D1108" s="16" t="s">
        <v>1172</v>
      </c>
      <c r="E1108" s="16">
        <v>14</v>
      </c>
    </row>
    <row r="1109" spans="1:5" x14ac:dyDescent="0.4">
      <c r="A1109" s="16" t="s">
        <v>22</v>
      </c>
      <c r="B1109" s="16" t="s">
        <v>51</v>
      </c>
      <c r="C1109" s="16" t="str">
        <f t="shared" si="17"/>
        <v>华东</v>
      </c>
      <c r="D1109" s="16" t="s">
        <v>1173</v>
      </c>
      <c r="E1109" s="16">
        <v>24</v>
      </c>
    </row>
    <row r="1110" spans="1:5" x14ac:dyDescent="0.4">
      <c r="A1110" s="16" t="s">
        <v>29</v>
      </c>
      <c r="B1110" s="16" t="s">
        <v>51</v>
      </c>
      <c r="C1110" s="16" t="str">
        <f t="shared" si="17"/>
        <v>华东</v>
      </c>
      <c r="D1110" s="16" t="s">
        <v>1174</v>
      </c>
      <c r="E1110" s="16">
        <v>27</v>
      </c>
    </row>
    <row r="1111" spans="1:5" x14ac:dyDescent="0.4">
      <c r="A1111" s="16" t="s">
        <v>29</v>
      </c>
      <c r="B1111" s="16" t="s">
        <v>51</v>
      </c>
      <c r="C1111" s="16" t="str">
        <f t="shared" si="17"/>
        <v>华东</v>
      </c>
      <c r="D1111" s="16" t="s">
        <v>1175</v>
      </c>
      <c r="E1111" s="16">
        <v>12</v>
      </c>
    </row>
    <row r="1112" spans="1:5" x14ac:dyDescent="0.4">
      <c r="A1112" s="16" t="s">
        <v>29</v>
      </c>
      <c r="B1112" s="16" t="s">
        <v>51</v>
      </c>
      <c r="C1112" s="16" t="str">
        <f t="shared" si="17"/>
        <v>华东</v>
      </c>
      <c r="D1112" s="16" t="s">
        <v>1176</v>
      </c>
      <c r="E1112" s="16">
        <v>16</v>
      </c>
    </row>
    <row r="1113" spans="1:5" x14ac:dyDescent="0.4">
      <c r="A1113" s="16" t="s">
        <v>33</v>
      </c>
      <c r="B1113" s="16" t="s">
        <v>51</v>
      </c>
      <c r="C1113" s="16" t="str">
        <f t="shared" si="17"/>
        <v>华东</v>
      </c>
      <c r="D1113" s="16" t="s">
        <v>1177</v>
      </c>
      <c r="E1113" s="16">
        <v>24</v>
      </c>
    </row>
    <row r="1114" spans="1:5" x14ac:dyDescent="0.4">
      <c r="A1114" s="16" t="s">
        <v>29</v>
      </c>
      <c r="B1114" s="16" t="s">
        <v>51</v>
      </c>
      <c r="C1114" s="16" t="str">
        <f t="shared" si="17"/>
        <v>华东</v>
      </c>
      <c r="D1114" s="16" t="s">
        <v>1178</v>
      </c>
      <c r="E1114" s="16">
        <v>19</v>
      </c>
    </row>
    <row r="1115" spans="1:5" x14ac:dyDescent="0.4">
      <c r="A1115" s="16" t="s">
        <v>29</v>
      </c>
      <c r="B1115" s="16" t="s">
        <v>51</v>
      </c>
      <c r="C1115" s="16" t="str">
        <f t="shared" si="17"/>
        <v>华东</v>
      </c>
      <c r="D1115" s="16" t="s">
        <v>1179</v>
      </c>
      <c r="E1115" s="16">
        <v>24</v>
      </c>
    </row>
    <row r="1116" spans="1:5" x14ac:dyDescent="0.4">
      <c r="A1116" s="16" t="s">
        <v>22</v>
      </c>
      <c r="B1116" s="16" t="s">
        <v>60</v>
      </c>
      <c r="C1116" s="16" t="str">
        <f t="shared" si="17"/>
        <v>华东</v>
      </c>
      <c r="D1116" s="16" t="s">
        <v>1180</v>
      </c>
      <c r="E1116" s="16">
        <v>28</v>
      </c>
    </row>
    <row r="1117" spans="1:5" x14ac:dyDescent="0.4">
      <c r="A1117" s="16" t="s">
        <v>22</v>
      </c>
      <c r="B1117" s="16" t="s">
        <v>53</v>
      </c>
      <c r="C1117" s="16" t="str">
        <f t="shared" si="17"/>
        <v>华东</v>
      </c>
      <c r="D1117" s="16" t="s">
        <v>1181</v>
      </c>
      <c r="E1117" s="16">
        <v>24</v>
      </c>
    </row>
    <row r="1118" spans="1:5" x14ac:dyDescent="0.4">
      <c r="A1118" s="16" t="s">
        <v>29</v>
      </c>
      <c r="B1118" s="16" t="s">
        <v>53</v>
      </c>
      <c r="C1118" s="16" t="str">
        <f t="shared" si="17"/>
        <v>华东</v>
      </c>
      <c r="D1118" s="16" t="s">
        <v>1182</v>
      </c>
      <c r="E1118" s="16">
        <v>14</v>
      </c>
    </row>
    <row r="1119" spans="1:5" x14ac:dyDescent="0.4">
      <c r="A1119" s="16" t="s">
        <v>29</v>
      </c>
      <c r="B1119" s="16" t="s">
        <v>65</v>
      </c>
      <c r="C1119" s="16" t="str">
        <f t="shared" si="17"/>
        <v>华南</v>
      </c>
      <c r="D1119" s="16" t="s">
        <v>1183</v>
      </c>
      <c r="E1119" s="16">
        <v>13</v>
      </c>
    </row>
    <row r="1120" spans="1:5" x14ac:dyDescent="0.4">
      <c r="A1120" s="16" t="s">
        <v>22</v>
      </c>
      <c r="B1120" s="16" t="s">
        <v>61</v>
      </c>
      <c r="C1120" s="16" t="str">
        <f t="shared" si="17"/>
        <v>华东</v>
      </c>
      <c r="D1120" s="16" t="s">
        <v>1184</v>
      </c>
      <c r="E1120" s="16">
        <v>10</v>
      </c>
    </row>
    <row r="1121" spans="1:5" x14ac:dyDescent="0.4">
      <c r="A1121" s="16" t="s">
        <v>29</v>
      </c>
      <c r="B1121" s="16" t="s">
        <v>73</v>
      </c>
      <c r="C1121" s="16" t="str">
        <f t="shared" si="17"/>
        <v>华中</v>
      </c>
      <c r="D1121" s="16" t="s">
        <v>1185</v>
      </c>
      <c r="E1121" s="16">
        <v>29</v>
      </c>
    </row>
    <row r="1122" spans="1:5" x14ac:dyDescent="0.4">
      <c r="A1122" s="16" t="s">
        <v>22</v>
      </c>
      <c r="B1122" s="16" t="s">
        <v>67</v>
      </c>
      <c r="C1122" s="16" t="str">
        <f t="shared" si="17"/>
        <v>华中</v>
      </c>
      <c r="D1122" s="16" t="s">
        <v>1186</v>
      </c>
      <c r="E1122" s="16">
        <v>13</v>
      </c>
    </row>
    <row r="1123" spans="1:5" x14ac:dyDescent="0.4">
      <c r="A1123" s="16" t="s">
        <v>29</v>
      </c>
      <c r="B1123" s="16" t="s">
        <v>73</v>
      </c>
      <c r="C1123" s="16" t="str">
        <f t="shared" si="17"/>
        <v>华中</v>
      </c>
      <c r="D1123" s="16" t="s">
        <v>1187</v>
      </c>
      <c r="E1123" s="16">
        <v>10</v>
      </c>
    </row>
    <row r="1124" spans="1:5" x14ac:dyDescent="0.4">
      <c r="A1124" s="16" t="s">
        <v>33</v>
      </c>
      <c r="B1124" s="16" t="s">
        <v>76</v>
      </c>
      <c r="C1124" s="16" t="str">
        <f t="shared" si="17"/>
        <v>西北</v>
      </c>
      <c r="D1124" s="16" t="s">
        <v>1188</v>
      </c>
      <c r="E1124" s="16">
        <v>20</v>
      </c>
    </row>
    <row r="1125" spans="1:5" x14ac:dyDescent="0.4">
      <c r="A1125" s="16" t="s">
        <v>33</v>
      </c>
      <c r="B1125" s="16" t="s">
        <v>25</v>
      </c>
      <c r="C1125" s="16" t="str">
        <f t="shared" si="17"/>
        <v>东北</v>
      </c>
      <c r="D1125" s="16" t="s">
        <v>1189</v>
      </c>
      <c r="E1125" s="16">
        <v>13</v>
      </c>
    </row>
    <row r="1126" spans="1:5" x14ac:dyDescent="0.4">
      <c r="A1126" s="16" t="s">
        <v>29</v>
      </c>
      <c r="B1126" s="16" t="s">
        <v>73</v>
      </c>
      <c r="C1126" s="16" t="str">
        <f t="shared" si="17"/>
        <v>华中</v>
      </c>
      <c r="D1126" s="16" t="s">
        <v>1190</v>
      </c>
      <c r="E1126" s="16">
        <v>14</v>
      </c>
    </row>
    <row r="1127" spans="1:5" x14ac:dyDescent="0.4">
      <c r="A1127" s="16" t="s">
        <v>29</v>
      </c>
      <c r="B1127" s="16" t="s">
        <v>73</v>
      </c>
      <c r="C1127" s="16" t="str">
        <f t="shared" si="17"/>
        <v>华中</v>
      </c>
      <c r="D1127" s="16" t="s">
        <v>1191</v>
      </c>
      <c r="E1127" s="16">
        <v>16</v>
      </c>
    </row>
    <row r="1128" spans="1:5" x14ac:dyDescent="0.4">
      <c r="A1128" s="16" t="s">
        <v>22</v>
      </c>
      <c r="B1128" s="16" t="s">
        <v>23</v>
      </c>
      <c r="C1128" s="16" t="str">
        <f t="shared" si="17"/>
        <v>西南</v>
      </c>
      <c r="D1128" s="16" t="s">
        <v>1192</v>
      </c>
      <c r="E1128" s="16">
        <v>28</v>
      </c>
    </row>
    <row r="1129" spans="1:5" x14ac:dyDescent="0.4">
      <c r="A1129" s="16" t="s">
        <v>33</v>
      </c>
      <c r="B1129" s="16" t="s">
        <v>23</v>
      </c>
      <c r="C1129" s="16" t="str">
        <f t="shared" si="17"/>
        <v>西南</v>
      </c>
      <c r="D1129" s="16" t="s">
        <v>1193</v>
      </c>
      <c r="E1129" s="16">
        <v>17</v>
      </c>
    </row>
    <row r="1130" spans="1:5" x14ac:dyDescent="0.4">
      <c r="A1130" s="16" t="s">
        <v>29</v>
      </c>
      <c r="B1130" s="16" t="s">
        <v>30</v>
      </c>
      <c r="C1130" s="16" t="str">
        <f t="shared" si="17"/>
        <v>华北</v>
      </c>
      <c r="D1130" s="16" t="s">
        <v>1194</v>
      </c>
      <c r="E1130" s="16">
        <v>22</v>
      </c>
    </row>
    <row r="1131" spans="1:5" x14ac:dyDescent="0.4">
      <c r="A1131" s="16" t="s">
        <v>22</v>
      </c>
      <c r="B1131" s="16" t="s">
        <v>30</v>
      </c>
      <c r="C1131" s="16" t="str">
        <f t="shared" si="17"/>
        <v>华北</v>
      </c>
      <c r="D1131" s="16" t="s">
        <v>1195</v>
      </c>
      <c r="E1131" s="16">
        <v>10</v>
      </c>
    </row>
    <row r="1132" spans="1:5" x14ac:dyDescent="0.4">
      <c r="A1132" s="16" t="s">
        <v>29</v>
      </c>
      <c r="B1132" s="16" t="s">
        <v>30</v>
      </c>
      <c r="C1132" s="16" t="str">
        <f t="shared" si="17"/>
        <v>华北</v>
      </c>
      <c r="D1132" s="16" t="s">
        <v>1196</v>
      </c>
      <c r="E1132" s="16">
        <v>10</v>
      </c>
    </row>
    <row r="1133" spans="1:5" x14ac:dyDescent="0.4">
      <c r="A1133" s="16" t="s">
        <v>22</v>
      </c>
      <c r="B1133" s="16" t="s">
        <v>30</v>
      </c>
      <c r="C1133" s="16" t="str">
        <f t="shared" si="17"/>
        <v>华北</v>
      </c>
      <c r="D1133" s="16" t="s">
        <v>1197</v>
      </c>
      <c r="E1133" s="16">
        <v>13</v>
      </c>
    </row>
    <row r="1134" spans="1:5" x14ac:dyDescent="0.4">
      <c r="A1134" s="16" t="s">
        <v>29</v>
      </c>
      <c r="B1134" s="16" t="s">
        <v>30</v>
      </c>
      <c r="C1134" s="16" t="str">
        <f t="shared" si="17"/>
        <v>华北</v>
      </c>
      <c r="D1134" s="16" t="s">
        <v>1198</v>
      </c>
      <c r="E1134" s="16">
        <v>20</v>
      </c>
    </row>
    <row r="1135" spans="1:5" x14ac:dyDescent="0.4">
      <c r="A1135" s="16" t="s">
        <v>22</v>
      </c>
      <c r="B1135" s="16" t="s">
        <v>30</v>
      </c>
      <c r="C1135" s="16" t="str">
        <f t="shared" si="17"/>
        <v>华北</v>
      </c>
      <c r="D1135" s="16" t="s">
        <v>1199</v>
      </c>
      <c r="E1135" s="16">
        <v>11</v>
      </c>
    </row>
    <row r="1136" spans="1:5" x14ac:dyDescent="0.4">
      <c r="A1136" s="16" t="s">
        <v>29</v>
      </c>
      <c r="B1136" s="16" t="s">
        <v>40</v>
      </c>
      <c r="C1136" s="16" t="str">
        <f t="shared" si="17"/>
        <v>华北</v>
      </c>
      <c r="D1136" s="16" t="s">
        <v>1200</v>
      </c>
      <c r="E1136" s="16">
        <v>23</v>
      </c>
    </row>
    <row r="1137" spans="1:5" x14ac:dyDescent="0.4">
      <c r="A1137" s="16" t="s">
        <v>29</v>
      </c>
      <c r="B1137" s="16" t="s">
        <v>73</v>
      </c>
      <c r="C1137" s="16" t="str">
        <f t="shared" si="17"/>
        <v>华中</v>
      </c>
      <c r="D1137" s="16" t="s">
        <v>1201</v>
      </c>
      <c r="E1137" s="16">
        <v>27</v>
      </c>
    </row>
    <row r="1138" spans="1:5" x14ac:dyDescent="0.4">
      <c r="A1138" s="16" t="s">
        <v>29</v>
      </c>
      <c r="B1138" s="16" t="s">
        <v>34</v>
      </c>
      <c r="C1138" s="16" t="str">
        <f t="shared" si="17"/>
        <v>西北</v>
      </c>
      <c r="D1138" s="16" t="s">
        <v>1202</v>
      </c>
      <c r="E1138" s="16">
        <v>19</v>
      </c>
    </row>
    <row r="1139" spans="1:5" x14ac:dyDescent="0.4">
      <c r="A1139" s="16" t="s">
        <v>33</v>
      </c>
      <c r="B1139" s="16" t="s">
        <v>25</v>
      </c>
      <c r="C1139" s="16" t="str">
        <f t="shared" si="17"/>
        <v>东北</v>
      </c>
      <c r="D1139" s="16" t="s">
        <v>1203</v>
      </c>
      <c r="E1139" s="16">
        <v>11</v>
      </c>
    </row>
    <row r="1140" spans="1:5" x14ac:dyDescent="0.4">
      <c r="A1140" s="16" t="s">
        <v>22</v>
      </c>
      <c r="B1140" s="16" t="s">
        <v>61</v>
      </c>
      <c r="C1140" s="16" t="str">
        <f t="shared" si="17"/>
        <v>华东</v>
      </c>
      <c r="D1140" s="16" t="s">
        <v>1204</v>
      </c>
      <c r="E1140" s="16">
        <v>24</v>
      </c>
    </row>
    <row r="1141" spans="1:5" x14ac:dyDescent="0.4">
      <c r="A1141" s="16" t="s">
        <v>22</v>
      </c>
      <c r="B1141" s="16" t="s">
        <v>61</v>
      </c>
      <c r="C1141" s="16" t="str">
        <f t="shared" si="17"/>
        <v>华东</v>
      </c>
      <c r="D1141" s="16" t="s">
        <v>1205</v>
      </c>
      <c r="E1141" s="16">
        <v>22</v>
      </c>
    </row>
    <row r="1142" spans="1:5" x14ac:dyDescent="0.4">
      <c r="A1142" s="16" t="s">
        <v>22</v>
      </c>
      <c r="B1142" s="16" t="s">
        <v>61</v>
      </c>
      <c r="C1142" s="16" t="str">
        <f t="shared" si="17"/>
        <v>华东</v>
      </c>
      <c r="D1142" s="16" t="s">
        <v>1206</v>
      </c>
      <c r="E1142" s="16">
        <v>11</v>
      </c>
    </row>
    <row r="1143" spans="1:5" x14ac:dyDescent="0.4">
      <c r="A1143" s="16" t="s">
        <v>33</v>
      </c>
      <c r="B1143" s="16" t="s">
        <v>61</v>
      </c>
      <c r="C1143" s="16" t="str">
        <f t="shared" si="17"/>
        <v>华东</v>
      </c>
      <c r="D1143" s="16" t="s">
        <v>1207</v>
      </c>
      <c r="E1143" s="16">
        <v>23</v>
      </c>
    </row>
    <row r="1144" spans="1:5" x14ac:dyDescent="0.4">
      <c r="A1144" s="16" t="s">
        <v>22</v>
      </c>
      <c r="B1144" s="16" t="s">
        <v>61</v>
      </c>
      <c r="C1144" s="16" t="str">
        <f t="shared" si="17"/>
        <v>华东</v>
      </c>
      <c r="D1144" s="16" t="s">
        <v>1208</v>
      </c>
      <c r="E1144" s="16">
        <v>27</v>
      </c>
    </row>
    <row r="1145" spans="1:5" x14ac:dyDescent="0.4">
      <c r="A1145" s="16" t="s">
        <v>22</v>
      </c>
      <c r="B1145" s="16" t="s">
        <v>61</v>
      </c>
      <c r="C1145" s="16" t="str">
        <f t="shared" si="17"/>
        <v>华东</v>
      </c>
      <c r="D1145" s="16" t="s">
        <v>1209</v>
      </c>
      <c r="E1145" s="16">
        <v>15</v>
      </c>
    </row>
    <row r="1146" spans="1:5" x14ac:dyDescent="0.4">
      <c r="A1146" s="16" t="s">
        <v>22</v>
      </c>
      <c r="B1146" s="16" t="s">
        <v>61</v>
      </c>
      <c r="C1146" s="16" t="str">
        <f t="shared" si="17"/>
        <v>华东</v>
      </c>
      <c r="D1146" s="16" t="s">
        <v>1210</v>
      </c>
      <c r="E1146" s="16">
        <v>24</v>
      </c>
    </row>
    <row r="1147" spans="1:5" x14ac:dyDescent="0.4">
      <c r="A1147" s="16" t="s">
        <v>29</v>
      </c>
      <c r="B1147" s="16" t="s">
        <v>30</v>
      </c>
      <c r="C1147" s="16" t="str">
        <f t="shared" si="17"/>
        <v>华北</v>
      </c>
      <c r="D1147" s="16" t="s">
        <v>1211</v>
      </c>
      <c r="E1147" s="16">
        <v>25</v>
      </c>
    </row>
    <row r="1148" spans="1:5" x14ac:dyDescent="0.4">
      <c r="A1148" s="16" t="s">
        <v>22</v>
      </c>
      <c r="B1148" s="16" t="s">
        <v>51</v>
      </c>
      <c r="C1148" s="16" t="str">
        <f t="shared" si="17"/>
        <v>华东</v>
      </c>
      <c r="D1148" s="16" t="s">
        <v>1212</v>
      </c>
      <c r="E1148" s="16">
        <v>18</v>
      </c>
    </row>
    <row r="1149" spans="1:5" x14ac:dyDescent="0.4">
      <c r="A1149" s="16" t="s">
        <v>29</v>
      </c>
      <c r="B1149" s="16" t="s">
        <v>51</v>
      </c>
      <c r="C1149" s="16" t="str">
        <f t="shared" si="17"/>
        <v>华东</v>
      </c>
      <c r="D1149" s="16" t="s">
        <v>1213</v>
      </c>
      <c r="E1149" s="16">
        <v>11</v>
      </c>
    </row>
    <row r="1150" spans="1:5" x14ac:dyDescent="0.4">
      <c r="A1150" s="16" t="s">
        <v>33</v>
      </c>
      <c r="B1150" s="16" t="s">
        <v>51</v>
      </c>
      <c r="C1150" s="16" t="str">
        <f t="shared" si="17"/>
        <v>华东</v>
      </c>
      <c r="D1150" s="16" t="s">
        <v>1214</v>
      </c>
      <c r="E1150" s="16">
        <v>25</v>
      </c>
    </row>
    <row r="1151" spans="1:5" x14ac:dyDescent="0.4">
      <c r="A1151" s="16" t="s">
        <v>33</v>
      </c>
      <c r="B1151" s="16" t="s">
        <v>51</v>
      </c>
      <c r="C1151" s="16" t="str">
        <f t="shared" si="17"/>
        <v>华东</v>
      </c>
      <c r="D1151" s="16" t="s">
        <v>1215</v>
      </c>
      <c r="E1151" s="16">
        <v>25</v>
      </c>
    </row>
    <row r="1152" spans="1:5" x14ac:dyDescent="0.4">
      <c r="A1152" s="16" t="s">
        <v>22</v>
      </c>
      <c r="B1152" s="16" t="s">
        <v>51</v>
      </c>
      <c r="C1152" s="16" t="str">
        <f t="shared" si="17"/>
        <v>华东</v>
      </c>
      <c r="D1152" s="16" t="s">
        <v>1216</v>
      </c>
      <c r="E1152" s="16">
        <v>17</v>
      </c>
    </row>
    <row r="1153" spans="1:5" x14ac:dyDescent="0.4">
      <c r="A1153" s="16" t="s">
        <v>22</v>
      </c>
      <c r="B1153" s="16" t="s">
        <v>51</v>
      </c>
      <c r="C1153" s="16" t="str">
        <f t="shared" si="17"/>
        <v>华东</v>
      </c>
      <c r="D1153" s="16" t="s">
        <v>1217</v>
      </c>
      <c r="E1153" s="16">
        <v>16</v>
      </c>
    </row>
    <row r="1154" spans="1:5" x14ac:dyDescent="0.4">
      <c r="A1154" s="16" t="s">
        <v>22</v>
      </c>
      <c r="B1154" s="16" t="s">
        <v>51</v>
      </c>
      <c r="C1154" s="16" t="str">
        <f t="shared" si="17"/>
        <v>华东</v>
      </c>
      <c r="D1154" s="16" t="s">
        <v>1218</v>
      </c>
      <c r="E1154" s="16">
        <v>21</v>
      </c>
    </row>
    <row r="1155" spans="1:5" x14ac:dyDescent="0.4">
      <c r="A1155" s="16" t="s">
        <v>29</v>
      </c>
      <c r="B1155" s="16" t="s">
        <v>51</v>
      </c>
      <c r="C1155" s="16" t="str">
        <f t="shared" ref="C1155:C1218" si="18">_xlfn.XLOOKUP(B1155,$I$2:$I$32,$J$2:$J$32)</f>
        <v>华东</v>
      </c>
      <c r="D1155" s="16" t="s">
        <v>1219</v>
      </c>
      <c r="E1155" s="16">
        <v>19</v>
      </c>
    </row>
    <row r="1156" spans="1:5" x14ac:dyDescent="0.4">
      <c r="A1156" s="16" t="s">
        <v>22</v>
      </c>
      <c r="B1156" s="16" t="s">
        <v>51</v>
      </c>
      <c r="C1156" s="16" t="str">
        <f t="shared" si="18"/>
        <v>华东</v>
      </c>
      <c r="D1156" s="16" t="s">
        <v>1220</v>
      </c>
      <c r="E1156" s="16">
        <v>29</v>
      </c>
    </row>
    <row r="1157" spans="1:5" x14ac:dyDescent="0.4">
      <c r="A1157" s="16" t="s">
        <v>22</v>
      </c>
      <c r="B1157" s="16" t="s">
        <v>51</v>
      </c>
      <c r="C1157" s="16" t="str">
        <f t="shared" si="18"/>
        <v>华东</v>
      </c>
      <c r="D1157" s="16" t="s">
        <v>1221</v>
      </c>
      <c r="E1157" s="16">
        <v>14</v>
      </c>
    </row>
    <row r="1158" spans="1:5" x14ac:dyDescent="0.4">
      <c r="A1158" s="16" t="s">
        <v>29</v>
      </c>
      <c r="B1158" s="16" t="s">
        <v>51</v>
      </c>
      <c r="C1158" s="16" t="str">
        <f t="shared" si="18"/>
        <v>华东</v>
      </c>
      <c r="D1158" s="16" t="s">
        <v>1222</v>
      </c>
      <c r="E1158" s="16">
        <v>26</v>
      </c>
    </row>
    <row r="1159" spans="1:5" x14ac:dyDescent="0.4">
      <c r="A1159" s="16" t="s">
        <v>33</v>
      </c>
      <c r="B1159" s="16" t="s">
        <v>51</v>
      </c>
      <c r="C1159" s="16" t="str">
        <f t="shared" si="18"/>
        <v>华东</v>
      </c>
      <c r="D1159" s="16" t="s">
        <v>1223</v>
      </c>
      <c r="E1159" s="16">
        <v>22</v>
      </c>
    </row>
    <row r="1160" spans="1:5" x14ac:dyDescent="0.4">
      <c r="A1160" s="16" t="s">
        <v>29</v>
      </c>
      <c r="B1160" s="16" t="s">
        <v>51</v>
      </c>
      <c r="C1160" s="16" t="str">
        <f t="shared" si="18"/>
        <v>华东</v>
      </c>
      <c r="D1160" s="16" t="s">
        <v>1224</v>
      </c>
      <c r="E1160" s="16">
        <v>22</v>
      </c>
    </row>
    <row r="1161" spans="1:5" x14ac:dyDescent="0.4">
      <c r="A1161" s="16" t="s">
        <v>22</v>
      </c>
      <c r="B1161" s="16" t="s">
        <v>51</v>
      </c>
      <c r="C1161" s="16" t="str">
        <f t="shared" si="18"/>
        <v>华东</v>
      </c>
      <c r="D1161" s="16" t="s">
        <v>1225</v>
      </c>
      <c r="E1161" s="16">
        <v>20</v>
      </c>
    </row>
    <row r="1162" spans="1:5" x14ac:dyDescent="0.4">
      <c r="A1162" s="16" t="s">
        <v>33</v>
      </c>
      <c r="B1162" s="16" t="s">
        <v>51</v>
      </c>
      <c r="C1162" s="16" t="str">
        <f t="shared" si="18"/>
        <v>华东</v>
      </c>
      <c r="D1162" s="16" t="s">
        <v>1226</v>
      </c>
      <c r="E1162" s="16">
        <v>12</v>
      </c>
    </row>
    <row r="1163" spans="1:5" x14ac:dyDescent="0.4">
      <c r="A1163" s="16" t="s">
        <v>22</v>
      </c>
      <c r="B1163" s="16" t="s">
        <v>51</v>
      </c>
      <c r="C1163" s="16" t="str">
        <f t="shared" si="18"/>
        <v>华东</v>
      </c>
      <c r="D1163" s="16" t="s">
        <v>1227</v>
      </c>
      <c r="E1163" s="16">
        <v>26</v>
      </c>
    </row>
    <row r="1164" spans="1:5" x14ac:dyDescent="0.4">
      <c r="A1164" s="16" t="s">
        <v>22</v>
      </c>
      <c r="B1164" s="16" t="s">
        <v>51</v>
      </c>
      <c r="C1164" s="16" t="str">
        <f t="shared" si="18"/>
        <v>华东</v>
      </c>
      <c r="D1164" s="16" t="s">
        <v>1228</v>
      </c>
      <c r="E1164" s="16">
        <v>10</v>
      </c>
    </row>
    <row r="1165" spans="1:5" x14ac:dyDescent="0.4">
      <c r="A1165" s="16" t="s">
        <v>29</v>
      </c>
      <c r="B1165" s="16" t="s">
        <v>51</v>
      </c>
      <c r="C1165" s="16" t="str">
        <f t="shared" si="18"/>
        <v>华东</v>
      </c>
      <c r="D1165" s="16" t="s">
        <v>1229</v>
      </c>
      <c r="E1165" s="16">
        <v>23</v>
      </c>
    </row>
    <row r="1166" spans="1:5" x14ac:dyDescent="0.4">
      <c r="A1166" s="16" t="s">
        <v>22</v>
      </c>
      <c r="B1166" s="16" t="s">
        <v>55</v>
      </c>
      <c r="C1166" s="16" t="str">
        <f t="shared" si="18"/>
        <v>华东</v>
      </c>
      <c r="D1166" s="16" t="s">
        <v>1230</v>
      </c>
      <c r="E1166" s="16">
        <v>20</v>
      </c>
    </row>
    <row r="1167" spans="1:5" x14ac:dyDescent="0.4">
      <c r="A1167" s="16" t="s">
        <v>29</v>
      </c>
      <c r="B1167" s="16" t="s">
        <v>48</v>
      </c>
      <c r="C1167" s="16" t="str">
        <f t="shared" si="18"/>
        <v>华东</v>
      </c>
      <c r="D1167" s="16" t="s">
        <v>1231</v>
      </c>
      <c r="E1167" s="16">
        <v>29</v>
      </c>
    </row>
    <row r="1168" spans="1:5" x14ac:dyDescent="0.4">
      <c r="A1168" s="16" t="s">
        <v>22</v>
      </c>
      <c r="B1168" s="16" t="s">
        <v>48</v>
      </c>
      <c r="C1168" s="16" t="str">
        <f t="shared" si="18"/>
        <v>华东</v>
      </c>
      <c r="D1168" s="16" t="s">
        <v>1232</v>
      </c>
      <c r="E1168" s="16">
        <v>14</v>
      </c>
    </row>
    <row r="1169" spans="1:5" x14ac:dyDescent="0.4">
      <c r="A1169" s="16" t="s">
        <v>29</v>
      </c>
      <c r="B1169" s="16" t="s">
        <v>57</v>
      </c>
      <c r="C1169" s="16" t="str">
        <f t="shared" si="18"/>
        <v>华东</v>
      </c>
      <c r="D1169" s="16" t="s">
        <v>1233</v>
      </c>
      <c r="E1169" s="16">
        <v>21</v>
      </c>
    </row>
    <row r="1170" spans="1:5" x14ac:dyDescent="0.4">
      <c r="A1170" s="16" t="s">
        <v>29</v>
      </c>
      <c r="B1170" s="16" t="s">
        <v>40</v>
      </c>
      <c r="C1170" s="16" t="str">
        <f t="shared" si="18"/>
        <v>华北</v>
      </c>
      <c r="D1170" s="16" t="s">
        <v>1234</v>
      </c>
      <c r="E1170" s="16">
        <v>28</v>
      </c>
    </row>
    <row r="1171" spans="1:5" x14ac:dyDescent="0.4">
      <c r="A1171" s="16" t="s">
        <v>33</v>
      </c>
      <c r="B1171" s="16" t="s">
        <v>73</v>
      </c>
      <c r="C1171" s="16" t="str">
        <f t="shared" si="18"/>
        <v>华中</v>
      </c>
      <c r="D1171" s="16" t="s">
        <v>1235</v>
      </c>
      <c r="E1171" s="16">
        <v>29</v>
      </c>
    </row>
    <row r="1172" spans="1:5" x14ac:dyDescent="0.4">
      <c r="A1172" s="16" t="s">
        <v>22</v>
      </c>
      <c r="B1172" s="16" t="s">
        <v>69</v>
      </c>
      <c r="C1172" s="16" t="str">
        <f t="shared" si="18"/>
        <v>华南</v>
      </c>
      <c r="D1172" s="16" t="s">
        <v>1236</v>
      </c>
      <c r="E1172" s="16">
        <v>11</v>
      </c>
    </row>
    <row r="1173" spans="1:5" x14ac:dyDescent="0.4">
      <c r="A1173" s="16" t="s">
        <v>22</v>
      </c>
      <c r="B1173" s="16" t="s">
        <v>44</v>
      </c>
      <c r="C1173" s="16" t="str">
        <f t="shared" si="18"/>
        <v>华北</v>
      </c>
      <c r="D1173" s="16" t="s">
        <v>1237</v>
      </c>
      <c r="E1173" s="16">
        <v>13</v>
      </c>
    </row>
    <row r="1174" spans="1:5" x14ac:dyDescent="0.4">
      <c r="A1174" s="16" t="s">
        <v>22</v>
      </c>
      <c r="B1174" s="16" t="s">
        <v>81</v>
      </c>
      <c r="C1174" s="16" t="str">
        <f t="shared" si="18"/>
        <v>西北</v>
      </c>
      <c r="D1174" s="16" t="s">
        <v>1238</v>
      </c>
      <c r="E1174" s="16">
        <v>22</v>
      </c>
    </row>
    <row r="1175" spans="1:5" x14ac:dyDescent="0.4">
      <c r="A1175" s="16" t="s">
        <v>22</v>
      </c>
      <c r="B1175" s="16" t="s">
        <v>58</v>
      </c>
      <c r="C1175" s="16" t="str">
        <f t="shared" si="18"/>
        <v>华中</v>
      </c>
      <c r="D1175" s="16" t="s">
        <v>1239</v>
      </c>
      <c r="E1175" s="16">
        <v>26</v>
      </c>
    </row>
    <row r="1176" spans="1:5" x14ac:dyDescent="0.4">
      <c r="A1176" s="16" t="s">
        <v>22</v>
      </c>
      <c r="B1176" s="16" t="s">
        <v>57</v>
      </c>
      <c r="C1176" s="16" t="str">
        <f t="shared" si="18"/>
        <v>华东</v>
      </c>
      <c r="D1176" s="16" t="s">
        <v>1240</v>
      </c>
      <c r="E1176" s="16">
        <v>28</v>
      </c>
    </row>
    <row r="1177" spans="1:5" x14ac:dyDescent="0.4">
      <c r="A1177" s="16" t="s">
        <v>33</v>
      </c>
      <c r="B1177" s="16" t="s">
        <v>58</v>
      </c>
      <c r="C1177" s="16" t="str">
        <f t="shared" si="18"/>
        <v>华中</v>
      </c>
      <c r="D1177" s="16" t="s">
        <v>1241</v>
      </c>
      <c r="E1177" s="16">
        <v>16</v>
      </c>
    </row>
    <row r="1178" spans="1:5" x14ac:dyDescent="0.4">
      <c r="A1178" s="16" t="s">
        <v>33</v>
      </c>
      <c r="B1178" s="16" t="s">
        <v>28</v>
      </c>
      <c r="C1178" s="16" t="str">
        <f t="shared" si="18"/>
        <v>东北</v>
      </c>
      <c r="D1178" s="16" t="s">
        <v>1242</v>
      </c>
      <c r="E1178" s="16">
        <v>25</v>
      </c>
    </row>
    <row r="1179" spans="1:5" x14ac:dyDescent="0.4">
      <c r="A1179" s="16" t="s">
        <v>22</v>
      </c>
      <c r="B1179" s="16" t="s">
        <v>61</v>
      </c>
      <c r="C1179" s="16" t="str">
        <f t="shared" si="18"/>
        <v>华东</v>
      </c>
      <c r="D1179" s="16" t="s">
        <v>1243</v>
      </c>
      <c r="E1179" s="16">
        <v>17</v>
      </c>
    </row>
    <row r="1180" spans="1:5" x14ac:dyDescent="0.4">
      <c r="A1180" s="16" t="s">
        <v>29</v>
      </c>
      <c r="B1180" s="16" t="s">
        <v>23</v>
      </c>
      <c r="C1180" s="16" t="str">
        <f t="shared" si="18"/>
        <v>西南</v>
      </c>
      <c r="D1180" s="16" t="s">
        <v>1244</v>
      </c>
      <c r="E1180" s="16">
        <v>15</v>
      </c>
    </row>
    <row r="1181" spans="1:5" x14ac:dyDescent="0.4">
      <c r="A1181" s="16" t="s">
        <v>29</v>
      </c>
      <c r="B1181" s="16" t="s">
        <v>23</v>
      </c>
      <c r="C1181" s="16" t="str">
        <f t="shared" si="18"/>
        <v>西南</v>
      </c>
      <c r="D1181" s="16" t="s">
        <v>1245</v>
      </c>
      <c r="E1181" s="16">
        <v>13</v>
      </c>
    </row>
    <row r="1182" spans="1:5" x14ac:dyDescent="0.4">
      <c r="A1182" s="16" t="s">
        <v>29</v>
      </c>
      <c r="B1182" s="16" t="s">
        <v>60</v>
      </c>
      <c r="C1182" s="16" t="str">
        <f t="shared" si="18"/>
        <v>华东</v>
      </c>
      <c r="D1182" s="16" t="s">
        <v>1246</v>
      </c>
      <c r="E1182" s="16">
        <v>25</v>
      </c>
    </row>
    <row r="1183" spans="1:5" x14ac:dyDescent="0.4">
      <c r="A1183" s="16" t="s">
        <v>33</v>
      </c>
      <c r="B1183" s="16" t="s">
        <v>32</v>
      </c>
      <c r="C1183" s="16" t="str">
        <f t="shared" si="18"/>
        <v>东北</v>
      </c>
      <c r="D1183" s="16" t="s">
        <v>1247</v>
      </c>
      <c r="E1183" s="16">
        <v>28</v>
      </c>
    </row>
    <row r="1184" spans="1:5" x14ac:dyDescent="0.4">
      <c r="A1184" s="16" t="s">
        <v>29</v>
      </c>
      <c r="B1184" s="16" t="s">
        <v>32</v>
      </c>
      <c r="C1184" s="16" t="str">
        <f t="shared" si="18"/>
        <v>东北</v>
      </c>
      <c r="D1184" s="16" t="s">
        <v>1248</v>
      </c>
      <c r="E1184" s="16">
        <v>27</v>
      </c>
    </row>
    <row r="1185" spans="1:5" x14ac:dyDescent="0.4">
      <c r="A1185" s="16" t="s">
        <v>33</v>
      </c>
      <c r="B1185" s="16" t="s">
        <v>32</v>
      </c>
      <c r="C1185" s="16" t="str">
        <f t="shared" si="18"/>
        <v>东北</v>
      </c>
      <c r="D1185" s="16" t="s">
        <v>1249</v>
      </c>
      <c r="E1185" s="16">
        <v>23</v>
      </c>
    </row>
    <row r="1186" spans="1:5" x14ac:dyDescent="0.4">
      <c r="A1186" s="16" t="s">
        <v>22</v>
      </c>
      <c r="B1186" s="16" t="s">
        <v>32</v>
      </c>
      <c r="C1186" s="16" t="str">
        <f t="shared" si="18"/>
        <v>东北</v>
      </c>
      <c r="D1186" s="16" t="s">
        <v>1250</v>
      </c>
      <c r="E1186" s="16">
        <v>22</v>
      </c>
    </row>
    <row r="1187" spans="1:5" x14ac:dyDescent="0.4">
      <c r="A1187" s="16" t="s">
        <v>22</v>
      </c>
      <c r="B1187" s="16" t="s">
        <v>63</v>
      </c>
      <c r="C1187" s="16" t="str">
        <f t="shared" si="18"/>
        <v>西南</v>
      </c>
      <c r="D1187" s="16" t="s">
        <v>1251</v>
      </c>
      <c r="E1187" s="16">
        <v>15</v>
      </c>
    </row>
    <row r="1188" spans="1:5" x14ac:dyDescent="0.4">
      <c r="A1188" s="16" t="s">
        <v>22</v>
      </c>
      <c r="B1188" s="16" t="s">
        <v>61</v>
      </c>
      <c r="C1188" s="16" t="str">
        <f t="shared" si="18"/>
        <v>华东</v>
      </c>
      <c r="D1188" s="16" t="s">
        <v>1252</v>
      </c>
      <c r="E1188" s="16">
        <v>28</v>
      </c>
    </row>
    <row r="1189" spans="1:5" x14ac:dyDescent="0.4">
      <c r="A1189" s="16" t="s">
        <v>29</v>
      </c>
      <c r="B1189" s="16" t="s">
        <v>28</v>
      </c>
      <c r="C1189" s="16" t="str">
        <f t="shared" si="18"/>
        <v>东北</v>
      </c>
      <c r="D1189" s="16" t="s">
        <v>1253</v>
      </c>
      <c r="E1189" s="16">
        <v>22</v>
      </c>
    </row>
    <row r="1190" spans="1:5" x14ac:dyDescent="0.4">
      <c r="A1190" s="16" t="s">
        <v>29</v>
      </c>
      <c r="B1190" s="16" t="s">
        <v>28</v>
      </c>
      <c r="C1190" s="16" t="str">
        <f t="shared" si="18"/>
        <v>东北</v>
      </c>
      <c r="D1190" s="16" t="s">
        <v>1254</v>
      </c>
      <c r="E1190" s="16">
        <v>17</v>
      </c>
    </row>
    <row r="1191" spans="1:5" x14ac:dyDescent="0.4">
      <c r="A1191" s="16" t="s">
        <v>29</v>
      </c>
      <c r="B1191" s="16" t="s">
        <v>53</v>
      </c>
      <c r="C1191" s="16" t="str">
        <f t="shared" si="18"/>
        <v>华东</v>
      </c>
      <c r="D1191" s="16" t="s">
        <v>1255</v>
      </c>
      <c r="E1191" s="16">
        <v>19</v>
      </c>
    </row>
    <row r="1192" spans="1:5" x14ac:dyDescent="0.4">
      <c r="A1192" s="16" t="s">
        <v>22</v>
      </c>
      <c r="B1192" s="16" t="s">
        <v>53</v>
      </c>
      <c r="C1192" s="16" t="str">
        <f t="shared" si="18"/>
        <v>华东</v>
      </c>
      <c r="D1192" s="16" t="s">
        <v>1256</v>
      </c>
      <c r="E1192" s="16">
        <v>23</v>
      </c>
    </row>
    <row r="1193" spans="1:5" x14ac:dyDescent="0.4">
      <c r="A1193" s="16" t="s">
        <v>33</v>
      </c>
      <c r="B1193" s="16" t="s">
        <v>23</v>
      </c>
      <c r="C1193" s="16" t="str">
        <f t="shared" si="18"/>
        <v>西南</v>
      </c>
      <c r="D1193" s="16" t="s">
        <v>1257</v>
      </c>
      <c r="E1193" s="16">
        <v>26</v>
      </c>
    </row>
    <row r="1194" spans="1:5" x14ac:dyDescent="0.4">
      <c r="A1194" s="16" t="s">
        <v>29</v>
      </c>
      <c r="B1194" s="16" t="s">
        <v>81</v>
      </c>
      <c r="C1194" s="16" t="str">
        <f t="shared" si="18"/>
        <v>西北</v>
      </c>
      <c r="D1194" s="16" t="s">
        <v>1258</v>
      </c>
      <c r="E1194" s="16">
        <v>20</v>
      </c>
    </row>
    <row r="1195" spans="1:5" x14ac:dyDescent="0.4">
      <c r="A1195" s="16" t="s">
        <v>29</v>
      </c>
      <c r="B1195" s="16" t="s">
        <v>55</v>
      </c>
      <c r="C1195" s="16" t="str">
        <f t="shared" si="18"/>
        <v>华东</v>
      </c>
      <c r="D1195" s="16" t="s">
        <v>1259</v>
      </c>
      <c r="E1195" s="16">
        <v>13</v>
      </c>
    </row>
    <row r="1196" spans="1:5" x14ac:dyDescent="0.4">
      <c r="A1196" s="16" t="s">
        <v>22</v>
      </c>
      <c r="B1196" s="16" t="s">
        <v>57</v>
      </c>
      <c r="C1196" s="16" t="str">
        <f t="shared" si="18"/>
        <v>华东</v>
      </c>
      <c r="D1196" s="16" t="s">
        <v>1260</v>
      </c>
      <c r="E1196" s="16">
        <v>26</v>
      </c>
    </row>
    <row r="1197" spans="1:5" x14ac:dyDescent="0.4">
      <c r="A1197" s="16" t="s">
        <v>22</v>
      </c>
      <c r="B1197" s="16" t="s">
        <v>57</v>
      </c>
      <c r="C1197" s="16" t="str">
        <f t="shared" si="18"/>
        <v>华东</v>
      </c>
      <c r="D1197" s="16" t="s">
        <v>1261</v>
      </c>
      <c r="E1197" s="16">
        <v>26</v>
      </c>
    </row>
    <row r="1198" spans="1:5" x14ac:dyDescent="0.4">
      <c r="A1198" s="16" t="s">
        <v>22</v>
      </c>
      <c r="B1198" s="16" t="s">
        <v>23</v>
      </c>
      <c r="C1198" s="16" t="str">
        <f t="shared" si="18"/>
        <v>西南</v>
      </c>
      <c r="D1198" s="16" t="s">
        <v>1262</v>
      </c>
      <c r="E1198" s="16">
        <v>26</v>
      </c>
    </row>
    <row r="1199" spans="1:5" x14ac:dyDescent="0.4">
      <c r="A1199" s="16" t="s">
        <v>29</v>
      </c>
      <c r="B1199" s="16" t="s">
        <v>44</v>
      </c>
      <c r="C1199" s="16" t="str">
        <f t="shared" si="18"/>
        <v>华北</v>
      </c>
      <c r="D1199" s="16" t="s">
        <v>1263</v>
      </c>
      <c r="E1199" s="16">
        <v>12</v>
      </c>
    </row>
    <row r="1200" spans="1:5" x14ac:dyDescent="0.4">
      <c r="A1200" s="16" t="s">
        <v>29</v>
      </c>
      <c r="B1200" s="16" t="s">
        <v>83</v>
      </c>
      <c r="C1200" s="16" t="str">
        <f t="shared" si="18"/>
        <v>西北</v>
      </c>
      <c r="D1200" s="16" t="s">
        <v>1264</v>
      </c>
      <c r="E1200" s="16">
        <v>21</v>
      </c>
    </row>
    <row r="1201" spans="1:5" x14ac:dyDescent="0.4">
      <c r="A1201" s="16" t="s">
        <v>22</v>
      </c>
      <c r="B1201" s="16" t="s">
        <v>63</v>
      </c>
      <c r="C1201" s="16" t="str">
        <f t="shared" si="18"/>
        <v>西南</v>
      </c>
      <c r="D1201" s="16" t="s">
        <v>1265</v>
      </c>
      <c r="E1201" s="16">
        <v>23</v>
      </c>
    </row>
    <row r="1202" spans="1:5" x14ac:dyDescent="0.4">
      <c r="A1202" s="16" t="s">
        <v>33</v>
      </c>
      <c r="B1202" s="16" t="s">
        <v>23</v>
      </c>
      <c r="C1202" s="16" t="str">
        <f t="shared" si="18"/>
        <v>西南</v>
      </c>
      <c r="D1202" s="16" t="s">
        <v>1266</v>
      </c>
      <c r="E1202" s="16">
        <v>16</v>
      </c>
    </row>
    <row r="1203" spans="1:5" x14ac:dyDescent="0.4">
      <c r="A1203" s="16" t="s">
        <v>22</v>
      </c>
      <c r="B1203" s="16" t="s">
        <v>73</v>
      </c>
      <c r="C1203" s="16" t="str">
        <f t="shared" si="18"/>
        <v>华中</v>
      </c>
      <c r="D1203" s="16" t="s">
        <v>1267</v>
      </c>
      <c r="E1203" s="16">
        <v>18</v>
      </c>
    </row>
    <row r="1204" spans="1:5" x14ac:dyDescent="0.4">
      <c r="A1204" s="16" t="s">
        <v>29</v>
      </c>
      <c r="B1204" s="16" t="s">
        <v>73</v>
      </c>
      <c r="C1204" s="16" t="str">
        <f t="shared" si="18"/>
        <v>华中</v>
      </c>
      <c r="D1204" s="16" t="s">
        <v>1268</v>
      </c>
      <c r="E1204" s="16">
        <v>23</v>
      </c>
    </row>
    <row r="1205" spans="1:5" x14ac:dyDescent="0.4">
      <c r="A1205" s="16" t="s">
        <v>22</v>
      </c>
      <c r="B1205" s="16" t="s">
        <v>73</v>
      </c>
      <c r="C1205" s="16" t="str">
        <f t="shared" si="18"/>
        <v>华中</v>
      </c>
      <c r="D1205" s="16" t="s">
        <v>1269</v>
      </c>
      <c r="E1205" s="16">
        <v>28</v>
      </c>
    </row>
    <row r="1206" spans="1:5" x14ac:dyDescent="0.4">
      <c r="A1206" s="16" t="s">
        <v>22</v>
      </c>
      <c r="B1206" s="16" t="s">
        <v>73</v>
      </c>
      <c r="C1206" s="16" t="str">
        <f t="shared" si="18"/>
        <v>华中</v>
      </c>
      <c r="D1206" s="16" t="s">
        <v>1270</v>
      </c>
      <c r="E1206" s="16">
        <v>26</v>
      </c>
    </row>
    <row r="1207" spans="1:5" x14ac:dyDescent="0.4">
      <c r="A1207" s="16" t="s">
        <v>22</v>
      </c>
      <c r="B1207" s="16" t="s">
        <v>73</v>
      </c>
      <c r="C1207" s="16" t="str">
        <f t="shared" si="18"/>
        <v>华中</v>
      </c>
      <c r="D1207" s="16" t="s">
        <v>1271</v>
      </c>
      <c r="E1207" s="16">
        <v>13</v>
      </c>
    </row>
    <row r="1208" spans="1:5" x14ac:dyDescent="0.4">
      <c r="A1208" s="16" t="s">
        <v>29</v>
      </c>
      <c r="B1208" s="16" t="s">
        <v>44</v>
      </c>
      <c r="C1208" s="16" t="str">
        <f t="shared" si="18"/>
        <v>华北</v>
      </c>
      <c r="D1208" s="16" t="s">
        <v>1272</v>
      </c>
      <c r="E1208" s="16">
        <v>19</v>
      </c>
    </row>
    <row r="1209" spans="1:5" x14ac:dyDescent="0.4">
      <c r="A1209" s="16" t="s">
        <v>33</v>
      </c>
      <c r="B1209" s="16" t="s">
        <v>69</v>
      </c>
      <c r="C1209" s="16" t="str">
        <f t="shared" si="18"/>
        <v>华南</v>
      </c>
      <c r="D1209" s="16" t="s">
        <v>1273</v>
      </c>
      <c r="E1209" s="16">
        <v>29</v>
      </c>
    </row>
    <row r="1210" spans="1:5" x14ac:dyDescent="0.4">
      <c r="A1210" s="16" t="s">
        <v>22</v>
      </c>
      <c r="B1210" s="16" t="s">
        <v>51</v>
      </c>
      <c r="C1210" s="16" t="str">
        <f t="shared" si="18"/>
        <v>华东</v>
      </c>
      <c r="D1210" s="16" t="s">
        <v>1274</v>
      </c>
      <c r="E1210" s="16">
        <v>22</v>
      </c>
    </row>
    <row r="1211" spans="1:5" x14ac:dyDescent="0.4">
      <c r="A1211" s="16" t="s">
        <v>29</v>
      </c>
      <c r="B1211" s="16" t="s">
        <v>61</v>
      </c>
      <c r="C1211" s="16" t="str">
        <f t="shared" si="18"/>
        <v>华东</v>
      </c>
      <c r="D1211" s="16" t="s">
        <v>1275</v>
      </c>
      <c r="E1211" s="16">
        <v>17</v>
      </c>
    </row>
    <row r="1212" spans="1:5" x14ac:dyDescent="0.4">
      <c r="A1212" s="16" t="s">
        <v>22</v>
      </c>
      <c r="B1212" s="16" t="s">
        <v>61</v>
      </c>
      <c r="C1212" s="16" t="str">
        <f t="shared" si="18"/>
        <v>华东</v>
      </c>
      <c r="D1212" s="16" t="s">
        <v>1276</v>
      </c>
      <c r="E1212" s="16">
        <v>16</v>
      </c>
    </row>
    <row r="1213" spans="1:5" x14ac:dyDescent="0.4">
      <c r="A1213" s="16" t="s">
        <v>33</v>
      </c>
      <c r="B1213" s="16" t="s">
        <v>58</v>
      </c>
      <c r="C1213" s="16" t="str">
        <f t="shared" si="18"/>
        <v>华中</v>
      </c>
      <c r="D1213" s="16" t="s">
        <v>1277</v>
      </c>
      <c r="E1213" s="16">
        <v>20</v>
      </c>
    </row>
    <row r="1214" spans="1:5" x14ac:dyDescent="0.4">
      <c r="A1214" s="16" t="s">
        <v>29</v>
      </c>
      <c r="B1214" s="16" t="s">
        <v>58</v>
      </c>
      <c r="C1214" s="16" t="str">
        <f t="shared" si="18"/>
        <v>华中</v>
      </c>
      <c r="D1214" s="16" t="s">
        <v>1278</v>
      </c>
      <c r="E1214" s="16">
        <v>24</v>
      </c>
    </row>
    <row r="1215" spans="1:5" x14ac:dyDescent="0.4">
      <c r="A1215" s="16" t="s">
        <v>22</v>
      </c>
      <c r="B1215" s="16" t="s">
        <v>69</v>
      </c>
      <c r="C1215" s="16" t="str">
        <f t="shared" si="18"/>
        <v>华南</v>
      </c>
      <c r="D1215" s="16" t="s">
        <v>1279</v>
      </c>
      <c r="E1215" s="16">
        <v>18</v>
      </c>
    </row>
    <row r="1216" spans="1:5" x14ac:dyDescent="0.4">
      <c r="A1216" s="16" t="s">
        <v>29</v>
      </c>
      <c r="B1216" s="16" t="s">
        <v>76</v>
      </c>
      <c r="C1216" s="16" t="str">
        <f t="shared" si="18"/>
        <v>西北</v>
      </c>
      <c r="D1216" s="16" t="s">
        <v>1280</v>
      </c>
      <c r="E1216" s="16">
        <v>16</v>
      </c>
    </row>
    <row r="1217" spans="1:5" x14ac:dyDescent="0.4">
      <c r="A1217" s="16" t="s">
        <v>29</v>
      </c>
      <c r="B1217" s="16" t="s">
        <v>44</v>
      </c>
      <c r="C1217" s="16" t="str">
        <f t="shared" si="18"/>
        <v>华北</v>
      </c>
      <c r="D1217" s="16" t="s">
        <v>1281</v>
      </c>
      <c r="E1217" s="16">
        <v>12</v>
      </c>
    </row>
    <row r="1218" spans="1:5" x14ac:dyDescent="0.4">
      <c r="A1218" s="16" t="s">
        <v>29</v>
      </c>
      <c r="B1218" s="16" t="s">
        <v>81</v>
      </c>
      <c r="C1218" s="16" t="str">
        <f t="shared" si="18"/>
        <v>西北</v>
      </c>
      <c r="D1218" s="16" t="s">
        <v>1282</v>
      </c>
      <c r="E1218" s="16">
        <v>10</v>
      </c>
    </row>
    <row r="1219" spans="1:5" x14ac:dyDescent="0.4">
      <c r="A1219" s="16" t="s">
        <v>33</v>
      </c>
      <c r="B1219" s="16" t="s">
        <v>81</v>
      </c>
      <c r="C1219" s="16" t="str">
        <f t="shared" ref="C1219:C1282" si="19">_xlfn.XLOOKUP(B1219,$I$2:$I$32,$J$2:$J$32)</f>
        <v>西北</v>
      </c>
      <c r="D1219" s="16" t="s">
        <v>1283</v>
      </c>
      <c r="E1219" s="16">
        <v>29</v>
      </c>
    </row>
    <row r="1220" spans="1:5" x14ac:dyDescent="0.4">
      <c r="A1220" s="16" t="s">
        <v>29</v>
      </c>
      <c r="B1220" s="16" t="s">
        <v>69</v>
      </c>
      <c r="C1220" s="16" t="str">
        <f t="shared" si="19"/>
        <v>华南</v>
      </c>
      <c r="D1220" s="16" t="s">
        <v>1284</v>
      </c>
      <c r="E1220" s="16">
        <v>29</v>
      </c>
    </row>
    <row r="1221" spans="1:5" x14ac:dyDescent="0.4">
      <c r="A1221" s="16" t="s">
        <v>22</v>
      </c>
      <c r="B1221" s="16" t="s">
        <v>69</v>
      </c>
      <c r="C1221" s="16" t="str">
        <f t="shared" si="19"/>
        <v>华南</v>
      </c>
      <c r="D1221" s="16" t="s">
        <v>1285</v>
      </c>
      <c r="E1221" s="16">
        <v>12</v>
      </c>
    </row>
    <row r="1222" spans="1:5" x14ac:dyDescent="0.4">
      <c r="A1222" s="16" t="s">
        <v>29</v>
      </c>
      <c r="B1222" s="16" t="s">
        <v>73</v>
      </c>
      <c r="C1222" s="16" t="str">
        <f t="shared" si="19"/>
        <v>华中</v>
      </c>
      <c r="D1222" s="16" t="s">
        <v>1286</v>
      </c>
      <c r="E1222" s="16">
        <v>27</v>
      </c>
    </row>
    <row r="1223" spans="1:5" x14ac:dyDescent="0.4">
      <c r="A1223" s="16" t="s">
        <v>33</v>
      </c>
      <c r="B1223" s="16" t="s">
        <v>40</v>
      </c>
      <c r="C1223" s="16" t="str">
        <f t="shared" si="19"/>
        <v>华北</v>
      </c>
      <c r="D1223" s="16" t="s">
        <v>1287</v>
      </c>
      <c r="E1223" s="16">
        <v>25</v>
      </c>
    </row>
    <row r="1224" spans="1:5" x14ac:dyDescent="0.4">
      <c r="A1224" s="16" t="s">
        <v>29</v>
      </c>
      <c r="B1224" s="16" t="s">
        <v>40</v>
      </c>
      <c r="C1224" s="16" t="str">
        <f t="shared" si="19"/>
        <v>华北</v>
      </c>
      <c r="D1224" s="16" t="s">
        <v>1288</v>
      </c>
      <c r="E1224" s="16">
        <v>16</v>
      </c>
    </row>
    <row r="1225" spans="1:5" x14ac:dyDescent="0.4">
      <c r="A1225" s="16" t="s">
        <v>29</v>
      </c>
      <c r="B1225" s="16" t="s">
        <v>40</v>
      </c>
      <c r="C1225" s="16" t="str">
        <f t="shared" si="19"/>
        <v>华北</v>
      </c>
      <c r="D1225" s="16" t="s">
        <v>1289</v>
      </c>
      <c r="E1225" s="16">
        <v>28</v>
      </c>
    </row>
    <row r="1226" spans="1:5" x14ac:dyDescent="0.4">
      <c r="A1226" s="16" t="s">
        <v>22</v>
      </c>
      <c r="B1226" s="16" t="s">
        <v>44</v>
      </c>
      <c r="C1226" s="16" t="str">
        <f t="shared" si="19"/>
        <v>华北</v>
      </c>
      <c r="D1226" s="16" t="s">
        <v>1290</v>
      </c>
      <c r="E1226" s="16">
        <v>15</v>
      </c>
    </row>
    <row r="1227" spans="1:5" x14ac:dyDescent="0.4">
      <c r="A1227" s="16" t="s">
        <v>29</v>
      </c>
      <c r="B1227" s="16" t="s">
        <v>63</v>
      </c>
      <c r="C1227" s="16" t="str">
        <f t="shared" si="19"/>
        <v>西南</v>
      </c>
      <c r="D1227" s="16" t="s">
        <v>1291</v>
      </c>
      <c r="E1227" s="16">
        <v>13</v>
      </c>
    </row>
    <row r="1228" spans="1:5" x14ac:dyDescent="0.4">
      <c r="A1228" s="16" t="s">
        <v>22</v>
      </c>
      <c r="B1228" s="16" t="s">
        <v>23</v>
      </c>
      <c r="C1228" s="16" t="str">
        <f t="shared" si="19"/>
        <v>西南</v>
      </c>
      <c r="D1228" s="16" t="s">
        <v>1292</v>
      </c>
      <c r="E1228" s="16">
        <v>18</v>
      </c>
    </row>
    <row r="1229" spans="1:5" x14ac:dyDescent="0.4">
      <c r="A1229" s="16" t="s">
        <v>29</v>
      </c>
      <c r="B1229" s="16" t="s">
        <v>40</v>
      </c>
      <c r="C1229" s="16" t="str">
        <f t="shared" si="19"/>
        <v>华北</v>
      </c>
      <c r="D1229" s="16" t="s">
        <v>1293</v>
      </c>
      <c r="E1229" s="16">
        <v>24</v>
      </c>
    </row>
    <row r="1230" spans="1:5" x14ac:dyDescent="0.4">
      <c r="A1230" s="16" t="s">
        <v>22</v>
      </c>
      <c r="B1230" s="16" t="s">
        <v>61</v>
      </c>
      <c r="C1230" s="16" t="str">
        <f t="shared" si="19"/>
        <v>华东</v>
      </c>
      <c r="D1230" s="16" t="s">
        <v>1294</v>
      </c>
      <c r="E1230" s="16">
        <v>26</v>
      </c>
    </row>
    <row r="1231" spans="1:5" x14ac:dyDescent="0.4">
      <c r="A1231" s="16" t="s">
        <v>29</v>
      </c>
      <c r="B1231" s="16" t="s">
        <v>61</v>
      </c>
      <c r="C1231" s="16" t="str">
        <f t="shared" si="19"/>
        <v>华东</v>
      </c>
      <c r="D1231" s="16" t="s">
        <v>1295</v>
      </c>
      <c r="E1231" s="16">
        <v>15</v>
      </c>
    </row>
    <row r="1232" spans="1:5" x14ac:dyDescent="0.4">
      <c r="A1232" s="16" t="s">
        <v>22</v>
      </c>
      <c r="B1232" s="16" t="s">
        <v>57</v>
      </c>
      <c r="C1232" s="16" t="str">
        <f t="shared" si="19"/>
        <v>华东</v>
      </c>
      <c r="D1232" s="16" t="s">
        <v>1296</v>
      </c>
      <c r="E1232" s="16">
        <v>11</v>
      </c>
    </row>
    <row r="1233" spans="1:5" x14ac:dyDescent="0.4">
      <c r="A1233" s="16" t="s">
        <v>22</v>
      </c>
      <c r="B1233" s="16" t="s">
        <v>57</v>
      </c>
      <c r="C1233" s="16" t="str">
        <f t="shared" si="19"/>
        <v>华东</v>
      </c>
      <c r="D1233" s="16" t="s">
        <v>1297</v>
      </c>
      <c r="E1233" s="16">
        <v>27</v>
      </c>
    </row>
    <row r="1234" spans="1:5" x14ac:dyDescent="0.4">
      <c r="A1234" s="16" t="s">
        <v>29</v>
      </c>
      <c r="B1234" s="16" t="s">
        <v>73</v>
      </c>
      <c r="C1234" s="16" t="str">
        <f t="shared" si="19"/>
        <v>华中</v>
      </c>
      <c r="D1234" s="16" t="s">
        <v>1298</v>
      </c>
      <c r="E1234" s="16">
        <v>23</v>
      </c>
    </row>
    <row r="1235" spans="1:5" x14ac:dyDescent="0.4">
      <c r="A1235" s="16" t="s">
        <v>29</v>
      </c>
      <c r="B1235" s="16" t="s">
        <v>57</v>
      </c>
      <c r="C1235" s="16" t="str">
        <f t="shared" si="19"/>
        <v>华东</v>
      </c>
      <c r="D1235" s="16" t="s">
        <v>1299</v>
      </c>
      <c r="E1235" s="16">
        <v>22</v>
      </c>
    </row>
    <row r="1236" spans="1:5" x14ac:dyDescent="0.4">
      <c r="A1236" s="16" t="s">
        <v>22</v>
      </c>
      <c r="B1236" s="16" t="s">
        <v>65</v>
      </c>
      <c r="C1236" s="16" t="str">
        <f t="shared" si="19"/>
        <v>华南</v>
      </c>
      <c r="D1236" s="16" t="s">
        <v>1300</v>
      </c>
      <c r="E1236" s="16">
        <v>28</v>
      </c>
    </row>
    <row r="1237" spans="1:5" x14ac:dyDescent="0.4">
      <c r="A1237" s="16" t="s">
        <v>22</v>
      </c>
      <c r="B1237" s="16" t="s">
        <v>69</v>
      </c>
      <c r="C1237" s="16" t="str">
        <f t="shared" si="19"/>
        <v>华南</v>
      </c>
      <c r="D1237" s="16" t="s">
        <v>1301</v>
      </c>
      <c r="E1237" s="16">
        <v>28</v>
      </c>
    </row>
    <row r="1238" spans="1:5" x14ac:dyDescent="0.4">
      <c r="A1238" s="16" t="s">
        <v>22</v>
      </c>
      <c r="B1238" s="16" t="s">
        <v>55</v>
      </c>
      <c r="C1238" s="16" t="str">
        <f t="shared" si="19"/>
        <v>华东</v>
      </c>
      <c r="D1238" s="16" t="s">
        <v>1302</v>
      </c>
      <c r="E1238" s="16">
        <v>12</v>
      </c>
    </row>
    <row r="1239" spans="1:5" x14ac:dyDescent="0.4">
      <c r="A1239" s="16" t="s">
        <v>29</v>
      </c>
      <c r="B1239" s="16" t="s">
        <v>40</v>
      </c>
      <c r="C1239" s="16" t="str">
        <f t="shared" si="19"/>
        <v>华北</v>
      </c>
      <c r="D1239" s="16" t="s">
        <v>1303</v>
      </c>
      <c r="E1239" s="16">
        <v>13</v>
      </c>
    </row>
    <row r="1240" spans="1:5" x14ac:dyDescent="0.4">
      <c r="A1240" s="16" t="s">
        <v>22</v>
      </c>
      <c r="B1240" s="16" t="s">
        <v>55</v>
      </c>
      <c r="C1240" s="16" t="str">
        <f t="shared" si="19"/>
        <v>华东</v>
      </c>
      <c r="D1240" s="16" t="s">
        <v>1304</v>
      </c>
      <c r="E1240" s="16">
        <v>16</v>
      </c>
    </row>
    <row r="1241" spans="1:5" x14ac:dyDescent="0.4">
      <c r="A1241" s="16" t="s">
        <v>22</v>
      </c>
      <c r="B1241" s="16" t="s">
        <v>51</v>
      </c>
      <c r="C1241" s="16" t="str">
        <f t="shared" si="19"/>
        <v>华东</v>
      </c>
      <c r="D1241" s="16" t="s">
        <v>1305</v>
      </c>
      <c r="E1241" s="16">
        <v>16</v>
      </c>
    </row>
    <row r="1242" spans="1:5" x14ac:dyDescent="0.4">
      <c r="A1242" s="16" t="s">
        <v>22</v>
      </c>
      <c r="B1242" s="16" t="s">
        <v>51</v>
      </c>
      <c r="C1242" s="16" t="str">
        <f t="shared" si="19"/>
        <v>华东</v>
      </c>
      <c r="D1242" s="16" t="s">
        <v>1306</v>
      </c>
      <c r="E1242" s="16">
        <v>16</v>
      </c>
    </row>
    <row r="1243" spans="1:5" x14ac:dyDescent="0.4">
      <c r="A1243" s="16" t="s">
        <v>22</v>
      </c>
      <c r="B1243" s="16" t="s">
        <v>44</v>
      </c>
      <c r="C1243" s="16" t="str">
        <f t="shared" si="19"/>
        <v>华北</v>
      </c>
      <c r="D1243" s="16" t="s">
        <v>1307</v>
      </c>
      <c r="E1243" s="16">
        <v>10</v>
      </c>
    </row>
    <row r="1244" spans="1:5" x14ac:dyDescent="0.4">
      <c r="A1244" s="16" t="s">
        <v>29</v>
      </c>
      <c r="B1244" s="16" t="s">
        <v>73</v>
      </c>
      <c r="C1244" s="16" t="str">
        <f t="shared" si="19"/>
        <v>华中</v>
      </c>
      <c r="D1244" s="16" t="s">
        <v>1308</v>
      </c>
      <c r="E1244" s="16">
        <v>29</v>
      </c>
    </row>
    <row r="1245" spans="1:5" x14ac:dyDescent="0.4">
      <c r="A1245" s="16" t="s">
        <v>33</v>
      </c>
      <c r="B1245" s="16" t="s">
        <v>69</v>
      </c>
      <c r="C1245" s="16" t="str">
        <f t="shared" si="19"/>
        <v>华南</v>
      </c>
      <c r="D1245" s="16" t="s">
        <v>1309</v>
      </c>
      <c r="E1245" s="16">
        <v>22</v>
      </c>
    </row>
    <row r="1246" spans="1:5" x14ac:dyDescent="0.4">
      <c r="A1246" s="16" t="s">
        <v>22</v>
      </c>
      <c r="B1246" s="16" t="s">
        <v>69</v>
      </c>
      <c r="C1246" s="16" t="str">
        <f t="shared" si="19"/>
        <v>华南</v>
      </c>
      <c r="D1246" s="16" t="s">
        <v>1310</v>
      </c>
      <c r="E1246" s="16">
        <v>25</v>
      </c>
    </row>
    <row r="1247" spans="1:5" x14ac:dyDescent="0.4">
      <c r="A1247" s="16" t="s">
        <v>22</v>
      </c>
      <c r="B1247" s="16" t="s">
        <v>61</v>
      </c>
      <c r="C1247" s="16" t="str">
        <f t="shared" si="19"/>
        <v>华东</v>
      </c>
      <c r="D1247" s="16" t="s">
        <v>1311</v>
      </c>
      <c r="E1247" s="16">
        <v>12</v>
      </c>
    </row>
    <row r="1248" spans="1:5" x14ac:dyDescent="0.4">
      <c r="A1248" s="16" t="s">
        <v>22</v>
      </c>
      <c r="B1248" s="16" t="s">
        <v>63</v>
      </c>
      <c r="C1248" s="16" t="str">
        <f t="shared" si="19"/>
        <v>西南</v>
      </c>
      <c r="D1248" s="16" t="s">
        <v>1312</v>
      </c>
      <c r="E1248" s="16">
        <v>28</v>
      </c>
    </row>
    <row r="1249" spans="1:5" x14ac:dyDescent="0.4">
      <c r="A1249" s="16" t="s">
        <v>29</v>
      </c>
      <c r="B1249" s="16" t="s">
        <v>65</v>
      </c>
      <c r="C1249" s="16" t="str">
        <f t="shared" si="19"/>
        <v>华南</v>
      </c>
      <c r="D1249" s="16" t="s">
        <v>1313</v>
      </c>
      <c r="E1249" s="16">
        <v>18</v>
      </c>
    </row>
    <row r="1250" spans="1:5" x14ac:dyDescent="0.4">
      <c r="A1250" s="16" t="s">
        <v>29</v>
      </c>
      <c r="B1250" s="16" t="s">
        <v>61</v>
      </c>
      <c r="C1250" s="16" t="str">
        <f t="shared" si="19"/>
        <v>华东</v>
      </c>
      <c r="D1250" s="16" t="s">
        <v>1314</v>
      </c>
      <c r="E1250" s="16">
        <v>17</v>
      </c>
    </row>
    <row r="1251" spans="1:5" x14ac:dyDescent="0.4">
      <c r="A1251" s="16" t="s">
        <v>22</v>
      </c>
      <c r="B1251" s="16" t="s">
        <v>57</v>
      </c>
      <c r="C1251" s="16" t="str">
        <f t="shared" si="19"/>
        <v>华东</v>
      </c>
      <c r="D1251" s="16" t="s">
        <v>1315</v>
      </c>
      <c r="E1251" s="16">
        <v>25</v>
      </c>
    </row>
    <row r="1252" spans="1:5" x14ac:dyDescent="0.4">
      <c r="A1252" s="16" t="s">
        <v>22</v>
      </c>
      <c r="B1252" s="16" t="s">
        <v>57</v>
      </c>
      <c r="C1252" s="16" t="str">
        <f t="shared" si="19"/>
        <v>华东</v>
      </c>
      <c r="D1252" s="16" t="s">
        <v>1316</v>
      </c>
      <c r="E1252" s="16">
        <v>14</v>
      </c>
    </row>
    <row r="1253" spans="1:5" x14ac:dyDescent="0.4">
      <c r="A1253" s="16" t="s">
        <v>22</v>
      </c>
      <c r="B1253" s="16" t="s">
        <v>57</v>
      </c>
      <c r="C1253" s="16" t="str">
        <f t="shared" si="19"/>
        <v>华东</v>
      </c>
      <c r="D1253" s="16" t="s">
        <v>1317</v>
      </c>
      <c r="E1253" s="16">
        <v>17</v>
      </c>
    </row>
    <row r="1254" spans="1:5" x14ac:dyDescent="0.4">
      <c r="A1254" s="16" t="s">
        <v>33</v>
      </c>
      <c r="B1254" s="16" t="s">
        <v>83</v>
      </c>
      <c r="C1254" s="16" t="str">
        <f t="shared" si="19"/>
        <v>西北</v>
      </c>
      <c r="D1254" s="16" t="s">
        <v>1318</v>
      </c>
      <c r="E1254" s="16">
        <v>23</v>
      </c>
    </row>
    <row r="1255" spans="1:5" x14ac:dyDescent="0.4">
      <c r="A1255" s="16" t="s">
        <v>22</v>
      </c>
      <c r="B1255" s="16" t="s">
        <v>48</v>
      </c>
      <c r="C1255" s="16" t="str">
        <f t="shared" si="19"/>
        <v>华东</v>
      </c>
      <c r="D1255" s="16" t="s">
        <v>1319</v>
      </c>
      <c r="E1255" s="16">
        <v>16</v>
      </c>
    </row>
    <row r="1256" spans="1:5" x14ac:dyDescent="0.4">
      <c r="A1256" s="16" t="s">
        <v>29</v>
      </c>
      <c r="B1256" s="16" t="s">
        <v>48</v>
      </c>
      <c r="C1256" s="16" t="str">
        <f t="shared" si="19"/>
        <v>华东</v>
      </c>
      <c r="D1256" s="16" t="s">
        <v>1320</v>
      </c>
      <c r="E1256" s="16">
        <v>14</v>
      </c>
    </row>
    <row r="1257" spans="1:5" x14ac:dyDescent="0.4">
      <c r="A1257" s="16" t="s">
        <v>29</v>
      </c>
      <c r="B1257" s="16" t="s">
        <v>44</v>
      </c>
      <c r="C1257" s="16" t="str">
        <f t="shared" si="19"/>
        <v>华北</v>
      </c>
      <c r="D1257" s="16" t="s">
        <v>1321</v>
      </c>
      <c r="E1257" s="16">
        <v>24</v>
      </c>
    </row>
    <row r="1258" spans="1:5" x14ac:dyDescent="0.4">
      <c r="A1258" s="16" t="s">
        <v>33</v>
      </c>
      <c r="B1258" s="16" t="s">
        <v>58</v>
      </c>
      <c r="C1258" s="16" t="str">
        <f t="shared" si="19"/>
        <v>华中</v>
      </c>
      <c r="D1258" s="16" t="s">
        <v>1322</v>
      </c>
      <c r="E1258" s="16">
        <v>26</v>
      </c>
    </row>
    <row r="1259" spans="1:5" x14ac:dyDescent="0.4">
      <c r="A1259" s="16" t="s">
        <v>29</v>
      </c>
      <c r="B1259" s="16" t="s">
        <v>58</v>
      </c>
      <c r="C1259" s="16" t="str">
        <f t="shared" si="19"/>
        <v>华中</v>
      </c>
      <c r="D1259" s="16" t="s">
        <v>1323</v>
      </c>
      <c r="E1259" s="16">
        <v>16</v>
      </c>
    </row>
    <row r="1260" spans="1:5" x14ac:dyDescent="0.4">
      <c r="A1260" s="16" t="s">
        <v>29</v>
      </c>
      <c r="B1260" s="16" t="s">
        <v>76</v>
      </c>
      <c r="C1260" s="16" t="str">
        <f t="shared" si="19"/>
        <v>西北</v>
      </c>
      <c r="D1260" s="16" t="s">
        <v>1324</v>
      </c>
      <c r="E1260" s="16">
        <v>29</v>
      </c>
    </row>
    <row r="1261" spans="1:5" x14ac:dyDescent="0.4">
      <c r="A1261" s="16" t="s">
        <v>33</v>
      </c>
      <c r="B1261" s="16" t="s">
        <v>34</v>
      </c>
      <c r="C1261" s="16" t="str">
        <f t="shared" si="19"/>
        <v>西北</v>
      </c>
      <c r="D1261" s="16" t="s">
        <v>1325</v>
      </c>
      <c r="E1261" s="16">
        <v>10</v>
      </c>
    </row>
    <row r="1262" spans="1:5" x14ac:dyDescent="0.4">
      <c r="A1262" s="16" t="s">
        <v>29</v>
      </c>
      <c r="B1262" s="16" t="s">
        <v>73</v>
      </c>
      <c r="C1262" s="16" t="str">
        <f t="shared" si="19"/>
        <v>华中</v>
      </c>
      <c r="D1262" s="16" t="s">
        <v>1326</v>
      </c>
      <c r="E1262" s="16">
        <v>13</v>
      </c>
    </row>
    <row r="1263" spans="1:5" x14ac:dyDescent="0.4">
      <c r="A1263" s="16" t="s">
        <v>33</v>
      </c>
      <c r="B1263" s="16" t="s">
        <v>73</v>
      </c>
      <c r="C1263" s="16" t="str">
        <f t="shared" si="19"/>
        <v>华中</v>
      </c>
      <c r="D1263" s="16" t="s">
        <v>1327</v>
      </c>
      <c r="E1263" s="16">
        <v>20</v>
      </c>
    </row>
    <row r="1264" spans="1:5" x14ac:dyDescent="0.4">
      <c r="A1264" s="16" t="s">
        <v>22</v>
      </c>
      <c r="B1264" s="16" t="s">
        <v>67</v>
      </c>
      <c r="C1264" s="16" t="str">
        <f t="shared" si="19"/>
        <v>华中</v>
      </c>
      <c r="D1264" s="16" t="s">
        <v>1328</v>
      </c>
      <c r="E1264" s="16">
        <v>10</v>
      </c>
    </row>
    <row r="1265" spans="1:5" x14ac:dyDescent="0.4">
      <c r="A1265" s="16" t="s">
        <v>33</v>
      </c>
      <c r="B1265" s="16" t="s">
        <v>67</v>
      </c>
      <c r="C1265" s="16" t="str">
        <f t="shared" si="19"/>
        <v>华中</v>
      </c>
      <c r="D1265" s="16" t="s">
        <v>1329</v>
      </c>
      <c r="E1265" s="16">
        <v>17</v>
      </c>
    </row>
    <row r="1266" spans="1:5" x14ac:dyDescent="0.4">
      <c r="A1266" s="16" t="s">
        <v>22</v>
      </c>
      <c r="B1266" s="16" t="s">
        <v>46</v>
      </c>
      <c r="C1266" s="16" t="str">
        <f t="shared" si="19"/>
        <v>华北</v>
      </c>
      <c r="D1266" s="16" t="s">
        <v>1330</v>
      </c>
      <c r="E1266" s="16">
        <v>29</v>
      </c>
    </row>
    <row r="1267" spans="1:5" x14ac:dyDescent="0.4">
      <c r="A1267" s="16" t="s">
        <v>29</v>
      </c>
      <c r="B1267" s="16" t="s">
        <v>73</v>
      </c>
      <c r="C1267" s="16" t="str">
        <f t="shared" si="19"/>
        <v>华中</v>
      </c>
      <c r="D1267" s="16" t="s">
        <v>1331</v>
      </c>
      <c r="E1267" s="16">
        <v>12</v>
      </c>
    </row>
    <row r="1268" spans="1:5" x14ac:dyDescent="0.4">
      <c r="A1268" s="16" t="s">
        <v>22</v>
      </c>
      <c r="B1268" s="16" t="s">
        <v>53</v>
      </c>
      <c r="C1268" s="16" t="str">
        <f t="shared" si="19"/>
        <v>华东</v>
      </c>
      <c r="D1268" s="16" t="s">
        <v>1332</v>
      </c>
      <c r="E1268" s="16">
        <v>12</v>
      </c>
    </row>
    <row r="1269" spans="1:5" x14ac:dyDescent="0.4">
      <c r="A1269" s="16" t="s">
        <v>22</v>
      </c>
      <c r="B1269" s="16" t="s">
        <v>40</v>
      </c>
      <c r="C1269" s="16" t="str">
        <f t="shared" si="19"/>
        <v>华北</v>
      </c>
      <c r="D1269" s="16" t="s">
        <v>1333</v>
      </c>
      <c r="E1269" s="16">
        <v>17</v>
      </c>
    </row>
    <row r="1270" spans="1:5" x14ac:dyDescent="0.4">
      <c r="A1270" s="16" t="s">
        <v>29</v>
      </c>
      <c r="B1270" s="16" t="s">
        <v>40</v>
      </c>
      <c r="C1270" s="16" t="str">
        <f t="shared" si="19"/>
        <v>华北</v>
      </c>
      <c r="D1270" s="16" t="s">
        <v>1334</v>
      </c>
      <c r="E1270" s="16">
        <v>21</v>
      </c>
    </row>
    <row r="1271" spans="1:5" x14ac:dyDescent="0.4">
      <c r="A1271" s="16" t="s">
        <v>22</v>
      </c>
      <c r="B1271" s="16" t="s">
        <v>55</v>
      </c>
      <c r="C1271" s="16" t="str">
        <f t="shared" si="19"/>
        <v>华东</v>
      </c>
      <c r="D1271" s="16" t="s">
        <v>1335</v>
      </c>
      <c r="E1271" s="16">
        <v>13</v>
      </c>
    </row>
    <row r="1272" spans="1:5" x14ac:dyDescent="0.4">
      <c r="A1272" s="16" t="s">
        <v>29</v>
      </c>
      <c r="B1272" s="16" t="s">
        <v>76</v>
      </c>
      <c r="C1272" s="16" t="str">
        <f t="shared" si="19"/>
        <v>西北</v>
      </c>
      <c r="D1272" s="16" t="s">
        <v>1336</v>
      </c>
      <c r="E1272" s="16">
        <v>22</v>
      </c>
    </row>
    <row r="1273" spans="1:5" x14ac:dyDescent="0.4">
      <c r="A1273" s="16" t="s">
        <v>22</v>
      </c>
      <c r="B1273" s="16" t="s">
        <v>67</v>
      </c>
      <c r="C1273" s="16" t="str">
        <f t="shared" si="19"/>
        <v>华中</v>
      </c>
      <c r="D1273" s="16" t="s">
        <v>1337</v>
      </c>
      <c r="E1273" s="16">
        <v>23</v>
      </c>
    </row>
    <row r="1274" spans="1:5" x14ac:dyDescent="0.4">
      <c r="A1274" s="16" t="s">
        <v>29</v>
      </c>
      <c r="B1274" s="16" t="s">
        <v>67</v>
      </c>
      <c r="C1274" s="16" t="str">
        <f t="shared" si="19"/>
        <v>华中</v>
      </c>
      <c r="D1274" s="16" t="s">
        <v>1338</v>
      </c>
      <c r="E1274" s="16">
        <v>26</v>
      </c>
    </row>
    <row r="1275" spans="1:5" x14ac:dyDescent="0.4">
      <c r="A1275" s="16" t="s">
        <v>29</v>
      </c>
      <c r="B1275" s="16" t="s">
        <v>48</v>
      </c>
      <c r="C1275" s="16" t="str">
        <f t="shared" si="19"/>
        <v>华东</v>
      </c>
      <c r="D1275" s="16" t="s">
        <v>1339</v>
      </c>
      <c r="E1275" s="16">
        <v>20</v>
      </c>
    </row>
    <row r="1276" spans="1:5" x14ac:dyDescent="0.4">
      <c r="A1276" s="16" t="s">
        <v>22</v>
      </c>
      <c r="B1276" s="16" t="s">
        <v>48</v>
      </c>
      <c r="C1276" s="16" t="str">
        <f t="shared" si="19"/>
        <v>华东</v>
      </c>
      <c r="D1276" s="16" t="s">
        <v>1340</v>
      </c>
      <c r="E1276" s="16">
        <v>17</v>
      </c>
    </row>
    <row r="1277" spans="1:5" x14ac:dyDescent="0.4">
      <c r="A1277" s="16" t="s">
        <v>22</v>
      </c>
      <c r="B1277" s="16" t="s">
        <v>63</v>
      </c>
      <c r="C1277" s="16" t="str">
        <f t="shared" si="19"/>
        <v>西南</v>
      </c>
      <c r="D1277" s="16" t="s">
        <v>1341</v>
      </c>
      <c r="E1277" s="16">
        <v>14</v>
      </c>
    </row>
    <row r="1278" spans="1:5" x14ac:dyDescent="0.4">
      <c r="A1278" s="16" t="s">
        <v>29</v>
      </c>
      <c r="B1278" s="16" t="s">
        <v>48</v>
      </c>
      <c r="C1278" s="16" t="str">
        <f t="shared" si="19"/>
        <v>华东</v>
      </c>
      <c r="D1278" s="16" t="s">
        <v>1342</v>
      </c>
      <c r="E1278" s="16">
        <v>12</v>
      </c>
    </row>
    <row r="1279" spans="1:5" x14ac:dyDescent="0.4">
      <c r="A1279" s="16" t="s">
        <v>29</v>
      </c>
      <c r="B1279" s="16" t="s">
        <v>34</v>
      </c>
      <c r="C1279" s="16" t="str">
        <f t="shared" si="19"/>
        <v>西北</v>
      </c>
      <c r="D1279" s="16" t="s">
        <v>1343</v>
      </c>
      <c r="E1279" s="16">
        <v>19</v>
      </c>
    </row>
    <row r="1280" spans="1:5" x14ac:dyDescent="0.4">
      <c r="A1280" s="16" t="s">
        <v>33</v>
      </c>
      <c r="B1280" s="16" t="s">
        <v>69</v>
      </c>
      <c r="C1280" s="16" t="str">
        <f t="shared" si="19"/>
        <v>华南</v>
      </c>
      <c r="D1280" s="16" t="s">
        <v>1344</v>
      </c>
      <c r="E1280" s="16">
        <v>11</v>
      </c>
    </row>
    <row r="1281" spans="1:5" x14ac:dyDescent="0.4">
      <c r="A1281" s="16" t="s">
        <v>22</v>
      </c>
      <c r="B1281" s="16" t="s">
        <v>69</v>
      </c>
      <c r="C1281" s="16" t="str">
        <f t="shared" si="19"/>
        <v>华南</v>
      </c>
      <c r="D1281" s="16" t="s">
        <v>1345</v>
      </c>
      <c r="E1281" s="16">
        <v>18</v>
      </c>
    </row>
    <row r="1282" spans="1:5" x14ac:dyDescent="0.4">
      <c r="A1282" s="16" t="s">
        <v>33</v>
      </c>
      <c r="B1282" s="16" t="s">
        <v>38</v>
      </c>
      <c r="C1282" s="16" t="str">
        <f t="shared" si="19"/>
        <v>西北</v>
      </c>
      <c r="D1282" s="16" t="s">
        <v>1346</v>
      </c>
      <c r="E1282" s="16">
        <v>10</v>
      </c>
    </row>
    <row r="1283" spans="1:5" x14ac:dyDescent="0.4">
      <c r="A1283" s="16" t="s">
        <v>22</v>
      </c>
      <c r="B1283" s="16" t="s">
        <v>76</v>
      </c>
      <c r="C1283" s="16" t="str">
        <f t="shared" ref="C1283:C1346" si="20">_xlfn.XLOOKUP(B1283,$I$2:$I$32,$J$2:$J$32)</f>
        <v>西北</v>
      </c>
      <c r="D1283" s="16" t="s">
        <v>1347</v>
      </c>
      <c r="E1283" s="16">
        <v>18</v>
      </c>
    </row>
    <row r="1284" spans="1:5" x14ac:dyDescent="0.4">
      <c r="A1284" s="16" t="s">
        <v>29</v>
      </c>
      <c r="B1284" s="16" t="s">
        <v>40</v>
      </c>
      <c r="C1284" s="16" t="str">
        <f t="shared" si="20"/>
        <v>华北</v>
      </c>
      <c r="D1284" s="16" t="s">
        <v>1348</v>
      </c>
      <c r="E1284" s="16">
        <v>24</v>
      </c>
    </row>
    <row r="1285" spans="1:5" x14ac:dyDescent="0.4">
      <c r="A1285" s="16" t="s">
        <v>22</v>
      </c>
      <c r="B1285" s="16" t="s">
        <v>40</v>
      </c>
      <c r="C1285" s="16" t="str">
        <f t="shared" si="20"/>
        <v>华北</v>
      </c>
      <c r="D1285" s="16" t="s">
        <v>1349</v>
      </c>
      <c r="E1285" s="16">
        <v>18</v>
      </c>
    </row>
    <row r="1286" spans="1:5" x14ac:dyDescent="0.4">
      <c r="A1286" s="16" t="s">
        <v>22</v>
      </c>
      <c r="B1286" s="16" t="s">
        <v>76</v>
      </c>
      <c r="C1286" s="16" t="str">
        <f t="shared" si="20"/>
        <v>西北</v>
      </c>
      <c r="D1286" s="16" t="s">
        <v>1350</v>
      </c>
      <c r="E1286" s="16">
        <v>21</v>
      </c>
    </row>
    <row r="1287" spans="1:5" x14ac:dyDescent="0.4">
      <c r="A1287" s="16" t="s">
        <v>29</v>
      </c>
      <c r="B1287" s="16" t="s">
        <v>38</v>
      </c>
      <c r="C1287" s="16" t="str">
        <f t="shared" si="20"/>
        <v>西北</v>
      </c>
      <c r="D1287" s="16" t="s">
        <v>1351</v>
      </c>
      <c r="E1287" s="16">
        <v>22</v>
      </c>
    </row>
    <row r="1288" spans="1:5" x14ac:dyDescent="0.4">
      <c r="A1288" s="16" t="s">
        <v>29</v>
      </c>
      <c r="B1288" s="16" t="s">
        <v>44</v>
      </c>
      <c r="C1288" s="16" t="str">
        <f t="shared" si="20"/>
        <v>华北</v>
      </c>
      <c r="D1288" s="16" t="s">
        <v>1352</v>
      </c>
      <c r="E1288" s="16">
        <v>14</v>
      </c>
    </row>
    <row r="1289" spans="1:5" x14ac:dyDescent="0.4">
      <c r="A1289" s="16" t="s">
        <v>29</v>
      </c>
      <c r="B1289" s="16" t="s">
        <v>73</v>
      </c>
      <c r="C1289" s="16" t="str">
        <f t="shared" si="20"/>
        <v>华中</v>
      </c>
      <c r="D1289" s="16" t="s">
        <v>1353</v>
      </c>
      <c r="E1289" s="16">
        <v>11</v>
      </c>
    </row>
    <row r="1290" spans="1:5" x14ac:dyDescent="0.4">
      <c r="A1290" s="16" t="s">
        <v>29</v>
      </c>
      <c r="B1290" s="16" t="s">
        <v>73</v>
      </c>
      <c r="C1290" s="16" t="str">
        <f t="shared" si="20"/>
        <v>华中</v>
      </c>
      <c r="D1290" s="16" t="s">
        <v>1354</v>
      </c>
      <c r="E1290" s="16">
        <v>22</v>
      </c>
    </row>
    <row r="1291" spans="1:5" x14ac:dyDescent="0.4">
      <c r="A1291" s="16" t="s">
        <v>22</v>
      </c>
      <c r="B1291" s="16" t="s">
        <v>23</v>
      </c>
      <c r="C1291" s="16" t="str">
        <f t="shared" si="20"/>
        <v>西南</v>
      </c>
      <c r="D1291" s="16" t="s">
        <v>1355</v>
      </c>
      <c r="E1291" s="16">
        <v>18</v>
      </c>
    </row>
    <row r="1292" spans="1:5" x14ac:dyDescent="0.4">
      <c r="A1292" s="16" t="s">
        <v>29</v>
      </c>
      <c r="B1292" s="16" t="s">
        <v>57</v>
      </c>
      <c r="C1292" s="16" t="str">
        <f t="shared" si="20"/>
        <v>华东</v>
      </c>
      <c r="D1292" s="16" t="s">
        <v>1356</v>
      </c>
      <c r="E1292" s="16">
        <v>19</v>
      </c>
    </row>
    <row r="1293" spans="1:5" x14ac:dyDescent="0.4">
      <c r="A1293" s="16" t="s">
        <v>22</v>
      </c>
      <c r="B1293" s="16" t="s">
        <v>57</v>
      </c>
      <c r="C1293" s="16" t="str">
        <f t="shared" si="20"/>
        <v>华东</v>
      </c>
      <c r="D1293" s="16" t="s">
        <v>1357</v>
      </c>
      <c r="E1293" s="16">
        <v>27</v>
      </c>
    </row>
    <row r="1294" spans="1:5" x14ac:dyDescent="0.4">
      <c r="A1294" s="16" t="s">
        <v>22</v>
      </c>
      <c r="B1294" s="16" t="s">
        <v>57</v>
      </c>
      <c r="C1294" s="16" t="str">
        <f t="shared" si="20"/>
        <v>华东</v>
      </c>
      <c r="D1294" s="16" t="s">
        <v>1358</v>
      </c>
      <c r="E1294" s="16">
        <v>24</v>
      </c>
    </row>
    <row r="1295" spans="1:5" x14ac:dyDescent="0.4">
      <c r="A1295" s="16" t="s">
        <v>22</v>
      </c>
      <c r="B1295" s="16" t="s">
        <v>83</v>
      </c>
      <c r="C1295" s="16" t="str">
        <f t="shared" si="20"/>
        <v>西北</v>
      </c>
      <c r="D1295" s="16" t="s">
        <v>1359</v>
      </c>
      <c r="E1295" s="16">
        <v>12</v>
      </c>
    </row>
    <row r="1296" spans="1:5" x14ac:dyDescent="0.4">
      <c r="A1296" s="16" t="s">
        <v>29</v>
      </c>
      <c r="B1296" s="16" t="s">
        <v>34</v>
      </c>
      <c r="C1296" s="16" t="str">
        <f t="shared" si="20"/>
        <v>西北</v>
      </c>
      <c r="D1296" s="16" t="s">
        <v>1360</v>
      </c>
      <c r="E1296" s="16">
        <v>22</v>
      </c>
    </row>
    <row r="1297" spans="1:5" x14ac:dyDescent="0.4">
      <c r="A1297" s="16" t="s">
        <v>33</v>
      </c>
      <c r="B1297" s="16" t="s">
        <v>40</v>
      </c>
      <c r="C1297" s="16" t="str">
        <f t="shared" si="20"/>
        <v>华北</v>
      </c>
      <c r="D1297" s="16" t="s">
        <v>1361</v>
      </c>
      <c r="E1297" s="16">
        <v>25</v>
      </c>
    </row>
    <row r="1298" spans="1:5" x14ac:dyDescent="0.4">
      <c r="A1298" s="16" t="s">
        <v>22</v>
      </c>
      <c r="B1298" s="16" t="s">
        <v>23</v>
      </c>
      <c r="C1298" s="16" t="str">
        <f t="shared" si="20"/>
        <v>西南</v>
      </c>
      <c r="D1298" s="16" t="s">
        <v>1362</v>
      </c>
      <c r="E1298" s="16">
        <v>23</v>
      </c>
    </row>
    <row r="1299" spans="1:5" x14ac:dyDescent="0.4">
      <c r="A1299" s="16" t="s">
        <v>22</v>
      </c>
      <c r="B1299" s="16" t="s">
        <v>61</v>
      </c>
      <c r="C1299" s="16" t="str">
        <f t="shared" si="20"/>
        <v>华东</v>
      </c>
      <c r="D1299" s="16" t="s">
        <v>1363</v>
      </c>
      <c r="E1299" s="16">
        <v>20</v>
      </c>
    </row>
    <row r="1300" spans="1:5" x14ac:dyDescent="0.4">
      <c r="A1300" s="16" t="s">
        <v>33</v>
      </c>
      <c r="B1300" s="16" t="s">
        <v>81</v>
      </c>
      <c r="C1300" s="16" t="str">
        <f t="shared" si="20"/>
        <v>西北</v>
      </c>
      <c r="D1300" s="16" t="s">
        <v>1364</v>
      </c>
      <c r="E1300" s="16">
        <v>21</v>
      </c>
    </row>
    <row r="1301" spans="1:5" x14ac:dyDescent="0.4">
      <c r="A1301" s="16" t="s">
        <v>29</v>
      </c>
      <c r="B1301" s="16" t="s">
        <v>40</v>
      </c>
      <c r="C1301" s="16" t="str">
        <f t="shared" si="20"/>
        <v>华北</v>
      </c>
      <c r="D1301" s="16" t="s">
        <v>1365</v>
      </c>
      <c r="E1301" s="16">
        <v>29</v>
      </c>
    </row>
    <row r="1302" spans="1:5" x14ac:dyDescent="0.4">
      <c r="A1302" s="16" t="s">
        <v>29</v>
      </c>
      <c r="B1302" s="16" t="s">
        <v>48</v>
      </c>
      <c r="C1302" s="16" t="str">
        <f t="shared" si="20"/>
        <v>华东</v>
      </c>
      <c r="D1302" s="16" t="s">
        <v>1366</v>
      </c>
      <c r="E1302" s="16">
        <v>21</v>
      </c>
    </row>
    <row r="1303" spans="1:5" x14ac:dyDescent="0.4">
      <c r="A1303" s="16" t="s">
        <v>22</v>
      </c>
      <c r="B1303" s="16" t="s">
        <v>48</v>
      </c>
      <c r="C1303" s="16" t="str">
        <f t="shared" si="20"/>
        <v>华东</v>
      </c>
      <c r="D1303" s="16" t="s">
        <v>1367</v>
      </c>
      <c r="E1303" s="16">
        <v>15</v>
      </c>
    </row>
    <row r="1304" spans="1:5" x14ac:dyDescent="0.4">
      <c r="A1304" s="16" t="s">
        <v>29</v>
      </c>
      <c r="B1304" s="16" t="s">
        <v>57</v>
      </c>
      <c r="C1304" s="16" t="str">
        <f t="shared" si="20"/>
        <v>华东</v>
      </c>
      <c r="D1304" s="16" t="s">
        <v>1368</v>
      </c>
      <c r="E1304" s="16">
        <v>12</v>
      </c>
    </row>
    <row r="1305" spans="1:5" x14ac:dyDescent="0.4">
      <c r="A1305" s="16" t="s">
        <v>29</v>
      </c>
      <c r="B1305" s="16" t="s">
        <v>73</v>
      </c>
      <c r="C1305" s="16" t="str">
        <f t="shared" si="20"/>
        <v>华中</v>
      </c>
      <c r="D1305" s="16" t="s">
        <v>1369</v>
      </c>
      <c r="E1305" s="16">
        <v>24</v>
      </c>
    </row>
    <row r="1306" spans="1:5" x14ac:dyDescent="0.4">
      <c r="A1306" s="16" t="s">
        <v>29</v>
      </c>
      <c r="B1306" s="16" t="s">
        <v>40</v>
      </c>
      <c r="C1306" s="16" t="str">
        <f t="shared" si="20"/>
        <v>华北</v>
      </c>
      <c r="D1306" s="16" t="s">
        <v>1370</v>
      </c>
      <c r="E1306" s="16">
        <v>26</v>
      </c>
    </row>
    <row r="1307" spans="1:5" x14ac:dyDescent="0.4">
      <c r="A1307" s="16" t="s">
        <v>29</v>
      </c>
      <c r="B1307" s="16" t="s">
        <v>40</v>
      </c>
      <c r="C1307" s="16" t="str">
        <f t="shared" si="20"/>
        <v>华北</v>
      </c>
      <c r="D1307" s="16" t="s">
        <v>1371</v>
      </c>
      <c r="E1307" s="16">
        <v>27</v>
      </c>
    </row>
    <row r="1308" spans="1:5" x14ac:dyDescent="0.4">
      <c r="A1308" s="16" t="s">
        <v>29</v>
      </c>
      <c r="B1308" s="16" t="s">
        <v>76</v>
      </c>
      <c r="C1308" s="16" t="str">
        <f t="shared" si="20"/>
        <v>西北</v>
      </c>
      <c r="D1308" s="16" t="s">
        <v>1372</v>
      </c>
      <c r="E1308" s="16">
        <v>12</v>
      </c>
    </row>
    <row r="1309" spans="1:5" x14ac:dyDescent="0.4">
      <c r="A1309" s="16" t="s">
        <v>29</v>
      </c>
      <c r="B1309" s="16" t="s">
        <v>30</v>
      </c>
      <c r="C1309" s="16" t="str">
        <f t="shared" si="20"/>
        <v>华北</v>
      </c>
      <c r="D1309" s="16" t="s">
        <v>1373</v>
      </c>
      <c r="E1309" s="16">
        <v>20</v>
      </c>
    </row>
    <row r="1310" spans="1:5" x14ac:dyDescent="0.4">
      <c r="A1310" s="16" t="s">
        <v>22</v>
      </c>
      <c r="B1310" s="16" t="s">
        <v>65</v>
      </c>
      <c r="C1310" s="16" t="str">
        <f t="shared" si="20"/>
        <v>华南</v>
      </c>
      <c r="D1310" s="16" t="s">
        <v>1374</v>
      </c>
      <c r="E1310" s="16">
        <v>22</v>
      </c>
    </row>
    <row r="1311" spans="1:5" x14ac:dyDescent="0.4">
      <c r="A1311" s="16" t="s">
        <v>22</v>
      </c>
      <c r="B1311" s="16" t="s">
        <v>44</v>
      </c>
      <c r="C1311" s="16" t="str">
        <f t="shared" si="20"/>
        <v>华北</v>
      </c>
      <c r="D1311" s="16" t="s">
        <v>1375</v>
      </c>
      <c r="E1311" s="16">
        <v>28</v>
      </c>
    </row>
    <row r="1312" spans="1:5" x14ac:dyDescent="0.4">
      <c r="A1312" s="16" t="s">
        <v>22</v>
      </c>
      <c r="B1312" s="16" t="s">
        <v>32</v>
      </c>
      <c r="C1312" s="16" t="str">
        <f t="shared" si="20"/>
        <v>东北</v>
      </c>
      <c r="D1312" s="16" t="s">
        <v>1376</v>
      </c>
      <c r="E1312" s="16">
        <v>25</v>
      </c>
    </row>
    <row r="1313" spans="1:5" x14ac:dyDescent="0.4">
      <c r="A1313" s="16" t="s">
        <v>22</v>
      </c>
      <c r="B1313" s="16" t="s">
        <v>65</v>
      </c>
      <c r="C1313" s="16" t="str">
        <f t="shared" si="20"/>
        <v>华南</v>
      </c>
      <c r="D1313" s="16" t="s">
        <v>1377</v>
      </c>
      <c r="E1313" s="16">
        <v>23</v>
      </c>
    </row>
    <row r="1314" spans="1:5" x14ac:dyDescent="0.4">
      <c r="A1314" s="16" t="s">
        <v>22</v>
      </c>
      <c r="B1314" s="16" t="s">
        <v>61</v>
      </c>
      <c r="C1314" s="16" t="str">
        <f t="shared" si="20"/>
        <v>华东</v>
      </c>
      <c r="D1314" s="16" t="s">
        <v>1378</v>
      </c>
      <c r="E1314" s="16">
        <v>17</v>
      </c>
    </row>
    <row r="1315" spans="1:5" x14ac:dyDescent="0.4">
      <c r="A1315" s="16" t="s">
        <v>22</v>
      </c>
      <c r="B1315" s="16" t="s">
        <v>57</v>
      </c>
      <c r="C1315" s="16" t="str">
        <f t="shared" si="20"/>
        <v>华东</v>
      </c>
      <c r="D1315" s="16" t="s">
        <v>1379</v>
      </c>
      <c r="E1315" s="16">
        <v>10</v>
      </c>
    </row>
    <row r="1316" spans="1:5" x14ac:dyDescent="0.4">
      <c r="A1316" s="16" t="s">
        <v>22</v>
      </c>
      <c r="B1316" s="16" t="s">
        <v>57</v>
      </c>
      <c r="C1316" s="16" t="str">
        <f t="shared" si="20"/>
        <v>华东</v>
      </c>
      <c r="D1316" s="16" t="s">
        <v>1380</v>
      </c>
      <c r="E1316" s="16">
        <v>19</v>
      </c>
    </row>
    <row r="1317" spans="1:5" x14ac:dyDescent="0.4">
      <c r="A1317" s="16" t="s">
        <v>29</v>
      </c>
      <c r="B1317" s="16" t="s">
        <v>65</v>
      </c>
      <c r="C1317" s="16" t="str">
        <f t="shared" si="20"/>
        <v>华南</v>
      </c>
      <c r="D1317" s="16" t="s">
        <v>1381</v>
      </c>
      <c r="E1317" s="16">
        <v>20</v>
      </c>
    </row>
    <row r="1318" spans="1:5" x14ac:dyDescent="0.4">
      <c r="A1318" s="16" t="s">
        <v>29</v>
      </c>
      <c r="B1318" s="16" t="s">
        <v>44</v>
      </c>
      <c r="C1318" s="16" t="str">
        <f t="shared" si="20"/>
        <v>华北</v>
      </c>
      <c r="D1318" s="16" t="s">
        <v>1382</v>
      </c>
      <c r="E1318" s="16">
        <v>22</v>
      </c>
    </row>
    <row r="1319" spans="1:5" x14ac:dyDescent="0.4">
      <c r="A1319" s="16" t="s">
        <v>22</v>
      </c>
      <c r="B1319" s="16" t="s">
        <v>23</v>
      </c>
      <c r="C1319" s="16" t="str">
        <f t="shared" si="20"/>
        <v>西南</v>
      </c>
      <c r="D1319" s="16" t="s">
        <v>1383</v>
      </c>
      <c r="E1319" s="16">
        <v>21</v>
      </c>
    </row>
    <row r="1320" spans="1:5" x14ac:dyDescent="0.4">
      <c r="A1320" s="16" t="s">
        <v>22</v>
      </c>
      <c r="B1320" s="16" t="s">
        <v>61</v>
      </c>
      <c r="C1320" s="16" t="str">
        <f t="shared" si="20"/>
        <v>华东</v>
      </c>
      <c r="D1320" s="16" t="s">
        <v>1384</v>
      </c>
      <c r="E1320" s="16">
        <v>10</v>
      </c>
    </row>
    <row r="1321" spans="1:5" x14ac:dyDescent="0.4">
      <c r="A1321" s="16" t="s">
        <v>22</v>
      </c>
      <c r="B1321" s="16" t="s">
        <v>48</v>
      </c>
      <c r="C1321" s="16" t="str">
        <f t="shared" si="20"/>
        <v>华东</v>
      </c>
      <c r="D1321" s="16" t="s">
        <v>1385</v>
      </c>
      <c r="E1321" s="16">
        <v>24</v>
      </c>
    </row>
    <row r="1322" spans="1:5" x14ac:dyDescent="0.4">
      <c r="A1322" s="16" t="s">
        <v>22</v>
      </c>
      <c r="B1322" s="16" t="s">
        <v>55</v>
      </c>
      <c r="C1322" s="16" t="str">
        <f t="shared" si="20"/>
        <v>华东</v>
      </c>
      <c r="D1322" s="16" t="s">
        <v>1386</v>
      </c>
      <c r="E1322" s="16">
        <v>27</v>
      </c>
    </row>
    <row r="1323" spans="1:5" x14ac:dyDescent="0.4">
      <c r="A1323" s="16" t="s">
        <v>22</v>
      </c>
      <c r="B1323" s="16" t="s">
        <v>69</v>
      </c>
      <c r="C1323" s="16" t="str">
        <f t="shared" si="20"/>
        <v>华南</v>
      </c>
      <c r="D1323" s="16" t="s">
        <v>1387</v>
      </c>
      <c r="E1323" s="16">
        <v>14</v>
      </c>
    </row>
    <row r="1324" spans="1:5" x14ac:dyDescent="0.4">
      <c r="A1324" s="16" t="s">
        <v>29</v>
      </c>
      <c r="B1324" s="16" t="s">
        <v>51</v>
      </c>
      <c r="C1324" s="16" t="str">
        <f t="shared" si="20"/>
        <v>华东</v>
      </c>
      <c r="D1324" s="16" t="s">
        <v>1388</v>
      </c>
      <c r="E1324" s="16">
        <v>15</v>
      </c>
    </row>
    <row r="1325" spans="1:5" x14ac:dyDescent="0.4">
      <c r="A1325" s="16" t="s">
        <v>22</v>
      </c>
      <c r="B1325" s="16" t="s">
        <v>51</v>
      </c>
      <c r="C1325" s="16" t="str">
        <f t="shared" si="20"/>
        <v>华东</v>
      </c>
      <c r="D1325" s="16" t="s">
        <v>1389</v>
      </c>
      <c r="E1325" s="16">
        <v>10</v>
      </c>
    </row>
    <row r="1326" spans="1:5" x14ac:dyDescent="0.4">
      <c r="A1326" s="16" t="s">
        <v>22</v>
      </c>
      <c r="B1326" s="16" t="s">
        <v>73</v>
      </c>
      <c r="C1326" s="16" t="str">
        <f t="shared" si="20"/>
        <v>华中</v>
      </c>
      <c r="D1326" s="16" t="s">
        <v>1390</v>
      </c>
      <c r="E1326" s="16">
        <v>25</v>
      </c>
    </row>
    <row r="1327" spans="1:5" x14ac:dyDescent="0.4">
      <c r="A1327" s="16" t="s">
        <v>29</v>
      </c>
      <c r="B1327" s="16" t="s">
        <v>65</v>
      </c>
      <c r="C1327" s="16" t="str">
        <f t="shared" si="20"/>
        <v>华南</v>
      </c>
      <c r="D1327" s="16" t="s">
        <v>1391</v>
      </c>
      <c r="E1327" s="16">
        <v>10</v>
      </c>
    </row>
    <row r="1328" spans="1:5" x14ac:dyDescent="0.4">
      <c r="A1328" s="16" t="s">
        <v>33</v>
      </c>
      <c r="B1328" s="16" t="s">
        <v>23</v>
      </c>
      <c r="C1328" s="16" t="str">
        <f t="shared" si="20"/>
        <v>西南</v>
      </c>
      <c r="D1328" s="16" t="s">
        <v>1392</v>
      </c>
      <c r="E1328" s="16">
        <v>25</v>
      </c>
    </row>
    <row r="1329" spans="1:5" x14ac:dyDescent="0.4">
      <c r="A1329" s="16" t="s">
        <v>22</v>
      </c>
      <c r="B1329" s="16" t="s">
        <v>23</v>
      </c>
      <c r="C1329" s="16" t="str">
        <f t="shared" si="20"/>
        <v>西南</v>
      </c>
      <c r="D1329" s="16" t="s">
        <v>1393</v>
      </c>
      <c r="E1329" s="16">
        <v>16</v>
      </c>
    </row>
    <row r="1330" spans="1:5" x14ac:dyDescent="0.4">
      <c r="A1330" s="16" t="s">
        <v>29</v>
      </c>
      <c r="B1330" s="16" t="s">
        <v>40</v>
      </c>
      <c r="C1330" s="16" t="str">
        <f t="shared" si="20"/>
        <v>华北</v>
      </c>
      <c r="D1330" s="16" t="s">
        <v>1394</v>
      </c>
      <c r="E1330" s="16">
        <v>21</v>
      </c>
    </row>
    <row r="1331" spans="1:5" x14ac:dyDescent="0.4">
      <c r="A1331" s="16" t="s">
        <v>29</v>
      </c>
      <c r="B1331" s="16" t="s">
        <v>40</v>
      </c>
      <c r="C1331" s="16" t="str">
        <f t="shared" si="20"/>
        <v>华北</v>
      </c>
      <c r="D1331" s="16" t="s">
        <v>1395</v>
      </c>
      <c r="E1331" s="16">
        <v>22</v>
      </c>
    </row>
    <row r="1332" spans="1:5" x14ac:dyDescent="0.4">
      <c r="A1332" s="16" t="s">
        <v>22</v>
      </c>
      <c r="B1332" s="16" t="s">
        <v>57</v>
      </c>
      <c r="C1332" s="16" t="str">
        <f t="shared" si="20"/>
        <v>华东</v>
      </c>
      <c r="D1332" s="16" t="s">
        <v>1396</v>
      </c>
      <c r="E1332" s="16">
        <v>18</v>
      </c>
    </row>
    <row r="1333" spans="1:5" x14ac:dyDescent="0.4">
      <c r="A1333" s="16" t="s">
        <v>22</v>
      </c>
      <c r="B1333" s="16" t="s">
        <v>57</v>
      </c>
      <c r="C1333" s="16" t="str">
        <f t="shared" si="20"/>
        <v>华东</v>
      </c>
      <c r="D1333" s="16" t="s">
        <v>1397</v>
      </c>
      <c r="E1333" s="16">
        <v>28</v>
      </c>
    </row>
    <row r="1334" spans="1:5" x14ac:dyDescent="0.4">
      <c r="A1334" s="16" t="s">
        <v>29</v>
      </c>
      <c r="B1334" s="16" t="s">
        <v>23</v>
      </c>
      <c r="C1334" s="16" t="str">
        <f t="shared" si="20"/>
        <v>西南</v>
      </c>
      <c r="D1334" s="16" t="s">
        <v>1398</v>
      </c>
      <c r="E1334" s="16">
        <v>24</v>
      </c>
    </row>
    <row r="1335" spans="1:5" x14ac:dyDescent="0.4">
      <c r="A1335" s="16" t="s">
        <v>22</v>
      </c>
      <c r="B1335" s="16" t="s">
        <v>69</v>
      </c>
      <c r="C1335" s="16" t="str">
        <f t="shared" si="20"/>
        <v>华南</v>
      </c>
      <c r="D1335" s="16" t="s">
        <v>1399</v>
      </c>
      <c r="E1335" s="16">
        <v>18</v>
      </c>
    </row>
    <row r="1336" spans="1:5" x14ac:dyDescent="0.4">
      <c r="A1336" s="16" t="s">
        <v>29</v>
      </c>
      <c r="B1336" s="16" t="s">
        <v>63</v>
      </c>
      <c r="C1336" s="16" t="str">
        <f t="shared" si="20"/>
        <v>西南</v>
      </c>
      <c r="D1336" s="16" t="s">
        <v>1400</v>
      </c>
      <c r="E1336" s="16">
        <v>15</v>
      </c>
    </row>
    <row r="1337" spans="1:5" x14ac:dyDescent="0.4">
      <c r="A1337" s="16" t="s">
        <v>29</v>
      </c>
      <c r="B1337" s="16" t="s">
        <v>69</v>
      </c>
      <c r="C1337" s="16" t="str">
        <f t="shared" si="20"/>
        <v>华南</v>
      </c>
      <c r="D1337" s="16" t="s">
        <v>1401</v>
      </c>
      <c r="E1337" s="16">
        <v>25</v>
      </c>
    </row>
    <row r="1338" spans="1:5" x14ac:dyDescent="0.4">
      <c r="A1338" s="16" t="s">
        <v>29</v>
      </c>
      <c r="B1338" s="16" t="s">
        <v>69</v>
      </c>
      <c r="C1338" s="16" t="str">
        <f t="shared" si="20"/>
        <v>华南</v>
      </c>
      <c r="D1338" s="16" t="s">
        <v>1402</v>
      </c>
      <c r="E1338" s="16">
        <v>10</v>
      </c>
    </row>
    <row r="1339" spans="1:5" x14ac:dyDescent="0.4">
      <c r="A1339" s="16" t="s">
        <v>22</v>
      </c>
      <c r="B1339" s="16" t="s">
        <v>53</v>
      </c>
      <c r="C1339" s="16" t="str">
        <f t="shared" si="20"/>
        <v>华东</v>
      </c>
      <c r="D1339" s="16" t="s">
        <v>1403</v>
      </c>
      <c r="E1339" s="16">
        <v>12</v>
      </c>
    </row>
    <row r="1340" spans="1:5" x14ac:dyDescent="0.4">
      <c r="A1340" s="16" t="s">
        <v>29</v>
      </c>
      <c r="B1340" s="16" t="s">
        <v>58</v>
      </c>
      <c r="C1340" s="16" t="str">
        <f t="shared" si="20"/>
        <v>华中</v>
      </c>
      <c r="D1340" s="16" t="s">
        <v>1404</v>
      </c>
      <c r="E1340" s="16">
        <v>29</v>
      </c>
    </row>
    <row r="1341" spans="1:5" x14ac:dyDescent="0.4">
      <c r="A1341" s="16" t="s">
        <v>22</v>
      </c>
      <c r="B1341" s="16" t="s">
        <v>73</v>
      </c>
      <c r="C1341" s="16" t="str">
        <f t="shared" si="20"/>
        <v>华中</v>
      </c>
      <c r="D1341" s="16" t="s">
        <v>1405</v>
      </c>
      <c r="E1341" s="16">
        <v>25</v>
      </c>
    </row>
    <row r="1342" spans="1:5" x14ac:dyDescent="0.4">
      <c r="A1342" s="16" t="s">
        <v>29</v>
      </c>
      <c r="B1342" s="16" t="s">
        <v>73</v>
      </c>
      <c r="C1342" s="16" t="str">
        <f t="shared" si="20"/>
        <v>华中</v>
      </c>
      <c r="D1342" s="16" t="s">
        <v>1406</v>
      </c>
      <c r="E1342" s="16">
        <v>10</v>
      </c>
    </row>
    <row r="1343" spans="1:5" x14ac:dyDescent="0.4">
      <c r="A1343" s="16" t="s">
        <v>22</v>
      </c>
      <c r="B1343" s="16" t="s">
        <v>73</v>
      </c>
      <c r="C1343" s="16" t="str">
        <f t="shared" si="20"/>
        <v>华中</v>
      </c>
      <c r="D1343" s="16" t="s">
        <v>1407</v>
      </c>
      <c r="E1343" s="16">
        <v>22</v>
      </c>
    </row>
    <row r="1344" spans="1:5" x14ac:dyDescent="0.4">
      <c r="A1344" s="16" t="s">
        <v>22</v>
      </c>
      <c r="B1344" s="16" t="s">
        <v>73</v>
      </c>
      <c r="C1344" s="16" t="str">
        <f t="shared" si="20"/>
        <v>华中</v>
      </c>
      <c r="D1344" s="16" t="s">
        <v>1408</v>
      </c>
      <c r="E1344" s="16">
        <v>19</v>
      </c>
    </row>
    <row r="1345" spans="1:5" x14ac:dyDescent="0.4">
      <c r="A1345" s="16" t="s">
        <v>29</v>
      </c>
      <c r="B1345" s="16" t="s">
        <v>57</v>
      </c>
      <c r="C1345" s="16" t="str">
        <f t="shared" si="20"/>
        <v>华东</v>
      </c>
      <c r="D1345" s="16" t="s">
        <v>1409</v>
      </c>
      <c r="E1345" s="16">
        <v>10</v>
      </c>
    </row>
    <row r="1346" spans="1:5" x14ac:dyDescent="0.4">
      <c r="A1346" s="16" t="s">
        <v>29</v>
      </c>
      <c r="B1346" s="16" t="s">
        <v>65</v>
      </c>
      <c r="C1346" s="16" t="str">
        <f t="shared" si="20"/>
        <v>华南</v>
      </c>
      <c r="D1346" s="16" t="s">
        <v>1410</v>
      </c>
      <c r="E1346" s="16">
        <v>12</v>
      </c>
    </row>
    <row r="1347" spans="1:5" x14ac:dyDescent="0.4">
      <c r="A1347" s="16" t="s">
        <v>22</v>
      </c>
      <c r="B1347" s="16" t="s">
        <v>44</v>
      </c>
      <c r="C1347" s="16" t="str">
        <f t="shared" ref="C1347:C1410" si="21">_xlfn.XLOOKUP(B1347,$I$2:$I$32,$J$2:$J$32)</f>
        <v>华北</v>
      </c>
      <c r="D1347" s="16" t="s">
        <v>1411</v>
      </c>
      <c r="E1347" s="16">
        <v>22</v>
      </c>
    </row>
    <row r="1348" spans="1:5" x14ac:dyDescent="0.4">
      <c r="A1348" s="16" t="s">
        <v>22</v>
      </c>
      <c r="B1348" s="16" t="s">
        <v>61</v>
      </c>
      <c r="C1348" s="16" t="str">
        <f t="shared" si="21"/>
        <v>华东</v>
      </c>
      <c r="D1348" s="16" t="s">
        <v>1412</v>
      </c>
      <c r="E1348" s="16">
        <v>14</v>
      </c>
    </row>
    <row r="1349" spans="1:5" x14ac:dyDescent="0.4">
      <c r="A1349" s="16" t="s">
        <v>29</v>
      </c>
      <c r="B1349" s="16" t="s">
        <v>55</v>
      </c>
      <c r="C1349" s="16" t="str">
        <f t="shared" si="21"/>
        <v>华东</v>
      </c>
      <c r="D1349" s="16" t="s">
        <v>1413</v>
      </c>
      <c r="E1349" s="16">
        <v>25</v>
      </c>
    </row>
    <row r="1350" spans="1:5" x14ac:dyDescent="0.4">
      <c r="A1350" s="16" t="s">
        <v>22</v>
      </c>
      <c r="B1350" s="16" t="s">
        <v>61</v>
      </c>
      <c r="C1350" s="16" t="str">
        <f t="shared" si="21"/>
        <v>华东</v>
      </c>
      <c r="D1350" s="16" t="s">
        <v>1414</v>
      </c>
      <c r="E1350" s="16">
        <v>13</v>
      </c>
    </row>
    <row r="1351" spans="1:5" x14ac:dyDescent="0.4">
      <c r="A1351" s="16" t="s">
        <v>22</v>
      </c>
      <c r="B1351" s="16" t="s">
        <v>55</v>
      </c>
      <c r="C1351" s="16" t="str">
        <f t="shared" si="21"/>
        <v>华东</v>
      </c>
      <c r="D1351" s="16" t="s">
        <v>1415</v>
      </c>
      <c r="E1351" s="16">
        <v>15</v>
      </c>
    </row>
    <row r="1352" spans="1:5" x14ac:dyDescent="0.4">
      <c r="A1352" s="16" t="s">
        <v>22</v>
      </c>
      <c r="B1352" s="16" t="s">
        <v>60</v>
      </c>
      <c r="C1352" s="16" t="str">
        <f t="shared" si="21"/>
        <v>华东</v>
      </c>
      <c r="D1352" s="16" t="s">
        <v>1416</v>
      </c>
      <c r="E1352" s="16">
        <v>26</v>
      </c>
    </row>
    <row r="1353" spans="1:5" x14ac:dyDescent="0.4">
      <c r="A1353" s="16" t="s">
        <v>29</v>
      </c>
      <c r="B1353" s="16" t="s">
        <v>34</v>
      </c>
      <c r="C1353" s="16" t="str">
        <f t="shared" si="21"/>
        <v>西北</v>
      </c>
      <c r="D1353" s="16" t="s">
        <v>1417</v>
      </c>
      <c r="E1353" s="16">
        <v>24</v>
      </c>
    </row>
    <row r="1354" spans="1:5" x14ac:dyDescent="0.4">
      <c r="A1354" s="16" t="s">
        <v>22</v>
      </c>
      <c r="B1354" s="16" t="s">
        <v>63</v>
      </c>
      <c r="C1354" s="16" t="str">
        <f t="shared" si="21"/>
        <v>西南</v>
      </c>
      <c r="D1354" s="16" t="s">
        <v>1418</v>
      </c>
      <c r="E1354" s="16">
        <v>18</v>
      </c>
    </row>
    <row r="1355" spans="1:5" x14ac:dyDescent="0.4">
      <c r="A1355" s="16" t="s">
        <v>22</v>
      </c>
      <c r="B1355" s="16" t="s">
        <v>25</v>
      </c>
      <c r="C1355" s="16" t="str">
        <f t="shared" si="21"/>
        <v>东北</v>
      </c>
      <c r="D1355" s="16" t="s">
        <v>1419</v>
      </c>
      <c r="E1355" s="16">
        <v>13</v>
      </c>
    </row>
    <row r="1356" spans="1:5" x14ac:dyDescent="0.4">
      <c r="A1356" s="16" t="s">
        <v>22</v>
      </c>
      <c r="B1356" s="16" t="s">
        <v>69</v>
      </c>
      <c r="C1356" s="16" t="str">
        <f t="shared" si="21"/>
        <v>华南</v>
      </c>
      <c r="D1356" s="16" t="s">
        <v>1420</v>
      </c>
      <c r="E1356" s="16">
        <v>18</v>
      </c>
    </row>
    <row r="1357" spans="1:5" x14ac:dyDescent="0.4">
      <c r="A1357" s="16" t="s">
        <v>22</v>
      </c>
      <c r="B1357" s="16" t="s">
        <v>60</v>
      </c>
      <c r="C1357" s="16" t="str">
        <f t="shared" si="21"/>
        <v>华东</v>
      </c>
      <c r="D1357" s="16" t="s">
        <v>1421</v>
      </c>
      <c r="E1357" s="16">
        <v>24</v>
      </c>
    </row>
    <row r="1358" spans="1:5" x14ac:dyDescent="0.4">
      <c r="A1358" s="16" t="s">
        <v>29</v>
      </c>
      <c r="B1358" s="16" t="s">
        <v>60</v>
      </c>
      <c r="C1358" s="16" t="str">
        <f t="shared" si="21"/>
        <v>华东</v>
      </c>
      <c r="D1358" s="16" t="s">
        <v>1422</v>
      </c>
      <c r="E1358" s="16">
        <v>14</v>
      </c>
    </row>
    <row r="1359" spans="1:5" x14ac:dyDescent="0.4">
      <c r="A1359" s="16" t="s">
        <v>22</v>
      </c>
      <c r="B1359" s="16" t="s">
        <v>61</v>
      </c>
      <c r="C1359" s="16" t="str">
        <f t="shared" si="21"/>
        <v>华东</v>
      </c>
      <c r="D1359" s="16" t="s">
        <v>1423</v>
      </c>
      <c r="E1359" s="16">
        <v>13</v>
      </c>
    </row>
    <row r="1360" spans="1:5" x14ac:dyDescent="0.4">
      <c r="A1360" s="16" t="s">
        <v>33</v>
      </c>
      <c r="B1360" s="16" t="s">
        <v>51</v>
      </c>
      <c r="C1360" s="16" t="str">
        <f t="shared" si="21"/>
        <v>华东</v>
      </c>
      <c r="D1360" s="16" t="s">
        <v>1424</v>
      </c>
      <c r="E1360" s="16">
        <v>18</v>
      </c>
    </row>
    <row r="1361" spans="1:5" x14ac:dyDescent="0.4">
      <c r="A1361" s="16" t="s">
        <v>29</v>
      </c>
      <c r="B1361" s="16" t="s">
        <v>51</v>
      </c>
      <c r="C1361" s="16" t="str">
        <f t="shared" si="21"/>
        <v>华东</v>
      </c>
      <c r="D1361" s="16" t="s">
        <v>1425</v>
      </c>
      <c r="E1361" s="16">
        <v>12</v>
      </c>
    </row>
    <row r="1362" spans="1:5" x14ac:dyDescent="0.4">
      <c r="A1362" s="16" t="s">
        <v>29</v>
      </c>
      <c r="B1362" s="16" t="s">
        <v>51</v>
      </c>
      <c r="C1362" s="16" t="str">
        <f t="shared" si="21"/>
        <v>华东</v>
      </c>
      <c r="D1362" s="16" t="s">
        <v>1426</v>
      </c>
      <c r="E1362" s="16">
        <v>16</v>
      </c>
    </row>
    <row r="1363" spans="1:5" x14ac:dyDescent="0.4">
      <c r="A1363" s="16" t="s">
        <v>22</v>
      </c>
      <c r="B1363" s="16" t="s">
        <v>51</v>
      </c>
      <c r="C1363" s="16" t="str">
        <f t="shared" si="21"/>
        <v>华东</v>
      </c>
      <c r="D1363" s="16" t="s">
        <v>1427</v>
      </c>
      <c r="E1363" s="16">
        <v>20</v>
      </c>
    </row>
    <row r="1364" spans="1:5" x14ac:dyDescent="0.4">
      <c r="A1364" s="16" t="s">
        <v>22</v>
      </c>
      <c r="B1364" s="16" t="s">
        <v>51</v>
      </c>
      <c r="C1364" s="16" t="str">
        <f t="shared" si="21"/>
        <v>华东</v>
      </c>
      <c r="D1364" s="16" t="s">
        <v>1428</v>
      </c>
      <c r="E1364" s="16">
        <v>28</v>
      </c>
    </row>
    <row r="1365" spans="1:5" x14ac:dyDescent="0.4">
      <c r="A1365" s="16" t="s">
        <v>29</v>
      </c>
      <c r="B1365" s="16" t="s">
        <v>51</v>
      </c>
      <c r="C1365" s="16" t="str">
        <f t="shared" si="21"/>
        <v>华东</v>
      </c>
      <c r="D1365" s="16" t="s">
        <v>1429</v>
      </c>
      <c r="E1365" s="16">
        <v>25</v>
      </c>
    </row>
    <row r="1366" spans="1:5" x14ac:dyDescent="0.4">
      <c r="A1366" s="16" t="s">
        <v>29</v>
      </c>
      <c r="B1366" s="16" t="s">
        <v>51</v>
      </c>
      <c r="C1366" s="16" t="str">
        <f t="shared" si="21"/>
        <v>华东</v>
      </c>
      <c r="D1366" s="16" t="s">
        <v>1430</v>
      </c>
      <c r="E1366" s="16">
        <v>24</v>
      </c>
    </row>
    <row r="1367" spans="1:5" x14ac:dyDescent="0.4">
      <c r="A1367" s="16" t="s">
        <v>29</v>
      </c>
      <c r="B1367" s="16" t="s">
        <v>51</v>
      </c>
      <c r="C1367" s="16" t="str">
        <f t="shared" si="21"/>
        <v>华东</v>
      </c>
      <c r="D1367" s="16" t="s">
        <v>1431</v>
      </c>
      <c r="E1367" s="16">
        <v>18</v>
      </c>
    </row>
    <row r="1368" spans="1:5" x14ac:dyDescent="0.4">
      <c r="A1368" s="16" t="s">
        <v>29</v>
      </c>
      <c r="B1368" s="16" t="s">
        <v>51</v>
      </c>
      <c r="C1368" s="16" t="str">
        <f t="shared" si="21"/>
        <v>华东</v>
      </c>
      <c r="D1368" s="16" t="s">
        <v>1432</v>
      </c>
      <c r="E1368" s="16">
        <v>21</v>
      </c>
    </row>
    <row r="1369" spans="1:5" x14ac:dyDescent="0.4">
      <c r="A1369" s="16" t="s">
        <v>29</v>
      </c>
      <c r="B1369" s="16" t="s">
        <v>51</v>
      </c>
      <c r="C1369" s="16" t="str">
        <f t="shared" si="21"/>
        <v>华东</v>
      </c>
      <c r="D1369" s="16" t="s">
        <v>1433</v>
      </c>
      <c r="E1369" s="16">
        <v>22</v>
      </c>
    </row>
    <row r="1370" spans="1:5" x14ac:dyDescent="0.4">
      <c r="A1370" s="16" t="s">
        <v>29</v>
      </c>
      <c r="B1370" s="16" t="s">
        <v>51</v>
      </c>
      <c r="C1370" s="16" t="str">
        <f t="shared" si="21"/>
        <v>华东</v>
      </c>
      <c r="D1370" s="16" t="s">
        <v>1434</v>
      </c>
      <c r="E1370" s="16">
        <v>26</v>
      </c>
    </row>
    <row r="1371" spans="1:5" x14ac:dyDescent="0.4">
      <c r="A1371" s="16" t="s">
        <v>22</v>
      </c>
      <c r="B1371" s="16" t="s">
        <v>51</v>
      </c>
      <c r="C1371" s="16" t="str">
        <f t="shared" si="21"/>
        <v>华东</v>
      </c>
      <c r="D1371" s="16" t="s">
        <v>1435</v>
      </c>
      <c r="E1371" s="16">
        <v>22</v>
      </c>
    </row>
    <row r="1372" spans="1:5" x14ac:dyDescent="0.4">
      <c r="A1372" s="16" t="s">
        <v>29</v>
      </c>
      <c r="B1372" s="16" t="s">
        <v>51</v>
      </c>
      <c r="C1372" s="16" t="str">
        <f t="shared" si="21"/>
        <v>华东</v>
      </c>
      <c r="D1372" s="16" t="s">
        <v>1436</v>
      </c>
      <c r="E1372" s="16">
        <v>21</v>
      </c>
    </row>
    <row r="1373" spans="1:5" x14ac:dyDescent="0.4">
      <c r="A1373" s="16" t="s">
        <v>33</v>
      </c>
      <c r="B1373" s="16" t="s">
        <v>51</v>
      </c>
      <c r="C1373" s="16" t="str">
        <f t="shared" si="21"/>
        <v>华东</v>
      </c>
      <c r="D1373" s="16" t="s">
        <v>1437</v>
      </c>
      <c r="E1373" s="16">
        <v>29</v>
      </c>
    </row>
    <row r="1374" spans="1:5" x14ac:dyDescent="0.4">
      <c r="A1374" s="16" t="s">
        <v>22</v>
      </c>
      <c r="B1374" s="16" t="s">
        <v>51</v>
      </c>
      <c r="C1374" s="16" t="str">
        <f t="shared" si="21"/>
        <v>华东</v>
      </c>
      <c r="D1374" s="16" t="s">
        <v>1438</v>
      </c>
      <c r="E1374" s="16">
        <v>29</v>
      </c>
    </row>
    <row r="1375" spans="1:5" x14ac:dyDescent="0.4">
      <c r="A1375" s="16" t="s">
        <v>29</v>
      </c>
      <c r="B1375" s="16" t="s">
        <v>51</v>
      </c>
      <c r="C1375" s="16" t="str">
        <f t="shared" si="21"/>
        <v>华东</v>
      </c>
      <c r="D1375" s="16" t="s">
        <v>1439</v>
      </c>
      <c r="E1375" s="16">
        <v>28</v>
      </c>
    </row>
    <row r="1376" spans="1:5" x14ac:dyDescent="0.4">
      <c r="A1376" s="16" t="s">
        <v>22</v>
      </c>
      <c r="B1376" s="16" t="s">
        <v>63</v>
      </c>
      <c r="C1376" s="16" t="str">
        <f t="shared" si="21"/>
        <v>西南</v>
      </c>
      <c r="D1376" s="16" t="s">
        <v>1440</v>
      </c>
      <c r="E1376" s="16">
        <v>24</v>
      </c>
    </row>
    <row r="1377" spans="1:5" x14ac:dyDescent="0.4">
      <c r="A1377" s="16" t="s">
        <v>22</v>
      </c>
      <c r="B1377" s="16" t="s">
        <v>23</v>
      </c>
      <c r="C1377" s="16" t="str">
        <f t="shared" si="21"/>
        <v>西南</v>
      </c>
      <c r="D1377" s="16" t="s">
        <v>1441</v>
      </c>
      <c r="E1377" s="16">
        <v>20</v>
      </c>
    </row>
    <row r="1378" spans="1:5" x14ac:dyDescent="0.4">
      <c r="A1378" s="16" t="s">
        <v>33</v>
      </c>
      <c r="B1378" s="16" t="s">
        <v>67</v>
      </c>
      <c r="C1378" s="16" t="str">
        <f t="shared" si="21"/>
        <v>华中</v>
      </c>
      <c r="D1378" s="16" t="s">
        <v>1442</v>
      </c>
      <c r="E1378" s="16">
        <v>22</v>
      </c>
    </row>
    <row r="1379" spans="1:5" x14ac:dyDescent="0.4">
      <c r="A1379" s="16" t="s">
        <v>29</v>
      </c>
      <c r="B1379" s="16" t="s">
        <v>76</v>
      </c>
      <c r="C1379" s="16" t="str">
        <f t="shared" si="21"/>
        <v>西北</v>
      </c>
      <c r="D1379" s="16" t="s">
        <v>1443</v>
      </c>
      <c r="E1379" s="16">
        <v>25</v>
      </c>
    </row>
    <row r="1380" spans="1:5" x14ac:dyDescent="0.4">
      <c r="A1380" s="16" t="s">
        <v>29</v>
      </c>
      <c r="B1380" s="16" t="s">
        <v>40</v>
      </c>
      <c r="C1380" s="16" t="str">
        <f t="shared" si="21"/>
        <v>华北</v>
      </c>
      <c r="D1380" s="16" t="s">
        <v>1444</v>
      </c>
      <c r="E1380" s="16">
        <v>20</v>
      </c>
    </row>
    <row r="1381" spans="1:5" x14ac:dyDescent="0.4">
      <c r="A1381" s="16" t="s">
        <v>29</v>
      </c>
      <c r="B1381" s="16" t="s">
        <v>40</v>
      </c>
      <c r="C1381" s="16" t="str">
        <f t="shared" si="21"/>
        <v>华北</v>
      </c>
      <c r="D1381" s="16" t="s">
        <v>1445</v>
      </c>
      <c r="E1381" s="16">
        <v>14</v>
      </c>
    </row>
    <row r="1382" spans="1:5" x14ac:dyDescent="0.4">
      <c r="A1382" s="16" t="s">
        <v>33</v>
      </c>
      <c r="B1382" s="16" t="s">
        <v>34</v>
      </c>
      <c r="C1382" s="16" t="str">
        <f t="shared" si="21"/>
        <v>西北</v>
      </c>
      <c r="D1382" s="16" t="s">
        <v>1446</v>
      </c>
      <c r="E1382" s="16">
        <v>10</v>
      </c>
    </row>
    <row r="1383" spans="1:5" x14ac:dyDescent="0.4">
      <c r="A1383" s="16" t="s">
        <v>29</v>
      </c>
      <c r="B1383" s="16" t="s">
        <v>34</v>
      </c>
      <c r="C1383" s="16" t="str">
        <f t="shared" si="21"/>
        <v>西北</v>
      </c>
      <c r="D1383" s="16" t="s">
        <v>1447</v>
      </c>
      <c r="E1383" s="16">
        <v>23</v>
      </c>
    </row>
    <row r="1384" spans="1:5" x14ac:dyDescent="0.4">
      <c r="A1384" s="16" t="s">
        <v>29</v>
      </c>
      <c r="B1384" s="16" t="s">
        <v>34</v>
      </c>
      <c r="C1384" s="16" t="str">
        <f t="shared" si="21"/>
        <v>西北</v>
      </c>
      <c r="D1384" s="16" t="s">
        <v>1448</v>
      </c>
      <c r="E1384" s="16">
        <v>24</v>
      </c>
    </row>
    <row r="1385" spans="1:5" x14ac:dyDescent="0.4">
      <c r="A1385" s="16" t="s">
        <v>22</v>
      </c>
      <c r="B1385" s="16" t="s">
        <v>51</v>
      </c>
      <c r="C1385" s="16" t="str">
        <f t="shared" si="21"/>
        <v>华东</v>
      </c>
      <c r="D1385" s="16" t="s">
        <v>1449</v>
      </c>
      <c r="E1385" s="16">
        <v>15</v>
      </c>
    </row>
    <row r="1386" spans="1:5" x14ac:dyDescent="0.4">
      <c r="A1386" s="16" t="s">
        <v>22</v>
      </c>
      <c r="B1386" s="16" t="s">
        <v>51</v>
      </c>
      <c r="C1386" s="16" t="str">
        <f t="shared" si="21"/>
        <v>华东</v>
      </c>
      <c r="D1386" s="16" t="s">
        <v>1450</v>
      </c>
      <c r="E1386" s="16">
        <v>13</v>
      </c>
    </row>
    <row r="1387" spans="1:5" x14ac:dyDescent="0.4">
      <c r="A1387" s="16" t="s">
        <v>29</v>
      </c>
      <c r="B1387" s="16" t="s">
        <v>51</v>
      </c>
      <c r="C1387" s="16" t="str">
        <f t="shared" si="21"/>
        <v>华东</v>
      </c>
      <c r="D1387" s="16" t="s">
        <v>1451</v>
      </c>
      <c r="E1387" s="16">
        <v>17</v>
      </c>
    </row>
    <row r="1388" spans="1:5" x14ac:dyDescent="0.4">
      <c r="A1388" s="16" t="s">
        <v>22</v>
      </c>
      <c r="B1388" s="16" t="s">
        <v>51</v>
      </c>
      <c r="C1388" s="16" t="str">
        <f t="shared" si="21"/>
        <v>华东</v>
      </c>
      <c r="D1388" s="16" t="s">
        <v>1452</v>
      </c>
      <c r="E1388" s="16">
        <v>25</v>
      </c>
    </row>
    <row r="1389" spans="1:5" x14ac:dyDescent="0.4">
      <c r="A1389" s="16" t="s">
        <v>29</v>
      </c>
      <c r="B1389" s="16" t="s">
        <v>38</v>
      </c>
      <c r="C1389" s="16" t="str">
        <f t="shared" si="21"/>
        <v>西北</v>
      </c>
      <c r="D1389" s="16" t="s">
        <v>1453</v>
      </c>
      <c r="E1389" s="16">
        <v>27</v>
      </c>
    </row>
    <row r="1390" spans="1:5" x14ac:dyDescent="0.4">
      <c r="A1390" s="16" t="s">
        <v>22</v>
      </c>
      <c r="B1390" s="16" t="s">
        <v>57</v>
      </c>
      <c r="C1390" s="16" t="str">
        <f t="shared" si="21"/>
        <v>华东</v>
      </c>
      <c r="D1390" s="16" t="s">
        <v>1454</v>
      </c>
      <c r="E1390" s="16">
        <v>20</v>
      </c>
    </row>
    <row r="1391" spans="1:5" x14ac:dyDescent="0.4">
      <c r="A1391" s="16" t="s">
        <v>22</v>
      </c>
      <c r="B1391" s="16" t="s">
        <v>57</v>
      </c>
      <c r="C1391" s="16" t="str">
        <f t="shared" si="21"/>
        <v>华东</v>
      </c>
      <c r="D1391" s="16" t="s">
        <v>1455</v>
      </c>
      <c r="E1391" s="16">
        <v>17</v>
      </c>
    </row>
    <row r="1392" spans="1:5" x14ac:dyDescent="0.4">
      <c r="A1392" s="16" t="s">
        <v>29</v>
      </c>
      <c r="B1392" s="16" t="s">
        <v>57</v>
      </c>
      <c r="C1392" s="16" t="str">
        <f t="shared" si="21"/>
        <v>华东</v>
      </c>
      <c r="D1392" s="16" t="s">
        <v>1456</v>
      </c>
      <c r="E1392" s="16">
        <v>23</v>
      </c>
    </row>
    <row r="1393" spans="1:5" x14ac:dyDescent="0.4">
      <c r="A1393" s="16" t="s">
        <v>22</v>
      </c>
      <c r="B1393" s="16" t="s">
        <v>57</v>
      </c>
      <c r="C1393" s="16" t="str">
        <f t="shared" si="21"/>
        <v>华东</v>
      </c>
      <c r="D1393" s="16" t="s">
        <v>1457</v>
      </c>
      <c r="E1393" s="16">
        <v>26</v>
      </c>
    </row>
    <row r="1394" spans="1:5" x14ac:dyDescent="0.4">
      <c r="A1394" s="16" t="s">
        <v>33</v>
      </c>
      <c r="B1394" s="16" t="s">
        <v>57</v>
      </c>
      <c r="C1394" s="16" t="str">
        <f t="shared" si="21"/>
        <v>华东</v>
      </c>
      <c r="D1394" s="16" t="s">
        <v>1458</v>
      </c>
      <c r="E1394" s="16">
        <v>19</v>
      </c>
    </row>
    <row r="1395" spans="1:5" x14ac:dyDescent="0.4">
      <c r="A1395" s="16" t="s">
        <v>29</v>
      </c>
      <c r="B1395" s="16" t="s">
        <v>57</v>
      </c>
      <c r="C1395" s="16" t="str">
        <f t="shared" si="21"/>
        <v>华东</v>
      </c>
      <c r="D1395" s="16" t="s">
        <v>1459</v>
      </c>
      <c r="E1395" s="16">
        <v>24</v>
      </c>
    </row>
    <row r="1396" spans="1:5" x14ac:dyDescent="0.4">
      <c r="A1396" s="16" t="s">
        <v>22</v>
      </c>
      <c r="B1396" s="16" t="s">
        <v>57</v>
      </c>
      <c r="C1396" s="16" t="str">
        <f t="shared" si="21"/>
        <v>华东</v>
      </c>
      <c r="D1396" s="16" t="s">
        <v>1460</v>
      </c>
      <c r="E1396" s="16">
        <v>15</v>
      </c>
    </row>
    <row r="1397" spans="1:5" x14ac:dyDescent="0.4">
      <c r="A1397" s="16" t="s">
        <v>29</v>
      </c>
      <c r="B1397" s="16" t="s">
        <v>57</v>
      </c>
      <c r="C1397" s="16" t="str">
        <f t="shared" si="21"/>
        <v>华东</v>
      </c>
      <c r="D1397" s="16" t="s">
        <v>1461</v>
      </c>
      <c r="E1397" s="16">
        <v>29</v>
      </c>
    </row>
    <row r="1398" spans="1:5" x14ac:dyDescent="0.4">
      <c r="A1398" s="16" t="s">
        <v>29</v>
      </c>
      <c r="B1398" s="16" t="s">
        <v>57</v>
      </c>
      <c r="C1398" s="16" t="str">
        <f t="shared" si="21"/>
        <v>华东</v>
      </c>
      <c r="D1398" s="16" t="s">
        <v>1462</v>
      </c>
      <c r="E1398" s="16">
        <v>22</v>
      </c>
    </row>
    <row r="1399" spans="1:5" x14ac:dyDescent="0.4">
      <c r="A1399" s="16" t="s">
        <v>22</v>
      </c>
      <c r="B1399" s="16" t="s">
        <v>57</v>
      </c>
      <c r="C1399" s="16" t="str">
        <f t="shared" si="21"/>
        <v>华东</v>
      </c>
      <c r="D1399" s="16" t="s">
        <v>1463</v>
      </c>
      <c r="E1399" s="16">
        <v>22</v>
      </c>
    </row>
    <row r="1400" spans="1:5" x14ac:dyDescent="0.4">
      <c r="A1400" s="16" t="s">
        <v>29</v>
      </c>
      <c r="B1400" s="16" t="s">
        <v>57</v>
      </c>
      <c r="C1400" s="16" t="str">
        <f t="shared" si="21"/>
        <v>华东</v>
      </c>
      <c r="D1400" s="16" t="s">
        <v>1464</v>
      </c>
      <c r="E1400" s="16">
        <v>28</v>
      </c>
    </row>
    <row r="1401" spans="1:5" x14ac:dyDescent="0.4">
      <c r="A1401" s="16" t="s">
        <v>22</v>
      </c>
      <c r="B1401" s="16" t="s">
        <v>57</v>
      </c>
      <c r="C1401" s="16" t="str">
        <f t="shared" si="21"/>
        <v>华东</v>
      </c>
      <c r="D1401" s="16" t="s">
        <v>1465</v>
      </c>
      <c r="E1401" s="16">
        <v>11</v>
      </c>
    </row>
    <row r="1402" spans="1:5" x14ac:dyDescent="0.4">
      <c r="A1402" s="16" t="s">
        <v>29</v>
      </c>
      <c r="B1402" s="16" t="s">
        <v>57</v>
      </c>
      <c r="C1402" s="16" t="str">
        <f t="shared" si="21"/>
        <v>华东</v>
      </c>
      <c r="D1402" s="16" t="s">
        <v>1466</v>
      </c>
      <c r="E1402" s="16">
        <v>16</v>
      </c>
    </row>
    <row r="1403" spans="1:5" x14ac:dyDescent="0.4">
      <c r="A1403" s="16" t="s">
        <v>29</v>
      </c>
      <c r="B1403" s="16" t="s">
        <v>57</v>
      </c>
      <c r="C1403" s="16" t="str">
        <f t="shared" si="21"/>
        <v>华东</v>
      </c>
      <c r="D1403" s="16" t="s">
        <v>1467</v>
      </c>
      <c r="E1403" s="16">
        <v>20</v>
      </c>
    </row>
    <row r="1404" spans="1:5" x14ac:dyDescent="0.4">
      <c r="A1404" s="16" t="s">
        <v>22</v>
      </c>
      <c r="B1404" s="16" t="s">
        <v>44</v>
      </c>
      <c r="C1404" s="16" t="str">
        <f t="shared" si="21"/>
        <v>华北</v>
      </c>
      <c r="D1404" s="16" t="s">
        <v>1468</v>
      </c>
      <c r="E1404" s="16">
        <v>27</v>
      </c>
    </row>
    <row r="1405" spans="1:5" x14ac:dyDescent="0.4">
      <c r="A1405" s="16" t="s">
        <v>22</v>
      </c>
      <c r="B1405" s="16" t="s">
        <v>44</v>
      </c>
      <c r="C1405" s="16" t="str">
        <f t="shared" si="21"/>
        <v>华北</v>
      </c>
      <c r="D1405" s="16" t="s">
        <v>1469</v>
      </c>
      <c r="E1405" s="16">
        <v>28</v>
      </c>
    </row>
    <row r="1406" spans="1:5" x14ac:dyDescent="0.4">
      <c r="A1406" s="16" t="s">
        <v>22</v>
      </c>
      <c r="B1406" s="16" t="s">
        <v>44</v>
      </c>
      <c r="C1406" s="16" t="str">
        <f t="shared" si="21"/>
        <v>华北</v>
      </c>
      <c r="D1406" s="16" t="s">
        <v>1470</v>
      </c>
      <c r="E1406" s="16">
        <v>20</v>
      </c>
    </row>
    <row r="1407" spans="1:5" x14ac:dyDescent="0.4">
      <c r="A1407" s="16" t="s">
        <v>22</v>
      </c>
      <c r="B1407" s="16" t="s">
        <v>44</v>
      </c>
      <c r="C1407" s="16" t="str">
        <f t="shared" si="21"/>
        <v>华北</v>
      </c>
      <c r="D1407" s="16" t="s">
        <v>1471</v>
      </c>
      <c r="E1407" s="16">
        <v>15</v>
      </c>
    </row>
    <row r="1408" spans="1:5" x14ac:dyDescent="0.4">
      <c r="A1408" s="16" t="s">
        <v>29</v>
      </c>
      <c r="B1408" s="16" t="s">
        <v>44</v>
      </c>
      <c r="C1408" s="16" t="str">
        <f t="shared" si="21"/>
        <v>华北</v>
      </c>
      <c r="D1408" s="16" t="s">
        <v>1472</v>
      </c>
      <c r="E1408" s="16">
        <v>18</v>
      </c>
    </row>
    <row r="1409" spans="1:5" x14ac:dyDescent="0.4">
      <c r="A1409" s="16" t="s">
        <v>22</v>
      </c>
      <c r="B1409" s="16" t="s">
        <v>30</v>
      </c>
      <c r="C1409" s="16" t="str">
        <f t="shared" si="21"/>
        <v>华北</v>
      </c>
      <c r="D1409" s="16" t="s">
        <v>1473</v>
      </c>
      <c r="E1409" s="16">
        <v>22</v>
      </c>
    </row>
    <row r="1410" spans="1:5" x14ac:dyDescent="0.4">
      <c r="A1410" s="16" t="s">
        <v>22</v>
      </c>
      <c r="B1410" s="16" t="s">
        <v>76</v>
      </c>
      <c r="C1410" s="16" t="str">
        <f t="shared" si="21"/>
        <v>西北</v>
      </c>
      <c r="D1410" s="16" t="s">
        <v>1474</v>
      </c>
      <c r="E1410" s="16">
        <v>11</v>
      </c>
    </row>
    <row r="1411" spans="1:5" x14ac:dyDescent="0.4">
      <c r="A1411" s="16" t="s">
        <v>22</v>
      </c>
      <c r="B1411" s="16" t="s">
        <v>76</v>
      </c>
      <c r="C1411" s="16" t="str">
        <f t="shared" ref="C1411:C1474" si="22">_xlfn.XLOOKUP(B1411,$I$2:$I$32,$J$2:$J$32)</f>
        <v>西北</v>
      </c>
      <c r="D1411" s="16" t="s">
        <v>1475</v>
      </c>
      <c r="E1411" s="16">
        <v>16</v>
      </c>
    </row>
    <row r="1412" spans="1:5" x14ac:dyDescent="0.4">
      <c r="A1412" s="16" t="s">
        <v>29</v>
      </c>
      <c r="B1412" s="16" t="s">
        <v>73</v>
      </c>
      <c r="C1412" s="16" t="str">
        <f t="shared" si="22"/>
        <v>华中</v>
      </c>
      <c r="D1412" s="16" t="s">
        <v>1476</v>
      </c>
      <c r="E1412" s="16">
        <v>12</v>
      </c>
    </row>
    <row r="1413" spans="1:5" x14ac:dyDescent="0.4">
      <c r="A1413" s="16" t="s">
        <v>22</v>
      </c>
      <c r="B1413" s="16" t="s">
        <v>65</v>
      </c>
      <c r="C1413" s="16" t="str">
        <f t="shared" si="22"/>
        <v>华南</v>
      </c>
      <c r="D1413" s="16" t="s">
        <v>1477</v>
      </c>
      <c r="E1413" s="16">
        <v>17</v>
      </c>
    </row>
    <row r="1414" spans="1:5" x14ac:dyDescent="0.4">
      <c r="A1414" s="16" t="s">
        <v>33</v>
      </c>
      <c r="B1414" s="16" t="s">
        <v>34</v>
      </c>
      <c r="C1414" s="16" t="str">
        <f t="shared" si="22"/>
        <v>西北</v>
      </c>
      <c r="D1414" s="16" t="s">
        <v>1478</v>
      </c>
      <c r="E1414" s="16">
        <v>15</v>
      </c>
    </row>
    <row r="1415" spans="1:5" x14ac:dyDescent="0.4">
      <c r="A1415" s="16" t="s">
        <v>29</v>
      </c>
      <c r="B1415" s="16" t="s">
        <v>73</v>
      </c>
      <c r="C1415" s="16" t="str">
        <f t="shared" si="22"/>
        <v>华中</v>
      </c>
      <c r="D1415" s="16" t="s">
        <v>1479</v>
      </c>
      <c r="E1415" s="16">
        <v>23</v>
      </c>
    </row>
    <row r="1416" spans="1:5" x14ac:dyDescent="0.4">
      <c r="A1416" s="16" t="s">
        <v>29</v>
      </c>
      <c r="B1416" s="16" t="s">
        <v>30</v>
      </c>
      <c r="C1416" s="16" t="str">
        <f t="shared" si="22"/>
        <v>华北</v>
      </c>
      <c r="D1416" s="16" t="s">
        <v>1480</v>
      </c>
      <c r="E1416" s="16">
        <v>26</v>
      </c>
    </row>
    <row r="1417" spans="1:5" x14ac:dyDescent="0.4">
      <c r="A1417" s="16" t="s">
        <v>22</v>
      </c>
      <c r="B1417" s="16" t="s">
        <v>57</v>
      </c>
      <c r="C1417" s="16" t="str">
        <f t="shared" si="22"/>
        <v>华东</v>
      </c>
      <c r="D1417" s="16" t="s">
        <v>1481</v>
      </c>
      <c r="E1417" s="16">
        <v>28</v>
      </c>
    </row>
    <row r="1418" spans="1:5" x14ac:dyDescent="0.4">
      <c r="A1418" s="16" t="s">
        <v>33</v>
      </c>
      <c r="B1418" s="16" t="s">
        <v>76</v>
      </c>
      <c r="C1418" s="16" t="str">
        <f t="shared" si="22"/>
        <v>西北</v>
      </c>
      <c r="D1418" s="16" t="s">
        <v>1482</v>
      </c>
      <c r="E1418" s="16">
        <v>17</v>
      </c>
    </row>
    <row r="1419" spans="1:5" x14ac:dyDescent="0.4">
      <c r="A1419" s="16" t="s">
        <v>29</v>
      </c>
      <c r="B1419" s="16" t="s">
        <v>73</v>
      </c>
      <c r="C1419" s="16" t="str">
        <f t="shared" si="22"/>
        <v>华中</v>
      </c>
      <c r="D1419" s="16" t="s">
        <v>1483</v>
      </c>
      <c r="E1419" s="16">
        <v>13</v>
      </c>
    </row>
    <row r="1420" spans="1:5" x14ac:dyDescent="0.4">
      <c r="A1420" s="16" t="s">
        <v>29</v>
      </c>
      <c r="B1420" s="16" t="s">
        <v>73</v>
      </c>
      <c r="C1420" s="16" t="str">
        <f t="shared" si="22"/>
        <v>华中</v>
      </c>
      <c r="D1420" s="16" t="s">
        <v>1484</v>
      </c>
      <c r="E1420" s="16">
        <v>15</v>
      </c>
    </row>
    <row r="1421" spans="1:5" x14ac:dyDescent="0.4">
      <c r="A1421" s="16" t="s">
        <v>29</v>
      </c>
      <c r="B1421" s="16" t="s">
        <v>73</v>
      </c>
      <c r="C1421" s="16" t="str">
        <f t="shared" si="22"/>
        <v>华中</v>
      </c>
      <c r="D1421" s="16" t="s">
        <v>1485</v>
      </c>
      <c r="E1421" s="16">
        <v>18</v>
      </c>
    </row>
    <row r="1422" spans="1:5" x14ac:dyDescent="0.4">
      <c r="A1422" s="16" t="s">
        <v>22</v>
      </c>
      <c r="B1422" s="16" t="s">
        <v>55</v>
      </c>
      <c r="C1422" s="16" t="str">
        <f t="shared" si="22"/>
        <v>华东</v>
      </c>
      <c r="D1422" s="16" t="s">
        <v>1486</v>
      </c>
      <c r="E1422" s="16">
        <v>18</v>
      </c>
    </row>
    <row r="1423" spans="1:5" x14ac:dyDescent="0.4">
      <c r="A1423" s="16" t="s">
        <v>22</v>
      </c>
      <c r="B1423" s="16" t="s">
        <v>60</v>
      </c>
      <c r="C1423" s="16" t="str">
        <f t="shared" si="22"/>
        <v>华东</v>
      </c>
      <c r="D1423" s="16" t="s">
        <v>1487</v>
      </c>
      <c r="E1423" s="16">
        <v>15</v>
      </c>
    </row>
    <row r="1424" spans="1:5" x14ac:dyDescent="0.4">
      <c r="A1424" s="16" t="s">
        <v>22</v>
      </c>
      <c r="B1424" s="16" t="s">
        <v>60</v>
      </c>
      <c r="C1424" s="16" t="str">
        <f t="shared" si="22"/>
        <v>华东</v>
      </c>
      <c r="D1424" s="16" t="s">
        <v>1488</v>
      </c>
      <c r="E1424" s="16">
        <v>17</v>
      </c>
    </row>
    <row r="1425" spans="1:5" x14ac:dyDescent="0.4">
      <c r="A1425" s="16" t="s">
        <v>29</v>
      </c>
      <c r="B1425" s="16" t="s">
        <v>60</v>
      </c>
      <c r="C1425" s="16" t="str">
        <f t="shared" si="22"/>
        <v>华东</v>
      </c>
      <c r="D1425" s="16" t="s">
        <v>1489</v>
      </c>
      <c r="E1425" s="16">
        <v>17</v>
      </c>
    </row>
    <row r="1426" spans="1:5" x14ac:dyDescent="0.4">
      <c r="A1426" s="16" t="s">
        <v>33</v>
      </c>
      <c r="B1426" s="16" t="s">
        <v>60</v>
      </c>
      <c r="C1426" s="16" t="str">
        <f t="shared" si="22"/>
        <v>华东</v>
      </c>
      <c r="D1426" s="16" t="s">
        <v>1490</v>
      </c>
      <c r="E1426" s="16">
        <v>15</v>
      </c>
    </row>
    <row r="1427" spans="1:5" x14ac:dyDescent="0.4">
      <c r="A1427" s="16" t="s">
        <v>29</v>
      </c>
      <c r="B1427" s="16" t="s">
        <v>60</v>
      </c>
      <c r="C1427" s="16" t="str">
        <f t="shared" si="22"/>
        <v>华东</v>
      </c>
      <c r="D1427" s="16" t="s">
        <v>1491</v>
      </c>
      <c r="E1427" s="16">
        <v>15</v>
      </c>
    </row>
    <row r="1428" spans="1:5" x14ac:dyDescent="0.4">
      <c r="A1428" s="16" t="s">
        <v>22</v>
      </c>
      <c r="B1428" s="16" t="s">
        <v>55</v>
      </c>
      <c r="C1428" s="16" t="str">
        <f t="shared" si="22"/>
        <v>华东</v>
      </c>
      <c r="D1428" s="16" t="s">
        <v>1492</v>
      </c>
      <c r="E1428" s="16">
        <v>23</v>
      </c>
    </row>
    <row r="1429" spans="1:5" x14ac:dyDescent="0.4">
      <c r="A1429" s="16" t="s">
        <v>33</v>
      </c>
      <c r="B1429" s="16" t="s">
        <v>69</v>
      </c>
      <c r="C1429" s="16" t="str">
        <f t="shared" si="22"/>
        <v>华南</v>
      </c>
      <c r="D1429" s="16" t="s">
        <v>1493</v>
      </c>
      <c r="E1429" s="16">
        <v>29</v>
      </c>
    </row>
    <row r="1430" spans="1:5" x14ac:dyDescent="0.4">
      <c r="A1430" s="16" t="s">
        <v>22</v>
      </c>
      <c r="B1430" s="16" t="s">
        <v>69</v>
      </c>
      <c r="C1430" s="16" t="str">
        <f t="shared" si="22"/>
        <v>华南</v>
      </c>
      <c r="D1430" s="16" t="s">
        <v>1494</v>
      </c>
      <c r="E1430" s="16">
        <v>16</v>
      </c>
    </row>
    <row r="1431" spans="1:5" x14ac:dyDescent="0.4">
      <c r="A1431" s="16" t="s">
        <v>22</v>
      </c>
      <c r="B1431" s="16" t="s">
        <v>55</v>
      </c>
      <c r="C1431" s="16" t="str">
        <f t="shared" si="22"/>
        <v>华东</v>
      </c>
      <c r="D1431" s="16" t="s">
        <v>1495</v>
      </c>
      <c r="E1431" s="16">
        <v>24</v>
      </c>
    </row>
    <row r="1432" spans="1:5" x14ac:dyDescent="0.4">
      <c r="A1432" s="16" t="s">
        <v>22</v>
      </c>
      <c r="B1432" s="16" t="s">
        <v>55</v>
      </c>
      <c r="C1432" s="16" t="str">
        <f t="shared" si="22"/>
        <v>华东</v>
      </c>
      <c r="D1432" s="16" t="s">
        <v>1496</v>
      </c>
      <c r="E1432" s="16">
        <v>16</v>
      </c>
    </row>
    <row r="1433" spans="1:5" x14ac:dyDescent="0.4">
      <c r="A1433" s="16" t="s">
        <v>29</v>
      </c>
      <c r="B1433" s="16" t="s">
        <v>69</v>
      </c>
      <c r="C1433" s="16" t="str">
        <f t="shared" si="22"/>
        <v>华南</v>
      </c>
      <c r="D1433" s="16" t="s">
        <v>1497</v>
      </c>
      <c r="E1433" s="16">
        <v>16</v>
      </c>
    </row>
    <row r="1434" spans="1:5" x14ac:dyDescent="0.4">
      <c r="A1434" s="16" t="s">
        <v>22</v>
      </c>
      <c r="B1434" s="16" t="s">
        <v>55</v>
      </c>
      <c r="C1434" s="16" t="str">
        <f t="shared" si="22"/>
        <v>华东</v>
      </c>
      <c r="D1434" s="16" t="s">
        <v>1498</v>
      </c>
      <c r="E1434" s="16">
        <v>23</v>
      </c>
    </row>
    <row r="1435" spans="1:5" x14ac:dyDescent="0.4">
      <c r="A1435" s="16" t="s">
        <v>22</v>
      </c>
      <c r="B1435" s="16" t="s">
        <v>61</v>
      </c>
      <c r="C1435" s="16" t="str">
        <f t="shared" si="22"/>
        <v>华东</v>
      </c>
      <c r="D1435" s="16" t="s">
        <v>1499</v>
      </c>
      <c r="E1435" s="16">
        <v>19</v>
      </c>
    </row>
    <row r="1436" spans="1:5" x14ac:dyDescent="0.4">
      <c r="A1436" s="16" t="s">
        <v>22</v>
      </c>
      <c r="B1436" s="16" t="s">
        <v>61</v>
      </c>
      <c r="C1436" s="16" t="str">
        <f t="shared" si="22"/>
        <v>华东</v>
      </c>
      <c r="D1436" s="16" t="s">
        <v>1500</v>
      </c>
      <c r="E1436" s="16">
        <v>17</v>
      </c>
    </row>
    <row r="1437" spans="1:5" x14ac:dyDescent="0.4">
      <c r="A1437" s="16" t="s">
        <v>33</v>
      </c>
      <c r="B1437" s="16" t="s">
        <v>25</v>
      </c>
      <c r="C1437" s="16" t="str">
        <f t="shared" si="22"/>
        <v>东北</v>
      </c>
      <c r="D1437" s="16" t="s">
        <v>1501</v>
      </c>
      <c r="E1437" s="16">
        <v>29</v>
      </c>
    </row>
    <row r="1438" spans="1:5" x14ac:dyDescent="0.4">
      <c r="A1438" s="16" t="s">
        <v>29</v>
      </c>
      <c r="B1438" s="16" t="s">
        <v>58</v>
      </c>
      <c r="C1438" s="16" t="str">
        <f t="shared" si="22"/>
        <v>华中</v>
      </c>
      <c r="D1438" s="16" t="s">
        <v>1502</v>
      </c>
      <c r="E1438" s="16">
        <v>11</v>
      </c>
    </row>
    <row r="1439" spans="1:5" x14ac:dyDescent="0.4">
      <c r="A1439" s="16" t="s">
        <v>33</v>
      </c>
      <c r="B1439" s="16" t="s">
        <v>58</v>
      </c>
      <c r="C1439" s="16" t="str">
        <f t="shared" si="22"/>
        <v>华中</v>
      </c>
      <c r="D1439" s="16" t="s">
        <v>1503</v>
      </c>
      <c r="E1439" s="16">
        <v>23</v>
      </c>
    </row>
    <row r="1440" spans="1:5" x14ac:dyDescent="0.4">
      <c r="A1440" s="16" t="s">
        <v>33</v>
      </c>
      <c r="B1440" s="16" t="s">
        <v>58</v>
      </c>
      <c r="C1440" s="16" t="str">
        <f t="shared" si="22"/>
        <v>华中</v>
      </c>
      <c r="D1440" s="16" t="s">
        <v>1504</v>
      </c>
      <c r="E1440" s="16">
        <v>12</v>
      </c>
    </row>
    <row r="1441" spans="1:5" x14ac:dyDescent="0.4">
      <c r="A1441" s="16" t="s">
        <v>33</v>
      </c>
      <c r="B1441" s="16" t="s">
        <v>58</v>
      </c>
      <c r="C1441" s="16" t="str">
        <f t="shared" si="22"/>
        <v>华中</v>
      </c>
      <c r="D1441" s="16" t="s">
        <v>1505</v>
      </c>
      <c r="E1441" s="16">
        <v>21</v>
      </c>
    </row>
    <row r="1442" spans="1:5" x14ac:dyDescent="0.4">
      <c r="A1442" s="16" t="s">
        <v>29</v>
      </c>
      <c r="B1442" s="16" t="s">
        <v>61</v>
      </c>
      <c r="C1442" s="16" t="str">
        <f t="shared" si="22"/>
        <v>华东</v>
      </c>
      <c r="D1442" s="16" t="s">
        <v>1506</v>
      </c>
      <c r="E1442" s="16">
        <v>13</v>
      </c>
    </row>
    <row r="1443" spans="1:5" x14ac:dyDescent="0.4">
      <c r="A1443" s="16" t="s">
        <v>22</v>
      </c>
      <c r="B1443" s="16" t="s">
        <v>61</v>
      </c>
      <c r="C1443" s="16" t="str">
        <f t="shared" si="22"/>
        <v>华东</v>
      </c>
      <c r="D1443" s="16" t="s">
        <v>1507</v>
      </c>
      <c r="E1443" s="16">
        <v>23</v>
      </c>
    </row>
    <row r="1444" spans="1:5" x14ac:dyDescent="0.4">
      <c r="A1444" s="16" t="s">
        <v>29</v>
      </c>
      <c r="B1444" s="16" t="s">
        <v>73</v>
      </c>
      <c r="C1444" s="16" t="str">
        <f t="shared" si="22"/>
        <v>华中</v>
      </c>
      <c r="D1444" s="16" t="s">
        <v>1508</v>
      </c>
      <c r="E1444" s="16">
        <v>16</v>
      </c>
    </row>
    <row r="1445" spans="1:5" x14ac:dyDescent="0.4">
      <c r="A1445" s="16" t="s">
        <v>22</v>
      </c>
      <c r="B1445" s="16" t="s">
        <v>23</v>
      </c>
      <c r="C1445" s="16" t="str">
        <f t="shared" si="22"/>
        <v>西南</v>
      </c>
      <c r="D1445" s="16" t="s">
        <v>1509</v>
      </c>
      <c r="E1445" s="16">
        <v>22</v>
      </c>
    </row>
    <row r="1446" spans="1:5" x14ac:dyDescent="0.4">
      <c r="A1446" s="16" t="s">
        <v>22</v>
      </c>
      <c r="B1446" s="16" t="s">
        <v>48</v>
      </c>
      <c r="C1446" s="16" t="str">
        <f t="shared" si="22"/>
        <v>华东</v>
      </c>
      <c r="D1446" s="16" t="s">
        <v>1510</v>
      </c>
      <c r="E1446" s="16">
        <v>17</v>
      </c>
    </row>
    <row r="1447" spans="1:5" x14ac:dyDescent="0.4">
      <c r="A1447" s="16" t="s">
        <v>22</v>
      </c>
      <c r="B1447" s="16" t="s">
        <v>57</v>
      </c>
      <c r="C1447" s="16" t="str">
        <f t="shared" si="22"/>
        <v>华东</v>
      </c>
      <c r="D1447" s="16" t="s">
        <v>1511</v>
      </c>
      <c r="E1447" s="16">
        <v>29</v>
      </c>
    </row>
    <row r="1448" spans="1:5" x14ac:dyDescent="0.4">
      <c r="A1448" s="16" t="s">
        <v>22</v>
      </c>
      <c r="B1448" s="16" t="s">
        <v>645</v>
      </c>
      <c r="C1448" s="16" t="e">
        <f t="shared" si="22"/>
        <v>#N/A</v>
      </c>
      <c r="D1448" s="16" t="s">
        <v>1512</v>
      </c>
      <c r="E1448" s="16">
        <v>25</v>
      </c>
    </row>
    <row r="1449" spans="1:5" x14ac:dyDescent="0.4">
      <c r="A1449" s="16" t="s">
        <v>22</v>
      </c>
      <c r="B1449" s="16" t="s">
        <v>645</v>
      </c>
      <c r="C1449" s="16" t="e">
        <f t="shared" si="22"/>
        <v>#N/A</v>
      </c>
      <c r="D1449" s="16" t="s">
        <v>1513</v>
      </c>
      <c r="E1449" s="16">
        <v>27</v>
      </c>
    </row>
    <row r="1450" spans="1:5" x14ac:dyDescent="0.4">
      <c r="A1450" s="16" t="s">
        <v>22</v>
      </c>
      <c r="B1450" s="16" t="s">
        <v>645</v>
      </c>
      <c r="C1450" s="16" t="e">
        <f t="shared" si="22"/>
        <v>#N/A</v>
      </c>
      <c r="D1450" s="16" t="s">
        <v>1514</v>
      </c>
      <c r="E1450" s="16">
        <v>24</v>
      </c>
    </row>
    <row r="1451" spans="1:5" x14ac:dyDescent="0.4">
      <c r="A1451" s="16" t="s">
        <v>29</v>
      </c>
      <c r="B1451" s="16" t="s">
        <v>40</v>
      </c>
      <c r="C1451" s="16" t="str">
        <f t="shared" si="22"/>
        <v>华北</v>
      </c>
      <c r="D1451" s="16" t="s">
        <v>1515</v>
      </c>
      <c r="E1451" s="16">
        <v>15</v>
      </c>
    </row>
    <row r="1452" spans="1:5" x14ac:dyDescent="0.4">
      <c r="A1452" s="16" t="s">
        <v>22</v>
      </c>
      <c r="B1452" s="16" t="s">
        <v>23</v>
      </c>
      <c r="C1452" s="16" t="str">
        <f t="shared" si="22"/>
        <v>西南</v>
      </c>
      <c r="D1452" s="16" t="s">
        <v>1516</v>
      </c>
      <c r="E1452" s="16">
        <v>22</v>
      </c>
    </row>
    <row r="1453" spans="1:5" x14ac:dyDescent="0.4">
      <c r="A1453" s="16" t="s">
        <v>29</v>
      </c>
      <c r="B1453" s="16" t="s">
        <v>23</v>
      </c>
      <c r="C1453" s="16" t="str">
        <f t="shared" si="22"/>
        <v>西南</v>
      </c>
      <c r="D1453" s="16" t="s">
        <v>1517</v>
      </c>
      <c r="E1453" s="16">
        <v>11</v>
      </c>
    </row>
    <row r="1454" spans="1:5" x14ac:dyDescent="0.4">
      <c r="A1454" s="16" t="s">
        <v>22</v>
      </c>
      <c r="B1454" s="16" t="s">
        <v>44</v>
      </c>
      <c r="C1454" s="16" t="str">
        <f t="shared" si="22"/>
        <v>华北</v>
      </c>
      <c r="D1454" s="16" t="s">
        <v>1518</v>
      </c>
      <c r="E1454" s="16">
        <v>16</v>
      </c>
    </row>
    <row r="1455" spans="1:5" x14ac:dyDescent="0.4">
      <c r="A1455" s="16" t="s">
        <v>33</v>
      </c>
      <c r="B1455" s="16" t="s">
        <v>76</v>
      </c>
      <c r="C1455" s="16" t="str">
        <f t="shared" si="22"/>
        <v>西北</v>
      </c>
      <c r="D1455" s="16" t="s">
        <v>1519</v>
      </c>
      <c r="E1455" s="16">
        <v>23</v>
      </c>
    </row>
    <row r="1456" spans="1:5" x14ac:dyDescent="0.4">
      <c r="A1456" s="16" t="s">
        <v>29</v>
      </c>
      <c r="B1456" s="16" t="s">
        <v>32</v>
      </c>
      <c r="C1456" s="16" t="str">
        <f t="shared" si="22"/>
        <v>东北</v>
      </c>
      <c r="D1456" s="16" t="s">
        <v>1520</v>
      </c>
      <c r="E1456" s="16">
        <v>19</v>
      </c>
    </row>
    <row r="1457" spans="1:5" x14ac:dyDescent="0.4">
      <c r="A1457" s="16" t="s">
        <v>29</v>
      </c>
      <c r="B1457" s="16" t="s">
        <v>73</v>
      </c>
      <c r="C1457" s="16" t="str">
        <f t="shared" si="22"/>
        <v>华中</v>
      </c>
      <c r="D1457" s="16" t="s">
        <v>1521</v>
      </c>
      <c r="E1457" s="16">
        <v>10</v>
      </c>
    </row>
    <row r="1458" spans="1:5" x14ac:dyDescent="0.4">
      <c r="A1458" s="16" t="s">
        <v>22</v>
      </c>
      <c r="B1458" s="16" t="s">
        <v>32</v>
      </c>
      <c r="C1458" s="16" t="str">
        <f t="shared" si="22"/>
        <v>东北</v>
      </c>
      <c r="D1458" s="16" t="s">
        <v>1522</v>
      </c>
      <c r="E1458" s="16">
        <v>15</v>
      </c>
    </row>
    <row r="1459" spans="1:5" x14ac:dyDescent="0.4">
      <c r="A1459" s="16" t="s">
        <v>22</v>
      </c>
      <c r="B1459" s="16" t="s">
        <v>32</v>
      </c>
      <c r="C1459" s="16" t="str">
        <f t="shared" si="22"/>
        <v>东北</v>
      </c>
      <c r="D1459" s="16" t="s">
        <v>1523</v>
      </c>
      <c r="E1459" s="16">
        <v>21</v>
      </c>
    </row>
    <row r="1460" spans="1:5" x14ac:dyDescent="0.4">
      <c r="A1460" s="16" t="s">
        <v>22</v>
      </c>
      <c r="B1460" s="16" t="s">
        <v>61</v>
      </c>
      <c r="C1460" s="16" t="str">
        <f t="shared" si="22"/>
        <v>华东</v>
      </c>
      <c r="D1460" s="16" t="s">
        <v>1524</v>
      </c>
      <c r="E1460" s="16">
        <v>24</v>
      </c>
    </row>
    <row r="1461" spans="1:5" x14ac:dyDescent="0.4">
      <c r="A1461" s="16" t="s">
        <v>22</v>
      </c>
      <c r="B1461" s="16" t="s">
        <v>61</v>
      </c>
      <c r="C1461" s="16" t="str">
        <f t="shared" si="22"/>
        <v>华东</v>
      </c>
      <c r="D1461" s="16" t="s">
        <v>1525</v>
      </c>
      <c r="E1461" s="16">
        <v>18</v>
      </c>
    </row>
    <row r="1462" spans="1:5" x14ac:dyDescent="0.4">
      <c r="A1462" s="16" t="s">
        <v>29</v>
      </c>
      <c r="B1462" s="16" t="s">
        <v>61</v>
      </c>
      <c r="C1462" s="16" t="str">
        <f t="shared" si="22"/>
        <v>华东</v>
      </c>
      <c r="D1462" s="16" t="s">
        <v>1526</v>
      </c>
      <c r="E1462" s="16">
        <v>21</v>
      </c>
    </row>
    <row r="1463" spans="1:5" x14ac:dyDescent="0.4">
      <c r="A1463" s="16" t="s">
        <v>22</v>
      </c>
      <c r="B1463" s="16" t="s">
        <v>63</v>
      </c>
      <c r="C1463" s="16" t="str">
        <f t="shared" si="22"/>
        <v>西南</v>
      </c>
      <c r="D1463" s="16" t="s">
        <v>1527</v>
      </c>
      <c r="E1463" s="16">
        <v>27</v>
      </c>
    </row>
    <row r="1464" spans="1:5" x14ac:dyDescent="0.4">
      <c r="A1464" s="16" t="s">
        <v>22</v>
      </c>
      <c r="B1464" s="16" t="s">
        <v>73</v>
      </c>
      <c r="C1464" s="16" t="str">
        <f t="shared" si="22"/>
        <v>华中</v>
      </c>
      <c r="D1464" s="16" t="s">
        <v>1528</v>
      </c>
      <c r="E1464" s="16">
        <v>27</v>
      </c>
    </row>
    <row r="1465" spans="1:5" x14ac:dyDescent="0.4">
      <c r="A1465" s="16" t="s">
        <v>22</v>
      </c>
      <c r="B1465" s="16" t="s">
        <v>67</v>
      </c>
      <c r="C1465" s="16" t="str">
        <f t="shared" si="22"/>
        <v>华中</v>
      </c>
      <c r="D1465" s="16" t="s">
        <v>1529</v>
      </c>
      <c r="E1465" s="16">
        <v>20</v>
      </c>
    </row>
    <row r="1466" spans="1:5" x14ac:dyDescent="0.4">
      <c r="A1466" s="16" t="s">
        <v>22</v>
      </c>
      <c r="B1466" s="16" t="s">
        <v>55</v>
      </c>
      <c r="C1466" s="16" t="str">
        <f t="shared" si="22"/>
        <v>华东</v>
      </c>
      <c r="D1466" s="16" t="s">
        <v>1530</v>
      </c>
      <c r="E1466" s="16">
        <v>11</v>
      </c>
    </row>
    <row r="1467" spans="1:5" x14ac:dyDescent="0.4">
      <c r="A1467" s="16" t="s">
        <v>29</v>
      </c>
      <c r="B1467" s="16" t="s">
        <v>34</v>
      </c>
      <c r="C1467" s="16" t="str">
        <f t="shared" si="22"/>
        <v>西北</v>
      </c>
      <c r="D1467" s="16" t="s">
        <v>1531</v>
      </c>
      <c r="E1467" s="16">
        <v>25</v>
      </c>
    </row>
    <row r="1468" spans="1:5" x14ac:dyDescent="0.4">
      <c r="A1468" s="16" t="s">
        <v>29</v>
      </c>
      <c r="B1468" s="16" t="s">
        <v>34</v>
      </c>
      <c r="C1468" s="16" t="str">
        <f t="shared" si="22"/>
        <v>西北</v>
      </c>
      <c r="D1468" s="16" t="s">
        <v>1532</v>
      </c>
      <c r="E1468" s="16">
        <v>29</v>
      </c>
    </row>
    <row r="1469" spans="1:5" x14ac:dyDescent="0.4">
      <c r="A1469" s="16" t="s">
        <v>29</v>
      </c>
      <c r="B1469" s="16" t="s">
        <v>34</v>
      </c>
      <c r="C1469" s="16" t="str">
        <f t="shared" si="22"/>
        <v>西北</v>
      </c>
      <c r="D1469" s="16" t="s">
        <v>1533</v>
      </c>
      <c r="E1469" s="16">
        <v>17</v>
      </c>
    </row>
    <row r="1470" spans="1:5" x14ac:dyDescent="0.4">
      <c r="A1470" s="16" t="s">
        <v>29</v>
      </c>
      <c r="B1470" s="16" t="s">
        <v>40</v>
      </c>
      <c r="C1470" s="16" t="str">
        <f t="shared" si="22"/>
        <v>华北</v>
      </c>
      <c r="D1470" s="16" t="s">
        <v>1534</v>
      </c>
      <c r="E1470" s="16">
        <v>15</v>
      </c>
    </row>
    <row r="1471" spans="1:5" x14ac:dyDescent="0.4">
      <c r="A1471" s="16" t="s">
        <v>29</v>
      </c>
      <c r="B1471" s="16" t="s">
        <v>44</v>
      </c>
      <c r="C1471" s="16" t="str">
        <f t="shared" si="22"/>
        <v>华北</v>
      </c>
      <c r="D1471" s="16" t="s">
        <v>1535</v>
      </c>
      <c r="E1471" s="16">
        <v>21</v>
      </c>
    </row>
    <row r="1472" spans="1:5" x14ac:dyDescent="0.4">
      <c r="A1472" s="16" t="s">
        <v>33</v>
      </c>
      <c r="B1472" s="16" t="s">
        <v>58</v>
      </c>
      <c r="C1472" s="16" t="str">
        <f t="shared" si="22"/>
        <v>华中</v>
      </c>
      <c r="D1472" s="16" t="s">
        <v>1536</v>
      </c>
      <c r="E1472" s="16">
        <v>16</v>
      </c>
    </row>
    <row r="1473" spans="1:5" x14ac:dyDescent="0.4">
      <c r="A1473" s="16" t="s">
        <v>29</v>
      </c>
      <c r="B1473" s="16" t="s">
        <v>58</v>
      </c>
      <c r="C1473" s="16" t="str">
        <f t="shared" si="22"/>
        <v>华中</v>
      </c>
      <c r="D1473" s="16" t="s">
        <v>1537</v>
      </c>
      <c r="E1473" s="16">
        <v>25</v>
      </c>
    </row>
    <row r="1474" spans="1:5" x14ac:dyDescent="0.4">
      <c r="A1474" s="16" t="s">
        <v>29</v>
      </c>
      <c r="B1474" s="16" t="s">
        <v>23</v>
      </c>
      <c r="C1474" s="16" t="str">
        <f t="shared" si="22"/>
        <v>西南</v>
      </c>
      <c r="D1474" s="16" t="s">
        <v>1538</v>
      </c>
      <c r="E1474" s="16">
        <v>28</v>
      </c>
    </row>
    <row r="1475" spans="1:5" x14ac:dyDescent="0.4">
      <c r="A1475" s="16" t="s">
        <v>22</v>
      </c>
      <c r="B1475" s="16" t="s">
        <v>63</v>
      </c>
      <c r="C1475" s="16" t="str">
        <f t="shared" ref="C1475:C1538" si="23">_xlfn.XLOOKUP(B1475,$I$2:$I$32,$J$2:$J$32)</f>
        <v>西南</v>
      </c>
      <c r="D1475" s="16" t="s">
        <v>1539</v>
      </c>
      <c r="E1475" s="16">
        <v>11</v>
      </c>
    </row>
    <row r="1476" spans="1:5" x14ac:dyDescent="0.4">
      <c r="A1476" s="16" t="s">
        <v>29</v>
      </c>
      <c r="B1476" s="16" t="s">
        <v>76</v>
      </c>
      <c r="C1476" s="16" t="str">
        <f t="shared" si="23"/>
        <v>西北</v>
      </c>
      <c r="D1476" s="16" t="s">
        <v>1540</v>
      </c>
      <c r="E1476" s="16">
        <v>14</v>
      </c>
    </row>
    <row r="1477" spans="1:5" x14ac:dyDescent="0.4">
      <c r="A1477" s="16" t="s">
        <v>22</v>
      </c>
      <c r="B1477" s="16" t="s">
        <v>51</v>
      </c>
      <c r="C1477" s="16" t="str">
        <f t="shared" si="23"/>
        <v>华东</v>
      </c>
      <c r="D1477" s="16" t="s">
        <v>1541</v>
      </c>
      <c r="E1477" s="16">
        <v>26</v>
      </c>
    </row>
    <row r="1478" spans="1:5" x14ac:dyDescent="0.4">
      <c r="A1478" s="16" t="s">
        <v>33</v>
      </c>
      <c r="B1478" s="16" t="s">
        <v>67</v>
      </c>
      <c r="C1478" s="16" t="str">
        <f t="shared" si="23"/>
        <v>华中</v>
      </c>
      <c r="D1478" s="16" t="s">
        <v>1542</v>
      </c>
      <c r="E1478" s="16">
        <v>28</v>
      </c>
    </row>
    <row r="1479" spans="1:5" x14ac:dyDescent="0.4">
      <c r="A1479" s="16" t="s">
        <v>33</v>
      </c>
      <c r="B1479" s="16" t="s">
        <v>67</v>
      </c>
      <c r="C1479" s="16" t="str">
        <f t="shared" si="23"/>
        <v>华中</v>
      </c>
      <c r="D1479" s="16" t="s">
        <v>1543</v>
      </c>
      <c r="E1479" s="16">
        <v>21</v>
      </c>
    </row>
    <row r="1480" spans="1:5" x14ac:dyDescent="0.4">
      <c r="A1480" s="16" t="s">
        <v>22</v>
      </c>
      <c r="B1480" s="16" t="s">
        <v>48</v>
      </c>
      <c r="C1480" s="16" t="str">
        <f t="shared" si="23"/>
        <v>华东</v>
      </c>
      <c r="D1480" s="16" t="s">
        <v>1544</v>
      </c>
      <c r="E1480" s="16">
        <v>22</v>
      </c>
    </row>
    <row r="1481" spans="1:5" x14ac:dyDescent="0.4">
      <c r="A1481" s="16" t="s">
        <v>29</v>
      </c>
      <c r="B1481" s="16" t="s">
        <v>48</v>
      </c>
      <c r="C1481" s="16" t="str">
        <f t="shared" si="23"/>
        <v>华东</v>
      </c>
      <c r="D1481" s="16" t="s">
        <v>1545</v>
      </c>
      <c r="E1481" s="16">
        <v>16</v>
      </c>
    </row>
    <row r="1482" spans="1:5" x14ac:dyDescent="0.4">
      <c r="A1482" s="16" t="s">
        <v>33</v>
      </c>
      <c r="B1482" s="16" t="s">
        <v>81</v>
      </c>
      <c r="C1482" s="16" t="str">
        <f t="shared" si="23"/>
        <v>西北</v>
      </c>
      <c r="D1482" s="16" t="s">
        <v>1546</v>
      </c>
      <c r="E1482" s="16">
        <v>17</v>
      </c>
    </row>
    <row r="1483" spans="1:5" x14ac:dyDescent="0.4">
      <c r="A1483" s="16" t="s">
        <v>33</v>
      </c>
      <c r="B1483" s="16" t="s">
        <v>81</v>
      </c>
      <c r="C1483" s="16" t="str">
        <f t="shared" si="23"/>
        <v>西北</v>
      </c>
      <c r="D1483" s="16" t="s">
        <v>1547</v>
      </c>
      <c r="E1483" s="16">
        <v>26</v>
      </c>
    </row>
    <row r="1484" spans="1:5" x14ac:dyDescent="0.4">
      <c r="A1484" s="16" t="s">
        <v>33</v>
      </c>
      <c r="B1484" s="16" t="s">
        <v>81</v>
      </c>
      <c r="C1484" s="16" t="str">
        <f t="shared" si="23"/>
        <v>西北</v>
      </c>
      <c r="D1484" s="16" t="s">
        <v>1548</v>
      </c>
      <c r="E1484" s="16">
        <v>11</v>
      </c>
    </row>
    <row r="1485" spans="1:5" x14ac:dyDescent="0.4">
      <c r="A1485" s="16" t="s">
        <v>22</v>
      </c>
      <c r="B1485" s="16" t="s">
        <v>81</v>
      </c>
      <c r="C1485" s="16" t="str">
        <f t="shared" si="23"/>
        <v>西北</v>
      </c>
      <c r="D1485" s="16" t="s">
        <v>1549</v>
      </c>
      <c r="E1485" s="16">
        <v>28</v>
      </c>
    </row>
    <row r="1486" spans="1:5" x14ac:dyDescent="0.4">
      <c r="A1486" s="16" t="s">
        <v>29</v>
      </c>
      <c r="B1486" s="16" t="s">
        <v>65</v>
      </c>
      <c r="C1486" s="16" t="str">
        <f t="shared" si="23"/>
        <v>华南</v>
      </c>
      <c r="D1486" s="16" t="s">
        <v>1550</v>
      </c>
      <c r="E1486" s="16">
        <v>19</v>
      </c>
    </row>
    <row r="1487" spans="1:5" x14ac:dyDescent="0.4">
      <c r="A1487" s="16" t="s">
        <v>29</v>
      </c>
      <c r="B1487" s="16" t="s">
        <v>57</v>
      </c>
      <c r="C1487" s="16" t="str">
        <f t="shared" si="23"/>
        <v>华东</v>
      </c>
      <c r="D1487" s="16" t="s">
        <v>1551</v>
      </c>
      <c r="E1487" s="16">
        <v>25</v>
      </c>
    </row>
    <row r="1488" spans="1:5" x14ac:dyDescent="0.4">
      <c r="A1488" s="16" t="s">
        <v>22</v>
      </c>
      <c r="B1488" s="16" t="s">
        <v>48</v>
      </c>
      <c r="C1488" s="16" t="str">
        <f t="shared" si="23"/>
        <v>华东</v>
      </c>
      <c r="D1488" s="16" t="s">
        <v>1552</v>
      </c>
      <c r="E1488" s="16">
        <v>12</v>
      </c>
    </row>
    <row r="1489" spans="1:5" x14ac:dyDescent="0.4">
      <c r="A1489" s="16" t="s">
        <v>22</v>
      </c>
      <c r="B1489" s="16" t="s">
        <v>48</v>
      </c>
      <c r="C1489" s="16" t="str">
        <f t="shared" si="23"/>
        <v>华东</v>
      </c>
      <c r="D1489" s="16" t="s">
        <v>1553</v>
      </c>
      <c r="E1489" s="16">
        <v>11</v>
      </c>
    </row>
    <row r="1490" spans="1:5" x14ac:dyDescent="0.4">
      <c r="A1490" s="16" t="s">
        <v>33</v>
      </c>
      <c r="B1490" s="16" t="s">
        <v>28</v>
      </c>
      <c r="C1490" s="16" t="str">
        <f t="shared" si="23"/>
        <v>东北</v>
      </c>
      <c r="D1490" s="16" t="s">
        <v>1554</v>
      </c>
      <c r="E1490" s="16">
        <v>24</v>
      </c>
    </row>
    <row r="1491" spans="1:5" x14ac:dyDescent="0.4">
      <c r="A1491" s="16" t="s">
        <v>29</v>
      </c>
      <c r="B1491" s="16" t="s">
        <v>34</v>
      </c>
      <c r="C1491" s="16" t="str">
        <f t="shared" si="23"/>
        <v>西北</v>
      </c>
      <c r="D1491" s="16" t="s">
        <v>1555</v>
      </c>
      <c r="E1491" s="16">
        <v>23</v>
      </c>
    </row>
    <row r="1492" spans="1:5" x14ac:dyDescent="0.4">
      <c r="A1492" s="16" t="s">
        <v>29</v>
      </c>
      <c r="B1492" s="16" t="s">
        <v>34</v>
      </c>
      <c r="C1492" s="16" t="str">
        <f t="shared" si="23"/>
        <v>西北</v>
      </c>
      <c r="D1492" s="16" t="s">
        <v>1556</v>
      </c>
      <c r="E1492" s="16">
        <v>14</v>
      </c>
    </row>
    <row r="1493" spans="1:5" x14ac:dyDescent="0.4">
      <c r="A1493" s="16" t="s">
        <v>22</v>
      </c>
      <c r="B1493" s="16" t="s">
        <v>53</v>
      </c>
      <c r="C1493" s="16" t="str">
        <f t="shared" si="23"/>
        <v>华东</v>
      </c>
      <c r="D1493" s="16" t="s">
        <v>1557</v>
      </c>
      <c r="E1493" s="16">
        <v>10</v>
      </c>
    </row>
    <row r="1494" spans="1:5" x14ac:dyDescent="0.4">
      <c r="A1494" s="16" t="s">
        <v>22</v>
      </c>
      <c r="B1494" s="16" t="s">
        <v>25</v>
      </c>
      <c r="C1494" s="16" t="str">
        <f t="shared" si="23"/>
        <v>东北</v>
      </c>
      <c r="D1494" s="16" t="s">
        <v>1558</v>
      </c>
      <c r="E1494" s="16">
        <v>29</v>
      </c>
    </row>
    <row r="1495" spans="1:5" x14ac:dyDescent="0.4">
      <c r="A1495" s="16" t="s">
        <v>29</v>
      </c>
      <c r="B1495" s="16" t="s">
        <v>58</v>
      </c>
      <c r="C1495" s="16" t="str">
        <f t="shared" si="23"/>
        <v>华中</v>
      </c>
      <c r="D1495" s="16" t="s">
        <v>1559</v>
      </c>
      <c r="E1495" s="16">
        <v>15</v>
      </c>
    </row>
    <row r="1496" spans="1:5" x14ac:dyDescent="0.4">
      <c r="A1496" s="16" t="s">
        <v>33</v>
      </c>
      <c r="B1496" s="16" t="s">
        <v>58</v>
      </c>
      <c r="C1496" s="16" t="str">
        <f t="shared" si="23"/>
        <v>华中</v>
      </c>
      <c r="D1496" s="16" t="s">
        <v>1560</v>
      </c>
      <c r="E1496" s="16">
        <v>15</v>
      </c>
    </row>
    <row r="1497" spans="1:5" x14ac:dyDescent="0.4">
      <c r="A1497" s="16" t="s">
        <v>22</v>
      </c>
      <c r="B1497" s="16" t="s">
        <v>28</v>
      </c>
      <c r="C1497" s="16" t="str">
        <f t="shared" si="23"/>
        <v>东北</v>
      </c>
      <c r="D1497" s="16" t="s">
        <v>1561</v>
      </c>
      <c r="E1497" s="16">
        <v>17</v>
      </c>
    </row>
    <row r="1498" spans="1:5" x14ac:dyDescent="0.4">
      <c r="A1498" s="16" t="s">
        <v>29</v>
      </c>
      <c r="B1498" s="16" t="s">
        <v>63</v>
      </c>
      <c r="C1498" s="16" t="str">
        <f t="shared" si="23"/>
        <v>西南</v>
      </c>
      <c r="D1498" s="16" t="s">
        <v>1562</v>
      </c>
      <c r="E1498" s="16">
        <v>20</v>
      </c>
    </row>
    <row r="1499" spans="1:5" x14ac:dyDescent="0.4">
      <c r="A1499" s="16" t="s">
        <v>29</v>
      </c>
      <c r="B1499" s="16" t="s">
        <v>36</v>
      </c>
      <c r="C1499" s="16" t="str">
        <f t="shared" si="23"/>
        <v>华北</v>
      </c>
      <c r="D1499" s="16" t="s">
        <v>1563</v>
      </c>
      <c r="E1499" s="16">
        <v>27</v>
      </c>
    </row>
    <row r="1500" spans="1:5" x14ac:dyDescent="0.4">
      <c r="A1500" s="16" t="s">
        <v>29</v>
      </c>
      <c r="B1500" s="16" t="s">
        <v>44</v>
      </c>
      <c r="C1500" s="16" t="str">
        <f t="shared" si="23"/>
        <v>华北</v>
      </c>
      <c r="D1500" s="16" t="s">
        <v>1564</v>
      </c>
      <c r="E1500" s="16">
        <v>27</v>
      </c>
    </row>
    <row r="1501" spans="1:5" x14ac:dyDescent="0.4">
      <c r="A1501" s="16" t="s">
        <v>22</v>
      </c>
      <c r="B1501" s="16" t="s">
        <v>44</v>
      </c>
      <c r="C1501" s="16" t="str">
        <f t="shared" si="23"/>
        <v>华北</v>
      </c>
      <c r="D1501" s="16" t="s">
        <v>1565</v>
      </c>
      <c r="E1501" s="16">
        <v>25</v>
      </c>
    </row>
    <row r="1502" spans="1:5" x14ac:dyDescent="0.4">
      <c r="A1502" s="16" t="s">
        <v>29</v>
      </c>
      <c r="B1502" s="16" t="s">
        <v>63</v>
      </c>
      <c r="C1502" s="16" t="str">
        <f t="shared" si="23"/>
        <v>西南</v>
      </c>
      <c r="D1502" s="16" t="s">
        <v>1566</v>
      </c>
      <c r="E1502" s="16">
        <v>16</v>
      </c>
    </row>
    <row r="1503" spans="1:5" x14ac:dyDescent="0.4">
      <c r="A1503" s="16" t="s">
        <v>22</v>
      </c>
      <c r="B1503" s="16" t="s">
        <v>23</v>
      </c>
      <c r="C1503" s="16" t="str">
        <f t="shared" si="23"/>
        <v>西南</v>
      </c>
      <c r="D1503" s="16" t="s">
        <v>1567</v>
      </c>
      <c r="E1503" s="16">
        <v>27</v>
      </c>
    </row>
    <row r="1504" spans="1:5" x14ac:dyDescent="0.4">
      <c r="A1504" s="16" t="s">
        <v>29</v>
      </c>
      <c r="B1504" s="16" t="s">
        <v>23</v>
      </c>
      <c r="C1504" s="16" t="str">
        <f t="shared" si="23"/>
        <v>西南</v>
      </c>
      <c r="D1504" s="16" t="s">
        <v>1568</v>
      </c>
      <c r="E1504" s="16">
        <v>29</v>
      </c>
    </row>
    <row r="1505" spans="1:5" x14ac:dyDescent="0.4">
      <c r="A1505" s="16" t="s">
        <v>29</v>
      </c>
      <c r="B1505" s="16" t="s">
        <v>23</v>
      </c>
      <c r="C1505" s="16" t="str">
        <f t="shared" si="23"/>
        <v>西南</v>
      </c>
      <c r="D1505" s="16" t="s">
        <v>1569</v>
      </c>
      <c r="E1505" s="16">
        <v>19</v>
      </c>
    </row>
    <row r="1506" spans="1:5" x14ac:dyDescent="0.4">
      <c r="A1506" s="16" t="s">
        <v>33</v>
      </c>
      <c r="B1506" s="16" t="s">
        <v>23</v>
      </c>
      <c r="C1506" s="16" t="str">
        <f t="shared" si="23"/>
        <v>西南</v>
      </c>
      <c r="D1506" s="16" t="s">
        <v>1570</v>
      </c>
      <c r="E1506" s="16">
        <v>23</v>
      </c>
    </row>
    <row r="1507" spans="1:5" x14ac:dyDescent="0.4">
      <c r="A1507" s="16" t="s">
        <v>22</v>
      </c>
      <c r="B1507" s="16" t="s">
        <v>23</v>
      </c>
      <c r="C1507" s="16" t="str">
        <f t="shared" si="23"/>
        <v>西南</v>
      </c>
      <c r="D1507" s="16" t="s">
        <v>1571</v>
      </c>
      <c r="E1507" s="16">
        <v>17</v>
      </c>
    </row>
    <row r="1508" spans="1:5" x14ac:dyDescent="0.4">
      <c r="A1508" s="16" t="s">
        <v>22</v>
      </c>
      <c r="B1508" s="16" t="s">
        <v>23</v>
      </c>
      <c r="C1508" s="16" t="str">
        <f t="shared" si="23"/>
        <v>西南</v>
      </c>
      <c r="D1508" s="16" t="s">
        <v>1572</v>
      </c>
      <c r="E1508" s="16">
        <v>15</v>
      </c>
    </row>
    <row r="1509" spans="1:5" x14ac:dyDescent="0.4">
      <c r="A1509" s="16" t="s">
        <v>22</v>
      </c>
      <c r="B1509" s="16" t="s">
        <v>23</v>
      </c>
      <c r="C1509" s="16" t="str">
        <f t="shared" si="23"/>
        <v>西南</v>
      </c>
      <c r="D1509" s="16" t="s">
        <v>1573</v>
      </c>
      <c r="E1509" s="16">
        <v>27</v>
      </c>
    </row>
    <row r="1510" spans="1:5" x14ac:dyDescent="0.4">
      <c r="A1510" s="16" t="s">
        <v>22</v>
      </c>
      <c r="B1510" s="16" t="s">
        <v>23</v>
      </c>
      <c r="C1510" s="16" t="str">
        <f t="shared" si="23"/>
        <v>西南</v>
      </c>
      <c r="D1510" s="16" t="s">
        <v>1574</v>
      </c>
      <c r="E1510" s="16">
        <v>15</v>
      </c>
    </row>
    <row r="1511" spans="1:5" x14ac:dyDescent="0.4">
      <c r="A1511" s="16" t="s">
        <v>33</v>
      </c>
      <c r="B1511" s="16" t="s">
        <v>23</v>
      </c>
      <c r="C1511" s="16" t="str">
        <f t="shared" si="23"/>
        <v>西南</v>
      </c>
      <c r="D1511" s="16" t="s">
        <v>1575</v>
      </c>
      <c r="E1511" s="16">
        <v>25</v>
      </c>
    </row>
    <row r="1512" spans="1:5" x14ac:dyDescent="0.4">
      <c r="A1512" s="16" t="s">
        <v>29</v>
      </c>
      <c r="B1512" s="16" t="s">
        <v>23</v>
      </c>
      <c r="C1512" s="16" t="str">
        <f t="shared" si="23"/>
        <v>西南</v>
      </c>
      <c r="D1512" s="16" t="s">
        <v>1576</v>
      </c>
      <c r="E1512" s="16">
        <v>22</v>
      </c>
    </row>
    <row r="1513" spans="1:5" x14ac:dyDescent="0.4">
      <c r="A1513" s="16" t="s">
        <v>22</v>
      </c>
      <c r="B1513" s="16" t="s">
        <v>23</v>
      </c>
      <c r="C1513" s="16" t="str">
        <f t="shared" si="23"/>
        <v>西南</v>
      </c>
      <c r="D1513" s="16" t="s">
        <v>1577</v>
      </c>
      <c r="E1513" s="16">
        <v>27</v>
      </c>
    </row>
    <row r="1514" spans="1:5" x14ac:dyDescent="0.4">
      <c r="A1514" s="16" t="s">
        <v>22</v>
      </c>
      <c r="B1514" s="16" t="s">
        <v>23</v>
      </c>
      <c r="C1514" s="16" t="str">
        <f t="shared" si="23"/>
        <v>西南</v>
      </c>
      <c r="D1514" s="16" t="s">
        <v>1578</v>
      </c>
      <c r="E1514" s="16">
        <v>17</v>
      </c>
    </row>
    <row r="1515" spans="1:5" x14ac:dyDescent="0.4">
      <c r="A1515" s="16" t="s">
        <v>22</v>
      </c>
      <c r="B1515" s="16" t="s">
        <v>23</v>
      </c>
      <c r="C1515" s="16" t="str">
        <f t="shared" si="23"/>
        <v>西南</v>
      </c>
      <c r="D1515" s="16" t="s">
        <v>1579</v>
      </c>
      <c r="E1515" s="16">
        <v>29</v>
      </c>
    </row>
    <row r="1516" spans="1:5" x14ac:dyDescent="0.4">
      <c r="A1516" s="16" t="s">
        <v>29</v>
      </c>
      <c r="B1516" s="16" t="s">
        <v>23</v>
      </c>
      <c r="C1516" s="16" t="str">
        <f t="shared" si="23"/>
        <v>西南</v>
      </c>
      <c r="D1516" s="16" t="s">
        <v>1580</v>
      </c>
      <c r="E1516" s="16">
        <v>13</v>
      </c>
    </row>
    <row r="1517" spans="1:5" x14ac:dyDescent="0.4">
      <c r="A1517" s="16" t="s">
        <v>22</v>
      </c>
      <c r="B1517" s="16" t="s">
        <v>23</v>
      </c>
      <c r="C1517" s="16" t="str">
        <f t="shared" si="23"/>
        <v>西南</v>
      </c>
      <c r="D1517" s="16" t="s">
        <v>1581</v>
      </c>
      <c r="E1517" s="16">
        <v>21</v>
      </c>
    </row>
    <row r="1518" spans="1:5" x14ac:dyDescent="0.4">
      <c r="A1518" s="16" t="s">
        <v>22</v>
      </c>
      <c r="B1518" s="16" t="s">
        <v>23</v>
      </c>
      <c r="C1518" s="16" t="str">
        <f t="shared" si="23"/>
        <v>西南</v>
      </c>
      <c r="D1518" s="16" t="s">
        <v>1582</v>
      </c>
      <c r="E1518" s="16">
        <v>16</v>
      </c>
    </row>
    <row r="1519" spans="1:5" x14ac:dyDescent="0.4">
      <c r="A1519" s="16" t="s">
        <v>29</v>
      </c>
      <c r="B1519" s="16" t="s">
        <v>23</v>
      </c>
      <c r="C1519" s="16" t="str">
        <f t="shared" si="23"/>
        <v>西南</v>
      </c>
      <c r="D1519" s="16" t="s">
        <v>1583</v>
      </c>
      <c r="E1519" s="16">
        <v>17</v>
      </c>
    </row>
    <row r="1520" spans="1:5" x14ac:dyDescent="0.4">
      <c r="A1520" s="16" t="s">
        <v>22</v>
      </c>
      <c r="B1520" s="16" t="s">
        <v>23</v>
      </c>
      <c r="C1520" s="16" t="str">
        <f t="shared" si="23"/>
        <v>西南</v>
      </c>
      <c r="D1520" s="16" t="s">
        <v>1584</v>
      </c>
      <c r="E1520" s="16">
        <v>18</v>
      </c>
    </row>
    <row r="1521" spans="1:5" x14ac:dyDescent="0.4">
      <c r="A1521" s="16" t="s">
        <v>29</v>
      </c>
      <c r="B1521" s="16" t="s">
        <v>23</v>
      </c>
      <c r="C1521" s="16" t="str">
        <f t="shared" si="23"/>
        <v>西南</v>
      </c>
      <c r="D1521" s="16" t="s">
        <v>1585</v>
      </c>
      <c r="E1521" s="16">
        <v>10</v>
      </c>
    </row>
    <row r="1522" spans="1:5" x14ac:dyDescent="0.4">
      <c r="A1522" s="16" t="s">
        <v>22</v>
      </c>
      <c r="B1522" s="16" t="s">
        <v>23</v>
      </c>
      <c r="C1522" s="16" t="str">
        <f t="shared" si="23"/>
        <v>西南</v>
      </c>
      <c r="D1522" s="16" t="s">
        <v>1586</v>
      </c>
      <c r="E1522" s="16">
        <v>25</v>
      </c>
    </row>
    <row r="1523" spans="1:5" x14ac:dyDescent="0.4">
      <c r="A1523" s="16" t="s">
        <v>22</v>
      </c>
      <c r="B1523" s="16" t="s">
        <v>65</v>
      </c>
      <c r="C1523" s="16" t="str">
        <f t="shared" si="23"/>
        <v>华南</v>
      </c>
      <c r="D1523" s="16" t="s">
        <v>1587</v>
      </c>
      <c r="E1523" s="16">
        <v>26</v>
      </c>
    </row>
    <row r="1524" spans="1:5" x14ac:dyDescent="0.4">
      <c r="A1524" s="16" t="s">
        <v>29</v>
      </c>
      <c r="B1524" s="16" t="s">
        <v>30</v>
      </c>
      <c r="C1524" s="16" t="str">
        <f t="shared" si="23"/>
        <v>华北</v>
      </c>
      <c r="D1524" s="16" t="s">
        <v>1588</v>
      </c>
      <c r="E1524" s="16">
        <v>24</v>
      </c>
    </row>
    <row r="1525" spans="1:5" x14ac:dyDescent="0.4">
      <c r="A1525" s="16" t="s">
        <v>22</v>
      </c>
      <c r="B1525" s="16" t="s">
        <v>53</v>
      </c>
      <c r="C1525" s="16" t="str">
        <f t="shared" si="23"/>
        <v>华东</v>
      </c>
      <c r="D1525" s="16" t="s">
        <v>1589</v>
      </c>
      <c r="E1525" s="16">
        <v>13</v>
      </c>
    </row>
    <row r="1526" spans="1:5" x14ac:dyDescent="0.4">
      <c r="A1526" s="16" t="s">
        <v>22</v>
      </c>
      <c r="B1526" s="16" t="s">
        <v>57</v>
      </c>
      <c r="C1526" s="16" t="str">
        <f t="shared" si="23"/>
        <v>华东</v>
      </c>
      <c r="D1526" s="16" t="s">
        <v>1590</v>
      </c>
      <c r="E1526" s="16">
        <v>25</v>
      </c>
    </row>
    <row r="1527" spans="1:5" x14ac:dyDescent="0.4">
      <c r="A1527" s="16" t="s">
        <v>22</v>
      </c>
      <c r="B1527" s="16" t="s">
        <v>48</v>
      </c>
      <c r="C1527" s="16" t="str">
        <f t="shared" si="23"/>
        <v>华东</v>
      </c>
      <c r="D1527" s="16" t="s">
        <v>1591</v>
      </c>
      <c r="E1527" s="16">
        <v>18</v>
      </c>
    </row>
    <row r="1528" spans="1:5" x14ac:dyDescent="0.4">
      <c r="A1528" s="16" t="s">
        <v>22</v>
      </c>
      <c r="B1528" s="16" t="s">
        <v>53</v>
      </c>
      <c r="C1528" s="16" t="str">
        <f t="shared" si="23"/>
        <v>华东</v>
      </c>
      <c r="D1528" s="16" t="s">
        <v>1592</v>
      </c>
      <c r="E1528" s="16">
        <v>13</v>
      </c>
    </row>
    <row r="1529" spans="1:5" x14ac:dyDescent="0.4">
      <c r="A1529" s="16" t="s">
        <v>22</v>
      </c>
      <c r="B1529" s="16" t="s">
        <v>63</v>
      </c>
      <c r="C1529" s="16" t="str">
        <f t="shared" si="23"/>
        <v>西南</v>
      </c>
      <c r="D1529" s="16" t="s">
        <v>1593</v>
      </c>
      <c r="E1529" s="16">
        <v>16</v>
      </c>
    </row>
    <row r="1530" spans="1:5" x14ac:dyDescent="0.4">
      <c r="A1530" s="16" t="s">
        <v>29</v>
      </c>
      <c r="B1530" s="16" t="s">
        <v>61</v>
      </c>
      <c r="C1530" s="16" t="str">
        <f t="shared" si="23"/>
        <v>华东</v>
      </c>
      <c r="D1530" s="16" t="s">
        <v>1594</v>
      </c>
      <c r="E1530" s="16">
        <v>12</v>
      </c>
    </row>
    <row r="1531" spans="1:5" x14ac:dyDescent="0.4">
      <c r="A1531" s="16" t="s">
        <v>22</v>
      </c>
      <c r="B1531" s="16" t="s">
        <v>61</v>
      </c>
      <c r="C1531" s="16" t="str">
        <f t="shared" si="23"/>
        <v>华东</v>
      </c>
      <c r="D1531" s="16" t="s">
        <v>1595</v>
      </c>
      <c r="E1531" s="16">
        <v>16</v>
      </c>
    </row>
    <row r="1532" spans="1:5" x14ac:dyDescent="0.4">
      <c r="A1532" s="16" t="s">
        <v>33</v>
      </c>
      <c r="B1532" s="16" t="s">
        <v>67</v>
      </c>
      <c r="C1532" s="16" t="str">
        <f t="shared" si="23"/>
        <v>华中</v>
      </c>
      <c r="D1532" s="16" t="s">
        <v>1596</v>
      </c>
      <c r="E1532" s="16">
        <v>27</v>
      </c>
    </row>
    <row r="1533" spans="1:5" x14ac:dyDescent="0.4">
      <c r="A1533" s="16" t="s">
        <v>33</v>
      </c>
      <c r="B1533" s="16" t="s">
        <v>67</v>
      </c>
      <c r="C1533" s="16" t="str">
        <f t="shared" si="23"/>
        <v>华中</v>
      </c>
      <c r="D1533" s="16" t="s">
        <v>1597</v>
      </c>
      <c r="E1533" s="16">
        <v>21</v>
      </c>
    </row>
    <row r="1534" spans="1:5" x14ac:dyDescent="0.4">
      <c r="A1534" s="16" t="s">
        <v>22</v>
      </c>
      <c r="B1534" s="16" t="s">
        <v>93</v>
      </c>
      <c r="C1534" s="16" t="str">
        <f t="shared" si="23"/>
        <v>西南</v>
      </c>
      <c r="D1534" s="16" t="s">
        <v>1598</v>
      </c>
      <c r="E1534" s="16">
        <v>24</v>
      </c>
    </row>
    <row r="1535" spans="1:5" x14ac:dyDescent="0.4">
      <c r="A1535" s="16" t="s">
        <v>29</v>
      </c>
      <c r="B1535" s="16" t="s">
        <v>73</v>
      </c>
      <c r="C1535" s="16" t="str">
        <f t="shared" si="23"/>
        <v>华中</v>
      </c>
      <c r="D1535" s="16" t="s">
        <v>1599</v>
      </c>
      <c r="E1535" s="16">
        <v>18</v>
      </c>
    </row>
    <row r="1536" spans="1:5" x14ac:dyDescent="0.4">
      <c r="A1536" s="16" t="s">
        <v>29</v>
      </c>
      <c r="B1536" s="16" t="s">
        <v>73</v>
      </c>
      <c r="C1536" s="16" t="str">
        <f t="shared" si="23"/>
        <v>华中</v>
      </c>
      <c r="D1536" s="16" t="s">
        <v>1600</v>
      </c>
      <c r="E1536" s="16">
        <v>29</v>
      </c>
    </row>
    <row r="1537" spans="1:5" x14ac:dyDescent="0.4">
      <c r="A1537" s="16" t="s">
        <v>29</v>
      </c>
      <c r="B1537" s="16" t="s">
        <v>53</v>
      </c>
      <c r="C1537" s="16" t="str">
        <f t="shared" si="23"/>
        <v>华东</v>
      </c>
      <c r="D1537" s="16" t="s">
        <v>1601</v>
      </c>
      <c r="E1537" s="16">
        <v>15</v>
      </c>
    </row>
    <row r="1538" spans="1:5" x14ac:dyDescent="0.4">
      <c r="A1538" s="16" t="s">
        <v>22</v>
      </c>
      <c r="B1538" s="16" t="s">
        <v>53</v>
      </c>
      <c r="C1538" s="16" t="str">
        <f t="shared" si="23"/>
        <v>华东</v>
      </c>
      <c r="D1538" s="16" t="s">
        <v>1602</v>
      </c>
      <c r="E1538" s="16">
        <v>13</v>
      </c>
    </row>
    <row r="1539" spans="1:5" x14ac:dyDescent="0.4">
      <c r="A1539" s="16" t="s">
        <v>29</v>
      </c>
      <c r="B1539" s="16" t="s">
        <v>38</v>
      </c>
      <c r="C1539" s="16" t="str">
        <f t="shared" ref="C1539:C1602" si="24">_xlfn.XLOOKUP(B1539,$I$2:$I$32,$J$2:$J$32)</f>
        <v>西北</v>
      </c>
      <c r="D1539" s="16" t="s">
        <v>1603</v>
      </c>
      <c r="E1539" s="16">
        <v>26</v>
      </c>
    </row>
    <row r="1540" spans="1:5" x14ac:dyDescent="0.4">
      <c r="A1540" s="16" t="s">
        <v>29</v>
      </c>
      <c r="B1540" s="16" t="s">
        <v>40</v>
      </c>
      <c r="C1540" s="16" t="str">
        <f t="shared" si="24"/>
        <v>华北</v>
      </c>
      <c r="D1540" s="16" t="s">
        <v>1604</v>
      </c>
      <c r="E1540" s="16">
        <v>19</v>
      </c>
    </row>
    <row r="1541" spans="1:5" x14ac:dyDescent="0.4">
      <c r="A1541" s="16" t="s">
        <v>29</v>
      </c>
      <c r="B1541" s="16" t="s">
        <v>48</v>
      </c>
      <c r="C1541" s="16" t="str">
        <f t="shared" si="24"/>
        <v>华东</v>
      </c>
      <c r="D1541" s="16" t="s">
        <v>1605</v>
      </c>
      <c r="E1541" s="16">
        <v>23</v>
      </c>
    </row>
    <row r="1542" spans="1:5" x14ac:dyDescent="0.4">
      <c r="A1542" s="16" t="s">
        <v>22</v>
      </c>
      <c r="B1542" s="16" t="s">
        <v>48</v>
      </c>
      <c r="C1542" s="16" t="str">
        <f t="shared" si="24"/>
        <v>华东</v>
      </c>
      <c r="D1542" s="16" t="s">
        <v>1606</v>
      </c>
      <c r="E1542" s="16">
        <v>15</v>
      </c>
    </row>
    <row r="1543" spans="1:5" x14ac:dyDescent="0.4">
      <c r="A1543" s="16" t="s">
        <v>29</v>
      </c>
      <c r="B1543" s="16" t="s">
        <v>48</v>
      </c>
      <c r="C1543" s="16" t="str">
        <f t="shared" si="24"/>
        <v>华东</v>
      </c>
      <c r="D1543" s="16" t="s">
        <v>1607</v>
      </c>
      <c r="E1543" s="16">
        <v>19</v>
      </c>
    </row>
    <row r="1544" spans="1:5" x14ac:dyDescent="0.4">
      <c r="A1544" s="16" t="s">
        <v>29</v>
      </c>
      <c r="B1544" s="16" t="s">
        <v>48</v>
      </c>
      <c r="C1544" s="16" t="str">
        <f t="shared" si="24"/>
        <v>华东</v>
      </c>
      <c r="D1544" s="16" t="s">
        <v>1608</v>
      </c>
      <c r="E1544" s="16">
        <v>10</v>
      </c>
    </row>
    <row r="1545" spans="1:5" x14ac:dyDescent="0.4">
      <c r="A1545" s="16" t="s">
        <v>22</v>
      </c>
      <c r="B1545" s="16" t="s">
        <v>53</v>
      </c>
      <c r="C1545" s="16" t="str">
        <f t="shared" si="24"/>
        <v>华东</v>
      </c>
      <c r="D1545" s="16" t="s">
        <v>1609</v>
      </c>
      <c r="E1545" s="16">
        <v>21</v>
      </c>
    </row>
    <row r="1546" spans="1:5" x14ac:dyDescent="0.4">
      <c r="A1546" s="16" t="s">
        <v>33</v>
      </c>
      <c r="B1546" s="16" t="s">
        <v>73</v>
      </c>
      <c r="C1546" s="16" t="str">
        <f t="shared" si="24"/>
        <v>华中</v>
      </c>
      <c r="D1546" s="16" t="s">
        <v>1610</v>
      </c>
      <c r="E1546" s="16">
        <v>20</v>
      </c>
    </row>
    <row r="1547" spans="1:5" x14ac:dyDescent="0.4">
      <c r="A1547" s="16" t="s">
        <v>29</v>
      </c>
      <c r="B1547" s="16" t="s">
        <v>73</v>
      </c>
      <c r="C1547" s="16" t="str">
        <f t="shared" si="24"/>
        <v>华中</v>
      </c>
      <c r="D1547" s="16" t="s">
        <v>1611</v>
      </c>
      <c r="E1547" s="16">
        <v>16</v>
      </c>
    </row>
    <row r="1548" spans="1:5" x14ac:dyDescent="0.4">
      <c r="A1548" s="16" t="s">
        <v>29</v>
      </c>
      <c r="B1548" s="16" t="s">
        <v>48</v>
      </c>
      <c r="C1548" s="16" t="str">
        <f t="shared" si="24"/>
        <v>华东</v>
      </c>
      <c r="D1548" s="16" t="s">
        <v>1612</v>
      </c>
      <c r="E1548" s="16">
        <v>18</v>
      </c>
    </row>
    <row r="1549" spans="1:5" x14ac:dyDescent="0.4">
      <c r="A1549" s="16" t="s">
        <v>22</v>
      </c>
      <c r="B1549" s="16" t="s">
        <v>48</v>
      </c>
      <c r="C1549" s="16" t="str">
        <f t="shared" si="24"/>
        <v>华东</v>
      </c>
      <c r="D1549" s="16" t="s">
        <v>1613</v>
      </c>
      <c r="E1549" s="16">
        <v>20</v>
      </c>
    </row>
    <row r="1550" spans="1:5" x14ac:dyDescent="0.4">
      <c r="A1550" s="16" t="s">
        <v>33</v>
      </c>
      <c r="B1550" s="16" t="s">
        <v>76</v>
      </c>
      <c r="C1550" s="16" t="str">
        <f t="shared" si="24"/>
        <v>西北</v>
      </c>
      <c r="D1550" s="16" t="s">
        <v>1614</v>
      </c>
      <c r="E1550" s="16">
        <v>25</v>
      </c>
    </row>
    <row r="1551" spans="1:5" x14ac:dyDescent="0.4">
      <c r="A1551" s="16" t="s">
        <v>33</v>
      </c>
      <c r="B1551" s="16" t="s">
        <v>25</v>
      </c>
      <c r="C1551" s="16" t="str">
        <f t="shared" si="24"/>
        <v>东北</v>
      </c>
      <c r="D1551" s="16" t="s">
        <v>1615</v>
      </c>
      <c r="E1551" s="16">
        <v>17</v>
      </c>
    </row>
    <row r="1552" spans="1:5" x14ac:dyDescent="0.4">
      <c r="A1552" s="16" t="s">
        <v>33</v>
      </c>
      <c r="B1552" s="16" t="s">
        <v>58</v>
      </c>
      <c r="C1552" s="16" t="str">
        <f t="shared" si="24"/>
        <v>华中</v>
      </c>
      <c r="D1552" s="16" t="s">
        <v>1616</v>
      </c>
      <c r="E1552" s="16">
        <v>29</v>
      </c>
    </row>
    <row r="1553" spans="1:5" x14ac:dyDescent="0.4">
      <c r="A1553" s="16" t="s">
        <v>29</v>
      </c>
      <c r="B1553" s="16" t="s">
        <v>63</v>
      </c>
      <c r="C1553" s="16" t="str">
        <f t="shared" si="24"/>
        <v>西南</v>
      </c>
      <c r="D1553" s="16" t="s">
        <v>1617</v>
      </c>
      <c r="E1553" s="16">
        <v>26</v>
      </c>
    </row>
    <row r="1554" spans="1:5" x14ac:dyDescent="0.4">
      <c r="A1554" s="16" t="s">
        <v>22</v>
      </c>
      <c r="B1554" s="16" t="s">
        <v>67</v>
      </c>
      <c r="C1554" s="16" t="str">
        <f t="shared" si="24"/>
        <v>华中</v>
      </c>
      <c r="D1554" s="16" t="s">
        <v>1618</v>
      </c>
      <c r="E1554" s="16">
        <v>17</v>
      </c>
    </row>
    <row r="1555" spans="1:5" x14ac:dyDescent="0.4">
      <c r="A1555" s="16" t="s">
        <v>22</v>
      </c>
      <c r="B1555" s="16" t="s">
        <v>61</v>
      </c>
      <c r="C1555" s="16" t="str">
        <f t="shared" si="24"/>
        <v>华东</v>
      </c>
      <c r="D1555" s="16" t="s">
        <v>1619</v>
      </c>
      <c r="E1555" s="16">
        <v>11</v>
      </c>
    </row>
    <row r="1556" spans="1:5" x14ac:dyDescent="0.4">
      <c r="A1556" s="16" t="s">
        <v>22</v>
      </c>
      <c r="B1556" s="16" t="s">
        <v>61</v>
      </c>
      <c r="C1556" s="16" t="str">
        <f t="shared" si="24"/>
        <v>华东</v>
      </c>
      <c r="D1556" s="16" t="s">
        <v>1620</v>
      </c>
      <c r="E1556" s="16">
        <v>23</v>
      </c>
    </row>
    <row r="1557" spans="1:5" x14ac:dyDescent="0.4">
      <c r="A1557" s="16" t="s">
        <v>22</v>
      </c>
      <c r="B1557" s="16" t="s">
        <v>55</v>
      </c>
      <c r="C1557" s="16" t="str">
        <f t="shared" si="24"/>
        <v>华东</v>
      </c>
      <c r="D1557" s="16" t="s">
        <v>1621</v>
      </c>
      <c r="E1557" s="16">
        <v>17</v>
      </c>
    </row>
    <row r="1558" spans="1:5" x14ac:dyDescent="0.4">
      <c r="A1558" s="16" t="s">
        <v>22</v>
      </c>
      <c r="B1558" s="16" t="s">
        <v>23</v>
      </c>
      <c r="C1558" s="16" t="str">
        <f t="shared" si="24"/>
        <v>西南</v>
      </c>
      <c r="D1558" s="16" t="s">
        <v>1622</v>
      </c>
      <c r="E1558" s="16">
        <v>10</v>
      </c>
    </row>
    <row r="1559" spans="1:5" x14ac:dyDescent="0.4">
      <c r="A1559" s="16" t="s">
        <v>22</v>
      </c>
      <c r="B1559" s="16" t="s">
        <v>23</v>
      </c>
      <c r="C1559" s="16" t="str">
        <f t="shared" si="24"/>
        <v>西南</v>
      </c>
      <c r="D1559" s="16" t="s">
        <v>1623</v>
      </c>
      <c r="E1559" s="16">
        <v>27</v>
      </c>
    </row>
    <row r="1560" spans="1:5" x14ac:dyDescent="0.4">
      <c r="A1560" s="16" t="s">
        <v>29</v>
      </c>
      <c r="B1560" s="16" t="s">
        <v>73</v>
      </c>
      <c r="C1560" s="16" t="str">
        <f t="shared" si="24"/>
        <v>华中</v>
      </c>
      <c r="D1560" s="16" t="s">
        <v>1624</v>
      </c>
      <c r="E1560" s="16">
        <v>10</v>
      </c>
    </row>
    <row r="1561" spans="1:5" x14ac:dyDescent="0.4">
      <c r="A1561" s="16" t="s">
        <v>29</v>
      </c>
      <c r="B1561" s="16" t="s">
        <v>73</v>
      </c>
      <c r="C1561" s="16" t="str">
        <f t="shared" si="24"/>
        <v>华中</v>
      </c>
      <c r="D1561" s="16" t="s">
        <v>1625</v>
      </c>
      <c r="E1561" s="16">
        <v>12</v>
      </c>
    </row>
    <row r="1562" spans="1:5" x14ac:dyDescent="0.4">
      <c r="A1562" s="16" t="s">
        <v>22</v>
      </c>
      <c r="B1562" s="16" t="s">
        <v>65</v>
      </c>
      <c r="C1562" s="16" t="str">
        <f t="shared" si="24"/>
        <v>华南</v>
      </c>
      <c r="D1562" s="16" t="s">
        <v>1626</v>
      </c>
      <c r="E1562" s="16">
        <v>29</v>
      </c>
    </row>
    <row r="1563" spans="1:5" x14ac:dyDescent="0.4">
      <c r="A1563" s="16" t="s">
        <v>33</v>
      </c>
      <c r="B1563" s="16" t="s">
        <v>34</v>
      </c>
      <c r="C1563" s="16" t="str">
        <f t="shared" si="24"/>
        <v>西北</v>
      </c>
      <c r="D1563" s="16" t="s">
        <v>1627</v>
      </c>
      <c r="E1563" s="16">
        <v>17</v>
      </c>
    </row>
    <row r="1564" spans="1:5" x14ac:dyDescent="0.4">
      <c r="A1564" s="16" t="s">
        <v>33</v>
      </c>
      <c r="B1564" s="16" t="s">
        <v>34</v>
      </c>
      <c r="C1564" s="16" t="str">
        <f t="shared" si="24"/>
        <v>西北</v>
      </c>
      <c r="D1564" s="16" t="s">
        <v>1628</v>
      </c>
      <c r="E1564" s="16">
        <v>19</v>
      </c>
    </row>
    <row r="1565" spans="1:5" x14ac:dyDescent="0.4">
      <c r="A1565" s="16" t="s">
        <v>29</v>
      </c>
      <c r="B1565" s="16" t="s">
        <v>25</v>
      </c>
      <c r="C1565" s="16" t="str">
        <f t="shared" si="24"/>
        <v>东北</v>
      </c>
      <c r="D1565" s="16" t="s">
        <v>1629</v>
      </c>
      <c r="E1565" s="16">
        <v>20</v>
      </c>
    </row>
    <row r="1566" spans="1:5" x14ac:dyDescent="0.4">
      <c r="A1566" s="16" t="s">
        <v>33</v>
      </c>
      <c r="B1566" s="16" t="s">
        <v>34</v>
      </c>
      <c r="C1566" s="16" t="str">
        <f t="shared" si="24"/>
        <v>西北</v>
      </c>
      <c r="D1566" s="16" t="s">
        <v>1630</v>
      </c>
      <c r="E1566" s="16">
        <v>13</v>
      </c>
    </row>
    <row r="1567" spans="1:5" x14ac:dyDescent="0.4">
      <c r="A1567" s="16" t="s">
        <v>22</v>
      </c>
      <c r="B1567" s="16" t="s">
        <v>63</v>
      </c>
      <c r="C1567" s="16" t="str">
        <f t="shared" si="24"/>
        <v>西南</v>
      </c>
      <c r="D1567" s="16" t="s">
        <v>1631</v>
      </c>
      <c r="E1567" s="16">
        <v>13</v>
      </c>
    </row>
    <row r="1568" spans="1:5" x14ac:dyDescent="0.4">
      <c r="A1568" s="16" t="s">
        <v>22</v>
      </c>
      <c r="B1568" s="16" t="s">
        <v>73</v>
      </c>
      <c r="C1568" s="16" t="str">
        <f t="shared" si="24"/>
        <v>华中</v>
      </c>
      <c r="D1568" s="16" t="s">
        <v>1632</v>
      </c>
      <c r="E1568" s="16">
        <v>17</v>
      </c>
    </row>
    <row r="1569" spans="1:5" x14ac:dyDescent="0.4">
      <c r="A1569" s="16" t="s">
        <v>22</v>
      </c>
      <c r="B1569" s="16" t="s">
        <v>65</v>
      </c>
      <c r="C1569" s="16" t="str">
        <f t="shared" si="24"/>
        <v>华南</v>
      </c>
      <c r="D1569" s="16" t="s">
        <v>1633</v>
      </c>
      <c r="E1569" s="16">
        <v>20</v>
      </c>
    </row>
    <row r="1570" spans="1:5" x14ac:dyDescent="0.4">
      <c r="A1570" s="16" t="s">
        <v>22</v>
      </c>
      <c r="B1570" s="16" t="s">
        <v>61</v>
      </c>
      <c r="C1570" s="16" t="str">
        <f t="shared" si="24"/>
        <v>华东</v>
      </c>
      <c r="D1570" s="16" t="s">
        <v>1634</v>
      </c>
      <c r="E1570" s="16">
        <v>11</v>
      </c>
    </row>
    <row r="1571" spans="1:5" x14ac:dyDescent="0.4">
      <c r="A1571" s="16" t="s">
        <v>22</v>
      </c>
      <c r="B1571" s="16" t="s">
        <v>61</v>
      </c>
      <c r="C1571" s="16" t="str">
        <f t="shared" si="24"/>
        <v>华东</v>
      </c>
      <c r="D1571" s="16" t="s">
        <v>1635</v>
      </c>
      <c r="E1571" s="16">
        <v>11</v>
      </c>
    </row>
    <row r="1572" spans="1:5" x14ac:dyDescent="0.4">
      <c r="A1572" s="16" t="s">
        <v>22</v>
      </c>
      <c r="B1572" s="16" t="s">
        <v>76</v>
      </c>
      <c r="C1572" s="16" t="str">
        <f t="shared" si="24"/>
        <v>西北</v>
      </c>
      <c r="D1572" s="16" t="s">
        <v>1636</v>
      </c>
      <c r="E1572" s="16">
        <v>17</v>
      </c>
    </row>
    <row r="1573" spans="1:5" x14ac:dyDescent="0.4">
      <c r="A1573" s="16" t="s">
        <v>29</v>
      </c>
      <c r="B1573" s="16" t="s">
        <v>53</v>
      </c>
      <c r="C1573" s="16" t="str">
        <f t="shared" si="24"/>
        <v>华东</v>
      </c>
      <c r="D1573" s="16" t="s">
        <v>1637</v>
      </c>
      <c r="E1573" s="16">
        <v>16</v>
      </c>
    </row>
    <row r="1574" spans="1:5" x14ac:dyDescent="0.4">
      <c r="A1574" s="16" t="s">
        <v>22</v>
      </c>
      <c r="B1574" s="16" t="s">
        <v>53</v>
      </c>
      <c r="C1574" s="16" t="str">
        <f t="shared" si="24"/>
        <v>华东</v>
      </c>
      <c r="D1574" s="16" t="s">
        <v>1638</v>
      </c>
      <c r="E1574" s="16">
        <v>25</v>
      </c>
    </row>
    <row r="1575" spans="1:5" x14ac:dyDescent="0.4">
      <c r="A1575" s="16" t="s">
        <v>22</v>
      </c>
      <c r="B1575" s="16" t="s">
        <v>44</v>
      </c>
      <c r="C1575" s="16" t="str">
        <f t="shared" si="24"/>
        <v>华北</v>
      </c>
      <c r="D1575" s="16" t="s">
        <v>1639</v>
      </c>
      <c r="E1575" s="16">
        <v>17</v>
      </c>
    </row>
    <row r="1576" spans="1:5" x14ac:dyDescent="0.4">
      <c r="A1576" s="16" t="s">
        <v>22</v>
      </c>
      <c r="B1576" s="16" t="s">
        <v>48</v>
      </c>
      <c r="C1576" s="16" t="str">
        <f t="shared" si="24"/>
        <v>华东</v>
      </c>
      <c r="D1576" s="16" t="s">
        <v>1640</v>
      </c>
      <c r="E1576" s="16">
        <v>28</v>
      </c>
    </row>
    <row r="1577" spans="1:5" x14ac:dyDescent="0.4">
      <c r="A1577" s="16" t="s">
        <v>29</v>
      </c>
      <c r="B1577" s="16" t="s">
        <v>48</v>
      </c>
      <c r="C1577" s="16" t="str">
        <f t="shared" si="24"/>
        <v>华东</v>
      </c>
      <c r="D1577" s="16" t="s">
        <v>1641</v>
      </c>
      <c r="E1577" s="16">
        <v>10</v>
      </c>
    </row>
    <row r="1578" spans="1:5" x14ac:dyDescent="0.4">
      <c r="A1578" s="16" t="s">
        <v>22</v>
      </c>
      <c r="B1578" s="16" t="s">
        <v>48</v>
      </c>
      <c r="C1578" s="16" t="str">
        <f t="shared" si="24"/>
        <v>华东</v>
      </c>
      <c r="D1578" s="16" t="s">
        <v>1642</v>
      </c>
      <c r="E1578" s="16">
        <v>16</v>
      </c>
    </row>
    <row r="1579" spans="1:5" x14ac:dyDescent="0.4">
      <c r="A1579" s="16" t="s">
        <v>29</v>
      </c>
      <c r="B1579" s="16" t="s">
        <v>73</v>
      </c>
      <c r="C1579" s="16" t="str">
        <f t="shared" si="24"/>
        <v>华中</v>
      </c>
      <c r="D1579" s="16" t="s">
        <v>1643</v>
      </c>
      <c r="E1579" s="16">
        <v>27</v>
      </c>
    </row>
    <row r="1580" spans="1:5" x14ac:dyDescent="0.4">
      <c r="A1580" s="16" t="s">
        <v>22</v>
      </c>
      <c r="B1580" s="16" t="s">
        <v>48</v>
      </c>
      <c r="C1580" s="16" t="str">
        <f t="shared" si="24"/>
        <v>华东</v>
      </c>
      <c r="D1580" s="16" t="s">
        <v>1644</v>
      </c>
      <c r="E1580" s="16">
        <v>12</v>
      </c>
    </row>
    <row r="1581" spans="1:5" x14ac:dyDescent="0.4">
      <c r="A1581" s="16" t="s">
        <v>22</v>
      </c>
      <c r="B1581" s="16" t="s">
        <v>30</v>
      </c>
      <c r="C1581" s="16" t="str">
        <f t="shared" si="24"/>
        <v>华北</v>
      </c>
      <c r="D1581" s="16" t="s">
        <v>1645</v>
      </c>
      <c r="E1581" s="16">
        <v>10</v>
      </c>
    </row>
    <row r="1582" spans="1:5" x14ac:dyDescent="0.4">
      <c r="A1582" s="16" t="s">
        <v>29</v>
      </c>
      <c r="B1582" s="16" t="s">
        <v>44</v>
      </c>
      <c r="C1582" s="16" t="str">
        <f t="shared" si="24"/>
        <v>华北</v>
      </c>
      <c r="D1582" s="16" t="s">
        <v>1646</v>
      </c>
      <c r="E1582" s="16">
        <v>11</v>
      </c>
    </row>
    <row r="1583" spans="1:5" x14ac:dyDescent="0.4">
      <c r="A1583" s="16" t="s">
        <v>22</v>
      </c>
      <c r="B1583" s="16" t="s">
        <v>57</v>
      </c>
      <c r="C1583" s="16" t="str">
        <f t="shared" si="24"/>
        <v>华东</v>
      </c>
      <c r="D1583" s="16" t="s">
        <v>1647</v>
      </c>
      <c r="E1583" s="16">
        <v>17</v>
      </c>
    </row>
    <row r="1584" spans="1:5" x14ac:dyDescent="0.4">
      <c r="A1584" s="16" t="s">
        <v>22</v>
      </c>
      <c r="B1584" s="16" t="s">
        <v>55</v>
      </c>
      <c r="C1584" s="16" t="str">
        <f t="shared" si="24"/>
        <v>华东</v>
      </c>
      <c r="D1584" s="16" t="s">
        <v>1648</v>
      </c>
      <c r="E1584" s="16">
        <v>19</v>
      </c>
    </row>
    <row r="1585" spans="1:5" x14ac:dyDescent="0.4">
      <c r="A1585" s="16" t="s">
        <v>33</v>
      </c>
      <c r="B1585" s="16" t="s">
        <v>25</v>
      </c>
      <c r="C1585" s="16" t="str">
        <f t="shared" si="24"/>
        <v>东北</v>
      </c>
      <c r="D1585" s="16" t="s">
        <v>1649</v>
      </c>
      <c r="E1585" s="16">
        <v>11</v>
      </c>
    </row>
    <row r="1586" spans="1:5" x14ac:dyDescent="0.4">
      <c r="A1586" s="16" t="s">
        <v>22</v>
      </c>
      <c r="B1586" s="16" t="s">
        <v>57</v>
      </c>
      <c r="C1586" s="16" t="str">
        <f t="shared" si="24"/>
        <v>华东</v>
      </c>
      <c r="D1586" s="16" t="s">
        <v>1650</v>
      </c>
      <c r="E1586" s="16">
        <v>19</v>
      </c>
    </row>
    <row r="1587" spans="1:5" x14ac:dyDescent="0.4">
      <c r="A1587" s="16" t="s">
        <v>22</v>
      </c>
      <c r="B1587" s="16" t="s">
        <v>61</v>
      </c>
      <c r="C1587" s="16" t="str">
        <f t="shared" si="24"/>
        <v>华东</v>
      </c>
      <c r="D1587" s="16" t="s">
        <v>1651</v>
      </c>
      <c r="E1587" s="16">
        <v>10</v>
      </c>
    </row>
    <row r="1588" spans="1:5" x14ac:dyDescent="0.4">
      <c r="A1588" s="16" t="s">
        <v>22</v>
      </c>
      <c r="B1588" s="16" t="s">
        <v>61</v>
      </c>
      <c r="C1588" s="16" t="str">
        <f t="shared" si="24"/>
        <v>华东</v>
      </c>
      <c r="D1588" s="16" t="s">
        <v>1652</v>
      </c>
      <c r="E1588" s="16">
        <v>21</v>
      </c>
    </row>
    <row r="1589" spans="1:5" x14ac:dyDescent="0.4">
      <c r="A1589" s="16" t="s">
        <v>29</v>
      </c>
      <c r="B1589" s="16" t="s">
        <v>53</v>
      </c>
      <c r="C1589" s="16" t="str">
        <f t="shared" si="24"/>
        <v>华东</v>
      </c>
      <c r="D1589" s="16" t="s">
        <v>1653</v>
      </c>
      <c r="E1589" s="16">
        <v>29</v>
      </c>
    </row>
    <row r="1590" spans="1:5" x14ac:dyDescent="0.4">
      <c r="A1590" s="16" t="s">
        <v>22</v>
      </c>
      <c r="B1590" s="16" t="s">
        <v>53</v>
      </c>
      <c r="C1590" s="16" t="str">
        <f t="shared" si="24"/>
        <v>华东</v>
      </c>
      <c r="D1590" s="16" t="s">
        <v>1654</v>
      </c>
      <c r="E1590" s="16">
        <v>20</v>
      </c>
    </row>
    <row r="1591" spans="1:5" x14ac:dyDescent="0.4">
      <c r="A1591" s="16" t="s">
        <v>22</v>
      </c>
      <c r="B1591" s="16" t="s">
        <v>53</v>
      </c>
      <c r="C1591" s="16" t="str">
        <f t="shared" si="24"/>
        <v>华东</v>
      </c>
      <c r="D1591" s="16" t="s">
        <v>1655</v>
      </c>
      <c r="E1591" s="16">
        <v>18</v>
      </c>
    </row>
    <row r="1592" spans="1:5" x14ac:dyDescent="0.4">
      <c r="A1592" s="16" t="s">
        <v>22</v>
      </c>
      <c r="B1592" s="16" t="s">
        <v>57</v>
      </c>
      <c r="C1592" s="16" t="str">
        <f t="shared" si="24"/>
        <v>华东</v>
      </c>
      <c r="D1592" s="16" t="s">
        <v>1656</v>
      </c>
      <c r="E1592" s="16">
        <v>28</v>
      </c>
    </row>
    <row r="1593" spans="1:5" x14ac:dyDescent="0.4">
      <c r="A1593" s="16" t="s">
        <v>29</v>
      </c>
      <c r="B1593" s="16" t="s">
        <v>73</v>
      </c>
      <c r="C1593" s="16" t="str">
        <f t="shared" si="24"/>
        <v>华中</v>
      </c>
      <c r="D1593" s="16" t="s">
        <v>1657</v>
      </c>
      <c r="E1593" s="16">
        <v>26</v>
      </c>
    </row>
    <row r="1594" spans="1:5" x14ac:dyDescent="0.4">
      <c r="A1594" s="16" t="s">
        <v>29</v>
      </c>
      <c r="B1594" s="16" t="s">
        <v>73</v>
      </c>
      <c r="C1594" s="16" t="str">
        <f t="shared" si="24"/>
        <v>华中</v>
      </c>
      <c r="D1594" s="16" t="s">
        <v>1658</v>
      </c>
      <c r="E1594" s="16">
        <v>21</v>
      </c>
    </row>
    <row r="1595" spans="1:5" x14ac:dyDescent="0.4">
      <c r="A1595" s="16" t="s">
        <v>33</v>
      </c>
      <c r="B1595" s="16" t="s">
        <v>25</v>
      </c>
      <c r="C1595" s="16" t="str">
        <f t="shared" si="24"/>
        <v>东北</v>
      </c>
      <c r="D1595" s="16" t="s">
        <v>1659</v>
      </c>
      <c r="E1595" s="16">
        <v>25</v>
      </c>
    </row>
    <row r="1596" spans="1:5" x14ac:dyDescent="0.4">
      <c r="A1596" s="16" t="s">
        <v>22</v>
      </c>
      <c r="B1596" s="16" t="s">
        <v>40</v>
      </c>
      <c r="C1596" s="16" t="str">
        <f t="shared" si="24"/>
        <v>华北</v>
      </c>
      <c r="D1596" s="16" t="s">
        <v>1660</v>
      </c>
      <c r="E1596" s="16">
        <v>21</v>
      </c>
    </row>
    <row r="1597" spans="1:5" x14ac:dyDescent="0.4">
      <c r="A1597" s="16" t="s">
        <v>29</v>
      </c>
      <c r="B1597" s="16" t="s">
        <v>40</v>
      </c>
      <c r="C1597" s="16" t="str">
        <f t="shared" si="24"/>
        <v>华北</v>
      </c>
      <c r="D1597" s="16" t="s">
        <v>1661</v>
      </c>
      <c r="E1597" s="16">
        <v>29</v>
      </c>
    </row>
    <row r="1598" spans="1:5" x14ac:dyDescent="0.4">
      <c r="A1598" s="16" t="s">
        <v>29</v>
      </c>
      <c r="B1598" s="16" t="s">
        <v>58</v>
      </c>
      <c r="C1598" s="16" t="str">
        <f t="shared" si="24"/>
        <v>华中</v>
      </c>
      <c r="D1598" s="16" t="s">
        <v>1662</v>
      </c>
      <c r="E1598" s="16">
        <v>14</v>
      </c>
    </row>
    <row r="1599" spans="1:5" x14ac:dyDescent="0.4">
      <c r="A1599" s="16" t="s">
        <v>29</v>
      </c>
      <c r="B1599" s="16" t="s">
        <v>34</v>
      </c>
      <c r="C1599" s="16" t="str">
        <f t="shared" si="24"/>
        <v>西北</v>
      </c>
      <c r="D1599" s="16" t="s">
        <v>1663</v>
      </c>
      <c r="E1599" s="16">
        <v>22</v>
      </c>
    </row>
    <row r="1600" spans="1:5" x14ac:dyDescent="0.4">
      <c r="A1600" s="16" t="s">
        <v>29</v>
      </c>
      <c r="B1600" s="16" t="s">
        <v>57</v>
      </c>
      <c r="C1600" s="16" t="str">
        <f t="shared" si="24"/>
        <v>华东</v>
      </c>
      <c r="D1600" s="16" t="s">
        <v>1664</v>
      </c>
      <c r="E1600" s="16">
        <v>28</v>
      </c>
    </row>
    <row r="1601" spans="1:5" x14ac:dyDescent="0.4">
      <c r="A1601" s="16" t="s">
        <v>22</v>
      </c>
      <c r="B1601" s="16" t="s">
        <v>69</v>
      </c>
      <c r="C1601" s="16" t="str">
        <f t="shared" si="24"/>
        <v>华南</v>
      </c>
      <c r="D1601" s="16" t="s">
        <v>1665</v>
      </c>
      <c r="E1601" s="16">
        <v>21</v>
      </c>
    </row>
    <row r="1602" spans="1:5" x14ac:dyDescent="0.4">
      <c r="A1602" s="16" t="s">
        <v>22</v>
      </c>
      <c r="B1602" s="16" t="s">
        <v>69</v>
      </c>
      <c r="C1602" s="16" t="str">
        <f t="shared" si="24"/>
        <v>华南</v>
      </c>
      <c r="D1602" s="16" t="s">
        <v>1666</v>
      </c>
      <c r="E1602" s="16">
        <v>13</v>
      </c>
    </row>
    <row r="1603" spans="1:5" x14ac:dyDescent="0.4">
      <c r="A1603" s="16" t="s">
        <v>22</v>
      </c>
      <c r="B1603" s="16" t="s">
        <v>69</v>
      </c>
      <c r="C1603" s="16" t="str">
        <f t="shared" ref="C1603:C1666" si="25">_xlfn.XLOOKUP(B1603,$I$2:$I$32,$J$2:$J$32)</f>
        <v>华南</v>
      </c>
      <c r="D1603" s="16" t="s">
        <v>1667</v>
      </c>
      <c r="E1603" s="16">
        <v>16</v>
      </c>
    </row>
    <row r="1604" spans="1:5" x14ac:dyDescent="0.4">
      <c r="A1604" s="16" t="s">
        <v>22</v>
      </c>
      <c r="B1604" s="16" t="s">
        <v>46</v>
      </c>
      <c r="C1604" s="16" t="str">
        <f t="shared" si="25"/>
        <v>华北</v>
      </c>
      <c r="D1604" s="16" t="s">
        <v>1668</v>
      </c>
      <c r="E1604" s="16">
        <v>18</v>
      </c>
    </row>
    <row r="1605" spans="1:5" x14ac:dyDescent="0.4">
      <c r="A1605" s="16" t="s">
        <v>22</v>
      </c>
      <c r="B1605" s="16" t="s">
        <v>46</v>
      </c>
      <c r="C1605" s="16" t="str">
        <f t="shared" si="25"/>
        <v>华北</v>
      </c>
      <c r="D1605" s="16" t="s">
        <v>1669</v>
      </c>
      <c r="E1605" s="16">
        <v>10</v>
      </c>
    </row>
    <row r="1606" spans="1:5" x14ac:dyDescent="0.4">
      <c r="A1606" s="16" t="s">
        <v>29</v>
      </c>
      <c r="B1606" s="16" t="s">
        <v>46</v>
      </c>
      <c r="C1606" s="16" t="str">
        <f t="shared" si="25"/>
        <v>华北</v>
      </c>
      <c r="D1606" s="16" t="s">
        <v>1670</v>
      </c>
      <c r="E1606" s="16">
        <v>22</v>
      </c>
    </row>
    <row r="1607" spans="1:5" x14ac:dyDescent="0.4">
      <c r="A1607" s="16" t="s">
        <v>22</v>
      </c>
      <c r="B1607" s="16" t="s">
        <v>46</v>
      </c>
      <c r="C1607" s="16" t="str">
        <f t="shared" si="25"/>
        <v>华北</v>
      </c>
      <c r="D1607" s="16" t="s">
        <v>1671</v>
      </c>
      <c r="E1607" s="16">
        <v>16</v>
      </c>
    </row>
    <row r="1608" spans="1:5" x14ac:dyDescent="0.4">
      <c r="A1608" s="16" t="s">
        <v>29</v>
      </c>
      <c r="B1608" s="16" t="s">
        <v>46</v>
      </c>
      <c r="C1608" s="16" t="str">
        <f t="shared" si="25"/>
        <v>华北</v>
      </c>
      <c r="D1608" s="16" t="s">
        <v>1672</v>
      </c>
      <c r="E1608" s="16">
        <v>21</v>
      </c>
    </row>
    <row r="1609" spans="1:5" x14ac:dyDescent="0.4">
      <c r="A1609" s="16" t="s">
        <v>22</v>
      </c>
      <c r="B1609" s="16" t="s">
        <v>46</v>
      </c>
      <c r="C1609" s="16" t="str">
        <f t="shared" si="25"/>
        <v>华北</v>
      </c>
      <c r="D1609" s="16" t="s">
        <v>1673</v>
      </c>
      <c r="E1609" s="16">
        <v>24</v>
      </c>
    </row>
    <row r="1610" spans="1:5" x14ac:dyDescent="0.4">
      <c r="A1610" s="16" t="s">
        <v>29</v>
      </c>
      <c r="B1610" s="16" t="s">
        <v>83</v>
      </c>
      <c r="C1610" s="16" t="str">
        <f t="shared" si="25"/>
        <v>西北</v>
      </c>
      <c r="D1610" s="16" t="s">
        <v>1674</v>
      </c>
      <c r="E1610" s="16">
        <v>25</v>
      </c>
    </row>
    <row r="1611" spans="1:5" x14ac:dyDescent="0.4">
      <c r="A1611" s="16" t="s">
        <v>33</v>
      </c>
      <c r="B1611" s="16" t="s">
        <v>67</v>
      </c>
      <c r="C1611" s="16" t="str">
        <f t="shared" si="25"/>
        <v>华中</v>
      </c>
      <c r="D1611" s="16" t="s">
        <v>1675</v>
      </c>
      <c r="E1611" s="16">
        <v>23</v>
      </c>
    </row>
    <row r="1612" spans="1:5" x14ac:dyDescent="0.4">
      <c r="A1612" s="16" t="s">
        <v>29</v>
      </c>
      <c r="B1612" s="16" t="s">
        <v>23</v>
      </c>
      <c r="C1612" s="16" t="str">
        <f t="shared" si="25"/>
        <v>西南</v>
      </c>
      <c r="D1612" s="16" t="s">
        <v>1676</v>
      </c>
      <c r="E1612" s="16">
        <v>29</v>
      </c>
    </row>
    <row r="1613" spans="1:5" x14ac:dyDescent="0.4">
      <c r="A1613" s="16" t="s">
        <v>22</v>
      </c>
      <c r="B1613" s="16" t="s">
        <v>34</v>
      </c>
      <c r="C1613" s="16" t="str">
        <f t="shared" si="25"/>
        <v>西北</v>
      </c>
      <c r="D1613" s="16" t="s">
        <v>1677</v>
      </c>
      <c r="E1613" s="16">
        <v>23</v>
      </c>
    </row>
    <row r="1614" spans="1:5" x14ac:dyDescent="0.4">
      <c r="A1614" s="16" t="s">
        <v>29</v>
      </c>
      <c r="B1614" s="16" t="s">
        <v>61</v>
      </c>
      <c r="C1614" s="16" t="str">
        <f t="shared" si="25"/>
        <v>华东</v>
      </c>
      <c r="D1614" s="16" t="s">
        <v>1678</v>
      </c>
      <c r="E1614" s="16">
        <v>22</v>
      </c>
    </row>
    <row r="1615" spans="1:5" x14ac:dyDescent="0.4">
      <c r="A1615" s="16" t="s">
        <v>22</v>
      </c>
      <c r="B1615" s="16" t="s">
        <v>61</v>
      </c>
      <c r="C1615" s="16" t="str">
        <f t="shared" si="25"/>
        <v>华东</v>
      </c>
      <c r="D1615" s="16" t="s">
        <v>1679</v>
      </c>
      <c r="E1615" s="16">
        <v>22</v>
      </c>
    </row>
    <row r="1616" spans="1:5" x14ac:dyDescent="0.4">
      <c r="A1616" s="16" t="s">
        <v>29</v>
      </c>
      <c r="B1616" s="16" t="s">
        <v>48</v>
      </c>
      <c r="C1616" s="16" t="str">
        <f t="shared" si="25"/>
        <v>华东</v>
      </c>
      <c r="D1616" s="16" t="s">
        <v>1680</v>
      </c>
      <c r="E1616" s="16">
        <v>18</v>
      </c>
    </row>
    <row r="1617" spans="1:5" x14ac:dyDescent="0.4">
      <c r="A1617" s="16" t="s">
        <v>22</v>
      </c>
      <c r="B1617" s="16" t="s">
        <v>48</v>
      </c>
      <c r="C1617" s="16" t="str">
        <f t="shared" si="25"/>
        <v>华东</v>
      </c>
      <c r="D1617" s="16" t="s">
        <v>1681</v>
      </c>
      <c r="E1617" s="16">
        <v>29</v>
      </c>
    </row>
    <row r="1618" spans="1:5" x14ac:dyDescent="0.4">
      <c r="A1618" s="16" t="s">
        <v>22</v>
      </c>
      <c r="B1618" s="16" t="s">
        <v>63</v>
      </c>
      <c r="C1618" s="16" t="str">
        <f t="shared" si="25"/>
        <v>西南</v>
      </c>
      <c r="D1618" s="16" t="s">
        <v>1682</v>
      </c>
      <c r="E1618" s="16">
        <v>27</v>
      </c>
    </row>
    <row r="1619" spans="1:5" x14ac:dyDescent="0.4">
      <c r="A1619" s="16" t="s">
        <v>29</v>
      </c>
      <c r="B1619" s="16" t="s">
        <v>38</v>
      </c>
      <c r="C1619" s="16" t="str">
        <f t="shared" si="25"/>
        <v>西北</v>
      </c>
      <c r="D1619" s="16" t="s">
        <v>1683</v>
      </c>
      <c r="E1619" s="16">
        <v>26</v>
      </c>
    </row>
    <row r="1620" spans="1:5" x14ac:dyDescent="0.4">
      <c r="A1620" s="16" t="s">
        <v>29</v>
      </c>
      <c r="B1620" s="16" t="s">
        <v>69</v>
      </c>
      <c r="C1620" s="16" t="str">
        <f t="shared" si="25"/>
        <v>华南</v>
      </c>
      <c r="D1620" s="16" t="s">
        <v>1684</v>
      </c>
      <c r="E1620" s="16">
        <v>26</v>
      </c>
    </row>
    <row r="1621" spans="1:5" x14ac:dyDescent="0.4">
      <c r="A1621" s="16" t="s">
        <v>22</v>
      </c>
      <c r="B1621" s="16" t="s">
        <v>69</v>
      </c>
      <c r="C1621" s="16" t="str">
        <f t="shared" si="25"/>
        <v>华南</v>
      </c>
      <c r="D1621" s="16" t="s">
        <v>1685</v>
      </c>
      <c r="E1621" s="16">
        <v>25</v>
      </c>
    </row>
    <row r="1622" spans="1:5" x14ac:dyDescent="0.4">
      <c r="A1622" s="16" t="s">
        <v>29</v>
      </c>
      <c r="B1622" s="16" t="s">
        <v>69</v>
      </c>
      <c r="C1622" s="16" t="str">
        <f t="shared" si="25"/>
        <v>华南</v>
      </c>
      <c r="D1622" s="16" t="s">
        <v>1686</v>
      </c>
      <c r="E1622" s="16">
        <v>28</v>
      </c>
    </row>
    <row r="1623" spans="1:5" x14ac:dyDescent="0.4">
      <c r="A1623" s="16" t="s">
        <v>22</v>
      </c>
      <c r="B1623" s="16" t="s">
        <v>69</v>
      </c>
      <c r="C1623" s="16" t="str">
        <f t="shared" si="25"/>
        <v>华南</v>
      </c>
      <c r="D1623" s="16" t="s">
        <v>1687</v>
      </c>
      <c r="E1623" s="16">
        <v>11</v>
      </c>
    </row>
    <row r="1624" spans="1:5" x14ac:dyDescent="0.4">
      <c r="A1624" s="16" t="s">
        <v>33</v>
      </c>
      <c r="B1624" s="16" t="s">
        <v>69</v>
      </c>
      <c r="C1624" s="16" t="str">
        <f t="shared" si="25"/>
        <v>华南</v>
      </c>
      <c r="D1624" s="16" t="s">
        <v>1688</v>
      </c>
      <c r="E1624" s="16">
        <v>23</v>
      </c>
    </row>
    <row r="1625" spans="1:5" x14ac:dyDescent="0.4">
      <c r="A1625" s="16" t="s">
        <v>33</v>
      </c>
      <c r="B1625" s="16" t="s">
        <v>32</v>
      </c>
      <c r="C1625" s="16" t="str">
        <f t="shared" si="25"/>
        <v>东北</v>
      </c>
      <c r="D1625" s="16" t="s">
        <v>1689</v>
      </c>
      <c r="E1625" s="16">
        <v>10</v>
      </c>
    </row>
    <row r="1626" spans="1:5" x14ac:dyDescent="0.4">
      <c r="A1626" s="16" t="s">
        <v>33</v>
      </c>
      <c r="B1626" s="16" t="s">
        <v>32</v>
      </c>
      <c r="C1626" s="16" t="str">
        <f t="shared" si="25"/>
        <v>东北</v>
      </c>
      <c r="D1626" s="16" t="s">
        <v>1690</v>
      </c>
      <c r="E1626" s="16">
        <v>14</v>
      </c>
    </row>
    <row r="1627" spans="1:5" x14ac:dyDescent="0.4">
      <c r="A1627" s="16" t="s">
        <v>29</v>
      </c>
      <c r="B1627" s="16" t="s">
        <v>67</v>
      </c>
      <c r="C1627" s="16" t="str">
        <f t="shared" si="25"/>
        <v>华中</v>
      </c>
      <c r="D1627" s="16" t="s">
        <v>1691</v>
      </c>
      <c r="E1627" s="16">
        <v>10</v>
      </c>
    </row>
    <row r="1628" spans="1:5" x14ac:dyDescent="0.4">
      <c r="A1628" s="16" t="s">
        <v>29</v>
      </c>
      <c r="B1628" s="16" t="s">
        <v>58</v>
      </c>
      <c r="C1628" s="16" t="str">
        <f t="shared" si="25"/>
        <v>华中</v>
      </c>
      <c r="D1628" s="16" t="s">
        <v>1692</v>
      </c>
      <c r="E1628" s="16">
        <v>16</v>
      </c>
    </row>
    <row r="1629" spans="1:5" x14ac:dyDescent="0.4">
      <c r="A1629" s="16" t="s">
        <v>22</v>
      </c>
      <c r="B1629" s="16" t="s">
        <v>25</v>
      </c>
      <c r="C1629" s="16" t="str">
        <f t="shared" si="25"/>
        <v>东北</v>
      </c>
      <c r="D1629" s="16" t="s">
        <v>1693</v>
      </c>
      <c r="E1629" s="16">
        <v>28</v>
      </c>
    </row>
    <row r="1630" spans="1:5" x14ac:dyDescent="0.4">
      <c r="A1630" s="16" t="s">
        <v>22</v>
      </c>
      <c r="B1630" s="16" t="s">
        <v>28</v>
      </c>
      <c r="C1630" s="16" t="str">
        <f t="shared" si="25"/>
        <v>东北</v>
      </c>
      <c r="D1630" s="16" t="s">
        <v>1694</v>
      </c>
      <c r="E1630" s="16">
        <v>23</v>
      </c>
    </row>
    <row r="1631" spans="1:5" x14ac:dyDescent="0.4">
      <c r="A1631" s="16" t="s">
        <v>29</v>
      </c>
      <c r="B1631" s="16" t="s">
        <v>23</v>
      </c>
      <c r="C1631" s="16" t="str">
        <f t="shared" si="25"/>
        <v>西南</v>
      </c>
      <c r="D1631" s="16" t="s">
        <v>1695</v>
      </c>
      <c r="E1631" s="16">
        <v>23</v>
      </c>
    </row>
    <row r="1632" spans="1:5" x14ac:dyDescent="0.4">
      <c r="A1632" s="16" t="s">
        <v>29</v>
      </c>
      <c r="B1632" s="16" t="s">
        <v>30</v>
      </c>
      <c r="C1632" s="16" t="str">
        <f t="shared" si="25"/>
        <v>华北</v>
      </c>
      <c r="D1632" s="16" t="s">
        <v>1696</v>
      </c>
      <c r="E1632" s="16">
        <v>22</v>
      </c>
    </row>
    <row r="1633" spans="1:5" x14ac:dyDescent="0.4">
      <c r="A1633" s="16" t="s">
        <v>22</v>
      </c>
      <c r="B1633" s="16" t="s">
        <v>67</v>
      </c>
      <c r="C1633" s="16" t="str">
        <f t="shared" si="25"/>
        <v>华中</v>
      </c>
      <c r="D1633" s="16" t="s">
        <v>1697</v>
      </c>
      <c r="E1633" s="16">
        <v>10</v>
      </c>
    </row>
    <row r="1634" spans="1:5" x14ac:dyDescent="0.4">
      <c r="A1634" s="16" t="s">
        <v>22</v>
      </c>
      <c r="B1634" s="16" t="s">
        <v>48</v>
      </c>
      <c r="C1634" s="16" t="str">
        <f t="shared" si="25"/>
        <v>华东</v>
      </c>
      <c r="D1634" s="16" t="s">
        <v>1698</v>
      </c>
      <c r="E1634" s="16">
        <v>28</v>
      </c>
    </row>
    <row r="1635" spans="1:5" x14ac:dyDescent="0.4">
      <c r="A1635" s="16" t="s">
        <v>29</v>
      </c>
      <c r="B1635" s="16" t="s">
        <v>73</v>
      </c>
      <c r="C1635" s="16" t="str">
        <f t="shared" si="25"/>
        <v>华中</v>
      </c>
      <c r="D1635" s="16" t="s">
        <v>1699</v>
      </c>
      <c r="E1635" s="16">
        <v>23</v>
      </c>
    </row>
    <row r="1636" spans="1:5" x14ac:dyDescent="0.4">
      <c r="A1636" s="16" t="s">
        <v>22</v>
      </c>
      <c r="B1636" s="16" t="s">
        <v>53</v>
      </c>
      <c r="C1636" s="16" t="str">
        <f t="shared" si="25"/>
        <v>华东</v>
      </c>
      <c r="D1636" s="16" t="s">
        <v>1700</v>
      </c>
      <c r="E1636" s="16">
        <v>25</v>
      </c>
    </row>
    <row r="1637" spans="1:5" x14ac:dyDescent="0.4">
      <c r="A1637" s="16" t="s">
        <v>22</v>
      </c>
      <c r="B1637" s="16" t="s">
        <v>83</v>
      </c>
      <c r="C1637" s="16" t="str">
        <f t="shared" si="25"/>
        <v>西北</v>
      </c>
      <c r="D1637" s="16" t="s">
        <v>1701</v>
      </c>
      <c r="E1637" s="16">
        <v>17</v>
      </c>
    </row>
    <row r="1638" spans="1:5" x14ac:dyDescent="0.4">
      <c r="A1638" s="16" t="s">
        <v>29</v>
      </c>
      <c r="B1638" s="16" t="s">
        <v>25</v>
      </c>
      <c r="C1638" s="16" t="str">
        <f t="shared" si="25"/>
        <v>东北</v>
      </c>
      <c r="D1638" s="16" t="s">
        <v>1702</v>
      </c>
      <c r="E1638" s="16">
        <v>29</v>
      </c>
    </row>
    <row r="1639" spans="1:5" x14ac:dyDescent="0.4">
      <c r="A1639" s="16" t="s">
        <v>33</v>
      </c>
      <c r="B1639" s="16" t="s">
        <v>83</v>
      </c>
      <c r="C1639" s="16" t="str">
        <f t="shared" si="25"/>
        <v>西北</v>
      </c>
      <c r="D1639" s="16" t="s">
        <v>1703</v>
      </c>
      <c r="E1639" s="16">
        <v>18</v>
      </c>
    </row>
    <row r="1640" spans="1:5" x14ac:dyDescent="0.4">
      <c r="A1640" s="16" t="s">
        <v>22</v>
      </c>
      <c r="B1640" s="16" t="s">
        <v>81</v>
      </c>
      <c r="C1640" s="16" t="str">
        <f t="shared" si="25"/>
        <v>西北</v>
      </c>
      <c r="D1640" s="16" t="s">
        <v>1704</v>
      </c>
      <c r="E1640" s="16">
        <v>12</v>
      </c>
    </row>
    <row r="1641" spans="1:5" x14ac:dyDescent="0.4">
      <c r="A1641" s="16" t="s">
        <v>22</v>
      </c>
      <c r="B1641" s="16" t="s">
        <v>73</v>
      </c>
      <c r="C1641" s="16" t="str">
        <f t="shared" si="25"/>
        <v>华中</v>
      </c>
      <c r="D1641" s="16" t="s">
        <v>1705</v>
      </c>
      <c r="E1641" s="16">
        <v>21</v>
      </c>
    </row>
    <row r="1642" spans="1:5" x14ac:dyDescent="0.4">
      <c r="A1642" s="16" t="s">
        <v>22</v>
      </c>
      <c r="B1642" s="16" t="s">
        <v>48</v>
      </c>
      <c r="C1642" s="16" t="str">
        <f t="shared" si="25"/>
        <v>华东</v>
      </c>
      <c r="D1642" s="16" t="s">
        <v>1706</v>
      </c>
      <c r="E1642" s="16">
        <v>18</v>
      </c>
    </row>
    <row r="1643" spans="1:5" x14ac:dyDescent="0.4">
      <c r="A1643" s="16" t="s">
        <v>29</v>
      </c>
      <c r="B1643" s="16" t="s">
        <v>61</v>
      </c>
      <c r="C1643" s="16" t="str">
        <f t="shared" si="25"/>
        <v>华东</v>
      </c>
      <c r="D1643" s="16" t="s">
        <v>1707</v>
      </c>
      <c r="E1643" s="16">
        <v>13</v>
      </c>
    </row>
    <row r="1644" spans="1:5" x14ac:dyDescent="0.4">
      <c r="A1644" s="16" t="s">
        <v>22</v>
      </c>
      <c r="B1644" s="16" t="s">
        <v>61</v>
      </c>
      <c r="C1644" s="16" t="str">
        <f t="shared" si="25"/>
        <v>华东</v>
      </c>
      <c r="D1644" s="16" t="s">
        <v>1708</v>
      </c>
      <c r="E1644" s="16">
        <v>11</v>
      </c>
    </row>
    <row r="1645" spans="1:5" x14ac:dyDescent="0.4">
      <c r="A1645" s="16" t="s">
        <v>29</v>
      </c>
      <c r="B1645" s="16" t="s">
        <v>61</v>
      </c>
      <c r="C1645" s="16" t="str">
        <f t="shared" si="25"/>
        <v>华东</v>
      </c>
      <c r="D1645" s="16" t="s">
        <v>1709</v>
      </c>
      <c r="E1645" s="16">
        <v>24</v>
      </c>
    </row>
    <row r="1646" spans="1:5" x14ac:dyDescent="0.4">
      <c r="A1646" s="16" t="s">
        <v>22</v>
      </c>
      <c r="B1646" s="16" t="s">
        <v>61</v>
      </c>
      <c r="C1646" s="16" t="str">
        <f t="shared" si="25"/>
        <v>华东</v>
      </c>
      <c r="D1646" s="16" t="s">
        <v>1710</v>
      </c>
      <c r="E1646" s="16">
        <v>16</v>
      </c>
    </row>
    <row r="1647" spans="1:5" x14ac:dyDescent="0.4">
      <c r="A1647" s="16" t="s">
        <v>22</v>
      </c>
      <c r="B1647" s="16" t="s">
        <v>55</v>
      </c>
      <c r="C1647" s="16" t="str">
        <f t="shared" si="25"/>
        <v>华东</v>
      </c>
      <c r="D1647" s="16" t="s">
        <v>1711</v>
      </c>
      <c r="E1647" s="16">
        <v>19</v>
      </c>
    </row>
    <row r="1648" spans="1:5" x14ac:dyDescent="0.4">
      <c r="A1648" s="16" t="s">
        <v>22</v>
      </c>
      <c r="B1648" s="16" t="s">
        <v>48</v>
      </c>
      <c r="C1648" s="16" t="str">
        <f t="shared" si="25"/>
        <v>华东</v>
      </c>
      <c r="D1648" s="16" t="s">
        <v>1712</v>
      </c>
      <c r="E1648" s="16">
        <v>19</v>
      </c>
    </row>
    <row r="1649" spans="1:5" x14ac:dyDescent="0.4">
      <c r="A1649" s="16" t="s">
        <v>29</v>
      </c>
      <c r="B1649" s="16" t="s">
        <v>48</v>
      </c>
      <c r="C1649" s="16" t="str">
        <f t="shared" si="25"/>
        <v>华东</v>
      </c>
      <c r="D1649" s="16" t="s">
        <v>1713</v>
      </c>
      <c r="E1649" s="16">
        <v>24</v>
      </c>
    </row>
    <row r="1650" spans="1:5" x14ac:dyDescent="0.4">
      <c r="A1650" s="16" t="s">
        <v>22</v>
      </c>
      <c r="B1650" s="16" t="s">
        <v>48</v>
      </c>
      <c r="C1650" s="16" t="str">
        <f t="shared" si="25"/>
        <v>华东</v>
      </c>
      <c r="D1650" s="16" t="s">
        <v>1714</v>
      </c>
      <c r="E1650" s="16">
        <v>10</v>
      </c>
    </row>
    <row r="1651" spans="1:5" x14ac:dyDescent="0.4">
      <c r="A1651" s="16" t="s">
        <v>22</v>
      </c>
      <c r="B1651" s="16" t="s">
        <v>63</v>
      </c>
      <c r="C1651" s="16" t="str">
        <f t="shared" si="25"/>
        <v>西南</v>
      </c>
      <c r="D1651" s="16" t="s">
        <v>1715</v>
      </c>
      <c r="E1651" s="16">
        <v>23</v>
      </c>
    </row>
    <row r="1652" spans="1:5" x14ac:dyDescent="0.4">
      <c r="A1652" s="16" t="s">
        <v>29</v>
      </c>
      <c r="B1652" s="16" t="s">
        <v>30</v>
      </c>
      <c r="C1652" s="16" t="str">
        <f t="shared" si="25"/>
        <v>华北</v>
      </c>
      <c r="D1652" s="16" t="s">
        <v>1716</v>
      </c>
      <c r="E1652" s="16">
        <v>13</v>
      </c>
    </row>
    <row r="1653" spans="1:5" x14ac:dyDescent="0.4">
      <c r="A1653" s="16" t="s">
        <v>29</v>
      </c>
      <c r="B1653" s="16" t="s">
        <v>30</v>
      </c>
      <c r="C1653" s="16" t="str">
        <f t="shared" si="25"/>
        <v>华北</v>
      </c>
      <c r="D1653" s="16" t="s">
        <v>1717</v>
      </c>
      <c r="E1653" s="16">
        <v>25</v>
      </c>
    </row>
    <row r="1654" spans="1:5" x14ac:dyDescent="0.4">
      <c r="A1654" s="16" t="s">
        <v>33</v>
      </c>
      <c r="B1654" s="16" t="s">
        <v>34</v>
      </c>
      <c r="C1654" s="16" t="str">
        <f t="shared" si="25"/>
        <v>西北</v>
      </c>
      <c r="D1654" s="16" t="s">
        <v>1718</v>
      </c>
      <c r="E1654" s="16">
        <v>13</v>
      </c>
    </row>
    <row r="1655" spans="1:5" x14ac:dyDescent="0.4">
      <c r="A1655" s="16" t="s">
        <v>33</v>
      </c>
      <c r="B1655" s="16" t="s">
        <v>67</v>
      </c>
      <c r="C1655" s="16" t="str">
        <f t="shared" si="25"/>
        <v>华中</v>
      </c>
      <c r="D1655" s="16" t="s">
        <v>1719</v>
      </c>
      <c r="E1655" s="16">
        <v>10</v>
      </c>
    </row>
    <row r="1656" spans="1:5" x14ac:dyDescent="0.4">
      <c r="A1656" s="16" t="s">
        <v>33</v>
      </c>
      <c r="B1656" s="16" t="s">
        <v>67</v>
      </c>
      <c r="C1656" s="16" t="str">
        <f t="shared" si="25"/>
        <v>华中</v>
      </c>
      <c r="D1656" s="16" t="s">
        <v>1720</v>
      </c>
      <c r="E1656" s="16">
        <v>20</v>
      </c>
    </row>
    <row r="1657" spans="1:5" x14ac:dyDescent="0.4">
      <c r="A1657" s="16" t="s">
        <v>22</v>
      </c>
      <c r="B1657" s="16" t="s">
        <v>44</v>
      </c>
      <c r="C1657" s="16" t="str">
        <f t="shared" si="25"/>
        <v>华北</v>
      </c>
      <c r="D1657" s="16" t="s">
        <v>1721</v>
      </c>
      <c r="E1657" s="16">
        <v>13</v>
      </c>
    </row>
    <row r="1658" spans="1:5" x14ac:dyDescent="0.4">
      <c r="A1658" s="16" t="s">
        <v>22</v>
      </c>
      <c r="B1658" s="16" t="s">
        <v>48</v>
      </c>
      <c r="C1658" s="16" t="str">
        <f t="shared" si="25"/>
        <v>华东</v>
      </c>
      <c r="D1658" s="16" t="s">
        <v>1722</v>
      </c>
      <c r="E1658" s="16">
        <v>10</v>
      </c>
    </row>
    <row r="1659" spans="1:5" x14ac:dyDescent="0.4">
      <c r="A1659" s="16" t="s">
        <v>33</v>
      </c>
      <c r="B1659" s="16" t="s">
        <v>34</v>
      </c>
      <c r="C1659" s="16" t="str">
        <f t="shared" si="25"/>
        <v>西北</v>
      </c>
      <c r="D1659" s="16" t="s">
        <v>1723</v>
      </c>
      <c r="E1659" s="16">
        <v>12</v>
      </c>
    </row>
    <row r="1660" spans="1:5" x14ac:dyDescent="0.4">
      <c r="A1660" s="16" t="s">
        <v>33</v>
      </c>
      <c r="B1660" s="16" t="s">
        <v>34</v>
      </c>
      <c r="C1660" s="16" t="str">
        <f t="shared" si="25"/>
        <v>西北</v>
      </c>
      <c r="D1660" s="16" t="s">
        <v>1724</v>
      </c>
      <c r="E1660" s="16">
        <v>17</v>
      </c>
    </row>
    <row r="1661" spans="1:5" x14ac:dyDescent="0.4">
      <c r="A1661" s="16" t="s">
        <v>22</v>
      </c>
      <c r="B1661" s="16" t="s">
        <v>55</v>
      </c>
      <c r="C1661" s="16" t="str">
        <f t="shared" si="25"/>
        <v>华东</v>
      </c>
      <c r="D1661" s="16" t="s">
        <v>1725</v>
      </c>
      <c r="E1661" s="16">
        <v>28</v>
      </c>
    </row>
    <row r="1662" spans="1:5" x14ac:dyDescent="0.4">
      <c r="A1662" s="16" t="s">
        <v>29</v>
      </c>
      <c r="B1662" s="16" t="s">
        <v>73</v>
      </c>
      <c r="C1662" s="16" t="str">
        <f t="shared" si="25"/>
        <v>华中</v>
      </c>
      <c r="D1662" s="16" t="s">
        <v>1726</v>
      </c>
      <c r="E1662" s="16">
        <v>20</v>
      </c>
    </row>
    <row r="1663" spans="1:5" x14ac:dyDescent="0.4">
      <c r="A1663" s="16" t="s">
        <v>22</v>
      </c>
      <c r="B1663" s="16" t="s">
        <v>48</v>
      </c>
      <c r="C1663" s="16" t="str">
        <f t="shared" si="25"/>
        <v>华东</v>
      </c>
      <c r="D1663" s="16" t="s">
        <v>1727</v>
      </c>
      <c r="E1663" s="16">
        <v>23</v>
      </c>
    </row>
    <row r="1664" spans="1:5" x14ac:dyDescent="0.4">
      <c r="A1664" s="16" t="s">
        <v>22</v>
      </c>
      <c r="B1664" s="16" t="s">
        <v>55</v>
      </c>
      <c r="C1664" s="16" t="str">
        <f t="shared" si="25"/>
        <v>华东</v>
      </c>
      <c r="D1664" s="16" t="s">
        <v>1728</v>
      </c>
      <c r="E1664" s="16">
        <v>12</v>
      </c>
    </row>
    <row r="1665" spans="1:5" x14ac:dyDescent="0.4">
      <c r="A1665" s="16" t="s">
        <v>22</v>
      </c>
      <c r="B1665" s="16" t="s">
        <v>55</v>
      </c>
      <c r="C1665" s="16" t="str">
        <f t="shared" si="25"/>
        <v>华东</v>
      </c>
      <c r="D1665" s="16" t="s">
        <v>1729</v>
      </c>
      <c r="E1665" s="16">
        <v>22</v>
      </c>
    </row>
    <row r="1666" spans="1:5" x14ac:dyDescent="0.4">
      <c r="A1666" s="16" t="s">
        <v>29</v>
      </c>
      <c r="B1666" s="16" t="s">
        <v>44</v>
      </c>
      <c r="C1666" s="16" t="str">
        <f t="shared" si="25"/>
        <v>华北</v>
      </c>
      <c r="D1666" s="16" t="s">
        <v>1730</v>
      </c>
      <c r="E1666" s="16">
        <v>18</v>
      </c>
    </row>
    <row r="1667" spans="1:5" x14ac:dyDescent="0.4">
      <c r="A1667" s="16" t="s">
        <v>22</v>
      </c>
      <c r="B1667" s="16" t="s">
        <v>23</v>
      </c>
      <c r="C1667" s="16" t="str">
        <f t="shared" ref="C1667:C1730" si="26">_xlfn.XLOOKUP(B1667,$I$2:$I$32,$J$2:$J$32)</f>
        <v>西南</v>
      </c>
      <c r="D1667" s="16" t="s">
        <v>1731</v>
      </c>
      <c r="E1667" s="16">
        <v>27</v>
      </c>
    </row>
    <row r="1668" spans="1:5" x14ac:dyDescent="0.4">
      <c r="A1668" s="16" t="s">
        <v>29</v>
      </c>
      <c r="B1668" s="16" t="s">
        <v>55</v>
      </c>
      <c r="C1668" s="16" t="str">
        <f t="shared" si="26"/>
        <v>华东</v>
      </c>
      <c r="D1668" s="16" t="s">
        <v>1732</v>
      </c>
      <c r="E1668" s="16">
        <v>10</v>
      </c>
    </row>
    <row r="1669" spans="1:5" x14ac:dyDescent="0.4">
      <c r="A1669" s="16" t="s">
        <v>22</v>
      </c>
      <c r="B1669" s="16" t="s">
        <v>28</v>
      </c>
      <c r="C1669" s="16" t="str">
        <f t="shared" si="26"/>
        <v>东北</v>
      </c>
      <c r="D1669" s="16" t="s">
        <v>1733</v>
      </c>
      <c r="E1669" s="16">
        <v>17</v>
      </c>
    </row>
    <row r="1670" spans="1:5" x14ac:dyDescent="0.4">
      <c r="A1670" s="16" t="s">
        <v>22</v>
      </c>
      <c r="B1670" s="16" t="s">
        <v>23</v>
      </c>
      <c r="C1670" s="16" t="str">
        <f t="shared" si="26"/>
        <v>西南</v>
      </c>
      <c r="D1670" s="16" t="s">
        <v>1734</v>
      </c>
      <c r="E1670" s="16">
        <v>15</v>
      </c>
    </row>
    <row r="1671" spans="1:5" x14ac:dyDescent="0.4">
      <c r="A1671" s="16" t="s">
        <v>22</v>
      </c>
      <c r="B1671" s="16" t="s">
        <v>48</v>
      </c>
      <c r="C1671" s="16" t="str">
        <f t="shared" si="26"/>
        <v>华东</v>
      </c>
      <c r="D1671" s="16" t="s">
        <v>1735</v>
      </c>
      <c r="E1671" s="16">
        <v>29</v>
      </c>
    </row>
    <row r="1672" spans="1:5" x14ac:dyDescent="0.4">
      <c r="A1672" s="16" t="s">
        <v>29</v>
      </c>
      <c r="B1672" s="16" t="s">
        <v>63</v>
      </c>
      <c r="C1672" s="16" t="str">
        <f t="shared" si="26"/>
        <v>西南</v>
      </c>
      <c r="D1672" s="16" t="s">
        <v>1736</v>
      </c>
      <c r="E1672" s="16">
        <v>13</v>
      </c>
    </row>
    <row r="1673" spans="1:5" x14ac:dyDescent="0.4">
      <c r="A1673" s="16" t="s">
        <v>22</v>
      </c>
      <c r="B1673" s="16" t="s">
        <v>57</v>
      </c>
      <c r="C1673" s="16" t="str">
        <f t="shared" si="26"/>
        <v>华东</v>
      </c>
      <c r="D1673" s="16" t="s">
        <v>1737</v>
      </c>
      <c r="E1673" s="16">
        <v>19</v>
      </c>
    </row>
    <row r="1674" spans="1:5" x14ac:dyDescent="0.4">
      <c r="A1674" s="16" t="s">
        <v>22</v>
      </c>
      <c r="B1674" s="16" t="s">
        <v>57</v>
      </c>
      <c r="C1674" s="16" t="str">
        <f t="shared" si="26"/>
        <v>华东</v>
      </c>
      <c r="D1674" s="16" t="s">
        <v>1738</v>
      </c>
      <c r="E1674" s="16">
        <v>25</v>
      </c>
    </row>
    <row r="1675" spans="1:5" x14ac:dyDescent="0.4">
      <c r="A1675" s="16" t="s">
        <v>22</v>
      </c>
      <c r="B1675" s="16" t="s">
        <v>63</v>
      </c>
      <c r="C1675" s="16" t="str">
        <f t="shared" si="26"/>
        <v>西南</v>
      </c>
      <c r="D1675" s="16" t="s">
        <v>1739</v>
      </c>
      <c r="E1675" s="16">
        <v>10</v>
      </c>
    </row>
    <row r="1676" spans="1:5" x14ac:dyDescent="0.4">
      <c r="A1676" s="16" t="s">
        <v>33</v>
      </c>
      <c r="B1676" s="16" t="s">
        <v>40</v>
      </c>
      <c r="C1676" s="16" t="str">
        <f t="shared" si="26"/>
        <v>华北</v>
      </c>
      <c r="D1676" s="16" t="s">
        <v>1740</v>
      </c>
      <c r="E1676" s="16">
        <v>29</v>
      </c>
    </row>
    <row r="1677" spans="1:5" x14ac:dyDescent="0.4">
      <c r="A1677" s="16" t="s">
        <v>22</v>
      </c>
      <c r="B1677" s="16" t="s">
        <v>23</v>
      </c>
      <c r="C1677" s="16" t="str">
        <f t="shared" si="26"/>
        <v>西南</v>
      </c>
      <c r="D1677" s="16" t="s">
        <v>1741</v>
      </c>
      <c r="E1677" s="16">
        <v>21</v>
      </c>
    </row>
    <row r="1678" spans="1:5" x14ac:dyDescent="0.4">
      <c r="A1678" s="16" t="s">
        <v>29</v>
      </c>
      <c r="B1678" s="16" t="s">
        <v>57</v>
      </c>
      <c r="C1678" s="16" t="str">
        <f t="shared" si="26"/>
        <v>华东</v>
      </c>
      <c r="D1678" s="16" t="s">
        <v>1742</v>
      </c>
      <c r="E1678" s="16">
        <v>27</v>
      </c>
    </row>
    <row r="1679" spans="1:5" x14ac:dyDescent="0.4">
      <c r="A1679" s="16" t="s">
        <v>33</v>
      </c>
      <c r="B1679" s="16" t="s">
        <v>40</v>
      </c>
      <c r="C1679" s="16" t="str">
        <f t="shared" si="26"/>
        <v>华北</v>
      </c>
      <c r="D1679" s="16" t="s">
        <v>1743</v>
      </c>
      <c r="E1679" s="16">
        <v>23</v>
      </c>
    </row>
    <row r="1680" spans="1:5" x14ac:dyDescent="0.4">
      <c r="A1680" s="16" t="s">
        <v>33</v>
      </c>
      <c r="B1680" s="16" t="s">
        <v>40</v>
      </c>
      <c r="C1680" s="16" t="str">
        <f t="shared" si="26"/>
        <v>华北</v>
      </c>
      <c r="D1680" s="16" t="s">
        <v>1744</v>
      </c>
      <c r="E1680" s="16">
        <v>19</v>
      </c>
    </row>
    <row r="1681" spans="1:5" x14ac:dyDescent="0.4">
      <c r="A1681" s="16" t="s">
        <v>29</v>
      </c>
      <c r="B1681" s="16" t="s">
        <v>57</v>
      </c>
      <c r="C1681" s="16" t="str">
        <f t="shared" si="26"/>
        <v>华东</v>
      </c>
      <c r="D1681" s="16" t="s">
        <v>1745</v>
      </c>
      <c r="E1681" s="16">
        <v>19</v>
      </c>
    </row>
    <row r="1682" spans="1:5" x14ac:dyDescent="0.4">
      <c r="A1682" s="16" t="s">
        <v>22</v>
      </c>
      <c r="B1682" s="16" t="s">
        <v>57</v>
      </c>
      <c r="C1682" s="16" t="str">
        <f t="shared" si="26"/>
        <v>华东</v>
      </c>
      <c r="D1682" s="16" t="s">
        <v>1746</v>
      </c>
      <c r="E1682" s="16">
        <v>23</v>
      </c>
    </row>
    <row r="1683" spans="1:5" x14ac:dyDescent="0.4">
      <c r="A1683" s="16" t="s">
        <v>29</v>
      </c>
      <c r="B1683" s="16" t="s">
        <v>73</v>
      </c>
      <c r="C1683" s="16" t="str">
        <f t="shared" si="26"/>
        <v>华中</v>
      </c>
      <c r="D1683" s="16" t="s">
        <v>1747</v>
      </c>
      <c r="E1683" s="16">
        <v>17</v>
      </c>
    </row>
    <row r="1684" spans="1:5" x14ac:dyDescent="0.4">
      <c r="A1684" s="16" t="s">
        <v>29</v>
      </c>
      <c r="B1684" s="16" t="s">
        <v>34</v>
      </c>
      <c r="C1684" s="16" t="str">
        <f t="shared" si="26"/>
        <v>西北</v>
      </c>
      <c r="D1684" s="16" t="s">
        <v>1748</v>
      </c>
      <c r="E1684" s="16">
        <v>13</v>
      </c>
    </row>
    <row r="1685" spans="1:5" x14ac:dyDescent="0.4">
      <c r="A1685" s="16" t="s">
        <v>29</v>
      </c>
      <c r="B1685" s="16" t="s">
        <v>73</v>
      </c>
      <c r="C1685" s="16" t="str">
        <f t="shared" si="26"/>
        <v>华中</v>
      </c>
      <c r="D1685" s="16" t="s">
        <v>1749</v>
      </c>
      <c r="E1685" s="16">
        <v>13</v>
      </c>
    </row>
    <row r="1686" spans="1:5" x14ac:dyDescent="0.4">
      <c r="A1686" s="16" t="s">
        <v>29</v>
      </c>
      <c r="B1686" s="16" t="s">
        <v>73</v>
      </c>
      <c r="C1686" s="16" t="str">
        <f t="shared" si="26"/>
        <v>华中</v>
      </c>
      <c r="D1686" s="16" t="s">
        <v>1750</v>
      </c>
      <c r="E1686" s="16">
        <v>24</v>
      </c>
    </row>
    <row r="1687" spans="1:5" x14ac:dyDescent="0.4">
      <c r="A1687" s="16" t="s">
        <v>29</v>
      </c>
      <c r="B1687" s="16" t="s">
        <v>76</v>
      </c>
      <c r="C1687" s="16" t="str">
        <f t="shared" si="26"/>
        <v>西北</v>
      </c>
      <c r="D1687" s="16" t="s">
        <v>1751</v>
      </c>
      <c r="E1687" s="16">
        <v>17</v>
      </c>
    </row>
    <row r="1688" spans="1:5" x14ac:dyDescent="0.4">
      <c r="A1688" s="16" t="s">
        <v>33</v>
      </c>
      <c r="B1688" s="16" t="s">
        <v>40</v>
      </c>
      <c r="C1688" s="16" t="str">
        <f t="shared" si="26"/>
        <v>华北</v>
      </c>
      <c r="D1688" s="16" t="s">
        <v>1752</v>
      </c>
      <c r="E1688" s="16">
        <v>14</v>
      </c>
    </row>
    <row r="1689" spans="1:5" x14ac:dyDescent="0.4">
      <c r="A1689" s="16" t="s">
        <v>22</v>
      </c>
      <c r="B1689" s="16" t="s">
        <v>61</v>
      </c>
      <c r="C1689" s="16" t="str">
        <f t="shared" si="26"/>
        <v>华东</v>
      </c>
      <c r="D1689" s="16" t="s">
        <v>1753</v>
      </c>
      <c r="E1689" s="16">
        <v>19</v>
      </c>
    </row>
    <row r="1690" spans="1:5" x14ac:dyDescent="0.4">
      <c r="A1690" s="16" t="s">
        <v>22</v>
      </c>
      <c r="B1690" s="16" t="s">
        <v>61</v>
      </c>
      <c r="C1690" s="16" t="str">
        <f t="shared" si="26"/>
        <v>华东</v>
      </c>
      <c r="D1690" s="16" t="s">
        <v>1754</v>
      </c>
      <c r="E1690" s="16">
        <v>11</v>
      </c>
    </row>
    <row r="1691" spans="1:5" x14ac:dyDescent="0.4">
      <c r="A1691" s="16" t="s">
        <v>29</v>
      </c>
      <c r="B1691" s="16" t="s">
        <v>34</v>
      </c>
      <c r="C1691" s="16" t="str">
        <f t="shared" si="26"/>
        <v>西北</v>
      </c>
      <c r="D1691" s="16" t="s">
        <v>1755</v>
      </c>
      <c r="E1691" s="16">
        <v>23</v>
      </c>
    </row>
    <row r="1692" spans="1:5" x14ac:dyDescent="0.4">
      <c r="A1692" s="16" t="s">
        <v>33</v>
      </c>
      <c r="B1692" s="16" t="s">
        <v>34</v>
      </c>
      <c r="C1692" s="16" t="str">
        <f t="shared" si="26"/>
        <v>西北</v>
      </c>
      <c r="D1692" s="16" t="s">
        <v>1756</v>
      </c>
      <c r="E1692" s="16">
        <v>20</v>
      </c>
    </row>
    <row r="1693" spans="1:5" x14ac:dyDescent="0.4">
      <c r="A1693" s="16" t="s">
        <v>29</v>
      </c>
      <c r="B1693" s="16" t="s">
        <v>73</v>
      </c>
      <c r="C1693" s="16" t="str">
        <f t="shared" si="26"/>
        <v>华中</v>
      </c>
      <c r="D1693" s="16" t="s">
        <v>1757</v>
      </c>
      <c r="E1693" s="16">
        <v>26</v>
      </c>
    </row>
    <row r="1694" spans="1:5" x14ac:dyDescent="0.4">
      <c r="A1694" s="16" t="s">
        <v>22</v>
      </c>
      <c r="B1694" s="16" t="s">
        <v>61</v>
      </c>
      <c r="C1694" s="16" t="str">
        <f t="shared" si="26"/>
        <v>华东</v>
      </c>
      <c r="D1694" s="16" t="s">
        <v>1758</v>
      </c>
      <c r="E1694" s="16">
        <v>16</v>
      </c>
    </row>
    <row r="1695" spans="1:5" x14ac:dyDescent="0.4">
      <c r="A1695" s="16" t="s">
        <v>22</v>
      </c>
      <c r="B1695" s="16" t="s">
        <v>61</v>
      </c>
      <c r="C1695" s="16" t="str">
        <f t="shared" si="26"/>
        <v>华东</v>
      </c>
      <c r="D1695" s="16" t="s">
        <v>1759</v>
      </c>
      <c r="E1695" s="16">
        <v>16</v>
      </c>
    </row>
    <row r="1696" spans="1:5" x14ac:dyDescent="0.4">
      <c r="A1696" s="16" t="s">
        <v>29</v>
      </c>
      <c r="B1696" s="16" t="s">
        <v>40</v>
      </c>
      <c r="C1696" s="16" t="str">
        <f t="shared" si="26"/>
        <v>华北</v>
      </c>
      <c r="D1696" s="16" t="s">
        <v>1760</v>
      </c>
      <c r="E1696" s="16">
        <v>21</v>
      </c>
    </row>
    <row r="1697" spans="1:5" x14ac:dyDescent="0.4">
      <c r="A1697" s="16" t="s">
        <v>29</v>
      </c>
      <c r="B1697" s="16" t="s">
        <v>61</v>
      </c>
      <c r="C1697" s="16" t="str">
        <f t="shared" si="26"/>
        <v>华东</v>
      </c>
      <c r="D1697" s="16" t="s">
        <v>1761</v>
      </c>
      <c r="E1697" s="16">
        <v>15</v>
      </c>
    </row>
    <row r="1698" spans="1:5" x14ac:dyDescent="0.4">
      <c r="A1698" s="16" t="s">
        <v>22</v>
      </c>
      <c r="B1698" s="16" t="s">
        <v>61</v>
      </c>
      <c r="C1698" s="16" t="str">
        <f t="shared" si="26"/>
        <v>华东</v>
      </c>
      <c r="D1698" s="16" t="s">
        <v>1762</v>
      </c>
      <c r="E1698" s="16">
        <v>12</v>
      </c>
    </row>
    <row r="1699" spans="1:5" x14ac:dyDescent="0.4">
      <c r="A1699" s="16" t="s">
        <v>29</v>
      </c>
      <c r="B1699" s="16" t="s">
        <v>57</v>
      </c>
      <c r="C1699" s="16" t="str">
        <f t="shared" si="26"/>
        <v>华东</v>
      </c>
      <c r="D1699" s="16" t="s">
        <v>1763</v>
      </c>
      <c r="E1699" s="16">
        <v>22</v>
      </c>
    </row>
    <row r="1700" spans="1:5" x14ac:dyDescent="0.4">
      <c r="A1700" s="16" t="s">
        <v>29</v>
      </c>
      <c r="B1700" s="16" t="s">
        <v>44</v>
      </c>
      <c r="C1700" s="16" t="str">
        <f t="shared" si="26"/>
        <v>华北</v>
      </c>
      <c r="D1700" s="16" t="s">
        <v>1764</v>
      </c>
      <c r="E1700" s="16">
        <v>28</v>
      </c>
    </row>
    <row r="1701" spans="1:5" x14ac:dyDescent="0.4">
      <c r="A1701" s="16" t="s">
        <v>29</v>
      </c>
      <c r="B1701" s="16" t="s">
        <v>44</v>
      </c>
      <c r="C1701" s="16" t="str">
        <f t="shared" si="26"/>
        <v>华北</v>
      </c>
      <c r="D1701" s="16" t="s">
        <v>1765</v>
      </c>
      <c r="E1701" s="16">
        <v>20</v>
      </c>
    </row>
    <row r="1702" spans="1:5" x14ac:dyDescent="0.4">
      <c r="A1702" s="16" t="s">
        <v>22</v>
      </c>
      <c r="B1702" s="16" t="s">
        <v>44</v>
      </c>
      <c r="C1702" s="16" t="str">
        <f t="shared" si="26"/>
        <v>华北</v>
      </c>
      <c r="D1702" s="16" t="s">
        <v>1766</v>
      </c>
      <c r="E1702" s="16">
        <v>14</v>
      </c>
    </row>
    <row r="1703" spans="1:5" x14ac:dyDescent="0.4">
      <c r="A1703" s="16" t="s">
        <v>22</v>
      </c>
      <c r="B1703" s="16" t="s">
        <v>57</v>
      </c>
      <c r="C1703" s="16" t="str">
        <f t="shared" si="26"/>
        <v>华东</v>
      </c>
      <c r="D1703" s="16" t="s">
        <v>1767</v>
      </c>
      <c r="E1703" s="16">
        <v>13</v>
      </c>
    </row>
    <row r="1704" spans="1:5" x14ac:dyDescent="0.4">
      <c r="A1704" s="16" t="s">
        <v>22</v>
      </c>
      <c r="B1704" s="16" t="s">
        <v>30</v>
      </c>
      <c r="C1704" s="16" t="str">
        <f t="shared" si="26"/>
        <v>华北</v>
      </c>
      <c r="D1704" s="16" t="s">
        <v>1768</v>
      </c>
      <c r="E1704" s="16">
        <v>16</v>
      </c>
    </row>
    <row r="1705" spans="1:5" x14ac:dyDescent="0.4">
      <c r="A1705" s="16" t="s">
        <v>22</v>
      </c>
      <c r="B1705" s="16" t="s">
        <v>65</v>
      </c>
      <c r="C1705" s="16" t="str">
        <f t="shared" si="26"/>
        <v>华南</v>
      </c>
      <c r="D1705" s="16" t="s">
        <v>1769</v>
      </c>
      <c r="E1705" s="16">
        <v>23</v>
      </c>
    </row>
    <row r="1706" spans="1:5" x14ac:dyDescent="0.4">
      <c r="A1706" s="16" t="s">
        <v>22</v>
      </c>
      <c r="B1706" s="16" t="s">
        <v>63</v>
      </c>
      <c r="C1706" s="16" t="str">
        <f t="shared" si="26"/>
        <v>西南</v>
      </c>
      <c r="D1706" s="16" t="s">
        <v>1770</v>
      </c>
      <c r="E1706" s="16">
        <v>26</v>
      </c>
    </row>
    <row r="1707" spans="1:5" x14ac:dyDescent="0.4">
      <c r="A1707" s="16" t="s">
        <v>29</v>
      </c>
      <c r="B1707" s="16" t="s">
        <v>48</v>
      </c>
      <c r="C1707" s="16" t="str">
        <f t="shared" si="26"/>
        <v>华东</v>
      </c>
      <c r="D1707" s="16" t="s">
        <v>1771</v>
      </c>
      <c r="E1707" s="16">
        <v>29</v>
      </c>
    </row>
    <row r="1708" spans="1:5" x14ac:dyDescent="0.4">
      <c r="A1708" s="16" t="s">
        <v>22</v>
      </c>
      <c r="B1708" s="16" t="s">
        <v>48</v>
      </c>
      <c r="C1708" s="16" t="str">
        <f t="shared" si="26"/>
        <v>华东</v>
      </c>
      <c r="D1708" s="16" t="s">
        <v>1772</v>
      </c>
      <c r="E1708" s="16">
        <v>27</v>
      </c>
    </row>
    <row r="1709" spans="1:5" x14ac:dyDescent="0.4">
      <c r="A1709" s="16" t="s">
        <v>29</v>
      </c>
      <c r="B1709" s="16" t="s">
        <v>73</v>
      </c>
      <c r="C1709" s="16" t="str">
        <f t="shared" si="26"/>
        <v>华中</v>
      </c>
      <c r="D1709" s="16" t="s">
        <v>1773</v>
      </c>
      <c r="E1709" s="16">
        <v>11</v>
      </c>
    </row>
    <row r="1710" spans="1:5" x14ac:dyDescent="0.4">
      <c r="A1710" s="16" t="s">
        <v>22</v>
      </c>
      <c r="B1710" s="16" t="s">
        <v>30</v>
      </c>
      <c r="C1710" s="16" t="str">
        <f t="shared" si="26"/>
        <v>华北</v>
      </c>
      <c r="D1710" s="16" t="s">
        <v>1774</v>
      </c>
      <c r="E1710" s="16">
        <v>28</v>
      </c>
    </row>
    <row r="1711" spans="1:5" x14ac:dyDescent="0.4">
      <c r="A1711" s="16" t="s">
        <v>29</v>
      </c>
      <c r="B1711" s="16" t="s">
        <v>30</v>
      </c>
      <c r="C1711" s="16" t="str">
        <f t="shared" si="26"/>
        <v>华北</v>
      </c>
      <c r="D1711" s="16" t="s">
        <v>1775</v>
      </c>
      <c r="E1711" s="16">
        <v>28</v>
      </c>
    </row>
    <row r="1712" spans="1:5" x14ac:dyDescent="0.4">
      <c r="A1712" s="16" t="s">
        <v>22</v>
      </c>
      <c r="B1712" s="16" t="s">
        <v>30</v>
      </c>
      <c r="C1712" s="16" t="str">
        <f t="shared" si="26"/>
        <v>华北</v>
      </c>
      <c r="D1712" s="16" t="s">
        <v>1776</v>
      </c>
      <c r="E1712" s="16">
        <v>12</v>
      </c>
    </row>
    <row r="1713" spans="1:5" x14ac:dyDescent="0.4">
      <c r="A1713" s="16" t="s">
        <v>29</v>
      </c>
      <c r="B1713" s="16" t="s">
        <v>83</v>
      </c>
      <c r="C1713" s="16" t="str">
        <f t="shared" si="26"/>
        <v>西北</v>
      </c>
      <c r="D1713" s="16" t="s">
        <v>1777</v>
      </c>
      <c r="E1713" s="16">
        <v>25</v>
      </c>
    </row>
    <row r="1714" spans="1:5" x14ac:dyDescent="0.4">
      <c r="A1714" s="16" t="s">
        <v>29</v>
      </c>
      <c r="B1714" s="16" t="s">
        <v>34</v>
      </c>
      <c r="C1714" s="16" t="str">
        <f t="shared" si="26"/>
        <v>西北</v>
      </c>
      <c r="D1714" s="16" t="s">
        <v>1778</v>
      </c>
      <c r="E1714" s="16">
        <v>17</v>
      </c>
    </row>
    <row r="1715" spans="1:5" x14ac:dyDescent="0.4">
      <c r="A1715" s="16" t="s">
        <v>22</v>
      </c>
      <c r="B1715" s="16" t="s">
        <v>34</v>
      </c>
      <c r="C1715" s="16" t="str">
        <f t="shared" si="26"/>
        <v>西北</v>
      </c>
      <c r="D1715" s="16" t="s">
        <v>1779</v>
      </c>
      <c r="E1715" s="16">
        <v>10</v>
      </c>
    </row>
    <row r="1716" spans="1:5" x14ac:dyDescent="0.4">
      <c r="A1716" s="16" t="s">
        <v>33</v>
      </c>
      <c r="B1716" s="16" t="s">
        <v>34</v>
      </c>
      <c r="C1716" s="16" t="str">
        <f t="shared" si="26"/>
        <v>西北</v>
      </c>
      <c r="D1716" s="16" t="s">
        <v>1780</v>
      </c>
      <c r="E1716" s="16">
        <v>16</v>
      </c>
    </row>
    <row r="1717" spans="1:5" x14ac:dyDescent="0.4">
      <c r="A1717" s="16" t="s">
        <v>29</v>
      </c>
      <c r="B1717" s="16" t="s">
        <v>34</v>
      </c>
      <c r="C1717" s="16" t="str">
        <f t="shared" si="26"/>
        <v>西北</v>
      </c>
      <c r="D1717" s="16" t="s">
        <v>1781</v>
      </c>
      <c r="E1717" s="16">
        <v>10</v>
      </c>
    </row>
    <row r="1718" spans="1:5" x14ac:dyDescent="0.4">
      <c r="A1718" s="16" t="s">
        <v>33</v>
      </c>
      <c r="B1718" s="16" t="s">
        <v>30</v>
      </c>
      <c r="C1718" s="16" t="str">
        <f t="shared" si="26"/>
        <v>华北</v>
      </c>
      <c r="D1718" s="16" t="s">
        <v>1782</v>
      </c>
      <c r="E1718" s="16">
        <v>14</v>
      </c>
    </row>
    <row r="1719" spans="1:5" x14ac:dyDescent="0.4">
      <c r="A1719" s="16" t="s">
        <v>33</v>
      </c>
      <c r="B1719" s="16" t="s">
        <v>40</v>
      </c>
      <c r="C1719" s="16" t="str">
        <f t="shared" si="26"/>
        <v>华北</v>
      </c>
      <c r="D1719" s="16" t="s">
        <v>1783</v>
      </c>
      <c r="E1719" s="16">
        <v>11</v>
      </c>
    </row>
    <row r="1720" spans="1:5" x14ac:dyDescent="0.4">
      <c r="A1720" s="16" t="s">
        <v>22</v>
      </c>
      <c r="B1720" s="16" t="s">
        <v>48</v>
      </c>
      <c r="C1720" s="16" t="str">
        <f t="shared" si="26"/>
        <v>华东</v>
      </c>
      <c r="D1720" s="16" t="s">
        <v>1784</v>
      </c>
      <c r="E1720" s="16">
        <v>23</v>
      </c>
    </row>
    <row r="1721" spans="1:5" x14ac:dyDescent="0.4">
      <c r="A1721" s="16" t="s">
        <v>22</v>
      </c>
      <c r="B1721" s="16" t="s">
        <v>53</v>
      </c>
      <c r="C1721" s="16" t="str">
        <f t="shared" si="26"/>
        <v>华东</v>
      </c>
      <c r="D1721" s="16" t="s">
        <v>1785</v>
      </c>
      <c r="E1721" s="16">
        <v>16</v>
      </c>
    </row>
    <row r="1722" spans="1:5" x14ac:dyDescent="0.4">
      <c r="A1722" s="16" t="s">
        <v>22</v>
      </c>
      <c r="B1722" s="16" t="s">
        <v>48</v>
      </c>
      <c r="C1722" s="16" t="str">
        <f t="shared" si="26"/>
        <v>华东</v>
      </c>
      <c r="D1722" s="16" t="s">
        <v>1786</v>
      </c>
      <c r="E1722" s="16">
        <v>26</v>
      </c>
    </row>
    <row r="1723" spans="1:5" x14ac:dyDescent="0.4">
      <c r="A1723" s="16" t="s">
        <v>33</v>
      </c>
      <c r="B1723" s="16" t="s">
        <v>48</v>
      </c>
      <c r="C1723" s="16" t="str">
        <f t="shared" si="26"/>
        <v>华东</v>
      </c>
      <c r="D1723" s="16" t="s">
        <v>1787</v>
      </c>
      <c r="E1723" s="16">
        <v>17</v>
      </c>
    </row>
    <row r="1724" spans="1:5" x14ac:dyDescent="0.4">
      <c r="A1724" s="16" t="s">
        <v>22</v>
      </c>
      <c r="B1724" s="16" t="s">
        <v>48</v>
      </c>
      <c r="C1724" s="16" t="str">
        <f t="shared" si="26"/>
        <v>华东</v>
      </c>
      <c r="D1724" s="16" t="s">
        <v>1788</v>
      </c>
      <c r="E1724" s="16">
        <v>19</v>
      </c>
    </row>
    <row r="1725" spans="1:5" x14ac:dyDescent="0.4">
      <c r="A1725" s="16" t="s">
        <v>22</v>
      </c>
      <c r="B1725" s="16" t="s">
        <v>76</v>
      </c>
      <c r="C1725" s="16" t="str">
        <f t="shared" si="26"/>
        <v>西北</v>
      </c>
      <c r="D1725" s="16" t="s">
        <v>1789</v>
      </c>
      <c r="E1725" s="16">
        <v>13</v>
      </c>
    </row>
    <row r="1726" spans="1:5" x14ac:dyDescent="0.4">
      <c r="A1726" s="16" t="s">
        <v>29</v>
      </c>
      <c r="B1726" s="16" t="s">
        <v>65</v>
      </c>
      <c r="C1726" s="16" t="str">
        <f t="shared" si="26"/>
        <v>华南</v>
      </c>
      <c r="D1726" s="16" t="s">
        <v>1790</v>
      </c>
      <c r="E1726" s="16">
        <v>17</v>
      </c>
    </row>
    <row r="1727" spans="1:5" x14ac:dyDescent="0.4">
      <c r="A1727" s="16" t="s">
        <v>22</v>
      </c>
      <c r="B1727" s="16" t="s">
        <v>53</v>
      </c>
      <c r="C1727" s="16" t="str">
        <f t="shared" si="26"/>
        <v>华东</v>
      </c>
      <c r="D1727" s="16" t="s">
        <v>1791</v>
      </c>
      <c r="E1727" s="16">
        <v>21</v>
      </c>
    </row>
    <row r="1728" spans="1:5" x14ac:dyDescent="0.4">
      <c r="A1728" s="16" t="s">
        <v>33</v>
      </c>
      <c r="B1728" s="16" t="s">
        <v>76</v>
      </c>
      <c r="C1728" s="16" t="str">
        <f t="shared" si="26"/>
        <v>西北</v>
      </c>
      <c r="D1728" s="16" t="s">
        <v>1792</v>
      </c>
      <c r="E1728" s="16">
        <v>22</v>
      </c>
    </row>
    <row r="1729" spans="1:5" x14ac:dyDescent="0.4">
      <c r="A1729" s="16" t="s">
        <v>29</v>
      </c>
      <c r="B1729" s="16" t="s">
        <v>40</v>
      </c>
      <c r="C1729" s="16" t="str">
        <f t="shared" si="26"/>
        <v>华北</v>
      </c>
      <c r="D1729" s="16" t="s">
        <v>1793</v>
      </c>
      <c r="E1729" s="16">
        <v>21</v>
      </c>
    </row>
    <row r="1730" spans="1:5" x14ac:dyDescent="0.4">
      <c r="A1730" s="16" t="s">
        <v>22</v>
      </c>
      <c r="B1730" s="16" t="s">
        <v>61</v>
      </c>
      <c r="C1730" s="16" t="str">
        <f t="shared" si="26"/>
        <v>华东</v>
      </c>
      <c r="D1730" s="16" t="s">
        <v>1794</v>
      </c>
      <c r="E1730" s="16">
        <v>26</v>
      </c>
    </row>
    <row r="1731" spans="1:5" x14ac:dyDescent="0.4">
      <c r="A1731" s="16" t="s">
        <v>29</v>
      </c>
      <c r="B1731" s="16" t="s">
        <v>81</v>
      </c>
      <c r="C1731" s="16" t="str">
        <f t="shared" ref="C1731:C1794" si="27">_xlfn.XLOOKUP(B1731,$I$2:$I$32,$J$2:$J$32)</f>
        <v>西北</v>
      </c>
      <c r="D1731" s="16" t="s">
        <v>1795</v>
      </c>
      <c r="E1731" s="16">
        <v>10</v>
      </c>
    </row>
    <row r="1732" spans="1:5" x14ac:dyDescent="0.4">
      <c r="A1732" s="16" t="s">
        <v>33</v>
      </c>
      <c r="B1732" s="16" t="s">
        <v>81</v>
      </c>
      <c r="C1732" s="16" t="str">
        <f t="shared" si="27"/>
        <v>西北</v>
      </c>
      <c r="D1732" s="16" t="s">
        <v>1796</v>
      </c>
      <c r="E1732" s="16">
        <v>21</v>
      </c>
    </row>
    <row r="1733" spans="1:5" x14ac:dyDescent="0.4">
      <c r="A1733" s="16" t="s">
        <v>22</v>
      </c>
      <c r="B1733" s="16" t="s">
        <v>69</v>
      </c>
      <c r="C1733" s="16" t="str">
        <f t="shared" si="27"/>
        <v>华南</v>
      </c>
      <c r="D1733" s="16" t="s">
        <v>1797</v>
      </c>
      <c r="E1733" s="16">
        <v>11</v>
      </c>
    </row>
    <row r="1734" spans="1:5" x14ac:dyDescent="0.4">
      <c r="A1734" s="16" t="s">
        <v>22</v>
      </c>
      <c r="B1734" s="16" t="s">
        <v>25</v>
      </c>
      <c r="C1734" s="16" t="str">
        <f t="shared" si="27"/>
        <v>东北</v>
      </c>
      <c r="D1734" s="16" t="s">
        <v>1798</v>
      </c>
      <c r="E1734" s="16">
        <v>14</v>
      </c>
    </row>
    <row r="1735" spans="1:5" x14ac:dyDescent="0.4">
      <c r="A1735" s="16" t="s">
        <v>22</v>
      </c>
      <c r="B1735" s="16" t="s">
        <v>67</v>
      </c>
      <c r="C1735" s="16" t="str">
        <f t="shared" si="27"/>
        <v>华中</v>
      </c>
      <c r="D1735" s="16" t="s">
        <v>1799</v>
      </c>
      <c r="E1735" s="16">
        <v>14</v>
      </c>
    </row>
    <row r="1736" spans="1:5" x14ac:dyDescent="0.4">
      <c r="A1736" s="16" t="s">
        <v>22</v>
      </c>
      <c r="B1736" s="16" t="s">
        <v>48</v>
      </c>
      <c r="C1736" s="16" t="str">
        <f t="shared" si="27"/>
        <v>华东</v>
      </c>
      <c r="D1736" s="16" t="s">
        <v>1800</v>
      </c>
      <c r="E1736" s="16">
        <v>26</v>
      </c>
    </row>
    <row r="1737" spans="1:5" x14ac:dyDescent="0.4">
      <c r="A1737" s="16" t="s">
        <v>29</v>
      </c>
      <c r="B1737" s="16" t="s">
        <v>48</v>
      </c>
      <c r="C1737" s="16" t="str">
        <f t="shared" si="27"/>
        <v>华东</v>
      </c>
      <c r="D1737" s="16" t="s">
        <v>1801</v>
      </c>
      <c r="E1737" s="16">
        <v>19</v>
      </c>
    </row>
    <row r="1738" spans="1:5" x14ac:dyDescent="0.4">
      <c r="A1738" s="16" t="s">
        <v>22</v>
      </c>
      <c r="B1738" s="16" t="s">
        <v>65</v>
      </c>
      <c r="C1738" s="16" t="str">
        <f t="shared" si="27"/>
        <v>华南</v>
      </c>
      <c r="D1738" s="16" t="s">
        <v>1802</v>
      </c>
      <c r="E1738" s="16">
        <v>28</v>
      </c>
    </row>
    <row r="1739" spans="1:5" x14ac:dyDescent="0.4">
      <c r="A1739" s="16" t="s">
        <v>29</v>
      </c>
      <c r="B1739" s="16" t="s">
        <v>44</v>
      </c>
      <c r="C1739" s="16" t="str">
        <f t="shared" si="27"/>
        <v>华北</v>
      </c>
      <c r="D1739" s="16" t="s">
        <v>1803</v>
      </c>
      <c r="E1739" s="16">
        <v>11</v>
      </c>
    </row>
    <row r="1740" spans="1:5" x14ac:dyDescent="0.4">
      <c r="A1740" s="16" t="s">
        <v>22</v>
      </c>
      <c r="B1740" s="16" t="s">
        <v>44</v>
      </c>
      <c r="C1740" s="16" t="str">
        <f t="shared" si="27"/>
        <v>华北</v>
      </c>
      <c r="D1740" s="16" t="s">
        <v>1804</v>
      </c>
      <c r="E1740" s="16">
        <v>17</v>
      </c>
    </row>
    <row r="1741" spans="1:5" x14ac:dyDescent="0.4">
      <c r="A1741" s="16" t="s">
        <v>29</v>
      </c>
      <c r="B1741" s="16" t="s">
        <v>30</v>
      </c>
      <c r="C1741" s="16" t="str">
        <f t="shared" si="27"/>
        <v>华北</v>
      </c>
      <c r="D1741" s="16" t="s">
        <v>1805</v>
      </c>
      <c r="E1741" s="16">
        <v>29</v>
      </c>
    </row>
    <row r="1742" spans="1:5" x14ac:dyDescent="0.4">
      <c r="A1742" s="16" t="s">
        <v>29</v>
      </c>
      <c r="B1742" s="16" t="s">
        <v>40</v>
      </c>
      <c r="C1742" s="16" t="str">
        <f t="shared" si="27"/>
        <v>华北</v>
      </c>
      <c r="D1742" s="16" t="s">
        <v>1806</v>
      </c>
      <c r="E1742" s="16">
        <v>22</v>
      </c>
    </row>
    <row r="1743" spans="1:5" x14ac:dyDescent="0.4">
      <c r="A1743" s="16" t="s">
        <v>22</v>
      </c>
      <c r="B1743" s="16" t="s">
        <v>57</v>
      </c>
      <c r="C1743" s="16" t="str">
        <f t="shared" si="27"/>
        <v>华东</v>
      </c>
      <c r="D1743" s="16" t="s">
        <v>1807</v>
      </c>
      <c r="E1743" s="16">
        <v>10</v>
      </c>
    </row>
    <row r="1744" spans="1:5" x14ac:dyDescent="0.4">
      <c r="A1744" s="16" t="s">
        <v>22</v>
      </c>
      <c r="B1744" s="16" t="s">
        <v>67</v>
      </c>
      <c r="C1744" s="16" t="str">
        <f t="shared" si="27"/>
        <v>华中</v>
      </c>
      <c r="D1744" s="16" t="s">
        <v>1808</v>
      </c>
      <c r="E1744" s="16">
        <v>19</v>
      </c>
    </row>
    <row r="1745" spans="1:5" x14ac:dyDescent="0.4">
      <c r="A1745" s="16" t="s">
        <v>33</v>
      </c>
      <c r="B1745" s="16" t="s">
        <v>58</v>
      </c>
      <c r="C1745" s="16" t="str">
        <f t="shared" si="27"/>
        <v>华中</v>
      </c>
      <c r="D1745" s="16" t="s">
        <v>1809</v>
      </c>
      <c r="E1745" s="16">
        <v>12</v>
      </c>
    </row>
    <row r="1746" spans="1:5" x14ac:dyDescent="0.4">
      <c r="A1746" s="16" t="s">
        <v>33</v>
      </c>
      <c r="B1746" s="16" t="s">
        <v>58</v>
      </c>
      <c r="C1746" s="16" t="str">
        <f t="shared" si="27"/>
        <v>华中</v>
      </c>
      <c r="D1746" s="16" t="s">
        <v>1810</v>
      </c>
      <c r="E1746" s="16">
        <v>24</v>
      </c>
    </row>
    <row r="1747" spans="1:5" x14ac:dyDescent="0.4">
      <c r="A1747" s="16" t="s">
        <v>33</v>
      </c>
      <c r="B1747" s="16" t="s">
        <v>76</v>
      </c>
      <c r="C1747" s="16" t="str">
        <f t="shared" si="27"/>
        <v>西北</v>
      </c>
      <c r="D1747" s="16" t="s">
        <v>1811</v>
      </c>
      <c r="E1747" s="16">
        <v>28</v>
      </c>
    </row>
    <row r="1748" spans="1:5" x14ac:dyDescent="0.4">
      <c r="A1748" s="16" t="s">
        <v>22</v>
      </c>
      <c r="B1748" s="16" t="s">
        <v>67</v>
      </c>
      <c r="C1748" s="16" t="str">
        <f t="shared" si="27"/>
        <v>华中</v>
      </c>
      <c r="D1748" s="16" t="s">
        <v>1812</v>
      </c>
      <c r="E1748" s="16">
        <v>23</v>
      </c>
    </row>
    <row r="1749" spans="1:5" x14ac:dyDescent="0.4">
      <c r="A1749" s="16" t="s">
        <v>29</v>
      </c>
      <c r="B1749" s="16" t="s">
        <v>69</v>
      </c>
      <c r="C1749" s="16" t="str">
        <f t="shared" si="27"/>
        <v>华南</v>
      </c>
      <c r="D1749" s="16" t="s">
        <v>1813</v>
      </c>
      <c r="E1749" s="16">
        <v>27</v>
      </c>
    </row>
    <row r="1750" spans="1:5" x14ac:dyDescent="0.4">
      <c r="A1750" s="16" t="s">
        <v>33</v>
      </c>
      <c r="B1750" s="16" t="s">
        <v>69</v>
      </c>
      <c r="C1750" s="16" t="str">
        <f t="shared" si="27"/>
        <v>华南</v>
      </c>
      <c r="D1750" s="16" t="s">
        <v>1814</v>
      </c>
      <c r="E1750" s="16">
        <v>12</v>
      </c>
    </row>
    <row r="1751" spans="1:5" x14ac:dyDescent="0.4">
      <c r="A1751" s="16" t="s">
        <v>29</v>
      </c>
      <c r="B1751" s="16" t="s">
        <v>55</v>
      </c>
      <c r="C1751" s="16" t="str">
        <f t="shared" si="27"/>
        <v>华东</v>
      </c>
      <c r="D1751" s="16" t="s">
        <v>1815</v>
      </c>
      <c r="E1751" s="16">
        <v>24</v>
      </c>
    </row>
    <row r="1752" spans="1:5" x14ac:dyDescent="0.4">
      <c r="A1752" s="16" t="s">
        <v>29</v>
      </c>
      <c r="B1752" s="16" t="s">
        <v>40</v>
      </c>
      <c r="C1752" s="16" t="str">
        <f t="shared" si="27"/>
        <v>华北</v>
      </c>
      <c r="D1752" s="16" t="s">
        <v>1816</v>
      </c>
      <c r="E1752" s="16">
        <v>20</v>
      </c>
    </row>
    <row r="1753" spans="1:5" x14ac:dyDescent="0.4">
      <c r="A1753" s="16" t="s">
        <v>29</v>
      </c>
      <c r="B1753" s="16" t="s">
        <v>46</v>
      </c>
      <c r="C1753" s="16" t="str">
        <f t="shared" si="27"/>
        <v>华北</v>
      </c>
      <c r="D1753" s="16" t="s">
        <v>1817</v>
      </c>
      <c r="E1753" s="16">
        <v>27</v>
      </c>
    </row>
    <row r="1754" spans="1:5" x14ac:dyDescent="0.4">
      <c r="A1754" s="16" t="s">
        <v>33</v>
      </c>
      <c r="B1754" s="16" t="s">
        <v>38</v>
      </c>
      <c r="C1754" s="16" t="str">
        <f t="shared" si="27"/>
        <v>西北</v>
      </c>
      <c r="D1754" s="16" t="s">
        <v>1818</v>
      </c>
      <c r="E1754" s="16">
        <v>12</v>
      </c>
    </row>
    <row r="1755" spans="1:5" x14ac:dyDescent="0.4">
      <c r="A1755" s="16" t="s">
        <v>33</v>
      </c>
      <c r="B1755" s="16" t="s">
        <v>23</v>
      </c>
      <c r="C1755" s="16" t="str">
        <f t="shared" si="27"/>
        <v>西南</v>
      </c>
      <c r="D1755" s="16" t="s">
        <v>1819</v>
      </c>
      <c r="E1755" s="16">
        <v>20</v>
      </c>
    </row>
    <row r="1756" spans="1:5" x14ac:dyDescent="0.4">
      <c r="A1756" s="16" t="s">
        <v>29</v>
      </c>
      <c r="B1756" s="16" t="s">
        <v>38</v>
      </c>
      <c r="C1756" s="16" t="str">
        <f t="shared" si="27"/>
        <v>西北</v>
      </c>
      <c r="D1756" s="16" t="s">
        <v>1820</v>
      </c>
      <c r="E1756" s="16">
        <v>23</v>
      </c>
    </row>
    <row r="1757" spans="1:5" x14ac:dyDescent="0.4">
      <c r="A1757" s="16" t="s">
        <v>22</v>
      </c>
      <c r="B1757" s="16" t="s">
        <v>44</v>
      </c>
      <c r="C1757" s="16" t="str">
        <f t="shared" si="27"/>
        <v>华北</v>
      </c>
      <c r="D1757" s="16" t="s">
        <v>1821</v>
      </c>
      <c r="E1757" s="16">
        <v>29</v>
      </c>
    </row>
    <row r="1758" spans="1:5" x14ac:dyDescent="0.4">
      <c r="A1758" s="16" t="s">
        <v>22</v>
      </c>
      <c r="B1758" s="16" t="s">
        <v>69</v>
      </c>
      <c r="C1758" s="16" t="str">
        <f t="shared" si="27"/>
        <v>华南</v>
      </c>
      <c r="D1758" s="16" t="s">
        <v>1822</v>
      </c>
      <c r="E1758" s="16">
        <v>14</v>
      </c>
    </row>
    <row r="1759" spans="1:5" x14ac:dyDescent="0.4">
      <c r="A1759" s="16" t="s">
        <v>29</v>
      </c>
      <c r="B1759" s="16" t="s">
        <v>67</v>
      </c>
      <c r="C1759" s="16" t="str">
        <f t="shared" si="27"/>
        <v>华中</v>
      </c>
      <c r="D1759" s="16" t="s">
        <v>1823</v>
      </c>
      <c r="E1759" s="16">
        <v>13</v>
      </c>
    </row>
    <row r="1760" spans="1:5" x14ac:dyDescent="0.4">
      <c r="A1760" s="16" t="s">
        <v>33</v>
      </c>
      <c r="B1760" s="16" t="s">
        <v>67</v>
      </c>
      <c r="C1760" s="16" t="str">
        <f t="shared" si="27"/>
        <v>华中</v>
      </c>
      <c r="D1760" s="16" t="s">
        <v>1824</v>
      </c>
      <c r="E1760" s="16">
        <v>22</v>
      </c>
    </row>
    <row r="1761" spans="1:5" x14ac:dyDescent="0.4">
      <c r="A1761" s="16" t="s">
        <v>22</v>
      </c>
      <c r="B1761" s="16" t="s">
        <v>61</v>
      </c>
      <c r="C1761" s="16" t="str">
        <f t="shared" si="27"/>
        <v>华东</v>
      </c>
      <c r="D1761" s="16" t="s">
        <v>1825</v>
      </c>
      <c r="E1761" s="16">
        <v>11</v>
      </c>
    </row>
    <row r="1762" spans="1:5" x14ac:dyDescent="0.4">
      <c r="A1762" s="16" t="s">
        <v>29</v>
      </c>
      <c r="B1762" s="16" t="s">
        <v>73</v>
      </c>
      <c r="C1762" s="16" t="str">
        <f t="shared" si="27"/>
        <v>华中</v>
      </c>
      <c r="D1762" s="16" t="s">
        <v>1826</v>
      </c>
      <c r="E1762" s="16">
        <v>13</v>
      </c>
    </row>
    <row r="1763" spans="1:5" x14ac:dyDescent="0.4">
      <c r="A1763" s="16" t="s">
        <v>29</v>
      </c>
      <c r="B1763" s="16" t="s">
        <v>73</v>
      </c>
      <c r="C1763" s="16" t="str">
        <f t="shared" si="27"/>
        <v>华中</v>
      </c>
      <c r="D1763" s="16" t="s">
        <v>1827</v>
      </c>
      <c r="E1763" s="16">
        <v>27</v>
      </c>
    </row>
    <row r="1764" spans="1:5" x14ac:dyDescent="0.4">
      <c r="A1764" s="16" t="s">
        <v>22</v>
      </c>
      <c r="B1764" s="16" t="s">
        <v>73</v>
      </c>
      <c r="C1764" s="16" t="str">
        <f t="shared" si="27"/>
        <v>华中</v>
      </c>
      <c r="D1764" s="16" t="s">
        <v>1828</v>
      </c>
      <c r="E1764" s="16">
        <v>27</v>
      </c>
    </row>
    <row r="1765" spans="1:5" x14ac:dyDescent="0.4">
      <c r="A1765" s="16" t="s">
        <v>29</v>
      </c>
      <c r="B1765" s="16" t="s">
        <v>73</v>
      </c>
      <c r="C1765" s="16" t="str">
        <f t="shared" si="27"/>
        <v>华中</v>
      </c>
      <c r="D1765" s="16" t="s">
        <v>1829</v>
      </c>
      <c r="E1765" s="16">
        <v>12</v>
      </c>
    </row>
    <row r="1766" spans="1:5" x14ac:dyDescent="0.4">
      <c r="A1766" s="16" t="s">
        <v>22</v>
      </c>
      <c r="B1766" s="16" t="s">
        <v>55</v>
      </c>
      <c r="C1766" s="16" t="str">
        <f t="shared" si="27"/>
        <v>华东</v>
      </c>
      <c r="D1766" s="16" t="s">
        <v>1830</v>
      </c>
      <c r="E1766" s="16">
        <v>19</v>
      </c>
    </row>
    <row r="1767" spans="1:5" x14ac:dyDescent="0.4">
      <c r="A1767" s="16" t="s">
        <v>22</v>
      </c>
      <c r="B1767" s="16" t="s">
        <v>76</v>
      </c>
      <c r="C1767" s="16" t="str">
        <f t="shared" si="27"/>
        <v>西北</v>
      </c>
      <c r="D1767" s="16" t="s">
        <v>1831</v>
      </c>
      <c r="E1767" s="16">
        <v>20</v>
      </c>
    </row>
    <row r="1768" spans="1:5" x14ac:dyDescent="0.4">
      <c r="A1768" s="16" t="s">
        <v>22</v>
      </c>
      <c r="B1768" s="16" t="s">
        <v>91</v>
      </c>
      <c r="C1768" s="16" t="str">
        <f t="shared" si="27"/>
        <v>西南</v>
      </c>
      <c r="D1768" s="16" t="s">
        <v>1832</v>
      </c>
      <c r="E1768" s="16">
        <v>16</v>
      </c>
    </row>
    <row r="1769" spans="1:5" x14ac:dyDescent="0.4">
      <c r="A1769" s="16" t="s">
        <v>29</v>
      </c>
      <c r="B1769" s="16" t="s">
        <v>23</v>
      </c>
      <c r="C1769" s="16" t="str">
        <f t="shared" si="27"/>
        <v>西南</v>
      </c>
      <c r="D1769" s="16" t="s">
        <v>1833</v>
      </c>
      <c r="E1769" s="16">
        <v>10</v>
      </c>
    </row>
    <row r="1770" spans="1:5" x14ac:dyDescent="0.4">
      <c r="A1770" s="16" t="s">
        <v>22</v>
      </c>
      <c r="B1770" s="16" t="s">
        <v>23</v>
      </c>
      <c r="C1770" s="16" t="str">
        <f t="shared" si="27"/>
        <v>西南</v>
      </c>
      <c r="D1770" s="16" t="s">
        <v>1834</v>
      </c>
      <c r="E1770" s="16">
        <v>14</v>
      </c>
    </row>
    <row r="1771" spans="1:5" x14ac:dyDescent="0.4">
      <c r="A1771" s="16" t="s">
        <v>29</v>
      </c>
      <c r="B1771" s="16" t="s">
        <v>73</v>
      </c>
      <c r="C1771" s="16" t="str">
        <f t="shared" si="27"/>
        <v>华中</v>
      </c>
      <c r="D1771" s="16" t="s">
        <v>1835</v>
      </c>
      <c r="E1771" s="16">
        <v>27</v>
      </c>
    </row>
    <row r="1772" spans="1:5" x14ac:dyDescent="0.4">
      <c r="A1772" s="16" t="s">
        <v>29</v>
      </c>
      <c r="B1772" s="16" t="s">
        <v>81</v>
      </c>
      <c r="C1772" s="16" t="str">
        <f t="shared" si="27"/>
        <v>西北</v>
      </c>
      <c r="D1772" s="16" t="s">
        <v>1836</v>
      </c>
      <c r="E1772" s="16">
        <v>19</v>
      </c>
    </row>
    <row r="1773" spans="1:5" x14ac:dyDescent="0.4">
      <c r="A1773" s="16" t="s">
        <v>22</v>
      </c>
      <c r="B1773" s="16" t="s">
        <v>69</v>
      </c>
      <c r="C1773" s="16" t="str">
        <f t="shared" si="27"/>
        <v>华南</v>
      </c>
      <c r="D1773" s="16" t="s">
        <v>1837</v>
      </c>
      <c r="E1773" s="16">
        <v>19</v>
      </c>
    </row>
    <row r="1774" spans="1:5" x14ac:dyDescent="0.4">
      <c r="A1774" s="16" t="s">
        <v>22</v>
      </c>
      <c r="B1774" s="16" t="s">
        <v>83</v>
      </c>
      <c r="C1774" s="16" t="str">
        <f t="shared" si="27"/>
        <v>西北</v>
      </c>
      <c r="D1774" s="16" t="s">
        <v>1838</v>
      </c>
      <c r="E1774" s="16">
        <v>15</v>
      </c>
    </row>
    <row r="1775" spans="1:5" x14ac:dyDescent="0.4">
      <c r="A1775" s="16" t="s">
        <v>33</v>
      </c>
      <c r="B1775" s="16" t="s">
        <v>73</v>
      </c>
      <c r="C1775" s="16" t="str">
        <f t="shared" si="27"/>
        <v>华中</v>
      </c>
      <c r="D1775" s="16" t="s">
        <v>1839</v>
      </c>
      <c r="E1775" s="16">
        <v>20</v>
      </c>
    </row>
    <row r="1776" spans="1:5" x14ac:dyDescent="0.4">
      <c r="A1776" s="16" t="s">
        <v>22</v>
      </c>
      <c r="B1776" s="16" t="s">
        <v>73</v>
      </c>
      <c r="C1776" s="16" t="str">
        <f t="shared" si="27"/>
        <v>华中</v>
      </c>
      <c r="D1776" s="16" t="s">
        <v>1840</v>
      </c>
      <c r="E1776" s="16">
        <v>29</v>
      </c>
    </row>
    <row r="1777" spans="1:5" x14ac:dyDescent="0.4">
      <c r="A1777" s="16" t="s">
        <v>29</v>
      </c>
      <c r="B1777" s="16" t="s">
        <v>30</v>
      </c>
      <c r="C1777" s="16" t="str">
        <f t="shared" si="27"/>
        <v>华北</v>
      </c>
      <c r="D1777" s="16" t="s">
        <v>1841</v>
      </c>
      <c r="E1777" s="16">
        <v>25</v>
      </c>
    </row>
    <row r="1778" spans="1:5" x14ac:dyDescent="0.4">
      <c r="A1778" s="16" t="s">
        <v>29</v>
      </c>
      <c r="B1778" s="16" t="s">
        <v>73</v>
      </c>
      <c r="C1778" s="16" t="str">
        <f t="shared" si="27"/>
        <v>华中</v>
      </c>
      <c r="D1778" s="16" t="s">
        <v>1842</v>
      </c>
      <c r="E1778" s="16">
        <v>26</v>
      </c>
    </row>
    <row r="1779" spans="1:5" x14ac:dyDescent="0.4">
      <c r="A1779" s="16" t="s">
        <v>22</v>
      </c>
      <c r="B1779" s="16" t="s">
        <v>76</v>
      </c>
      <c r="C1779" s="16" t="str">
        <f t="shared" si="27"/>
        <v>西北</v>
      </c>
      <c r="D1779" s="16" t="s">
        <v>1843</v>
      </c>
      <c r="E1779" s="16">
        <v>23</v>
      </c>
    </row>
    <row r="1780" spans="1:5" x14ac:dyDescent="0.4">
      <c r="A1780" s="16" t="s">
        <v>29</v>
      </c>
      <c r="B1780" s="16" t="s">
        <v>44</v>
      </c>
      <c r="C1780" s="16" t="str">
        <f t="shared" si="27"/>
        <v>华北</v>
      </c>
      <c r="D1780" s="16" t="s">
        <v>1844</v>
      </c>
      <c r="E1780" s="16">
        <v>17</v>
      </c>
    </row>
    <row r="1781" spans="1:5" x14ac:dyDescent="0.4">
      <c r="A1781" s="16" t="s">
        <v>29</v>
      </c>
      <c r="B1781" s="16" t="s">
        <v>63</v>
      </c>
      <c r="C1781" s="16" t="str">
        <f t="shared" si="27"/>
        <v>西南</v>
      </c>
      <c r="D1781" s="16" t="s">
        <v>1845</v>
      </c>
      <c r="E1781" s="16">
        <v>19</v>
      </c>
    </row>
    <row r="1782" spans="1:5" x14ac:dyDescent="0.4">
      <c r="A1782" s="16" t="s">
        <v>29</v>
      </c>
      <c r="B1782" s="16" t="s">
        <v>73</v>
      </c>
      <c r="C1782" s="16" t="str">
        <f t="shared" si="27"/>
        <v>华中</v>
      </c>
      <c r="D1782" s="16" t="s">
        <v>1846</v>
      </c>
      <c r="E1782" s="16">
        <v>19</v>
      </c>
    </row>
    <row r="1783" spans="1:5" x14ac:dyDescent="0.4">
      <c r="A1783" s="16" t="s">
        <v>33</v>
      </c>
      <c r="B1783" s="16" t="s">
        <v>67</v>
      </c>
      <c r="C1783" s="16" t="str">
        <f t="shared" si="27"/>
        <v>华中</v>
      </c>
      <c r="D1783" s="16" t="s">
        <v>1847</v>
      </c>
      <c r="E1783" s="16">
        <v>13</v>
      </c>
    </row>
    <row r="1784" spans="1:5" x14ac:dyDescent="0.4">
      <c r="A1784" s="16" t="s">
        <v>33</v>
      </c>
      <c r="B1784" s="16" t="s">
        <v>67</v>
      </c>
      <c r="C1784" s="16" t="str">
        <f t="shared" si="27"/>
        <v>华中</v>
      </c>
      <c r="D1784" s="16" t="s">
        <v>1848</v>
      </c>
      <c r="E1784" s="16">
        <v>12</v>
      </c>
    </row>
    <row r="1785" spans="1:5" x14ac:dyDescent="0.4">
      <c r="A1785" s="16" t="s">
        <v>29</v>
      </c>
      <c r="B1785" s="16" t="s">
        <v>73</v>
      </c>
      <c r="C1785" s="16" t="str">
        <f t="shared" si="27"/>
        <v>华中</v>
      </c>
      <c r="D1785" s="16" t="s">
        <v>1849</v>
      </c>
      <c r="E1785" s="16">
        <v>10</v>
      </c>
    </row>
    <row r="1786" spans="1:5" x14ac:dyDescent="0.4">
      <c r="A1786" s="16" t="s">
        <v>33</v>
      </c>
      <c r="B1786" s="16" t="s">
        <v>30</v>
      </c>
      <c r="C1786" s="16" t="str">
        <f t="shared" si="27"/>
        <v>华北</v>
      </c>
      <c r="D1786" s="16" t="s">
        <v>1850</v>
      </c>
      <c r="E1786" s="16">
        <v>12</v>
      </c>
    </row>
    <row r="1787" spans="1:5" x14ac:dyDescent="0.4">
      <c r="A1787" s="16" t="s">
        <v>29</v>
      </c>
      <c r="B1787" s="16" t="s">
        <v>44</v>
      </c>
      <c r="C1787" s="16" t="str">
        <f t="shared" si="27"/>
        <v>华北</v>
      </c>
      <c r="D1787" s="16" t="s">
        <v>1851</v>
      </c>
      <c r="E1787" s="16">
        <v>12</v>
      </c>
    </row>
    <row r="1788" spans="1:5" x14ac:dyDescent="0.4">
      <c r="A1788" s="16" t="s">
        <v>29</v>
      </c>
      <c r="B1788" s="16" t="s">
        <v>55</v>
      </c>
      <c r="C1788" s="16" t="str">
        <f t="shared" si="27"/>
        <v>华东</v>
      </c>
      <c r="D1788" s="16" t="s">
        <v>1852</v>
      </c>
      <c r="E1788" s="16">
        <v>21</v>
      </c>
    </row>
    <row r="1789" spans="1:5" x14ac:dyDescent="0.4">
      <c r="A1789" s="16" t="s">
        <v>22</v>
      </c>
      <c r="B1789" s="16" t="s">
        <v>57</v>
      </c>
      <c r="C1789" s="16" t="str">
        <f t="shared" si="27"/>
        <v>华东</v>
      </c>
      <c r="D1789" s="16" t="s">
        <v>1853</v>
      </c>
      <c r="E1789" s="16">
        <v>25</v>
      </c>
    </row>
    <row r="1790" spans="1:5" x14ac:dyDescent="0.4">
      <c r="A1790" s="16" t="s">
        <v>22</v>
      </c>
      <c r="B1790" s="16" t="s">
        <v>44</v>
      </c>
      <c r="C1790" s="16" t="str">
        <f t="shared" si="27"/>
        <v>华北</v>
      </c>
      <c r="D1790" s="16" t="s">
        <v>1854</v>
      </c>
      <c r="E1790" s="16">
        <v>28</v>
      </c>
    </row>
    <row r="1791" spans="1:5" x14ac:dyDescent="0.4">
      <c r="A1791" s="16" t="s">
        <v>29</v>
      </c>
      <c r="B1791" s="16" t="s">
        <v>73</v>
      </c>
      <c r="C1791" s="16" t="str">
        <f t="shared" si="27"/>
        <v>华中</v>
      </c>
      <c r="D1791" s="16" t="s">
        <v>1855</v>
      </c>
      <c r="E1791" s="16">
        <v>22</v>
      </c>
    </row>
    <row r="1792" spans="1:5" x14ac:dyDescent="0.4">
      <c r="A1792" s="16" t="s">
        <v>22</v>
      </c>
      <c r="B1792" s="16" t="s">
        <v>61</v>
      </c>
      <c r="C1792" s="16" t="str">
        <f t="shared" si="27"/>
        <v>华东</v>
      </c>
      <c r="D1792" s="16" t="s">
        <v>1856</v>
      </c>
      <c r="E1792" s="16">
        <v>11</v>
      </c>
    </row>
    <row r="1793" spans="1:5" x14ac:dyDescent="0.4">
      <c r="A1793" s="16" t="s">
        <v>22</v>
      </c>
      <c r="B1793" s="16" t="s">
        <v>61</v>
      </c>
      <c r="C1793" s="16" t="str">
        <f t="shared" si="27"/>
        <v>华东</v>
      </c>
      <c r="D1793" s="16" t="s">
        <v>1857</v>
      </c>
      <c r="E1793" s="16">
        <v>25</v>
      </c>
    </row>
    <row r="1794" spans="1:5" x14ac:dyDescent="0.4">
      <c r="A1794" s="16" t="s">
        <v>22</v>
      </c>
      <c r="B1794" s="16" t="s">
        <v>67</v>
      </c>
      <c r="C1794" s="16" t="str">
        <f t="shared" si="27"/>
        <v>华中</v>
      </c>
      <c r="D1794" s="16" t="s">
        <v>1858</v>
      </c>
      <c r="E1794" s="16">
        <v>15</v>
      </c>
    </row>
    <row r="1795" spans="1:5" x14ac:dyDescent="0.4">
      <c r="A1795" s="16" t="s">
        <v>29</v>
      </c>
      <c r="B1795" s="16" t="s">
        <v>67</v>
      </c>
      <c r="C1795" s="16" t="str">
        <f t="shared" ref="C1795:C1858" si="28">_xlfn.XLOOKUP(B1795,$I$2:$I$32,$J$2:$J$32)</f>
        <v>华中</v>
      </c>
      <c r="D1795" s="16" t="s">
        <v>1859</v>
      </c>
      <c r="E1795" s="16">
        <v>29</v>
      </c>
    </row>
    <row r="1796" spans="1:5" x14ac:dyDescent="0.4">
      <c r="A1796" s="16" t="s">
        <v>33</v>
      </c>
      <c r="B1796" s="16" t="s">
        <v>67</v>
      </c>
      <c r="C1796" s="16" t="str">
        <f t="shared" si="28"/>
        <v>华中</v>
      </c>
      <c r="D1796" s="16" t="s">
        <v>1860</v>
      </c>
      <c r="E1796" s="16">
        <v>25</v>
      </c>
    </row>
    <row r="1797" spans="1:5" x14ac:dyDescent="0.4">
      <c r="A1797" s="16" t="s">
        <v>29</v>
      </c>
      <c r="B1797" s="16" t="s">
        <v>40</v>
      </c>
      <c r="C1797" s="16" t="str">
        <f t="shared" si="28"/>
        <v>华北</v>
      </c>
      <c r="D1797" s="16" t="s">
        <v>1861</v>
      </c>
      <c r="E1797" s="16">
        <v>25</v>
      </c>
    </row>
    <row r="1798" spans="1:5" x14ac:dyDescent="0.4">
      <c r="A1798" s="16" t="s">
        <v>22</v>
      </c>
      <c r="B1798" s="16" t="s">
        <v>44</v>
      </c>
      <c r="C1798" s="16" t="str">
        <f t="shared" si="28"/>
        <v>华北</v>
      </c>
      <c r="D1798" s="16" t="s">
        <v>1862</v>
      </c>
      <c r="E1798" s="16">
        <v>28</v>
      </c>
    </row>
    <row r="1799" spans="1:5" x14ac:dyDescent="0.4">
      <c r="A1799" s="16" t="s">
        <v>29</v>
      </c>
      <c r="B1799" s="16" t="s">
        <v>58</v>
      </c>
      <c r="C1799" s="16" t="str">
        <f t="shared" si="28"/>
        <v>华中</v>
      </c>
      <c r="D1799" s="16" t="s">
        <v>1863</v>
      </c>
      <c r="E1799" s="16">
        <v>22</v>
      </c>
    </row>
    <row r="1800" spans="1:5" x14ac:dyDescent="0.4">
      <c r="A1800" s="16" t="s">
        <v>29</v>
      </c>
      <c r="B1800" s="16" t="s">
        <v>58</v>
      </c>
      <c r="C1800" s="16" t="str">
        <f t="shared" si="28"/>
        <v>华中</v>
      </c>
      <c r="D1800" s="16" t="s">
        <v>1864</v>
      </c>
      <c r="E1800" s="16">
        <v>13</v>
      </c>
    </row>
    <row r="1801" spans="1:5" x14ac:dyDescent="0.4">
      <c r="A1801" s="16" t="s">
        <v>33</v>
      </c>
      <c r="B1801" s="16" t="s">
        <v>58</v>
      </c>
      <c r="C1801" s="16" t="str">
        <f t="shared" si="28"/>
        <v>华中</v>
      </c>
      <c r="D1801" s="16" t="s">
        <v>1865</v>
      </c>
      <c r="E1801" s="16">
        <v>13</v>
      </c>
    </row>
    <row r="1802" spans="1:5" x14ac:dyDescent="0.4">
      <c r="A1802" s="16" t="s">
        <v>29</v>
      </c>
      <c r="B1802" s="16" t="s">
        <v>58</v>
      </c>
      <c r="C1802" s="16" t="str">
        <f t="shared" si="28"/>
        <v>华中</v>
      </c>
      <c r="D1802" s="16" t="s">
        <v>1866</v>
      </c>
      <c r="E1802" s="16">
        <v>23</v>
      </c>
    </row>
    <row r="1803" spans="1:5" x14ac:dyDescent="0.4">
      <c r="A1803" s="16" t="s">
        <v>29</v>
      </c>
      <c r="B1803" s="16" t="s">
        <v>58</v>
      </c>
      <c r="C1803" s="16" t="str">
        <f t="shared" si="28"/>
        <v>华中</v>
      </c>
      <c r="D1803" s="16" t="s">
        <v>1867</v>
      </c>
      <c r="E1803" s="16">
        <v>24</v>
      </c>
    </row>
    <row r="1804" spans="1:5" x14ac:dyDescent="0.4">
      <c r="A1804" s="16" t="s">
        <v>29</v>
      </c>
      <c r="B1804" s="16" t="s">
        <v>58</v>
      </c>
      <c r="C1804" s="16" t="str">
        <f t="shared" si="28"/>
        <v>华中</v>
      </c>
      <c r="D1804" s="16" t="s">
        <v>1868</v>
      </c>
      <c r="E1804" s="16">
        <v>28</v>
      </c>
    </row>
    <row r="1805" spans="1:5" x14ac:dyDescent="0.4">
      <c r="A1805" s="16" t="s">
        <v>22</v>
      </c>
      <c r="B1805" s="16" t="s">
        <v>73</v>
      </c>
      <c r="C1805" s="16" t="str">
        <f t="shared" si="28"/>
        <v>华中</v>
      </c>
      <c r="D1805" s="16" t="s">
        <v>1869</v>
      </c>
      <c r="E1805" s="16">
        <v>25</v>
      </c>
    </row>
    <row r="1806" spans="1:5" x14ac:dyDescent="0.4">
      <c r="A1806" s="16" t="s">
        <v>29</v>
      </c>
      <c r="B1806" s="16" t="s">
        <v>73</v>
      </c>
      <c r="C1806" s="16" t="str">
        <f t="shared" si="28"/>
        <v>华中</v>
      </c>
      <c r="D1806" s="16" t="s">
        <v>1870</v>
      </c>
      <c r="E1806" s="16">
        <v>27</v>
      </c>
    </row>
    <row r="1807" spans="1:5" x14ac:dyDescent="0.4">
      <c r="A1807" s="16" t="s">
        <v>29</v>
      </c>
      <c r="B1807" s="16" t="s">
        <v>44</v>
      </c>
      <c r="C1807" s="16" t="str">
        <f t="shared" si="28"/>
        <v>华北</v>
      </c>
      <c r="D1807" s="16" t="s">
        <v>1871</v>
      </c>
      <c r="E1807" s="16">
        <v>24</v>
      </c>
    </row>
    <row r="1808" spans="1:5" x14ac:dyDescent="0.4">
      <c r="A1808" s="16" t="s">
        <v>22</v>
      </c>
      <c r="B1808" s="16" t="s">
        <v>67</v>
      </c>
      <c r="C1808" s="16" t="str">
        <f t="shared" si="28"/>
        <v>华中</v>
      </c>
      <c r="D1808" s="16" t="s">
        <v>1872</v>
      </c>
      <c r="E1808" s="16">
        <v>22</v>
      </c>
    </row>
    <row r="1809" spans="1:5" x14ac:dyDescent="0.4">
      <c r="A1809" s="16" t="s">
        <v>22</v>
      </c>
      <c r="B1809" s="16" t="s">
        <v>44</v>
      </c>
      <c r="C1809" s="16" t="str">
        <f t="shared" si="28"/>
        <v>华北</v>
      </c>
      <c r="D1809" s="16" t="s">
        <v>1873</v>
      </c>
      <c r="E1809" s="16">
        <v>20</v>
      </c>
    </row>
    <row r="1810" spans="1:5" x14ac:dyDescent="0.4">
      <c r="A1810" s="16" t="s">
        <v>29</v>
      </c>
      <c r="B1810" s="16" t="s">
        <v>30</v>
      </c>
      <c r="C1810" s="16" t="str">
        <f t="shared" si="28"/>
        <v>华北</v>
      </c>
      <c r="D1810" s="16" t="s">
        <v>1874</v>
      </c>
      <c r="E1810" s="16">
        <v>22</v>
      </c>
    </row>
    <row r="1811" spans="1:5" x14ac:dyDescent="0.4">
      <c r="A1811" s="16" t="s">
        <v>22</v>
      </c>
      <c r="B1811" s="16" t="s">
        <v>53</v>
      </c>
      <c r="C1811" s="16" t="str">
        <f t="shared" si="28"/>
        <v>华东</v>
      </c>
      <c r="D1811" s="16" t="s">
        <v>1875</v>
      </c>
      <c r="E1811" s="16">
        <v>17</v>
      </c>
    </row>
    <row r="1812" spans="1:5" x14ac:dyDescent="0.4">
      <c r="A1812" s="16" t="s">
        <v>29</v>
      </c>
      <c r="B1812" s="16" t="s">
        <v>73</v>
      </c>
      <c r="C1812" s="16" t="str">
        <f t="shared" si="28"/>
        <v>华中</v>
      </c>
      <c r="D1812" s="16" t="s">
        <v>1876</v>
      </c>
      <c r="E1812" s="16">
        <v>15</v>
      </c>
    </row>
    <row r="1813" spans="1:5" x14ac:dyDescent="0.4">
      <c r="A1813" s="16" t="s">
        <v>22</v>
      </c>
      <c r="B1813" s="16" t="s">
        <v>61</v>
      </c>
      <c r="C1813" s="16" t="str">
        <f t="shared" si="28"/>
        <v>华东</v>
      </c>
      <c r="D1813" s="16" t="s">
        <v>1877</v>
      </c>
      <c r="E1813" s="16">
        <v>26</v>
      </c>
    </row>
    <row r="1814" spans="1:5" x14ac:dyDescent="0.4">
      <c r="A1814" s="16" t="s">
        <v>29</v>
      </c>
      <c r="B1814" s="16" t="s">
        <v>69</v>
      </c>
      <c r="C1814" s="16" t="str">
        <f t="shared" si="28"/>
        <v>华南</v>
      </c>
      <c r="D1814" s="16" t="s">
        <v>1878</v>
      </c>
      <c r="E1814" s="16">
        <v>23</v>
      </c>
    </row>
    <row r="1815" spans="1:5" x14ac:dyDescent="0.4">
      <c r="A1815" s="16" t="s">
        <v>22</v>
      </c>
      <c r="B1815" s="16" t="s">
        <v>61</v>
      </c>
      <c r="C1815" s="16" t="str">
        <f t="shared" si="28"/>
        <v>华东</v>
      </c>
      <c r="D1815" s="16" t="s">
        <v>1879</v>
      </c>
      <c r="E1815" s="16">
        <v>29</v>
      </c>
    </row>
    <row r="1816" spans="1:5" x14ac:dyDescent="0.4">
      <c r="A1816" s="16" t="s">
        <v>22</v>
      </c>
      <c r="B1816" s="16" t="s">
        <v>48</v>
      </c>
      <c r="C1816" s="16" t="str">
        <f t="shared" si="28"/>
        <v>华东</v>
      </c>
      <c r="D1816" s="16" t="s">
        <v>1880</v>
      </c>
      <c r="E1816" s="16">
        <v>10</v>
      </c>
    </row>
    <row r="1817" spans="1:5" x14ac:dyDescent="0.4">
      <c r="A1817" s="16" t="s">
        <v>33</v>
      </c>
      <c r="B1817" s="16" t="s">
        <v>67</v>
      </c>
      <c r="C1817" s="16" t="str">
        <f t="shared" si="28"/>
        <v>华中</v>
      </c>
      <c r="D1817" s="16" t="s">
        <v>1881</v>
      </c>
      <c r="E1817" s="16">
        <v>16</v>
      </c>
    </row>
    <row r="1818" spans="1:5" x14ac:dyDescent="0.4">
      <c r="A1818" s="16" t="s">
        <v>33</v>
      </c>
      <c r="B1818" s="16" t="s">
        <v>67</v>
      </c>
      <c r="C1818" s="16" t="str">
        <f t="shared" si="28"/>
        <v>华中</v>
      </c>
      <c r="D1818" s="16" t="s">
        <v>1882</v>
      </c>
      <c r="E1818" s="16">
        <v>14</v>
      </c>
    </row>
    <row r="1819" spans="1:5" x14ac:dyDescent="0.4">
      <c r="A1819" s="16" t="s">
        <v>22</v>
      </c>
      <c r="B1819" s="16" t="s">
        <v>67</v>
      </c>
      <c r="C1819" s="16" t="str">
        <f t="shared" si="28"/>
        <v>华中</v>
      </c>
      <c r="D1819" s="16" t="s">
        <v>1883</v>
      </c>
      <c r="E1819" s="16">
        <v>22</v>
      </c>
    </row>
    <row r="1820" spans="1:5" x14ac:dyDescent="0.4">
      <c r="A1820" s="16" t="s">
        <v>29</v>
      </c>
      <c r="B1820" s="16" t="s">
        <v>44</v>
      </c>
      <c r="C1820" s="16" t="str">
        <f t="shared" si="28"/>
        <v>华北</v>
      </c>
      <c r="D1820" s="16" t="s">
        <v>1884</v>
      </c>
      <c r="E1820" s="16">
        <v>18</v>
      </c>
    </row>
    <row r="1821" spans="1:5" x14ac:dyDescent="0.4">
      <c r="A1821" s="16" t="s">
        <v>22</v>
      </c>
      <c r="B1821" s="16" t="s">
        <v>44</v>
      </c>
      <c r="C1821" s="16" t="str">
        <f t="shared" si="28"/>
        <v>华北</v>
      </c>
      <c r="D1821" s="16" t="s">
        <v>1885</v>
      </c>
      <c r="E1821" s="16">
        <v>29</v>
      </c>
    </row>
    <row r="1822" spans="1:5" x14ac:dyDescent="0.4">
      <c r="A1822" s="16" t="s">
        <v>33</v>
      </c>
      <c r="B1822" s="16" t="s">
        <v>40</v>
      </c>
      <c r="C1822" s="16" t="str">
        <f t="shared" si="28"/>
        <v>华北</v>
      </c>
      <c r="D1822" s="16" t="s">
        <v>1886</v>
      </c>
      <c r="E1822" s="16">
        <v>24</v>
      </c>
    </row>
    <row r="1823" spans="1:5" x14ac:dyDescent="0.4">
      <c r="A1823" s="16" t="s">
        <v>22</v>
      </c>
      <c r="B1823" s="16" t="s">
        <v>69</v>
      </c>
      <c r="C1823" s="16" t="str">
        <f t="shared" si="28"/>
        <v>华南</v>
      </c>
      <c r="D1823" s="16" t="s">
        <v>1887</v>
      </c>
      <c r="E1823" s="16">
        <v>18</v>
      </c>
    </row>
    <row r="1824" spans="1:5" x14ac:dyDescent="0.4">
      <c r="A1824" s="16" t="s">
        <v>22</v>
      </c>
      <c r="B1824" s="16" t="s">
        <v>44</v>
      </c>
      <c r="C1824" s="16" t="str">
        <f t="shared" si="28"/>
        <v>华北</v>
      </c>
      <c r="D1824" s="16" t="s">
        <v>1888</v>
      </c>
      <c r="E1824" s="16">
        <v>22</v>
      </c>
    </row>
    <row r="1825" spans="1:5" x14ac:dyDescent="0.4">
      <c r="A1825" s="16" t="s">
        <v>22</v>
      </c>
      <c r="B1825" s="16" t="s">
        <v>73</v>
      </c>
      <c r="C1825" s="16" t="str">
        <f t="shared" si="28"/>
        <v>华中</v>
      </c>
      <c r="D1825" s="16" t="s">
        <v>1889</v>
      </c>
      <c r="E1825" s="16">
        <v>12</v>
      </c>
    </row>
    <row r="1826" spans="1:5" x14ac:dyDescent="0.4">
      <c r="A1826" s="16" t="s">
        <v>29</v>
      </c>
      <c r="B1826" s="16" t="s">
        <v>73</v>
      </c>
      <c r="C1826" s="16" t="str">
        <f t="shared" si="28"/>
        <v>华中</v>
      </c>
      <c r="D1826" s="16" t="s">
        <v>1890</v>
      </c>
      <c r="E1826" s="16">
        <v>16</v>
      </c>
    </row>
    <row r="1827" spans="1:5" x14ac:dyDescent="0.4">
      <c r="A1827" s="16" t="s">
        <v>22</v>
      </c>
      <c r="B1827" s="16" t="s">
        <v>61</v>
      </c>
      <c r="C1827" s="16" t="str">
        <f t="shared" si="28"/>
        <v>华东</v>
      </c>
      <c r="D1827" s="16" t="s">
        <v>1891</v>
      </c>
      <c r="E1827" s="16">
        <v>12</v>
      </c>
    </row>
    <row r="1828" spans="1:5" x14ac:dyDescent="0.4">
      <c r="A1828" s="16" t="s">
        <v>29</v>
      </c>
      <c r="B1828" s="16" t="s">
        <v>61</v>
      </c>
      <c r="C1828" s="16" t="str">
        <f t="shared" si="28"/>
        <v>华东</v>
      </c>
      <c r="D1828" s="16" t="s">
        <v>1892</v>
      </c>
      <c r="E1828" s="16">
        <v>12</v>
      </c>
    </row>
    <row r="1829" spans="1:5" x14ac:dyDescent="0.4">
      <c r="A1829" s="16" t="s">
        <v>22</v>
      </c>
      <c r="B1829" s="16" t="s">
        <v>65</v>
      </c>
      <c r="C1829" s="16" t="str">
        <f t="shared" si="28"/>
        <v>华南</v>
      </c>
      <c r="D1829" s="16" t="s">
        <v>1893</v>
      </c>
      <c r="E1829" s="16">
        <v>20</v>
      </c>
    </row>
    <row r="1830" spans="1:5" x14ac:dyDescent="0.4">
      <c r="A1830" s="16" t="s">
        <v>22</v>
      </c>
      <c r="B1830" s="16" t="s">
        <v>55</v>
      </c>
      <c r="C1830" s="16" t="str">
        <f t="shared" si="28"/>
        <v>华东</v>
      </c>
      <c r="D1830" s="16" t="s">
        <v>1894</v>
      </c>
      <c r="E1830" s="16">
        <v>15</v>
      </c>
    </row>
    <row r="1831" spans="1:5" x14ac:dyDescent="0.4">
      <c r="A1831" s="16" t="s">
        <v>33</v>
      </c>
      <c r="B1831" s="16" t="s">
        <v>34</v>
      </c>
      <c r="C1831" s="16" t="str">
        <f t="shared" si="28"/>
        <v>西北</v>
      </c>
      <c r="D1831" s="16" t="s">
        <v>1895</v>
      </c>
      <c r="E1831" s="16">
        <v>16</v>
      </c>
    </row>
    <row r="1832" spans="1:5" x14ac:dyDescent="0.4">
      <c r="A1832" s="16" t="s">
        <v>29</v>
      </c>
      <c r="B1832" s="16" t="s">
        <v>40</v>
      </c>
      <c r="C1832" s="16" t="str">
        <f t="shared" si="28"/>
        <v>华北</v>
      </c>
      <c r="D1832" s="16" t="s">
        <v>1896</v>
      </c>
      <c r="E1832" s="16">
        <v>24</v>
      </c>
    </row>
    <row r="1833" spans="1:5" x14ac:dyDescent="0.4">
      <c r="A1833" s="16" t="s">
        <v>29</v>
      </c>
      <c r="B1833" s="16" t="s">
        <v>58</v>
      </c>
      <c r="C1833" s="16" t="str">
        <f t="shared" si="28"/>
        <v>华中</v>
      </c>
      <c r="D1833" s="16" t="s">
        <v>1897</v>
      </c>
      <c r="E1833" s="16">
        <v>10</v>
      </c>
    </row>
    <row r="1834" spans="1:5" x14ac:dyDescent="0.4">
      <c r="A1834" s="16" t="s">
        <v>33</v>
      </c>
      <c r="B1834" s="16" t="s">
        <v>58</v>
      </c>
      <c r="C1834" s="16" t="str">
        <f t="shared" si="28"/>
        <v>华中</v>
      </c>
      <c r="D1834" s="16" t="s">
        <v>1898</v>
      </c>
      <c r="E1834" s="16">
        <v>19</v>
      </c>
    </row>
    <row r="1835" spans="1:5" x14ac:dyDescent="0.4">
      <c r="A1835" s="16" t="s">
        <v>22</v>
      </c>
      <c r="B1835" s="16" t="s">
        <v>55</v>
      </c>
      <c r="C1835" s="16" t="str">
        <f t="shared" si="28"/>
        <v>华东</v>
      </c>
      <c r="D1835" s="16" t="s">
        <v>1899</v>
      </c>
      <c r="E1835" s="16">
        <v>26</v>
      </c>
    </row>
    <row r="1836" spans="1:5" x14ac:dyDescent="0.4">
      <c r="A1836" s="16" t="s">
        <v>29</v>
      </c>
      <c r="B1836" s="16" t="s">
        <v>34</v>
      </c>
      <c r="C1836" s="16" t="str">
        <f t="shared" si="28"/>
        <v>西北</v>
      </c>
      <c r="D1836" s="16" t="s">
        <v>1900</v>
      </c>
      <c r="E1836" s="16">
        <v>17</v>
      </c>
    </row>
    <row r="1837" spans="1:5" x14ac:dyDescent="0.4">
      <c r="A1837" s="16" t="s">
        <v>29</v>
      </c>
      <c r="B1837" s="16" t="s">
        <v>73</v>
      </c>
      <c r="C1837" s="16" t="str">
        <f t="shared" si="28"/>
        <v>华中</v>
      </c>
      <c r="D1837" s="16" t="s">
        <v>1901</v>
      </c>
      <c r="E1837" s="16">
        <v>24</v>
      </c>
    </row>
    <row r="1838" spans="1:5" x14ac:dyDescent="0.4">
      <c r="A1838" s="16" t="s">
        <v>33</v>
      </c>
      <c r="B1838" s="16" t="s">
        <v>58</v>
      </c>
      <c r="C1838" s="16" t="str">
        <f t="shared" si="28"/>
        <v>华中</v>
      </c>
      <c r="D1838" s="16" t="s">
        <v>1902</v>
      </c>
      <c r="E1838" s="16">
        <v>24</v>
      </c>
    </row>
    <row r="1839" spans="1:5" x14ac:dyDescent="0.4">
      <c r="A1839" s="16" t="s">
        <v>33</v>
      </c>
      <c r="B1839" s="16" t="s">
        <v>58</v>
      </c>
      <c r="C1839" s="16" t="str">
        <f t="shared" si="28"/>
        <v>华中</v>
      </c>
      <c r="D1839" s="16" t="s">
        <v>1903</v>
      </c>
      <c r="E1839" s="16">
        <v>21</v>
      </c>
    </row>
    <row r="1840" spans="1:5" x14ac:dyDescent="0.4">
      <c r="A1840" s="16" t="s">
        <v>22</v>
      </c>
      <c r="B1840" s="16" t="s">
        <v>57</v>
      </c>
      <c r="C1840" s="16" t="str">
        <f t="shared" si="28"/>
        <v>华东</v>
      </c>
      <c r="D1840" s="16" t="s">
        <v>1904</v>
      </c>
      <c r="E1840" s="16">
        <v>24</v>
      </c>
    </row>
    <row r="1841" spans="1:5" x14ac:dyDescent="0.4">
      <c r="A1841" s="16" t="s">
        <v>29</v>
      </c>
      <c r="B1841" s="16" t="s">
        <v>58</v>
      </c>
      <c r="C1841" s="16" t="str">
        <f t="shared" si="28"/>
        <v>华中</v>
      </c>
      <c r="D1841" s="16" t="s">
        <v>1905</v>
      </c>
      <c r="E1841" s="16">
        <v>19</v>
      </c>
    </row>
    <row r="1842" spans="1:5" x14ac:dyDescent="0.4">
      <c r="A1842" s="16" t="s">
        <v>29</v>
      </c>
      <c r="B1842" s="16" t="s">
        <v>73</v>
      </c>
      <c r="C1842" s="16" t="str">
        <f t="shared" si="28"/>
        <v>华中</v>
      </c>
      <c r="D1842" s="16" t="s">
        <v>1906</v>
      </c>
      <c r="E1842" s="16">
        <v>20</v>
      </c>
    </row>
    <row r="1843" spans="1:5" x14ac:dyDescent="0.4">
      <c r="A1843" s="16" t="s">
        <v>22</v>
      </c>
      <c r="B1843" s="16" t="s">
        <v>73</v>
      </c>
      <c r="C1843" s="16" t="str">
        <f t="shared" si="28"/>
        <v>华中</v>
      </c>
      <c r="D1843" s="16" t="s">
        <v>1907</v>
      </c>
      <c r="E1843" s="16">
        <v>15</v>
      </c>
    </row>
    <row r="1844" spans="1:5" x14ac:dyDescent="0.4">
      <c r="A1844" s="16" t="s">
        <v>22</v>
      </c>
      <c r="B1844" s="16" t="s">
        <v>73</v>
      </c>
      <c r="C1844" s="16" t="str">
        <f t="shared" si="28"/>
        <v>华中</v>
      </c>
      <c r="D1844" s="16" t="s">
        <v>1908</v>
      </c>
      <c r="E1844" s="16">
        <v>21</v>
      </c>
    </row>
    <row r="1845" spans="1:5" x14ac:dyDescent="0.4">
      <c r="A1845" s="16" t="s">
        <v>29</v>
      </c>
      <c r="B1845" s="16" t="s">
        <v>73</v>
      </c>
      <c r="C1845" s="16" t="str">
        <f t="shared" si="28"/>
        <v>华中</v>
      </c>
      <c r="D1845" s="16" t="s">
        <v>1909</v>
      </c>
      <c r="E1845" s="16">
        <v>12</v>
      </c>
    </row>
    <row r="1846" spans="1:5" x14ac:dyDescent="0.4">
      <c r="A1846" s="16" t="s">
        <v>29</v>
      </c>
      <c r="B1846" s="16" t="s">
        <v>73</v>
      </c>
      <c r="C1846" s="16" t="str">
        <f t="shared" si="28"/>
        <v>华中</v>
      </c>
      <c r="D1846" s="16" t="s">
        <v>1910</v>
      </c>
      <c r="E1846" s="16">
        <v>28</v>
      </c>
    </row>
    <row r="1847" spans="1:5" x14ac:dyDescent="0.4">
      <c r="A1847" s="16" t="s">
        <v>29</v>
      </c>
      <c r="B1847" s="16" t="s">
        <v>53</v>
      </c>
      <c r="C1847" s="16" t="str">
        <f t="shared" si="28"/>
        <v>华东</v>
      </c>
      <c r="D1847" s="16" t="s">
        <v>1911</v>
      </c>
      <c r="E1847" s="16">
        <v>22</v>
      </c>
    </row>
    <row r="1848" spans="1:5" x14ac:dyDescent="0.4">
      <c r="A1848" s="16" t="s">
        <v>22</v>
      </c>
      <c r="B1848" s="16" t="s">
        <v>55</v>
      </c>
      <c r="C1848" s="16" t="str">
        <f t="shared" si="28"/>
        <v>华东</v>
      </c>
      <c r="D1848" s="16" t="s">
        <v>1912</v>
      </c>
      <c r="E1848" s="16">
        <v>22</v>
      </c>
    </row>
    <row r="1849" spans="1:5" x14ac:dyDescent="0.4">
      <c r="A1849" s="16" t="s">
        <v>29</v>
      </c>
      <c r="B1849" s="16" t="s">
        <v>34</v>
      </c>
      <c r="C1849" s="16" t="str">
        <f t="shared" si="28"/>
        <v>西北</v>
      </c>
      <c r="D1849" s="16" t="s">
        <v>1913</v>
      </c>
      <c r="E1849" s="16">
        <v>21</v>
      </c>
    </row>
    <row r="1850" spans="1:5" x14ac:dyDescent="0.4">
      <c r="A1850" s="16" t="s">
        <v>22</v>
      </c>
      <c r="B1850" s="16" t="s">
        <v>73</v>
      </c>
      <c r="C1850" s="16" t="str">
        <f t="shared" si="28"/>
        <v>华中</v>
      </c>
      <c r="D1850" s="16" t="s">
        <v>1914</v>
      </c>
      <c r="E1850" s="16">
        <v>19</v>
      </c>
    </row>
    <row r="1851" spans="1:5" x14ac:dyDescent="0.4">
      <c r="A1851" s="16" t="s">
        <v>29</v>
      </c>
      <c r="B1851" s="16" t="s">
        <v>55</v>
      </c>
      <c r="C1851" s="16" t="str">
        <f t="shared" si="28"/>
        <v>华东</v>
      </c>
      <c r="D1851" s="16" t="s">
        <v>1915</v>
      </c>
      <c r="E1851" s="16">
        <v>10</v>
      </c>
    </row>
    <row r="1852" spans="1:5" x14ac:dyDescent="0.4">
      <c r="A1852" s="16" t="s">
        <v>29</v>
      </c>
      <c r="B1852" s="16" t="s">
        <v>73</v>
      </c>
      <c r="C1852" s="16" t="str">
        <f t="shared" si="28"/>
        <v>华中</v>
      </c>
      <c r="D1852" s="16" t="s">
        <v>1916</v>
      </c>
      <c r="E1852" s="16">
        <v>12</v>
      </c>
    </row>
    <row r="1853" spans="1:5" x14ac:dyDescent="0.4">
      <c r="A1853" s="16" t="s">
        <v>22</v>
      </c>
      <c r="B1853" s="16" t="s">
        <v>73</v>
      </c>
      <c r="C1853" s="16" t="str">
        <f t="shared" si="28"/>
        <v>华中</v>
      </c>
      <c r="D1853" s="16" t="s">
        <v>1917</v>
      </c>
      <c r="E1853" s="16">
        <v>26</v>
      </c>
    </row>
    <row r="1854" spans="1:5" x14ac:dyDescent="0.4">
      <c r="A1854" s="16" t="s">
        <v>22</v>
      </c>
      <c r="B1854" s="16" t="s">
        <v>65</v>
      </c>
      <c r="C1854" s="16" t="str">
        <f t="shared" si="28"/>
        <v>华南</v>
      </c>
      <c r="D1854" s="16" t="s">
        <v>1918</v>
      </c>
      <c r="E1854" s="16">
        <v>12</v>
      </c>
    </row>
    <row r="1855" spans="1:5" x14ac:dyDescent="0.4">
      <c r="A1855" s="16" t="s">
        <v>22</v>
      </c>
      <c r="B1855" s="16" t="s">
        <v>58</v>
      </c>
      <c r="C1855" s="16" t="str">
        <f t="shared" si="28"/>
        <v>华中</v>
      </c>
      <c r="D1855" s="16" t="s">
        <v>1919</v>
      </c>
      <c r="E1855" s="16">
        <v>18</v>
      </c>
    </row>
    <row r="1856" spans="1:5" x14ac:dyDescent="0.4">
      <c r="A1856" s="16" t="s">
        <v>29</v>
      </c>
      <c r="B1856" s="16" t="s">
        <v>60</v>
      </c>
      <c r="C1856" s="16" t="str">
        <f t="shared" si="28"/>
        <v>华东</v>
      </c>
      <c r="D1856" s="16" t="s">
        <v>1920</v>
      </c>
      <c r="E1856" s="16">
        <v>17</v>
      </c>
    </row>
    <row r="1857" spans="1:5" x14ac:dyDescent="0.4">
      <c r="A1857" s="16" t="s">
        <v>29</v>
      </c>
      <c r="B1857" s="16" t="s">
        <v>40</v>
      </c>
      <c r="C1857" s="16" t="str">
        <f t="shared" si="28"/>
        <v>华北</v>
      </c>
      <c r="D1857" s="16" t="s">
        <v>1921</v>
      </c>
      <c r="E1857" s="16">
        <v>14</v>
      </c>
    </row>
    <row r="1858" spans="1:5" x14ac:dyDescent="0.4">
      <c r="A1858" s="16" t="s">
        <v>29</v>
      </c>
      <c r="B1858" s="16" t="s">
        <v>40</v>
      </c>
      <c r="C1858" s="16" t="str">
        <f t="shared" si="28"/>
        <v>华北</v>
      </c>
      <c r="D1858" s="16" t="s">
        <v>1922</v>
      </c>
      <c r="E1858" s="16">
        <v>14</v>
      </c>
    </row>
    <row r="1859" spans="1:5" x14ac:dyDescent="0.4">
      <c r="A1859" s="16" t="s">
        <v>29</v>
      </c>
      <c r="B1859" s="16" t="s">
        <v>40</v>
      </c>
      <c r="C1859" s="16" t="str">
        <f t="shared" ref="C1859:C1922" si="29">_xlfn.XLOOKUP(B1859,$I$2:$I$32,$J$2:$J$32)</f>
        <v>华北</v>
      </c>
      <c r="D1859" s="16" t="s">
        <v>1923</v>
      </c>
      <c r="E1859" s="16">
        <v>25</v>
      </c>
    </row>
    <row r="1860" spans="1:5" x14ac:dyDescent="0.4">
      <c r="A1860" s="16" t="s">
        <v>29</v>
      </c>
      <c r="B1860" s="16" t="s">
        <v>23</v>
      </c>
      <c r="C1860" s="16" t="str">
        <f t="shared" si="29"/>
        <v>西南</v>
      </c>
      <c r="D1860" s="16" t="s">
        <v>1924</v>
      </c>
      <c r="E1860" s="16">
        <v>13</v>
      </c>
    </row>
    <row r="1861" spans="1:5" x14ac:dyDescent="0.4">
      <c r="A1861" s="16" t="s">
        <v>22</v>
      </c>
      <c r="B1861" s="16" t="s">
        <v>73</v>
      </c>
      <c r="C1861" s="16" t="str">
        <f t="shared" si="29"/>
        <v>华中</v>
      </c>
      <c r="D1861" s="16" t="s">
        <v>1925</v>
      </c>
      <c r="E1861" s="16">
        <v>28</v>
      </c>
    </row>
    <row r="1862" spans="1:5" x14ac:dyDescent="0.4">
      <c r="A1862" s="16" t="s">
        <v>22</v>
      </c>
      <c r="B1862" s="16" t="s">
        <v>69</v>
      </c>
      <c r="C1862" s="16" t="str">
        <f t="shared" si="29"/>
        <v>华南</v>
      </c>
      <c r="D1862" s="16" t="s">
        <v>1926</v>
      </c>
      <c r="E1862" s="16">
        <v>13</v>
      </c>
    </row>
    <row r="1863" spans="1:5" x14ac:dyDescent="0.4">
      <c r="A1863" s="16" t="s">
        <v>22</v>
      </c>
      <c r="B1863" s="16" t="s">
        <v>55</v>
      </c>
      <c r="C1863" s="16" t="str">
        <f t="shared" si="29"/>
        <v>华东</v>
      </c>
      <c r="D1863" s="16" t="s">
        <v>1927</v>
      </c>
      <c r="E1863" s="16">
        <v>27</v>
      </c>
    </row>
    <row r="1864" spans="1:5" x14ac:dyDescent="0.4">
      <c r="A1864" s="16" t="s">
        <v>33</v>
      </c>
      <c r="B1864" s="16" t="s">
        <v>83</v>
      </c>
      <c r="C1864" s="16" t="str">
        <f t="shared" si="29"/>
        <v>西北</v>
      </c>
      <c r="D1864" s="16" t="s">
        <v>1928</v>
      </c>
      <c r="E1864" s="16">
        <v>21</v>
      </c>
    </row>
    <row r="1865" spans="1:5" x14ac:dyDescent="0.4">
      <c r="A1865" s="16" t="s">
        <v>29</v>
      </c>
      <c r="B1865" s="16" t="s">
        <v>30</v>
      </c>
      <c r="C1865" s="16" t="str">
        <f t="shared" si="29"/>
        <v>华北</v>
      </c>
      <c r="D1865" s="16" t="s">
        <v>1929</v>
      </c>
      <c r="E1865" s="16">
        <v>11</v>
      </c>
    </row>
    <row r="1866" spans="1:5" x14ac:dyDescent="0.4">
      <c r="A1866" s="16" t="s">
        <v>22</v>
      </c>
      <c r="B1866" s="16" t="s">
        <v>53</v>
      </c>
      <c r="C1866" s="16" t="str">
        <f t="shared" si="29"/>
        <v>华东</v>
      </c>
      <c r="D1866" s="16" t="s">
        <v>1930</v>
      </c>
      <c r="E1866" s="16">
        <v>24</v>
      </c>
    </row>
    <row r="1867" spans="1:5" x14ac:dyDescent="0.4">
      <c r="A1867" s="16" t="s">
        <v>29</v>
      </c>
      <c r="B1867" s="16" t="s">
        <v>53</v>
      </c>
      <c r="C1867" s="16" t="str">
        <f t="shared" si="29"/>
        <v>华东</v>
      </c>
      <c r="D1867" s="16" t="s">
        <v>1931</v>
      </c>
      <c r="E1867" s="16">
        <v>27</v>
      </c>
    </row>
    <row r="1868" spans="1:5" x14ac:dyDescent="0.4">
      <c r="A1868" s="16" t="s">
        <v>29</v>
      </c>
      <c r="B1868" s="16" t="s">
        <v>40</v>
      </c>
      <c r="C1868" s="16" t="str">
        <f t="shared" si="29"/>
        <v>华北</v>
      </c>
      <c r="D1868" s="16" t="s">
        <v>1932</v>
      </c>
      <c r="E1868" s="16">
        <v>15</v>
      </c>
    </row>
    <row r="1869" spans="1:5" x14ac:dyDescent="0.4">
      <c r="A1869" s="16" t="s">
        <v>22</v>
      </c>
      <c r="B1869" s="16" t="s">
        <v>65</v>
      </c>
      <c r="C1869" s="16" t="str">
        <f t="shared" si="29"/>
        <v>华南</v>
      </c>
      <c r="D1869" s="16" t="s">
        <v>1933</v>
      </c>
      <c r="E1869" s="16">
        <v>25</v>
      </c>
    </row>
    <row r="1870" spans="1:5" x14ac:dyDescent="0.4">
      <c r="A1870" s="16" t="s">
        <v>22</v>
      </c>
      <c r="B1870" s="16" t="s">
        <v>67</v>
      </c>
      <c r="C1870" s="16" t="str">
        <f t="shared" si="29"/>
        <v>华中</v>
      </c>
      <c r="D1870" s="16" t="s">
        <v>1934</v>
      </c>
      <c r="E1870" s="16">
        <v>14</v>
      </c>
    </row>
    <row r="1871" spans="1:5" x14ac:dyDescent="0.4">
      <c r="A1871" s="16" t="s">
        <v>29</v>
      </c>
      <c r="B1871" s="16" t="s">
        <v>44</v>
      </c>
      <c r="C1871" s="16" t="str">
        <f t="shared" si="29"/>
        <v>华北</v>
      </c>
      <c r="D1871" s="16" t="s">
        <v>1935</v>
      </c>
      <c r="E1871" s="16">
        <v>12</v>
      </c>
    </row>
    <row r="1872" spans="1:5" x14ac:dyDescent="0.4">
      <c r="A1872" s="16" t="s">
        <v>22</v>
      </c>
      <c r="B1872" s="16" t="s">
        <v>69</v>
      </c>
      <c r="C1872" s="16" t="str">
        <f t="shared" si="29"/>
        <v>华南</v>
      </c>
      <c r="D1872" s="16" t="s">
        <v>1936</v>
      </c>
      <c r="E1872" s="16">
        <v>11</v>
      </c>
    </row>
    <row r="1873" spans="1:5" x14ac:dyDescent="0.4">
      <c r="A1873" s="16" t="s">
        <v>29</v>
      </c>
      <c r="B1873" s="16" t="s">
        <v>48</v>
      </c>
      <c r="C1873" s="16" t="str">
        <f t="shared" si="29"/>
        <v>华东</v>
      </c>
      <c r="D1873" s="16" t="s">
        <v>1937</v>
      </c>
      <c r="E1873" s="16">
        <v>23</v>
      </c>
    </row>
    <row r="1874" spans="1:5" x14ac:dyDescent="0.4">
      <c r="A1874" s="16" t="s">
        <v>22</v>
      </c>
      <c r="B1874" s="16" t="s">
        <v>48</v>
      </c>
      <c r="C1874" s="16" t="str">
        <f t="shared" si="29"/>
        <v>华东</v>
      </c>
      <c r="D1874" s="16" t="s">
        <v>1938</v>
      </c>
      <c r="E1874" s="16">
        <v>16</v>
      </c>
    </row>
    <row r="1875" spans="1:5" x14ac:dyDescent="0.4">
      <c r="A1875" s="16" t="s">
        <v>29</v>
      </c>
      <c r="B1875" s="16" t="s">
        <v>55</v>
      </c>
      <c r="C1875" s="16" t="str">
        <f t="shared" si="29"/>
        <v>华东</v>
      </c>
      <c r="D1875" s="16" t="s">
        <v>1939</v>
      </c>
      <c r="E1875" s="16">
        <v>19</v>
      </c>
    </row>
    <row r="1876" spans="1:5" x14ac:dyDescent="0.4">
      <c r="A1876" s="16" t="s">
        <v>29</v>
      </c>
      <c r="B1876" s="16" t="s">
        <v>55</v>
      </c>
      <c r="C1876" s="16" t="str">
        <f t="shared" si="29"/>
        <v>华东</v>
      </c>
      <c r="D1876" s="16" t="s">
        <v>1940</v>
      </c>
      <c r="E1876" s="16">
        <v>17</v>
      </c>
    </row>
    <row r="1877" spans="1:5" x14ac:dyDescent="0.4">
      <c r="A1877" s="16" t="s">
        <v>22</v>
      </c>
      <c r="B1877" s="16" t="s">
        <v>63</v>
      </c>
      <c r="C1877" s="16" t="str">
        <f t="shared" si="29"/>
        <v>西南</v>
      </c>
      <c r="D1877" s="16" t="s">
        <v>1941</v>
      </c>
      <c r="E1877" s="16">
        <v>12</v>
      </c>
    </row>
    <row r="1878" spans="1:5" x14ac:dyDescent="0.4">
      <c r="A1878" s="16" t="s">
        <v>29</v>
      </c>
      <c r="B1878" s="16" t="s">
        <v>73</v>
      </c>
      <c r="C1878" s="16" t="str">
        <f t="shared" si="29"/>
        <v>华中</v>
      </c>
      <c r="D1878" s="16" t="s">
        <v>1942</v>
      </c>
      <c r="E1878" s="16">
        <v>16</v>
      </c>
    </row>
    <row r="1879" spans="1:5" x14ac:dyDescent="0.4">
      <c r="A1879" s="16" t="s">
        <v>22</v>
      </c>
      <c r="B1879" s="16" t="s">
        <v>61</v>
      </c>
      <c r="C1879" s="16" t="str">
        <f t="shared" si="29"/>
        <v>华东</v>
      </c>
      <c r="D1879" s="16" t="s">
        <v>1943</v>
      </c>
      <c r="E1879" s="16">
        <v>27</v>
      </c>
    </row>
    <row r="1880" spans="1:5" x14ac:dyDescent="0.4">
      <c r="A1880" s="16" t="s">
        <v>22</v>
      </c>
      <c r="B1880" s="16" t="s">
        <v>53</v>
      </c>
      <c r="C1880" s="16" t="str">
        <f t="shared" si="29"/>
        <v>华东</v>
      </c>
      <c r="D1880" s="16" t="s">
        <v>1944</v>
      </c>
      <c r="E1880" s="16">
        <v>17</v>
      </c>
    </row>
    <row r="1881" spans="1:5" x14ac:dyDescent="0.4">
      <c r="A1881" s="16" t="s">
        <v>22</v>
      </c>
      <c r="B1881" s="16" t="s">
        <v>65</v>
      </c>
      <c r="C1881" s="16" t="str">
        <f t="shared" si="29"/>
        <v>华南</v>
      </c>
      <c r="D1881" s="16" t="s">
        <v>1945</v>
      </c>
      <c r="E1881" s="16">
        <v>13</v>
      </c>
    </row>
    <row r="1882" spans="1:5" x14ac:dyDescent="0.4">
      <c r="A1882" s="16" t="s">
        <v>22</v>
      </c>
      <c r="B1882" s="16" t="s">
        <v>53</v>
      </c>
      <c r="C1882" s="16" t="str">
        <f t="shared" si="29"/>
        <v>华东</v>
      </c>
      <c r="D1882" s="16" t="s">
        <v>1946</v>
      </c>
      <c r="E1882" s="16">
        <v>10</v>
      </c>
    </row>
    <row r="1883" spans="1:5" x14ac:dyDescent="0.4">
      <c r="A1883" s="16" t="s">
        <v>29</v>
      </c>
      <c r="B1883" s="16" t="s">
        <v>73</v>
      </c>
      <c r="C1883" s="16" t="str">
        <f t="shared" si="29"/>
        <v>华中</v>
      </c>
      <c r="D1883" s="16" t="s">
        <v>1947</v>
      </c>
      <c r="E1883" s="16">
        <v>23</v>
      </c>
    </row>
    <row r="1884" spans="1:5" x14ac:dyDescent="0.4">
      <c r="A1884" s="16" t="s">
        <v>29</v>
      </c>
      <c r="B1884" s="16" t="s">
        <v>73</v>
      </c>
      <c r="C1884" s="16" t="str">
        <f t="shared" si="29"/>
        <v>华中</v>
      </c>
      <c r="D1884" s="16" t="s">
        <v>1948</v>
      </c>
      <c r="E1884" s="16">
        <v>13</v>
      </c>
    </row>
    <row r="1885" spans="1:5" x14ac:dyDescent="0.4">
      <c r="A1885" s="16" t="s">
        <v>22</v>
      </c>
      <c r="B1885" s="16" t="s">
        <v>73</v>
      </c>
      <c r="C1885" s="16" t="str">
        <f t="shared" si="29"/>
        <v>华中</v>
      </c>
      <c r="D1885" s="16" t="s">
        <v>1949</v>
      </c>
      <c r="E1885" s="16">
        <v>23</v>
      </c>
    </row>
    <row r="1886" spans="1:5" x14ac:dyDescent="0.4">
      <c r="A1886" s="16" t="s">
        <v>22</v>
      </c>
      <c r="B1886" s="16" t="s">
        <v>48</v>
      </c>
      <c r="C1886" s="16" t="str">
        <f t="shared" si="29"/>
        <v>华东</v>
      </c>
      <c r="D1886" s="16" t="s">
        <v>1950</v>
      </c>
      <c r="E1886" s="16">
        <v>17</v>
      </c>
    </row>
    <row r="1887" spans="1:5" x14ac:dyDescent="0.4">
      <c r="A1887" s="16" t="s">
        <v>29</v>
      </c>
      <c r="B1887" s="16" t="s">
        <v>67</v>
      </c>
      <c r="C1887" s="16" t="str">
        <f t="shared" si="29"/>
        <v>华中</v>
      </c>
      <c r="D1887" s="16" t="s">
        <v>1951</v>
      </c>
      <c r="E1887" s="16">
        <v>12</v>
      </c>
    </row>
    <row r="1888" spans="1:5" x14ac:dyDescent="0.4">
      <c r="A1888" s="16" t="s">
        <v>22</v>
      </c>
      <c r="B1888" s="16" t="s">
        <v>23</v>
      </c>
      <c r="C1888" s="16" t="str">
        <f t="shared" si="29"/>
        <v>西南</v>
      </c>
      <c r="D1888" s="16" t="s">
        <v>1952</v>
      </c>
      <c r="E1888" s="16">
        <v>19</v>
      </c>
    </row>
    <row r="1889" spans="1:5" x14ac:dyDescent="0.4">
      <c r="A1889" s="16" t="s">
        <v>29</v>
      </c>
      <c r="B1889" s="16" t="s">
        <v>48</v>
      </c>
      <c r="C1889" s="16" t="str">
        <f t="shared" si="29"/>
        <v>华东</v>
      </c>
      <c r="D1889" s="16" t="s">
        <v>1953</v>
      </c>
      <c r="E1889" s="16">
        <v>15</v>
      </c>
    </row>
    <row r="1890" spans="1:5" x14ac:dyDescent="0.4">
      <c r="A1890" s="16" t="s">
        <v>22</v>
      </c>
      <c r="B1890" s="16" t="s">
        <v>76</v>
      </c>
      <c r="C1890" s="16" t="str">
        <f t="shared" si="29"/>
        <v>西北</v>
      </c>
      <c r="D1890" s="16" t="s">
        <v>1954</v>
      </c>
      <c r="E1890" s="16">
        <v>13</v>
      </c>
    </row>
    <row r="1891" spans="1:5" x14ac:dyDescent="0.4">
      <c r="A1891" s="16" t="s">
        <v>33</v>
      </c>
      <c r="B1891" s="16" t="s">
        <v>76</v>
      </c>
      <c r="C1891" s="16" t="str">
        <f t="shared" si="29"/>
        <v>西北</v>
      </c>
      <c r="D1891" s="16" t="s">
        <v>1955</v>
      </c>
      <c r="E1891" s="16">
        <v>29</v>
      </c>
    </row>
    <row r="1892" spans="1:5" x14ac:dyDescent="0.4">
      <c r="A1892" s="16" t="s">
        <v>29</v>
      </c>
      <c r="B1892" s="16" t="s">
        <v>93</v>
      </c>
      <c r="C1892" s="16" t="str">
        <f t="shared" si="29"/>
        <v>西南</v>
      </c>
      <c r="D1892" s="16" t="s">
        <v>1956</v>
      </c>
      <c r="E1892" s="16">
        <v>18</v>
      </c>
    </row>
    <row r="1893" spans="1:5" x14ac:dyDescent="0.4">
      <c r="A1893" s="16" t="s">
        <v>29</v>
      </c>
      <c r="B1893" s="16" t="s">
        <v>55</v>
      </c>
      <c r="C1893" s="16" t="str">
        <f t="shared" si="29"/>
        <v>华东</v>
      </c>
      <c r="D1893" s="16" t="s">
        <v>1957</v>
      </c>
      <c r="E1893" s="16">
        <v>24</v>
      </c>
    </row>
    <row r="1894" spans="1:5" x14ac:dyDescent="0.4">
      <c r="A1894" s="16" t="s">
        <v>29</v>
      </c>
      <c r="B1894" s="16" t="s">
        <v>83</v>
      </c>
      <c r="C1894" s="16" t="str">
        <f t="shared" si="29"/>
        <v>西北</v>
      </c>
      <c r="D1894" s="16" t="s">
        <v>1958</v>
      </c>
      <c r="E1894" s="16">
        <v>12</v>
      </c>
    </row>
    <row r="1895" spans="1:5" x14ac:dyDescent="0.4">
      <c r="A1895" s="16" t="s">
        <v>22</v>
      </c>
      <c r="B1895" s="16" t="s">
        <v>23</v>
      </c>
      <c r="C1895" s="16" t="str">
        <f t="shared" si="29"/>
        <v>西南</v>
      </c>
      <c r="D1895" s="16" t="s">
        <v>1959</v>
      </c>
      <c r="E1895" s="16">
        <v>18</v>
      </c>
    </row>
    <row r="1896" spans="1:5" x14ac:dyDescent="0.4">
      <c r="A1896" s="16" t="s">
        <v>22</v>
      </c>
      <c r="B1896" s="16" t="s">
        <v>23</v>
      </c>
      <c r="C1896" s="16" t="str">
        <f t="shared" si="29"/>
        <v>西南</v>
      </c>
      <c r="D1896" s="16" t="s">
        <v>1960</v>
      </c>
      <c r="E1896" s="16">
        <v>16</v>
      </c>
    </row>
    <row r="1897" spans="1:5" x14ac:dyDescent="0.4">
      <c r="A1897" s="16" t="s">
        <v>22</v>
      </c>
      <c r="B1897" s="16" t="s">
        <v>57</v>
      </c>
      <c r="C1897" s="16" t="str">
        <f t="shared" si="29"/>
        <v>华东</v>
      </c>
      <c r="D1897" s="16" t="s">
        <v>1961</v>
      </c>
      <c r="E1897" s="16">
        <v>13</v>
      </c>
    </row>
    <row r="1898" spans="1:5" x14ac:dyDescent="0.4">
      <c r="A1898" s="16" t="s">
        <v>22</v>
      </c>
      <c r="B1898" s="16" t="s">
        <v>57</v>
      </c>
      <c r="C1898" s="16" t="str">
        <f t="shared" si="29"/>
        <v>华东</v>
      </c>
      <c r="D1898" s="16" t="s">
        <v>1962</v>
      </c>
      <c r="E1898" s="16">
        <v>13</v>
      </c>
    </row>
    <row r="1899" spans="1:5" x14ac:dyDescent="0.4">
      <c r="A1899" s="16" t="s">
        <v>22</v>
      </c>
      <c r="B1899" s="16" t="s">
        <v>34</v>
      </c>
      <c r="C1899" s="16" t="str">
        <f t="shared" si="29"/>
        <v>西北</v>
      </c>
      <c r="D1899" s="16" t="s">
        <v>1963</v>
      </c>
      <c r="E1899" s="16">
        <v>14</v>
      </c>
    </row>
    <row r="1900" spans="1:5" x14ac:dyDescent="0.4">
      <c r="A1900" s="16" t="s">
        <v>29</v>
      </c>
      <c r="B1900" s="16" t="s">
        <v>73</v>
      </c>
      <c r="C1900" s="16" t="str">
        <f t="shared" si="29"/>
        <v>华中</v>
      </c>
      <c r="D1900" s="16" t="s">
        <v>1964</v>
      </c>
      <c r="E1900" s="16">
        <v>27</v>
      </c>
    </row>
    <row r="1901" spans="1:5" x14ac:dyDescent="0.4">
      <c r="A1901" s="16" t="s">
        <v>29</v>
      </c>
      <c r="B1901" s="16" t="s">
        <v>73</v>
      </c>
      <c r="C1901" s="16" t="str">
        <f t="shared" si="29"/>
        <v>华中</v>
      </c>
      <c r="D1901" s="16" t="s">
        <v>1965</v>
      </c>
      <c r="E1901" s="16">
        <v>12</v>
      </c>
    </row>
    <row r="1902" spans="1:5" x14ac:dyDescent="0.4">
      <c r="A1902" s="16" t="s">
        <v>22</v>
      </c>
      <c r="B1902" s="16" t="s">
        <v>76</v>
      </c>
      <c r="C1902" s="16" t="str">
        <f t="shared" si="29"/>
        <v>西北</v>
      </c>
      <c r="D1902" s="16" t="s">
        <v>1966</v>
      </c>
      <c r="E1902" s="16">
        <v>27</v>
      </c>
    </row>
    <row r="1903" spans="1:5" x14ac:dyDescent="0.4">
      <c r="A1903" s="16" t="s">
        <v>22</v>
      </c>
      <c r="B1903" s="16" t="s">
        <v>28</v>
      </c>
      <c r="C1903" s="16" t="str">
        <f t="shared" si="29"/>
        <v>东北</v>
      </c>
      <c r="D1903" s="16" t="s">
        <v>1967</v>
      </c>
      <c r="E1903" s="16">
        <v>11</v>
      </c>
    </row>
    <row r="1904" spans="1:5" x14ac:dyDescent="0.4">
      <c r="A1904" s="16" t="s">
        <v>22</v>
      </c>
      <c r="B1904" s="16" t="s">
        <v>76</v>
      </c>
      <c r="C1904" s="16" t="str">
        <f t="shared" si="29"/>
        <v>西北</v>
      </c>
      <c r="D1904" s="16" t="s">
        <v>1968</v>
      </c>
      <c r="E1904" s="16">
        <v>24</v>
      </c>
    </row>
    <row r="1905" spans="1:5" x14ac:dyDescent="0.4">
      <c r="A1905" s="16" t="s">
        <v>22</v>
      </c>
      <c r="B1905" s="16" t="s">
        <v>73</v>
      </c>
      <c r="C1905" s="16" t="str">
        <f t="shared" si="29"/>
        <v>华中</v>
      </c>
      <c r="D1905" s="16" t="s">
        <v>1969</v>
      </c>
      <c r="E1905" s="16">
        <v>14</v>
      </c>
    </row>
    <row r="1906" spans="1:5" x14ac:dyDescent="0.4">
      <c r="A1906" s="16" t="s">
        <v>33</v>
      </c>
      <c r="B1906" s="16" t="s">
        <v>36</v>
      </c>
      <c r="C1906" s="16" t="str">
        <f t="shared" si="29"/>
        <v>华北</v>
      </c>
      <c r="D1906" s="16" t="s">
        <v>1970</v>
      </c>
      <c r="E1906" s="16">
        <v>20</v>
      </c>
    </row>
    <row r="1907" spans="1:5" x14ac:dyDescent="0.4">
      <c r="A1907" s="16" t="s">
        <v>29</v>
      </c>
      <c r="B1907" s="16" t="s">
        <v>25</v>
      </c>
      <c r="C1907" s="16" t="str">
        <f t="shared" si="29"/>
        <v>东北</v>
      </c>
      <c r="D1907" s="16" t="s">
        <v>1971</v>
      </c>
      <c r="E1907" s="16">
        <v>13</v>
      </c>
    </row>
    <row r="1908" spans="1:5" x14ac:dyDescent="0.4">
      <c r="A1908" s="16" t="s">
        <v>29</v>
      </c>
      <c r="B1908" s="16" t="s">
        <v>76</v>
      </c>
      <c r="C1908" s="16" t="str">
        <f t="shared" si="29"/>
        <v>西北</v>
      </c>
      <c r="D1908" s="16" t="s">
        <v>1972</v>
      </c>
      <c r="E1908" s="16">
        <v>10</v>
      </c>
    </row>
    <row r="1909" spans="1:5" x14ac:dyDescent="0.4">
      <c r="A1909" s="16" t="s">
        <v>29</v>
      </c>
      <c r="B1909" s="16" t="s">
        <v>63</v>
      </c>
      <c r="C1909" s="16" t="str">
        <f t="shared" si="29"/>
        <v>西南</v>
      </c>
      <c r="D1909" s="16" t="s">
        <v>1973</v>
      </c>
      <c r="E1909" s="16">
        <v>15</v>
      </c>
    </row>
    <row r="1910" spans="1:5" x14ac:dyDescent="0.4">
      <c r="A1910" s="16" t="s">
        <v>22</v>
      </c>
      <c r="B1910" s="16" t="s">
        <v>53</v>
      </c>
      <c r="C1910" s="16" t="str">
        <f t="shared" si="29"/>
        <v>华东</v>
      </c>
      <c r="D1910" s="16" t="s">
        <v>1974</v>
      </c>
      <c r="E1910" s="16">
        <v>17</v>
      </c>
    </row>
    <row r="1911" spans="1:5" x14ac:dyDescent="0.4">
      <c r="A1911" s="16" t="s">
        <v>29</v>
      </c>
      <c r="B1911" s="16" t="s">
        <v>81</v>
      </c>
      <c r="C1911" s="16" t="str">
        <f t="shared" si="29"/>
        <v>西北</v>
      </c>
      <c r="D1911" s="16" t="s">
        <v>1975</v>
      </c>
      <c r="E1911" s="16">
        <v>21</v>
      </c>
    </row>
    <row r="1912" spans="1:5" x14ac:dyDescent="0.4">
      <c r="A1912" s="16" t="s">
        <v>29</v>
      </c>
      <c r="B1912" s="16" t="s">
        <v>40</v>
      </c>
      <c r="C1912" s="16" t="str">
        <f t="shared" si="29"/>
        <v>华北</v>
      </c>
      <c r="D1912" s="16" t="s">
        <v>1976</v>
      </c>
      <c r="E1912" s="16">
        <v>24</v>
      </c>
    </row>
    <row r="1913" spans="1:5" x14ac:dyDescent="0.4">
      <c r="A1913" s="16" t="s">
        <v>22</v>
      </c>
      <c r="B1913" s="16" t="s">
        <v>23</v>
      </c>
      <c r="C1913" s="16" t="str">
        <f t="shared" si="29"/>
        <v>西南</v>
      </c>
      <c r="D1913" s="16" t="s">
        <v>1977</v>
      </c>
      <c r="E1913" s="16">
        <v>26</v>
      </c>
    </row>
    <row r="1914" spans="1:5" x14ac:dyDescent="0.4">
      <c r="A1914" s="16" t="s">
        <v>22</v>
      </c>
      <c r="B1914" s="16" t="s">
        <v>57</v>
      </c>
      <c r="C1914" s="16" t="str">
        <f t="shared" si="29"/>
        <v>华东</v>
      </c>
      <c r="D1914" s="16" t="s">
        <v>1978</v>
      </c>
      <c r="E1914" s="16">
        <v>10</v>
      </c>
    </row>
    <row r="1915" spans="1:5" x14ac:dyDescent="0.4">
      <c r="A1915" s="16" t="s">
        <v>33</v>
      </c>
      <c r="B1915" s="16" t="s">
        <v>73</v>
      </c>
      <c r="C1915" s="16" t="str">
        <f t="shared" si="29"/>
        <v>华中</v>
      </c>
      <c r="D1915" s="16" t="s">
        <v>1979</v>
      </c>
      <c r="E1915" s="16">
        <v>23</v>
      </c>
    </row>
    <row r="1916" spans="1:5" x14ac:dyDescent="0.4">
      <c r="A1916" s="16" t="s">
        <v>22</v>
      </c>
      <c r="B1916" s="16" t="s">
        <v>73</v>
      </c>
      <c r="C1916" s="16" t="str">
        <f t="shared" si="29"/>
        <v>华中</v>
      </c>
      <c r="D1916" s="16" t="s">
        <v>1980</v>
      </c>
      <c r="E1916" s="16">
        <v>22</v>
      </c>
    </row>
    <row r="1917" spans="1:5" x14ac:dyDescent="0.4">
      <c r="A1917" s="16" t="s">
        <v>22</v>
      </c>
      <c r="B1917" s="16" t="s">
        <v>53</v>
      </c>
      <c r="C1917" s="16" t="str">
        <f t="shared" si="29"/>
        <v>华东</v>
      </c>
      <c r="D1917" s="16" t="s">
        <v>1981</v>
      </c>
      <c r="E1917" s="16">
        <v>10</v>
      </c>
    </row>
    <row r="1918" spans="1:5" x14ac:dyDescent="0.4">
      <c r="A1918" s="16" t="s">
        <v>22</v>
      </c>
      <c r="B1918" s="16" t="s">
        <v>53</v>
      </c>
      <c r="C1918" s="16" t="str">
        <f t="shared" si="29"/>
        <v>华东</v>
      </c>
      <c r="D1918" s="16" t="s">
        <v>1982</v>
      </c>
      <c r="E1918" s="16">
        <v>10</v>
      </c>
    </row>
    <row r="1919" spans="1:5" x14ac:dyDescent="0.4">
      <c r="A1919" s="16" t="s">
        <v>22</v>
      </c>
      <c r="B1919" s="16" t="s">
        <v>53</v>
      </c>
      <c r="C1919" s="16" t="str">
        <f t="shared" si="29"/>
        <v>华东</v>
      </c>
      <c r="D1919" s="16" t="s">
        <v>1983</v>
      </c>
      <c r="E1919" s="16">
        <v>10</v>
      </c>
    </row>
    <row r="1920" spans="1:5" x14ac:dyDescent="0.4">
      <c r="A1920" s="16" t="s">
        <v>22</v>
      </c>
      <c r="B1920" s="16" t="s">
        <v>44</v>
      </c>
      <c r="C1920" s="16" t="str">
        <f t="shared" si="29"/>
        <v>华北</v>
      </c>
      <c r="D1920" s="16" t="s">
        <v>1984</v>
      </c>
      <c r="E1920" s="16">
        <v>11</v>
      </c>
    </row>
    <row r="1921" spans="1:5" x14ac:dyDescent="0.4">
      <c r="A1921" s="16" t="s">
        <v>29</v>
      </c>
      <c r="B1921" s="16" t="s">
        <v>65</v>
      </c>
      <c r="C1921" s="16" t="str">
        <f t="shared" si="29"/>
        <v>华南</v>
      </c>
      <c r="D1921" s="16" t="s">
        <v>1985</v>
      </c>
      <c r="E1921" s="16">
        <v>16</v>
      </c>
    </row>
    <row r="1922" spans="1:5" x14ac:dyDescent="0.4">
      <c r="A1922" s="16" t="s">
        <v>29</v>
      </c>
      <c r="B1922" s="16" t="s">
        <v>65</v>
      </c>
      <c r="C1922" s="16" t="str">
        <f t="shared" si="29"/>
        <v>华南</v>
      </c>
      <c r="D1922" s="16" t="s">
        <v>1986</v>
      </c>
      <c r="E1922" s="16">
        <v>19</v>
      </c>
    </row>
    <row r="1923" spans="1:5" x14ac:dyDescent="0.4">
      <c r="A1923" s="16" t="s">
        <v>29</v>
      </c>
      <c r="B1923" s="16" t="s">
        <v>65</v>
      </c>
      <c r="C1923" s="16" t="str">
        <f t="shared" ref="C1923:C1986" si="30">_xlfn.XLOOKUP(B1923,$I$2:$I$32,$J$2:$J$32)</f>
        <v>华南</v>
      </c>
      <c r="D1923" s="16" t="s">
        <v>1987</v>
      </c>
      <c r="E1923" s="16">
        <v>10</v>
      </c>
    </row>
    <row r="1924" spans="1:5" x14ac:dyDescent="0.4">
      <c r="A1924" s="16" t="s">
        <v>29</v>
      </c>
      <c r="B1924" s="16" t="s">
        <v>44</v>
      </c>
      <c r="C1924" s="16" t="str">
        <f t="shared" si="30"/>
        <v>华北</v>
      </c>
      <c r="D1924" s="16" t="s">
        <v>1988</v>
      </c>
      <c r="E1924" s="16">
        <v>21</v>
      </c>
    </row>
    <row r="1925" spans="1:5" x14ac:dyDescent="0.4">
      <c r="A1925" s="16" t="s">
        <v>22</v>
      </c>
      <c r="B1925" s="16" t="s">
        <v>44</v>
      </c>
      <c r="C1925" s="16" t="str">
        <f t="shared" si="30"/>
        <v>华北</v>
      </c>
      <c r="D1925" s="16" t="s">
        <v>1989</v>
      </c>
      <c r="E1925" s="16">
        <v>17</v>
      </c>
    </row>
    <row r="1926" spans="1:5" x14ac:dyDescent="0.4">
      <c r="A1926" s="16" t="s">
        <v>22</v>
      </c>
      <c r="B1926" s="16" t="s">
        <v>65</v>
      </c>
      <c r="C1926" s="16" t="str">
        <f t="shared" si="30"/>
        <v>华南</v>
      </c>
      <c r="D1926" s="16" t="s">
        <v>1990</v>
      </c>
      <c r="E1926" s="16">
        <v>14</v>
      </c>
    </row>
    <row r="1927" spans="1:5" x14ac:dyDescent="0.4">
      <c r="A1927" s="16" t="s">
        <v>22</v>
      </c>
      <c r="B1927" s="16" t="s">
        <v>69</v>
      </c>
      <c r="C1927" s="16" t="str">
        <f t="shared" si="30"/>
        <v>华南</v>
      </c>
      <c r="D1927" s="16" t="s">
        <v>1991</v>
      </c>
      <c r="E1927" s="16">
        <v>27</v>
      </c>
    </row>
    <row r="1928" spans="1:5" x14ac:dyDescent="0.4">
      <c r="A1928" s="16" t="s">
        <v>29</v>
      </c>
      <c r="B1928" s="16" t="s">
        <v>65</v>
      </c>
      <c r="C1928" s="16" t="str">
        <f t="shared" si="30"/>
        <v>华南</v>
      </c>
      <c r="D1928" s="16" t="s">
        <v>1992</v>
      </c>
      <c r="E1928" s="16">
        <v>26</v>
      </c>
    </row>
    <row r="1929" spans="1:5" x14ac:dyDescent="0.4">
      <c r="A1929" s="16" t="s">
        <v>22</v>
      </c>
      <c r="B1929" s="16" t="s">
        <v>67</v>
      </c>
      <c r="C1929" s="16" t="str">
        <f t="shared" si="30"/>
        <v>华中</v>
      </c>
      <c r="D1929" s="16" t="s">
        <v>1993</v>
      </c>
      <c r="E1929" s="16">
        <v>12</v>
      </c>
    </row>
    <row r="1930" spans="1:5" x14ac:dyDescent="0.4">
      <c r="A1930" s="16" t="s">
        <v>22</v>
      </c>
      <c r="B1930" s="16" t="s">
        <v>76</v>
      </c>
      <c r="C1930" s="16" t="str">
        <f t="shared" si="30"/>
        <v>西北</v>
      </c>
      <c r="D1930" s="16" t="s">
        <v>1994</v>
      </c>
      <c r="E1930" s="16">
        <v>20</v>
      </c>
    </row>
    <row r="1931" spans="1:5" x14ac:dyDescent="0.4">
      <c r="A1931" s="16" t="s">
        <v>22</v>
      </c>
      <c r="B1931" s="16" t="s">
        <v>44</v>
      </c>
      <c r="C1931" s="16" t="str">
        <f t="shared" si="30"/>
        <v>华北</v>
      </c>
      <c r="D1931" s="16" t="s">
        <v>1995</v>
      </c>
      <c r="E1931" s="16">
        <v>26</v>
      </c>
    </row>
    <row r="1932" spans="1:5" x14ac:dyDescent="0.4">
      <c r="A1932" s="16" t="s">
        <v>22</v>
      </c>
      <c r="B1932" s="16" t="s">
        <v>48</v>
      </c>
      <c r="C1932" s="16" t="str">
        <f t="shared" si="30"/>
        <v>华东</v>
      </c>
      <c r="D1932" s="16" t="s">
        <v>1996</v>
      </c>
      <c r="E1932" s="16">
        <v>13</v>
      </c>
    </row>
    <row r="1933" spans="1:5" x14ac:dyDescent="0.4">
      <c r="A1933" s="16" t="s">
        <v>29</v>
      </c>
      <c r="B1933" s="16" t="s">
        <v>34</v>
      </c>
      <c r="C1933" s="16" t="str">
        <f t="shared" si="30"/>
        <v>西北</v>
      </c>
      <c r="D1933" s="16" t="s">
        <v>1997</v>
      </c>
      <c r="E1933" s="16">
        <v>14</v>
      </c>
    </row>
    <row r="1934" spans="1:5" x14ac:dyDescent="0.4">
      <c r="A1934" s="16" t="s">
        <v>22</v>
      </c>
      <c r="B1934" s="16" t="s">
        <v>48</v>
      </c>
      <c r="C1934" s="16" t="str">
        <f t="shared" si="30"/>
        <v>华东</v>
      </c>
      <c r="D1934" s="16" t="s">
        <v>1998</v>
      </c>
      <c r="E1934" s="16">
        <v>12</v>
      </c>
    </row>
    <row r="1935" spans="1:5" x14ac:dyDescent="0.4">
      <c r="A1935" s="16" t="s">
        <v>22</v>
      </c>
      <c r="B1935" s="16" t="s">
        <v>73</v>
      </c>
      <c r="C1935" s="16" t="str">
        <f t="shared" si="30"/>
        <v>华中</v>
      </c>
      <c r="D1935" s="16" t="s">
        <v>1999</v>
      </c>
      <c r="E1935" s="16">
        <v>25</v>
      </c>
    </row>
    <row r="1936" spans="1:5" x14ac:dyDescent="0.4">
      <c r="A1936" s="16" t="s">
        <v>22</v>
      </c>
      <c r="B1936" s="16" t="s">
        <v>73</v>
      </c>
      <c r="C1936" s="16" t="str">
        <f t="shared" si="30"/>
        <v>华中</v>
      </c>
      <c r="D1936" s="16" t="s">
        <v>2000</v>
      </c>
      <c r="E1936" s="16">
        <v>26</v>
      </c>
    </row>
    <row r="1937" spans="1:5" x14ac:dyDescent="0.4">
      <c r="A1937" s="16" t="s">
        <v>22</v>
      </c>
      <c r="B1937" s="16" t="s">
        <v>30</v>
      </c>
      <c r="C1937" s="16" t="str">
        <f t="shared" si="30"/>
        <v>华北</v>
      </c>
      <c r="D1937" s="16" t="s">
        <v>2001</v>
      </c>
      <c r="E1937" s="16">
        <v>21</v>
      </c>
    </row>
    <row r="1938" spans="1:5" x14ac:dyDescent="0.4">
      <c r="A1938" s="16" t="s">
        <v>22</v>
      </c>
      <c r="B1938" s="16" t="s">
        <v>30</v>
      </c>
      <c r="C1938" s="16" t="str">
        <f t="shared" si="30"/>
        <v>华北</v>
      </c>
      <c r="D1938" s="16" t="s">
        <v>2002</v>
      </c>
      <c r="E1938" s="16">
        <v>14</v>
      </c>
    </row>
    <row r="1939" spans="1:5" x14ac:dyDescent="0.4">
      <c r="A1939" s="16" t="s">
        <v>22</v>
      </c>
      <c r="B1939" s="16" t="s">
        <v>34</v>
      </c>
      <c r="C1939" s="16" t="str">
        <f t="shared" si="30"/>
        <v>西北</v>
      </c>
      <c r="D1939" s="16" t="s">
        <v>2003</v>
      </c>
      <c r="E1939" s="16">
        <v>17</v>
      </c>
    </row>
    <row r="1940" spans="1:5" x14ac:dyDescent="0.4">
      <c r="A1940" s="16" t="s">
        <v>29</v>
      </c>
      <c r="B1940" s="16" t="s">
        <v>34</v>
      </c>
      <c r="C1940" s="16" t="str">
        <f t="shared" si="30"/>
        <v>西北</v>
      </c>
      <c r="D1940" s="16" t="s">
        <v>2004</v>
      </c>
      <c r="E1940" s="16">
        <v>28</v>
      </c>
    </row>
    <row r="1941" spans="1:5" x14ac:dyDescent="0.4">
      <c r="A1941" s="16" t="s">
        <v>33</v>
      </c>
      <c r="B1941" s="16" t="s">
        <v>25</v>
      </c>
      <c r="C1941" s="16" t="str">
        <f t="shared" si="30"/>
        <v>东北</v>
      </c>
      <c r="D1941" s="16" t="s">
        <v>2005</v>
      </c>
      <c r="E1941" s="16">
        <v>10</v>
      </c>
    </row>
    <row r="1942" spans="1:5" x14ac:dyDescent="0.4">
      <c r="A1942" s="16" t="s">
        <v>33</v>
      </c>
      <c r="B1942" s="16" t="s">
        <v>25</v>
      </c>
      <c r="C1942" s="16" t="str">
        <f t="shared" si="30"/>
        <v>东北</v>
      </c>
      <c r="D1942" s="16" t="s">
        <v>2006</v>
      </c>
      <c r="E1942" s="16">
        <v>17</v>
      </c>
    </row>
    <row r="1943" spans="1:5" x14ac:dyDescent="0.4">
      <c r="A1943" s="16" t="s">
        <v>22</v>
      </c>
      <c r="B1943" s="16" t="s">
        <v>48</v>
      </c>
      <c r="C1943" s="16" t="str">
        <f t="shared" si="30"/>
        <v>华东</v>
      </c>
      <c r="D1943" s="16" t="s">
        <v>2007</v>
      </c>
      <c r="E1943" s="16">
        <v>18</v>
      </c>
    </row>
    <row r="1944" spans="1:5" x14ac:dyDescent="0.4">
      <c r="A1944" s="16" t="s">
        <v>29</v>
      </c>
      <c r="B1944" s="16" t="s">
        <v>48</v>
      </c>
      <c r="C1944" s="16" t="str">
        <f t="shared" si="30"/>
        <v>华东</v>
      </c>
      <c r="D1944" s="16" t="s">
        <v>2008</v>
      </c>
      <c r="E1944" s="16">
        <v>26</v>
      </c>
    </row>
    <row r="1945" spans="1:5" x14ac:dyDescent="0.4">
      <c r="A1945" s="16" t="s">
        <v>29</v>
      </c>
      <c r="B1945" s="16" t="s">
        <v>53</v>
      </c>
      <c r="C1945" s="16" t="str">
        <f t="shared" si="30"/>
        <v>华东</v>
      </c>
      <c r="D1945" s="16" t="s">
        <v>2009</v>
      </c>
      <c r="E1945" s="16">
        <v>24</v>
      </c>
    </row>
    <row r="1946" spans="1:5" x14ac:dyDescent="0.4">
      <c r="A1946" s="16" t="s">
        <v>22</v>
      </c>
      <c r="B1946" s="16" t="s">
        <v>57</v>
      </c>
      <c r="C1946" s="16" t="str">
        <f t="shared" si="30"/>
        <v>华东</v>
      </c>
      <c r="D1946" s="16" t="s">
        <v>2010</v>
      </c>
      <c r="E1946" s="16">
        <v>21</v>
      </c>
    </row>
    <row r="1947" spans="1:5" x14ac:dyDescent="0.4">
      <c r="A1947" s="16" t="s">
        <v>22</v>
      </c>
      <c r="B1947" s="16" t="s">
        <v>57</v>
      </c>
      <c r="C1947" s="16" t="str">
        <f t="shared" si="30"/>
        <v>华东</v>
      </c>
      <c r="D1947" s="16" t="s">
        <v>2011</v>
      </c>
      <c r="E1947" s="16">
        <v>26</v>
      </c>
    </row>
    <row r="1948" spans="1:5" x14ac:dyDescent="0.4">
      <c r="A1948" s="16" t="s">
        <v>22</v>
      </c>
      <c r="B1948" s="16" t="s">
        <v>57</v>
      </c>
      <c r="C1948" s="16" t="str">
        <f t="shared" si="30"/>
        <v>华东</v>
      </c>
      <c r="D1948" s="16" t="s">
        <v>2012</v>
      </c>
      <c r="E1948" s="16">
        <v>28</v>
      </c>
    </row>
    <row r="1949" spans="1:5" x14ac:dyDescent="0.4">
      <c r="A1949" s="16" t="s">
        <v>29</v>
      </c>
      <c r="B1949" s="16" t="s">
        <v>57</v>
      </c>
      <c r="C1949" s="16" t="str">
        <f t="shared" si="30"/>
        <v>华东</v>
      </c>
      <c r="D1949" s="16" t="s">
        <v>2013</v>
      </c>
      <c r="E1949" s="16">
        <v>14</v>
      </c>
    </row>
    <row r="1950" spans="1:5" x14ac:dyDescent="0.4">
      <c r="A1950" s="16" t="s">
        <v>22</v>
      </c>
      <c r="B1950" s="16" t="s">
        <v>23</v>
      </c>
      <c r="C1950" s="16" t="str">
        <f t="shared" si="30"/>
        <v>西南</v>
      </c>
      <c r="D1950" s="16" t="s">
        <v>2014</v>
      </c>
      <c r="E1950" s="16">
        <v>29</v>
      </c>
    </row>
    <row r="1951" spans="1:5" x14ac:dyDescent="0.4">
      <c r="A1951" s="16" t="s">
        <v>29</v>
      </c>
      <c r="B1951" s="16" t="s">
        <v>23</v>
      </c>
      <c r="C1951" s="16" t="str">
        <f t="shared" si="30"/>
        <v>西南</v>
      </c>
      <c r="D1951" s="16" t="s">
        <v>2015</v>
      </c>
      <c r="E1951" s="16">
        <v>14</v>
      </c>
    </row>
    <row r="1952" spans="1:5" x14ac:dyDescent="0.4">
      <c r="A1952" s="16" t="s">
        <v>22</v>
      </c>
      <c r="B1952" s="16" t="s">
        <v>23</v>
      </c>
      <c r="C1952" s="16" t="str">
        <f t="shared" si="30"/>
        <v>西南</v>
      </c>
      <c r="D1952" s="16" t="s">
        <v>2016</v>
      </c>
      <c r="E1952" s="16">
        <v>13</v>
      </c>
    </row>
    <row r="1953" spans="1:5" x14ac:dyDescent="0.4">
      <c r="A1953" s="16" t="s">
        <v>33</v>
      </c>
      <c r="B1953" s="16" t="s">
        <v>76</v>
      </c>
      <c r="C1953" s="16" t="str">
        <f t="shared" si="30"/>
        <v>西北</v>
      </c>
      <c r="D1953" s="16" t="s">
        <v>2017</v>
      </c>
      <c r="E1953" s="16">
        <v>20</v>
      </c>
    </row>
    <row r="1954" spans="1:5" x14ac:dyDescent="0.4">
      <c r="A1954" s="16" t="s">
        <v>22</v>
      </c>
      <c r="B1954" s="16" t="s">
        <v>55</v>
      </c>
      <c r="C1954" s="16" t="str">
        <f t="shared" si="30"/>
        <v>华东</v>
      </c>
      <c r="D1954" s="16" t="s">
        <v>2018</v>
      </c>
      <c r="E1954" s="16">
        <v>14</v>
      </c>
    </row>
    <row r="1955" spans="1:5" x14ac:dyDescent="0.4">
      <c r="A1955" s="16" t="s">
        <v>22</v>
      </c>
      <c r="B1955" s="16" t="s">
        <v>67</v>
      </c>
      <c r="C1955" s="16" t="str">
        <f t="shared" si="30"/>
        <v>华中</v>
      </c>
      <c r="D1955" s="16" t="s">
        <v>2019</v>
      </c>
      <c r="E1955" s="16">
        <v>21</v>
      </c>
    </row>
    <row r="1956" spans="1:5" x14ac:dyDescent="0.4">
      <c r="A1956" s="16" t="s">
        <v>22</v>
      </c>
      <c r="B1956" s="16" t="s">
        <v>55</v>
      </c>
      <c r="C1956" s="16" t="str">
        <f t="shared" si="30"/>
        <v>华东</v>
      </c>
      <c r="D1956" s="16" t="s">
        <v>2020</v>
      </c>
      <c r="E1956" s="16">
        <v>18</v>
      </c>
    </row>
    <row r="1957" spans="1:5" x14ac:dyDescent="0.4">
      <c r="A1957" s="16" t="s">
        <v>33</v>
      </c>
      <c r="B1957" s="16" t="s">
        <v>55</v>
      </c>
      <c r="C1957" s="16" t="str">
        <f t="shared" si="30"/>
        <v>华东</v>
      </c>
      <c r="D1957" s="16" t="s">
        <v>2021</v>
      </c>
      <c r="E1957" s="16">
        <v>12</v>
      </c>
    </row>
    <row r="1958" spans="1:5" x14ac:dyDescent="0.4">
      <c r="A1958" s="16" t="s">
        <v>22</v>
      </c>
      <c r="B1958" s="16" t="s">
        <v>55</v>
      </c>
      <c r="C1958" s="16" t="str">
        <f t="shared" si="30"/>
        <v>华东</v>
      </c>
      <c r="D1958" s="16" t="s">
        <v>2022</v>
      </c>
      <c r="E1958" s="16">
        <v>23</v>
      </c>
    </row>
    <row r="1959" spans="1:5" x14ac:dyDescent="0.4">
      <c r="A1959" s="16" t="s">
        <v>33</v>
      </c>
      <c r="B1959" s="16" t="s">
        <v>76</v>
      </c>
      <c r="C1959" s="16" t="str">
        <f t="shared" si="30"/>
        <v>西北</v>
      </c>
      <c r="D1959" s="16" t="s">
        <v>2023</v>
      </c>
      <c r="E1959" s="16">
        <v>22</v>
      </c>
    </row>
    <row r="1960" spans="1:5" x14ac:dyDescent="0.4">
      <c r="A1960" s="16" t="s">
        <v>22</v>
      </c>
      <c r="B1960" s="16" t="s">
        <v>53</v>
      </c>
      <c r="C1960" s="16" t="str">
        <f t="shared" si="30"/>
        <v>华东</v>
      </c>
      <c r="D1960" s="16" t="s">
        <v>2024</v>
      </c>
      <c r="E1960" s="16">
        <v>10</v>
      </c>
    </row>
    <row r="1961" spans="1:5" x14ac:dyDescent="0.4">
      <c r="A1961" s="16" t="s">
        <v>22</v>
      </c>
      <c r="B1961" s="16" t="s">
        <v>73</v>
      </c>
      <c r="C1961" s="16" t="str">
        <f t="shared" si="30"/>
        <v>华中</v>
      </c>
      <c r="D1961" s="16" t="s">
        <v>2025</v>
      </c>
      <c r="E1961" s="16">
        <v>20</v>
      </c>
    </row>
    <row r="1962" spans="1:5" x14ac:dyDescent="0.4">
      <c r="A1962" s="16" t="s">
        <v>33</v>
      </c>
      <c r="B1962" s="16" t="s">
        <v>58</v>
      </c>
      <c r="C1962" s="16" t="str">
        <f t="shared" si="30"/>
        <v>华中</v>
      </c>
      <c r="D1962" s="16" t="s">
        <v>2026</v>
      </c>
      <c r="E1962" s="16">
        <v>24</v>
      </c>
    </row>
    <row r="1963" spans="1:5" x14ac:dyDescent="0.4">
      <c r="A1963" s="16" t="s">
        <v>22</v>
      </c>
      <c r="B1963" s="16" t="s">
        <v>69</v>
      </c>
      <c r="C1963" s="16" t="str">
        <f t="shared" si="30"/>
        <v>华南</v>
      </c>
      <c r="D1963" s="16" t="s">
        <v>2027</v>
      </c>
      <c r="E1963" s="16">
        <v>19</v>
      </c>
    </row>
    <row r="1964" spans="1:5" x14ac:dyDescent="0.4">
      <c r="A1964" s="16" t="s">
        <v>22</v>
      </c>
      <c r="B1964" s="16" t="s">
        <v>55</v>
      </c>
      <c r="C1964" s="16" t="str">
        <f t="shared" si="30"/>
        <v>华东</v>
      </c>
      <c r="D1964" s="16" t="s">
        <v>2028</v>
      </c>
      <c r="E1964" s="16">
        <v>27</v>
      </c>
    </row>
    <row r="1965" spans="1:5" x14ac:dyDescent="0.4">
      <c r="A1965" s="16" t="s">
        <v>29</v>
      </c>
      <c r="B1965" s="16" t="s">
        <v>73</v>
      </c>
      <c r="C1965" s="16" t="str">
        <f t="shared" si="30"/>
        <v>华中</v>
      </c>
      <c r="D1965" s="16" t="s">
        <v>2029</v>
      </c>
      <c r="E1965" s="16">
        <v>20</v>
      </c>
    </row>
    <row r="1966" spans="1:5" x14ac:dyDescent="0.4">
      <c r="A1966" s="16" t="s">
        <v>22</v>
      </c>
      <c r="B1966" s="16" t="s">
        <v>61</v>
      </c>
      <c r="C1966" s="16" t="str">
        <f t="shared" si="30"/>
        <v>华东</v>
      </c>
      <c r="D1966" s="16" t="s">
        <v>2030</v>
      </c>
      <c r="E1966" s="16">
        <v>20</v>
      </c>
    </row>
    <row r="1967" spans="1:5" x14ac:dyDescent="0.4">
      <c r="A1967" s="16" t="s">
        <v>22</v>
      </c>
      <c r="B1967" s="16" t="s">
        <v>61</v>
      </c>
      <c r="C1967" s="16" t="str">
        <f t="shared" si="30"/>
        <v>华东</v>
      </c>
      <c r="D1967" s="16" t="s">
        <v>2031</v>
      </c>
      <c r="E1967" s="16">
        <v>16</v>
      </c>
    </row>
    <row r="1968" spans="1:5" x14ac:dyDescent="0.4">
      <c r="A1968" s="16" t="s">
        <v>29</v>
      </c>
      <c r="B1968" s="16" t="s">
        <v>58</v>
      </c>
      <c r="C1968" s="16" t="str">
        <f t="shared" si="30"/>
        <v>华中</v>
      </c>
      <c r="D1968" s="16" t="s">
        <v>2032</v>
      </c>
      <c r="E1968" s="16">
        <v>24</v>
      </c>
    </row>
    <row r="1969" spans="1:5" x14ac:dyDescent="0.4">
      <c r="A1969" s="16" t="s">
        <v>33</v>
      </c>
      <c r="B1969" s="16" t="s">
        <v>81</v>
      </c>
      <c r="C1969" s="16" t="str">
        <f t="shared" si="30"/>
        <v>西北</v>
      </c>
      <c r="D1969" s="16" t="s">
        <v>2033</v>
      </c>
      <c r="E1969" s="16">
        <v>19</v>
      </c>
    </row>
    <row r="1970" spans="1:5" x14ac:dyDescent="0.4">
      <c r="A1970" s="16" t="s">
        <v>22</v>
      </c>
      <c r="B1970" s="16" t="s">
        <v>61</v>
      </c>
      <c r="C1970" s="16" t="str">
        <f t="shared" si="30"/>
        <v>华东</v>
      </c>
      <c r="D1970" s="16" t="s">
        <v>2034</v>
      </c>
      <c r="E1970" s="16">
        <v>14</v>
      </c>
    </row>
    <row r="1971" spans="1:5" x14ac:dyDescent="0.4">
      <c r="A1971" s="16" t="s">
        <v>29</v>
      </c>
      <c r="B1971" s="16" t="s">
        <v>63</v>
      </c>
      <c r="C1971" s="16" t="str">
        <f t="shared" si="30"/>
        <v>西南</v>
      </c>
      <c r="D1971" s="16" t="s">
        <v>2035</v>
      </c>
      <c r="E1971" s="16">
        <v>22</v>
      </c>
    </row>
    <row r="1972" spans="1:5" x14ac:dyDescent="0.4">
      <c r="A1972" s="16" t="s">
        <v>33</v>
      </c>
      <c r="B1972" s="16" t="s">
        <v>67</v>
      </c>
      <c r="C1972" s="16" t="str">
        <f t="shared" si="30"/>
        <v>华中</v>
      </c>
      <c r="D1972" s="16" t="s">
        <v>2036</v>
      </c>
      <c r="E1972" s="16">
        <v>17</v>
      </c>
    </row>
    <row r="1973" spans="1:5" x14ac:dyDescent="0.4">
      <c r="A1973" s="16" t="s">
        <v>33</v>
      </c>
      <c r="B1973" s="16" t="s">
        <v>67</v>
      </c>
      <c r="C1973" s="16" t="str">
        <f t="shared" si="30"/>
        <v>华中</v>
      </c>
      <c r="D1973" s="16" t="s">
        <v>2037</v>
      </c>
      <c r="E1973" s="16">
        <v>23</v>
      </c>
    </row>
    <row r="1974" spans="1:5" x14ac:dyDescent="0.4">
      <c r="A1974" s="16" t="s">
        <v>29</v>
      </c>
      <c r="B1974" s="16" t="s">
        <v>65</v>
      </c>
      <c r="C1974" s="16" t="str">
        <f t="shared" si="30"/>
        <v>华南</v>
      </c>
      <c r="D1974" s="16" t="s">
        <v>2038</v>
      </c>
      <c r="E1974" s="16">
        <v>24</v>
      </c>
    </row>
    <row r="1975" spans="1:5" x14ac:dyDescent="0.4">
      <c r="A1975" s="16" t="s">
        <v>29</v>
      </c>
      <c r="B1975" s="16" t="s">
        <v>34</v>
      </c>
      <c r="C1975" s="16" t="str">
        <f t="shared" si="30"/>
        <v>西北</v>
      </c>
      <c r="D1975" s="16" t="s">
        <v>2039</v>
      </c>
      <c r="E1975" s="16">
        <v>26</v>
      </c>
    </row>
    <row r="1976" spans="1:5" x14ac:dyDescent="0.4">
      <c r="A1976" s="16" t="s">
        <v>33</v>
      </c>
      <c r="B1976" s="16" t="s">
        <v>67</v>
      </c>
      <c r="C1976" s="16" t="str">
        <f t="shared" si="30"/>
        <v>华中</v>
      </c>
      <c r="D1976" s="16" t="s">
        <v>2040</v>
      </c>
      <c r="E1976" s="16">
        <v>25</v>
      </c>
    </row>
    <row r="1977" spans="1:5" x14ac:dyDescent="0.4">
      <c r="A1977" s="16" t="s">
        <v>33</v>
      </c>
      <c r="B1977" s="16" t="s">
        <v>67</v>
      </c>
      <c r="C1977" s="16" t="str">
        <f t="shared" si="30"/>
        <v>华中</v>
      </c>
      <c r="D1977" s="16" t="s">
        <v>2041</v>
      </c>
      <c r="E1977" s="16">
        <v>11</v>
      </c>
    </row>
    <row r="1978" spans="1:5" x14ac:dyDescent="0.4">
      <c r="A1978" s="16" t="s">
        <v>22</v>
      </c>
      <c r="B1978" s="16" t="s">
        <v>55</v>
      </c>
      <c r="C1978" s="16" t="str">
        <f t="shared" si="30"/>
        <v>华东</v>
      </c>
      <c r="D1978" s="16" t="s">
        <v>2042</v>
      </c>
      <c r="E1978" s="16">
        <v>10</v>
      </c>
    </row>
    <row r="1979" spans="1:5" x14ac:dyDescent="0.4">
      <c r="A1979" s="16" t="s">
        <v>29</v>
      </c>
      <c r="B1979" s="16" t="s">
        <v>32</v>
      </c>
      <c r="C1979" s="16" t="str">
        <f t="shared" si="30"/>
        <v>东北</v>
      </c>
      <c r="D1979" s="16" t="s">
        <v>2043</v>
      </c>
      <c r="E1979" s="16">
        <v>12</v>
      </c>
    </row>
    <row r="1980" spans="1:5" x14ac:dyDescent="0.4">
      <c r="A1980" s="16" t="s">
        <v>29</v>
      </c>
      <c r="B1980" s="16" t="s">
        <v>32</v>
      </c>
      <c r="C1980" s="16" t="str">
        <f t="shared" si="30"/>
        <v>东北</v>
      </c>
      <c r="D1980" s="16" t="s">
        <v>2044</v>
      </c>
      <c r="E1980" s="16">
        <v>14</v>
      </c>
    </row>
    <row r="1981" spans="1:5" x14ac:dyDescent="0.4">
      <c r="A1981" s="16" t="s">
        <v>29</v>
      </c>
      <c r="B1981" s="16" t="s">
        <v>32</v>
      </c>
      <c r="C1981" s="16" t="str">
        <f t="shared" si="30"/>
        <v>东北</v>
      </c>
      <c r="D1981" s="16" t="s">
        <v>2045</v>
      </c>
      <c r="E1981" s="16">
        <v>23</v>
      </c>
    </row>
    <row r="1982" spans="1:5" x14ac:dyDescent="0.4">
      <c r="A1982" s="16" t="s">
        <v>29</v>
      </c>
      <c r="B1982" s="16" t="s">
        <v>32</v>
      </c>
      <c r="C1982" s="16" t="str">
        <f t="shared" si="30"/>
        <v>东北</v>
      </c>
      <c r="D1982" s="16" t="s">
        <v>2046</v>
      </c>
      <c r="E1982" s="16">
        <v>29</v>
      </c>
    </row>
    <row r="1983" spans="1:5" x14ac:dyDescent="0.4">
      <c r="A1983" s="16" t="s">
        <v>29</v>
      </c>
      <c r="B1983" s="16" t="s">
        <v>32</v>
      </c>
      <c r="C1983" s="16" t="str">
        <f t="shared" si="30"/>
        <v>东北</v>
      </c>
      <c r="D1983" s="16" t="s">
        <v>2047</v>
      </c>
      <c r="E1983" s="16">
        <v>18</v>
      </c>
    </row>
    <row r="1984" spans="1:5" x14ac:dyDescent="0.4">
      <c r="A1984" s="16" t="s">
        <v>29</v>
      </c>
      <c r="B1984" s="16" t="s">
        <v>32</v>
      </c>
      <c r="C1984" s="16" t="str">
        <f t="shared" si="30"/>
        <v>东北</v>
      </c>
      <c r="D1984" s="16" t="s">
        <v>2048</v>
      </c>
      <c r="E1984" s="16">
        <v>15</v>
      </c>
    </row>
    <row r="1985" spans="1:5" x14ac:dyDescent="0.4">
      <c r="A1985" s="16" t="s">
        <v>29</v>
      </c>
      <c r="B1985" s="16" t="s">
        <v>32</v>
      </c>
      <c r="C1985" s="16" t="str">
        <f t="shared" si="30"/>
        <v>东北</v>
      </c>
      <c r="D1985" s="16" t="s">
        <v>2049</v>
      </c>
      <c r="E1985" s="16">
        <v>25</v>
      </c>
    </row>
    <row r="1986" spans="1:5" x14ac:dyDescent="0.4">
      <c r="A1986" s="16" t="s">
        <v>22</v>
      </c>
      <c r="B1986" s="16" t="s">
        <v>32</v>
      </c>
      <c r="C1986" s="16" t="str">
        <f t="shared" si="30"/>
        <v>东北</v>
      </c>
      <c r="D1986" s="16" t="s">
        <v>2050</v>
      </c>
      <c r="E1986" s="16">
        <v>11</v>
      </c>
    </row>
    <row r="1987" spans="1:5" x14ac:dyDescent="0.4">
      <c r="A1987" s="16" t="s">
        <v>29</v>
      </c>
      <c r="B1987" s="16" t="s">
        <v>23</v>
      </c>
      <c r="C1987" s="16" t="str">
        <f t="shared" ref="C1987:C2050" si="31">_xlfn.XLOOKUP(B1987,$I$2:$I$32,$J$2:$J$32)</f>
        <v>西南</v>
      </c>
      <c r="D1987" s="16" t="s">
        <v>2051</v>
      </c>
      <c r="E1987" s="16">
        <v>11</v>
      </c>
    </row>
    <row r="1988" spans="1:5" x14ac:dyDescent="0.4">
      <c r="A1988" s="16" t="s">
        <v>22</v>
      </c>
      <c r="B1988" s="16" t="s">
        <v>48</v>
      </c>
      <c r="C1988" s="16" t="str">
        <f t="shared" si="31"/>
        <v>华东</v>
      </c>
      <c r="D1988" s="16" t="s">
        <v>2052</v>
      </c>
      <c r="E1988" s="16">
        <v>29</v>
      </c>
    </row>
    <row r="1989" spans="1:5" x14ac:dyDescent="0.4">
      <c r="A1989" s="16" t="s">
        <v>22</v>
      </c>
      <c r="B1989" s="16" t="s">
        <v>48</v>
      </c>
      <c r="C1989" s="16" t="str">
        <f t="shared" si="31"/>
        <v>华东</v>
      </c>
      <c r="D1989" s="16" t="s">
        <v>2053</v>
      </c>
      <c r="E1989" s="16">
        <v>14</v>
      </c>
    </row>
    <row r="1990" spans="1:5" x14ac:dyDescent="0.4">
      <c r="A1990" s="16" t="s">
        <v>22</v>
      </c>
      <c r="B1990" s="16" t="s">
        <v>48</v>
      </c>
      <c r="C1990" s="16" t="str">
        <f t="shared" si="31"/>
        <v>华东</v>
      </c>
      <c r="D1990" s="16" t="s">
        <v>2054</v>
      </c>
      <c r="E1990" s="16">
        <v>22</v>
      </c>
    </row>
    <row r="1991" spans="1:5" x14ac:dyDescent="0.4">
      <c r="A1991" s="16" t="s">
        <v>22</v>
      </c>
      <c r="B1991" s="16" t="s">
        <v>48</v>
      </c>
      <c r="C1991" s="16" t="str">
        <f t="shared" si="31"/>
        <v>华东</v>
      </c>
      <c r="D1991" s="16" t="s">
        <v>2055</v>
      </c>
      <c r="E1991" s="16">
        <v>16</v>
      </c>
    </row>
    <row r="1992" spans="1:5" x14ac:dyDescent="0.4">
      <c r="A1992" s="16" t="s">
        <v>29</v>
      </c>
      <c r="B1992" s="16" t="s">
        <v>48</v>
      </c>
      <c r="C1992" s="16" t="str">
        <f t="shared" si="31"/>
        <v>华东</v>
      </c>
      <c r="D1992" s="16" t="s">
        <v>2056</v>
      </c>
      <c r="E1992" s="16">
        <v>16</v>
      </c>
    </row>
    <row r="1993" spans="1:5" x14ac:dyDescent="0.4">
      <c r="A1993" s="16" t="s">
        <v>22</v>
      </c>
      <c r="B1993" s="16" t="s">
        <v>69</v>
      </c>
      <c r="C1993" s="16" t="str">
        <f t="shared" si="31"/>
        <v>华南</v>
      </c>
      <c r="D1993" s="16" t="s">
        <v>2057</v>
      </c>
      <c r="E1993" s="16">
        <v>13</v>
      </c>
    </row>
    <row r="1994" spans="1:5" x14ac:dyDescent="0.4">
      <c r="A1994" s="16" t="s">
        <v>22</v>
      </c>
      <c r="B1994" s="16" t="s">
        <v>38</v>
      </c>
      <c r="C1994" s="16" t="str">
        <f t="shared" si="31"/>
        <v>西北</v>
      </c>
      <c r="D1994" s="16" t="s">
        <v>2058</v>
      </c>
      <c r="E1994" s="16">
        <v>14</v>
      </c>
    </row>
    <row r="1995" spans="1:5" x14ac:dyDescent="0.4">
      <c r="A1995" s="16" t="s">
        <v>29</v>
      </c>
      <c r="B1995" s="16" t="s">
        <v>73</v>
      </c>
      <c r="C1995" s="16" t="str">
        <f t="shared" si="31"/>
        <v>华中</v>
      </c>
      <c r="D1995" s="16" t="s">
        <v>2059</v>
      </c>
      <c r="E1995" s="16">
        <v>12</v>
      </c>
    </row>
    <row r="1996" spans="1:5" x14ac:dyDescent="0.4">
      <c r="A1996" s="16" t="s">
        <v>33</v>
      </c>
      <c r="B1996" s="16" t="s">
        <v>73</v>
      </c>
      <c r="C1996" s="16" t="str">
        <f t="shared" si="31"/>
        <v>华中</v>
      </c>
      <c r="D1996" s="16" t="s">
        <v>2060</v>
      </c>
      <c r="E1996" s="16">
        <v>15</v>
      </c>
    </row>
    <row r="1997" spans="1:5" x14ac:dyDescent="0.4">
      <c r="A1997" s="16" t="s">
        <v>22</v>
      </c>
      <c r="B1997" s="16" t="s">
        <v>51</v>
      </c>
      <c r="C1997" s="16" t="str">
        <f t="shared" si="31"/>
        <v>华东</v>
      </c>
      <c r="D1997" s="16" t="s">
        <v>2061</v>
      </c>
      <c r="E1997" s="16">
        <v>11</v>
      </c>
    </row>
    <row r="1998" spans="1:5" x14ac:dyDescent="0.4">
      <c r="A1998" s="16" t="s">
        <v>29</v>
      </c>
      <c r="B1998" s="16" t="s">
        <v>55</v>
      </c>
      <c r="C1998" s="16" t="str">
        <f t="shared" si="31"/>
        <v>华东</v>
      </c>
      <c r="D1998" s="16" t="s">
        <v>2062</v>
      </c>
      <c r="E1998" s="16">
        <v>20</v>
      </c>
    </row>
    <row r="1999" spans="1:5" x14ac:dyDescent="0.4">
      <c r="A1999" s="16" t="s">
        <v>22</v>
      </c>
      <c r="B1999" s="16" t="s">
        <v>53</v>
      </c>
      <c r="C1999" s="16" t="str">
        <f t="shared" si="31"/>
        <v>华东</v>
      </c>
      <c r="D1999" s="16" t="s">
        <v>2063</v>
      </c>
      <c r="E1999" s="16">
        <v>22</v>
      </c>
    </row>
    <row r="2000" spans="1:5" x14ac:dyDescent="0.4">
      <c r="A2000" s="16" t="s">
        <v>22</v>
      </c>
      <c r="B2000" s="16" t="s">
        <v>69</v>
      </c>
      <c r="C2000" s="16" t="str">
        <f t="shared" si="31"/>
        <v>华南</v>
      </c>
      <c r="D2000" s="16" t="s">
        <v>2064</v>
      </c>
      <c r="E2000" s="16">
        <v>10</v>
      </c>
    </row>
    <row r="2001" spans="1:5" x14ac:dyDescent="0.4">
      <c r="A2001" s="16" t="s">
        <v>29</v>
      </c>
      <c r="B2001" s="16" t="s">
        <v>28</v>
      </c>
      <c r="C2001" s="16" t="str">
        <f t="shared" si="31"/>
        <v>东北</v>
      </c>
      <c r="D2001" s="16" t="s">
        <v>2065</v>
      </c>
      <c r="E2001" s="16">
        <v>25</v>
      </c>
    </row>
    <row r="2002" spans="1:5" x14ac:dyDescent="0.4">
      <c r="A2002" s="16" t="s">
        <v>22</v>
      </c>
      <c r="B2002" s="16" t="s">
        <v>44</v>
      </c>
      <c r="C2002" s="16" t="str">
        <f t="shared" si="31"/>
        <v>华北</v>
      </c>
      <c r="D2002" s="16" t="s">
        <v>2066</v>
      </c>
      <c r="E2002" s="16">
        <v>10</v>
      </c>
    </row>
    <row r="2003" spans="1:5" x14ac:dyDescent="0.4">
      <c r="A2003" s="16" t="s">
        <v>22</v>
      </c>
      <c r="B2003" s="16" t="s">
        <v>61</v>
      </c>
      <c r="C2003" s="16" t="str">
        <f t="shared" si="31"/>
        <v>华东</v>
      </c>
      <c r="D2003" s="16" t="s">
        <v>2067</v>
      </c>
      <c r="E2003" s="16">
        <v>20</v>
      </c>
    </row>
    <row r="2004" spans="1:5" x14ac:dyDescent="0.4">
      <c r="A2004" s="16" t="s">
        <v>22</v>
      </c>
      <c r="B2004" s="16" t="s">
        <v>61</v>
      </c>
      <c r="C2004" s="16" t="str">
        <f t="shared" si="31"/>
        <v>华东</v>
      </c>
      <c r="D2004" s="16" t="s">
        <v>2068</v>
      </c>
      <c r="E2004" s="16">
        <v>21</v>
      </c>
    </row>
    <row r="2005" spans="1:5" x14ac:dyDescent="0.4">
      <c r="A2005" s="16" t="s">
        <v>22</v>
      </c>
      <c r="B2005" s="16" t="s">
        <v>61</v>
      </c>
      <c r="C2005" s="16" t="str">
        <f t="shared" si="31"/>
        <v>华东</v>
      </c>
      <c r="D2005" s="16" t="s">
        <v>2069</v>
      </c>
      <c r="E2005" s="16">
        <v>10</v>
      </c>
    </row>
    <row r="2006" spans="1:5" x14ac:dyDescent="0.4">
      <c r="A2006" s="16" t="s">
        <v>29</v>
      </c>
      <c r="B2006" s="16" t="s">
        <v>81</v>
      </c>
      <c r="C2006" s="16" t="str">
        <f t="shared" si="31"/>
        <v>西北</v>
      </c>
      <c r="D2006" s="16" t="s">
        <v>2070</v>
      </c>
      <c r="E2006" s="16">
        <v>12</v>
      </c>
    </row>
    <row r="2007" spans="1:5" x14ac:dyDescent="0.4">
      <c r="A2007" s="16" t="s">
        <v>33</v>
      </c>
      <c r="B2007" s="16" t="s">
        <v>58</v>
      </c>
      <c r="C2007" s="16" t="str">
        <f t="shared" si="31"/>
        <v>华中</v>
      </c>
      <c r="D2007" s="16" t="s">
        <v>2071</v>
      </c>
      <c r="E2007" s="16">
        <v>13</v>
      </c>
    </row>
    <row r="2008" spans="1:5" x14ac:dyDescent="0.4">
      <c r="A2008" s="16" t="s">
        <v>22</v>
      </c>
      <c r="B2008" s="16" t="s">
        <v>51</v>
      </c>
      <c r="C2008" s="16" t="str">
        <f t="shared" si="31"/>
        <v>华东</v>
      </c>
      <c r="D2008" s="16" t="s">
        <v>2072</v>
      </c>
      <c r="E2008" s="16">
        <v>26</v>
      </c>
    </row>
    <row r="2009" spans="1:5" x14ac:dyDescent="0.4">
      <c r="A2009" s="16" t="s">
        <v>22</v>
      </c>
      <c r="B2009" s="16" t="s">
        <v>55</v>
      </c>
      <c r="C2009" s="16" t="str">
        <f t="shared" si="31"/>
        <v>华东</v>
      </c>
      <c r="D2009" s="16" t="s">
        <v>2073</v>
      </c>
      <c r="E2009" s="16">
        <v>15</v>
      </c>
    </row>
    <row r="2010" spans="1:5" x14ac:dyDescent="0.4">
      <c r="A2010" s="16" t="s">
        <v>29</v>
      </c>
      <c r="B2010" s="16" t="s">
        <v>58</v>
      </c>
      <c r="C2010" s="16" t="str">
        <f t="shared" si="31"/>
        <v>华中</v>
      </c>
      <c r="D2010" s="16" t="s">
        <v>2074</v>
      </c>
      <c r="E2010" s="16">
        <v>27</v>
      </c>
    </row>
    <row r="2011" spans="1:5" x14ac:dyDescent="0.4">
      <c r="A2011" s="16" t="s">
        <v>29</v>
      </c>
      <c r="B2011" s="16" t="s">
        <v>55</v>
      </c>
      <c r="C2011" s="16" t="str">
        <f t="shared" si="31"/>
        <v>华东</v>
      </c>
      <c r="D2011" s="16" t="s">
        <v>2075</v>
      </c>
      <c r="E2011" s="16">
        <v>18</v>
      </c>
    </row>
    <row r="2012" spans="1:5" x14ac:dyDescent="0.4">
      <c r="A2012" s="16" t="s">
        <v>29</v>
      </c>
      <c r="B2012" s="16" t="s">
        <v>58</v>
      </c>
      <c r="C2012" s="16" t="str">
        <f t="shared" si="31"/>
        <v>华中</v>
      </c>
      <c r="D2012" s="16" t="s">
        <v>2076</v>
      </c>
      <c r="E2012" s="16">
        <v>22</v>
      </c>
    </row>
    <row r="2013" spans="1:5" x14ac:dyDescent="0.4">
      <c r="A2013" s="16" t="s">
        <v>29</v>
      </c>
      <c r="B2013" s="16" t="s">
        <v>58</v>
      </c>
      <c r="C2013" s="16" t="str">
        <f t="shared" si="31"/>
        <v>华中</v>
      </c>
      <c r="D2013" s="16" t="s">
        <v>2077</v>
      </c>
      <c r="E2013" s="16">
        <v>15</v>
      </c>
    </row>
    <row r="2014" spans="1:5" x14ac:dyDescent="0.4">
      <c r="A2014" s="16" t="s">
        <v>33</v>
      </c>
      <c r="B2014" s="16" t="s">
        <v>36</v>
      </c>
      <c r="C2014" s="16" t="str">
        <f t="shared" si="31"/>
        <v>华北</v>
      </c>
      <c r="D2014" s="16" t="s">
        <v>2078</v>
      </c>
      <c r="E2014" s="16">
        <v>11</v>
      </c>
    </row>
    <row r="2015" spans="1:5" x14ac:dyDescent="0.4">
      <c r="A2015" s="16" t="s">
        <v>22</v>
      </c>
      <c r="B2015" s="16" t="s">
        <v>69</v>
      </c>
      <c r="C2015" s="16" t="str">
        <f t="shared" si="31"/>
        <v>华南</v>
      </c>
      <c r="D2015" s="16" t="s">
        <v>2079</v>
      </c>
      <c r="E2015" s="16">
        <v>26</v>
      </c>
    </row>
    <row r="2016" spans="1:5" x14ac:dyDescent="0.4">
      <c r="A2016" s="16" t="s">
        <v>22</v>
      </c>
      <c r="B2016" s="16" t="s">
        <v>44</v>
      </c>
      <c r="C2016" s="16" t="str">
        <f t="shared" si="31"/>
        <v>华北</v>
      </c>
      <c r="D2016" s="16" t="s">
        <v>2080</v>
      </c>
      <c r="E2016" s="16">
        <v>23</v>
      </c>
    </row>
    <row r="2017" spans="1:5" x14ac:dyDescent="0.4">
      <c r="A2017" s="16" t="s">
        <v>29</v>
      </c>
      <c r="B2017" s="16" t="s">
        <v>55</v>
      </c>
      <c r="C2017" s="16" t="str">
        <f t="shared" si="31"/>
        <v>华东</v>
      </c>
      <c r="D2017" s="16" t="s">
        <v>2081</v>
      </c>
      <c r="E2017" s="16">
        <v>19</v>
      </c>
    </row>
    <row r="2018" spans="1:5" x14ac:dyDescent="0.4">
      <c r="A2018" s="16" t="s">
        <v>22</v>
      </c>
      <c r="B2018" s="16" t="s">
        <v>55</v>
      </c>
      <c r="C2018" s="16" t="str">
        <f t="shared" si="31"/>
        <v>华东</v>
      </c>
      <c r="D2018" s="16" t="s">
        <v>2082</v>
      </c>
      <c r="E2018" s="16">
        <v>21</v>
      </c>
    </row>
    <row r="2019" spans="1:5" x14ac:dyDescent="0.4">
      <c r="A2019" s="16" t="s">
        <v>22</v>
      </c>
      <c r="B2019" s="16" t="s">
        <v>61</v>
      </c>
      <c r="C2019" s="16" t="str">
        <f t="shared" si="31"/>
        <v>华东</v>
      </c>
      <c r="D2019" s="16" t="s">
        <v>2083</v>
      </c>
      <c r="E2019" s="16">
        <v>19</v>
      </c>
    </row>
    <row r="2020" spans="1:5" x14ac:dyDescent="0.4">
      <c r="A2020" s="16" t="s">
        <v>22</v>
      </c>
      <c r="B2020" s="16" t="s">
        <v>61</v>
      </c>
      <c r="C2020" s="16" t="str">
        <f t="shared" si="31"/>
        <v>华东</v>
      </c>
      <c r="D2020" s="16" t="s">
        <v>2084</v>
      </c>
      <c r="E2020" s="16">
        <v>11</v>
      </c>
    </row>
    <row r="2021" spans="1:5" x14ac:dyDescent="0.4">
      <c r="A2021" s="16" t="s">
        <v>29</v>
      </c>
      <c r="B2021" s="16" t="s">
        <v>63</v>
      </c>
      <c r="C2021" s="16" t="str">
        <f t="shared" si="31"/>
        <v>西南</v>
      </c>
      <c r="D2021" s="16" t="s">
        <v>2085</v>
      </c>
      <c r="E2021" s="16">
        <v>22</v>
      </c>
    </row>
    <row r="2022" spans="1:5" x14ac:dyDescent="0.4">
      <c r="A2022" s="16" t="s">
        <v>22</v>
      </c>
      <c r="B2022" s="16" t="s">
        <v>61</v>
      </c>
      <c r="C2022" s="16" t="str">
        <f t="shared" si="31"/>
        <v>华东</v>
      </c>
      <c r="D2022" s="16" t="s">
        <v>2086</v>
      </c>
      <c r="E2022" s="16">
        <v>19</v>
      </c>
    </row>
    <row r="2023" spans="1:5" x14ac:dyDescent="0.4">
      <c r="A2023" s="16" t="s">
        <v>29</v>
      </c>
      <c r="B2023" s="16" t="s">
        <v>44</v>
      </c>
      <c r="C2023" s="16" t="str">
        <f t="shared" si="31"/>
        <v>华北</v>
      </c>
      <c r="D2023" s="16" t="s">
        <v>2087</v>
      </c>
      <c r="E2023" s="16">
        <v>19</v>
      </c>
    </row>
    <row r="2024" spans="1:5" x14ac:dyDescent="0.4">
      <c r="A2024" s="16" t="s">
        <v>22</v>
      </c>
      <c r="B2024" s="16" t="s">
        <v>44</v>
      </c>
      <c r="C2024" s="16" t="str">
        <f t="shared" si="31"/>
        <v>华北</v>
      </c>
      <c r="D2024" s="16" t="s">
        <v>2088</v>
      </c>
      <c r="E2024" s="16">
        <v>13</v>
      </c>
    </row>
    <row r="2025" spans="1:5" x14ac:dyDescent="0.4">
      <c r="A2025" s="16" t="s">
        <v>29</v>
      </c>
      <c r="B2025" s="16" t="s">
        <v>57</v>
      </c>
      <c r="C2025" s="16" t="str">
        <f t="shared" si="31"/>
        <v>华东</v>
      </c>
      <c r="D2025" s="16" t="s">
        <v>2089</v>
      </c>
      <c r="E2025" s="16">
        <v>13</v>
      </c>
    </row>
    <row r="2026" spans="1:5" x14ac:dyDescent="0.4">
      <c r="A2026" s="16" t="s">
        <v>22</v>
      </c>
      <c r="B2026" s="16" t="s">
        <v>44</v>
      </c>
      <c r="C2026" s="16" t="str">
        <f t="shared" si="31"/>
        <v>华北</v>
      </c>
      <c r="D2026" s="16" t="s">
        <v>2090</v>
      </c>
      <c r="E2026" s="16">
        <v>22</v>
      </c>
    </row>
    <row r="2027" spans="1:5" x14ac:dyDescent="0.4">
      <c r="A2027" s="16" t="s">
        <v>29</v>
      </c>
      <c r="B2027" s="16" t="s">
        <v>44</v>
      </c>
      <c r="C2027" s="16" t="str">
        <f t="shared" si="31"/>
        <v>华北</v>
      </c>
      <c r="D2027" s="16" t="s">
        <v>2091</v>
      </c>
      <c r="E2027" s="16">
        <v>22</v>
      </c>
    </row>
    <row r="2028" spans="1:5" x14ac:dyDescent="0.4">
      <c r="A2028" s="16" t="s">
        <v>29</v>
      </c>
      <c r="B2028" s="16" t="s">
        <v>44</v>
      </c>
      <c r="C2028" s="16" t="str">
        <f t="shared" si="31"/>
        <v>华北</v>
      </c>
      <c r="D2028" s="16" t="s">
        <v>2092</v>
      </c>
      <c r="E2028" s="16">
        <v>14</v>
      </c>
    </row>
    <row r="2029" spans="1:5" x14ac:dyDescent="0.4">
      <c r="A2029" s="16" t="s">
        <v>22</v>
      </c>
      <c r="B2029" s="16" t="s">
        <v>28</v>
      </c>
      <c r="C2029" s="16" t="str">
        <f t="shared" si="31"/>
        <v>东北</v>
      </c>
      <c r="D2029" s="16" t="s">
        <v>2093</v>
      </c>
      <c r="E2029" s="16">
        <v>18</v>
      </c>
    </row>
    <row r="2030" spans="1:5" x14ac:dyDescent="0.4">
      <c r="A2030" s="16" t="s">
        <v>33</v>
      </c>
      <c r="B2030" s="16" t="s">
        <v>76</v>
      </c>
      <c r="C2030" s="16" t="str">
        <f t="shared" si="31"/>
        <v>西北</v>
      </c>
      <c r="D2030" s="16" t="s">
        <v>2094</v>
      </c>
      <c r="E2030" s="16">
        <v>23</v>
      </c>
    </row>
    <row r="2031" spans="1:5" x14ac:dyDescent="0.4">
      <c r="A2031" s="16" t="s">
        <v>33</v>
      </c>
      <c r="B2031" s="16" t="s">
        <v>76</v>
      </c>
      <c r="C2031" s="16" t="str">
        <f t="shared" si="31"/>
        <v>西北</v>
      </c>
      <c r="D2031" s="16" t="s">
        <v>2095</v>
      </c>
      <c r="E2031" s="16">
        <v>15</v>
      </c>
    </row>
    <row r="2032" spans="1:5" x14ac:dyDescent="0.4">
      <c r="A2032" s="16" t="s">
        <v>33</v>
      </c>
      <c r="B2032" s="16" t="s">
        <v>73</v>
      </c>
      <c r="C2032" s="16" t="str">
        <f t="shared" si="31"/>
        <v>华中</v>
      </c>
      <c r="D2032" s="16" t="s">
        <v>2096</v>
      </c>
      <c r="E2032" s="16">
        <v>22</v>
      </c>
    </row>
    <row r="2033" spans="1:5" x14ac:dyDescent="0.4">
      <c r="A2033" s="16" t="s">
        <v>29</v>
      </c>
      <c r="B2033" s="16" t="s">
        <v>73</v>
      </c>
      <c r="C2033" s="16" t="str">
        <f t="shared" si="31"/>
        <v>华中</v>
      </c>
      <c r="D2033" s="16" t="s">
        <v>2097</v>
      </c>
      <c r="E2033" s="16">
        <v>18</v>
      </c>
    </row>
    <row r="2034" spans="1:5" x14ac:dyDescent="0.4">
      <c r="A2034" s="16" t="s">
        <v>22</v>
      </c>
      <c r="B2034" s="16" t="s">
        <v>57</v>
      </c>
      <c r="C2034" s="16" t="str">
        <f t="shared" si="31"/>
        <v>华东</v>
      </c>
      <c r="D2034" s="16" t="s">
        <v>2098</v>
      </c>
      <c r="E2034" s="16">
        <v>25</v>
      </c>
    </row>
    <row r="2035" spans="1:5" x14ac:dyDescent="0.4">
      <c r="A2035" s="16" t="s">
        <v>29</v>
      </c>
      <c r="B2035" s="16" t="s">
        <v>73</v>
      </c>
      <c r="C2035" s="16" t="str">
        <f t="shared" si="31"/>
        <v>华中</v>
      </c>
      <c r="D2035" s="16" t="s">
        <v>2099</v>
      </c>
      <c r="E2035" s="16">
        <v>29</v>
      </c>
    </row>
    <row r="2036" spans="1:5" x14ac:dyDescent="0.4">
      <c r="A2036" s="16" t="s">
        <v>29</v>
      </c>
      <c r="B2036" s="16" t="s">
        <v>73</v>
      </c>
      <c r="C2036" s="16" t="str">
        <f t="shared" si="31"/>
        <v>华中</v>
      </c>
      <c r="D2036" s="16" t="s">
        <v>2100</v>
      </c>
      <c r="E2036" s="16">
        <v>20</v>
      </c>
    </row>
    <row r="2037" spans="1:5" x14ac:dyDescent="0.4">
      <c r="A2037" s="16" t="s">
        <v>22</v>
      </c>
      <c r="B2037" s="16" t="s">
        <v>61</v>
      </c>
      <c r="C2037" s="16" t="str">
        <f t="shared" si="31"/>
        <v>华东</v>
      </c>
      <c r="D2037" s="16" t="s">
        <v>2101</v>
      </c>
      <c r="E2037" s="16">
        <v>24</v>
      </c>
    </row>
    <row r="2038" spans="1:5" x14ac:dyDescent="0.4">
      <c r="A2038" s="16" t="s">
        <v>22</v>
      </c>
      <c r="B2038" s="16" t="s">
        <v>69</v>
      </c>
      <c r="C2038" s="16" t="str">
        <f t="shared" si="31"/>
        <v>华南</v>
      </c>
      <c r="D2038" s="16" t="s">
        <v>2102</v>
      </c>
      <c r="E2038" s="16">
        <v>13</v>
      </c>
    </row>
    <row r="2039" spans="1:5" x14ac:dyDescent="0.4">
      <c r="A2039" s="16" t="s">
        <v>29</v>
      </c>
      <c r="B2039" s="16" t="s">
        <v>38</v>
      </c>
      <c r="C2039" s="16" t="str">
        <f t="shared" si="31"/>
        <v>西北</v>
      </c>
      <c r="D2039" s="16" t="s">
        <v>2103</v>
      </c>
      <c r="E2039" s="16">
        <v>10</v>
      </c>
    </row>
    <row r="2040" spans="1:5" x14ac:dyDescent="0.4">
      <c r="A2040" s="16" t="s">
        <v>29</v>
      </c>
      <c r="B2040" s="16" t="s">
        <v>63</v>
      </c>
      <c r="C2040" s="16" t="str">
        <f t="shared" si="31"/>
        <v>西南</v>
      </c>
      <c r="D2040" s="16" t="s">
        <v>2104</v>
      </c>
      <c r="E2040" s="16">
        <v>16</v>
      </c>
    </row>
    <row r="2041" spans="1:5" x14ac:dyDescent="0.4">
      <c r="A2041" s="16" t="s">
        <v>22</v>
      </c>
      <c r="B2041" s="16" t="s">
        <v>55</v>
      </c>
      <c r="C2041" s="16" t="str">
        <f t="shared" si="31"/>
        <v>华东</v>
      </c>
      <c r="D2041" s="16" t="s">
        <v>2105</v>
      </c>
      <c r="E2041" s="16">
        <v>27</v>
      </c>
    </row>
    <row r="2042" spans="1:5" x14ac:dyDescent="0.4">
      <c r="A2042" s="16" t="s">
        <v>22</v>
      </c>
      <c r="B2042" s="16" t="s">
        <v>55</v>
      </c>
      <c r="C2042" s="16" t="str">
        <f t="shared" si="31"/>
        <v>华东</v>
      </c>
      <c r="D2042" s="16" t="s">
        <v>2106</v>
      </c>
      <c r="E2042" s="16">
        <v>21</v>
      </c>
    </row>
    <row r="2043" spans="1:5" x14ac:dyDescent="0.4">
      <c r="A2043" s="16" t="s">
        <v>33</v>
      </c>
      <c r="B2043" s="16" t="s">
        <v>83</v>
      </c>
      <c r="C2043" s="16" t="str">
        <f t="shared" si="31"/>
        <v>西北</v>
      </c>
      <c r="D2043" s="16" t="s">
        <v>2107</v>
      </c>
      <c r="E2043" s="16">
        <v>16</v>
      </c>
    </row>
    <row r="2044" spans="1:5" x14ac:dyDescent="0.4">
      <c r="A2044" s="16" t="s">
        <v>29</v>
      </c>
      <c r="B2044" s="16" t="s">
        <v>40</v>
      </c>
      <c r="C2044" s="16" t="str">
        <f t="shared" si="31"/>
        <v>华北</v>
      </c>
      <c r="D2044" s="16" t="s">
        <v>2108</v>
      </c>
      <c r="E2044" s="16">
        <v>29</v>
      </c>
    </row>
    <row r="2045" spans="1:5" x14ac:dyDescent="0.4">
      <c r="A2045" s="16" t="s">
        <v>29</v>
      </c>
      <c r="B2045" s="16" t="s">
        <v>65</v>
      </c>
      <c r="C2045" s="16" t="str">
        <f t="shared" si="31"/>
        <v>华南</v>
      </c>
      <c r="D2045" s="16" t="s">
        <v>2109</v>
      </c>
      <c r="E2045" s="16">
        <v>14</v>
      </c>
    </row>
    <row r="2046" spans="1:5" x14ac:dyDescent="0.4">
      <c r="A2046" s="16" t="s">
        <v>29</v>
      </c>
      <c r="B2046" s="16" t="s">
        <v>48</v>
      </c>
      <c r="C2046" s="16" t="str">
        <f t="shared" si="31"/>
        <v>华东</v>
      </c>
      <c r="D2046" s="16" t="s">
        <v>2110</v>
      </c>
      <c r="E2046" s="16">
        <v>10</v>
      </c>
    </row>
    <row r="2047" spans="1:5" x14ac:dyDescent="0.4">
      <c r="A2047" s="16" t="s">
        <v>33</v>
      </c>
      <c r="B2047" s="16" t="s">
        <v>34</v>
      </c>
      <c r="C2047" s="16" t="str">
        <f t="shared" si="31"/>
        <v>西北</v>
      </c>
      <c r="D2047" s="16" t="s">
        <v>2111</v>
      </c>
      <c r="E2047" s="16">
        <v>28</v>
      </c>
    </row>
    <row r="2048" spans="1:5" x14ac:dyDescent="0.4">
      <c r="A2048" s="16" t="s">
        <v>33</v>
      </c>
      <c r="B2048" s="16" t="s">
        <v>58</v>
      </c>
      <c r="C2048" s="16" t="str">
        <f t="shared" si="31"/>
        <v>华中</v>
      </c>
      <c r="D2048" s="16" t="s">
        <v>2112</v>
      </c>
      <c r="E2048" s="16">
        <v>15</v>
      </c>
    </row>
    <row r="2049" spans="1:5" x14ac:dyDescent="0.4">
      <c r="A2049" s="16" t="s">
        <v>33</v>
      </c>
      <c r="B2049" s="16" t="s">
        <v>58</v>
      </c>
      <c r="C2049" s="16" t="str">
        <f t="shared" si="31"/>
        <v>华中</v>
      </c>
      <c r="D2049" s="16" t="s">
        <v>2113</v>
      </c>
      <c r="E2049" s="16">
        <v>18</v>
      </c>
    </row>
    <row r="2050" spans="1:5" x14ac:dyDescent="0.4">
      <c r="A2050" s="16" t="s">
        <v>22</v>
      </c>
      <c r="B2050" s="16" t="s">
        <v>44</v>
      </c>
      <c r="C2050" s="16" t="str">
        <f t="shared" si="31"/>
        <v>华北</v>
      </c>
      <c r="D2050" s="16" t="s">
        <v>2114</v>
      </c>
      <c r="E2050" s="16">
        <v>28</v>
      </c>
    </row>
    <row r="2051" spans="1:5" x14ac:dyDescent="0.4">
      <c r="A2051" s="16" t="s">
        <v>29</v>
      </c>
      <c r="B2051" s="16" t="s">
        <v>44</v>
      </c>
      <c r="C2051" s="16" t="str">
        <f t="shared" ref="C2051:C2114" si="32">_xlfn.XLOOKUP(B2051,$I$2:$I$32,$J$2:$J$32)</f>
        <v>华北</v>
      </c>
      <c r="D2051" s="16" t="s">
        <v>2115</v>
      </c>
      <c r="E2051" s="16">
        <v>18</v>
      </c>
    </row>
    <row r="2052" spans="1:5" x14ac:dyDescent="0.4">
      <c r="A2052" s="16" t="s">
        <v>22</v>
      </c>
      <c r="B2052" s="16" t="s">
        <v>73</v>
      </c>
      <c r="C2052" s="16" t="str">
        <f t="shared" si="32"/>
        <v>华中</v>
      </c>
      <c r="D2052" s="16" t="s">
        <v>2116</v>
      </c>
      <c r="E2052" s="16">
        <v>12</v>
      </c>
    </row>
    <row r="2053" spans="1:5" x14ac:dyDescent="0.4">
      <c r="A2053" s="16" t="s">
        <v>22</v>
      </c>
      <c r="B2053" s="16" t="s">
        <v>67</v>
      </c>
      <c r="C2053" s="16" t="str">
        <f t="shared" si="32"/>
        <v>华中</v>
      </c>
      <c r="D2053" s="16" t="s">
        <v>2117</v>
      </c>
      <c r="E2053" s="16">
        <v>10</v>
      </c>
    </row>
    <row r="2054" spans="1:5" x14ac:dyDescent="0.4">
      <c r="A2054" s="16" t="s">
        <v>33</v>
      </c>
      <c r="B2054" s="16" t="s">
        <v>23</v>
      </c>
      <c r="C2054" s="16" t="str">
        <f t="shared" si="32"/>
        <v>西南</v>
      </c>
      <c r="D2054" s="16" t="s">
        <v>2118</v>
      </c>
      <c r="E2054" s="16">
        <v>29</v>
      </c>
    </row>
    <row r="2055" spans="1:5" x14ac:dyDescent="0.4">
      <c r="A2055" s="16" t="s">
        <v>22</v>
      </c>
      <c r="B2055" s="16" t="s">
        <v>23</v>
      </c>
      <c r="C2055" s="16" t="str">
        <f t="shared" si="32"/>
        <v>西南</v>
      </c>
      <c r="D2055" s="16" t="s">
        <v>2119</v>
      </c>
      <c r="E2055" s="16">
        <v>14</v>
      </c>
    </row>
    <row r="2056" spans="1:5" x14ac:dyDescent="0.4">
      <c r="A2056" s="16" t="s">
        <v>29</v>
      </c>
      <c r="B2056" s="16" t="s">
        <v>34</v>
      </c>
      <c r="C2056" s="16" t="str">
        <f t="shared" si="32"/>
        <v>西北</v>
      </c>
      <c r="D2056" s="16" t="s">
        <v>2120</v>
      </c>
      <c r="E2056" s="16">
        <v>29</v>
      </c>
    </row>
    <row r="2057" spans="1:5" x14ac:dyDescent="0.4">
      <c r="A2057" s="16" t="s">
        <v>22</v>
      </c>
      <c r="B2057" s="16" t="s">
        <v>48</v>
      </c>
      <c r="C2057" s="16" t="str">
        <f t="shared" si="32"/>
        <v>华东</v>
      </c>
      <c r="D2057" s="16" t="s">
        <v>2121</v>
      </c>
      <c r="E2057" s="16">
        <v>25</v>
      </c>
    </row>
    <row r="2058" spans="1:5" x14ac:dyDescent="0.4">
      <c r="A2058" s="16" t="s">
        <v>29</v>
      </c>
      <c r="B2058" s="16" t="s">
        <v>58</v>
      </c>
      <c r="C2058" s="16" t="str">
        <f t="shared" si="32"/>
        <v>华中</v>
      </c>
      <c r="D2058" s="16" t="s">
        <v>2122</v>
      </c>
      <c r="E2058" s="16">
        <v>21</v>
      </c>
    </row>
    <row r="2059" spans="1:5" x14ac:dyDescent="0.4">
      <c r="A2059" s="16" t="s">
        <v>29</v>
      </c>
      <c r="B2059" s="16" t="s">
        <v>65</v>
      </c>
      <c r="C2059" s="16" t="str">
        <f t="shared" si="32"/>
        <v>华南</v>
      </c>
      <c r="D2059" s="16" t="s">
        <v>2123</v>
      </c>
      <c r="E2059" s="16">
        <v>27</v>
      </c>
    </row>
    <row r="2060" spans="1:5" x14ac:dyDescent="0.4">
      <c r="A2060" s="16" t="s">
        <v>29</v>
      </c>
      <c r="B2060" s="16" t="s">
        <v>65</v>
      </c>
      <c r="C2060" s="16" t="str">
        <f t="shared" si="32"/>
        <v>华南</v>
      </c>
      <c r="D2060" s="16" t="s">
        <v>2124</v>
      </c>
      <c r="E2060" s="16">
        <v>15</v>
      </c>
    </row>
    <row r="2061" spans="1:5" x14ac:dyDescent="0.4">
      <c r="A2061" s="16" t="s">
        <v>22</v>
      </c>
      <c r="B2061" s="16" t="s">
        <v>61</v>
      </c>
      <c r="C2061" s="16" t="str">
        <f t="shared" si="32"/>
        <v>华东</v>
      </c>
      <c r="D2061" s="16" t="s">
        <v>2125</v>
      </c>
      <c r="E2061" s="16">
        <v>19</v>
      </c>
    </row>
    <row r="2062" spans="1:5" x14ac:dyDescent="0.4">
      <c r="A2062" s="16" t="s">
        <v>22</v>
      </c>
      <c r="B2062" s="16" t="s">
        <v>61</v>
      </c>
      <c r="C2062" s="16" t="str">
        <f t="shared" si="32"/>
        <v>华东</v>
      </c>
      <c r="D2062" s="16" t="s">
        <v>2126</v>
      </c>
      <c r="E2062" s="16">
        <v>23</v>
      </c>
    </row>
    <row r="2063" spans="1:5" x14ac:dyDescent="0.4">
      <c r="A2063" s="16" t="s">
        <v>33</v>
      </c>
      <c r="B2063" s="16" t="s">
        <v>67</v>
      </c>
      <c r="C2063" s="16" t="str">
        <f t="shared" si="32"/>
        <v>华中</v>
      </c>
      <c r="D2063" s="16" t="s">
        <v>2127</v>
      </c>
      <c r="E2063" s="16">
        <v>12</v>
      </c>
    </row>
    <row r="2064" spans="1:5" x14ac:dyDescent="0.4">
      <c r="A2064" s="16" t="s">
        <v>22</v>
      </c>
      <c r="B2064" s="16" t="s">
        <v>93</v>
      </c>
      <c r="C2064" s="16" t="str">
        <f t="shared" si="32"/>
        <v>西南</v>
      </c>
      <c r="D2064" s="16" t="s">
        <v>2128</v>
      </c>
      <c r="E2064" s="16">
        <v>10</v>
      </c>
    </row>
    <row r="2065" spans="1:5" x14ac:dyDescent="0.4">
      <c r="A2065" s="16" t="s">
        <v>22</v>
      </c>
      <c r="B2065" s="16" t="s">
        <v>93</v>
      </c>
      <c r="C2065" s="16" t="str">
        <f t="shared" si="32"/>
        <v>西南</v>
      </c>
      <c r="D2065" s="16" t="s">
        <v>2129</v>
      </c>
      <c r="E2065" s="16">
        <v>10</v>
      </c>
    </row>
    <row r="2066" spans="1:5" x14ac:dyDescent="0.4">
      <c r="A2066" s="16" t="s">
        <v>22</v>
      </c>
      <c r="B2066" s="16" t="s">
        <v>93</v>
      </c>
      <c r="C2066" s="16" t="str">
        <f t="shared" si="32"/>
        <v>西南</v>
      </c>
      <c r="D2066" s="16" t="s">
        <v>2130</v>
      </c>
      <c r="E2066" s="16">
        <v>22</v>
      </c>
    </row>
    <row r="2067" spans="1:5" x14ac:dyDescent="0.4">
      <c r="A2067" s="16" t="s">
        <v>22</v>
      </c>
      <c r="B2067" s="16" t="s">
        <v>93</v>
      </c>
      <c r="C2067" s="16" t="str">
        <f t="shared" si="32"/>
        <v>西南</v>
      </c>
      <c r="D2067" s="16" t="s">
        <v>2131</v>
      </c>
      <c r="E2067" s="16">
        <v>20</v>
      </c>
    </row>
    <row r="2068" spans="1:5" x14ac:dyDescent="0.4">
      <c r="A2068" s="16" t="s">
        <v>22</v>
      </c>
      <c r="B2068" s="16" t="s">
        <v>93</v>
      </c>
      <c r="C2068" s="16" t="str">
        <f t="shared" si="32"/>
        <v>西南</v>
      </c>
      <c r="D2068" s="16" t="s">
        <v>2132</v>
      </c>
      <c r="E2068" s="16">
        <v>28</v>
      </c>
    </row>
    <row r="2069" spans="1:5" x14ac:dyDescent="0.4">
      <c r="A2069" s="16" t="s">
        <v>22</v>
      </c>
      <c r="B2069" s="16" t="s">
        <v>93</v>
      </c>
      <c r="C2069" s="16" t="str">
        <f t="shared" si="32"/>
        <v>西南</v>
      </c>
      <c r="D2069" s="16" t="s">
        <v>2133</v>
      </c>
      <c r="E2069" s="16">
        <v>19</v>
      </c>
    </row>
    <row r="2070" spans="1:5" x14ac:dyDescent="0.4">
      <c r="A2070" s="16" t="s">
        <v>22</v>
      </c>
      <c r="B2070" s="16" t="s">
        <v>93</v>
      </c>
      <c r="C2070" s="16" t="str">
        <f t="shared" si="32"/>
        <v>西南</v>
      </c>
      <c r="D2070" s="16" t="s">
        <v>2134</v>
      </c>
      <c r="E2070" s="16">
        <v>10</v>
      </c>
    </row>
    <row r="2071" spans="1:5" x14ac:dyDescent="0.4">
      <c r="A2071" s="16" t="s">
        <v>22</v>
      </c>
      <c r="B2071" s="16" t="s">
        <v>93</v>
      </c>
      <c r="C2071" s="16" t="str">
        <f t="shared" si="32"/>
        <v>西南</v>
      </c>
      <c r="D2071" s="16" t="s">
        <v>2135</v>
      </c>
      <c r="E2071" s="16">
        <v>25</v>
      </c>
    </row>
    <row r="2072" spans="1:5" x14ac:dyDescent="0.4">
      <c r="A2072" s="16" t="s">
        <v>22</v>
      </c>
      <c r="B2072" s="16" t="s">
        <v>93</v>
      </c>
      <c r="C2072" s="16" t="str">
        <f t="shared" si="32"/>
        <v>西南</v>
      </c>
      <c r="D2072" s="16" t="s">
        <v>2136</v>
      </c>
      <c r="E2072" s="16">
        <v>23</v>
      </c>
    </row>
    <row r="2073" spans="1:5" x14ac:dyDescent="0.4">
      <c r="A2073" s="16" t="s">
        <v>22</v>
      </c>
      <c r="B2073" s="16" t="s">
        <v>93</v>
      </c>
      <c r="C2073" s="16" t="str">
        <f t="shared" si="32"/>
        <v>西南</v>
      </c>
      <c r="D2073" s="16" t="s">
        <v>2137</v>
      </c>
      <c r="E2073" s="16">
        <v>27</v>
      </c>
    </row>
    <row r="2074" spans="1:5" x14ac:dyDescent="0.4">
      <c r="A2074" s="16" t="s">
        <v>22</v>
      </c>
      <c r="B2074" s="16" t="s">
        <v>93</v>
      </c>
      <c r="C2074" s="16" t="str">
        <f t="shared" si="32"/>
        <v>西南</v>
      </c>
      <c r="D2074" s="16" t="s">
        <v>2138</v>
      </c>
      <c r="E2074" s="16">
        <v>10</v>
      </c>
    </row>
    <row r="2075" spans="1:5" x14ac:dyDescent="0.4">
      <c r="A2075" s="16" t="s">
        <v>29</v>
      </c>
      <c r="B2075" s="16" t="s">
        <v>93</v>
      </c>
      <c r="C2075" s="16" t="str">
        <f t="shared" si="32"/>
        <v>西南</v>
      </c>
      <c r="D2075" s="16" t="s">
        <v>2139</v>
      </c>
      <c r="E2075" s="16">
        <v>12</v>
      </c>
    </row>
    <row r="2076" spans="1:5" x14ac:dyDescent="0.4">
      <c r="A2076" s="16" t="s">
        <v>22</v>
      </c>
      <c r="B2076" s="16" t="s">
        <v>93</v>
      </c>
      <c r="C2076" s="16" t="str">
        <f t="shared" si="32"/>
        <v>西南</v>
      </c>
      <c r="D2076" s="16" t="s">
        <v>2140</v>
      </c>
      <c r="E2076" s="16">
        <v>13</v>
      </c>
    </row>
    <row r="2077" spans="1:5" x14ac:dyDescent="0.4">
      <c r="A2077" s="16" t="s">
        <v>22</v>
      </c>
      <c r="B2077" s="16" t="s">
        <v>93</v>
      </c>
      <c r="C2077" s="16" t="str">
        <f t="shared" si="32"/>
        <v>西南</v>
      </c>
      <c r="D2077" s="16" t="s">
        <v>2141</v>
      </c>
      <c r="E2077" s="16">
        <v>20</v>
      </c>
    </row>
    <row r="2078" spans="1:5" x14ac:dyDescent="0.4">
      <c r="A2078" s="16" t="s">
        <v>22</v>
      </c>
      <c r="B2078" s="16" t="s">
        <v>93</v>
      </c>
      <c r="C2078" s="16" t="str">
        <f t="shared" si="32"/>
        <v>西南</v>
      </c>
      <c r="D2078" s="16" t="s">
        <v>2142</v>
      </c>
      <c r="E2078" s="16">
        <v>20</v>
      </c>
    </row>
    <row r="2079" spans="1:5" x14ac:dyDescent="0.4">
      <c r="A2079" s="16" t="s">
        <v>22</v>
      </c>
      <c r="B2079" s="16" t="s">
        <v>93</v>
      </c>
      <c r="C2079" s="16" t="str">
        <f t="shared" si="32"/>
        <v>西南</v>
      </c>
      <c r="D2079" s="16" t="s">
        <v>2143</v>
      </c>
      <c r="E2079" s="16">
        <v>23</v>
      </c>
    </row>
    <row r="2080" spans="1:5" x14ac:dyDescent="0.4">
      <c r="A2080" s="16" t="s">
        <v>22</v>
      </c>
      <c r="B2080" s="16" t="s">
        <v>93</v>
      </c>
      <c r="C2080" s="16" t="str">
        <f t="shared" si="32"/>
        <v>西南</v>
      </c>
      <c r="D2080" s="16" t="s">
        <v>2144</v>
      </c>
      <c r="E2080" s="16">
        <v>14</v>
      </c>
    </row>
    <row r="2081" spans="1:5" x14ac:dyDescent="0.4">
      <c r="A2081" s="16" t="s">
        <v>22</v>
      </c>
      <c r="B2081" s="16" t="s">
        <v>93</v>
      </c>
      <c r="C2081" s="16" t="str">
        <f t="shared" si="32"/>
        <v>西南</v>
      </c>
      <c r="D2081" s="16" t="s">
        <v>2145</v>
      </c>
      <c r="E2081" s="16">
        <v>22</v>
      </c>
    </row>
    <row r="2082" spans="1:5" x14ac:dyDescent="0.4">
      <c r="A2082" s="16" t="s">
        <v>22</v>
      </c>
      <c r="B2082" s="16" t="s">
        <v>93</v>
      </c>
      <c r="C2082" s="16" t="str">
        <f t="shared" si="32"/>
        <v>西南</v>
      </c>
      <c r="D2082" s="16" t="s">
        <v>2146</v>
      </c>
      <c r="E2082" s="16">
        <v>25</v>
      </c>
    </row>
    <row r="2083" spans="1:5" x14ac:dyDescent="0.4">
      <c r="A2083" s="16" t="s">
        <v>22</v>
      </c>
      <c r="B2083" s="16" t="s">
        <v>93</v>
      </c>
      <c r="C2083" s="16" t="str">
        <f t="shared" si="32"/>
        <v>西南</v>
      </c>
      <c r="D2083" s="16" t="s">
        <v>2147</v>
      </c>
      <c r="E2083" s="16">
        <v>22</v>
      </c>
    </row>
    <row r="2084" spans="1:5" x14ac:dyDescent="0.4">
      <c r="A2084" s="16" t="s">
        <v>22</v>
      </c>
      <c r="B2084" s="16" t="s">
        <v>93</v>
      </c>
      <c r="C2084" s="16" t="str">
        <f t="shared" si="32"/>
        <v>西南</v>
      </c>
      <c r="D2084" s="16" t="s">
        <v>2148</v>
      </c>
      <c r="E2084" s="16">
        <v>25</v>
      </c>
    </row>
    <row r="2085" spans="1:5" x14ac:dyDescent="0.4">
      <c r="A2085" s="16" t="s">
        <v>22</v>
      </c>
      <c r="B2085" s="16" t="s">
        <v>93</v>
      </c>
      <c r="C2085" s="16" t="str">
        <f t="shared" si="32"/>
        <v>西南</v>
      </c>
      <c r="D2085" s="16" t="s">
        <v>2149</v>
      </c>
      <c r="E2085" s="16">
        <v>18</v>
      </c>
    </row>
    <row r="2086" spans="1:5" x14ac:dyDescent="0.4">
      <c r="A2086" s="16" t="s">
        <v>22</v>
      </c>
      <c r="B2086" s="16" t="s">
        <v>93</v>
      </c>
      <c r="C2086" s="16" t="str">
        <f t="shared" si="32"/>
        <v>西南</v>
      </c>
      <c r="D2086" s="16" t="s">
        <v>2150</v>
      </c>
      <c r="E2086" s="16">
        <v>11</v>
      </c>
    </row>
    <row r="2087" spans="1:5" x14ac:dyDescent="0.4">
      <c r="A2087" s="16" t="s">
        <v>22</v>
      </c>
      <c r="B2087" s="16" t="s">
        <v>93</v>
      </c>
      <c r="C2087" s="16" t="str">
        <f t="shared" si="32"/>
        <v>西南</v>
      </c>
      <c r="D2087" s="16" t="s">
        <v>2151</v>
      </c>
      <c r="E2087" s="16">
        <v>11</v>
      </c>
    </row>
    <row r="2088" spans="1:5" x14ac:dyDescent="0.4">
      <c r="A2088" s="16" t="s">
        <v>22</v>
      </c>
      <c r="B2088" s="16" t="s">
        <v>93</v>
      </c>
      <c r="C2088" s="16" t="str">
        <f t="shared" si="32"/>
        <v>西南</v>
      </c>
      <c r="D2088" s="16" t="s">
        <v>2152</v>
      </c>
      <c r="E2088" s="16">
        <v>13</v>
      </c>
    </row>
    <row r="2089" spans="1:5" x14ac:dyDescent="0.4">
      <c r="A2089" s="16" t="s">
        <v>22</v>
      </c>
      <c r="B2089" s="16" t="s">
        <v>93</v>
      </c>
      <c r="C2089" s="16" t="str">
        <f t="shared" si="32"/>
        <v>西南</v>
      </c>
      <c r="D2089" s="16" t="s">
        <v>2153</v>
      </c>
      <c r="E2089" s="16">
        <v>20</v>
      </c>
    </row>
    <row r="2090" spans="1:5" x14ac:dyDescent="0.4">
      <c r="A2090" s="16" t="s">
        <v>22</v>
      </c>
      <c r="B2090" s="16" t="s">
        <v>93</v>
      </c>
      <c r="C2090" s="16" t="str">
        <f t="shared" si="32"/>
        <v>西南</v>
      </c>
      <c r="D2090" s="16" t="s">
        <v>2154</v>
      </c>
      <c r="E2090" s="16">
        <v>14</v>
      </c>
    </row>
    <row r="2091" spans="1:5" x14ac:dyDescent="0.4">
      <c r="A2091" s="16" t="s">
        <v>22</v>
      </c>
      <c r="B2091" s="16" t="s">
        <v>93</v>
      </c>
      <c r="C2091" s="16" t="str">
        <f t="shared" si="32"/>
        <v>西南</v>
      </c>
      <c r="D2091" s="16" t="s">
        <v>2155</v>
      </c>
      <c r="E2091" s="16">
        <v>14</v>
      </c>
    </row>
    <row r="2092" spans="1:5" x14ac:dyDescent="0.4">
      <c r="A2092" s="16" t="s">
        <v>22</v>
      </c>
      <c r="B2092" s="16" t="s">
        <v>93</v>
      </c>
      <c r="C2092" s="16" t="str">
        <f t="shared" si="32"/>
        <v>西南</v>
      </c>
      <c r="D2092" s="16" t="s">
        <v>2156</v>
      </c>
      <c r="E2092" s="16">
        <v>16</v>
      </c>
    </row>
    <row r="2093" spans="1:5" x14ac:dyDescent="0.4">
      <c r="A2093" s="16" t="s">
        <v>22</v>
      </c>
      <c r="B2093" s="16" t="s">
        <v>93</v>
      </c>
      <c r="C2093" s="16" t="str">
        <f t="shared" si="32"/>
        <v>西南</v>
      </c>
      <c r="D2093" s="16" t="s">
        <v>2157</v>
      </c>
      <c r="E2093" s="16">
        <v>13</v>
      </c>
    </row>
    <row r="2094" spans="1:5" x14ac:dyDescent="0.4">
      <c r="A2094" s="16" t="s">
        <v>22</v>
      </c>
      <c r="B2094" s="16" t="s">
        <v>93</v>
      </c>
      <c r="C2094" s="16" t="str">
        <f t="shared" si="32"/>
        <v>西南</v>
      </c>
      <c r="D2094" s="16" t="s">
        <v>2158</v>
      </c>
      <c r="E2094" s="16">
        <v>19</v>
      </c>
    </row>
    <row r="2095" spans="1:5" x14ac:dyDescent="0.4">
      <c r="A2095" s="16" t="s">
        <v>22</v>
      </c>
      <c r="B2095" s="16" t="s">
        <v>93</v>
      </c>
      <c r="C2095" s="16" t="str">
        <f t="shared" si="32"/>
        <v>西南</v>
      </c>
      <c r="D2095" s="16" t="s">
        <v>2159</v>
      </c>
      <c r="E2095" s="16">
        <v>20</v>
      </c>
    </row>
    <row r="2096" spans="1:5" x14ac:dyDescent="0.4">
      <c r="A2096" s="16" t="s">
        <v>29</v>
      </c>
      <c r="B2096" s="16" t="s">
        <v>93</v>
      </c>
      <c r="C2096" s="16" t="str">
        <f t="shared" si="32"/>
        <v>西南</v>
      </c>
      <c r="D2096" s="16" t="s">
        <v>2160</v>
      </c>
      <c r="E2096" s="16">
        <v>16</v>
      </c>
    </row>
    <row r="2097" spans="1:5" x14ac:dyDescent="0.4">
      <c r="A2097" s="16" t="s">
        <v>29</v>
      </c>
      <c r="B2097" s="16" t="s">
        <v>93</v>
      </c>
      <c r="C2097" s="16" t="str">
        <f t="shared" si="32"/>
        <v>西南</v>
      </c>
      <c r="D2097" s="16" t="s">
        <v>2161</v>
      </c>
      <c r="E2097" s="16">
        <v>26</v>
      </c>
    </row>
    <row r="2098" spans="1:5" x14ac:dyDescent="0.4">
      <c r="A2098" s="16" t="s">
        <v>22</v>
      </c>
      <c r="B2098" s="16" t="s">
        <v>93</v>
      </c>
      <c r="C2098" s="16" t="str">
        <f t="shared" si="32"/>
        <v>西南</v>
      </c>
      <c r="D2098" s="16" t="s">
        <v>2162</v>
      </c>
      <c r="E2098" s="16">
        <v>16</v>
      </c>
    </row>
    <row r="2099" spans="1:5" x14ac:dyDescent="0.4">
      <c r="A2099" s="16" t="s">
        <v>29</v>
      </c>
      <c r="B2099" s="16" t="s">
        <v>93</v>
      </c>
      <c r="C2099" s="16" t="str">
        <f t="shared" si="32"/>
        <v>西南</v>
      </c>
      <c r="D2099" s="16" t="s">
        <v>2163</v>
      </c>
      <c r="E2099" s="16">
        <v>15</v>
      </c>
    </row>
    <row r="2100" spans="1:5" x14ac:dyDescent="0.4">
      <c r="A2100" s="16" t="s">
        <v>22</v>
      </c>
      <c r="B2100" s="16" t="s">
        <v>93</v>
      </c>
      <c r="C2100" s="16" t="str">
        <f t="shared" si="32"/>
        <v>西南</v>
      </c>
      <c r="D2100" s="16" t="s">
        <v>2164</v>
      </c>
      <c r="E2100" s="16">
        <v>23</v>
      </c>
    </row>
    <row r="2101" spans="1:5" x14ac:dyDescent="0.4">
      <c r="A2101" s="16" t="s">
        <v>29</v>
      </c>
      <c r="B2101" s="16" t="s">
        <v>93</v>
      </c>
      <c r="C2101" s="16" t="str">
        <f t="shared" si="32"/>
        <v>西南</v>
      </c>
      <c r="D2101" s="16" t="s">
        <v>2165</v>
      </c>
      <c r="E2101" s="16">
        <v>15</v>
      </c>
    </row>
    <row r="2102" spans="1:5" x14ac:dyDescent="0.4">
      <c r="A2102" s="16" t="s">
        <v>22</v>
      </c>
      <c r="B2102" s="16" t="s">
        <v>93</v>
      </c>
      <c r="C2102" s="16" t="str">
        <f t="shared" si="32"/>
        <v>西南</v>
      </c>
      <c r="D2102" s="16" t="s">
        <v>2166</v>
      </c>
      <c r="E2102" s="16">
        <v>21</v>
      </c>
    </row>
    <row r="2103" spans="1:5" x14ac:dyDescent="0.4">
      <c r="A2103" s="16" t="s">
        <v>29</v>
      </c>
      <c r="B2103" s="16" t="s">
        <v>93</v>
      </c>
      <c r="C2103" s="16" t="str">
        <f t="shared" si="32"/>
        <v>西南</v>
      </c>
      <c r="D2103" s="16" t="s">
        <v>2167</v>
      </c>
      <c r="E2103" s="16">
        <v>15</v>
      </c>
    </row>
    <row r="2104" spans="1:5" x14ac:dyDescent="0.4">
      <c r="A2104" s="16" t="s">
        <v>29</v>
      </c>
      <c r="B2104" s="16" t="s">
        <v>93</v>
      </c>
      <c r="C2104" s="16" t="str">
        <f t="shared" si="32"/>
        <v>西南</v>
      </c>
      <c r="D2104" s="16" t="s">
        <v>2168</v>
      </c>
      <c r="E2104" s="16">
        <v>14</v>
      </c>
    </row>
    <row r="2105" spans="1:5" x14ac:dyDescent="0.4">
      <c r="A2105" s="16" t="s">
        <v>22</v>
      </c>
      <c r="B2105" s="16" t="s">
        <v>93</v>
      </c>
      <c r="C2105" s="16" t="str">
        <f t="shared" si="32"/>
        <v>西南</v>
      </c>
      <c r="D2105" s="16" t="s">
        <v>2169</v>
      </c>
      <c r="E2105" s="16">
        <v>10</v>
      </c>
    </row>
    <row r="2106" spans="1:5" x14ac:dyDescent="0.4">
      <c r="A2106" s="16" t="s">
        <v>22</v>
      </c>
      <c r="B2106" s="16" t="s">
        <v>93</v>
      </c>
      <c r="C2106" s="16" t="str">
        <f t="shared" si="32"/>
        <v>西南</v>
      </c>
      <c r="D2106" s="16" t="s">
        <v>2170</v>
      </c>
      <c r="E2106" s="16">
        <v>26</v>
      </c>
    </row>
    <row r="2107" spans="1:5" x14ac:dyDescent="0.4">
      <c r="A2107" s="16" t="s">
        <v>22</v>
      </c>
      <c r="B2107" s="16" t="s">
        <v>93</v>
      </c>
      <c r="C2107" s="16" t="str">
        <f t="shared" si="32"/>
        <v>西南</v>
      </c>
      <c r="D2107" s="16" t="s">
        <v>2171</v>
      </c>
      <c r="E2107" s="16">
        <v>23</v>
      </c>
    </row>
    <row r="2108" spans="1:5" x14ac:dyDescent="0.4">
      <c r="A2108" s="16" t="s">
        <v>22</v>
      </c>
      <c r="B2108" s="16" t="s">
        <v>93</v>
      </c>
      <c r="C2108" s="16" t="str">
        <f t="shared" si="32"/>
        <v>西南</v>
      </c>
      <c r="D2108" s="16" t="s">
        <v>2172</v>
      </c>
      <c r="E2108" s="16">
        <v>12</v>
      </c>
    </row>
    <row r="2109" spans="1:5" x14ac:dyDescent="0.4">
      <c r="A2109" s="16" t="s">
        <v>22</v>
      </c>
      <c r="B2109" s="16" t="s">
        <v>93</v>
      </c>
      <c r="C2109" s="16" t="str">
        <f t="shared" si="32"/>
        <v>西南</v>
      </c>
      <c r="D2109" s="16" t="s">
        <v>2173</v>
      </c>
      <c r="E2109" s="16">
        <v>13</v>
      </c>
    </row>
    <row r="2110" spans="1:5" x14ac:dyDescent="0.4">
      <c r="A2110" s="16" t="s">
        <v>22</v>
      </c>
      <c r="B2110" s="16" t="s">
        <v>93</v>
      </c>
      <c r="C2110" s="16" t="str">
        <f t="shared" si="32"/>
        <v>西南</v>
      </c>
      <c r="D2110" s="16" t="s">
        <v>2174</v>
      </c>
      <c r="E2110" s="16">
        <v>22</v>
      </c>
    </row>
    <row r="2111" spans="1:5" x14ac:dyDescent="0.4">
      <c r="A2111" s="16" t="s">
        <v>22</v>
      </c>
      <c r="B2111" s="16" t="s">
        <v>93</v>
      </c>
      <c r="C2111" s="16" t="str">
        <f t="shared" si="32"/>
        <v>西南</v>
      </c>
      <c r="D2111" s="16" t="s">
        <v>2175</v>
      </c>
      <c r="E2111" s="16">
        <v>27</v>
      </c>
    </row>
    <row r="2112" spans="1:5" x14ac:dyDescent="0.4">
      <c r="A2112" s="16" t="s">
        <v>29</v>
      </c>
      <c r="B2112" s="16" t="s">
        <v>93</v>
      </c>
      <c r="C2112" s="16" t="str">
        <f t="shared" si="32"/>
        <v>西南</v>
      </c>
      <c r="D2112" s="16" t="s">
        <v>2176</v>
      </c>
      <c r="E2112" s="16">
        <v>23</v>
      </c>
    </row>
    <row r="2113" spans="1:5" x14ac:dyDescent="0.4">
      <c r="A2113" s="16" t="s">
        <v>22</v>
      </c>
      <c r="B2113" s="16" t="s">
        <v>93</v>
      </c>
      <c r="C2113" s="16" t="str">
        <f t="shared" si="32"/>
        <v>西南</v>
      </c>
      <c r="D2113" s="16" t="s">
        <v>2177</v>
      </c>
      <c r="E2113" s="16">
        <v>12</v>
      </c>
    </row>
    <row r="2114" spans="1:5" x14ac:dyDescent="0.4">
      <c r="A2114" s="16" t="s">
        <v>22</v>
      </c>
      <c r="B2114" s="16" t="s">
        <v>93</v>
      </c>
      <c r="C2114" s="16" t="str">
        <f t="shared" si="32"/>
        <v>西南</v>
      </c>
      <c r="D2114" s="16" t="s">
        <v>2178</v>
      </c>
      <c r="E2114" s="16">
        <v>24</v>
      </c>
    </row>
    <row r="2115" spans="1:5" x14ac:dyDescent="0.4">
      <c r="A2115" s="16" t="s">
        <v>22</v>
      </c>
      <c r="B2115" s="16" t="s">
        <v>93</v>
      </c>
      <c r="C2115" s="16" t="str">
        <f t="shared" ref="C2115:C2178" si="33">_xlfn.XLOOKUP(B2115,$I$2:$I$32,$J$2:$J$32)</f>
        <v>西南</v>
      </c>
      <c r="D2115" s="16" t="s">
        <v>2179</v>
      </c>
      <c r="E2115" s="16">
        <v>19</v>
      </c>
    </row>
    <row r="2116" spans="1:5" x14ac:dyDescent="0.4">
      <c r="A2116" s="16" t="s">
        <v>29</v>
      </c>
      <c r="B2116" s="16" t="s">
        <v>93</v>
      </c>
      <c r="C2116" s="16" t="str">
        <f t="shared" si="33"/>
        <v>西南</v>
      </c>
      <c r="D2116" s="16" t="s">
        <v>2180</v>
      </c>
      <c r="E2116" s="16">
        <v>21</v>
      </c>
    </row>
    <row r="2117" spans="1:5" x14ac:dyDescent="0.4">
      <c r="A2117" s="16" t="s">
        <v>29</v>
      </c>
      <c r="B2117" s="16" t="s">
        <v>93</v>
      </c>
      <c r="C2117" s="16" t="str">
        <f t="shared" si="33"/>
        <v>西南</v>
      </c>
      <c r="D2117" s="16" t="s">
        <v>2181</v>
      </c>
      <c r="E2117" s="16">
        <v>25</v>
      </c>
    </row>
    <row r="2118" spans="1:5" x14ac:dyDescent="0.4">
      <c r="A2118" s="16" t="s">
        <v>29</v>
      </c>
      <c r="B2118" s="16" t="s">
        <v>93</v>
      </c>
      <c r="C2118" s="16" t="str">
        <f t="shared" si="33"/>
        <v>西南</v>
      </c>
      <c r="D2118" s="16" t="s">
        <v>2182</v>
      </c>
      <c r="E2118" s="16">
        <v>22</v>
      </c>
    </row>
    <row r="2119" spans="1:5" x14ac:dyDescent="0.4">
      <c r="A2119" s="16" t="s">
        <v>29</v>
      </c>
      <c r="B2119" s="16" t="s">
        <v>93</v>
      </c>
      <c r="C2119" s="16" t="str">
        <f t="shared" si="33"/>
        <v>西南</v>
      </c>
      <c r="D2119" s="16" t="s">
        <v>2183</v>
      </c>
      <c r="E2119" s="16">
        <v>15</v>
      </c>
    </row>
    <row r="2120" spans="1:5" x14ac:dyDescent="0.4">
      <c r="A2120" s="16" t="s">
        <v>33</v>
      </c>
      <c r="B2120" s="16" t="s">
        <v>93</v>
      </c>
      <c r="C2120" s="16" t="str">
        <f t="shared" si="33"/>
        <v>西南</v>
      </c>
      <c r="D2120" s="16" t="s">
        <v>2184</v>
      </c>
      <c r="E2120" s="16">
        <v>28</v>
      </c>
    </row>
    <row r="2121" spans="1:5" x14ac:dyDescent="0.4">
      <c r="A2121" s="16" t="s">
        <v>22</v>
      </c>
      <c r="B2121" s="16" t="s">
        <v>93</v>
      </c>
      <c r="C2121" s="16" t="str">
        <f t="shared" si="33"/>
        <v>西南</v>
      </c>
      <c r="D2121" s="16" t="s">
        <v>2185</v>
      </c>
      <c r="E2121" s="16">
        <v>22</v>
      </c>
    </row>
    <row r="2122" spans="1:5" x14ac:dyDescent="0.4">
      <c r="A2122" s="16" t="s">
        <v>29</v>
      </c>
      <c r="B2122" s="16" t="s">
        <v>93</v>
      </c>
      <c r="C2122" s="16" t="str">
        <f t="shared" si="33"/>
        <v>西南</v>
      </c>
      <c r="D2122" s="16" t="s">
        <v>2186</v>
      </c>
      <c r="E2122" s="16">
        <v>14</v>
      </c>
    </row>
    <row r="2123" spans="1:5" x14ac:dyDescent="0.4">
      <c r="A2123" s="16" t="s">
        <v>22</v>
      </c>
      <c r="B2123" s="16" t="s">
        <v>93</v>
      </c>
      <c r="C2123" s="16" t="str">
        <f t="shared" si="33"/>
        <v>西南</v>
      </c>
      <c r="D2123" s="16" t="s">
        <v>2187</v>
      </c>
      <c r="E2123" s="16">
        <v>16</v>
      </c>
    </row>
    <row r="2124" spans="1:5" x14ac:dyDescent="0.4">
      <c r="A2124" s="16" t="s">
        <v>22</v>
      </c>
      <c r="B2124" s="16" t="s">
        <v>93</v>
      </c>
      <c r="C2124" s="16" t="str">
        <f t="shared" si="33"/>
        <v>西南</v>
      </c>
      <c r="D2124" s="16" t="s">
        <v>2188</v>
      </c>
      <c r="E2124" s="16">
        <v>24</v>
      </c>
    </row>
    <row r="2125" spans="1:5" x14ac:dyDescent="0.4">
      <c r="A2125" s="16" t="s">
        <v>33</v>
      </c>
      <c r="B2125" s="16" t="s">
        <v>93</v>
      </c>
      <c r="C2125" s="16" t="str">
        <f t="shared" si="33"/>
        <v>西南</v>
      </c>
      <c r="D2125" s="16" t="s">
        <v>2189</v>
      </c>
      <c r="E2125" s="16">
        <v>21</v>
      </c>
    </row>
    <row r="2126" spans="1:5" x14ac:dyDescent="0.4">
      <c r="A2126" s="16" t="s">
        <v>22</v>
      </c>
      <c r="B2126" s="16" t="s">
        <v>93</v>
      </c>
      <c r="C2126" s="16" t="str">
        <f t="shared" si="33"/>
        <v>西南</v>
      </c>
      <c r="D2126" s="16" t="s">
        <v>2190</v>
      </c>
      <c r="E2126" s="16">
        <v>16</v>
      </c>
    </row>
    <row r="2127" spans="1:5" x14ac:dyDescent="0.4">
      <c r="A2127" s="16" t="s">
        <v>22</v>
      </c>
      <c r="B2127" s="16" t="s">
        <v>93</v>
      </c>
      <c r="C2127" s="16" t="str">
        <f t="shared" si="33"/>
        <v>西南</v>
      </c>
      <c r="D2127" s="16" t="s">
        <v>2191</v>
      </c>
      <c r="E2127" s="16">
        <v>12</v>
      </c>
    </row>
    <row r="2128" spans="1:5" x14ac:dyDescent="0.4">
      <c r="A2128" s="16" t="s">
        <v>22</v>
      </c>
      <c r="B2128" s="16" t="s">
        <v>93</v>
      </c>
      <c r="C2128" s="16" t="str">
        <f t="shared" si="33"/>
        <v>西南</v>
      </c>
      <c r="D2128" s="16" t="s">
        <v>2192</v>
      </c>
      <c r="E2128" s="16">
        <v>28</v>
      </c>
    </row>
    <row r="2129" spans="1:5" x14ac:dyDescent="0.4">
      <c r="A2129" s="16" t="s">
        <v>22</v>
      </c>
      <c r="B2129" s="16" t="s">
        <v>93</v>
      </c>
      <c r="C2129" s="16" t="str">
        <f t="shared" si="33"/>
        <v>西南</v>
      </c>
      <c r="D2129" s="16" t="s">
        <v>2193</v>
      </c>
      <c r="E2129" s="16">
        <v>16</v>
      </c>
    </row>
    <row r="2130" spans="1:5" x14ac:dyDescent="0.4">
      <c r="A2130" s="16" t="s">
        <v>22</v>
      </c>
      <c r="B2130" s="16" t="s">
        <v>93</v>
      </c>
      <c r="C2130" s="16" t="str">
        <f t="shared" si="33"/>
        <v>西南</v>
      </c>
      <c r="D2130" s="16" t="s">
        <v>2194</v>
      </c>
      <c r="E2130" s="16">
        <v>29</v>
      </c>
    </row>
    <row r="2131" spans="1:5" x14ac:dyDescent="0.4">
      <c r="A2131" s="16" t="s">
        <v>22</v>
      </c>
      <c r="B2131" s="16" t="s">
        <v>93</v>
      </c>
      <c r="C2131" s="16" t="str">
        <f t="shared" si="33"/>
        <v>西南</v>
      </c>
      <c r="D2131" s="16" t="s">
        <v>2195</v>
      </c>
      <c r="E2131" s="16">
        <v>10</v>
      </c>
    </row>
    <row r="2132" spans="1:5" x14ac:dyDescent="0.4">
      <c r="A2132" s="16" t="s">
        <v>22</v>
      </c>
      <c r="B2132" s="16" t="s">
        <v>93</v>
      </c>
      <c r="C2132" s="16" t="str">
        <f t="shared" si="33"/>
        <v>西南</v>
      </c>
      <c r="D2132" s="16" t="s">
        <v>2196</v>
      </c>
      <c r="E2132" s="16">
        <v>20</v>
      </c>
    </row>
    <row r="2133" spans="1:5" x14ac:dyDescent="0.4">
      <c r="A2133" s="16" t="s">
        <v>22</v>
      </c>
      <c r="B2133" s="16" t="s">
        <v>93</v>
      </c>
      <c r="C2133" s="16" t="str">
        <f t="shared" si="33"/>
        <v>西南</v>
      </c>
      <c r="D2133" s="16" t="s">
        <v>2197</v>
      </c>
      <c r="E2133" s="16">
        <v>16</v>
      </c>
    </row>
    <row r="2134" spans="1:5" x14ac:dyDescent="0.4">
      <c r="A2134" s="16" t="s">
        <v>22</v>
      </c>
      <c r="B2134" s="16" t="s">
        <v>93</v>
      </c>
      <c r="C2134" s="16" t="str">
        <f t="shared" si="33"/>
        <v>西南</v>
      </c>
      <c r="D2134" s="16" t="s">
        <v>2198</v>
      </c>
      <c r="E2134" s="16">
        <v>15</v>
      </c>
    </row>
    <row r="2135" spans="1:5" x14ac:dyDescent="0.4">
      <c r="A2135" s="16" t="s">
        <v>22</v>
      </c>
      <c r="B2135" s="16" t="s">
        <v>93</v>
      </c>
      <c r="C2135" s="16" t="str">
        <f t="shared" si="33"/>
        <v>西南</v>
      </c>
      <c r="D2135" s="16" t="s">
        <v>2199</v>
      </c>
      <c r="E2135" s="16">
        <v>15</v>
      </c>
    </row>
    <row r="2136" spans="1:5" x14ac:dyDescent="0.4">
      <c r="A2136" s="16" t="s">
        <v>22</v>
      </c>
      <c r="B2136" s="16" t="s">
        <v>93</v>
      </c>
      <c r="C2136" s="16" t="str">
        <f t="shared" si="33"/>
        <v>西南</v>
      </c>
      <c r="D2136" s="16" t="s">
        <v>2200</v>
      </c>
      <c r="E2136" s="16">
        <v>21</v>
      </c>
    </row>
    <row r="2137" spans="1:5" x14ac:dyDescent="0.4">
      <c r="A2137" s="16" t="s">
        <v>22</v>
      </c>
      <c r="B2137" s="16" t="s">
        <v>93</v>
      </c>
      <c r="C2137" s="16" t="str">
        <f t="shared" si="33"/>
        <v>西南</v>
      </c>
      <c r="D2137" s="16" t="s">
        <v>2201</v>
      </c>
      <c r="E2137" s="16">
        <v>19</v>
      </c>
    </row>
    <row r="2138" spans="1:5" x14ac:dyDescent="0.4">
      <c r="A2138" s="16" t="s">
        <v>22</v>
      </c>
      <c r="B2138" s="16" t="s">
        <v>93</v>
      </c>
      <c r="C2138" s="16" t="str">
        <f t="shared" si="33"/>
        <v>西南</v>
      </c>
      <c r="D2138" s="16" t="s">
        <v>2202</v>
      </c>
      <c r="E2138" s="16">
        <v>23</v>
      </c>
    </row>
    <row r="2139" spans="1:5" x14ac:dyDescent="0.4">
      <c r="A2139" s="16" t="s">
        <v>22</v>
      </c>
      <c r="B2139" s="16" t="s">
        <v>93</v>
      </c>
      <c r="C2139" s="16" t="str">
        <f t="shared" si="33"/>
        <v>西南</v>
      </c>
      <c r="D2139" s="16" t="s">
        <v>2203</v>
      </c>
      <c r="E2139" s="16">
        <v>26</v>
      </c>
    </row>
    <row r="2140" spans="1:5" x14ac:dyDescent="0.4">
      <c r="A2140" s="16" t="s">
        <v>22</v>
      </c>
      <c r="B2140" s="16" t="s">
        <v>93</v>
      </c>
      <c r="C2140" s="16" t="str">
        <f t="shared" si="33"/>
        <v>西南</v>
      </c>
      <c r="D2140" s="16" t="s">
        <v>2204</v>
      </c>
      <c r="E2140" s="16">
        <v>26</v>
      </c>
    </row>
    <row r="2141" spans="1:5" x14ac:dyDescent="0.4">
      <c r="A2141" s="16" t="s">
        <v>22</v>
      </c>
      <c r="B2141" s="16" t="s">
        <v>93</v>
      </c>
      <c r="C2141" s="16" t="str">
        <f t="shared" si="33"/>
        <v>西南</v>
      </c>
      <c r="D2141" s="16" t="s">
        <v>2205</v>
      </c>
      <c r="E2141" s="16">
        <v>28</v>
      </c>
    </row>
    <row r="2142" spans="1:5" x14ac:dyDescent="0.4">
      <c r="A2142" s="16" t="s">
        <v>22</v>
      </c>
      <c r="B2142" s="16" t="s">
        <v>93</v>
      </c>
      <c r="C2142" s="16" t="str">
        <f t="shared" si="33"/>
        <v>西南</v>
      </c>
      <c r="D2142" s="16" t="s">
        <v>2206</v>
      </c>
      <c r="E2142" s="16">
        <v>28</v>
      </c>
    </row>
    <row r="2143" spans="1:5" x14ac:dyDescent="0.4">
      <c r="A2143" s="16" t="s">
        <v>22</v>
      </c>
      <c r="B2143" s="16" t="s">
        <v>93</v>
      </c>
      <c r="C2143" s="16" t="str">
        <f t="shared" si="33"/>
        <v>西南</v>
      </c>
      <c r="D2143" s="16" t="s">
        <v>2207</v>
      </c>
      <c r="E2143" s="16">
        <v>24</v>
      </c>
    </row>
    <row r="2144" spans="1:5" x14ac:dyDescent="0.4">
      <c r="A2144" s="16" t="s">
        <v>22</v>
      </c>
      <c r="B2144" s="16" t="s">
        <v>93</v>
      </c>
      <c r="C2144" s="16" t="str">
        <f t="shared" si="33"/>
        <v>西南</v>
      </c>
      <c r="D2144" s="16" t="s">
        <v>2208</v>
      </c>
      <c r="E2144" s="16">
        <v>20</v>
      </c>
    </row>
    <row r="2145" spans="1:5" x14ac:dyDescent="0.4">
      <c r="A2145" s="16" t="s">
        <v>22</v>
      </c>
      <c r="B2145" s="16" t="s">
        <v>93</v>
      </c>
      <c r="C2145" s="16" t="str">
        <f t="shared" si="33"/>
        <v>西南</v>
      </c>
      <c r="D2145" s="16" t="s">
        <v>2209</v>
      </c>
      <c r="E2145" s="16">
        <v>18</v>
      </c>
    </row>
    <row r="2146" spans="1:5" x14ac:dyDescent="0.4">
      <c r="A2146" s="16" t="s">
        <v>22</v>
      </c>
      <c r="B2146" s="16" t="s">
        <v>93</v>
      </c>
      <c r="C2146" s="16" t="str">
        <f t="shared" si="33"/>
        <v>西南</v>
      </c>
      <c r="D2146" s="16" t="s">
        <v>2210</v>
      </c>
      <c r="E2146" s="16">
        <v>13</v>
      </c>
    </row>
    <row r="2147" spans="1:5" x14ac:dyDescent="0.4">
      <c r="A2147" s="16" t="s">
        <v>29</v>
      </c>
      <c r="B2147" s="16" t="s">
        <v>93</v>
      </c>
      <c r="C2147" s="16" t="str">
        <f t="shared" si="33"/>
        <v>西南</v>
      </c>
      <c r="D2147" s="16" t="s">
        <v>2211</v>
      </c>
      <c r="E2147" s="16">
        <v>23</v>
      </c>
    </row>
    <row r="2148" spans="1:5" x14ac:dyDescent="0.4">
      <c r="A2148" s="16" t="s">
        <v>22</v>
      </c>
      <c r="B2148" s="16" t="s">
        <v>93</v>
      </c>
      <c r="C2148" s="16" t="str">
        <f t="shared" si="33"/>
        <v>西南</v>
      </c>
      <c r="D2148" s="16" t="s">
        <v>2212</v>
      </c>
      <c r="E2148" s="16">
        <v>26</v>
      </c>
    </row>
    <row r="2149" spans="1:5" x14ac:dyDescent="0.4">
      <c r="A2149" s="16" t="s">
        <v>22</v>
      </c>
      <c r="B2149" s="16" t="s">
        <v>93</v>
      </c>
      <c r="C2149" s="16" t="str">
        <f t="shared" si="33"/>
        <v>西南</v>
      </c>
      <c r="D2149" s="16" t="s">
        <v>2213</v>
      </c>
      <c r="E2149" s="16">
        <v>14</v>
      </c>
    </row>
    <row r="2150" spans="1:5" x14ac:dyDescent="0.4">
      <c r="A2150" s="16" t="s">
        <v>22</v>
      </c>
      <c r="B2150" s="16" t="s">
        <v>93</v>
      </c>
      <c r="C2150" s="16" t="str">
        <f t="shared" si="33"/>
        <v>西南</v>
      </c>
      <c r="D2150" s="16" t="s">
        <v>2214</v>
      </c>
      <c r="E2150" s="16">
        <v>14</v>
      </c>
    </row>
    <row r="2151" spans="1:5" x14ac:dyDescent="0.4">
      <c r="A2151" s="16" t="s">
        <v>22</v>
      </c>
      <c r="B2151" s="16" t="s">
        <v>93</v>
      </c>
      <c r="C2151" s="16" t="str">
        <f t="shared" si="33"/>
        <v>西南</v>
      </c>
      <c r="D2151" s="16" t="s">
        <v>2215</v>
      </c>
      <c r="E2151" s="16">
        <v>12</v>
      </c>
    </row>
    <row r="2152" spans="1:5" x14ac:dyDescent="0.4">
      <c r="A2152" s="16" t="s">
        <v>29</v>
      </c>
      <c r="B2152" s="16" t="s">
        <v>93</v>
      </c>
      <c r="C2152" s="16" t="str">
        <f t="shared" si="33"/>
        <v>西南</v>
      </c>
      <c r="D2152" s="16" t="s">
        <v>2216</v>
      </c>
      <c r="E2152" s="16">
        <v>26</v>
      </c>
    </row>
    <row r="2153" spans="1:5" x14ac:dyDescent="0.4">
      <c r="A2153" s="16" t="s">
        <v>22</v>
      </c>
      <c r="B2153" s="16" t="s">
        <v>93</v>
      </c>
      <c r="C2153" s="16" t="str">
        <f t="shared" si="33"/>
        <v>西南</v>
      </c>
      <c r="D2153" s="16" t="s">
        <v>2217</v>
      </c>
      <c r="E2153" s="16">
        <v>24</v>
      </c>
    </row>
    <row r="2154" spans="1:5" x14ac:dyDescent="0.4">
      <c r="A2154" s="16" t="s">
        <v>29</v>
      </c>
      <c r="B2154" s="16" t="s">
        <v>93</v>
      </c>
      <c r="C2154" s="16" t="str">
        <f t="shared" si="33"/>
        <v>西南</v>
      </c>
      <c r="D2154" s="16" t="s">
        <v>2218</v>
      </c>
      <c r="E2154" s="16">
        <v>16</v>
      </c>
    </row>
    <row r="2155" spans="1:5" x14ac:dyDescent="0.4">
      <c r="A2155" s="16" t="s">
        <v>29</v>
      </c>
      <c r="B2155" s="16" t="s">
        <v>93</v>
      </c>
      <c r="C2155" s="16" t="str">
        <f t="shared" si="33"/>
        <v>西南</v>
      </c>
      <c r="D2155" s="16" t="s">
        <v>2219</v>
      </c>
      <c r="E2155" s="16">
        <v>28</v>
      </c>
    </row>
    <row r="2156" spans="1:5" x14ac:dyDescent="0.4">
      <c r="A2156" s="16" t="s">
        <v>29</v>
      </c>
      <c r="B2156" s="16" t="s">
        <v>93</v>
      </c>
      <c r="C2156" s="16" t="str">
        <f t="shared" si="33"/>
        <v>西南</v>
      </c>
      <c r="D2156" s="16" t="s">
        <v>2220</v>
      </c>
      <c r="E2156" s="16">
        <v>14</v>
      </c>
    </row>
    <row r="2157" spans="1:5" x14ac:dyDescent="0.4">
      <c r="A2157" s="16" t="s">
        <v>22</v>
      </c>
      <c r="B2157" s="16" t="s">
        <v>93</v>
      </c>
      <c r="C2157" s="16" t="str">
        <f t="shared" si="33"/>
        <v>西南</v>
      </c>
      <c r="D2157" s="16" t="s">
        <v>2221</v>
      </c>
      <c r="E2157" s="16">
        <v>10</v>
      </c>
    </row>
    <row r="2158" spans="1:5" x14ac:dyDescent="0.4">
      <c r="A2158" s="16" t="s">
        <v>22</v>
      </c>
      <c r="B2158" s="16" t="s">
        <v>93</v>
      </c>
      <c r="C2158" s="16" t="str">
        <f t="shared" si="33"/>
        <v>西南</v>
      </c>
      <c r="D2158" s="16" t="s">
        <v>2222</v>
      </c>
      <c r="E2158" s="16">
        <v>12</v>
      </c>
    </row>
    <row r="2159" spans="1:5" x14ac:dyDescent="0.4">
      <c r="A2159" s="16" t="s">
        <v>22</v>
      </c>
      <c r="B2159" s="16" t="s">
        <v>93</v>
      </c>
      <c r="C2159" s="16" t="str">
        <f t="shared" si="33"/>
        <v>西南</v>
      </c>
      <c r="D2159" s="16" t="s">
        <v>2223</v>
      </c>
      <c r="E2159" s="16">
        <v>22</v>
      </c>
    </row>
    <row r="2160" spans="1:5" x14ac:dyDescent="0.4">
      <c r="A2160" s="16" t="s">
        <v>22</v>
      </c>
      <c r="B2160" s="16" t="s">
        <v>93</v>
      </c>
      <c r="C2160" s="16" t="str">
        <f t="shared" si="33"/>
        <v>西南</v>
      </c>
      <c r="D2160" s="16" t="s">
        <v>2224</v>
      </c>
      <c r="E2160" s="16">
        <v>18</v>
      </c>
    </row>
    <row r="2161" spans="1:5" x14ac:dyDescent="0.4">
      <c r="A2161" s="16" t="s">
        <v>22</v>
      </c>
      <c r="B2161" s="16" t="s">
        <v>93</v>
      </c>
      <c r="C2161" s="16" t="str">
        <f t="shared" si="33"/>
        <v>西南</v>
      </c>
      <c r="D2161" s="16" t="s">
        <v>2225</v>
      </c>
      <c r="E2161" s="16">
        <v>23</v>
      </c>
    </row>
    <row r="2162" spans="1:5" x14ac:dyDescent="0.4">
      <c r="A2162" s="16" t="s">
        <v>29</v>
      </c>
      <c r="B2162" s="16" t="s">
        <v>93</v>
      </c>
      <c r="C2162" s="16" t="str">
        <f t="shared" si="33"/>
        <v>西南</v>
      </c>
      <c r="D2162" s="16" t="s">
        <v>2226</v>
      </c>
      <c r="E2162" s="16">
        <v>24</v>
      </c>
    </row>
    <row r="2163" spans="1:5" x14ac:dyDescent="0.4">
      <c r="A2163" s="16" t="s">
        <v>22</v>
      </c>
      <c r="B2163" s="16" t="s">
        <v>93</v>
      </c>
      <c r="C2163" s="16" t="str">
        <f t="shared" si="33"/>
        <v>西南</v>
      </c>
      <c r="D2163" s="16" t="s">
        <v>2227</v>
      </c>
      <c r="E2163" s="16">
        <v>16</v>
      </c>
    </row>
    <row r="2164" spans="1:5" x14ac:dyDescent="0.4">
      <c r="A2164" s="16" t="s">
        <v>22</v>
      </c>
      <c r="B2164" s="16" t="s">
        <v>93</v>
      </c>
      <c r="C2164" s="16" t="str">
        <f t="shared" si="33"/>
        <v>西南</v>
      </c>
      <c r="D2164" s="16" t="s">
        <v>2228</v>
      </c>
      <c r="E2164" s="16">
        <v>20</v>
      </c>
    </row>
    <row r="2165" spans="1:5" x14ac:dyDescent="0.4">
      <c r="A2165" s="16" t="s">
        <v>22</v>
      </c>
      <c r="B2165" s="16" t="s">
        <v>93</v>
      </c>
      <c r="C2165" s="16" t="str">
        <f t="shared" si="33"/>
        <v>西南</v>
      </c>
      <c r="D2165" s="16" t="s">
        <v>2229</v>
      </c>
      <c r="E2165" s="16">
        <v>16</v>
      </c>
    </row>
    <row r="2166" spans="1:5" x14ac:dyDescent="0.4">
      <c r="A2166" s="16" t="s">
        <v>22</v>
      </c>
      <c r="B2166" s="16" t="s">
        <v>93</v>
      </c>
      <c r="C2166" s="16" t="str">
        <f t="shared" si="33"/>
        <v>西南</v>
      </c>
      <c r="D2166" s="16" t="s">
        <v>2230</v>
      </c>
      <c r="E2166" s="16">
        <v>22</v>
      </c>
    </row>
    <row r="2167" spans="1:5" x14ac:dyDescent="0.4">
      <c r="A2167" s="16" t="s">
        <v>29</v>
      </c>
      <c r="B2167" s="16" t="s">
        <v>93</v>
      </c>
      <c r="C2167" s="16" t="str">
        <f t="shared" si="33"/>
        <v>西南</v>
      </c>
      <c r="D2167" s="16" t="s">
        <v>2231</v>
      </c>
      <c r="E2167" s="16">
        <v>27</v>
      </c>
    </row>
    <row r="2168" spans="1:5" x14ac:dyDescent="0.4">
      <c r="A2168" s="16" t="s">
        <v>29</v>
      </c>
      <c r="B2168" s="16" t="s">
        <v>93</v>
      </c>
      <c r="C2168" s="16" t="str">
        <f t="shared" si="33"/>
        <v>西南</v>
      </c>
      <c r="D2168" s="16" t="s">
        <v>2232</v>
      </c>
      <c r="E2168" s="16">
        <v>15</v>
      </c>
    </row>
    <row r="2169" spans="1:5" x14ac:dyDescent="0.4">
      <c r="A2169" s="16" t="s">
        <v>29</v>
      </c>
      <c r="B2169" s="16" t="s">
        <v>93</v>
      </c>
      <c r="C2169" s="16" t="str">
        <f t="shared" si="33"/>
        <v>西南</v>
      </c>
      <c r="D2169" s="16" t="s">
        <v>2233</v>
      </c>
      <c r="E2169" s="16">
        <v>12</v>
      </c>
    </row>
    <row r="2170" spans="1:5" x14ac:dyDescent="0.4">
      <c r="A2170" s="16" t="s">
        <v>29</v>
      </c>
      <c r="B2170" s="16" t="s">
        <v>93</v>
      </c>
      <c r="C2170" s="16" t="str">
        <f t="shared" si="33"/>
        <v>西南</v>
      </c>
      <c r="D2170" s="16" t="s">
        <v>2234</v>
      </c>
      <c r="E2170" s="16">
        <v>15</v>
      </c>
    </row>
    <row r="2171" spans="1:5" x14ac:dyDescent="0.4">
      <c r="A2171" s="16" t="s">
        <v>22</v>
      </c>
      <c r="B2171" s="16" t="s">
        <v>93</v>
      </c>
      <c r="C2171" s="16" t="str">
        <f t="shared" si="33"/>
        <v>西南</v>
      </c>
      <c r="D2171" s="16" t="s">
        <v>2235</v>
      </c>
      <c r="E2171" s="16">
        <v>15</v>
      </c>
    </row>
    <row r="2172" spans="1:5" x14ac:dyDescent="0.4">
      <c r="A2172" s="16" t="s">
        <v>22</v>
      </c>
      <c r="B2172" s="16" t="s">
        <v>93</v>
      </c>
      <c r="C2172" s="16" t="str">
        <f t="shared" si="33"/>
        <v>西南</v>
      </c>
      <c r="D2172" s="16" t="s">
        <v>2236</v>
      </c>
      <c r="E2172" s="16">
        <v>25</v>
      </c>
    </row>
    <row r="2173" spans="1:5" x14ac:dyDescent="0.4">
      <c r="A2173" s="16" t="s">
        <v>29</v>
      </c>
      <c r="B2173" s="16" t="s">
        <v>93</v>
      </c>
      <c r="C2173" s="16" t="str">
        <f t="shared" si="33"/>
        <v>西南</v>
      </c>
      <c r="D2173" s="16" t="s">
        <v>2237</v>
      </c>
      <c r="E2173" s="16">
        <v>29</v>
      </c>
    </row>
    <row r="2174" spans="1:5" x14ac:dyDescent="0.4">
      <c r="A2174" s="16" t="s">
        <v>22</v>
      </c>
      <c r="B2174" s="16" t="s">
        <v>93</v>
      </c>
      <c r="C2174" s="16" t="str">
        <f t="shared" si="33"/>
        <v>西南</v>
      </c>
      <c r="D2174" s="16" t="s">
        <v>2238</v>
      </c>
      <c r="E2174" s="16">
        <v>24</v>
      </c>
    </row>
    <row r="2175" spans="1:5" x14ac:dyDescent="0.4">
      <c r="A2175" s="16" t="s">
        <v>22</v>
      </c>
      <c r="B2175" s="16" t="s">
        <v>93</v>
      </c>
      <c r="C2175" s="16" t="str">
        <f t="shared" si="33"/>
        <v>西南</v>
      </c>
      <c r="D2175" s="16" t="s">
        <v>2239</v>
      </c>
      <c r="E2175" s="16">
        <v>15</v>
      </c>
    </row>
    <row r="2176" spans="1:5" x14ac:dyDescent="0.4">
      <c r="A2176" s="16" t="s">
        <v>29</v>
      </c>
      <c r="B2176" s="16" t="s">
        <v>93</v>
      </c>
      <c r="C2176" s="16" t="str">
        <f t="shared" si="33"/>
        <v>西南</v>
      </c>
      <c r="D2176" s="16" t="s">
        <v>2240</v>
      </c>
      <c r="E2176" s="16">
        <v>24</v>
      </c>
    </row>
    <row r="2177" spans="1:5" x14ac:dyDescent="0.4">
      <c r="A2177" s="16" t="s">
        <v>22</v>
      </c>
      <c r="B2177" s="16" t="s">
        <v>93</v>
      </c>
      <c r="C2177" s="16" t="str">
        <f t="shared" si="33"/>
        <v>西南</v>
      </c>
      <c r="D2177" s="16" t="s">
        <v>2241</v>
      </c>
      <c r="E2177" s="16">
        <v>18</v>
      </c>
    </row>
    <row r="2178" spans="1:5" x14ac:dyDescent="0.4">
      <c r="A2178" s="16" t="s">
        <v>22</v>
      </c>
      <c r="B2178" s="16" t="s">
        <v>93</v>
      </c>
      <c r="C2178" s="16" t="str">
        <f t="shared" si="33"/>
        <v>西南</v>
      </c>
      <c r="D2178" s="16" t="s">
        <v>2242</v>
      </c>
      <c r="E2178" s="16">
        <v>17</v>
      </c>
    </row>
    <row r="2179" spans="1:5" x14ac:dyDescent="0.4">
      <c r="A2179" s="16" t="s">
        <v>29</v>
      </c>
      <c r="B2179" s="16" t="s">
        <v>93</v>
      </c>
      <c r="C2179" s="16" t="str">
        <f t="shared" ref="C2179:C2242" si="34">_xlfn.XLOOKUP(B2179,$I$2:$I$32,$J$2:$J$32)</f>
        <v>西南</v>
      </c>
      <c r="D2179" s="16" t="s">
        <v>2243</v>
      </c>
      <c r="E2179" s="16">
        <v>29</v>
      </c>
    </row>
    <row r="2180" spans="1:5" x14ac:dyDescent="0.4">
      <c r="A2180" s="16" t="s">
        <v>22</v>
      </c>
      <c r="B2180" s="16" t="s">
        <v>93</v>
      </c>
      <c r="C2180" s="16" t="str">
        <f t="shared" si="34"/>
        <v>西南</v>
      </c>
      <c r="D2180" s="16" t="s">
        <v>2244</v>
      </c>
      <c r="E2180" s="16">
        <v>16</v>
      </c>
    </row>
    <row r="2181" spans="1:5" x14ac:dyDescent="0.4">
      <c r="A2181" s="16" t="s">
        <v>22</v>
      </c>
      <c r="B2181" s="16" t="s">
        <v>93</v>
      </c>
      <c r="C2181" s="16" t="str">
        <f t="shared" si="34"/>
        <v>西南</v>
      </c>
      <c r="D2181" s="16" t="s">
        <v>2245</v>
      </c>
      <c r="E2181" s="16">
        <v>23</v>
      </c>
    </row>
    <row r="2182" spans="1:5" x14ac:dyDescent="0.4">
      <c r="A2182" s="16" t="s">
        <v>29</v>
      </c>
      <c r="B2182" s="16" t="s">
        <v>93</v>
      </c>
      <c r="C2182" s="16" t="str">
        <f t="shared" si="34"/>
        <v>西南</v>
      </c>
      <c r="D2182" s="16" t="s">
        <v>2246</v>
      </c>
      <c r="E2182" s="16">
        <v>20</v>
      </c>
    </row>
    <row r="2183" spans="1:5" x14ac:dyDescent="0.4">
      <c r="A2183" s="16" t="s">
        <v>29</v>
      </c>
      <c r="B2183" s="16" t="s">
        <v>93</v>
      </c>
      <c r="C2183" s="16" t="str">
        <f t="shared" si="34"/>
        <v>西南</v>
      </c>
      <c r="D2183" s="16" t="s">
        <v>2247</v>
      </c>
      <c r="E2183" s="16">
        <v>26</v>
      </c>
    </row>
    <row r="2184" spans="1:5" x14ac:dyDescent="0.4">
      <c r="A2184" s="16" t="s">
        <v>29</v>
      </c>
      <c r="B2184" s="16" t="s">
        <v>93</v>
      </c>
      <c r="C2184" s="16" t="str">
        <f t="shared" si="34"/>
        <v>西南</v>
      </c>
      <c r="D2184" s="16" t="s">
        <v>2248</v>
      </c>
      <c r="E2184" s="16">
        <v>19</v>
      </c>
    </row>
    <row r="2185" spans="1:5" x14ac:dyDescent="0.4">
      <c r="A2185" s="16" t="s">
        <v>22</v>
      </c>
      <c r="B2185" s="16" t="s">
        <v>93</v>
      </c>
      <c r="C2185" s="16" t="str">
        <f t="shared" si="34"/>
        <v>西南</v>
      </c>
      <c r="D2185" s="16" t="s">
        <v>2249</v>
      </c>
      <c r="E2185" s="16">
        <v>27</v>
      </c>
    </row>
    <row r="2186" spans="1:5" x14ac:dyDescent="0.4">
      <c r="A2186" s="16" t="s">
        <v>29</v>
      </c>
      <c r="B2186" s="16" t="s">
        <v>93</v>
      </c>
      <c r="C2186" s="16" t="str">
        <f t="shared" si="34"/>
        <v>西南</v>
      </c>
      <c r="D2186" s="16" t="s">
        <v>2250</v>
      </c>
      <c r="E2186" s="16">
        <v>17</v>
      </c>
    </row>
    <row r="2187" spans="1:5" x14ac:dyDescent="0.4">
      <c r="A2187" s="16" t="s">
        <v>22</v>
      </c>
      <c r="B2187" s="16" t="s">
        <v>93</v>
      </c>
      <c r="C2187" s="16" t="str">
        <f t="shared" si="34"/>
        <v>西南</v>
      </c>
      <c r="D2187" s="16" t="s">
        <v>2251</v>
      </c>
      <c r="E2187" s="16">
        <v>28</v>
      </c>
    </row>
    <row r="2188" spans="1:5" x14ac:dyDescent="0.4">
      <c r="A2188" s="16" t="s">
        <v>29</v>
      </c>
      <c r="B2188" s="16" t="s">
        <v>93</v>
      </c>
      <c r="C2188" s="16" t="str">
        <f t="shared" si="34"/>
        <v>西南</v>
      </c>
      <c r="D2188" s="16" t="s">
        <v>2252</v>
      </c>
      <c r="E2188" s="16">
        <v>14</v>
      </c>
    </row>
    <row r="2189" spans="1:5" x14ac:dyDescent="0.4">
      <c r="A2189" s="16" t="s">
        <v>33</v>
      </c>
      <c r="B2189" s="16" t="s">
        <v>93</v>
      </c>
      <c r="C2189" s="16" t="str">
        <f t="shared" si="34"/>
        <v>西南</v>
      </c>
      <c r="D2189" s="16" t="s">
        <v>2253</v>
      </c>
      <c r="E2189" s="16">
        <v>13</v>
      </c>
    </row>
    <row r="2190" spans="1:5" x14ac:dyDescent="0.4">
      <c r="A2190" s="16" t="s">
        <v>29</v>
      </c>
      <c r="B2190" s="16" t="s">
        <v>67</v>
      </c>
      <c r="C2190" s="16" t="str">
        <f t="shared" si="34"/>
        <v>华中</v>
      </c>
      <c r="D2190" s="16" t="s">
        <v>2254</v>
      </c>
      <c r="E2190" s="16">
        <v>15</v>
      </c>
    </row>
    <row r="2191" spans="1:5" x14ac:dyDescent="0.4">
      <c r="A2191" s="16" t="s">
        <v>29</v>
      </c>
      <c r="B2191" s="16" t="s">
        <v>67</v>
      </c>
      <c r="C2191" s="16" t="str">
        <f t="shared" si="34"/>
        <v>华中</v>
      </c>
      <c r="D2191" s="16" t="s">
        <v>2255</v>
      </c>
      <c r="E2191" s="16">
        <v>20</v>
      </c>
    </row>
    <row r="2192" spans="1:5" x14ac:dyDescent="0.4">
      <c r="A2192" s="16" t="s">
        <v>22</v>
      </c>
      <c r="B2192" s="16" t="s">
        <v>44</v>
      </c>
      <c r="C2192" s="16" t="str">
        <f t="shared" si="34"/>
        <v>华北</v>
      </c>
      <c r="D2192" s="16" t="s">
        <v>2256</v>
      </c>
      <c r="E2192" s="16">
        <v>26</v>
      </c>
    </row>
    <row r="2193" spans="1:5" x14ac:dyDescent="0.4">
      <c r="A2193" s="16" t="s">
        <v>33</v>
      </c>
      <c r="B2193" s="16" t="s">
        <v>40</v>
      </c>
      <c r="C2193" s="16" t="str">
        <f t="shared" si="34"/>
        <v>华北</v>
      </c>
      <c r="D2193" s="16" t="s">
        <v>2257</v>
      </c>
      <c r="E2193" s="16">
        <v>21</v>
      </c>
    </row>
    <row r="2194" spans="1:5" x14ac:dyDescent="0.4">
      <c r="A2194" s="16" t="s">
        <v>22</v>
      </c>
      <c r="B2194" s="16" t="s">
        <v>57</v>
      </c>
      <c r="C2194" s="16" t="str">
        <f t="shared" si="34"/>
        <v>华东</v>
      </c>
      <c r="D2194" s="16" t="s">
        <v>2258</v>
      </c>
      <c r="E2194" s="16">
        <v>12</v>
      </c>
    </row>
    <row r="2195" spans="1:5" x14ac:dyDescent="0.4">
      <c r="A2195" s="16" t="s">
        <v>33</v>
      </c>
      <c r="B2195" s="16" t="s">
        <v>40</v>
      </c>
      <c r="C2195" s="16" t="str">
        <f t="shared" si="34"/>
        <v>华北</v>
      </c>
      <c r="D2195" s="16" t="s">
        <v>2259</v>
      </c>
      <c r="E2195" s="16">
        <v>11</v>
      </c>
    </row>
    <row r="2196" spans="1:5" x14ac:dyDescent="0.4">
      <c r="A2196" s="16" t="s">
        <v>22</v>
      </c>
      <c r="B2196" s="16" t="s">
        <v>57</v>
      </c>
      <c r="C2196" s="16" t="str">
        <f t="shared" si="34"/>
        <v>华东</v>
      </c>
      <c r="D2196" s="16" t="s">
        <v>2260</v>
      </c>
      <c r="E2196" s="16">
        <v>25</v>
      </c>
    </row>
    <row r="2197" spans="1:5" x14ac:dyDescent="0.4">
      <c r="A2197" s="16" t="s">
        <v>22</v>
      </c>
      <c r="B2197" s="16" t="s">
        <v>57</v>
      </c>
      <c r="C2197" s="16" t="str">
        <f t="shared" si="34"/>
        <v>华东</v>
      </c>
      <c r="D2197" s="16" t="s">
        <v>2261</v>
      </c>
      <c r="E2197" s="16">
        <v>24</v>
      </c>
    </row>
    <row r="2198" spans="1:5" x14ac:dyDescent="0.4">
      <c r="A2198" s="16" t="s">
        <v>33</v>
      </c>
      <c r="B2198" s="16" t="s">
        <v>83</v>
      </c>
      <c r="C2198" s="16" t="str">
        <f t="shared" si="34"/>
        <v>西北</v>
      </c>
      <c r="D2198" s="16" t="s">
        <v>2262</v>
      </c>
      <c r="E2198" s="16">
        <v>24</v>
      </c>
    </row>
    <row r="2199" spans="1:5" x14ac:dyDescent="0.4">
      <c r="A2199" s="16" t="s">
        <v>29</v>
      </c>
      <c r="B2199" s="16" t="s">
        <v>34</v>
      </c>
      <c r="C2199" s="16" t="str">
        <f t="shared" si="34"/>
        <v>西北</v>
      </c>
      <c r="D2199" s="16" t="s">
        <v>2263</v>
      </c>
      <c r="E2199" s="16">
        <v>21</v>
      </c>
    </row>
    <row r="2200" spans="1:5" x14ac:dyDescent="0.4">
      <c r="A2200" s="16" t="s">
        <v>22</v>
      </c>
      <c r="B2200" s="16" t="s">
        <v>44</v>
      </c>
      <c r="C2200" s="16" t="str">
        <f t="shared" si="34"/>
        <v>华北</v>
      </c>
      <c r="D2200" s="16" t="s">
        <v>2264</v>
      </c>
      <c r="E2200" s="16">
        <v>15</v>
      </c>
    </row>
    <row r="2201" spans="1:5" x14ac:dyDescent="0.4">
      <c r="A2201" s="16" t="s">
        <v>29</v>
      </c>
      <c r="B2201" s="16" t="s">
        <v>30</v>
      </c>
      <c r="C2201" s="16" t="str">
        <f t="shared" si="34"/>
        <v>华北</v>
      </c>
      <c r="D2201" s="16" t="s">
        <v>2265</v>
      </c>
      <c r="E2201" s="16">
        <v>11</v>
      </c>
    </row>
    <row r="2202" spans="1:5" x14ac:dyDescent="0.4">
      <c r="A2202" s="16" t="s">
        <v>22</v>
      </c>
      <c r="B2202" s="16" t="s">
        <v>60</v>
      </c>
      <c r="C2202" s="16" t="str">
        <f t="shared" si="34"/>
        <v>华东</v>
      </c>
      <c r="D2202" s="16" t="s">
        <v>2266</v>
      </c>
      <c r="E2202" s="16">
        <v>22</v>
      </c>
    </row>
    <row r="2203" spans="1:5" x14ac:dyDescent="0.4">
      <c r="A2203" s="16" t="s">
        <v>33</v>
      </c>
      <c r="B2203" s="16" t="s">
        <v>76</v>
      </c>
      <c r="C2203" s="16" t="str">
        <f t="shared" si="34"/>
        <v>西北</v>
      </c>
      <c r="D2203" s="16" t="s">
        <v>2267</v>
      </c>
      <c r="E2203" s="16">
        <v>13</v>
      </c>
    </row>
    <row r="2204" spans="1:5" x14ac:dyDescent="0.4">
      <c r="A2204" s="16" t="s">
        <v>33</v>
      </c>
      <c r="B2204" s="16" t="s">
        <v>40</v>
      </c>
      <c r="C2204" s="16" t="str">
        <f t="shared" si="34"/>
        <v>华北</v>
      </c>
      <c r="D2204" s="16" t="s">
        <v>2268</v>
      </c>
      <c r="E2204" s="16">
        <v>27</v>
      </c>
    </row>
    <row r="2205" spans="1:5" x14ac:dyDescent="0.4">
      <c r="A2205" s="16" t="s">
        <v>22</v>
      </c>
      <c r="B2205" s="16" t="s">
        <v>57</v>
      </c>
      <c r="C2205" s="16" t="str">
        <f t="shared" si="34"/>
        <v>华东</v>
      </c>
      <c r="D2205" s="16" t="s">
        <v>2269</v>
      </c>
      <c r="E2205" s="16">
        <v>26</v>
      </c>
    </row>
    <row r="2206" spans="1:5" x14ac:dyDescent="0.4">
      <c r="A2206" s="16" t="s">
        <v>22</v>
      </c>
      <c r="B2206" s="16" t="s">
        <v>53</v>
      </c>
      <c r="C2206" s="16" t="str">
        <f t="shared" si="34"/>
        <v>华东</v>
      </c>
      <c r="D2206" s="16" t="s">
        <v>2270</v>
      </c>
      <c r="E2206" s="16">
        <v>26</v>
      </c>
    </row>
    <row r="2207" spans="1:5" x14ac:dyDescent="0.4">
      <c r="A2207" s="16" t="s">
        <v>22</v>
      </c>
      <c r="B2207" s="16" t="s">
        <v>58</v>
      </c>
      <c r="C2207" s="16" t="str">
        <f t="shared" si="34"/>
        <v>华中</v>
      </c>
      <c r="D2207" s="16" t="s">
        <v>2271</v>
      </c>
      <c r="E2207" s="16">
        <v>14</v>
      </c>
    </row>
    <row r="2208" spans="1:5" x14ac:dyDescent="0.4">
      <c r="A2208" s="16" t="s">
        <v>22</v>
      </c>
      <c r="B2208" s="16" t="s">
        <v>40</v>
      </c>
      <c r="C2208" s="16" t="str">
        <f t="shared" si="34"/>
        <v>华北</v>
      </c>
      <c r="D2208" s="16" t="s">
        <v>2272</v>
      </c>
      <c r="E2208" s="16">
        <v>14</v>
      </c>
    </row>
    <row r="2209" spans="1:5" x14ac:dyDescent="0.4">
      <c r="A2209" s="16" t="s">
        <v>22</v>
      </c>
      <c r="B2209" s="16" t="s">
        <v>38</v>
      </c>
      <c r="C2209" s="16" t="str">
        <f t="shared" si="34"/>
        <v>西北</v>
      </c>
      <c r="D2209" s="16" t="s">
        <v>2273</v>
      </c>
      <c r="E2209" s="16">
        <v>26</v>
      </c>
    </row>
    <row r="2210" spans="1:5" x14ac:dyDescent="0.4">
      <c r="A2210" s="16" t="s">
        <v>22</v>
      </c>
      <c r="B2210" s="16" t="s">
        <v>57</v>
      </c>
      <c r="C2210" s="16" t="str">
        <f t="shared" si="34"/>
        <v>华东</v>
      </c>
      <c r="D2210" s="16" t="s">
        <v>2274</v>
      </c>
      <c r="E2210" s="16">
        <v>16</v>
      </c>
    </row>
    <row r="2211" spans="1:5" x14ac:dyDescent="0.4">
      <c r="A2211" s="16" t="s">
        <v>22</v>
      </c>
      <c r="B2211" s="16" t="s">
        <v>57</v>
      </c>
      <c r="C2211" s="16" t="str">
        <f t="shared" si="34"/>
        <v>华东</v>
      </c>
      <c r="D2211" s="16" t="s">
        <v>2275</v>
      </c>
      <c r="E2211" s="16">
        <v>20</v>
      </c>
    </row>
    <row r="2212" spans="1:5" x14ac:dyDescent="0.4">
      <c r="A2212" s="16" t="s">
        <v>22</v>
      </c>
      <c r="B2212" s="16" t="s">
        <v>51</v>
      </c>
      <c r="C2212" s="16" t="str">
        <f t="shared" si="34"/>
        <v>华东</v>
      </c>
      <c r="D2212" s="16" t="s">
        <v>2276</v>
      </c>
      <c r="E2212" s="16">
        <v>28</v>
      </c>
    </row>
    <row r="2213" spans="1:5" x14ac:dyDescent="0.4">
      <c r="A2213" s="16" t="s">
        <v>22</v>
      </c>
      <c r="B2213" s="16" t="s">
        <v>51</v>
      </c>
      <c r="C2213" s="16" t="str">
        <f t="shared" si="34"/>
        <v>华东</v>
      </c>
      <c r="D2213" s="16" t="s">
        <v>2277</v>
      </c>
      <c r="E2213" s="16">
        <v>28</v>
      </c>
    </row>
    <row r="2214" spans="1:5" x14ac:dyDescent="0.4">
      <c r="A2214" s="16" t="s">
        <v>22</v>
      </c>
      <c r="B2214" s="16" t="s">
        <v>51</v>
      </c>
      <c r="C2214" s="16" t="str">
        <f t="shared" si="34"/>
        <v>华东</v>
      </c>
      <c r="D2214" s="16" t="s">
        <v>2278</v>
      </c>
      <c r="E2214" s="16">
        <v>14</v>
      </c>
    </row>
    <row r="2215" spans="1:5" x14ac:dyDescent="0.4">
      <c r="A2215" s="16" t="s">
        <v>22</v>
      </c>
      <c r="B2215" s="16" t="s">
        <v>51</v>
      </c>
      <c r="C2215" s="16" t="str">
        <f t="shared" si="34"/>
        <v>华东</v>
      </c>
      <c r="D2215" s="16" t="s">
        <v>2279</v>
      </c>
      <c r="E2215" s="16">
        <v>22</v>
      </c>
    </row>
    <row r="2216" spans="1:5" x14ac:dyDescent="0.4">
      <c r="A2216" s="16" t="s">
        <v>33</v>
      </c>
      <c r="B2216" s="16" t="s">
        <v>51</v>
      </c>
      <c r="C2216" s="16" t="str">
        <f t="shared" si="34"/>
        <v>华东</v>
      </c>
      <c r="D2216" s="16" t="s">
        <v>2280</v>
      </c>
      <c r="E2216" s="16">
        <v>13</v>
      </c>
    </row>
    <row r="2217" spans="1:5" x14ac:dyDescent="0.4">
      <c r="A2217" s="16" t="s">
        <v>22</v>
      </c>
      <c r="B2217" s="16" t="s">
        <v>51</v>
      </c>
      <c r="C2217" s="16" t="str">
        <f t="shared" si="34"/>
        <v>华东</v>
      </c>
      <c r="D2217" s="16" t="s">
        <v>2281</v>
      </c>
      <c r="E2217" s="16">
        <v>28</v>
      </c>
    </row>
    <row r="2218" spans="1:5" x14ac:dyDescent="0.4">
      <c r="A2218" s="16" t="s">
        <v>22</v>
      </c>
      <c r="B2218" s="16" t="s">
        <v>55</v>
      </c>
      <c r="C2218" s="16" t="str">
        <f t="shared" si="34"/>
        <v>华东</v>
      </c>
      <c r="D2218" s="16" t="s">
        <v>2282</v>
      </c>
      <c r="E2218" s="16">
        <v>12</v>
      </c>
    </row>
    <row r="2219" spans="1:5" x14ac:dyDescent="0.4">
      <c r="A2219" s="16" t="s">
        <v>22</v>
      </c>
      <c r="B2219" s="16" t="s">
        <v>76</v>
      </c>
      <c r="C2219" s="16" t="str">
        <f t="shared" si="34"/>
        <v>西北</v>
      </c>
      <c r="D2219" s="16" t="s">
        <v>2283</v>
      </c>
      <c r="E2219" s="16">
        <v>24</v>
      </c>
    </row>
    <row r="2220" spans="1:5" x14ac:dyDescent="0.4">
      <c r="A2220" s="16" t="s">
        <v>29</v>
      </c>
      <c r="B2220" s="16" t="s">
        <v>28</v>
      </c>
      <c r="C2220" s="16" t="str">
        <f t="shared" si="34"/>
        <v>东北</v>
      </c>
      <c r="D2220" s="16" t="s">
        <v>2284</v>
      </c>
      <c r="E2220" s="16">
        <v>27</v>
      </c>
    </row>
    <row r="2221" spans="1:5" x14ac:dyDescent="0.4">
      <c r="A2221" s="16" t="s">
        <v>22</v>
      </c>
      <c r="B2221" s="16" t="s">
        <v>23</v>
      </c>
      <c r="C2221" s="16" t="str">
        <f t="shared" si="34"/>
        <v>西南</v>
      </c>
      <c r="D2221" s="16" t="s">
        <v>2285</v>
      </c>
      <c r="E2221" s="16">
        <v>16</v>
      </c>
    </row>
    <row r="2222" spans="1:5" x14ac:dyDescent="0.4">
      <c r="A2222" s="16" t="s">
        <v>22</v>
      </c>
      <c r="B2222" s="16" t="s">
        <v>28</v>
      </c>
      <c r="C2222" s="16" t="str">
        <f t="shared" si="34"/>
        <v>东北</v>
      </c>
      <c r="D2222" s="16" t="s">
        <v>2286</v>
      </c>
      <c r="E2222" s="16">
        <v>13</v>
      </c>
    </row>
    <row r="2223" spans="1:5" x14ac:dyDescent="0.4">
      <c r="A2223" s="16" t="s">
        <v>22</v>
      </c>
      <c r="B2223" s="16" t="s">
        <v>57</v>
      </c>
      <c r="C2223" s="16" t="str">
        <f t="shared" si="34"/>
        <v>华东</v>
      </c>
      <c r="D2223" s="16" t="s">
        <v>2287</v>
      </c>
      <c r="E2223" s="16">
        <v>13</v>
      </c>
    </row>
    <row r="2224" spans="1:5" x14ac:dyDescent="0.4">
      <c r="A2224" s="16" t="s">
        <v>22</v>
      </c>
      <c r="B2224" s="16" t="s">
        <v>28</v>
      </c>
      <c r="C2224" s="16" t="str">
        <f t="shared" si="34"/>
        <v>东北</v>
      </c>
      <c r="D2224" s="16" t="s">
        <v>2288</v>
      </c>
      <c r="E2224" s="16">
        <v>25</v>
      </c>
    </row>
    <row r="2225" spans="1:5" x14ac:dyDescent="0.4">
      <c r="A2225" s="16" t="s">
        <v>29</v>
      </c>
      <c r="B2225" s="16" t="s">
        <v>48</v>
      </c>
      <c r="C2225" s="16" t="str">
        <f t="shared" si="34"/>
        <v>华东</v>
      </c>
      <c r="D2225" s="16" t="s">
        <v>2289</v>
      </c>
      <c r="E2225" s="16">
        <v>13</v>
      </c>
    </row>
    <row r="2226" spans="1:5" x14ac:dyDescent="0.4">
      <c r="A2226" s="16" t="s">
        <v>22</v>
      </c>
      <c r="B2226" s="16" t="s">
        <v>48</v>
      </c>
      <c r="C2226" s="16" t="str">
        <f t="shared" si="34"/>
        <v>华东</v>
      </c>
      <c r="D2226" s="16" t="s">
        <v>2290</v>
      </c>
      <c r="E2226" s="16">
        <v>27</v>
      </c>
    </row>
    <row r="2227" spans="1:5" x14ac:dyDescent="0.4">
      <c r="A2227" s="16" t="s">
        <v>33</v>
      </c>
      <c r="B2227" s="16" t="s">
        <v>73</v>
      </c>
      <c r="C2227" s="16" t="str">
        <f t="shared" si="34"/>
        <v>华中</v>
      </c>
      <c r="D2227" s="16" t="s">
        <v>2291</v>
      </c>
      <c r="E2227" s="16">
        <v>16</v>
      </c>
    </row>
    <row r="2228" spans="1:5" x14ac:dyDescent="0.4">
      <c r="A2228" s="16" t="s">
        <v>29</v>
      </c>
      <c r="B2228" s="16" t="s">
        <v>73</v>
      </c>
      <c r="C2228" s="16" t="str">
        <f t="shared" si="34"/>
        <v>华中</v>
      </c>
      <c r="D2228" s="16" t="s">
        <v>2292</v>
      </c>
      <c r="E2228" s="16">
        <v>18</v>
      </c>
    </row>
    <row r="2229" spans="1:5" x14ac:dyDescent="0.4">
      <c r="A2229" s="16" t="s">
        <v>22</v>
      </c>
      <c r="B2229" s="16" t="s">
        <v>53</v>
      </c>
      <c r="C2229" s="16" t="str">
        <f t="shared" si="34"/>
        <v>华东</v>
      </c>
      <c r="D2229" s="16" t="s">
        <v>2293</v>
      </c>
      <c r="E2229" s="16">
        <v>17</v>
      </c>
    </row>
    <row r="2230" spans="1:5" x14ac:dyDescent="0.4">
      <c r="A2230" s="16" t="s">
        <v>22</v>
      </c>
      <c r="B2230" s="16" t="s">
        <v>51</v>
      </c>
      <c r="C2230" s="16" t="str">
        <f t="shared" si="34"/>
        <v>华东</v>
      </c>
      <c r="D2230" s="16" t="s">
        <v>2294</v>
      </c>
      <c r="E2230" s="16">
        <v>21</v>
      </c>
    </row>
    <row r="2231" spans="1:5" x14ac:dyDescent="0.4">
      <c r="A2231" s="16" t="s">
        <v>29</v>
      </c>
      <c r="B2231" s="16" t="s">
        <v>28</v>
      </c>
      <c r="C2231" s="16" t="str">
        <f t="shared" si="34"/>
        <v>东北</v>
      </c>
      <c r="D2231" s="16" t="s">
        <v>2295</v>
      </c>
      <c r="E2231" s="16">
        <v>14</v>
      </c>
    </row>
    <row r="2232" spans="1:5" x14ac:dyDescent="0.4">
      <c r="A2232" s="16" t="s">
        <v>22</v>
      </c>
      <c r="B2232" s="16" t="s">
        <v>58</v>
      </c>
      <c r="C2232" s="16" t="str">
        <f t="shared" si="34"/>
        <v>华中</v>
      </c>
      <c r="D2232" s="16" t="s">
        <v>2296</v>
      </c>
      <c r="E2232" s="16">
        <v>24</v>
      </c>
    </row>
    <row r="2233" spans="1:5" x14ac:dyDescent="0.4">
      <c r="A2233" s="16" t="s">
        <v>22</v>
      </c>
      <c r="B2233" s="16" t="s">
        <v>58</v>
      </c>
      <c r="C2233" s="16" t="str">
        <f t="shared" si="34"/>
        <v>华中</v>
      </c>
      <c r="D2233" s="16" t="s">
        <v>2297</v>
      </c>
      <c r="E2233" s="16">
        <v>22</v>
      </c>
    </row>
    <row r="2234" spans="1:5" x14ac:dyDescent="0.4">
      <c r="A2234" s="16" t="s">
        <v>22</v>
      </c>
      <c r="B2234" s="16" t="s">
        <v>63</v>
      </c>
      <c r="C2234" s="16" t="str">
        <f t="shared" si="34"/>
        <v>西南</v>
      </c>
      <c r="D2234" s="16" t="s">
        <v>2298</v>
      </c>
      <c r="E2234" s="16">
        <v>27</v>
      </c>
    </row>
    <row r="2235" spans="1:5" x14ac:dyDescent="0.4">
      <c r="A2235" s="16" t="s">
        <v>22</v>
      </c>
      <c r="B2235" s="16" t="s">
        <v>51</v>
      </c>
      <c r="C2235" s="16" t="str">
        <f t="shared" si="34"/>
        <v>华东</v>
      </c>
      <c r="D2235" s="16" t="s">
        <v>2299</v>
      </c>
      <c r="E2235" s="16">
        <v>15</v>
      </c>
    </row>
    <row r="2236" spans="1:5" x14ac:dyDescent="0.4">
      <c r="A2236" s="16" t="s">
        <v>29</v>
      </c>
      <c r="B2236" s="16" t="s">
        <v>76</v>
      </c>
      <c r="C2236" s="16" t="str">
        <f t="shared" si="34"/>
        <v>西北</v>
      </c>
      <c r="D2236" s="16" t="s">
        <v>2300</v>
      </c>
      <c r="E2236" s="16">
        <v>17</v>
      </c>
    </row>
    <row r="2237" spans="1:5" x14ac:dyDescent="0.4">
      <c r="A2237" s="16" t="s">
        <v>22</v>
      </c>
      <c r="B2237" s="16" t="s">
        <v>61</v>
      </c>
      <c r="C2237" s="16" t="str">
        <f t="shared" si="34"/>
        <v>华东</v>
      </c>
      <c r="D2237" s="16" t="s">
        <v>2301</v>
      </c>
      <c r="E2237" s="16">
        <v>16</v>
      </c>
    </row>
    <row r="2238" spans="1:5" x14ac:dyDescent="0.4">
      <c r="A2238" s="16" t="s">
        <v>22</v>
      </c>
      <c r="B2238" s="16" t="s">
        <v>61</v>
      </c>
      <c r="C2238" s="16" t="str">
        <f t="shared" si="34"/>
        <v>华东</v>
      </c>
      <c r="D2238" s="16" t="s">
        <v>2302</v>
      </c>
      <c r="E2238" s="16">
        <v>21</v>
      </c>
    </row>
    <row r="2239" spans="1:5" x14ac:dyDescent="0.4">
      <c r="A2239" s="16" t="s">
        <v>22</v>
      </c>
      <c r="B2239" s="16" t="s">
        <v>67</v>
      </c>
      <c r="C2239" s="16" t="str">
        <f t="shared" si="34"/>
        <v>华中</v>
      </c>
      <c r="D2239" s="16" t="s">
        <v>2303</v>
      </c>
      <c r="E2239" s="16">
        <v>13</v>
      </c>
    </row>
    <row r="2240" spans="1:5" x14ac:dyDescent="0.4">
      <c r="A2240" s="16" t="s">
        <v>29</v>
      </c>
      <c r="B2240" s="16" t="s">
        <v>73</v>
      </c>
      <c r="C2240" s="16" t="str">
        <f t="shared" si="34"/>
        <v>华中</v>
      </c>
      <c r="D2240" s="16" t="s">
        <v>2304</v>
      </c>
      <c r="E2240" s="16">
        <v>22</v>
      </c>
    </row>
    <row r="2241" spans="1:5" x14ac:dyDescent="0.4">
      <c r="A2241" s="16" t="s">
        <v>22</v>
      </c>
      <c r="B2241" s="16" t="s">
        <v>73</v>
      </c>
      <c r="C2241" s="16" t="str">
        <f t="shared" si="34"/>
        <v>华中</v>
      </c>
      <c r="D2241" s="16" t="s">
        <v>2305</v>
      </c>
      <c r="E2241" s="16">
        <v>10</v>
      </c>
    </row>
    <row r="2242" spans="1:5" x14ac:dyDescent="0.4">
      <c r="A2242" s="16" t="s">
        <v>22</v>
      </c>
      <c r="B2242" s="16" t="s">
        <v>44</v>
      </c>
      <c r="C2242" s="16" t="str">
        <f t="shared" si="34"/>
        <v>华北</v>
      </c>
      <c r="D2242" s="16" t="s">
        <v>2306</v>
      </c>
      <c r="E2242" s="16">
        <v>15</v>
      </c>
    </row>
    <row r="2243" spans="1:5" x14ac:dyDescent="0.4">
      <c r="A2243" s="16" t="s">
        <v>22</v>
      </c>
      <c r="B2243" s="16" t="s">
        <v>44</v>
      </c>
      <c r="C2243" s="16" t="str">
        <f t="shared" ref="C2243:C2306" si="35">_xlfn.XLOOKUP(B2243,$I$2:$I$32,$J$2:$J$32)</f>
        <v>华北</v>
      </c>
      <c r="D2243" s="16" t="s">
        <v>2307</v>
      </c>
      <c r="E2243" s="16">
        <v>14</v>
      </c>
    </row>
    <row r="2244" spans="1:5" x14ac:dyDescent="0.4">
      <c r="A2244" s="16" t="s">
        <v>22</v>
      </c>
      <c r="B2244" s="16" t="s">
        <v>44</v>
      </c>
      <c r="C2244" s="16" t="str">
        <f t="shared" si="35"/>
        <v>华北</v>
      </c>
      <c r="D2244" s="16" t="s">
        <v>2308</v>
      </c>
      <c r="E2244" s="16">
        <v>11</v>
      </c>
    </row>
    <row r="2245" spans="1:5" x14ac:dyDescent="0.4">
      <c r="A2245" s="16" t="s">
        <v>22</v>
      </c>
      <c r="B2245" s="16" t="s">
        <v>44</v>
      </c>
      <c r="C2245" s="16" t="str">
        <f t="shared" si="35"/>
        <v>华北</v>
      </c>
      <c r="D2245" s="16" t="s">
        <v>2309</v>
      </c>
      <c r="E2245" s="16">
        <v>16</v>
      </c>
    </row>
    <row r="2246" spans="1:5" x14ac:dyDescent="0.4">
      <c r="A2246" s="16" t="s">
        <v>22</v>
      </c>
      <c r="B2246" s="16" t="s">
        <v>44</v>
      </c>
      <c r="C2246" s="16" t="str">
        <f t="shared" si="35"/>
        <v>华北</v>
      </c>
      <c r="D2246" s="16" t="s">
        <v>2310</v>
      </c>
      <c r="E2246" s="16">
        <v>28</v>
      </c>
    </row>
    <row r="2247" spans="1:5" x14ac:dyDescent="0.4">
      <c r="A2247" s="16" t="s">
        <v>22</v>
      </c>
      <c r="B2247" s="16" t="s">
        <v>57</v>
      </c>
      <c r="C2247" s="16" t="str">
        <f t="shared" si="35"/>
        <v>华东</v>
      </c>
      <c r="D2247" s="16" t="s">
        <v>2311</v>
      </c>
      <c r="E2247" s="16">
        <v>29</v>
      </c>
    </row>
    <row r="2248" spans="1:5" x14ac:dyDescent="0.4">
      <c r="A2248" s="16" t="s">
        <v>29</v>
      </c>
      <c r="B2248" s="16" t="s">
        <v>69</v>
      </c>
      <c r="C2248" s="16" t="str">
        <f t="shared" si="35"/>
        <v>华南</v>
      </c>
      <c r="D2248" s="16" t="s">
        <v>2312</v>
      </c>
      <c r="E2248" s="16">
        <v>17</v>
      </c>
    </row>
    <row r="2249" spans="1:5" x14ac:dyDescent="0.4">
      <c r="A2249" s="16" t="s">
        <v>29</v>
      </c>
      <c r="B2249" s="16" t="s">
        <v>34</v>
      </c>
      <c r="C2249" s="16" t="str">
        <f t="shared" si="35"/>
        <v>西北</v>
      </c>
      <c r="D2249" s="16" t="s">
        <v>2313</v>
      </c>
      <c r="E2249" s="16">
        <v>11</v>
      </c>
    </row>
    <row r="2250" spans="1:5" x14ac:dyDescent="0.4">
      <c r="A2250" s="16" t="s">
        <v>33</v>
      </c>
      <c r="B2250" s="16" t="s">
        <v>58</v>
      </c>
      <c r="C2250" s="16" t="str">
        <f t="shared" si="35"/>
        <v>华中</v>
      </c>
      <c r="D2250" s="16" t="s">
        <v>2314</v>
      </c>
      <c r="E2250" s="16">
        <v>13</v>
      </c>
    </row>
    <row r="2251" spans="1:5" x14ac:dyDescent="0.4">
      <c r="A2251" s="16" t="s">
        <v>29</v>
      </c>
      <c r="B2251" s="16" t="s">
        <v>73</v>
      </c>
      <c r="C2251" s="16" t="str">
        <f t="shared" si="35"/>
        <v>华中</v>
      </c>
      <c r="D2251" s="16" t="s">
        <v>2315</v>
      </c>
      <c r="E2251" s="16">
        <v>19</v>
      </c>
    </row>
    <row r="2252" spans="1:5" x14ac:dyDescent="0.4">
      <c r="A2252" s="16" t="s">
        <v>33</v>
      </c>
      <c r="B2252" s="16" t="s">
        <v>40</v>
      </c>
      <c r="C2252" s="16" t="str">
        <f t="shared" si="35"/>
        <v>华北</v>
      </c>
      <c r="D2252" s="16" t="s">
        <v>2316</v>
      </c>
      <c r="E2252" s="16">
        <v>27</v>
      </c>
    </row>
    <row r="2253" spans="1:5" x14ac:dyDescent="0.4">
      <c r="A2253" s="16" t="s">
        <v>29</v>
      </c>
      <c r="B2253" s="16" t="s">
        <v>65</v>
      </c>
      <c r="C2253" s="16" t="str">
        <f t="shared" si="35"/>
        <v>华南</v>
      </c>
      <c r="D2253" s="16" t="s">
        <v>2317</v>
      </c>
      <c r="E2253" s="16">
        <v>21</v>
      </c>
    </row>
    <row r="2254" spans="1:5" x14ac:dyDescent="0.4">
      <c r="A2254" s="16" t="s">
        <v>29</v>
      </c>
      <c r="B2254" s="16" t="s">
        <v>25</v>
      </c>
      <c r="C2254" s="16" t="str">
        <f t="shared" si="35"/>
        <v>东北</v>
      </c>
      <c r="D2254" s="16" t="s">
        <v>2318</v>
      </c>
      <c r="E2254" s="16">
        <v>11</v>
      </c>
    </row>
    <row r="2255" spans="1:5" x14ac:dyDescent="0.4">
      <c r="A2255" s="16" t="s">
        <v>29</v>
      </c>
      <c r="B2255" s="16" t="s">
        <v>25</v>
      </c>
      <c r="C2255" s="16" t="str">
        <f t="shared" si="35"/>
        <v>东北</v>
      </c>
      <c r="D2255" s="16" t="s">
        <v>2319</v>
      </c>
      <c r="E2255" s="16">
        <v>16</v>
      </c>
    </row>
    <row r="2256" spans="1:5" x14ac:dyDescent="0.4">
      <c r="A2256" s="16" t="s">
        <v>33</v>
      </c>
      <c r="B2256" s="16" t="s">
        <v>73</v>
      </c>
      <c r="C2256" s="16" t="str">
        <f t="shared" si="35"/>
        <v>华中</v>
      </c>
      <c r="D2256" s="16" t="s">
        <v>2320</v>
      </c>
      <c r="E2256" s="16">
        <v>16</v>
      </c>
    </row>
    <row r="2257" spans="1:5" x14ac:dyDescent="0.4">
      <c r="A2257" s="16" t="s">
        <v>29</v>
      </c>
      <c r="B2257" s="16" t="s">
        <v>73</v>
      </c>
      <c r="C2257" s="16" t="str">
        <f t="shared" si="35"/>
        <v>华中</v>
      </c>
      <c r="D2257" s="16" t="s">
        <v>2321</v>
      </c>
      <c r="E2257" s="16">
        <v>19</v>
      </c>
    </row>
    <row r="2258" spans="1:5" x14ac:dyDescent="0.4">
      <c r="A2258" s="16" t="s">
        <v>22</v>
      </c>
      <c r="B2258" s="16" t="s">
        <v>61</v>
      </c>
      <c r="C2258" s="16" t="str">
        <f t="shared" si="35"/>
        <v>华东</v>
      </c>
      <c r="D2258" s="16" t="s">
        <v>2322</v>
      </c>
      <c r="E2258" s="16">
        <v>10</v>
      </c>
    </row>
    <row r="2259" spans="1:5" x14ac:dyDescent="0.4">
      <c r="A2259" s="16" t="s">
        <v>29</v>
      </c>
      <c r="B2259" s="16" t="s">
        <v>61</v>
      </c>
      <c r="C2259" s="16" t="str">
        <f t="shared" si="35"/>
        <v>华东</v>
      </c>
      <c r="D2259" s="16" t="s">
        <v>2323</v>
      </c>
      <c r="E2259" s="16">
        <v>17</v>
      </c>
    </row>
    <row r="2260" spans="1:5" x14ac:dyDescent="0.4">
      <c r="A2260" s="16" t="s">
        <v>29</v>
      </c>
      <c r="B2260" s="16" t="s">
        <v>61</v>
      </c>
      <c r="C2260" s="16" t="str">
        <f t="shared" si="35"/>
        <v>华东</v>
      </c>
      <c r="D2260" s="16" t="s">
        <v>2324</v>
      </c>
      <c r="E2260" s="16">
        <v>22</v>
      </c>
    </row>
    <row r="2261" spans="1:5" x14ac:dyDescent="0.4">
      <c r="A2261" s="16" t="s">
        <v>22</v>
      </c>
      <c r="B2261" s="16" t="s">
        <v>61</v>
      </c>
      <c r="C2261" s="16" t="str">
        <f t="shared" si="35"/>
        <v>华东</v>
      </c>
      <c r="D2261" s="16" t="s">
        <v>2325</v>
      </c>
      <c r="E2261" s="16">
        <v>10</v>
      </c>
    </row>
    <row r="2262" spans="1:5" x14ac:dyDescent="0.4">
      <c r="A2262" s="16" t="s">
        <v>22</v>
      </c>
      <c r="B2262" s="16" t="s">
        <v>61</v>
      </c>
      <c r="C2262" s="16" t="str">
        <f t="shared" si="35"/>
        <v>华东</v>
      </c>
      <c r="D2262" s="16" t="s">
        <v>2326</v>
      </c>
      <c r="E2262" s="16">
        <v>20</v>
      </c>
    </row>
    <row r="2263" spans="1:5" x14ac:dyDescent="0.4">
      <c r="A2263" s="16" t="s">
        <v>29</v>
      </c>
      <c r="B2263" s="16" t="s">
        <v>61</v>
      </c>
      <c r="C2263" s="16" t="str">
        <f t="shared" si="35"/>
        <v>华东</v>
      </c>
      <c r="D2263" s="16" t="s">
        <v>2327</v>
      </c>
      <c r="E2263" s="16">
        <v>11</v>
      </c>
    </row>
    <row r="2264" spans="1:5" x14ac:dyDescent="0.4">
      <c r="A2264" s="16" t="s">
        <v>29</v>
      </c>
      <c r="B2264" s="16" t="s">
        <v>61</v>
      </c>
      <c r="C2264" s="16" t="str">
        <f t="shared" si="35"/>
        <v>华东</v>
      </c>
      <c r="D2264" s="16" t="s">
        <v>2328</v>
      </c>
      <c r="E2264" s="16">
        <v>16</v>
      </c>
    </row>
    <row r="2265" spans="1:5" x14ac:dyDescent="0.4">
      <c r="A2265" s="16" t="s">
        <v>22</v>
      </c>
      <c r="B2265" s="16" t="s">
        <v>61</v>
      </c>
      <c r="C2265" s="16" t="str">
        <f t="shared" si="35"/>
        <v>华东</v>
      </c>
      <c r="D2265" s="16" t="s">
        <v>2329</v>
      </c>
      <c r="E2265" s="16">
        <v>23</v>
      </c>
    </row>
    <row r="2266" spans="1:5" x14ac:dyDescent="0.4">
      <c r="A2266" s="16" t="s">
        <v>29</v>
      </c>
      <c r="B2266" s="16" t="s">
        <v>61</v>
      </c>
      <c r="C2266" s="16" t="str">
        <f t="shared" si="35"/>
        <v>华东</v>
      </c>
      <c r="D2266" s="16" t="s">
        <v>2330</v>
      </c>
      <c r="E2266" s="16">
        <v>15</v>
      </c>
    </row>
    <row r="2267" spans="1:5" x14ac:dyDescent="0.4">
      <c r="A2267" s="16" t="s">
        <v>22</v>
      </c>
      <c r="B2267" s="16" t="s">
        <v>61</v>
      </c>
      <c r="C2267" s="16" t="str">
        <f t="shared" si="35"/>
        <v>华东</v>
      </c>
      <c r="D2267" s="16" t="s">
        <v>2331</v>
      </c>
      <c r="E2267" s="16">
        <v>14</v>
      </c>
    </row>
    <row r="2268" spans="1:5" x14ac:dyDescent="0.4">
      <c r="A2268" s="16" t="s">
        <v>22</v>
      </c>
      <c r="B2268" s="16" t="s">
        <v>61</v>
      </c>
      <c r="C2268" s="16" t="str">
        <f t="shared" si="35"/>
        <v>华东</v>
      </c>
      <c r="D2268" s="16" t="s">
        <v>2332</v>
      </c>
      <c r="E2268" s="16">
        <v>12</v>
      </c>
    </row>
    <row r="2269" spans="1:5" x14ac:dyDescent="0.4">
      <c r="A2269" s="16" t="s">
        <v>29</v>
      </c>
      <c r="B2269" s="16" t="s">
        <v>61</v>
      </c>
      <c r="C2269" s="16" t="str">
        <f t="shared" si="35"/>
        <v>华东</v>
      </c>
      <c r="D2269" s="16" t="s">
        <v>2333</v>
      </c>
      <c r="E2269" s="16">
        <v>14</v>
      </c>
    </row>
    <row r="2270" spans="1:5" x14ac:dyDescent="0.4">
      <c r="A2270" s="16" t="s">
        <v>22</v>
      </c>
      <c r="B2270" s="16" t="s">
        <v>61</v>
      </c>
      <c r="C2270" s="16" t="str">
        <f t="shared" si="35"/>
        <v>华东</v>
      </c>
      <c r="D2270" s="16" t="s">
        <v>2334</v>
      </c>
      <c r="E2270" s="16">
        <v>27</v>
      </c>
    </row>
    <row r="2271" spans="1:5" x14ac:dyDescent="0.4">
      <c r="A2271" s="16" t="s">
        <v>22</v>
      </c>
      <c r="B2271" s="16" t="s">
        <v>61</v>
      </c>
      <c r="C2271" s="16" t="str">
        <f t="shared" si="35"/>
        <v>华东</v>
      </c>
      <c r="D2271" s="16" t="s">
        <v>2335</v>
      </c>
      <c r="E2271" s="16">
        <v>15</v>
      </c>
    </row>
    <row r="2272" spans="1:5" x14ac:dyDescent="0.4">
      <c r="A2272" s="16" t="s">
        <v>22</v>
      </c>
      <c r="B2272" s="16" t="s">
        <v>61</v>
      </c>
      <c r="C2272" s="16" t="str">
        <f t="shared" si="35"/>
        <v>华东</v>
      </c>
      <c r="D2272" s="16" t="s">
        <v>2336</v>
      </c>
      <c r="E2272" s="16">
        <v>26</v>
      </c>
    </row>
    <row r="2273" spans="1:5" x14ac:dyDescent="0.4">
      <c r="A2273" s="16" t="s">
        <v>22</v>
      </c>
      <c r="B2273" s="16" t="s">
        <v>61</v>
      </c>
      <c r="C2273" s="16" t="str">
        <f t="shared" si="35"/>
        <v>华东</v>
      </c>
      <c r="D2273" s="16" t="s">
        <v>2337</v>
      </c>
      <c r="E2273" s="16">
        <v>15</v>
      </c>
    </row>
    <row r="2274" spans="1:5" x14ac:dyDescent="0.4">
      <c r="A2274" s="16" t="s">
        <v>22</v>
      </c>
      <c r="B2274" s="16" t="s">
        <v>63</v>
      </c>
      <c r="C2274" s="16" t="str">
        <f t="shared" si="35"/>
        <v>西南</v>
      </c>
      <c r="D2274" s="16" t="s">
        <v>2338</v>
      </c>
      <c r="E2274" s="16">
        <v>29</v>
      </c>
    </row>
    <row r="2275" spans="1:5" x14ac:dyDescent="0.4">
      <c r="A2275" s="16" t="s">
        <v>29</v>
      </c>
      <c r="B2275" s="16" t="s">
        <v>73</v>
      </c>
      <c r="C2275" s="16" t="str">
        <f t="shared" si="35"/>
        <v>华中</v>
      </c>
      <c r="D2275" s="16" t="s">
        <v>2339</v>
      </c>
      <c r="E2275" s="16">
        <v>29</v>
      </c>
    </row>
    <row r="2276" spans="1:5" x14ac:dyDescent="0.4">
      <c r="A2276" s="16" t="s">
        <v>22</v>
      </c>
      <c r="B2276" s="16" t="s">
        <v>93</v>
      </c>
      <c r="C2276" s="16" t="str">
        <f t="shared" si="35"/>
        <v>西南</v>
      </c>
      <c r="D2276" s="16" t="s">
        <v>2340</v>
      </c>
      <c r="E2276" s="16">
        <v>12</v>
      </c>
    </row>
    <row r="2277" spans="1:5" x14ac:dyDescent="0.4">
      <c r="A2277" s="16" t="s">
        <v>29</v>
      </c>
      <c r="B2277" s="16" t="s">
        <v>63</v>
      </c>
      <c r="C2277" s="16" t="str">
        <f t="shared" si="35"/>
        <v>西南</v>
      </c>
      <c r="D2277" s="16" t="s">
        <v>2341</v>
      </c>
      <c r="E2277" s="16">
        <v>24</v>
      </c>
    </row>
    <row r="2278" spans="1:5" x14ac:dyDescent="0.4">
      <c r="A2278" s="16" t="s">
        <v>29</v>
      </c>
      <c r="B2278" s="16" t="s">
        <v>63</v>
      </c>
      <c r="C2278" s="16" t="str">
        <f t="shared" si="35"/>
        <v>西南</v>
      </c>
      <c r="D2278" s="16" t="s">
        <v>2342</v>
      </c>
      <c r="E2278" s="16">
        <v>12</v>
      </c>
    </row>
    <row r="2279" spans="1:5" x14ac:dyDescent="0.4">
      <c r="A2279" s="16" t="s">
        <v>22</v>
      </c>
      <c r="B2279" s="16" t="s">
        <v>73</v>
      </c>
      <c r="C2279" s="16" t="str">
        <f t="shared" si="35"/>
        <v>华中</v>
      </c>
      <c r="D2279" s="16" t="s">
        <v>2343</v>
      </c>
      <c r="E2279" s="16">
        <v>20</v>
      </c>
    </row>
    <row r="2280" spans="1:5" x14ac:dyDescent="0.4">
      <c r="A2280" s="16" t="s">
        <v>22</v>
      </c>
      <c r="B2280" s="16" t="s">
        <v>73</v>
      </c>
      <c r="C2280" s="16" t="str">
        <f t="shared" si="35"/>
        <v>华中</v>
      </c>
      <c r="D2280" s="16" t="s">
        <v>2344</v>
      </c>
      <c r="E2280" s="16">
        <v>29</v>
      </c>
    </row>
    <row r="2281" spans="1:5" x14ac:dyDescent="0.4">
      <c r="A2281" s="16" t="s">
        <v>22</v>
      </c>
      <c r="B2281" s="16" t="s">
        <v>73</v>
      </c>
      <c r="C2281" s="16" t="str">
        <f t="shared" si="35"/>
        <v>华中</v>
      </c>
      <c r="D2281" s="16" t="s">
        <v>2345</v>
      </c>
      <c r="E2281" s="16">
        <v>21</v>
      </c>
    </row>
    <row r="2282" spans="1:5" x14ac:dyDescent="0.4">
      <c r="A2282" s="16" t="s">
        <v>22</v>
      </c>
      <c r="B2282" s="16" t="s">
        <v>73</v>
      </c>
      <c r="C2282" s="16" t="str">
        <f t="shared" si="35"/>
        <v>华中</v>
      </c>
      <c r="D2282" s="16" t="s">
        <v>2346</v>
      </c>
      <c r="E2282" s="16">
        <v>15</v>
      </c>
    </row>
    <row r="2283" spans="1:5" x14ac:dyDescent="0.4">
      <c r="A2283" s="16" t="s">
        <v>22</v>
      </c>
      <c r="B2283" s="16" t="s">
        <v>67</v>
      </c>
      <c r="C2283" s="16" t="str">
        <f t="shared" si="35"/>
        <v>华中</v>
      </c>
      <c r="D2283" s="16" t="s">
        <v>2347</v>
      </c>
      <c r="E2283" s="16">
        <v>11</v>
      </c>
    </row>
    <row r="2284" spans="1:5" x14ac:dyDescent="0.4">
      <c r="A2284" s="16" t="s">
        <v>22</v>
      </c>
      <c r="B2284" s="16" t="s">
        <v>63</v>
      </c>
      <c r="C2284" s="16" t="str">
        <f t="shared" si="35"/>
        <v>西南</v>
      </c>
      <c r="D2284" s="16" t="s">
        <v>2348</v>
      </c>
      <c r="E2284" s="16">
        <v>11</v>
      </c>
    </row>
    <row r="2285" spans="1:5" x14ac:dyDescent="0.4">
      <c r="A2285" s="16" t="s">
        <v>33</v>
      </c>
      <c r="B2285" s="16" t="s">
        <v>58</v>
      </c>
      <c r="C2285" s="16" t="str">
        <f t="shared" si="35"/>
        <v>华中</v>
      </c>
      <c r="D2285" s="16" t="s">
        <v>2349</v>
      </c>
      <c r="E2285" s="16">
        <v>28</v>
      </c>
    </row>
    <row r="2286" spans="1:5" x14ac:dyDescent="0.4">
      <c r="A2286" s="16" t="s">
        <v>29</v>
      </c>
      <c r="B2286" s="16" t="s">
        <v>46</v>
      </c>
      <c r="C2286" s="16" t="str">
        <f t="shared" si="35"/>
        <v>华北</v>
      </c>
      <c r="D2286" s="16" t="s">
        <v>2350</v>
      </c>
      <c r="E2286" s="16">
        <v>14</v>
      </c>
    </row>
    <row r="2287" spans="1:5" x14ac:dyDescent="0.4">
      <c r="A2287" s="16" t="s">
        <v>33</v>
      </c>
      <c r="B2287" s="16" t="s">
        <v>58</v>
      </c>
      <c r="C2287" s="16" t="str">
        <f t="shared" si="35"/>
        <v>华中</v>
      </c>
      <c r="D2287" s="16" t="s">
        <v>2351</v>
      </c>
      <c r="E2287" s="16">
        <v>28</v>
      </c>
    </row>
    <row r="2288" spans="1:5" x14ac:dyDescent="0.4">
      <c r="A2288" s="16" t="s">
        <v>29</v>
      </c>
      <c r="B2288" s="16" t="s">
        <v>23</v>
      </c>
      <c r="C2288" s="16" t="str">
        <f t="shared" si="35"/>
        <v>西南</v>
      </c>
      <c r="D2288" s="16" t="s">
        <v>2352</v>
      </c>
      <c r="E2288" s="16">
        <v>19</v>
      </c>
    </row>
    <row r="2289" spans="1:5" x14ac:dyDescent="0.4">
      <c r="A2289" s="16" t="s">
        <v>22</v>
      </c>
      <c r="B2289" s="16" t="s">
        <v>73</v>
      </c>
      <c r="C2289" s="16" t="str">
        <f t="shared" si="35"/>
        <v>华中</v>
      </c>
      <c r="D2289" s="16" t="s">
        <v>2353</v>
      </c>
      <c r="E2289" s="16">
        <v>27</v>
      </c>
    </row>
    <row r="2290" spans="1:5" x14ac:dyDescent="0.4">
      <c r="A2290" s="16" t="s">
        <v>29</v>
      </c>
      <c r="B2290" s="16" t="s">
        <v>81</v>
      </c>
      <c r="C2290" s="16" t="str">
        <f t="shared" si="35"/>
        <v>西北</v>
      </c>
      <c r="D2290" s="16" t="s">
        <v>2354</v>
      </c>
      <c r="E2290" s="16">
        <v>17</v>
      </c>
    </row>
    <row r="2291" spans="1:5" x14ac:dyDescent="0.4">
      <c r="A2291" s="16" t="s">
        <v>33</v>
      </c>
      <c r="B2291" s="16" t="s">
        <v>81</v>
      </c>
      <c r="C2291" s="16" t="str">
        <f t="shared" si="35"/>
        <v>西北</v>
      </c>
      <c r="D2291" s="16" t="s">
        <v>2355</v>
      </c>
      <c r="E2291" s="16">
        <v>29</v>
      </c>
    </row>
    <row r="2292" spans="1:5" x14ac:dyDescent="0.4">
      <c r="A2292" s="16" t="s">
        <v>22</v>
      </c>
      <c r="B2292" s="16" t="s">
        <v>65</v>
      </c>
      <c r="C2292" s="16" t="str">
        <f t="shared" si="35"/>
        <v>华南</v>
      </c>
      <c r="D2292" s="16" t="s">
        <v>2356</v>
      </c>
      <c r="E2292" s="16">
        <v>28</v>
      </c>
    </row>
    <row r="2293" spans="1:5" x14ac:dyDescent="0.4">
      <c r="A2293" s="16" t="s">
        <v>29</v>
      </c>
      <c r="B2293" s="16" t="s">
        <v>65</v>
      </c>
      <c r="C2293" s="16" t="str">
        <f t="shared" si="35"/>
        <v>华南</v>
      </c>
      <c r="D2293" s="16" t="s">
        <v>2357</v>
      </c>
      <c r="E2293" s="16">
        <v>10</v>
      </c>
    </row>
    <row r="2294" spans="1:5" x14ac:dyDescent="0.4">
      <c r="A2294" s="16" t="s">
        <v>29</v>
      </c>
      <c r="B2294" s="16" t="s">
        <v>81</v>
      </c>
      <c r="C2294" s="16" t="str">
        <f t="shared" si="35"/>
        <v>西北</v>
      </c>
      <c r="D2294" s="16" t="s">
        <v>2358</v>
      </c>
      <c r="E2294" s="16">
        <v>17</v>
      </c>
    </row>
    <row r="2295" spans="1:5" x14ac:dyDescent="0.4">
      <c r="A2295" s="16" t="s">
        <v>33</v>
      </c>
      <c r="B2295" s="16" t="s">
        <v>81</v>
      </c>
      <c r="C2295" s="16" t="str">
        <f t="shared" si="35"/>
        <v>西北</v>
      </c>
      <c r="D2295" s="16" t="s">
        <v>2359</v>
      </c>
      <c r="E2295" s="16">
        <v>12</v>
      </c>
    </row>
    <row r="2296" spans="1:5" x14ac:dyDescent="0.4">
      <c r="A2296" s="16" t="s">
        <v>29</v>
      </c>
      <c r="B2296" s="16" t="s">
        <v>44</v>
      </c>
      <c r="C2296" s="16" t="str">
        <f t="shared" si="35"/>
        <v>华北</v>
      </c>
      <c r="D2296" s="16" t="s">
        <v>2360</v>
      </c>
      <c r="E2296" s="16">
        <v>27</v>
      </c>
    </row>
    <row r="2297" spans="1:5" x14ac:dyDescent="0.4">
      <c r="A2297" s="16" t="s">
        <v>22</v>
      </c>
      <c r="B2297" s="16" t="s">
        <v>73</v>
      </c>
      <c r="C2297" s="16" t="str">
        <f t="shared" si="35"/>
        <v>华中</v>
      </c>
      <c r="D2297" s="16" t="s">
        <v>2361</v>
      </c>
      <c r="E2297" s="16">
        <v>14</v>
      </c>
    </row>
    <row r="2298" spans="1:5" x14ac:dyDescent="0.4">
      <c r="A2298" s="16" t="s">
        <v>22</v>
      </c>
      <c r="B2298" s="16" t="s">
        <v>69</v>
      </c>
      <c r="C2298" s="16" t="str">
        <f t="shared" si="35"/>
        <v>华南</v>
      </c>
      <c r="D2298" s="16" t="s">
        <v>2362</v>
      </c>
      <c r="E2298" s="16">
        <v>10</v>
      </c>
    </row>
    <row r="2299" spans="1:5" x14ac:dyDescent="0.4">
      <c r="A2299" s="16" t="s">
        <v>29</v>
      </c>
      <c r="B2299" s="16" t="s">
        <v>95</v>
      </c>
      <c r="C2299" s="16" t="str">
        <f t="shared" si="35"/>
        <v>西南</v>
      </c>
      <c r="D2299" s="16" t="s">
        <v>2363</v>
      </c>
      <c r="E2299" s="16">
        <v>23</v>
      </c>
    </row>
    <row r="2300" spans="1:5" x14ac:dyDescent="0.4">
      <c r="A2300" s="16" t="s">
        <v>22</v>
      </c>
      <c r="B2300" s="16" t="s">
        <v>95</v>
      </c>
      <c r="C2300" s="16" t="str">
        <f t="shared" si="35"/>
        <v>西南</v>
      </c>
      <c r="D2300" s="16" t="s">
        <v>2364</v>
      </c>
      <c r="E2300" s="16">
        <v>28</v>
      </c>
    </row>
    <row r="2301" spans="1:5" x14ac:dyDescent="0.4">
      <c r="A2301" s="16" t="s">
        <v>22</v>
      </c>
      <c r="B2301" s="16" t="s">
        <v>95</v>
      </c>
      <c r="C2301" s="16" t="str">
        <f t="shared" si="35"/>
        <v>西南</v>
      </c>
      <c r="D2301" s="16" t="s">
        <v>2365</v>
      </c>
      <c r="E2301" s="16">
        <v>17</v>
      </c>
    </row>
    <row r="2302" spans="1:5" x14ac:dyDescent="0.4">
      <c r="A2302" s="16" t="s">
        <v>22</v>
      </c>
      <c r="B2302" s="16" t="s">
        <v>95</v>
      </c>
      <c r="C2302" s="16" t="str">
        <f t="shared" si="35"/>
        <v>西南</v>
      </c>
      <c r="D2302" s="16" t="s">
        <v>2366</v>
      </c>
      <c r="E2302" s="16">
        <v>15</v>
      </c>
    </row>
    <row r="2303" spans="1:5" x14ac:dyDescent="0.4">
      <c r="A2303" s="16" t="s">
        <v>29</v>
      </c>
      <c r="B2303" s="16" t="s">
        <v>73</v>
      </c>
      <c r="C2303" s="16" t="str">
        <f t="shared" si="35"/>
        <v>华中</v>
      </c>
      <c r="D2303" s="16" t="s">
        <v>2367</v>
      </c>
      <c r="E2303" s="16">
        <v>15</v>
      </c>
    </row>
    <row r="2304" spans="1:5" x14ac:dyDescent="0.4">
      <c r="A2304" s="16" t="s">
        <v>22</v>
      </c>
      <c r="B2304" s="16" t="s">
        <v>65</v>
      </c>
      <c r="C2304" s="16" t="str">
        <f t="shared" si="35"/>
        <v>华南</v>
      </c>
      <c r="D2304" s="16" t="s">
        <v>2368</v>
      </c>
      <c r="E2304" s="16">
        <v>23</v>
      </c>
    </row>
    <row r="2305" spans="1:5" x14ac:dyDescent="0.4">
      <c r="A2305" s="16" t="s">
        <v>22</v>
      </c>
      <c r="B2305" s="16" t="s">
        <v>65</v>
      </c>
      <c r="C2305" s="16" t="str">
        <f t="shared" si="35"/>
        <v>华南</v>
      </c>
      <c r="D2305" s="16" t="s">
        <v>2369</v>
      </c>
      <c r="E2305" s="16">
        <v>23</v>
      </c>
    </row>
    <row r="2306" spans="1:5" x14ac:dyDescent="0.4">
      <c r="A2306" s="16" t="s">
        <v>29</v>
      </c>
      <c r="B2306" s="16" t="s">
        <v>58</v>
      </c>
      <c r="C2306" s="16" t="str">
        <f t="shared" si="35"/>
        <v>华中</v>
      </c>
      <c r="D2306" s="16" t="s">
        <v>2370</v>
      </c>
      <c r="E2306" s="16">
        <v>13</v>
      </c>
    </row>
    <row r="2307" spans="1:5" x14ac:dyDescent="0.4">
      <c r="A2307" s="16" t="s">
        <v>22</v>
      </c>
      <c r="B2307" s="16" t="s">
        <v>61</v>
      </c>
      <c r="C2307" s="16" t="str">
        <f t="shared" ref="C2307:C2337" si="36">_xlfn.XLOOKUP(B2307,$I$2:$I$32,$J$2:$J$32)</f>
        <v>华东</v>
      </c>
      <c r="D2307" s="16" t="s">
        <v>2371</v>
      </c>
      <c r="E2307" s="16">
        <v>21</v>
      </c>
    </row>
    <row r="2308" spans="1:5" x14ac:dyDescent="0.4">
      <c r="A2308" s="16" t="s">
        <v>22</v>
      </c>
      <c r="B2308" s="16" t="s">
        <v>67</v>
      </c>
      <c r="C2308" s="16" t="str">
        <f t="shared" si="36"/>
        <v>华中</v>
      </c>
      <c r="D2308" s="16" t="s">
        <v>2372</v>
      </c>
      <c r="E2308" s="16">
        <v>18</v>
      </c>
    </row>
    <row r="2309" spans="1:5" x14ac:dyDescent="0.4">
      <c r="A2309" s="16" t="s">
        <v>29</v>
      </c>
      <c r="B2309" s="16" t="s">
        <v>67</v>
      </c>
      <c r="C2309" s="16" t="str">
        <f t="shared" si="36"/>
        <v>华中</v>
      </c>
      <c r="D2309" s="16" t="s">
        <v>2373</v>
      </c>
      <c r="E2309" s="16">
        <v>10</v>
      </c>
    </row>
    <row r="2310" spans="1:5" x14ac:dyDescent="0.4">
      <c r="A2310" s="16" t="s">
        <v>29</v>
      </c>
      <c r="B2310" s="16" t="s">
        <v>73</v>
      </c>
      <c r="C2310" s="16" t="str">
        <f t="shared" si="36"/>
        <v>华中</v>
      </c>
      <c r="D2310" s="16" t="s">
        <v>2374</v>
      </c>
      <c r="E2310" s="16">
        <v>26</v>
      </c>
    </row>
    <row r="2311" spans="1:5" x14ac:dyDescent="0.4">
      <c r="A2311" s="16" t="s">
        <v>29</v>
      </c>
      <c r="B2311" s="16" t="s">
        <v>30</v>
      </c>
      <c r="C2311" s="16" t="str">
        <f t="shared" si="36"/>
        <v>华北</v>
      </c>
      <c r="D2311" s="16" t="s">
        <v>2375</v>
      </c>
      <c r="E2311" s="16">
        <v>20</v>
      </c>
    </row>
    <row r="2312" spans="1:5" x14ac:dyDescent="0.4">
      <c r="A2312" s="16" t="s">
        <v>29</v>
      </c>
      <c r="B2312" s="16" t="s">
        <v>40</v>
      </c>
      <c r="C2312" s="16" t="str">
        <f t="shared" si="36"/>
        <v>华北</v>
      </c>
      <c r="D2312" s="16" t="s">
        <v>2376</v>
      </c>
      <c r="E2312" s="16">
        <v>18</v>
      </c>
    </row>
    <row r="2313" spans="1:5" x14ac:dyDescent="0.4">
      <c r="A2313" s="16" t="s">
        <v>29</v>
      </c>
      <c r="B2313" s="16" t="s">
        <v>30</v>
      </c>
      <c r="C2313" s="16" t="str">
        <f t="shared" si="36"/>
        <v>华北</v>
      </c>
      <c r="D2313" s="16" t="s">
        <v>2377</v>
      </c>
      <c r="E2313" s="16">
        <v>24</v>
      </c>
    </row>
    <row r="2314" spans="1:5" x14ac:dyDescent="0.4">
      <c r="A2314" s="16" t="s">
        <v>29</v>
      </c>
      <c r="B2314" s="16" t="s">
        <v>30</v>
      </c>
      <c r="C2314" s="16" t="str">
        <f t="shared" si="36"/>
        <v>华北</v>
      </c>
      <c r="D2314" s="16" t="s">
        <v>2378</v>
      </c>
      <c r="E2314" s="16">
        <v>22</v>
      </c>
    </row>
    <row r="2315" spans="1:5" x14ac:dyDescent="0.4">
      <c r="A2315" s="16" t="s">
        <v>33</v>
      </c>
      <c r="B2315" s="16" t="s">
        <v>55</v>
      </c>
      <c r="C2315" s="16" t="str">
        <f t="shared" si="36"/>
        <v>华东</v>
      </c>
      <c r="D2315" s="16" t="s">
        <v>2379</v>
      </c>
      <c r="E2315" s="16">
        <v>22</v>
      </c>
    </row>
    <row r="2316" spans="1:5" x14ac:dyDescent="0.4">
      <c r="A2316" s="16" t="s">
        <v>22</v>
      </c>
      <c r="B2316" s="16" t="s">
        <v>55</v>
      </c>
      <c r="C2316" s="16" t="str">
        <f t="shared" si="36"/>
        <v>华东</v>
      </c>
      <c r="D2316" s="16" t="s">
        <v>2380</v>
      </c>
      <c r="E2316" s="16">
        <v>25</v>
      </c>
    </row>
    <row r="2317" spans="1:5" x14ac:dyDescent="0.4">
      <c r="A2317" s="16" t="s">
        <v>29</v>
      </c>
      <c r="B2317" s="16" t="s">
        <v>58</v>
      </c>
      <c r="C2317" s="16" t="str">
        <f t="shared" si="36"/>
        <v>华中</v>
      </c>
      <c r="D2317" s="16" t="s">
        <v>2381</v>
      </c>
      <c r="E2317" s="16">
        <v>17</v>
      </c>
    </row>
    <row r="2318" spans="1:5" x14ac:dyDescent="0.4">
      <c r="A2318" s="16" t="s">
        <v>33</v>
      </c>
      <c r="B2318" s="16" t="s">
        <v>58</v>
      </c>
      <c r="C2318" s="16" t="str">
        <f t="shared" si="36"/>
        <v>华中</v>
      </c>
      <c r="D2318" s="16" t="s">
        <v>2382</v>
      </c>
      <c r="E2318" s="16">
        <v>25</v>
      </c>
    </row>
    <row r="2319" spans="1:5" x14ac:dyDescent="0.4">
      <c r="A2319" s="16" t="s">
        <v>22</v>
      </c>
      <c r="B2319" s="16" t="s">
        <v>23</v>
      </c>
      <c r="C2319" s="16" t="str">
        <f t="shared" si="36"/>
        <v>西南</v>
      </c>
      <c r="D2319" s="16" t="s">
        <v>2383</v>
      </c>
      <c r="E2319" s="16">
        <v>11</v>
      </c>
    </row>
    <row r="2320" spans="1:5" x14ac:dyDescent="0.4">
      <c r="A2320" s="16" t="s">
        <v>22</v>
      </c>
      <c r="B2320" s="16" t="s">
        <v>69</v>
      </c>
      <c r="C2320" s="16" t="str">
        <f t="shared" si="36"/>
        <v>华南</v>
      </c>
      <c r="D2320" s="16" t="s">
        <v>2384</v>
      </c>
      <c r="E2320" s="16">
        <v>10</v>
      </c>
    </row>
    <row r="2321" spans="1:5" x14ac:dyDescent="0.4">
      <c r="A2321" s="16" t="s">
        <v>22</v>
      </c>
      <c r="B2321" s="16" t="s">
        <v>23</v>
      </c>
      <c r="C2321" s="16" t="str">
        <f t="shared" si="36"/>
        <v>西南</v>
      </c>
      <c r="D2321" s="16" t="s">
        <v>2385</v>
      </c>
      <c r="E2321" s="16">
        <v>13</v>
      </c>
    </row>
    <row r="2322" spans="1:5" x14ac:dyDescent="0.4">
      <c r="A2322" s="16" t="s">
        <v>22</v>
      </c>
      <c r="B2322" s="16" t="s">
        <v>57</v>
      </c>
      <c r="C2322" s="16" t="str">
        <f t="shared" si="36"/>
        <v>华东</v>
      </c>
      <c r="D2322" s="16" t="s">
        <v>2386</v>
      </c>
      <c r="E2322" s="16">
        <v>17</v>
      </c>
    </row>
    <row r="2323" spans="1:5" x14ac:dyDescent="0.4">
      <c r="A2323" s="16" t="s">
        <v>33</v>
      </c>
      <c r="B2323" s="16" t="s">
        <v>76</v>
      </c>
      <c r="C2323" s="16" t="str">
        <f t="shared" si="36"/>
        <v>西北</v>
      </c>
      <c r="D2323" s="16" t="s">
        <v>2387</v>
      </c>
      <c r="E2323" s="16">
        <v>29</v>
      </c>
    </row>
    <row r="2324" spans="1:5" x14ac:dyDescent="0.4">
      <c r="A2324" s="16" t="s">
        <v>22</v>
      </c>
      <c r="B2324" s="16" t="s">
        <v>76</v>
      </c>
      <c r="C2324" s="16" t="str">
        <f t="shared" si="36"/>
        <v>西北</v>
      </c>
      <c r="D2324" s="16" t="s">
        <v>2388</v>
      </c>
      <c r="E2324" s="16">
        <v>26</v>
      </c>
    </row>
    <row r="2325" spans="1:5" x14ac:dyDescent="0.4">
      <c r="A2325" s="16" t="s">
        <v>22</v>
      </c>
      <c r="B2325" s="16" t="s">
        <v>67</v>
      </c>
      <c r="C2325" s="16" t="str">
        <f t="shared" si="36"/>
        <v>华中</v>
      </c>
      <c r="D2325" s="16" t="s">
        <v>2389</v>
      </c>
      <c r="E2325" s="16">
        <v>17</v>
      </c>
    </row>
    <row r="2326" spans="1:5" x14ac:dyDescent="0.4">
      <c r="A2326" s="16" t="s">
        <v>29</v>
      </c>
      <c r="B2326" s="16" t="s">
        <v>23</v>
      </c>
      <c r="C2326" s="16" t="str">
        <f t="shared" si="36"/>
        <v>西南</v>
      </c>
      <c r="D2326" s="16" t="s">
        <v>2390</v>
      </c>
      <c r="E2326" s="16">
        <v>13</v>
      </c>
    </row>
    <row r="2327" spans="1:5" x14ac:dyDescent="0.4">
      <c r="A2327" s="16" t="s">
        <v>22</v>
      </c>
      <c r="B2327" s="16" t="s">
        <v>65</v>
      </c>
      <c r="C2327" s="16" t="str">
        <f t="shared" si="36"/>
        <v>华南</v>
      </c>
      <c r="D2327" s="16" t="s">
        <v>2391</v>
      </c>
      <c r="E2327" s="16">
        <v>16</v>
      </c>
    </row>
    <row r="2328" spans="1:5" x14ac:dyDescent="0.4">
      <c r="A2328" s="16" t="s">
        <v>29</v>
      </c>
      <c r="B2328" s="16" t="s">
        <v>76</v>
      </c>
      <c r="C2328" s="16" t="str">
        <f t="shared" si="36"/>
        <v>西北</v>
      </c>
      <c r="D2328" s="16" t="s">
        <v>2392</v>
      </c>
      <c r="E2328" s="16">
        <v>10</v>
      </c>
    </row>
    <row r="2329" spans="1:5" x14ac:dyDescent="0.4">
      <c r="A2329" s="16" t="s">
        <v>22</v>
      </c>
      <c r="B2329" s="16" t="s">
        <v>63</v>
      </c>
      <c r="C2329" s="16" t="str">
        <f t="shared" si="36"/>
        <v>西南</v>
      </c>
      <c r="D2329" s="16" t="s">
        <v>2393</v>
      </c>
      <c r="E2329" s="16">
        <v>21</v>
      </c>
    </row>
    <row r="2330" spans="1:5" x14ac:dyDescent="0.4">
      <c r="A2330" s="16" t="s">
        <v>22</v>
      </c>
      <c r="B2330" s="16" t="s">
        <v>23</v>
      </c>
      <c r="C2330" s="16" t="str">
        <f t="shared" si="36"/>
        <v>西南</v>
      </c>
      <c r="D2330" s="16" t="s">
        <v>2394</v>
      </c>
      <c r="E2330" s="16">
        <v>12</v>
      </c>
    </row>
    <row r="2331" spans="1:5" x14ac:dyDescent="0.4">
      <c r="A2331" s="16" t="s">
        <v>22</v>
      </c>
      <c r="B2331" s="16" t="s">
        <v>23</v>
      </c>
      <c r="C2331" s="16" t="str">
        <f t="shared" si="36"/>
        <v>西南</v>
      </c>
      <c r="D2331" s="16" t="s">
        <v>2395</v>
      </c>
      <c r="E2331" s="16">
        <v>10</v>
      </c>
    </row>
    <row r="2332" spans="1:5" x14ac:dyDescent="0.4">
      <c r="A2332" s="16" t="s">
        <v>29</v>
      </c>
      <c r="B2332" s="16" t="s">
        <v>57</v>
      </c>
      <c r="C2332" s="16" t="str">
        <f t="shared" si="36"/>
        <v>华东</v>
      </c>
      <c r="D2332" s="16" t="s">
        <v>2396</v>
      </c>
      <c r="E2332" s="16">
        <v>18</v>
      </c>
    </row>
    <row r="2333" spans="1:5" x14ac:dyDescent="0.4">
      <c r="A2333" s="16" t="s">
        <v>29</v>
      </c>
      <c r="B2333" s="16" t="s">
        <v>57</v>
      </c>
      <c r="C2333" s="16" t="str">
        <f t="shared" si="36"/>
        <v>华东</v>
      </c>
      <c r="D2333" s="16" t="s">
        <v>2397</v>
      </c>
      <c r="E2333" s="16">
        <v>27</v>
      </c>
    </row>
    <row r="2334" spans="1:5" x14ac:dyDescent="0.4">
      <c r="A2334" s="16" t="s">
        <v>22</v>
      </c>
      <c r="B2334" s="16" t="s">
        <v>40</v>
      </c>
      <c r="C2334" s="16" t="str">
        <f t="shared" si="36"/>
        <v>华北</v>
      </c>
      <c r="D2334" s="16" t="s">
        <v>2398</v>
      </c>
      <c r="E2334" s="16">
        <v>16</v>
      </c>
    </row>
    <row r="2335" spans="1:5" x14ac:dyDescent="0.4">
      <c r="A2335" s="16" t="s">
        <v>22</v>
      </c>
      <c r="B2335" s="16" t="s">
        <v>63</v>
      </c>
      <c r="C2335" s="16" t="str">
        <f t="shared" si="36"/>
        <v>西南</v>
      </c>
      <c r="D2335" s="16" t="s">
        <v>2399</v>
      </c>
      <c r="E2335" s="16">
        <v>25</v>
      </c>
    </row>
    <row r="2336" spans="1:5" x14ac:dyDescent="0.4">
      <c r="A2336" s="16" t="s">
        <v>29</v>
      </c>
      <c r="B2336" s="16" t="s">
        <v>44</v>
      </c>
      <c r="C2336" s="16" t="str">
        <f t="shared" si="36"/>
        <v>华北</v>
      </c>
      <c r="D2336" s="16" t="s">
        <v>2400</v>
      </c>
      <c r="E2336" s="16">
        <v>22</v>
      </c>
    </row>
    <row r="2337" spans="1:5" x14ac:dyDescent="0.4">
      <c r="A2337" s="16" t="s">
        <v>29</v>
      </c>
      <c r="B2337" s="16" t="s">
        <v>44</v>
      </c>
      <c r="C2337" s="16" t="str">
        <f t="shared" si="36"/>
        <v>华北</v>
      </c>
      <c r="D2337" s="16" t="s">
        <v>2401</v>
      </c>
      <c r="E2337" s="16">
        <v>19</v>
      </c>
    </row>
    <row r="2367" spans="19:20" x14ac:dyDescent="0.4">
      <c r="S2367" s="16" t="s">
        <v>42</v>
      </c>
      <c r="T2367" s="16" t="s">
        <v>2401</v>
      </c>
    </row>
  </sheetData>
  <phoneticPr fontId="10"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2" r:id="rId3" name="List Box 2">
              <controlPr defaultSize="0" autoLine="0" autoPict="0">
                <anchor moveWithCells="1">
                  <from>
                    <xdr:col>10</xdr:col>
                    <xdr:colOff>233363</xdr:colOff>
                    <xdr:row>28</xdr:row>
                    <xdr:rowOff>176213</xdr:rowOff>
                  </from>
                  <to>
                    <xdr:col>11</xdr:col>
                    <xdr:colOff>671513</xdr:colOff>
                    <xdr:row>31</xdr:row>
                    <xdr:rowOff>33338</xdr:rowOff>
                  </to>
                </anchor>
              </controlPr>
            </control>
          </mc:Choice>
        </mc:AlternateContent>
        <mc:AlternateContent xmlns:mc="http://schemas.openxmlformats.org/markup-compatibility/2006">
          <mc:Choice Requires="x14">
            <control shapeId="5123" r:id="rId4" name="Option Button 3">
              <controlPr defaultSize="0" autoFill="0" autoLine="0" autoPict="0">
                <anchor moveWithCells="1">
                  <from>
                    <xdr:col>11</xdr:col>
                    <xdr:colOff>747713</xdr:colOff>
                    <xdr:row>28</xdr:row>
                    <xdr:rowOff>52388</xdr:rowOff>
                  </from>
                  <to>
                    <xdr:col>13</xdr:col>
                    <xdr:colOff>461963</xdr:colOff>
                    <xdr:row>29</xdr:row>
                    <xdr:rowOff>109538</xdr:rowOff>
                  </to>
                </anchor>
              </controlPr>
            </control>
          </mc:Choice>
        </mc:AlternateContent>
        <mc:AlternateContent xmlns:mc="http://schemas.openxmlformats.org/markup-compatibility/2006">
          <mc:Choice Requires="x14">
            <control shapeId="5125" r:id="rId5" name="Option Button 5">
              <controlPr defaultSize="0" autoFill="0" autoLine="0" autoPict="0">
                <anchor moveWithCells="1">
                  <from>
                    <xdr:col>11</xdr:col>
                    <xdr:colOff>766763</xdr:colOff>
                    <xdr:row>29</xdr:row>
                    <xdr:rowOff>185738</xdr:rowOff>
                  </from>
                  <to>
                    <xdr:col>14</xdr:col>
                    <xdr:colOff>109538</xdr:colOff>
                    <xdr:row>32</xdr:row>
                    <xdr:rowOff>100013</xdr:rowOff>
                  </to>
                </anchor>
              </controlPr>
            </control>
          </mc:Choice>
        </mc:AlternateContent>
        <mc:AlternateContent xmlns:mc="http://schemas.openxmlformats.org/markup-compatibility/2006">
          <mc:Choice Requires="x14">
            <control shapeId="5124" r:id="rId6" name="Option Button 4">
              <controlPr defaultSize="0" autoFill="0" autoLine="0" autoPict="0">
                <anchor moveWithCells="1">
                  <from>
                    <xdr:col>11</xdr:col>
                    <xdr:colOff>742950</xdr:colOff>
                    <xdr:row>28</xdr:row>
                    <xdr:rowOff>195263</xdr:rowOff>
                  </from>
                  <to>
                    <xdr:col>13</xdr:col>
                    <xdr:colOff>404813</xdr:colOff>
                    <xdr:row>31</xdr:row>
                    <xdr:rowOff>0</xdr:rowOff>
                  </to>
                </anchor>
              </controlPr>
            </control>
          </mc:Choice>
        </mc:AlternateContent>
        <mc:AlternateContent xmlns:mc="http://schemas.openxmlformats.org/markup-compatibility/2006">
          <mc:Choice Requires="x14">
            <control shapeId="5121" r:id="rId7" name="List Box 1">
              <controlPr defaultSize="0" autoLine="0" autoPict="0">
                <anchor moveWithCells="1">
                  <from>
                    <xdr:col>13</xdr:col>
                    <xdr:colOff>519113</xdr:colOff>
                    <xdr:row>26</xdr:row>
                    <xdr:rowOff>200025</xdr:rowOff>
                  </from>
                  <to>
                    <xdr:col>14</xdr:col>
                    <xdr:colOff>661988</xdr:colOff>
                    <xdr:row>35</xdr:row>
                    <xdr:rowOff>138113</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7"/>
  <sheetViews>
    <sheetView zoomScale="115" zoomScaleNormal="115" workbookViewId="0">
      <selection activeCell="C14" sqref="C14:C37"/>
    </sheetView>
  </sheetViews>
  <sheetFormatPr defaultColWidth="9" defaultRowHeight="13.5" x14ac:dyDescent="0.35"/>
  <cols>
    <col min="1" max="2" width="9" style="22"/>
    <col min="3" max="3" width="11.625" style="22" bestFit="1" customWidth="1"/>
    <col min="4" max="7" width="16.75" style="22" customWidth="1"/>
    <col min="8" max="8" width="22.3125" style="22" customWidth="1"/>
    <col min="9" max="16384" width="9" style="22"/>
  </cols>
  <sheetData>
    <row r="1" spans="1:18" ht="29.65" customHeight="1" x14ac:dyDescent="0.35">
      <c r="A1" s="62" t="s">
        <v>2478</v>
      </c>
      <c r="B1" s="62" t="s">
        <v>2480</v>
      </c>
      <c r="C1" s="21" t="s">
        <v>15</v>
      </c>
      <c r="D1" s="21" t="s">
        <v>2402</v>
      </c>
      <c r="E1" s="61" t="s">
        <v>2471</v>
      </c>
      <c r="F1" s="61" t="s">
        <v>2472</v>
      </c>
      <c r="G1" s="61" t="s">
        <v>2473</v>
      </c>
      <c r="H1" s="51" t="s">
        <v>2474</v>
      </c>
      <c r="I1" s="50"/>
      <c r="J1" s="50"/>
      <c r="P1" s="50"/>
      <c r="Q1" s="50"/>
      <c r="R1" s="50"/>
    </row>
    <row r="2" spans="1:18" x14ac:dyDescent="0.35">
      <c r="A2" s="69">
        <v>1</v>
      </c>
      <c r="B2" s="63">
        <f>MONTH(C2)</f>
        <v>1</v>
      </c>
      <c r="C2" s="23">
        <v>44197</v>
      </c>
      <c r="D2" s="24">
        <v>6000</v>
      </c>
      <c r="E2" s="59">
        <v>1</v>
      </c>
      <c r="F2" s="59">
        <f t="array" ref="F2:F13">D2:D13/$M$19:$M$30</f>
        <v>6886.363636363636</v>
      </c>
      <c r="G2" s="59">
        <f>FORECAST(E2,$F$2:$F$25,$E$2:$E$25)</f>
        <v>6494.7517996262732</v>
      </c>
      <c r="H2" s="22">
        <f t="array" ref="H2:H13">G2:G13*$M$19:$M$30</f>
        <v>5658.7936471991288</v>
      </c>
      <c r="Q2" s="68"/>
    </row>
    <row r="3" spans="1:18" x14ac:dyDescent="0.35">
      <c r="A3" s="70"/>
      <c r="B3" s="63">
        <f t="shared" ref="B3:B25" si="0">MONTH(C3)</f>
        <v>2</v>
      </c>
      <c r="C3" s="23">
        <v>44228</v>
      </c>
      <c r="D3" s="24">
        <v>5800</v>
      </c>
      <c r="E3" s="59">
        <v>2</v>
      </c>
      <c r="F3" s="59">
        <v>7143.9024390243894</v>
      </c>
      <c r="G3" s="59">
        <f t="shared" ref="G3:G25" si="1">FORECAST(E3,$F$2:$F$25,$E$2:$E$25)</f>
        <v>6588.6864257457273</v>
      </c>
      <c r="H3" s="22">
        <v>5349.2305634767299</v>
      </c>
      <c r="Q3" s="68"/>
    </row>
    <row r="4" spans="1:18" ht="13.5" customHeight="1" x14ac:dyDescent="0.35">
      <c r="A4" s="70"/>
      <c r="B4" s="63">
        <f t="shared" si="0"/>
        <v>3</v>
      </c>
      <c r="C4" s="23">
        <v>44256</v>
      </c>
      <c r="D4" s="24">
        <v>4600</v>
      </c>
      <c r="E4" s="59">
        <v>3</v>
      </c>
      <c r="F4" s="59">
        <v>6278.3783783783783</v>
      </c>
      <c r="G4" s="59">
        <f t="shared" si="1"/>
        <v>6682.6210518651824</v>
      </c>
      <c r="H4" s="22">
        <v>4896.1778003764703</v>
      </c>
      <c r="Q4" s="68"/>
    </row>
    <row r="5" spans="1:18" x14ac:dyDescent="0.35">
      <c r="A5" s="70"/>
      <c r="B5" s="63">
        <f t="shared" si="0"/>
        <v>4</v>
      </c>
      <c r="C5" s="23">
        <v>44287</v>
      </c>
      <c r="D5" s="24">
        <v>6500</v>
      </c>
      <c r="E5" s="59">
        <v>4</v>
      </c>
      <c r="F5" s="59">
        <v>6609.060402684564</v>
      </c>
      <c r="G5" s="59">
        <f t="shared" si="1"/>
        <v>6776.5556779846365</v>
      </c>
      <c r="H5" s="22">
        <v>6664.7313268627777</v>
      </c>
      <c r="Q5" s="68"/>
    </row>
    <row r="6" spans="1:18" x14ac:dyDescent="0.35">
      <c r="A6" s="70"/>
      <c r="B6" s="63">
        <f t="shared" si="0"/>
        <v>5</v>
      </c>
      <c r="C6" s="23">
        <v>44317</v>
      </c>
      <c r="D6" s="24">
        <v>7500</v>
      </c>
      <c r="E6" s="59">
        <v>5</v>
      </c>
      <c r="F6" s="59">
        <v>6803.8922155688624</v>
      </c>
      <c r="G6" s="59">
        <f t="shared" si="1"/>
        <v>6870.4903041040907</v>
      </c>
      <c r="H6" s="22">
        <v>7573.4117543589646</v>
      </c>
      <c r="Q6" s="68"/>
    </row>
    <row r="7" spans="1:18" x14ac:dyDescent="0.35">
      <c r="A7" s="70"/>
      <c r="B7" s="63">
        <f t="shared" si="0"/>
        <v>6</v>
      </c>
      <c r="C7" s="23">
        <v>44348</v>
      </c>
      <c r="D7" s="24">
        <v>7800</v>
      </c>
      <c r="E7" s="59">
        <v>6</v>
      </c>
      <c r="F7" s="59">
        <v>6791.3793103448279</v>
      </c>
      <c r="G7" s="59">
        <f t="shared" si="1"/>
        <v>6964.4249302235457</v>
      </c>
      <c r="H7" s="22">
        <v>7998.7454644151612</v>
      </c>
      <c r="Q7" s="68"/>
    </row>
    <row r="8" spans="1:18" x14ac:dyDescent="0.35">
      <c r="A8" s="70"/>
      <c r="B8" s="63">
        <f t="shared" si="0"/>
        <v>7</v>
      </c>
      <c r="C8" s="23">
        <v>44378</v>
      </c>
      <c r="D8" s="24">
        <v>7600</v>
      </c>
      <c r="E8" s="59">
        <v>7</v>
      </c>
      <c r="F8" s="59">
        <v>7107.4074074074069</v>
      </c>
      <c r="G8" s="59">
        <f t="shared" si="1"/>
        <v>7058.3595563429999</v>
      </c>
      <c r="H8" s="22">
        <v>7547.5527929212276</v>
      </c>
      <c r="Q8" s="68"/>
    </row>
    <row r="9" spans="1:18" x14ac:dyDescent="0.35">
      <c r="A9" s="70"/>
      <c r="B9" s="63">
        <f t="shared" si="0"/>
        <v>8</v>
      </c>
      <c r="C9" s="23">
        <v>44409</v>
      </c>
      <c r="D9" s="24">
        <v>6000</v>
      </c>
      <c r="E9" s="59">
        <v>8</v>
      </c>
      <c r="F9" s="59">
        <v>6886.363636363636</v>
      </c>
      <c r="G9" s="59">
        <f t="shared" si="1"/>
        <v>7152.294182462454</v>
      </c>
      <c r="H9" s="22">
        <v>6231.7018619474848</v>
      </c>
      <c r="Q9" s="68"/>
    </row>
    <row r="10" spans="1:18" x14ac:dyDescent="0.35">
      <c r="A10" s="70"/>
      <c r="B10" s="63">
        <f t="shared" si="0"/>
        <v>9</v>
      </c>
      <c r="C10" s="23">
        <v>44440</v>
      </c>
      <c r="D10" s="24">
        <v>5700</v>
      </c>
      <c r="E10" s="59">
        <v>9</v>
      </c>
      <c r="F10" s="59">
        <v>6799.6062992125981</v>
      </c>
      <c r="G10" s="59">
        <f t="shared" si="1"/>
        <v>7246.2288085819082</v>
      </c>
      <c r="H10" s="22">
        <v>6074.3964269960552</v>
      </c>
      <c r="Q10" s="68"/>
    </row>
    <row r="11" spans="1:18" x14ac:dyDescent="0.35">
      <c r="A11" s="70"/>
      <c r="B11" s="63">
        <f t="shared" si="0"/>
        <v>10</v>
      </c>
      <c r="C11" s="23">
        <v>44470</v>
      </c>
      <c r="D11" s="24">
        <v>7600</v>
      </c>
      <c r="E11" s="59">
        <v>10</v>
      </c>
      <c r="F11" s="59">
        <v>6936.1445783132531</v>
      </c>
      <c r="G11" s="59">
        <f t="shared" si="1"/>
        <v>7340.1634347013623</v>
      </c>
      <c r="H11" s="22">
        <v>8042.6873277915911</v>
      </c>
      <c r="Q11" s="68"/>
    </row>
    <row r="12" spans="1:18" x14ac:dyDescent="0.35">
      <c r="A12" s="70"/>
      <c r="B12" s="63">
        <f t="shared" si="0"/>
        <v>11</v>
      </c>
      <c r="C12" s="23">
        <v>44501</v>
      </c>
      <c r="D12" s="24">
        <v>8300</v>
      </c>
      <c r="E12" s="59">
        <v>11</v>
      </c>
      <c r="F12" s="59">
        <v>6833.967391304348</v>
      </c>
      <c r="G12" s="59">
        <f t="shared" si="1"/>
        <v>7434.0980608208174</v>
      </c>
      <c r="H12" s="22">
        <v>9028.8715722180223</v>
      </c>
      <c r="Q12" s="68"/>
    </row>
    <row r="13" spans="1:18" x14ac:dyDescent="0.35">
      <c r="A13" s="71"/>
      <c r="B13" s="63">
        <f t="shared" si="0"/>
        <v>12</v>
      </c>
      <c r="C13" s="23">
        <v>44531</v>
      </c>
      <c r="D13" s="24">
        <v>8600</v>
      </c>
      <c r="E13" s="59">
        <v>12</v>
      </c>
      <c r="F13" s="59">
        <v>6821.465968586388</v>
      </c>
      <c r="G13" s="59">
        <f t="shared" si="1"/>
        <v>7528.0326869402716</v>
      </c>
      <c r="H13" s="22">
        <v>9490.7870838652925</v>
      </c>
      <c r="Q13" s="68"/>
    </row>
    <row r="14" spans="1:18" x14ac:dyDescent="0.35">
      <c r="A14" s="69">
        <v>2</v>
      </c>
      <c r="B14" s="63">
        <f t="shared" si="0"/>
        <v>1</v>
      </c>
      <c r="C14" s="23">
        <v>44562</v>
      </c>
      <c r="D14" s="24">
        <v>7200</v>
      </c>
      <c r="E14" s="59">
        <v>13</v>
      </c>
      <c r="F14" s="59">
        <f t="array" ref="F14:F25">D14:D25/$M$19:$M$30</f>
        <v>8263.636363636364</v>
      </c>
      <c r="G14" s="59">
        <f t="shared" si="1"/>
        <v>7621.9673130597257</v>
      </c>
      <c r="H14" s="22">
        <f t="array" ref="H14:H25">G14:G25*$M$19:$M$30</f>
        <v>6640.922015339167</v>
      </c>
    </row>
    <row r="15" spans="1:18" x14ac:dyDescent="0.35">
      <c r="A15" s="70"/>
      <c r="B15" s="63">
        <f t="shared" si="0"/>
        <v>2</v>
      </c>
      <c r="C15" s="23">
        <v>44593</v>
      </c>
      <c r="D15" s="24">
        <v>6500</v>
      </c>
      <c r="E15" s="59">
        <v>14</v>
      </c>
      <c r="F15" s="59">
        <v>8006.0975609756097</v>
      </c>
      <c r="G15" s="59">
        <f t="shared" si="1"/>
        <v>7715.9019391791808</v>
      </c>
      <c r="H15" s="22">
        <v>6264.3956337890386</v>
      </c>
    </row>
    <row r="16" spans="1:18" x14ac:dyDescent="0.35">
      <c r="A16" s="70"/>
      <c r="B16" s="63">
        <f t="shared" si="0"/>
        <v>3</v>
      </c>
      <c r="C16" s="23">
        <v>44621</v>
      </c>
      <c r="D16" s="24">
        <f t="shared" ref="D16:D17" si="2">D10+800</f>
        <v>6500</v>
      </c>
      <c r="E16" s="59">
        <v>15</v>
      </c>
      <c r="F16" s="59">
        <v>8871.6216216216217</v>
      </c>
      <c r="G16" s="59">
        <f t="shared" si="1"/>
        <v>7809.8365652986349</v>
      </c>
      <c r="H16" s="22">
        <v>5722.058473585138</v>
      </c>
    </row>
    <row r="17" spans="1:13" ht="13.9" x14ac:dyDescent="0.35">
      <c r="A17" s="70"/>
      <c r="B17" s="63">
        <f t="shared" si="0"/>
        <v>4</v>
      </c>
      <c r="C17" s="23">
        <v>44652</v>
      </c>
      <c r="D17" s="24">
        <f t="shared" si="2"/>
        <v>8400</v>
      </c>
      <c r="E17" s="59">
        <v>16</v>
      </c>
      <c r="F17" s="59">
        <v>8540.9395973154369</v>
      </c>
      <c r="G17" s="59">
        <f t="shared" si="1"/>
        <v>7903.7711914180891</v>
      </c>
      <c r="H17" s="22">
        <v>7773.3459242329727</v>
      </c>
      <c r="I17" s="62" t="s">
        <v>2479</v>
      </c>
      <c r="K17" s="62" t="s">
        <v>2475</v>
      </c>
      <c r="L17" s="62" t="s">
        <v>2476</v>
      </c>
      <c r="M17" s="62" t="s">
        <v>2477</v>
      </c>
    </row>
    <row r="18" spans="1:13" x14ac:dyDescent="0.35">
      <c r="A18" s="70"/>
      <c r="B18" s="63">
        <f t="shared" si="0"/>
        <v>5</v>
      </c>
      <c r="C18" s="23">
        <v>44682</v>
      </c>
      <c r="D18" s="24">
        <v>9200</v>
      </c>
      <c r="E18" s="59">
        <v>17</v>
      </c>
      <c r="F18" s="59">
        <v>8346.1077844311385</v>
      </c>
      <c r="G18" s="59">
        <f t="shared" si="1"/>
        <v>7997.7058175375432</v>
      </c>
      <c r="H18" s="22">
        <v>8815.9529473846196</v>
      </c>
      <c r="I18" s="22">
        <v>1</v>
      </c>
      <c r="K18" s="22">
        <f>DAVERAGE(A1:D25,D1,I17:I18)</f>
        <v>6600</v>
      </c>
      <c r="L18" s="22">
        <f>AVERAGE(D2:D25)</f>
        <v>7575</v>
      </c>
    </row>
    <row r="19" spans="1:13" x14ac:dyDescent="0.35">
      <c r="A19" s="70"/>
      <c r="B19" s="63">
        <f t="shared" si="0"/>
        <v>6</v>
      </c>
      <c r="C19" s="23">
        <v>44713</v>
      </c>
      <c r="D19" s="24">
        <v>9600</v>
      </c>
      <c r="E19" s="59">
        <v>18</v>
      </c>
      <c r="F19" s="59">
        <v>8358.6206896551739</v>
      </c>
      <c r="G19" s="59">
        <f t="shared" si="1"/>
        <v>8091.6404436569974</v>
      </c>
      <c r="H19" s="22">
        <v>9293.3692224179376</v>
      </c>
      <c r="I19" s="22">
        <v>2</v>
      </c>
      <c r="J19" s="22">
        <v>1</v>
      </c>
      <c r="K19" s="22">
        <f t="dataTable" ref="K19:K30" dt2D="0" dtr="0" r1="I18"/>
        <v>6600</v>
      </c>
      <c r="M19" s="22">
        <f>K19/$L$18</f>
        <v>0.87128712871287128</v>
      </c>
    </row>
    <row r="20" spans="1:13" x14ac:dyDescent="0.35">
      <c r="A20" s="70"/>
      <c r="B20" s="63">
        <f t="shared" si="0"/>
        <v>7</v>
      </c>
      <c r="C20" s="23">
        <v>44743</v>
      </c>
      <c r="D20" s="24">
        <v>8600</v>
      </c>
      <c r="E20" s="59">
        <v>19</v>
      </c>
      <c r="F20" s="59">
        <v>8042.5925925925922</v>
      </c>
      <c r="G20" s="59">
        <f t="shared" si="1"/>
        <v>8185.5750697764524</v>
      </c>
      <c r="H20" s="22">
        <v>8752.8921538203649</v>
      </c>
      <c r="I20" s="22">
        <v>3</v>
      </c>
      <c r="J20" s="22">
        <v>2</v>
      </c>
      <c r="K20" s="22">
        <v>6150</v>
      </c>
      <c r="M20" s="22">
        <f t="shared" ref="M20:M30" si="3">K20/$L$18</f>
        <v>0.81188118811881194</v>
      </c>
    </row>
    <row r="21" spans="1:13" x14ac:dyDescent="0.35">
      <c r="A21" s="70"/>
      <c r="B21" s="63">
        <f t="shared" si="0"/>
        <v>8</v>
      </c>
      <c r="C21" s="23">
        <v>44774</v>
      </c>
      <c r="D21" s="24">
        <v>7200</v>
      </c>
      <c r="E21" s="59">
        <v>20</v>
      </c>
      <c r="F21" s="59">
        <v>8263.636363636364</v>
      </c>
      <c r="G21" s="59">
        <f t="shared" si="1"/>
        <v>8279.5096958959075</v>
      </c>
      <c r="H21" s="22">
        <v>7213.830230087523</v>
      </c>
      <c r="I21" s="22">
        <v>4</v>
      </c>
      <c r="J21" s="22">
        <v>3</v>
      </c>
      <c r="K21" s="22">
        <v>5550</v>
      </c>
      <c r="M21" s="22">
        <f t="shared" si="3"/>
        <v>0.73267326732673266</v>
      </c>
    </row>
    <row r="22" spans="1:13" x14ac:dyDescent="0.35">
      <c r="A22" s="70"/>
      <c r="B22" s="63">
        <f t="shared" si="0"/>
        <v>9</v>
      </c>
      <c r="C22" s="23">
        <v>44805</v>
      </c>
      <c r="D22" s="24">
        <v>7000</v>
      </c>
      <c r="E22" s="59">
        <v>21</v>
      </c>
      <c r="F22" s="59">
        <v>8350.393700787401</v>
      </c>
      <c r="G22" s="59">
        <f t="shared" si="1"/>
        <v>8373.4443220153607</v>
      </c>
      <c r="H22" s="22">
        <v>7019.3229630095766</v>
      </c>
      <c r="I22" s="22">
        <v>5</v>
      </c>
      <c r="J22" s="22">
        <v>4</v>
      </c>
      <c r="K22" s="22">
        <v>7450</v>
      </c>
      <c r="M22" s="22">
        <f t="shared" si="3"/>
        <v>0.98349834983498352</v>
      </c>
    </row>
    <row r="23" spans="1:13" x14ac:dyDescent="0.35">
      <c r="A23" s="70"/>
      <c r="B23" s="63">
        <f t="shared" si="0"/>
        <v>10</v>
      </c>
      <c r="C23" s="23">
        <v>44835</v>
      </c>
      <c r="D23" s="24">
        <v>9000</v>
      </c>
      <c r="E23" s="59">
        <v>22</v>
      </c>
      <c r="F23" s="59">
        <v>8213.8554216867469</v>
      </c>
      <c r="G23" s="59">
        <f t="shared" si="1"/>
        <v>8467.3789481348158</v>
      </c>
      <c r="H23" s="22">
        <v>9277.788154391943</v>
      </c>
      <c r="I23" s="22">
        <v>6</v>
      </c>
      <c r="J23" s="22">
        <v>5</v>
      </c>
      <c r="K23" s="22">
        <v>8350</v>
      </c>
      <c r="M23" s="22">
        <f t="shared" si="3"/>
        <v>1.1023102310231023</v>
      </c>
    </row>
    <row r="24" spans="1:13" x14ac:dyDescent="0.35">
      <c r="A24" s="70"/>
      <c r="B24" s="63">
        <f t="shared" si="0"/>
        <v>11</v>
      </c>
      <c r="C24" s="23">
        <v>44866</v>
      </c>
      <c r="D24" s="24">
        <v>10100</v>
      </c>
      <c r="E24" s="59">
        <v>23</v>
      </c>
      <c r="F24" s="59">
        <v>8316.032608695652</v>
      </c>
      <c r="G24" s="59">
        <f t="shared" si="1"/>
        <v>8561.313574254269</v>
      </c>
      <c r="H24" s="22">
        <v>10397.898994473831</v>
      </c>
      <c r="I24" s="22">
        <v>7</v>
      </c>
      <c r="J24" s="22">
        <v>6</v>
      </c>
      <c r="K24" s="22">
        <v>8700</v>
      </c>
      <c r="M24" s="22">
        <f t="shared" si="3"/>
        <v>1.1485148514851484</v>
      </c>
    </row>
    <row r="25" spans="1:13" x14ac:dyDescent="0.35">
      <c r="A25" s="71"/>
      <c r="B25" s="63">
        <f t="shared" si="0"/>
        <v>12</v>
      </c>
      <c r="C25" s="23">
        <v>44896</v>
      </c>
      <c r="D25" s="24">
        <v>10500</v>
      </c>
      <c r="E25" s="59">
        <v>24</v>
      </c>
      <c r="F25" s="59">
        <v>8328.5340314136138</v>
      </c>
      <c r="G25" s="59">
        <f t="shared" si="1"/>
        <v>8655.2482003737241</v>
      </c>
      <c r="H25" s="22">
        <v>10911.897071098227</v>
      </c>
      <c r="I25" s="22">
        <v>8</v>
      </c>
      <c r="J25" s="22">
        <v>7</v>
      </c>
      <c r="K25" s="22">
        <v>8100</v>
      </c>
      <c r="M25" s="22">
        <f t="shared" si="3"/>
        <v>1.0693069306930694</v>
      </c>
    </row>
    <row r="26" spans="1:13" x14ac:dyDescent="0.35">
      <c r="C26" s="23">
        <v>44927</v>
      </c>
      <c r="E26" s="59">
        <v>25</v>
      </c>
      <c r="F26" s="59">
        <f t="array" ref="F26:F37">D26:D37/$M$19:$M$30</f>
        <v>0</v>
      </c>
      <c r="G26" s="59">
        <f>FORECAST(E26,$F$2:$F$25,$E$2:$E$25)</f>
        <v>8749.1828264931792</v>
      </c>
      <c r="H26" s="22">
        <f t="array" ref="H26:H37">G26:G37*$M$19:$M$30</f>
        <v>7623.0503834792053</v>
      </c>
      <c r="I26" s="22">
        <v>9</v>
      </c>
      <c r="J26" s="22">
        <v>8</v>
      </c>
      <c r="K26" s="22">
        <v>6600</v>
      </c>
      <c r="M26" s="22">
        <f t="shared" si="3"/>
        <v>0.87128712871287128</v>
      </c>
    </row>
    <row r="27" spans="1:13" x14ac:dyDescent="0.35">
      <c r="C27" s="23">
        <v>44958</v>
      </c>
      <c r="E27" s="59">
        <v>26</v>
      </c>
      <c r="F27" s="59">
        <v>0</v>
      </c>
      <c r="G27" s="59">
        <f t="shared" ref="G27:G37" si="4">FORECAST(E27,$F$2:$F$25,$E$2:$E$25)</f>
        <v>8843.1174526126324</v>
      </c>
      <c r="H27" s="22">
        <v>7179.5607041013454</v>
      </c>
      <c r="I27" s="22">
        <v>10</v>
      </c>
      <c r="J27" s="22">
        <v>9</v>
      </c>
      <c r="K27" s="22">
        <v>6350</v>
      </c>
      <c r="M27" s="22">
        <f t="shared" si="3"/>
        <v>0.83828382838283833</v>
      </c>
    </row>
    <row r="28" spans="1:13" x14ac:dyDescent="0.35">
      <c r="C28" s="23">
        <v>44986</v>
      </c>
      <c r="E28" s="59">
        <v>27</v>
      </c>
      <c r="F28" s="59">
        <v>0</v>
      </c>
      <c r="G28" s="59">
        <f t="shared" si="4"/>
        <v>8937.0520787320875</v>
      </c>
      <c r="H28" s="22">
        <v>6547.9391467938067</v>
      </c>
      <c r="I28" s="22">
        <v>11</v>
      </c>
      <c r="J28" s="22">
        <v>10</v>
      </c>
      <c r="K28" s="22">
        <v>8300</v>
      </c>
      <c r="M28" s="22">
        <f t="shared" si="3"/>
        <v>1.0957095709570956</v>
      </c>
    </row>
    <row r="29" spans="1:13" x14ac:dyDescent="0.35">
      <c r="C29" s="23">
        <v>45017</v>
      </c>
      <c r="E29" s="59">
        <v>28</v>
      </c>
      <c r="F29" s="59">
        <v>0</v>
      </c>
      <c r="G29" s="59">
        <f t="shared" si="4"/>
        <v>9030.9867048515407</v>
      </c>
      <c r="H29" s="22">
        <v>8881.960521603165</v>
      </c>
      <c r="I29" s="22">
        <v>12</v>
      </c>
      <c r="J29" s="22">
        <v>11</v>
      </c>
      <c r="K29" s="22">
        <v>9200</v>
      </c>
      <c r="M29" s="22">
        <f t="shared" si="3"/>
        <v>1.2145214521452146</v>
      </c>
    </row>
    <row r="30" spans="1:13" x14ac:dyDescent="0.35">
      <c r="C30" s="23">
        <v>45047</v>
      </c>
      <c r="E30" s="59">
        <v>29</v>
      </c>
      <c r="F30" s="59">
        <v>0</v>
      </c>
      <c r="G30" s="59">
        <f t="shared" si="4"/>
        <v>9124.9213309709958</v>
      </c>
      <c r="H30" s="22">
        <v>10058.494140410272</v>
      </c>
      <c r="J30" s="22">
        <v>12</v>
      </c>
      <c r="K30" s="22">
        <v>9550</v>
      </c>
      <c r="M30" s="22">
        <f t="shared" si="3"/>
        <v>1.2607260726072607</v>
      </c>
    </row>
    <row r="31" spans="1:13" x14ac:dyDescent="0.35">
      <c r="C31" s="23">
        <v>45078</v>
      </c>
      <c r="E31" s="59">
        <v>30</v>
      </c>
      <c r="F31" s="59">
        <v>0</v>
      </c>
      <c r="G31" s="59">
        <f t="shared" si="4"/>
        <v>9218.8559570904508</v>
      </c>
      <c r="H31" s="22">
        <v>10587.992980420715</v>
      </c>
    </row>
    <row r="32" spans="1:13" x14ac:dyDescent="0.35">
      <c r="C32" s="23">
        <v>45108</v>
      </c>
      <c r="E32" s="59">
        <v>31</v>
      </c>
      <c r="F32" s="59">
        <v>0</v>
      </c>
      <c r="G32" s="59">
        <f t="shared" si="4"/>
        <v>9312.7905832099059</v>
      </c>
      <c r="H32" s="22">
        <v>9958.231514719504</v>
      </c>
    </row>
    <row r="33" spans="3:8" x14ac:dyDescent="0.35">
      <c r="C33" s="23">
        <v>45139</v>
      </c>
      <c r="E33" s="59">
        <v>32</v>
      </c>
      <c r="F33" s="59">
        <v>0</v>
      </c>
      <c r="G33" s="59">
        <f t="shared" si="4"/>
        <v>9406.7252093293591</v>
      </c>
      <c r="H33" s="22">
        <v>8195.9585982275603</v>
      </c>
    </row>
    <row r="34" spans="3:8" x14ac:dyDescent="0.35">
      <c r="C34" s="23">
        <v>45170</v>
      </c>
      <c r="E34" s="59">
        <v>33</v>
      </c>
      <c r="F34" s="59">
        <v>0</v>
      </c>
      <c r="G34" s="59">
        <f t="shared" si="4"/>
        <v>9500.6598354488124</v>
      </c>
      <c r="H34" s="22">
        <v>7964.2494990230971</v>
      </c>
    </row>
    <row r="35" spans="3:8" x14ac:dyDescent="0.35">
      <c r="C35" s="23">
        <v>45200</v>
      </c>
      <c r="E35" s="59">
        <v>34</v>
      </c>
      <c r="F35" s="59">
        <v>0</v>
      </c>
      <c r="G35" s="59">
        <f t="shared" si="4"/>
        <v>9594.5944615682674</v>
      </c>
      <c r="H35" s="22">
        <v>10512.888980992293</v>
      </c>
    </row>
    <row r="36" spans="3:8" x14ac:dyDescent="0.35">
      <c r="C36" s="23">
        <v>45231</v>
      </c>
      <c r="E36" s="59">
        <v>35</v>
      </c>
      <c r="F36" s="59">
        <v>0</v>
      </c>
      <c r="G36" s="59">
        <f t="shared" si="4"/>
        <v>9688.5290876877225</v>
      </c>
      <c r="H36" s="22">
        <v>11766.926416729644</v>
      </c>
    </row>
    <row r="37" spans="3:8" x14ac:dyDescent="0.35">
      <c r="C37" s="23">
        <v>45261</v>
      </c>
      <c r="E37" s="59">
        <v>36</v>
      </c>
      <c r="F37" s="59">
        <v>0</v>
      </c>
      <c r="G37" s="59">
        <f t="shared" si="4"/>
        <v>9782.4637138071776</v>
      </c>
      <c r="H37" s="22">
        <v>12333.007058331161</v>
      </c>
    </row>
  </sheetData>
  <mergeCells count="3">
    <mergeCell ref="Q2:Q13"/>
    <mergeCell ref="A2:A13"/>
    <mergeCell ref="A14:A25"/>
  </mergeCells>
  <phoneticPr fontId="1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4"/>
  <sheetViews>
    <sheetView tabSelected="1" topLeftCell="A10" zoomScale="90" zoomScaleNormal="90" workbookViewId="0">
      <selection activeCell="F83" sqref="F83"/>
    </sheetView>
  </sheetViews>
  <sheetFormatPr defaultColWidth="8.75" defaultRowHeight="13.5" x14ac:dyDescent="0.3"/>
  <cols>
    <col min="1" max="1" width="10.125" style="26" bestFit="1" customWidth="1"/>
    <col min="2" max="3" width="10.125" style="26" customWidth="1"/>
    <col min="4" max="4" width="11.125" style="26" bestFit="1" customWidth="1"/>
    <col min="5" max="7" width="8.75" style="26"/>
    <col min="8" max="8" width="10.4375" style="26" customWidth="1"/>
    <col min="9" max="9" width="17.75" style="26" bestFit="1" customWidth="1"/>
    <col min="10" max="10" width="11.125" style="26" customWidth="1"/>
    <col min="11" max="11" width="12" style="26" bestFit="1" customWidth="1"/>
    <col min="12" max="12" width="8.75" style="26"/>
    <col min="13" max="13" width="11.75" style="26" bestFit="1" customWidth="1"/>
    <col min="14" max="16384" width="8.75" style="26"/>
  </cols>
  <sheetData>
    <row r="1" spans="1:14" ht="15.75" x14ac:dyDescent="0.3">
      <c r="A1" s="25" t="s">
        <v>2403</v>
      </c>
      <c r="B1" s="25" t="s">
        <v>2506</v>
      </c>
      <c r="C1" s="25" t="s">
        <v>2507</v>
      </c>
      <c r="D1" s="25" t="s">
        <v>2404</v>
      </c>
      <c r="F1" s="26" t="s">
        <v>2508</v>
      </c>
      <c r="G1" s="27"/>
      <c r="I1"/>
      <c r="J1"/>
      <c r="K1"/>
      <c r="L1"/>
      <c r="M1"/>
    </row>
    <row r="2" spans="1:14" ht="15.75" x14ac:dyDescent="0.3">
      <c r="A2" s="28">
        <v>1</v>
      </c>
      <c r="B2" s="28">
        <f>A2^2</f>
        <v>1</v>
      </c>
      <c r="C2" s="28">
        <f>A2^3</f>
        <v>1</v>
      </c>
      <c r="D2" s="28">
        <v>74786</v>
      </c>
      <c r="E2" s="26">
        <f>$G$3*A2+$G$2</f>
        <v>110675.56559139783</v>
      </c>
      <c r="F2" s="26">
        <f>$I$3*C2+$J$3*B2+$K$3*A2+$L$3</f>
        <v>72989.814442814968</v>
      </c>
      <c r="G2" s="26">
        <f>INTERCEPT(D2:D31,A2:A31)</f>
        <v>102556.67816091952</v>
      </c>
      <c r="I2"/>
      <c r="J2"/>
      <c r="K2"/>
      <c r="L2"/>
      <c r="M2"/>
    </row>
    <row r="3" spans="1:14" ht="15.75" x14ac:dyDescent="0.3">
      <c r="A3" s="28">
        <v>2</v>
      </c>
      <c r="B3" s="28">
        <f t="shared" ref="B3:B32" si="0">A3^2</f>
        <v>4</v>
      </c>
      <c r="C3" s="28">
        <f t="shared" ref="C3:C32" si="1">A3^3</f>
        <v>8</v>
      </c>
      <c r="D3" s="28">
        <v>89905</v>
      </c>
      <c r="E3" s="26">
        <f t="shared" ref="E3:E32" si="2">$G$3*A3+$G$2</f>
        <v>118794.45302187614</v>
      </c>
      <c r="F3" s="26">
        <f t="shared" ref="F3:F32" si="3">$I$3*C3+$J$3*B3+$K$3*A3+$L$3</f>
        <v>94022.874206188484</v>
      </c>
      <c r="G3" s="26">
        <f>SLOPE(D2:D31,A2:A31)</f>
        <v>8118.8874304783094</v>
      </c>
      <c r="I3">
        <f t="array" ref="I3:L3">LINEST(D2:D31,A2:C31,TRUE,TRUE)</f>
        <v>22.562259131919937</v>
      </c>
      <c r="J3">
        <v>-1144.8568921577164</v>
      </c>
      <c r="K3">
        <v>24309.69462592321</v>
      </c>
      <c r="L3">
        <v>49802.41444991756</v>
      </c>
      <c r="M3"/>
    </row>
    <row r="4" spans="1:14" ht="15.75" x14ac:dyDescent="0.3">
      <c r="A4" s="28">
        <v>3</v>
      </c>
      <c r="B4" s="28">
        <f t="shared" si="0"/>
        <v>9</v>
      </c>
      <c r="C4" s="28">
        <f t="shared" si="1"/>
        <v>27</v>
      </c>
      <c r="D4" s="28">
        <v>120173</v>
      </c>
      <c r="E4" s="26">
        <f t="shared" si="2"/>
        <v>126913.34045235445</v>
      </c>
      <c r="F4" s="26">
        <f t="shared" si="3"/>
        <v>113036.96729482958</v>
      </c>
      <c r="I4"/>
      <c r="J4"/>
      <c r="M4"/>
    </row>
    <row r="5" spans="1:14" ht="15.75" x14ac:dyDescent="0.3">
      <c r="A5" s="28">
        <v>4</v>
      </c>
      <c r="B5" s="28">
        <f t="shared" si="0"/>
        <v>16</v>
      </c>
      <c r="C5" s="28">
        <f t="shared" si="1"/>
        <v>64</v>
      </c>
      <c r="D5" s="28">
        <v>135372</v>
      </c>
      <c r="E5" s="26">
        <f t="shared" si="2"/>
        <v>135032.22788283275</v>
      </c>
      <c r="F5" s="26">
        <f t="shared" si="3"/>
        <v>130167.4672635298</v>
      </c>
      <c r="I5"/>
      <c r="J5"/>
      <c r="M5"/>
    </row>
    <row r="6" spans="1:14" ht="15.75" x14ac:dyDescent="0.3">
      <c r="A6" s="28">
        <v>5</v>
      </c>
      <c r="B6" s="28">
        <f t="shared" si="0"/>
        <v>25</v>
      </c>
      <c r="C6" s="28">
        <f t="shared" si="1"/>
        <v>125</v>
      </c>
      <c r="D6" s="28">
        <v>147122</v>
      </c>
      <c r="E6" s="26">
        <f t="shared" si="2"/>
        <v>143151.11531331105</v>
      </c>
      <c r="F6" s="26">
        <f t="shared" si="3"/>
        <v>145549.74766708069</v>
      </c>
      <c r="I6"/>
      <c r="J6"/>
      <c r="M6"/>
    </row>
    <row r="7" spans="1:14" x14ac:dyDescent="0.3">
      <c r="A7" s="28">
        <v>6</v>
      </c>
      <c r="B7" s="28">
        <f t="shared" si="0"/>
        <v>36</v>
      </c>
      <c r="C7" s="28">
        <f t="shared" si="1"/>
        <v>216</v>
      </c>
      <c r="D7" s="28">
        <v>153348</v>
      </c>
      <c r="E7" s="26">
        <f t="shared" si="2"/>
        <v>151270.00274378937</v>
      </c>
      <c r="F7" s="26">
        <f t="shared" si="3"/>
        <v>159319.18206027374</v>
      </c>
    </row>
    <row r="8" spans="1:14" x14ac:dyDescent="0.3">
      <c r="A8" s="28">
        <v>7</v>
      </c>
      <c r="B8" s="28">
        <f t="shared" si="0"/>
        <v>49</v>
      </c>
      <c r="C8" s="28">
        <f t="shared" si="1"/>
        <v>343</v>
      </c>
      <c r="D8" s="28">
        <v>162600</v>
      </c>
      <c r="E8" s="26">
        <f t="shared" si="2"/>
        <v>159388.8901742677</v>
      </c>
      <c r="F8" s="26">
        <f t="shared" si="3"/>
        <v>171611.14399790048</v>
      </c>
      <c r="K8" s="29" t="s">
        <v>2405</v>
      </c>
      <c r="L8" s="28">
        <v>31</v>
      </c>
    </row>
    <row r="9" spans="1:14" ht="15.75" x14ac:dyDescent="0.4">
      <c r="A9" s="28">
        <v>8</v>
      </c>
      <c r="B9" s="28">
        <f t="shared" si="0"/>
        <v>64</v>
      </c>
      <c r="C9" s="28">
        <f t="shared" si="1"/>
        <v>512</v>
      </c>
      <c r="D9" s="28">
        <v>179316</v>
      </c>
      <c r="E9" s="26">
        <f t="shared" si="2"/>
        <v>167507.77760474599</v>
      </c>
      <c r="F9" s="26">
        <f t="shared" si="3"/>
        <v>182561.0070347524</v>
      </c>
      <c r="K9" s="29" t="s">
        <v>2406</v>
      </c>
      <c r="L9" s="30">
        <v>354242.18850574712</v>
      </c>
      <c r="M9" s="31"/>
      <c r="N9" s="31"/>
    </row>
    <row r="10" spans="1:14" ht="15.75" x14ac:dyDescent="0.4">
      <c r="A10" s="28">
        <v>9</v>
      </c>
      <c r="B10" s="28">
        <f t="shared" si="0"/>
        <v>81</v>
      </c>
      <c r="C10" s="28">
        <f t="shared" si="1"/>
        <v>729</v>
      </c>
      <c r="D10" s="28">
        <v>182274</v>
      </c>
      <c r="E10" s="26">
        <f t="shared" si="2"/>
        <v>175626.66503522429</v>
      </c>
      <c r="F10" s="26">
        <f t="shared" si="3"/>
        <v>192304.14472562104</v>
      </c>
      <c r="K10" s="29" t="s">
        <v>2407</v>
      </c>
      <c r="L10" s="32">
        <f>F32</f>
        <v>375347.73628899845</v>
      </c>
    </row>
    <row r="11" spans="1:14" x14ac:dyDescent="0.3">
      <c r="A11" s="28">
        <v>10</v>
      </c>
      <c r="B11" s="28">
        <f t="shared" si="0"/>
        <v>100</v>
      </c>
      <c r="C11" s="28">
        <f t="shared" si="1"/>
        <v>1000</v>
      </c>
      <c r="D11" s="28">
        <v>205214</v>
      </c>
      <c r="E11" s="26">
        <f t="shared" si="2"/>
        <v>183745.55246570261</v>
      </c>
      <c r="F11" s="26">
        <f t="shared" si="3"/>
        <v>200975.93062529794</v>
      </c>
    </row>
    <row r="12" spans="1:14" x14ac:dyDescent="0.3">
      <c r="A12" s="28">
        <v>11</v>
      </c>
      <c r="B12" s="28">
        <f t="shared" si="0"/>
        <v>121</v>
      </c>
      <c r="C12" s="28">
        <f t="shared" si="1"/>
        <v>1331</v>
      </c>
      <c r="D12" s="28">
        <v>201940</v>
      </c>
      <c r="E12" s="26">
        <f t="shared" si="2"/>
        <v>191864.43989618093</v>
      </c>
      <c r="F12" s="26">
        <f t="shared" si="3"/>
        <v>208711.73828857462</v>
      </c>
    </row>
    <row r="13" spans="1:14" x14ac:dyDescent="0.3">
      <c r="A13" s="28">
        <v>12</v>
      </c>
      <c r="B13" s="28">
        <f t="shared" si="0"/>
        <v>144</v>
      </c>
      <c r="C13" s="28">
        <f t="shared" si="1"/>
        <v>1728</v>
      </c>
      <c r="D13" s="28">
        <v>227394</v>
      </c>
      <c r="E13" s="26">
        <f t="shared" si="2"/>
        <v>199983.32732665923</v>
      </c>
      <c r="F13" s="26">
        <f t="shared" si="3"/>
        <v>215646.94127024256</v>
      </c>
    </row>
    <row r="14" spans="1:14" x14ac:dyDescent="0.3">
      <c r="A14" s="28">
        <v>13</v>
      </c>
      <c r="B14" s="28">
        <f t="shared" si="0"/>
        <v>169</v>
      </c>
      <c r="C14" s="28">
        <f t="shared" si="1"/>
        <v>2197</v>
      </c>
      <c r="D14" s="28">
        <v>232175</v>
      </c>
      <c r="E14" s="26">
        <f t="shared" si="2"/>
        <v>208102.21475713752</v>
      </c>
      <c r="F14" s="26">
        <f t="shared" si="3"/>
        <v>221916.9131250933</v>
      </c>
    </row>
    <row r="15" spans="1:14" x14ac:dyDescent="0.3">
      <c r="A15" s="28">
        <v>14</v>
      </c>
      <c r="B15" s="28">
        <f t="shared" si="0"/>
        <v>196</v>
      </c>
      <c r="C15" s="28">
        <f t="shared" si="1"/>
        <v>2744</v>
      </c>
      <c r="D15" s="28">
        <v>221130</v>
      </c>
      <c r="E15" s="26">
        <f t="shared" si="2"/>
        <v>216221.10218761585</v>
      </c>
      <c r="F15" s="26">
        <f t="shared" si="3"/>
        <v>227657.02740791842</v>
      </c>
    </row>
    <row r="16" spans="1:14" x14ac:dyDescent="0.3">
      <c r="A16" s="28">
        <v>15</v>
      </c>
      <c r="B16" s="28">
        <f t="shared" si="0"/>
        <v>225</v>
      </c>
      <c r="C16" s="28">
        <f t="shared" si="1"/>
        <v>3375</v>
      </c>
      <c r="D16" s="28">
        <v>234483</v>
      </c>
      <c r="E16" s="26">
        <f t="shared" si="2"/>
        <v>224339.98961809417</v>
      </c>
      <c r="F16" s="26">
        <f t="shared" si="3"/>
        <v>233002.6576735093</v>
      </c>
    </row>
    <row r="17" spans="1:6" x14ac:dyDescent="0.3">
      <c r="A17" s="28">
        <v>16</v>
      </c>
      <c r="B17" s="28">
        <f t="shared" si="0"/>
        <v>256</v>
      </c>
      <c r="C17" s="28">
        <f t="shared" si="1"/>
        <v>4096</v>
      </c>
      <c r="D17" s="28">
        <v>245641</v>
      </c>
      <c r="E17" s="26">
        <f t="shared" si="2"/>
        <v>232458.87704857247</v>
      </c>
      <c r="F17" s="26">
        <f t="shared" si="3"/>
        <v>238089.17747665758</v>
      </c>
    </row>
    <row r="18" spans="1:6" x14ac:dyDescent="0.3">
      <c r="A18" s="28">
        <v>17</v>
      </c>
      <c r="B18" s="28">
        <f t="shared" si="0"/>
        <v>289</v>
      </c>
      <c r="C18" s="28">
        <f t="shared" si="1"/>
        <v>4913</v>
      </c>
      <c r="D18" s="28">
        <v>245741</v>
      </c>
      <c r="E18" s="26">
        <f t="shared" si="2"/>
        <v>240577.76447905076</v>
      </c>
      <c r="F18" s="26">
        <f t="shared" si="3"/>
        <v>243051.96037215478</v>
      </c>
    </row>
    <row r="19" spans="1:6" x14ac:dyDescent="0.3">
      <c r="A19" s="28">
        <v>18</v>
      </c>
      <c r="B19" s="28">
        <f t="shared" si="0"/>
        <v>324</v>
      </c>
      <c r="C19" s="28">
        <f t="shared" si="1"/>
        <v>5832</v>
      </c>
      <c r="D19" s="28">
        <v>251236</v>
      </c>
      <c r="E19" s="26">
        <f t="shared" si="2"/>
        <v>248696.65190952909</v>
      </c>
      <c r="F19" s="26">
        <f t="shared" si="3"/>
        <v>248026.37991479228</v>
      </c>
    </row>
    <row r="20" spans="1:6" x14ac:dyDescent="0.3">
      <c r="A20" s="28">
        <v>19</v>
      </c>
      <c r="B20" s="28">
        <f t="shared" si="0"/>
        <v>361</v>
      </c>
      <c r="C20" s="28">
        <f t="shared" si="1"/>
        <v>6859</v>
      </c>
      <c r="D20" s="28">
        <v>251814</v>
      </c>
      <c r="E20" s="26">
        <f t="shared" si="2"/>
        <v>256815.53934000741</v>
      </c>
      <c r="F20" s="26">
        <f t="shared" si="3"/>
        <v>253147.80965936181</v>
      </c>
    </row>
    <row r="21" spans="1:6" x14ac:dyDescent="0.3">
      <c r="A21" s="28">
        <v>20</v>
      </c>
      <c r="B21" s="28">
        <f t="shared" si="0"/>
        <v>400</v>
      </c>
      <c r="C21" s="28">
        <f t="shared" si="1"/>
        <v>8000</v>
      </c>
      <c r="D21" s="28">
        <v>255622</v>
      </c>
      <c r="E21" s="26">
        <f t="shared" si="2"/>
        <v>264934.4267704857</v>
      </c>
      <c r="F21" s="26">
        <f t="shared" si="3"/>
        <v>258551.62316065468</v>
      </c>
    </row>
    <row r="22" spans="1:6" x14ac:dyDescent="0.3">
      <c r="A22" s="28">
        <v>21</v>
      </c>
      <c r="B22" s="28">
        <f t="shared" si="0"/>
        <v>441</v>
      </c>
      <c r="C22" s="28">
        <f t="shared" si="1"/>
        <v>9261</v>
      </c>
      <c r="D22" s="28">
        <v>262415</v>
      </c>
      <c r="E22" s="26">
        <f t="shared" si="2"/>
        <v>273053.314200964</v>
      </c>
      <c r="F22" s="26">
        <f t="shared" si="3"/>
        <v>264373.19397346262</v>
      </c>
    </row>
    <row r="23" spans="1:6" x14ac:dyDescent="0.3">
      <c r="A23" s="28">
        <v>22</v>
      </c>
      <c r="B23" s="28">
        <f t="shared" si="0"/>
        <v>484</v>
      </c>
      <c r="C23" s="28">
        <f t="shared" si="1"/>
        <v>10648</v>
      </c>
      <c r="D23" s="28">
        <v>274702</v>
      </c>
      <c r="E23" s="26">
        <f t="shared" si="2"/>
        <v>281172.20163144229</v>
      </c>
      <c r="F23" s="26">
        <f t="shared" si="3"/>
        <v>270747.89565257687</v>
      </c>
    </row>
    <row r="24" spans="1:6" x14ac:dyDescent="0.3">
      <c r="A24" s="28">
        <v>23</v>
      </c>
      <c r="B24" s="28">
        <f t="shared" si="0"/>
        <v>529</v>
      </c>
      <c r="C24" s="28">
        <f t="shared" si="1"/>
        <v>12167</v>
      </c>
      <c r="D24" s="28">
        <v>277978</v>
      </c>
      <c r="E24" s="26">
        <f t="shared" si="2"/>
        <v>289291.08906192065</v>
      </c>
      <c r="F24" s="26">
        <f t="shared" si="3"/>
        <v>277811.10175278923</v>
      </c>
    </row>
    <row r="25" spans="1:6" x14ac:dyDescent="0.3">
      <c r="A25" s="28">
        <v>24</v>
      </c>
      <c r="B25" s="28">
        <f t="shared" si="0"/>
        <v>576</v>
      </c>
      <c r="C25" s="28">
        <f t="shared" si="1"/>
        <v>13824</v>
      </c>
      <c r="D25" s="28">
        <v>277827</v>
      </c>
      <c r="E25" s="26">
        <f t="shared" si="2"/>
        <v>297409.97649239894</v>
      </c>
      <c r="F25" s="26">
        <f t="shared" si="3"/>
        <v>285698.18582889118</v>
      </c>
    </row>
    <row r="26" spans="1:6" x14ac:dyDescent="0.3">
      <c r="A26" s="28">
        <v>25</v>
      </c>
      <c r="B26" s="28">
        <f t="shared" si="0"/>
        <v>625</v>
      </c>
      <c r="C26" s="28">
        <f t="shared" si="1"/>
        <v>15625</v>
      </c>
      <c r="D26" s="28">
        <v>279407</v>
      </c>
      <c r="E26" s="26">
        <f t="shared" si="2"/>
        <v>305528.86392287724</v>
      </c>
      <c r="F26" s="26">
        <f t="shared" si="3"/>
        <v>294544.52143567405</v>
      </c>
    </row>
    <row r="27" spans="1:6" x14ac:dyDescent="0.3">
      <c r="A27" s="28">
        <v>26</v>
      </c>
      <c r="B27" s="28">
        <f t="shared" si="0"/>
        <v>676</v>
      </c>
      <c r="C27" s="28">
        <f t="shared" si="1"/>
        <v>17576</v>
      </c>
      <c r="D27" s="28">
        <v>312325</v>
      </c>
      <c r="E27" s="26">
        <f t="shared" si="2"/>
        <v>313647.75135335559</v>
      </c>
      <c r="F27" s="26">
        <f t="shared" si="3"/>
        <v>304485.48212792951</v>
      </c>
    </row>
    <row r="28" spans="1:6" x14ac:dyDescent="0.3">
      <c r="A28" s="28">
        <v>27</v>
      </c>
      <c r="B28" s="28">
        <f t="shared" si="0"/>
        <v>729</v>
      </c>
      <c r="C28" s="28">
        <f t="shared" si="1"/>
        <v>19683</v>
      </c>
      <c r="D28" s="28">
        <v>316643</v>
      </c>
      <c r="E28" s="26">
        <f t="shared" si="2"/>
        <v>321766.63878383389</v>
      </c>
      <c r="F28" s="26">
        <f t="shared" si="3"/>
        <v>315656.44146044919</v>
      </c>
    </row>
    <row r="29" spans="1:6" x14ac:dyDescent="0.3">
      <c r="A29" s="28">
        <v>28</v>
      </c>
      <c r="B29" s="28">
        <f t="shared" si="0"/>
        <v>784</v>
      </c>
      <c r="C29" s="28">
        <f t="shared" si="1"/>
        <v>21952</v>
      </c>
      <c r="D29" s="28">
        <v>331654</v>
      </c>
      <c r="E29" s="26">
        <f t="shared" si="2"/>
        <v>329885.52621431218</v>
      </c>
      <c r="F29" s="26">
        <f t="shared" si="3"/>
        <v>328192.77298802428</v>
      </c>
    </row>
    <row r="30" spans="1:6" x14ac:dyDescent="0.3">
      <c r="A30" s="28">
        <v>29</v>
      </c>
      <c r="B30" s="28">
        <f t="shared" si="0"/>
        <v>841</v>
      </c>
      <c r="C30" s="28">
        <f t="shared" si="1"/>
        <v>24389</v>
      </c>
      <c r="D30" s="28">
        <v>342293</v>
      </c>
      <c r="E30" s="26">
        <f t="shared" si="2"/>
        <v>338004.41364479047</v>
      </c>
      <c r="F30" s="26">
        <f t="shared" si="3"/>
        <v>342229.85026544641</v>
      </c>
    </row>
    <row r="31" spans="1:6" x14ac:dyDescent="0.3">
      <c r="A31" s="28">
        <v>30</v>
      </c>
      <c r="B31" s="28">
        <f t="shared" si="0"/>
        <v>900</v>
      </c>
      <c r="C31" s="28">
        <f t="shared" si="1"/>
        <v>27000</v>
      </c>
      <c r="D31" s="28">
        <v>359453</v>
      </c>
      <c r="E31" s="26">
        <f t="shared" si="2"/>
        <v>346123.30107526877</v>
      </c>
      <c r="F31" s="26">
        <f t="shared" si="3"/>
        <v>357903.04684750742</v>
      </c>
    </row>
    <row r="32" spans="1:6" x14ac:dyDescent="0.3">
      <c r="A32" s="26">
        <v>31</v>
      </c>
      <c r="B32" s="28">
        <f t="shared" si="0"/>
        <v>961</v>
      </c>
      <c r="C32" s="28">
        <f t="shared" si="1"/>
        <v>29791</v>
      </c>
      <c r="E32" s="26">
        <f t="shared" si="2"/>
        <v>354242.18850574712</v>
      </c>
      <c r="F32" s="26">
        <f t="shared" si="3"/>
        <v>375347.73628899845</v>
      </c>
    </row>
    <row r="33" customFormat="1" ht="15.75" x14ac:dyDescent="0.4"/>
    <row r="34" customFormat="1" ht="15.75" x14ac:dyDescent="0.4"/>
    <row r="35" customFormat="1" ht="15.75" x14ac:dyDescent="0.4"/>
    <row r="36" customFormat="1" ht="15.75" x14ac:dyDescent="0.4"/>
    <row r="37" customFormat="1" ht="15.75" x14ac:dyDescent="0.4"/>
    <row r="38" customFormat="1" ht="15.75" x14ac:dyDescent="0.4"/>
    <row r="39" customFormat="1" ht="15.75" x14ac:dyDescent="0.4"/>
    <row r="40" customFormat="1" ht="15.75" x14ac:dyDescent="0.4"/>
    <row r="41" customFormat="1" ht="15.75" x14ac:dyDescent="0.4"/>
    <row r="42" customFormat="1" ht="15.75" x14ac:dyDescent="0.4"/>
    <row r="43" customFormat="1" ht="15.75" x14ac:dyDescent="0.4"/>
    <row r="44" customFormat="1" ht="15.75" x14ac:dyDescent="0.4"/>
    <row r="45" customFormat="1" ht="15.75" x14ac:dyDescent="0.4"/>
    <row r="46" customFormat="1" ht="15.75" x14ac:dyDescent="0.4"/>
    <row r="47" customFormat="1" ht="15.75" x14ac:dyDescent="0.4"/>
    <row r="48" customFormat="1" ht="15.75" x14ac:dyDescent="0.4"/>
    <row r="49" spans="1:11" customFormat="1" ht="15.75" x14ac:dyDescent="0.4"/>
    <row r="50" spans="1:11" customFormat="1" ht="15.75" x14ac:dyDescent="0.4"/>
    <row r="51" spans="1:11" customFormat="1" ht="15.75" x14ac:dyDescent="0.4">
      <c r="A51" t="s">
        <v>2481</v>
      </c>
    </row>
    <row r="52" spans="1:11" customFormat="1" ht="16.149999999999999" thickBot="1" x14ac:dyDescent="0.45"/>
    <row r="53" spans="1:11" customFormat="1" ht="15.75" x14ac:dyDescent="0.4">
      <c r="A53" s="84" t="s">
        <v>2482</v>
      </c>
      <c r="B53" s="84"/>
      <c r="C53" s="84"/>
      <c r="D53" s="84"/>
    </row>
    <row r="54" spans="1:11" ht="15.75" x14ac:dyDescent="0.3">
      <c r="A54" s="81" t="s">
        <v>2483</v>
      </c>
      <c r="B54" s="81"/>
      <c r="C54" s="81"/>
      <c r="D54" s="81">
        <v>0.97940137034460995</v>
      </c>
      <c r="E54"/>
      <c r="F54"/>
      <c r="G54"/>
      <c r="H54"/>
      <c r="I54"/>
      <c r="J54"/>
      <c r="K54"/>
    </row>
    <row r="55" spans="1:11" ht="15.75" x14ac:dyDescent="0.3">
      <c r="A55" s="81" t="s">
        <v>2484</v>
      </c>
      <c r="B55" s="81"/>
      <c r="C55" s="81"/>
      <c r="D55" s="81">
        <v>0.95922704423289973</v>
      </c>
      <c r="E55"/>
      <c r="F55"/>
      <c r="G55"/>
      <c r="H55"/>
      <c r="I55"/>
      <c r="J55"/>
      <c r="K55"/>
    </row>
    <row r="56" spans="1:11" ht="15.75" x14ac:dyDescent="0.3">
      <c r="A56" s="81" t="s">
        <v>2485</v>
      </c>
      <c r="B56" s="81"/>
      <c r="C56" s="81"/>
      <c r="D56" s="81">
        <v>0.95777086724121752</v>
      </c>
      <c r="E56"/>
      <c r="F56"/>
      <c r="G56"/>
      <c r="H56"/>
      <c r="I56"/>
      <c r="J56"/>
      <c r="K56"/>
    </row>
    <row r="57" spans="1:11" ht="15.75" x14ac:dyDescent="0.3">
      <c r="A57" s="81" t="s">
        <v>2486</v>
      </c>
      <c r="B57" s="81"/>
      <c r="C57" s="81"/>
      <c r="D57" s="81">
        <v>14996.597834874063</v>
      </c>
      <c r="E57"/>
      <c r="F57"/>
      <c r="G57"/>
      <c r="H57"/>
      <c r="I57"/>
      <c r="J57"/>
      <c r="K57"/>
    </row>
    <row r="58" spans="1:11" ht="16.149999999999999" thickBot="1" x14ac:dyDescent="0.35">
      <c r="A58" s="82" t="s">
        <v>2487</v>
      </c>
      <c r="B58" s="82"/>
      <c r="C58" s="82"/>
      <c r="D58" s="82">
        <v>30</v>
      </c>
      <c r="E58"/>
      <c r="F58"/>
      <c r="G58"/>
      <c r="H58"/>
      <c r="I58"/>
      <c r="J58"/>
      <c r="K58"/>
    </row>
    <row r="59" spans="1:11" ht="15.75" x14ac:dyDescent="0.3">
      <c r="A59"/>
      <c r="B59"/>
      <c r="C59"/>
      <c r="D59"/>
      <c r="E59"/>
      <c r="F59"/>
      <c r="G59"/>
      <c r="H59"/>
      <c r="I59"/>
      <c r="J59"/>
      <c r="K59"/>
    </row>
    <row r="60" spans="1:11" ht="16.149999999999999" thickBot="1" x14ac:dyDescent="0.35">
      <c r="A60" t="s">
        <v>2488</v>
      </c>
      <c r="B60"/>
      <c r="C60"/>
      <c r="D60"/>
      <c r="E60"/>
      <c r="F60"/>
      <c r="G60"/>
      <c r="H60"/>
      <c r="I60"/>
      <c r="J60"/>
      <c r="K60"/>
    </row>
    <row r="61" spans="1:11" ht="15.75" x14ac:dyDescent="0.3">
      <c r="A61" s="83"/>
      <c r="B61" s="83"/>
      <c r="C61" s="83"/>
      <c r="D61" s="83" t="s">
        <v>2493</v>
      </c>
      <c r="E61" s="83" t="s">
        <v>2494</v>
      </c>
      <c r="F61" s="83" t="s">
        <v>2495</v>
      </c>
      <c r="G61" s="83" t="s">
        <v>2496</v>
      </c>
      <c r="H61" s="83" t="s">
        <v>2497</v>
      </c>
      <c r="I61"/>
      <c r="J61"/>
      <c r="K61"/>
    </row>
    <row r="62" spans="1:11" ht="15.75" x14ac:dyDescent="0.3">
      <c r="A62" s="81" t="s">
        <v>2489</v>
      </c>
      <c r="B62" s="81"/>
      <c r="C62" s="81"/>
      <c r="D62" s="81">
        <v>1</v>
      </c>
      <c r="E62" s="81">
        <v>148146958661.98007</v>
      </c>
      <c r="F62" s="81">
        <v>148146958661.98007</v>
      </c>
      <c r="G62" s="81">
        <v>658.72970779796367</v>
      </c>
      <c r="H62" s="81">
        <v>5.3471324608851831E-21</v>
      </c>
      <c r="I62"/>
      <c r="J62"/>
      <c r="K62"/>
    </row>
    <row r="63" spans="1:11" ht="15.75" x14ac:dyDescent="0.3">
      <c r="A63" s="81" t="s">
        <v>2490</v>
      </c>
      <c r="B63" s="81"/>
      <c r="C63" s="81"/>
      <c r="D63" s="81">
        <v>28</v>
      </c>
      <c r="E63" s="81">
        <v>6297142505.3865843</v>
      </c>
      <c r="F63" s="81">
        <v>224897946.62094945</v>
      </c>
      <c r="G63" s="81"/>
      <c r="H63" s="81"/>
      <c r="I63"/>
      <c r="J63"/>
      <c r="K63"/>
    </row>
    <row r="64" spans="1:11" ht="16.149999999999999" thickBot="1" x14ac:dyDescent="0.35">
      <c r="A64" s="82" t="s">
        <v>2491</v>
      </c>
      <c r="B64" s="82"/>
      <c r="C64" s="82"/>
      <c r="D64" s="82">
        <v>29</v>
      </c>
      <c r="E64" s="82">
        <v>154444101167.36667</v>
      </c>
      <c r="F64" s="82"/>
      <c r="G64" s="82"/>
      <c r="H64" s="82"/>
      <c r="I64"/>
      <c r="J64"/>
      <c r="K64"/>
    </row>
    <row r="65" spans="1:11" ht="16.149999999999999" thickBot="1" x14ac:dyDescent="0.35">
      <c r="A65"/>
      <c r="B65"/>
      <c r="C65"/>
      <c r="D65"/>
      <c r="E65"/>
      <c r="F65"/>
      <c r="G65"/>
      <c r="H65"/>
      <c r="I65"/>
      <c r="J65"/>
      <c r="K65"/>
    </row>
    <row r="66" spans="1:11" ht="15.75" x14ac:dyDescent="0.3">
      <c r="A66" s="83"/>
      <c r="B66" s="83"/>
      <c r="C66" s="83"/>
      <c r="D66" s="83" t="s">
        <v>2498</v>
      </c>
      <c r="E66" s="83" t="s">
        <v>2486</v>
      </c>
      <c r="F66" s="83" t="s">
        <v>2499</v>
      </c>
      <c r="G66" s="83" t="s">
        <v>2500</v>
      </c>
      <c r="H66" s="83" t="s">
        <v>2501</v>
      </c>
      <c r="I66" s="83" t="s">
        <v>2502</v>
      </c>
      <c r="J66" s="83" t="s">
        <v>2503</v>
      </c>
      <c r="K66" s="83" t="s">
        <v>2504</v>
      </c>
    </row>
    <row r="67" spans="1:11" ht="15.75" x14ac:dyDescent="0.3">
      <c r="A67" s="81" t="s">
        <v>2492</v>
      </c>
      <c r="B67" s="81"/>
      <c r="C67" s="81"/>
      <c r="D67" s="81">
        <v>102556.67816091952</v>
      </c>
      <c r="E67" s="81">
        <v>5615.8181242199298</v>
      </c>
      <c r="F67" s="81">
        <v>18.26210819018738</v>
      </c>
      <c r="G67" s="81">
        <v>4.3391187455178436E-17</v>
      </c>
      <c r="H67" s="81">
        <v>91053.196208244233</v>
      </c>
      <c r="I67" s="81">
        <v>114060.1601135948</v>
      </c>
      <c r="J67" s="81">
        <v>91053.196208244233</v>
      </c>
      <c r="K67" s="81">
        <v>114060.1601135948</v>
      </c>
    </row>
    <row r="68" spans="1:11" ht="16.149999999999999" thickBot="1" x14ac:dyDescent="0.35">
      <c r="A68" s="82" t="s">
        <v>2505</v>
      </c>
      <c r="B68" s="82"/>
      <c r="C68" s="82"/>
      <c r="D68" s="82">
        <v>8118.8874304783094</v>
      </c>
      <c r="E68" s="82">
        <v>316.33183082814031</v>
      </c>
      <c r="F68" s="82">
        <v>25.665730221405425</v>
      </c>
      <c r="G68" s="82">
        <v>5.3471324608851831E-21</v>
      </c>
      <c r="H68" s="82">
        <v>7470.9110490327821</v>
      </c>
      <c r="I68" s="82">
        <v>8766.8638119238367</v>
      </c>
      <c r="J68" s="82">
        <v>7470.9110490327821</v>
      </c>
      <c r="K68" s="82">
        <v>8766.8638119238367</v>
      </c>
    </row>
    <row r="69" spans="1:11" ht="15.75" x14ac:dyDescent="0.3">
      <c r="A69"/>
      <c r="B69"/>
      <c r="C69"/>
      <c r="D69"/>
      <c r="E69"/>
      <c r="F69"/>
      <c r="G69"/>
      <c r="H69"/>
      <c r="I69"/>
      <c r="J69"/>
      <c r="K69"/>
    </row>
    <row r="70" spans="1:11" ht="15.75" x14ac:dyDescent="0.3">
      <c r="A70"/>
      <c r="B70"/>
      <c r="C70"/>
      <c r="D70"/>
      <c r="E70"/>
      <c r="F70"/>
      <c r="G70"/>
      <c r="H70"/>
      <c r="I70"/>
      <c r="J70"/>
      <c r="K70"/>
    </row>
    <row r="71" spans="1:11" ht="15.75" x14ac:dyDescent="0.3">
      <c r="A71"/>
      <c r="B71"/>
      <c r="C71"/>
      <c r="D71"/>
      <c r="E71"/>
      <c r="F71"/>
      <c r="G71"/>
      <c r="H71"/>
      <c r="I71"/>
      <c r="J71"/>
      <c r="K71"/>
    </row>
    <row r="72" spans="1:11" ht="15.75" x14ac:dyDescent="0.3">
      <c r="A72" t="s">
        <v>2481</v>
      </c>
      <c r="B72"/>
      <c r="C72"/>
      <c r="D72"/>
      <c r="E72"/>
      <c r="F72"/>
      <c r="G72"/>
      <c r="H72"/>
      <c r="I72"/>
    </row>
    <row r="73" spans="1:11" ht="16.149999999999999" thickBot="1" x14ac:dyDescent="0.35">
      <c r="A73"/>
      <c r="B73"/>
      <c r="C73"/>
      <c r="D73"/>
      <c r="E73"/>
      <c r="F73"/>
      <c r="G73"/>
      <c r="H73"/>
      <c r="I73"/>
    </row>
    <row r="74" spans="1:11" ht="15.75" x14ac:dyDescent="0.3">
      <c r="A74" s="84" t="s">
        <v>2482</v>
      </c>
      <c r="B74" s="84"/>
      <c r="C74"/>
      <c r="D74"/>
      <c r="E74"/>
      <c r="F74"/>
      <c r="G74"/>
      <c r="H74"/>
      <c r="I74"/>
    </row>
    <row r="75" spans="1:11" ht="15.75" x14ac:dyDescent="0.3">
      <c r="A75" s="81" t="s">
        <v>2483</v>
      </c>
      <c r="B75" s="81">
        <v>0.99557878456772042</v>
      </c>
      <c r="C75"/>
      <c r="D75"/>
      <c r="E75"/>
      <c r="F75"/>
      <c r="G75"/>
      <c r="H75"/>
      <c r="I75"/>
    </row>
    <row r="76" spans="1:11" ht="15.75" x14ac:dyDescent="0.3">
      <c r="A76" s="81" t="s">
        <v>2484</v>
      </c>
      <c r="B76" s="81">
        <v>0.99117711628133953</v>
      </c>
      <c r="C76"/>
      <c r="D76"/>
      <c r="E76"/>
      <c r="F76"/>
      <c r="G76"/>
      <c r="H76"/>
      <c r="I76"/>
    </row>
    <row r="77" spans="1:11" ht="15.75" x14ac:dyDescent="0.3">
      <c r="A77" s="81" t="s">
        <v>2485</v>
      </c>
      <c r="B77" s="81">
        <v>0.9901183702351003</v>
      </c>
      <c r="C77"/>
      <c r="D77"/>
      <c r="E77"/>
      <c r="F77"/>
      <c r="G77"/>
      <c r="H77"/>
      <c r="I77"/>
    </row>
    <row r="78" spans="1:11" ht="15.75" x14ac:dyDescent="0.3">
      <c r="A78" s="81" t="s">
        <v>2486</v>
      </c>
      <c r="B78" s="81">
        <v>6774.2715509842074</v>
      </c>
      <c r="C78"/>
      <c r="D78"/>
      <c r="E78"/>
      <c r="F78"/>
      <c r="G78"/>
      <c r="H78"/>
      <c r="I78"/>
    </row>
    <row r="79" spans="1:11" ht="16.149999999999999" thickBot="1" x14ac:dyDescent="0.35">
      <c r="A79" s="82" t="s">
        <v>2487</v>
      </c>
      <c r="B79" s="82">
        <v>29</v>
      </c>
      <c r="C79"/>
      <c r="D79"/>
      <c r="E79"/>
      <c r="F79"/>
      <c r="G79"/>
      <c r="H79"/>
      <c r="I79"/>
    </row>
    <row r="80" spans="1:11" ht="15.75" x14ac:dyDescent="0.3">
      <c r="A80"/>
      <c r="B80"/>
      <c r="C80"/>
      <c r="D80"/>
      <c r="E80"/>
      <c r="F80"/>
      <c r="G80"/>
      <c r="H80"/>
      <c r="I80"/>
    </row>
    <row r="81" spans="1:9" ht="16.149999999999999" thickBot="1" x14ac:dyDescent="0.35">
      <c r="A81" t="s">
        <v>2488</v>
      </c>
      <c r="B81"/>
      <c r="C81"/>
      <c r="D81"/>
      <c r="E81"/>
      <c r="F81"/>
      <c r="G81"/>
      <c r="H81"/>
      <c r="I81"/>
    </row>
    <row r="82" spans="1:9" ht="15.75" x14ac:dyDescent="0.3">
      <c r="A82" s="83"/>
      <c r="B82" s="83" t="s">
        <v>2493</v>
      </c>
      <c r="C82" s="83" t="s">
        <v>2494</v>
      </c>
      <c r="D82" s="83" t="s">
        <v>2495</v>
      </c>
      <c r="E82" s="83" t="s">
        <v>2496</v>
      </c>
      <c r="F82" s="83" t="s">
        <v>2497</v>
      </c>
      <c r="G82"/>
      <c r="H82"/>
      <c r="I82"/>
    </row>
    <row r="83" spans="1:9" ht="15.75" x14ac:dyDescent="0.3">
      <c r="A83" s="81" t="s">
        <v>2489</v>
      </c>
      <c r="B83" s="81">
        <v>3</v>
      </c>
      <c r="C83" s="81">
        <v>128886052739.01056</v>
      </c>
      <c r="D83" s="81">
        <v>42962017579.670189</v>
      </c>
      <c r="E83" s="81">
        <v>936.18022924578543</v>
      </c>
      <c r="F83" s="81">
        <v>8.5497281243156004E-26</v>
      </c>
      <c r="G83"/>
      <c r="H83"/>
      <c r="I83"/>
    </row>
    <row r="84" spans="1:9" ht="15.75" x14ac:dyDescent="0.3">
      <c r="A84" s="81" t="s">
        <v>2490</v>
      </c>
      <c r="B84" s="81">
        <v>25</v>
      </c>
      <c r="C84" s="81">
        <v>1147268876.1618493</v>
      </c>
      <c r="D84" s="81">
        <v>45890755.046473972</v>
      </c>
      <c r="E84" s="81"/>
      <c r="F84" s="81"/>
      <c r="G84"/>
      <c r="H84"/>
      <c r="I84"/>
    </row>
    <row r="85" spans="1:9" ht="16.149999999999999" thickBot="1" x14ac:dyDescent="0.35">
      <c r="A85" s="82" t="s">
        <v>2491</v>
      </c>
      <c r="B85" s="82">
        <v>28</v>
      </c>
      <c r="C85" s="82">
        <v>130033321615.17241</v>
      </c>
      <c r="D85" s="82"/>
      <c r="E85" s="82"/>
      <c r="F85" s="82"/>
      <c r="G85"/>
      <c r="H85"/>
      <c r="I85"/>
    </row>
    <row r="86" spans="1:9" ht="16.149999999999999" thickBot="1" x14ac:dyDescent="0.35">
      <c r="A86"/>
      <c r="B86"/>
      <c r="C86"/>
      <c r="D86"/>
      <c r="E86"/>
      <c r="F86"/>
      <c r="G86"/>
      <c r="H86"/>
      <c r="I86"/>
    </row>
    <row r="87" spans="1:9" ht="15.75" x14ac:dyDescent="0.3">
      <c r="A87" s="83"/>
      <c r="B87" s="83" t="s">
        <v>2498</v>
      </c>
      <c r="C87" s="83" t="s">
        <v>2486</v>
      </c>
      <c r="D87" s="83" t="s">
        <v>2499</v>
      </c>
      <c r="E87" s="83" t="s">
        <v>2500</v>
      </c>
      <c r="F87" s="83" t="s">
        <v>2501</v>
      </c>
      <c r="G87" s="83" t="s">
        <v>2502</v>
      </c>
      <c r="H87" s="83" t="s">
        <v>2503</v>
      </c>
      <c r="I87" s="83" t="s">
        <v>2504</v>
      </c>
    </row>
    <row r="88" spans="1:9" ht="15.75" x14ac:dyDescent="0.3">
      <c r="A88" s="81" t="s">
        <v>2492</v>
      </c>
      <c r="B88" s="81">
        <v>48151.959580649389</v>
      </c>
      <c r="C88" s="81">
        <v>7365.9359228046451</v>
      </c>
      <c r="D88" s="81">
        <v>6.537113556957892</v>
      </c>
      <c r="E88" s="81">
        <v>7.565581111194457E-7</v>
      </c>
      <c r="F88" s="81">
        <v>32981.53057052278</v>
      </c>
      <c r="G88" s="81">
        <v>63322.388590775998</v>
      </c>
      <c r="H88" s="81">
        <v>32981.53057052278</v>
      </c>
      <c r="I88" s="81">
        <v>63322.388590775998</v>
      </c>
    </row>
    <row r="89" spans="1:9" ht="15.75" x14ac:dyDescent="0.3">
      <c r="A89" s="81">
        <v>1</v>
      </c>
      <c r="B89" s="81">
        <v>24684.924048104585</v>
      </c>
      <c r="C89" s="81">
        <v>1887.1578060860841</v>
      </c>
      <c r="D89" s="81">
        <v>13.080476878242882</v>
      </c>
      <c r="E89" s="81">
        <v>1.1072146783791067E-12</v>
      </c>
      <c r="F89" s="81">
        <v>20798.249791340964</v>
      </c>
      <c r="G89" s="81">
        <v>28571.598304868206</v>
      </c>
      <c r="H89" s="81">
        <v>20798.249791340964</v>
      </c>
      <c r="I89" s="81">
        <v>28571.598304868206</v>
      </c>
    </row>
    <row r="90" spans="1:9" ht="15.75" x14ac:dyDescent="0.3">
      <c r="A90" s="81">
        <v>1</v>
      </c>
      <c r="B90" s="81">
        <v>-1168.4899175722314</v>
      </c>
      <c r="C90" s="81">
        <v>133.62973834461113</v>
      </c>
      <c r="D90" s="81">
        <v>-8.7442356173658773</v>
      </c>
      <c r="E90" s="81">
        <v>4.4710859241314013E-9</v>
      </c>
      <c r="F90" s="81">
        <v>-1443.7055154872937</v>
      </c>
      <c r="G90" s="81">
        <v>-893.27431965716914</v>
      </c>
      <c r="H90" s="81">
        <v>-1443.7055154872937</v>
      </c>
      <c r="I90" s="81">
        <v>-893.27431965716914</v>
      </c>
    </row>
    <row r="91" spans="1:9" ht="16.149999999999999" thickBot="1" x14ac:dyDescent="0.35">
      <c r="A91" s="82">
        <v>1</v>
      </c>
      <c r="B91" s="82">
        <v>23.003408939657561</v>
      </c>
      <c r="C91" s="82">
        <v>2.7521910814624881</v>
      </c>
      <c r="D91" s="82">
        <v>8.3582165114181564</v>
      </c>
      <c r="E91" s="82">
        <v>1.0475840584049818E-8</v>
      </c>
      <c r="F91" s="82">
        <v>17.335165302841773</v>
      </c>
      <c r="G91" s="82">
        <v>28.671652576473349</v>
      </c>
      <c r="H91" s="82">
        <v>17.335165302841773</v>
      </c>
      <c r="I91" s="82">
        <v>28.671652576473349</v>
      </c>
    </row>
    <row r="92" spans="1:9" ht="15.75" x14ac:dyDescent="0.3">
      <c r="A92"/>
      <c r="B92"/>
      <c r="C92"/>
      <c r="D92"/>
      <c r="E92"/>
      <c r="F92"/>
      <c r="G92"/>
      <c r="H92"/>
      <c r="I92"/>
    </row>
    <row r="93" spans="1:9" ht="15.75" x14ac:dyDescent="0.3">
      <c r="A93"/>
      <c r="B93"/>
      <c r="C93"/>
      <c r="D93"/>
      <c r="E93"/>
      <c r="F93"/>
      <c r="G93"/>
      <c r="H93"/>
      <c r="I93"/>
    </row>
    <row r="94" spans="1:9" ht="15.75" x14ac:dyDescent="0.3">
      <c r="A94"/>
      <c r="B94"/>
      <c r="C94"/>
      <c r="D94"/>
      <c r="E94"/>
      <c r="F94"/>
      <c r="G94"/>
      <c r="H94"/>
      <c r="I94"/>
    </row>
  </sheetData>
  <phoneticPr fontId="10" type="noConversion"/>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32"/>
  <sheetViews>
    <sheetView workbookViewId="0">
      <selection activeCell="B17" sqref="B17:C17"/>
    </sheetView>
  </sheetViews>
  <sheetFormatPr defaultColWidth="8.75" defaultRowHeight="13.5" x14ac:dyDescent="0.3"/>
  <cols>
    <col min="1" max="1" width="2.75" style="31" customWidth="1"/>
    <col min="2" max="2" width="21.375" style="31" customWidth="1"/>
    <col min="3" max="3" width="8.375" style="31" customWidth="1"/>
    <col min="4" max="4" width="9.125" style="31" customWidth="1"/>
    <col min="5" max="5" width="4.125" style="31" customWidth="1"/>
    <col min="6" max="6" width="8.75" style="31"/>
    <col min="7" max="7" width="11.125" style="31" customWidth="1"/>
    <col min="8" max="8" width="8.75" style="31"/>
    <col min="9" max="9" width="9.875" style="31" customWidth="1"/>
    <col min="10" max="10" width="7.125" style="31" bestFit="1" customWidth="1"/>
    <col min="11" max="14" width="8.75" style="31"/>
    <col min="15" max="15" width="20.75" style="31" bestFit="1" customWidth="1"/>
    <col min="16" max="17" width="15.5" style="31" bestFit="1" customWidth="1"/>
    <col min="18" max="18" width="8.75" style="31"/>
    <col min="19" max="19" width="1.75" style="31" customWidth="1"/>
    <col min="20" max="16384" width="8.75" style="31"/>
  </cols>
  <sheetData>
    <row r="2" spans="2:11" ht="15.75" x14ac:dyDescent="0.4">
      <c r="B2" s="33" t="s">
        <v>2408</v>
      </c>
      <c r="C2" s="78">
        <v>10</v>
      </c>
      <c r="D2" s="79"/>
      <c r="I2" s="52"/>
      <c r="J2" s="52"/>
      <c r="K2" s="52"/>
    </row>
    <row r="3" spans="2:11" ht="15.75" x14ac:dyDescent="0.4">
      <c r="B3" s="33" t="s">
        <v>2409</v>
      </c>
      <c r="C3" s="34">
        <v>3</v>
      </c>
      <c r="D3" s="34">
        <v>0.04</v>
      </c>
    </row>
    <row r="4" spans="2:11" ht="15.75" x14ac:dyDescent="0.4">
      <c r="B4" s="33" t="s">
        <v>2410</v>
      </c>
      <c r="C4" s="34">
        <v>0.2</v>
      </c>
      <c r="D4" s="34">
        <v>0.04</v>
      </c>
    </row>
    <row r="5" spans="2:11" ht="15.75" x14ac:dyDescent="0.4">
      <c r="B5" s="33" t="s">
        <v>2411</v>
      </c>
      <c r="C5" s="78">
        <v>10</v>
      </c>
      <c r="D5" s="80"/>
    </row>
    <row r="6" spans="2:11" ht="15.75" x14ac:dyDescent="0.4">
      <c r="B6" s="33" t="s">
        <v>2412</v>
      </c>
      <c r="C6" s="76"/>
      <c r="D6" s="77"/>
    </row>
    <row r="7" spans="2:11" ht="15.75" x14ac:dyDescent="0.4">
      <c r="B7" s="33" t="s">
        <v>2413</v>
      </c>
      <c r="C7" s="76"/>
      <c r="D7" s="77"/>
    </row>
    <row r="8" spans="2:11" ht="15.75" x14ac:dyDescent="0.4">
      <c r="B8" s="33" t="s">
        <v>2414</v>
      </c>
      <c r="C8" s="76"/>
      <c r="D8" s="77"/>
    </row>
    <row r="9" spans="2:11" ht="15.75" x14ac:dyDescent="0.4">
      <c r="B9" s="33" t="s">
        <v>2415</v>
      </c>
      <c r="C9" s="76"/>
      <c r="D9" s="77"/>
    </row>
    <row r="10" spans="2:11" ht="15.75" x14ac:dyDescent="0.4">
      <c r="B10" s="33" t="s">
        <v>2416</v>
      </c>
      <c r="C10" s="76"/>
      <c r="D10" s="77"/>
    </row>
    <row r="11" spans="2:11" ht="15.75" x14ac:dyDescent="0.4">
      <c r="B11" s="33" t="s">
        <v>2417</v>
      </c>
      <c r="C11" s="76"/>
      <c r="D11" s="77"/>
    </row>
    <row r="13" spans="2:11" ht="15.75" x14ac:dyDescent="0.4">
      <c r="B13" s="72" t="s">
        <v>2418</v>
      </c>
      <c r="C13" s="75"/>
      <c r="D13" s="47"/>
    </row>
    <row r="14" spans="2:11" ht="15.75" x14ac:dyDescent="0.4">
      <c r="B14" s="72" t="s">
        <v>2419</v>
      </c>
      <c r="C14" s="75"/>
      <c r="D14" s="47"/>
    </row>
    <row r="15" spans="2:11" ht="15.75" x14ac:dyDescent="0.4">
      <c r="B15" s="72" t="s">
        <v>2420</v>
      </c>
      <c r="C15" s="75"/>
      <c r="D15" s="47"/>
    </row>
    <row r="16" spans="2:11" ht="15.75" x14ac:dyDescent="0.4">
      <c r="B16" s="72" t="s">
        <v>2421</v>
      </c>
      <c r="C16" s="75"/>
      <c r="D16" s="47"/>
    </row>
    <row r="17" spans="2:9" ht="15.75" x14ac:dyDescent="0.4">
      <c r="B17" s="72" t="s">
        <v>2422</v>
      </c>
      <c r="C17" s="75"/>
      <c r="D17" s="47"/>
    </row>
    <row r="18" spans="2:9" ht="15.75" x14ac:dyDescent="0.4">
      <c r="B18" s="72" t="s">
        <v>2423</v>
      </c>
      <c r="C18" s="75"/>
      <c r="D18" s="47"/>
    </row>
    <row r="20" spans="2:9" ht="15.75" x14ac:dyDescent="0.4">
      <c r="B20" s="72" t="s">
        <v>2424</v>
      </c>
      <c r="C20" s="75"/>
    </row>
    <row r="21" spans="2:9" ht="15" x14ac:dyDescent="0.4">
      <c r="B21" s="47"/>
      <c r="C21" s="47"/>
    </row>
    <row r="22" spans="2:9" ht="15" x14ac:dyDescent="0.4">
      <c r="B22" s="47"/>
      <c r="C22" s="47"/>
    </row>
    <row r="23" spans="2:9" ht="15" x14ac:dyDescent="0.4">
      <c r="B23" s="47"/>
      <c r="C23" s="47"/>
    </row>
    <row r="24" spans="2:9" ht="15.75" x14ac:dyDescent="0.4">
      <c r="B24" s="72" t="s">
        <v>2425</v>
      </c>
      <c r="C24" s="75"/>
    </row>
    <row r="25" spans="2:9" ht="15.75" x14ac:dyDescent="0.4">
      <c r="B25" s="31" t="s">
        <v>2426</v>
      </c>
      <c r="F25" s="72" t="s">
        <v>2427</v>
      </c>
      <c r="G25" s="73"/>
      <c r="H25" s="74" t="s">
        <v>2428</v>
      </c>
      <c r="I25" s="75"/>
    </row>
    <row r="26" spans="2:9" ht="15" x14ac:dyDescent="0.4">
      <c r="B26" s="47"/>
      <c r="C26" s="47"/>
      <c r="F26" s="47"/>
      <c r="G26" s="46"/>
      <c r="H26" s="48"/>
      <c r="I26" s="47"/>
    </row>
    <row r="27" spans="2:9" ht="15" x14ac:dyDescent="0.4">
      <c r="B27" s="47"/>
      <c r="C27" s="47"/>
      <c r="F27" s="47"/>
      <c r="G27" s="46"/>
      <c r="H27" s="48"/>
      <c r="I27" s="47"/>
    </row>
    <row r="28" spans="2:9" ht="15" x14ac:dyDescent="0.4">
      <c r="B28" s="31" t="s">
        <v>2429</v>
      </c>
      <c r="F28" s="47"/>
      <c r="G28" s="46"/>
      <c r="H28" s="48"/>
      <c r="I28" s="47"/>
    </row>
    <row r="29" spans="2:9" ht="15" x14ac:dyDescent="0.4">
      <c r="B29" s="47"/>
      <c r="C29" s="47"/>
      <c r="F29" s="47"/>
      <c r="G29" s="46"/>
      <c r="H29" s="48"/>
      <c r="I29" s="47"/>
    </row>
    <row r="30" spans="2:9" ht="15" x14ac:dyDescent="0.4">
      <c r="B30" s="47"/>
      <c r="C30" s="47"/>
    </row>
    <row r="31" spans="2:9" ht="15.75" x14ac:dyDescent="0.4">
      <c r="B31" s="72" t="s">
        <v>2454</v>
      </c>
      <c r="C31" s="75"/>
    </row>
    <row r="32" spans="2:9" ht="15" x14ac:dyDescent="0.4">
      <c r="B32" s="47"/>
    </row>
  </sheetData>
  <mergeCells count="19">
    <mergeCell ref="C2:D2"/>
    <mergeCell ref="C10:D10"/>
    <mergeCell ref="C5:D5"/>
    <mergeCell ref="C6:D6"/>
    <mergeCell ref="C7:D7"/>
    <mergeCell ref="C8:D8"/>
    <mergeCell ref="C9:D9"/>
    <mergeCell ref="F25:G25"/>
    <mergeCell ref="H25:I25"/>
    <mergeCell ref="B31:C31"/>
    <mergeCell ref="C11:D11"/>
    <mergeCell ref="B13:C13"/>
    <mergeCell ref="B14:C14"/>
    <mergeCell ref="B15:C15"/>
    <mergeCell ref="B16:C16"/>
    <mergeCell ref="B17:C17"/>
    <mergeCell ref="B18:C18"/>
    <mergeCell ref="B20:C20"/>
    <mergeCell ref="B24:C24"/>
  </mergeCells>
  <phoneticPr fontId="1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P45"/>
  <sheetViews>
    <sheetView zoomScale="85" zoomScaleNormal="85" workbookViewId="0">
      <selection activeCell="F17" sqref="F17"/>
    </sheetView>
  </sheetViews>
  <sheetFormatPr defaultColWidth="8.75" defaultRowHeight="13.5" x14ac:dyDescent="0.4"/>
  <cols>
    <col min="1" max="1" width="1.75" style="38" customWidth="1"/>
    <col min="2" max="2" width="18.125" style="38" bestFit="1" customWidth="1"/>
    <col min="3" max="3" width="9.375" style="38" bestFit="1" customWidth="1"/>
    <col min="4" max="4" width="13.75" style="38" bestFit="1" customWidth="1"/>
    <col min="5" max="5" width="5.375" style="38" bestFit="1" customWidth="1"/>
    <col min="6" max="14" width="8.75" style="38"/>
    <col min="15" max="15" width="11.75" style="38" customWidth="1"/>
    <col min="16" max="19" width="8.75" style="38"/>
    <col min="20" max="44" width="0" style="38" hidden="1" customWidth="1"/>
    <col min="45" max="16384" width="8.75" style="38"/>
  </cols>
  <sheetData>
    <row r="2" spans="2:16" ht="33" customHeight="1" x14ac:dyDescent="0.4">
      <c r="B2" s="36" t="s">
        <v>2430</v>
      </c>
      <c r="C2" s="34">
        <v>15</v>
      </c>
      <c r="D2" s="37" t="s">
        <v>2431</v>
      </c>
      <c r="E2" s="34">
        <v>4</v>
      </c>
    </row>
    <row r="3" spans="2:16" ht="15.75" x14ac:dyDescent="0.4">
      <c r="B3" s="37" t="s">
        <v>2432</v>
      </c>
      <c r="C3" s="34">
        <v>30</v>
      </c>
      <c r="D3" s="37" t="s">
        <v>2433</v>
      </c>
      <c r="E3" s="34">
        <v>40</v>
      </c>
    </row>
    <row r="4" spans="2:16" ht="15.75" x14ac:dyDescent="0.4">
      <c r="B4" s="37" t="s">
        <v>2434</v>
      </c>
      <c r="C4" s="34">
        <v>100</v>
      </c>
      <c r="D4" s="37" t="s">
        <v>2435</v>
      </c>
      <c r="E4" s="34">
        <v>100</v>
      </c>
    </row>
    <row r="5" spans="2:16" ht="15.75" x14ac:dyDescent="0.4">
      <c r="B5" s="37" t="s">
        <v>2436</v>
      </c>
      <c r="C5" s="34">
        <v>20</v>
      </c>
      <c r="D5" s="37" t="s">
        <v>2437</v>
      </c>
      <c r="E5" s="34">
        <v>20</v>
      </c>
    </row>
    <row r="6" spans="2:16" ht="15.75" x14ac:dyDescent="0.4">
      <c r="B6" s="37" t="s">
        <v>2438</v>
      </c>
      <c r="C6" s="34">
        <v>60</v>
      </c>
      <c r="D6" s="37" t="s">
        <v>2439</v>
      </c>
      <c r="E6" s="34">
        <v>80</v>
      </c>
    </row>
    <row r="7" spans="2:16" ht="15.75" x14ac:dyDescent="0.4">
      <c r="B7" s="37" t="s">
        <v>2440</v>
      </c>
      <c r="C7" s="34">
        <v>5</v>
      </c>
      <c r="D7" s="37" t="s">
        <v>2441</v>
      </c>
      <c r="E7" s="34">
        <v>10</v>
      </c>
    </row>
    <row r="9" spans="2:16" ht="15.75" x14ac:dyDescent="0.4">
      <c r="B9"/>
      <c r="C9"/>
      <c r="D9"/>
      <c r="E9"/>
      <c r="F9"/>
      <c r="G9"/>
      <c r="H9"/>
      <c r="I9"/>
      <c r="J9"/>
      <c r="K9"/>
      <c r="L9"/>
      <c r="M9"/>
      <c r="N9"/>
      <c r="O9"/>
      <c r="P9"/>
    </row>
    <row r="10" spans="2:16" ht="15.75" x14ac:dyDescent="0.4">
      <c r="B10"/>
      <c r="C10"/>
      <c r="D10"/>
      <c r="E10"/>
      <c r="F10"/>
      <c r="G10"/>
      <c r="H10"/>
      <c r="I10"/>
      <c r="J10"/>
      <c r="K10"/>
      <c r="L10"/>
      <c r="M10"/>
      <c r="N10"/>
      <c r="O10"/>
      <c r="P10"/>
    </row>
    <row r="11" spans="2:16" ht="15.75" x14ac:dyDescent="0.4">
      <c r="B11"/>
      <c r="C11"/>
      <c r="D11"/>
      <c r="E11"/>
      <c r="F11"/>
      <c r="G11"/>
      <c r="H11"/>
      <c r="I11"/>
      <c r="J11"/>
      <c r="K11"/>
      <c r="L11"/>
      <c r="M11"/>
      <c r="N11"/>
      <c r="O11"/>
      <c r="P11"/>
    </row>
    <row r="12" spans="2:16" ht="15.75" x14ac:dyDescent="0.4">
      <c r="B12"/>
      <c r="C12"/>
      <c r="D12"/>
      <c r="E12"/>
      <c r="F12"/>
      <c r="G12"/>
      <c r="H12"/>
      <c r="I12"/>
      <c r="J12"/>
      <c r="K12"/>
      <c r="L12"/>
      <c r="M12"/>
      <c r="N12"/>
      <c r="O12"/>
      <c r="P12"/>
    </row>
    <row r="13" spans="2:16" ht="15.75" x14ac:dyDescent="0.4">
      <c r="B13"/>
      <c r="C13"/>
      <c r="D13"/>
      <c r="E13"/>
      <c r="F13"/>
      <c r="G13"/>
      <c r="H13"/>
      <c r="I13"/>
      <c r="J13"/>
      <c r="K13"/>
      <c r="L13"/>
      <c r="M13"/>
      <c r="N13"/>
      <c r="O13"/>
      <c r="P13"/>
    </row>
    <row r="14" spans="2:16" ht="15.75" x14ac:dyDescent="0.4">
      <c r="B14"/>
      <c r="C14"/>
      <c r="D14"/>
      <c r="E14"/>
      <c r="F14"/>
      <c r="G14"/>
      <c r="H14"/>
      <c r="I14"/>
      <c r="J14"/>
      <c r="K14"/>
      <c r="L14"/>
      <c r="M14"/>
      <c r="N14"/>
      <c r="O14"/>
      <c r="P14"/>
    </row>
    <row r="15" spans="2:16" ht="15.75" x14ac:dyDescent="0.4">
      <c r="B15"/>
      <c r="C15"/>
      <c r="D15"/>
      <c r="E15"/>
      <c r="F15"/>
      <c r="G15"/>
      <c r="H15"/>
      <c r="I15"/>
      <c r="J15"/>
      <c r="K15"/>
      <c r="L15"/>
      <c r="M15"/>
      <c r="N15"/>
      <c r="O15"/>
      <c r="P15"/>
    </row>
    <row r="16" spans="2:16" ht="15.75" x14ac:dyDescent="0.4">
      <c r="B16"/>
      <c r="C16"/>
      <c r="D16"/>
      <c r="E16"/>
      <c r="F16"/>
      <c r="G16"/>
      <c r="H16"/>
      <c r="I16"/>
      <c r="J16"/>
      <c r="K16"/>
      <c r="L16"/>
      <c r="M16"/>
      <c r="N16"/>
      <c r="O16"/>
      <c r="P16"/>
    </row>
    <row r="17" spans="2:16" ht="15.75" x14ac:dyDescent="0.4">
      <c r="B17"/>
      <c r="C17"/>
      <c r="D17"/>
      <c r="E17"/>
      <c r="F17"/>
      <c r="G17"/>
      <c r="H17"/>
      <c r="I17"/>
      <c r="J17"/>
      <c r="K17"/>
      <c r="L17"/>
      <c r="M17"/>
      <c r="N17"/>
      <c r="O17"/>
      <c r="P17"/>
    </row>
    <row r="18" spans="2:16" ht="15.75" x14ac:dyDescent="0.4">
      <c r="B18"/>
      <c r="C18"/>
      <c r="D18"/>
      <c r="E18"/>
      <c r="F18"/>
      <c r="G18"/>
      <c r="H18"/>
      <c r="I18"/>
      <c r="J18"/>
      <c r="K18"/>
      <c r="L18"/>
      <c r="M18"/>
      <c r="N18"/>
      <c r="O18"/>
      <c r="P18"/>
    </row>
    <row r="19" spans="2:16" ht="15.75" x14ac:dyDescent="0.4">
      <c r="B19"/>
      <c r="C19"/>
      <c r="D19"/>
      <c r="E19"/>
      <c r="F19"/>
      <c r="G19"/>
      <c r="H19"/>
      <c r="I19"/>
      <c r="J19"/>
      <c r="K19"/>
      <c r="L19"/>
      <c r="M19"/>
      <c r="N19"/>
      <c r="O19"/>
      <c r="P19"/>
    </row>
    <row r="20" spans="2:16" ht="15.75" x14ac:dyDescent="0.4">
      <c r="B20"/>
      <c r="C20"/>
      <c r="D20"/>
      <c r="E20"/>
      <c r="F20"/>
      <c r="G20"/>
      <c r="H20"/>
      <c r="I20"/>
      <c r="J20"/>
      <c r="K20"/>
      <c r="L20"/>
      <c r="M20"/>
      <c r="N20"/>
      <c r="O20"/>
      <c r="P20"/>
    </row>
    <row r="21" spans="2:16" ht="15.75" x14ac:dyDescent="0.4">
      <c r="B21"/>
      <c r="C21"/>
      <c r="D21"/>
      <c r="E21"/>
      <c r="F21"/>
      <c r="G21"/>
      <c r="H21"/>
      <c r="I21"/>
      <c r="J21"/>
      <c r="K21"/>
      <c r="L21"/>
      <c r="M21"/>
      <c r="N21"/>
      <c r="O21"/>
      <c r="P21"/>
    </row>
    <row r="22" spans="2:16" ht="15.75" x14ac:dyDescent="0.4">
      <c r="B22"/>
      <c r="C22"/>
      <c r="D22"/>
      <c r="E22"/>
      <c r="F22"/>
      <c r="G22"/>
      <c r="H22"/>
      <c r="I22"/>
      <c r="J22"/>
      <c r="K22"/>
      <c r="L22"/>
      <c r="M22"/>
      <c r="N22"/>
      <c r="O22"/>
      <c r="P22"/>
    </row>
    <row r="23" spans="2:16" ht="15.75" x14ac:dyDescent="0.4">
      <c r="B23"/>
      <c r="C23"/>
      <c r="D23"/>
      <c r="E23"/>
      <c r="F23"/>
      <c r="G23"/>
      <c r="H23"/>
      <c r="I23"/>
      <c r="J23"/>
      <c r="K23"/>
      <c r="L23"/>
      <c r="M23"/>
      <c r="N23"/>
      <c r="O23"/>
      <c r="P23"/>
    </row>
    <row r="24" spans="2:16" ht="15.75" x14ac:dyDescent="0.4">
      <c r="B24"/>
      <c r="C24"/>
      <c r="D24"/>
      <c r="E24"/>
      <c r="F24"/>
      <c r="G24"/>
      <c r="H24"/>
      <c r="I24"/>
      <c r="J24"/>
      <c r="K24"/>
      <c r="L24"/>
      <c r="M24"/>
      <c r="N24"/>
      <c r="O24"/>
      <c r="P24"/>
    </row>
    <row r="25" spans="2:16" ht="15.75" x14ac:dyDescent="0.4">
      <c r="B25"/>
      <c r="C25"/>
      <c r="D25"/>
      <c r="E25"/>
      <c r="F25"/>
      <c r="G25"/>
      <c r="H25"/>
      <c r="I25"/>
      <c r="J25"/>
      <c r="K25"/>
      <c r="L25"/>
      <c r="M25"/>
      <c r="N25"/>
      <c r="O25"/>
      <c r="P25"/>
    </row>
    <row r="26" spans="2:16" ht="15.75" x14ac:dyDescent="0.4">
      <c r="B26"/>
      <c r="C26"/>
      <c r="D26"/>
      <c r="E26"/>
      <c r="F26"/>
      <c r="G26"/>
      <c r="H26"/>
      <c r="I26"/>
      <c r="J26"/>
      <c r="K26"/>
      <c r="L26"/>
      <c r="M26"/>
      <c r="N26"/>
      <c r="O26"/>
      <c r="P26"/>
    </row>
    <row r="27" spans="2:16" ht="15.75" x14ac:dyDescent="0.4">
      <c r="B27"/>
      <c r="C27"/>
      <c r="D27"/>
      <c r="E27"/>
      <c r="F27"/>
      <c r="G27"/>
      <c r="H27"/>
      <c r="I27"/>
      <c r="J27"/>
      <c r="K27"/>
      <c r="L27"/>
      <c r="M27"/>
      <c r="N27"/>
      <c r="O27"/>
      <c r="P27"/>
    </row>
    <row r="28" spans="2:16" ht="15.75" x14ac:dyDescent="0.4">
      <c r="B28"/>
      <c r="C28"/>
      <c r="D28"/>
      <c r="E28"/>
      <c r="F28"/>
      <c r="G28"/>
      <c r="H28"/>
      <c r="I28"/>
      <c r="J28"/>
      <c r="K28"/>
      <c r="L28"/>
      <c r="M28"/>
      <c r="N28"/>
      <c r="O28"/>
      <c r="P28"/>
    </row>
    <row r="29" spans="2:16" ht="15.75" x14ac:dyDescent="0.4">
      <c r="B29"/>
      <c r="C29"/>
      <c r="D29"/>
      <c r="E29"/>
      <c r="F29"/>
      <c r="G29"/>
      <c r="H29"/>
      <c r="I29"/>
      <c r="J29"/>
      <c r="K29"/>
      <c r="L29"/>
      <c r="M29"/>
      <c r="N29"/>
      <c r="O29"/>
      <c r="P29"/>
    </row>
    <row r="30" spans="2:16" ht="15.75" x14ac:dyDescent="0.4">
      <c r="B30"/>
      <c r="C30"/>
      <c r="D30"/>
      <c r="E30"/>
      <c r="F30"/>
      <c r="G30"/>
      <c r="H30"/>
      <c r="I30"/>
      <c r="J30"/>
      <c r="K30"/>
      <c r="L30"/>
      <c r="M30"/>
      <c r="N30"/>
      <c r="O30"/>
      <c r="P30"/>
    </row>
    <row r="31" spans="2:16" ht="15.75" x14ac:dyDescent="0.4">
      <c r="B31"/>
      <c r="C31"/>
      <c r="D31"/>
      <c r="E31"/>
      <c r="F31"/>
      <c r="G31"/>
      <c r="H31"/>
      <c r="I31"/>
      <c r="J31"/>
      <c r="K31"/>
      <c r="L31"/>
      <c r="M31"/>
      <c r="N31"/>
      <c r="O31"/>
      <c r="P31"/>
    </row>
    <row r="32" spans="2:16" ht="15.75" x14ac:dyDescent="0.4">
      <c r="B32"/>
      <c r="C32"/>
      <c r="D32"/>
      <c r="E32"/>
      <c r="F32"/>
      <c r="G32"/>
      <c r="H32"/>
      <c r="I32"/>
      <c r="J32"/>
      <c r="K32"/>
      <c r="L32"/>
      <c r="M32"/>
      <c r="N32"/>
      <c r="O32"/>
      <c r="P32"/>
    </row>
    <row r="33" spans="2:16" ht="15.75" x14ac:dyDescent="0.4">
      <c r="B33"/>
      <c r="C33"/>
      <c r="D33"/>
      <c r="E33"/>
      <c r="F33"/>
      <c r="G33"/>
      <c r="H33"/>
      <c r="I33"/>
      <c r="J33"/>
      <c r="K33"/>
      <c r="L33"/>
      <c r="M33"/>
      <c r="N33"/>
      <c r="O33"/>
      <c r="P33"/>
    </row>
    <row r="34" spans="2:16" ht="15.75" x14ac:dyDescent="0.4">
      <c r="B34"/>
      <c r="C34"/>
      <c r="D34"/>
      <c r="E34"/>
      <c r="F34"/>
      <c r="G34"/>
      <c r="H34"/>
      <c r="I34"/>
      <c r="J34"/>
      <c r="K34"/>
      <c r="L34"/>
      <c r="M34"/>
      <c r="N34"/>
      <c r="O34"/>
      <c r="P34"/>
    </row>
    <row r="35" spans="2:16" ht="15.75" x14ac:dyDescent="0.4">
      <c r="B35"/>
      <c r="C35"/>
      <c r="D35"/>
      <c r="E35"/>
      <c r="F35"/>
      <c r="G35"/>
      <c r="H35"/>
      <c r="I35"/>
      <c r="J35"/>
      <c r="K35"/>
      <c r="L35"/>
      <c r="M35"/>
      <c r="N35"/>
      <c r="O35"/>
      <c r="P35"/>
    </row>
    <row r="36" spans="2:16" ht="15.75" x14ac:dyDescent="0.4">
      <c r="B36"/>
      <c r="C36"/>
      <c r="D36"/>
      <c r="E36"/>
      <c r="F36"/>
      <c r="G36"/>
      <c r="H36"/>
      <c r="I36"/>
      <c r="J36"/>
      <c r="K36"/>
      <c r="L36"/>
      <c r="M36"/>
      <c r="N36"/>
      <c r="O36"/>
      <c r="P36"/>
    </row>
    <row r="37" spans="2:16" ht="15.75" x14ac:dyDescent="0.4">
      <c r="B37"/>
      <c r="C37"/>
      <c r="D37"/>
      <c r="E37"/>
      <c r="F37"/>
      <c r="G37"/>
      <c r="H37"/>
      <c r="I37"/>
      <c r="J37"/>
      <c r="K37"/>
      <c r="L37"/>
      <c r="M37"/>
      <c r="N37"/>
      <c r="O37"/>
      <c r="P37"/>
    </row>
    <row r="38" spans="2:16" ht="15.75" x14ac:dyDescent="0.4">
      <c r="B38"/>
      <c r="C38"/>
      <c r="D38"/>
      <c r="E38"/>
      <c r="F38"/>
      <c r="G38"/>
      <c r="H38"/>
      <c r="I38"/>
      <c r="J38"/>
      <c r="K38"/>
      <c r="L38"/>
      <c r="M38"/>
      <c r="N38"/>
      <c r="O38"/>
      <c r="P38"/>
    </row>
    <row r="39" spans="2:16" ht="15.75" x14ac:dyDescent="0.4">
      <c r="B39"/>
      <c r="C39"/>
      <c r="D39"/>
      <c r="E39"/>
      <c r="F39"/>
      <c r="G39"/>
      <c r="H39"/>
      <c r="I39"/>
      <c r="J39"/>
      <c r="K39"/>
      <c r="L39"/>
      <c r="M39"/>
      <c r="N39"/>
      <c r="O39"/>
      <c r="P39"/>
    </row>
    <row r="40" spans="2:16" ht="15.75" x14ac:dyDescent="0.4">
      <c r="B40"/>
      <c r="C40"/>
      <c r="D40"/>
      <c r="E40"/>
      <c r="F40"/>
      <c r="G40"/>
      <c r="H40"/>
      <c r="I40"/>
      <c r="J40"/>
      <c r="K40"/>
      <c r="L40"/>
      <c r="M40"/>
      <c r="N40"/>
      <c r="O40"/>
      <c r="P40"/>
    </row>
    <row r="41" spans="2:16" ht="15.75" x14ac:dyDescent="0.4">
      <c r="B41"/>
      <c r="C41"/>
      <c r="D41"/>
      <c r="E41"/>
      <c r="F41"/>
      <c r="G41"/>
      <c r="H41"/>
      <c r="I41"/>
      <c r="J41"/>
      <c r="K41"/>
      <c r="L41"/>
      <c r="M41"/>
      <c r="N41"/>
      <c r="O41"/>
      <c r="P41"/>
    </row>
    <row r="42" spans="2:16" ht="15.75" x14ac:dyDescent="0.4">
      <c r="B42"/>
      <c r="C42"/>
      <c r="D42"/>
      <c r="E42"/>
      <c r="F42"/>
      <c r="G42"/>
      <c r="H42"/>
      <c r="I42"/>
      <c r="J42"/>
      <c r="K42"/>
      <c r="L42"/>
      <c r="M42"/>
      <c r="N42"/>
      <c r="O42"/>
      <c r="P42"/>
    </row>
    <row r="43" spans="2:16" ht="15.75" x14ac:dyDescent="0.4">
      <c r="B43"/>
      <c r="C43"/>
      <c r="D43"/>
      <c r="E43"/>
      <c r="F43"/>
      <c r="G43"/>
      <c r="H43"/>
      <c r="I43"/>
      <c r="J43"/>
      <c r="K43"/>
      <c r="L43"/>
      <c r="M43"/>
      <c r="N43"/>
      <c r="O43"/>
      <c r="P43"/>
    </row>
    <row r="44" spans="2:16" ht="15.75" x14ac:dyDescent="0.4">
      <c r="B44"/>
      <c r="C44"/>
      <c r="D44"/>
      <c r="E44"/>
      <c r="F44"/>
      <c r="G44"/>
      <c r="H44"/>
      <c r="I44"/>
      <c r="J44"/>
      <c r="K44"/>
      <c r="L44"/>
      <c r="M44"/>
      <c r="N44"/>
      <c r="O44"/>
      <c r="P44"/>
    </row>
    <row r="45" spans="2:16" ht="15.75" x14ac:dyDescent="0.4">
      <c r="B45"/>
      <c r="C45"/>
      <c r="D45"/>
      <c r="E45"/>
      <c r="F45"/>
      <c r="G45"/>
      <c r="H45"/>
      <c r="I45"/>
      <c r="J45"/>
      <c r="K45"/>
      <c r="L45"/>
      <c r="M45"/>
      <c r="N45"/>
      <c r="O45"/>
      <c r="P45"/>
    </row>
  </sheetData>
  <phoneticPr fontId="1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6"/>
  <sheetViews>
    <sheetView workbookViewId="0">
      <selection activeCell="E17" sqref="E17"/>
    </sheetView>
  </sheetViews>
  <sheetFormatPr defaultColWidth="7.75" defaultRowHeight="13.5" x14ac:dyDescent="0.35"/>
  <cols>
    <col min="1" max="1" width="14.75" style="40" customWidth="1"/>
    <col min="2" max="2" width="9.875" style="40" bestFit="1" customWidth="1"/>
    <col min="3" max="3" width="7.75" style="40"/>
    <col min="4" max="4" width="9.75" style="40" customWidth="1"/>
    <col min="5" max="16384" width="7.75" style="40"/>
  </cols>
  <sheetData>
    <row r="1" spans="1:10" ht="15.75" x14ac:dyDescent="0.4">
      <c r="A1" s="35" t="s">
        <v>2442</v>
      </c>
      <c r="B1" s="45">
        <v>6.5000000000000002E-2</v>
      </c>
      <c r="E1">
        <v>-350</v>
      </c>
      <c r="F1"/>
      <c r="G1"/>
      <c r="H1"/>
      <c r="I1"/>
      <c r="J1"/>
    </row>
    <row r="2" spans="1:10" ht="15.75" x14ac:dyDescent="0.4">
      <c r="A2" s="35" t="s">
        <v>2443</v>
      </c>
      <c r="B2" s="34">
        <v>350</v>
      </c>
      <c r="E2">
        <v>12</v>
      </c>
      <c r="F2"/>
      <c r="G2"/>
      <c r="H2"/>
      <c r="I2"/>
      <c r="J2"/>
    </row>
    <row r="3" spans="1:10" ht="15.75" x14ac:dyDescent="0.4">
      <c r="A3" s="35" t="s">
        <v>2444</v>
      </c>
      <c r="B3" s="34">
        <v>5</v>
      </c>
      <c r="E3" s="40">
        <v>12</v>
      </c>
      <c r="F3" s="43"/>
      <c r="G3" s="43"/>
      <c r="H3" s="43"/>
      <c r="I3" s="43"/>
      <c r="J3" s="43"/>
    </row>
    <row r="4" spans="1:10" ht="15.75" x14ac:dyDescent="0.4">
      <c r="A4" s="35" t="s">
        <v>2445</v>
      </c>
      <c r="B4" s="34">
        <v>12</v>
      </c>
      <c r="E4" s="40">
        <v>12</v>
      </c>
    </row>
    <row r="5" spans="1:10" ht="15.75" x14ac:dyDescent="0.4">
      <c r="A5" s="35" t="s">
        <v>2446</v>
      </c>
      <c r="B5" s="34">
        <v>410</v>
      </c>
      <c r="E5" s="40">
        <v>12</v>
      </c>
    </row>
    <row r="6" spans="1:10" ht="13.9" x14ac:dyDescent="0.35">
      <c r="D6" s="41"/>
      <c r="E6" s="40">
        <v>422</v>
      </c>
    </row>
    <row r="7" spans="1:10" ht="15.75" x14ac:dyDescent="0.4">
      <c r="A7" s="35" t="s">
        <v>2447</v>
      </c>
      <c r="B7" s="42">
        <f>NPV(B1,12,12,12,12,422)-350</f>
        <v>-0.88070376873855594</v>
      </c>
      <c r="E7" s="57"/>
    </row>
    <row r="8" spans="1:10" ht="15.75" x14ac:dyDescent="0.4">
      <c r="A8" s="35" t="s">
        <v>2448</v>
      </c>
      <c r="B8" s="53" t="s">
        <v>2458</v>
      </c>
      <c r="E8" s="57"/>
    </row>
    <row r="9" spans="1:10" ht="13.9" x14ac:dyDescent="0.35">
      <c r="E9" s="57"/>
    </row>
    <row r="10" spans="1:10" ht="15.75" x14ac:dyDescent="0.4">
      <c r="A10" s="35" t="s">
        <v>2449</v>
      </c>
      <c r="B10" s="39">
        <f>IRR(E1:E6)</f>
        <v>6.4428837443642806E-2</v>
      </c>
      <c r="E10" s="57"/>
    </row>
    <row r="11" spans="1:10" ht="15.75" x14ac:dyDescent="0.4">
      <c r="A11" s="35" t="s">
        <v>2450</v>
      </c>
      <c r="B11" s="39">
        <f>RATE(5,12,-350,410)</f>
        <v>6.4428837443643069E-2</v>
      </c>
      <c r="J11" s="43"/>
    </row>
    <row r="12" spans="1:10" ht="13.9" x14ac:dyDescent="0.35">
      <c r="E12" s="57"/>
    </row>
    <row r="13" spans="1:10" ht="15.75" x14ac:dyDescent="0.4">
      <c r="A13" s="35" t="s">
        <v>2451</v>
      </c>
      <c r="B13" s="45">
        <v>7.0000000000000007E-2</v>
      </c>
      <c r="E13" s="58"/>
    </row>
    <row r="14" spans="1:10" ht="15.75" x14ac:dyDescent="0.4">
      <c r="A14" s="35" t="s">
        <v>2452</v>
      </c>
      <c r="B14" s="44"/>
    </row>
    <row r="15" spans="1:10" ht="13.9" x14ac:dyDescent="0.35">
      <c r="A15" s="41"/>
      <c r="B15" s="43"/>
    </row>
    <row r="16" spans="1:10" ht="15.75" x14ac:dyDescent="0.4">
      <c r="A16" s="35" t="s">
        <v>2453</v>
      </c>
      <c r="B16" s="44"/>
    </row>
  </sheetData>
  <phoneticPr fontId="27" type="noConversion"/>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L24"/>
  <sheetViews>
    <sheetView workbookViewId="0">
      <selection activeCell="I24" sqref="I24"/>
    </sheetView>
  </sheetViews>
  <sheetFormatPr defaultRowHeight="15.75" x14ac:dyDescent="0.4"/>
  <sheetData>
    <row r="4" spans="1:12" x14ac:dyDescent="0.4">
      <c r="B4">
        <v>15</v>
      </c>
      <c r="C4">
        <v>11</v>
      </c>
      <c r="D4">
        <v>17</v>
      </c>
      <c r="E4">
        <v>16</v>
      </c>
      <c r="F4">
        <v>9</v>
      </c>
      <c r="G4">
        <v>15</v>
      </c>
    </row>
    <row r="5" spans="1:12" x14ac:dyDescent="0.4">
      <c r="B5">
        <v>40</v>
      </c>
      <c r="C5">
        <v>35</v>
      </c>
      <c r="D5">
        <v>30</v>
      </c>
      <c r="E5">
        <v>50</v>
      </c>
      <c r="F5">
        <v>16</v>
      </c>
      <c r="G5">
        <v>28</v>
      </c>
    </row>
    <row r="6" spans="1:12" x14ac:dyDescent="0.4">
      <c r="B6">
        <v>1</v>
      </c>
      <c r="C6">
        <v>2</v>
      </c>
      <c r="D6">
        <v>3</v>
      </c>
      <c r="E6">
        <v>4</v>
      </c>
      <c r="F6">
        <v>5</v>
      </c>
      <c r="G6">
        <v>6</v>
      </c>
    </row>
    <row r="7" spans="1:12" x14ac:dyDescent="0.4">
      <c r="B7">
        <v>1</v>
      </c>
      <c r="C7">
        <v>0</v>
      </c>
      <c r="D7">
        <v>1</v>
      </c>
      <c r="E7">
        <v>0</v>
      </c>
      <c r="F7">
        <v>1</v>
      </c>
      <c r="G7">
        <v>1</v>
      </c>
    </row>
    <row r="8" spans="1:12" x14ac:dyDescent="0.4">
      <c r="B8" s="64">
        <f>SUM(B7:C7)</f>
        <v>1</v>
      </c>
      <c r="C8" s="64"/>
      <c r="D8" s="65">
        <f>SUM(D7:E7)</f>
        <v>1</v>
      </c>
      <c r="E8" s="65"/>
    </row>
    <row r="10" spans="1:12" x14ac:dyDescent="0.4">
      <c r="A10" s="54" t="s">
        <v>2459</v>
      </c>
      <c r="B10">
        <f t="array" ref="B10">SUM(B7:G7*B5:G5)</f>
        <v>114</v>
      </c>
      <c r="C10">
        <v>200</v>
      </c>
    </row>
    <row r="11" spans="1:12" x14ac:dyDescent="0.4">
      <c r="A11" s="54" t="s">
        <v>2460</v>
      </c>
      <c r="B11">
        <f t="array" ref="B11">SUM(B7:G7*B4:G4)</f>
        <v>56</v>
      </c>
    </row>
    <row r="14" spans="1:12" x14ac:dyDescent="0.4">
      <c r="J14" s="56" t="s">
        <v>2456</v>
      </c>
      <c r="K14" s="56" t="s">
        <v>2457</v>
      </c>
      <c r="L14" s="56" t="s">
        <v>2455</v>
      </c>
    </row>
    <row r="15" spans="1:12" x14ac:dyDescent="0.4">
      <c r="J15" s="55">
        <v>1</v>
      </c>
      <c r="K15" s="55">
        <v>15</v>
      </c>
      <c r="L15" s="55">
        <v>40</v>
      </c>
    </row>
    <row r="16" spans="1:12" x14ac:dyDescent="0.4">
      <c r="B16">
        <f>MAX($B$11)</f>
        <v>56</v>
      </c>
      <c r="J16" s="55">
        <v>2</v>
      </c>
      <c r="K16" s="55">
        <v>11</v>
      </c>
      <c r="L16" s="55">
        <v>35</v>
      </c>
    </row>
    <row r="17" spans="2:12" x14ac:dyDescent="0.4">
      <c r="B17" s="54">
        <f>COUNT($B$7:$G$7)</f>
        <v>6</v>
      </c>
      <c r="J17" s="55">
        <v>3</v>
      </c>
      <c r="K17" s="55">
        <v>17</v>
      </c>
      <c r="L17" s="55">
        <v>30</v>
      </c>
    </row>
    <row r="18" spans="2:12" x14ac:dyDescent="0.4">
      <c r="B18" t="b">
        <f>$B$10&lt;=$C$10</f>
        <v>1</v>
      </c>
      <c r="J18" s="55">
        <v>4</v>
      </c>
      <c r="K18" s="55">
        <v>16</v>
      </c>
      <c r="L18" s="55">
        <v>50</v>
      </c>
    </row>
    <row r="19" spans="2:12" x14ac:dyDescent="0.4">
      <c r="B19" t="b">
        <f t="array" ref="B19">($B$7:$G$7=0)+($B$7:$G$7=1)=1</f>
        <v>1</v>
      </c>
      <c r="J19" s="55">
        <v>5</v>
      </c>
      <c r="K19" s="55">
        <v>9</v>
      </c>
      <c r="L19" s="55">
        <v>16</v>
      </c>
    </row>
    <row r="20" spans="2:12" x14ac:dyDescent="0.4">
      <c r="B20" s="54" t="b">
        <f>$B$8&lt;=1</f>
        <v>1</v>
      </c>
      <c r="J20" s="55">
        <v>6</v>
      </c>
      <c r="K20" s="55">
        <v>15</v>
      </c>
      <c r="L20" s="55">
        <v>28</v>
      </c>
    </row>
    <row r="21" spans="2:12" x14ac:dyDescent="0.4">
      <c r="B21" t="b">
        <f>$B$8&gt;=$D$8</f>
        <v>1</v>
      </c>
    </row>
    <row r="22" spans="2:12" x14ac:dyDescent="0.4">
      <c r="B22" t="b">
        <f>$D$8&lt;=1</f>
        <v>1</v>
      </c>
    </row>
    <row r="23" spans="2:12" x14ac:dyDescent="0.4">
      <c r="B23">
        <f>{32767,32767,0.000001,0.01,FALSE,FALSE,FALSE,1,2,1,0.0001,FALSE}</f>
        <v>32767</v>
      </c>
    </row>
    <row r="24" spans="2:12" x14ac:dyDescent="0.4">
      <c r="B24">
        <f>{0,0,1,100,0,FALSE,FALSE,0.075,0,0,FALSE,30}</f>
        <v>0</v>
      </c>
    </row>
  </sheetData>
  <mergeCells count="2">
    <mergeCell ref="B8:C8"/>
    <mergeCell ref="D8:E8"/>
  </mergeCells>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vt:i4>
      </vt:variant>
    </vt:vector>
  </HeadingPairs>
  <TitlesOfParts>
    <vt:vector size="11" baseType="lpstr">
      <vt:lpstr>考试须知</vt:lpstr>
      <vt:lpstr>第1题</vt:lpstr>
      <vt:lpstr>第2题</vt:lpstr>
      <vt:lpstr>第3题</vt:lpstr>
      <vt:lpstr>第4题</vt:lpstr>
      <vt:lpstr>第5题</vt:lpstr>
      <vt:lpstr>第6题</vt:lpstr>
      <vt:lpstr>第7题</vt:lpstr>
      <vt:lpstr>第8题</vt:lpstr>
      <vt:lpstr>第9题</vt:lpstr>
      <vt:lpstr>第3题!提取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zlqfujitsu</dc:creator>
  <cp:lastModifiedBy>a77111</cp:lastModifiedBy>
  <dcterms:created xsi:type="dcterms:W3CDTF">2012-09-14T05:52:01Z</dcterms:created>
  <dcterms:modified xsi:type="dcterms:W3CDTF">2026-06-21T14:24:46Z</dcterms:modified>
</cp:coreProperties>
</file>