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BaiduSyncdisk\教学文件\23-24第二学期\经济管理中的计算机应用\期末真题\经管机22-23学年第二学期B卷-原卷+答案\"/>
    </mc:Choice>
  </mc:AlternateContent>
  <bookViews>
    <workbookView xWindow="0" yWindow="0" windowWidth="28800" windowHeight="12240" activeTab="6"/>
  </bookViews>
  <sheets>
    <sheet name="第1题" sheetId="1" r:id="rId1"/>
    <sheet name="第2题" sheetId="10" r:id="rId2"/>
    <sheet name="第3题" sheetId="2" r:id="rId3"/>
    <sheet name="第4题" sheetId="3" r:id="rId4"/>
    <sheet name="第5题" sheetId="6" r:id="rId5"/>
    <sheet name="第6题" sheetId="7" r:id="rId6"/>
    <sheet name="第7题" sheetId="5" r:id="rId7"/>
    <sheet name="第8题" sheetId="8" r:id="rId8"/>
    <sheet name="第9题" sheetId="9" r:id="rId9"/>
  </sheets>
  <externalReferences>
    <externalReference r:id="rId10"/>
  </externalReferences>
  <definedNames>
    <definedName name="solver_adj" localSheetId="8" hidden="1">第9题!$E$3:$E$8</definedName>
    <definedName name="solver_cvg" localSheetId="8" hidden="1">0.0001</definedName>
    <definedName name="solver_drv" localSheetId="8" hidden="1">1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第9题!$E$3:$E$8</definedName>
    <definedName name="solver_lhs2" localSheetId="8" hidden="1">第9题!$F$3:$F$8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第9题!$E$9</definedName>
    <definedName name="solver_pre" localSheetId="8" hidden="1">0.000001</definedName>
    <definedName name="solver_rbv" localSheetId="8" hidden="1">1</definedName>
    <definedName name="solver_rel1" localSheetId="8" hidden="1">4</definedName>
    <definedName name="solver_rel2" localSheetId="8" hidden="1">3</definedName>
    <definedName name="solver_rhs1" localSheetId="8" hidden="1">整数</definedName>
    <definedName name="solver_rhs2" localSheetId="8" hidden="1">第9题!$D$3:$D$8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查询来自_MS_Access_Database" localSheetId="0" hidden="1">第1题!$A$1:$D$8</definedName>
    <definedName name="查询来自_MS_Access_Database_1" localSheetId="0" hidden="1">第1题!#REF!</definedName>
  </definedNames>
  <calcPr calcId="162913"/>
</workbook>
</file>

<file path=xl/calcChain.xml><?xml version="1.0" encoding="utf-8"?>
<calcChain xmlns="http://schemas.openxmlformats.org/spreadsheetml/2006/main">
  <c r="I5" i="2" l="1"/>
  <c r="F17" i="5" l="1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16" i="5"/>
  <c r="E9" i="9"/>
  <c r="F8" i="9"/>
  <c r="F7" i="9"/>
  <c r="A7" i="9"/>
  <c r="F6" i="9"/>
  <c r="A6" i="9"/>
  <c r="F5" i="9"/>
  <c r="A5" i="9" a="1"/>
  <c r="A5" i="9" s="1"/>
  <c r="F4" i="9"/>
  <c r="A4" i="9" a="1"/>
  <c r="A4" i="9" s="1"/>
  <c r="F3" i="9"/>
  <c r="A3" i="9"/>
  <c r="A2" i="9"/>
  <c r="B22" i="8"/>
  <c r="L2" i="8" s="1"/>
  <c r="B21" i="8"/>
  <c r="B24" i="8" s="1"/>
  <c r="E15" i="8"/>
  <c r="D15" i="8"/>
  <c r="C15" i="8"/>
  <c r="B15" i="8"/>
  <c r="E14" i="8"/>
  <c r="D14" i="8"/>
  <c r="C14" i="8"/>
  <c r="B14" i="8"/>
  <c r="B12" i="8"/>
  <c r="E11" i="8"/>
  <c r="E10" i="8"/>
  <c r="D10" i="8"/>
  <c r="C10" i="8"/>
  <c r="B10" i="8"/>
  <c r="D3" i="8"/>
  <c r="D4" i="8" s="1"/>
  <c r="D5" i="8" s="1"/>
  <c r="M16" i="5"/>
  <c r="I16" i="5"/>
  <c r="L16" i="5" s="1"/>
  <c r="H16" i="5"/>
  <c r="G17" i="5" s="1"/>
  <c r="M17" i="5" s="1"/>
  <c r="C10" i="5"/>
  <c r="C11" i="5" s="1"/>
  <c r="G15" i="7"/>
  <c r="G14" i="7"/>
  <c r="G13" i="7"/>
  <c r="G12" i="7"/>
  <c r="C9" i="7"/>
  <c r="C7" i="7"/>
  <c r="H10" i="7" s="1"/>
  <c r="D6" i="7"/>
  <c r="C6" i="7"/>
  <c r="D5" i="7"/>
  <c r="D7" i="7" s="1"/>
  <c r="I10" i="7" s="1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H26" i="6"/>
  <c r="H25" i="6"/>
  <c r="H24" i="6"/>
  <c r="H23" i="6"/>
  <c r="H22" i="6"/>
  <c r="H21" i="6"/>
  <c r="G18" i="6"/>
  <c r="G17" i="6"/>
  <c r="G16" i="6"/>
  <c r="G15" i="6"/>
  <c r="H13" i="6"/>
  <c r="H11" i="6"/>
  <c r="H10" i="6"/>
  <c r="P1" i="6"/>
  <c r="H13" i="3"/>
  <c r="J13" i="3" s="1"/>
  <c r="H12" i="3"/>
  <c r="J12" i="3" s="1"/>
  <c r="H11" i="3"/>
  <c r="J11" i="3" s="1"/>
  <c r="H10" i="3"/>
  <c r="H9" i="3"/>
  <c r="J9" i="3" s="1"/>
  <c r="H8" i="3"/>
  <c r="H7" i="3"/>
  <c r="H6" i="3"/>
  <c r="H5" i="3"/>
  <c r="J5" i="3" s="1"/>
  <c r="H4" i="3"/>
  <c r="J4" i="3" s="1"/>
  <c r="H3" i="3"/>
  <c r="J3" i="3" s="1"/>
  <c r="I2" i="3"/>
  <c r="H2" i="3"/>
  <c r="J2" i="3" s="1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F18" i="2"/>
  <c r="L17" i="2"/>
  <c r="F17" i="2"/>
  <c r="I16" i="2"/>
  <c r="J16" i="2" s="1"/>
  <c r="F16" i="2"/>
  <c r="F15" i="2"/>
  <c r="F14" i="2"/>
  <c r="F13" i="2"/>
  <c r="F12" i="2"/>
  <c r="F11" i="2"/>
  <c r="F10" i="2"/>
  <c r="F9" i="2"/>
  <c r="F8" i="2"/>
  <c r="F7" i="2"/>
  <c r="F6" i="2"/>
  <c r="K16" i="2"/>
  <c r="I18" i="2" s="1"/>
  <c r="F5" i="2"/>
  <c r="F4" i="2"/>
  <c r="F3" i="2"/>
  <c r="F2" i="2"/>
  <c r="G1" i="3"/>
  <c r="H18" i="6" l="1"/>
  <c r="J7" i="3"/>
  <c r="J6" i="3"/>
  <c r="J10" i="3"/>
  <c r="N20" i="2"/>
  <c r="O20" i="2" s="1"/>
  <c r="N24" i="2"/>
  <c r="O24" i="2" s="1"/>
  <c r="N19" i="2"/>
  <c r="O19" i="2" s="1"/>
  <c r="N26" i="2"/>
  <c r="O26" i="2" s="1"/>
  <c r="J17" i="5"/>
  <c r="J28" i="2"/>
  <c r="J18" i="2"/>
  <c r="N23" i="2"/>
  <c r="O23" i="2" s="1"/>
  <c r="N22" i="2"/>
  <c r="O22" i="2" s="1"/>
  <c r="G30" i="7"/>
  <c r="G29" i="7"/>
  <c r="H21" i="7"/>
  <c r="C10" i="7"/>
  <c r="G31" i="7"/>
  <c r="N25" i="2"/>
  <c r="O25" i="2" s="1"/>
  <c r="N21" i="2"/>
  <c r="O21" i="2" s="1"/>
  <c r="J8" i="3"/>
  <c r="C26" i="3" s="1" a="1"/>
  <c r="B13" i="7"/>
  <c r="K16" i="5"/>
  <c r="N16" i="5" s="1"/>
  <c r="E17" i="5"/>
  <c r="H8" i="6"/>
  <c r="L3" i="8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B16" i="8"/>
  <c r="B13" i="8"/>
  <c r="C11" i="8"/>
  <c r="C12" i="8" s="1"/>
  <c r="D11" i="8"/>
  <c r="C2" i="3" l="1" a="1"/>
  <c r="C14" i="3" a="1"/>
  <c r="C21" i="3" s="1"/>
  <c r="J15" i="3"/>
  <c r="B17" i="8"/>
  <c r="D12" i="8"/>
  <c r="C13" i="8"/>
  <c r="C16" i="8"/>
  <c r="H17" i="5"/>
  <c r="I17" i="5"/>
  <c r="I21" i="7"/>
  <c r="H30" i="7"/>
  <c r="M2" i="8" a="1"/>
  <c r="C33" i="3"/>
  <c r="C26" i="3"/>
  <c r="C32" i="3"/>
  <c r="C31" i="3"/>
  <c r="C30" i="3"/>
  <c r="C36" i="3"/>
  <c r="C28" i="3"/>
  <c r="C35" i="3"/>
  <c r="C27" i="3"/>
  <c r="C34" i="3"/>
  <c r="C37" i="3"/>
  <c r="C29" i="3"/>
  <c r="C20" i="3"/>
  <c r="C19" i="3"/>
  <c r="C18" i="3"/>
  <c r="C25" i="3"/>
  <c r="C17" i="3"/>
  <c r="C23" i="3"/>
  <c r="C15" i="3"/>
  <c r="C22" i="3"/>
  <c r="C14" i="3"/>
  <c r="C16" i="3"/>
  <c r="C7" i="3"/>
  <c r="C6" i="3"/>
  <c r="C13" i="3"/>
  <c r="C5" i="3"/>
  <c r="C12" i="3"/>
  <c r="C4" i="3"/>
  <c r="C10" i="3"/>
  <c r="C9" i="3"/>
  <c r="C2" i="3"/>
  <c r="C8" i="3"/>
  <c r="C11" i="3"/>
  <c r="C3" i="3"/>
  <c r="D35" i="3" l="1"/>
  <c r="D4" i="3"/>
  <c r="D20" i="3"/>
  <c r="D36" i="3"/>
  <c r="D5" i="3"/>
  <c r="D21" i="3"/>
  <c r="D23" i="3"/>
  <c r="D9" i="3"/>
  <c r="D25" i="3"/>
  <c r="D41" i="3"/>
  <c r="D27" i="3"/>
  <c r="D26" i="3"/>
  <c r="D42" i="3"/>
  <c r="D11" i="3"/>
  <c r="D43" i="3"/>
  <c r="D28" i="3"/>
  <c r="D13" i="3"/>
  <c r="D29" i="3"/>
  <c r="D45" i="3"/>
  <c r="D17" i="3"/>
  <c r="D6" i="3"/>
  <c r="D7" i="3"/>
  <c r="D39" i="3"/>
  <c r="D14" i="3"/>
  <c r="D37" i="3"/>
  <c r="D22" i="3"/>
  <c r="D24" i="3"/>
  <c r="D15" i="3"/>
  <c r="D31" i="3"/>
  <c r="D33" i="3"/>
  <c r="D8" i="3"/>
  <c r="D16" i="3"/>
  <c r="D32" i="3"/>
  <c r="D48" i="3"/>
  <c r="D49" i="3"/>
  <c r="D38" i="3"/>
  <c r="D40" i="3"/>
  <c r="C24" i="3"/>
  <c r="D2" i="3" s="1"/>
  <c r="K17" i="5"/>
  <c r="J18" i="5"/>
  <c r="L17" i="5"/>
  <c r="M22" i="8"/>
  <c r="M14" i="8"/>
  <c r="M6" i="8"/>
  <c r="M20" i="8"/>
  <c r="M12" i="8"/>
  <c r="M4" i="8"/>
  <c r="M17" i="8"/>
  <c r="M7" i="8"/>
  <c r="M15" i="8"/>
  <c r="M3" i="8"/>
  <c r="M13" i="8"/>
  <c r="M23" i="8"/>
  <c r="M11" i="8"/>
  <c r="M2" i="8"/>
  <c r="N2" i="8" s="1"/>
  <c r="N3" i="8" s="1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M21" i="8"/>
  <c r="M10" i="8"/>
  <c r="M16" i="8"/>
  <c r="M9" i="8"/>
  <c r="M8" i="8"/>
  <c r="M5" i="8"/>
  <c r="M18" i="8"/>
  <c r="M19" i="8"/>
  <c r="C17" i="8"/>
  <c r="N17" i="5"/>
  <c r="E18" i="5"/>
  <c r="G18" i="5"/>
  <c r="D13" i="8"/>
  <c r="E12" i="8"/>
  <c r="D16" i="8"/>
  <c r="D19" i="3" l="1"/>
  <c r="D3" i="3"/>
  <c r="D47" i="3"/>
  <c r="D10" i="3"/>
  <c r="D34" i="3"/>
  <c r="D46" i="3"/>
  <c r="D44" i="3"/>
  <c r="E38" i="3" s="1" a="1"/>
  <c r="D18" i="3"/>
  <c r="E14" i="3" s="1" a="1"/>
  <c r="D30" i="3"/>
  <c r="E26" i="3" s="1" a="1"/>
  <c r="E34" i="3" s="1"/>
  <c r="D12" i="3"/>
  <c r="E2" i="3" s="1" a="1"/>
  <c r="D17" i="8"/>
  <c r="E16" i="8"/>
  <c r="E13" i="8"/>
  <c r="M18" i="5"/>
  <c r="I18" i="5"/>
  <c r="H18" i="5"/>
  <c r="E31" i="3" l="1"/>
  <c r="E28" i="3"/>
  <c r="E37" i="3"/>
  <c r="E30" i="3"/>
  <c r="E32" i="3"/>
  <c r="E27" i="3"/>
  <c r="E35" i="3"/>
  <c r="E26" i="3"/>
  <c r="E33" i="3"/>
  <c r="E36" i="3"/>
  <c r="E29" i="3"/>
  <c r="E17" i="8"/>
  <c r="B19" i="8" s="1"/>
  <c r="I1" i="8" s="1"/>
  <c r="K18" i="5"/>
  <c r="J19" i="5"/>
  <c r="L18" i="5"/>
  <c r="N18" i="5" s="1"/>
  <c r="E22" i="3"/>
  <c r="E21" i="3"/>
  <c r="E14" i="3"/>
  <c r="E20" i="3"/>
  <c r="E19" i="3"/>
  <c r="E25" i="3"/>
  <c r="E17" i="3"/>
  <c r="E24" i="3"/>
  <c r="E16" i="3"/>
  <c r="E23" i="3"/>
  <c r="E15" i="3"/>
  <c r="E18" i="3"/>
  <c r="E19" i="5"/>
  <c r="G19" i="5"/>
  <c r="E46" i="3"/>
  <c r="E45" i="3"/>
  <c r="E38" i="3"/>
  <c r="E44" i="3"/>
  <c r="E43" i="3"/>
  <c r="E49" i="3"/>
  <c r="E41" i="3"/>
  <c r="E48" i="3"/>
  <c r="E40" i="3"/>
  <c r="E47" i="3"/>
  <c r="E39" i="3"/>
  <c r="E42" i="3"/>
  <c r="E9" i="3"/>
  <c r="E2" i="3"/>
  <c r="E8" i="3"/>
  <c r="E7" i="3"/>
  <c r="E6" i="3"/>
  <c r="E12" i="3"/>
  <c r="E4" i="3"/>
  <c r="E11" i="3"/>
  <c r="E3" i="3"/>
  <c r="E10" i="3"/>
  <c r="E13" i="3"/>
  <c r="E5" i="3"/>
  <c r="H19" i="5" l="1"/>
  <c r="J20" i="5" s="1"/>
  <c r="M19" i="5"/>
  <c r="I19" i="5"/>
  <c r="L19" i="5" l="1"/>
  <c r="E20" i="5"/>
  <c r="G20" i="5"/>
  <c r="K19" i="5"/>
  <c r="N19" i="5" s="1"/>
  <c r="H20" i="5" l="1"/>
  <c r="J21" i="5" s="1"/>
  <c r="M20" i="5"/>
  <c r="I20" i="5"/>
  <c r="G21" i="5" l="1"/>
  <c r="E21" i="5"/>
  <c r="L20" i="5"/>
  <c r="K20" i="5"/>
  <c r="N20" i="5" s="1"/>
  <c r="H21" i="5" l="1"/>
  <c r="J22" i="5" s="1"/>
  <c r="I21" i="5"/>
  <c r="M21" i="5"/>
  <c r="G22" i="5" l="1"/>
  <c r="E22" i="5"/>
  <c r="L21" i="5"/>
  <c r="K21" i="5"/>
  <c r="N21" i="5" s="1"/>
  <c r="H22" i="5" l="1"/>
  <c r="J23" i="5" s="1"/>
  <c r="I22" i="5"/>
  <c r="L22" i="5" s="1"/>
  <c r="M22" i="5"/>
  <c r="G23" i="5" l="1"/>
  <c r="E23" i="5"/>
  <c r="K22" i="5"/>
  <c r="N22" i="5" s="1"/>
  <c r="H23" i="5" l="1"/>
  <c r="I23" i="5"/>
  <c r="L23" i="5" s="1"/>
  <c r="M23" i="5"/>
  <c r="K23" i="5" l="1"/>
  <c r="J24" i="5"/>
  <c r="N23" i="5"/>
  <c r="G24" i="5"/>
  <c r="E24" i="5"/>
  <c r="H24" i="5" l="1"/>
  <c r="J25" i="5" s="1"/>
  <c r="K24" i="5"/>
  <c r="I24" i="5"/>
  <c r="L24" i="5" s="1"/>
  <c r="M24" i="5"/>
  <c r="N24" i="5" l="1"/>
  <c r="E25" i="5"/>
  <c r="G25" i="5"/>
  <c r="M25" i="5" l="1"/>
  <c r="I25" i="5"/>
  <c r="L25" i="5" s="1"/>
  <c r="H25" i="5"/>
  <c r="K25" i="5" l="1"/>
  <c r="N25" i="5" s="1"/>
  <c r="J26" i="5"/>
  <c r="E26" i="5"/>
  <c r="G26" i="5"/>
  <c r="M26" i="5" l="1"/>
  <c r="I26" i="5"/>
  <c r="L26" i="5" s="1"/>
  <c r="H26" i="5"/>
  <c r="J27" i="5" s="1"/>
  <c r="E27" i="5" l="1"/>
  <c r="G27" i="5"/>
  <c r="K26" i="5"/>
  <c r="N26" i="5" s="1"/>
  <c r="M27" i="5" l="1"/>
  <c r="I27" i="5"/>
  <c r="L27" i="5" s="1"/>
  <c r="H27" i="5"/>
  <c r="K27" i="5" l="1"/>
  <c r="N27" i="5" s="1"/>
  <c r="J28" i="5"/>
  <c r="G28" i="5"/>
  <c r="E28" i="5"/>
  <c r="H28" i="5" l="1"/>
  <c r="J29" i="5" s="1"/>
  <c r="M28" i="5"/>
  <c r="I28" i="5"/>
  <c r="L28" i="5" s="1"/>
  <c r="G29" i="5" l="1"/>
  <c r="E29" i="5"/>
  <c r="K28" i="5"/>
  <c r="N28" i="5" s="1"/>
  <c r="H29" i="5" l="1"/>
  <c r="J30" i="5" s="1"/>
  <c r="I29" i="5"/>
  <c r="L29" i="5" s="1"/>
  <c r="M29" i="5"/>
  <c r="G30" i="5" l="1"/>
  <c r="E30" i="5"/>
  <c r="K29" i="5"/>
  <c r="N29" i="5" s="1"/>
  <c r="H30" i="5" l="1"/>
  <c r="J31" i="5" s="1"/>
  <c r="I30" i="5"/>
  <c r="L30" i="5" s="1"/>
  <c r="M30" i="5"/>
  <c r="G31" i="5" l="1"/>
  <c r="E31" i="5"/>
  <c r="K30" i="5"/>
  <c r="N30" i="5" s="1"/>
  <c r="H31" i="5" l="1"/>
  <c r="I31" i="5"/>
  <c r="L31" i="5" s="1"/>
  <c r="M31" i="5"/>
  <c r="K31" i="5" l="1"/>
  <c r="J32" i="5"/>
  <c r="N31" i="5"/>
  <c r="G32" i="5"/>
  <c r="E32" i="5"/>
  <c r="H32" i="5" l="1"/>
  <c r="I32" i="5"/>
  <c r="L32" i="5" s="1"/>
  <c r="M32" i="5"/>
  <c r="K32" i="5" l="1"/>
  <c r="J33" i="5"/>
  <c r="N32" i="5"/>
  <c r="E33" i="5"/>
  <c r="G33" i="5"/>
  <c r="M33" i="5" l="1"/>
  <c r="I33" i="5"/>
  <c r="L33" i="5" s="1"/>
  <c r="H33" i="5"/>
  <c r="K33" i="5" l="1"/>
  <c r="N33" i="5" s="1"/>
  <c r="J34" i="5"/>
  <c r="E34" i="5"/>
  <c r="G34" i="5"/>
  <c r="M34" i="5" l="1"/>
  <c r="I34" i="5"/>
  <c r="L34" i="5" s="1"/>
  <c r="H34" i="5"/>
  <c r="J35" i="5" s="1"/>
  <c r="E35" i="5" l="1"/>
  <c r="G35" i="5"/>
  <c r="K34" i="5"/>
  <c r="N34" i="5" s="1"/>
  <c r="M35" i="5" l="1"/>
  <c r="I35" i="5"/>
  <c r="L35" i="5" s="1"/>
  <c r="H35" i="5"/>
  <c r="J36" i="5" s="1"/>
  <c r="G36" i="5" l="1"/>
  <c r="E36" i="5"/>
  <c r="K35" i="5"/>
  <c r="N35" i="5" s="1"/>
  <c r="H36" i="5" l="1"/>
  <c r="M36" i="5"/>
  <c r="I36" i="5"/>
  <c r="L36" i="5" s="1"/>
  <c r="K36" i="5" l="1"/>
  <c r="J37" i="5"/>
  <c r="N36" i="5"/>
  <c r="G37" i="5"/>
  <c r="E37" i="5"/>
  <c r="H37" i="5" l="1"/>
  <c r="J38" i="5" s="1"/>
  <c r="I37" i="5"/>
  <c r="L37" i="5" s="1"/>
  <c r="M37" i="5"/>
  <c r="G38" i="5" l="1"/>
  <c r="E38" i="5"/>
  <c r="K37" i="5"/>
  <c r="N37" i="5" s="1"/>
  <c r="H38" i="5" l="1"/>
  <c r="J39" i="5" s="1"/>
  <c r="I38" i="5"/>
  <c r="L38" i="5" s="1"/>
  <c r="M38" i="5"/>
  <c r="G39" i="5" l="1"/>
  <c r="E39" i="5"/>
  <c r="K38" i="5"/>
  <c r="N38" i="5" s="1"/>
  <c r="H39" i="5" l="1"/>
  <c r="I39" i="5"/>
  <c r="L39" i="5" s="1"/>
  <c r="M39" i="5"/>
  <c r="K39" i="5" l="1"/>
  <c r="N39" i="5" s="1"/>
  <c r="J40" i="5"/>
  <c r="G40" i="5"/>
  <c r="E40" i="5"/>
  <c r="H40" i="5" l="1"/>
  <c r="I40" i="5"/>
  <c r="L40" i="5" s="1"/>
  <c r="M40" i="5"/>
  <c r="K40" i="5" l="1"/>
  <c r="N40" i="5" s="1"/>
  <c r="J41" i="5"/>
  <c r="E41" i="5"/>
  <c r="G41" i="5"/>
  <c r="M41" i="5" l="1"/>
  <c r="I41" i="5"/>
  <c r="L41" i="5" s="1"/>
  <c r="H41" i="5"/>
  <c r="K41" i="5" l="1"/>
  <c r="N41" i="5" s="1"/>
  <c r="J42" i="5"/>
  <c r="E42" i="5"/>
  <c r="G42" i="5"/>
  <c r="M42" i="5" l="1"/>
  <c r="I42" i="5"/>
  <c r="L42" i="5" s="1"/>
  <c r="H42" i="5"/>
  <c r="J43" i="5" s="1"/>
  <c r="E43" i="5" l="1"/>
  <c r="G43" i="5"/>
  <c r="K42" i="5"/>
  <c r="N42" i="5" s="1"/>
  <c r="M43" i="5" l="1"/>
  <c r="I43" i="5"/>
  <c r="L43" i="5" s="1"/>
  <c r="H43" i="5"/>
  <c r="J44" i="5" s="1"/>
  <c r="G44" i="5" l="1"/>
  <c r="E44" i="5"/>
  <c r="K43" i="5"/>
  <c r="N43" i="5" s="1"/>
  <c r="H44" i="5" l="1"/>
  <c r="J45" i="5" s="1"/>
  <c r="M44" i="5"/>
  <c r="I44" i="5"/>
  <c r="L44" i="5" s="1"/>
  <c r="G45" i="5" l="1"/>
  <c r="E45" i="5"/>
  <c r="K44" i="5"/>
  <c r="N44" i="5" s="1"/>
  <c r="H45" i="5" l="1"/>
  <c r="J46" i="5" s="1"/>
  <c r="I45" i="5"/>
  <c r="L45" i="5" s="1"/>
  <c r="M45" i="5"/>
  <c r="G46" i="5" l="1"/>
  <c r="E46" i="5"/>
  <c r="K45" i="5"/>
  <c r="N45" i="5" s="1"/>
  <c r="H46" i="5" l="1"/>
  <c r="J47" i="5" s="1"/>
  <c r="I46" i="5"/>
  <c r="L46" i="5" s="1"/>
  <c r="M46" i="5"/>
  <c r="G47" i="5" l="1"/>
  <c r="E47" i="5"/>
  <c r="K46" i="5"/>
  <c r="N46" i="5" s="1"/>
  <c r="H47" i="5" l="1"/>
  <c r="I47" i="5"/>
  <c r="L47" i="5" s="1"/>
  <c r="M47" i="5"/>
  <c r="K47" i="5" l="1"/>
  <c r="J48" i="5"/>
  <c r="N47" i="5"/>
  <c r="G48" i="5"/>
  <c r="E48" i="5"/>
  <c r="I48" i="5" l="1"/>
  <c r="L48" i="5" s="1"/>
  <c r="M48" i="5"/>
  <c r="H48" i="5"/>
  <c r="K48" i="5" l="1"/>
  <c r="N48" i="5" s="1"/>
  <c r="J49" i="5"/>
  <c r="E49" i="5"/>
  <c r="G49" i="5"/>
  <c r="M49" i="5" l="1"/>
  <c r="I49" i="5"/>
  <c r="L49" i="5" s="1"/>
  <c r="H49" i="5"/>
  <c r="K49" i="5" l="1"/>
  <c r="J50" i="5"/>
  <c r="N49" i="5"/>
  <c r="E50" i="5"/>
  <c r="G50" i="5"/>
  <c r="M50" i="5" l="1"/>
  <c r="I50" i="5"/>
  <c r="L50" i="5" s="1"/>
  <c r="H50" i="5"/>
  <c r="J51" i="5" s="1"/>
  <c r="E51" i="5" l="1"/>
  <c r="G51" i="5"/>
  <c r="K50" i="5"/>
  <c r="N50" i="5" s="1"/>
  <c r="M51" i="5" l="1"/>
  <c r="I51" i="5"/>
  <c r="L51" i="5" s="1"/>
  <c r="H51" i="5"/>
  <c r="J52" i="5" s="1"/>
  <c r="G52" i="5" l="1"/>
  <c r="E52" i="5"/>
  <c r="K51" i="5"/>
  <c r="N51" i="5" s="1"/>
  <c r="H52" i="5" l="1"/>
  <c r="J53" i="5" s="1"/>
  <c r="M52" i="5"/>
  <c r="I52" i="5"/>
  <c r="L52" i="5" s="1"/>
  <c r="G53" i="5" l="1"/>
  <c r="E53" i="5"/>
  <c r="K52" i="5"/>
  <c r="N52" i="5" s="1"/>
  <c r="H53" i="5" l="1"/>
  <c r="J54" i="5" s="1"/>
  <c r="I53" i="5"/>
  <c r="L53" i="5" s="1"/>
  <c r="M53" i="5"/>
  <c r="G54" i="5" l="1"/>
  <c r="E54" i="5"/>
  <c r="K53" i="5"/>
  <c r="N53" i="5" s="1"/>
  <c r="H54" i="5" l="1"/>
  <c r="J55" i="5" s="1"/>
  <c r="I54" i="5"/>
  <c r="L54" i="5" s="1"/>
  <c r="M54" i="5"/>
  <c r="G55" i="5" l="1"/>
  <c r="E55" i="5"/>
  <c r="K54" i="5"/>
  <c r="N54" i="5" s="1"/>
  <c r="H55" i="5" l="1"/>
  <c r="M55" i="5"/>
  <c r="I55" i="5"/>
  <c r="L55" i="5" s="1"/>
  <c r="K55" i="5" l="1"/>
  <c r="J56" i="5"/>
  <c r="N55" i="5"/>
  <c r="G56" i="5"/>
  <c r="E56" i="5"/>
  <c r="H56" i="5" l="1"/>
  <c r="J57" i="5" s="1"/>
  <c r="M56" i="5"/>
  <c r="I56" i="5"/>
  <c r="L56" i="5" s="1"/>
  <c r="G57" i="5" l="1"/>
  <c r="E57" i="5"/>
  <c r="K56" i="5"/>
  <c r="N56" i="5" s="1"/>
  <c r="H57" i="5" l="1"/>
  <c r="J58" i="5" s="1"/>
  <c r="M57" i="5"/>
  <c r="I57" i="5"/>
  <c r="L57" i="5" s="1"/>
  <c r="G58" i="5" l="1"/>
  <c r="E58" i="5"/>
  <c r="K57" i="5"/>
  <c r="N57" i="5" s="1"/>
  <c r="H58" i="5" l="1"/>
  <c r="J59" i="5" s="1"/>
  <c r="M58" i="5"/>
  <c r="I58" i="5"/>
  <c r="L58" i="5" s="1"/>
  <c r="G59" i="5" l="1"/>
  <c r="E59" i="5"/>
  <c r="K58" i="5"/>
  <c r="N58" i="5" s="1"/>
  <c r="H59" i="5" l="1"/>
  <c r="J60" i="5" s="1"/>
  <c r="I59" i="5"/>
  <c r="L59" i="5" s="1"/>
  <c r="M59" i="5"/>
  <c r="G60" i="5" l="1"/>
  <c r="E60" i="5"/>
  <c r="K59" i="5"/>
  <c r="N59" i="5" s="1"/>
  <c r="H60" i="5" l="1"/>
  <c r="I60" i="5"/>
  <c r="L60" i="5" s="1"/>
  <c r="M60" i="5"/>
  <c r="K60" i="5" l="1"/>
  <c r="J61" i="5"/>
  <c r="N60" i="5"/>
  <c r="E61" i="5"/>
  <c r="G61" i="5"/>
  <c r="M61" i="5" l="1"/>
  <c r="I61" i="5"/>
  <c r="L61" i="5" s="1"/>
  <c r="H61" i="5"/>
  <c r="J62" i="5" s="1"/>
  <c r="E62" i="5" l="1"/>
  <c r="G62" i="5"/>
  <c r="K61" i="5"/>
  <c r="N61" i="5" s="1"/>
  <c r="M62" i="5" l="1"/>
  <c r="I62" i="5"/>
  <c r="L62" i="5" s="1"/>
  <c r="H62" i="5"/>
  <c r="J63" i="5" s="1"/>
  <c r="G63" i="5" l="1"/>
  <c r="E63" i="5"/>
  <c r="K62" i="5"/>
  <c r="N62" i="5" s="1"/>
  <c r="H63" i="5" l="1"/>
  <c r="J64" i="5" s="1"/>
  <c r="I63" i="5"/>
  <c r="L63" i="5" s="1"/>
  <c r="M63" i="5"/>
  <c r="G64" i="5" l="1"/>
  <c r="E64" i="5"/>
  <c r="K63" i="5"/>
  <c r="N63" i="5" s="1"/>
  <c r="H64" i="5" l="1"/>
  <c r="M64" i="5"/>
  <c r="I64" i="5"/>
  <c r="L64" i="5" s="1"/>
  <c r="K64" i="5" l="1"/>
  <c r="J65" i="5"/>
  <c r="N64" i="5"/>
  <c r="G65" i="5"/>
  <c r="E65" i="5"/>
  <c r="H65" i="5" l="1"/>
  <c r="J66" i="5" s="1"/>
  <c r="M65" i="5"/>
  <c r="I65" i="5"/>
  <c r="L65" i="5" s="1"/>
  <c r="E66" i="5" l="1"/>
  <c r="G66" i="5"/>
  <c r="K65" i="5"/>
  <c r="N65" i="5" s="1"/>
  <c r="I66" i="5" l="1"/>
  <c r="L66" i="5" s="1"/>
  <c r="M66" i="5"/>
  <c r="H66" i="5"/>
  <c r="J67" i="5" s="1"/>
  <c r="G67" i="5" l="1"/>
  <c r="E67" i="5"/>
  <c r="K66" i="5"/>
  <c r="N66" i="5" s="1"/>
  <c r="H67" i="5" l="1"/>
  <c r="M67" i="5"/>
  <c r="I67" i="5"/>
  <c r="L67" i="5" s="1"/>
  <c r="K67" i="5" l="1"/>
  <c r="J68" i="5"/>
  <c r="N67" i="5"/>
  <c r="G68" i="5"/>
  <c r="E68" i="5"/>
  <c r="H68" i="5" l="1"/>
  <c r="I68" i="5"/>
  <c r="L68" i="5" s="1"/>
  <c r="M68" i="5"/>
  <c r="K68" i="5" l="1"/>
  <c r="J69" i="5"/>
  <c r="N68" i="5"/>
  <c r="E69" i="5"/>
  <c r="G69" i="5"/>
  <c r="I69" i="5" l="1"/>
  <c r="L69" i="5" s="1"/>
  <c r="M69" i="5"/>
  <c r="H69" i="5"/>
  <c r="J70" i="5" s="1"/>
  <c r="E70" i="5" l="1"/>
  <c r="G70" i="5"/>
  <c r="K69" i="5"/>
  <c r="N69" i="5" s="1"/>
  <c r="M70" i="5" l="1"/>
  <c r="I70" i="5"/>
  <c r="L70" i="5" s="1"/>
  <c r="H70" i="5"/>
  <c r="J71" i="5" s="1"/>
  <c r="G71" i="5" l="1"/>
  <c r="E71" i="5"/>
  <c r="K70" i="5"/>
  <c r="N70" i="5" s="1"/>
  <c r="H71" i="5" l="1"/>
  <c r="J72" i="5" s="1"/>
  <c r="I71" i="5"/>
  <c r="L71" i="5" s="1"/>
  <c r="M71" i="5"/>
  <c r="E72" i="5" l="1"/>
  <c r="G72" i="5"/>
  <c r="K71" i="5"/>
  <c r="N71" i="5" s="1"/>
  <c r="M72" i="5" l="1"/>
  <c r="I72" i="5"/>
  <c r="L72" i="5" s="1"/>
  <c r="H72" i="5"/>
  <c r="K72" i="5" l="1"/>
  <c r="N72" i="5" s="1"/>
  <c r="J73" i="5"/>
  <c r="E73" i="5"/>
  <c r="G73" i="5"/>
  <c r="M73" i="5" l="1"/>
  <c r="I73" i="5"/>
  <c r="L73" i="5" s="1"/>
  <c r="H73" i="5"/>
  <c r="J74" i="5" s="1"/>
  <c r="E74" i="5" l="1"/>
  <c r="G74" i="5"/>
  <c r="K73" i="5"/>
  <c r="N73" i="5" s="1"/>
  <c r="M74" i="5" l="1"/>
  <c r="I74" i="5"/>
  <c r="L74" i="5" s="1"/>
  <c r="H74" i="5"/>
  <c r="J75" i="5" s="1"/>
  <c r="G75" i="5" l="1"/>
  <c r="E75" i="5"/>
  <c r="K74" i="5"/>
  <c r="N74" i="5" s="1"/>
  <c r="H75" i="5" l="1"/>
  <c r="J76" i="5" s="1"/>
  <c r="M75" i="5"/>
  <c r="I75" i="5"/>
  <c r="L75" i="5" s="1"/>
  <c r="G76" i="5" l="1"/>
  <c r="E76" i="5"/>
  <c r="K75" i="5"/>
  <c r="N75" i="5" s="1"/>
  <c r="H76" i="5" l="1"/>
  <c r="J77" i="5" s="1"/>
  <c r="I76" i="5"/>
  <c r="L76" i="5" s="1"/>
  <c r="M76" i="5"/>
  <c r="G77" i="5" l="1"/>
  <c r="E77" i="5"/>
  <c r="K76" i="5"/>
  <c r="N76" i="5" s="1"/>
  <c r="H77" i="5" l="1"/>
  <c r="J78" i="5" s="1"/>
  <c r="I77" i="5"/>
  <c r="L77" i="5" s="1"/>
  <c r="M77" i="5"/>
  <c r="G78" i="5" l="1"/>
  <c r="E78" i="5"/>
  <c r="K77" i="5"/>
  <c r="N77" i="5" s="1"/>
  <c r="H78" i="5" l="1"/>
  <c r="I78" i="5"/>
  <c r="L78" i="5" s="1"/>
  <c r="M78" i="5"/>
  <c r="K78" i="5" l="1"/>
  <c r="J79" i="5"/>
  <c r="N78" i="5"/>
  <c r="G79" i="5"/>
  <c r="E79" i="5"/>
  <c r="H79" i="5" l="1"/>
  <c r="I79" i="5"/>
  <c r="L79" i="5" s="1"/>
  <c r="M79" i="5"/>
  <c r="K79" i="5" l="1"/>
  <c r="J80" i="5"/>
  <c r="N79" i="5"/>
  <c r="E80" i="5"/>
  <c r="G80" i="5"/>
  <c r="H80" i="5" l="1"/>
  <c r="M80" i="5"/>
  <c r="I80" i="5"/>
  <c r="L80" i="5" s="1"/>
  <c r="K80" i="5" l="1"/>
  <c r="J81" i="5"/>
  <c r="N80" i="5"/>
  <c r="E81" i="5"/>
  <c r="G81" i="5"/>
  <c r="M81" i="5" l="1"/>
  <c r="I81" i="5"/>
  <c r="L81" i="5" s="1"/>
  <c r="H81" i="5"/>
  <c r="J82" i="5" s="1"/>
  <c r="E82" i="5" l="1"/>
  <c r="G82" i="5"/>
  <c r="K81" i="5"/>
  <c r="N81" i="5" s="1"/>
  <c r="M82" i="5" l="1"/>
  <c r="I82" i="5"/>
  <c r="L82" i="5" s="1"/>
  <c r="H82" i="5"/>
  <c r="K82" i="5" l="1"/>
  <c r="J83" i="5"/>
  <c r="N82" i="5"/>
  <c r="G83" i="5"/>
  <c r="E83" i="5"/>
  <c r="H83" i="5" l="1"/>
  <c r="J84" i="5" s="1"/>
  <c r="M83" i="5"/>
  <c r="I83" i="5"/>
  <c r="L83" i="5" s="1"/>
  <c r="G84" i="5" l="1"/>
  <c r="E84" i="5"/>
  <c r="K83" i="5"/>
  <c r="N83" i="5" s="1"/>
  <c r="H84" i="5" l="1"/>
  <c r="J85" i="5" s="1"/>
  <c r="I84" i="5"/>
  <c r="L84" i="5" s="1"/>
  <c r="M84" i="5"/>
  <c r="G85" i="5" l="1"/>
  <c r="E85" i="5"/>
  <c r="K84" i="5"/>
  <c r="N84" i="5" s="1"/>
  <c r="H85" i="5" l="1"/>
  <c r="J86" i="5" s="1"/>
  <c r="I85" i="5"/>
  <c r="L85" i="5" s="1"/>
  <c r="M85" i="5"/>
  <c r="G86" i="5" l="1"/>
  <c r="E86" i="5"/>
  <c r="K85" i="5"/>
  <c r="N85" i="5" s="1"/>
  <c r="H86" i="5" l="1"/>
  <c r="I86" i="5"/>
  <c r="L86" i="5" s="1"/>
  <c r="M86" i="5"/>
  <c r="K86" i="5" l="1"/>
  <c r="J87" i="5"/>
  <c r="N86" i="5"/>
  <c r="G87" i="5"/>
  <c r="E87" i="5"/>
  <c r="I87" i="5" l="1"/>
  <c r="L87" i="5" s="1"/>
  <c r="M87" i="5"/>
  <c r="H87" i="5"/>
  <c r="K87" i="5" l="1"/>
  <c r="J88" i="5"/>
  <c r="N87" i="5"/>
  <c r="E88" i="5"/>
  <c r="G88" i="5"/>
  <c r="M88" i="5" l="1"/>
  <c r="I88" i="5"/>
  <c r="L88" i="5" s="1"/>
  <c r="H88" i="5"/>
  <c r="K88" i="5" l="1"/>
  <c r="N88" i="5" s="1"/>
  <c r="J89" i="5"/>
  <c r="E89" i="5"/>
  <c r="G89" i="5"/>
  <c r="M89" i="5" l="1"/>
  <c r="I89" i="5"/>
  <c r="L89" i="5" s="1"/>
  <c r="H89" i="5"/>
  <c r="J90" i="5" s="1"/>
  <c r="E90" i="5" l="1"/>
  <c r="G90" i="5"/>
  <c r="K89" i="5"/>
  <c r="N89" i="5" s="1"/>
  <c r="M90" i="5" l="1"/>
  <c r="I90" i="5"/>
  <c r="L90" i="5" s="1"/>
  <c r="H90" i="5"/>
  <c r="K90" i="5" l="1"/>
  <c r="N90" i="5" s="1"/>
  <c r="J91" i="5"/>
  <c r="G91" i="5"/>
  <c r="E91" i="5"/>
  <c r="H91" i="5" l="1"/>
  <c r="J92" i="5" s="1"/>
  <c r="M91" i="5"/>
  <c r="I91" i="5"/>
  <c r="L91" i="5" s="1"/>
  <c r="G92" i="5" l="1"/>
  <c r="E92" i="5"/>
  <c r="K91" i="5"/>
  <c r="N91" i="5" s="1"/>
  <c r="H92" i="5" l="1"/>
  <c r="J93" i="5" s="1"/>
  <c r="I92" i="5"/>
  <c r="L92" i="5" s="1"/>
  <c r="M92" i="5"/>
  <c r="G93" i="5" l="1"/>
  <c r="E93" i="5"/>
  <c r="K92" i="5"/>
  <c r="N92" i="5" s="1"/>
  <c r="H93" i="5" l="1"/>
  <c r="J94" i="5" s="1"/>
  <c r="I93" i="5"/>
  <c r="L93" i="5" s="1"/>
  <c r="M93" i="5"/>
  <c r="G94" i="5" l="1"/>
  <c r="E94" i="5"/>
  <c r="K93" i="5"/>
  <c r="N93" i="5" s="1"/>
  <c r="H94" i="5" l="1"/>
  <c r="J95" i="5" s="1"/>
  <c r="K94" i="5"/>
  <c r="I94" i="5"/>
  <c r="L94" i="5" s="1"/>
  <c r="M94" i="5"/>
  <c r="N94" i="5" l="1"/>
  <c r="G95" i="5"/>
  <c r="E95" i="5"/>
  <c r="I95" i="5" l="1"/>
  <c r="L95" i="5" s="1"/>
  <c r="M95" i="5"/>
  <c r="H95" i="5"/>
  <c r="J96" i="5" s="1"/>
  <c r="E96" i="5" l="1"/>
  <c r="G96" i="5"/>
  <c r="K95" i="5"/>
  <c r="N95" i="5" s="1"/>
  <c r="M96" i="5" l="1"/>
  <c r="I96" i="5"/>
  <c r="L96" i="5" s="1"/>
  <c r="H96" i="5"/>
  <c r="K96" i="5" l="1"/>
  <c r="J97" i="5"/>
  <c r="N96" i="5"/>
  <c r="E97" i="5"/>
  <c r="G97" i="5"/>
  <c r="M97" i="5" l="1"/>
  <c r="I97" i="5"/>
  <c r="L97" i="5" s="1"/>
  <c r="H97" i="5"/>
  <c r="J98" i="5" s="1"/>
  <c r="E98" i="5" l="1"/>
  <c r="G98" i="5"/>
  <c r="K97" i="5"/>
  <c r="N97" i="5" s="1"/>
  <c r="M98" i="5" l="1"/>
  <c r="I98" i="5"/>
  <c r="L98" i="5" s="1"/>
  <c r="H98" i="5"/>
  <c r="J99" i="5" s="1"/>
  <c r="G99" i="5" l="1"/>
  <c r="E99" i="5"/>
  <c r="K98" i="5"/>
  <c r="N98" i="5" s="1"/>
  <c r="H99" i="5" l="1"/>
  <c r="J100" i="5" s="1"/>
  <c r="M99" i="5"/>
  <c r="I99" i="5"/>
  <c r="L99" i="5" s="1"/>
  <c r="G100" i="5" l="1"/>
  <c r="E100" i="5"/>
  <c r="K99" i="5"/>
  <c r="N99" i="5" s="1"/>
  <c r="H100" i="5" l="1"/>
  <c r="J101" i="5" s="1"/>
  <c r="I100" i="5"/>
  <c r="L100" i="5" s="1"/>
  <c r="M100" i="5"/>
  <c r="G101" i="5" l="1"/>
  <c r="E101" i="5"/>
  <c r="K100" i="5"/>
  <c r="N100" i="5" s="1"/>
  <c r="H101" i="5" l="1"/>
  <c r="J102" i="5" s="1"/>
  <c r="I101" i="5"/>
  <c r="L101" i="5" s="1"/>
  <c r="M101" i="5"/>
  <c r="G102" i="5" l="1"/>
  <c r="E102" i="5"/>
  <c r="K101" i="5"/>
  <c r="N101" i="5" s="1"/>
  <c r="H102" i="5" l="1"/>
  <c r="I102" i="5"/>
  <c r="L102" i="5" s="1"/>
  <c r="M102" i="5"/>
  <c r="K102" i="5" l="1"/>
  <c r="J103" i="5"/>
  <c r="N102" i="5"/>
  <c r="G103" i="5"/>
  <c r="E103" i="5"/>
  <c r="H103" i="5" l="1"/>
  <c r="I103" i="5"/>
  <c r="L103" i="5" s="1"/>
  <c r="M103" i="5"/>
  <c r="K103" i="5" l="1"/>
  <c r="N103" i="5" s="1"/>
  <c r="J104" i="5"/>
  <c r="E104" i="5"/>
  <c r="G104" i="5"/>
  <c r="M104" i="5" l="1"/>
  <c r="I104" i="5"/>
  <c r="L104" i="5" s="1"/>
  <c r="H104" i="5"/>
  <c r="K104" i="5" l="1"/>
  <c r="N104" i="5" s="1"/>
  <c r="J105" i="5"/>
  <c r="E105" i="5"/>
  <c r="G105" i="5"/>
  <c r="M105" i="5" l="1"/>
  <c r="I105" i="5"/>
  <c r="L105" i="5" s="1"/>
  <c r="H105" i="5"/>
  <c r="J106" i="5" s="1"/>
  <c r="E106" i="5" l="1"/>
  <c r="G106" i="5"/>
  <c r="K105" i="5"/>
  <c r="N105" i="5" s="1"/>
  <c r="M106" i="5" l="1"/>
  <c r="I106" i="5"/>
  <c r="L106" i="5" s="1"/>
  <c r="H106" i="5"/>
  <c r="J107" i="5" s="1"/>
  <c r="G107" i="5" l="1"/>
  <c r="E107" i="5"/>
  <c r="K106" i="5"/>
  <c r="N106" i="5" s="1"/>
  <c r="H107" i="5" l="1"/>
  <c r="J108" i="5" s="1"/>
  <c r="M107" i="5"/>
  <c r="I107" i="5"/>
  <c r="L107" i="5" s="1"/>
  <c r="G108" i="5" l="1"/>
  <c r="E108" i="5"/>
  <c r="K107" i="5"/>
  <c r="N107" i="5" s="1"/>
  <c r="H108" i="5" l="1"/>
  <c r="J109" i="5" s="1"/>
  <c r="I108" i="5"/>
  <c r="L108" i="5" s="1"/>
  <c r="M108" i="5"/>
  <c r="G109" i="5" l="1"/>
  <c r="E109" i="5"/>
  <c r="K108" i="5"/>
  <c r="N108" i="5" s="1"/>
  <c r="H109" i="5" l="1"/>
  <c r="J110" i="5" s="1"/>
  <c r="I109" i="5"/>
  <c r="L109" i="5" s="1"/>
  <c r="M109" i="5"/>
  <c r="G110" i="5" l="1"/>
  <c r="E110" i="5"/>
  <c r="K109" i="5"/>
  <c r="N109" i="5" s="1"/>
  <c r="H110" i="5" l="1"/>
  <c r="I110" i="5"/>
  <c r="L110" i="5" s="1"/>
  <c r="M110" i="5"/>
  <c r="K110" i="5" l="1"/>
  <c r="J111" i="5"/>
  <c r="N110" i="5"/>
  <c r="G111" i="5"/>
  <c r="E111" i="5"/>
  <c r="H111" i="5" l="1"/>
  <c r="J112" i="5" s="1"/>
  <c r="K111" i="5"/>
  <c r="I111" i="5"/>
  <c r="L111" i="5" s="1"/>
  <c r="M111" i="5"/>
  <c r="N111" i="5" l="1"/>
  <c r="E112" i="5"/>
  <c r="G112" i="5"/>
  <c r="H112" i="5" l="1"/>
  <c r="M112" i="5"/>
  <c r="I112" i="5"/>
  <c r="L112" i="5" s="1"/>
  <c r="K112" i="5" l="1"/>
  <c r="J113" i="5"/>
  <c r="N112" i="5"/>
  <c r="E113" i="5"/>
  <c r="G113" i="5"/>
  <c r="M113" i="5" l="1"/>
  <c r="I113" i="5"/>
  <c r="L113" i="5" s="1"/>
  <c r="H113" i="5"/>
  <c r="J114" i="5" s="1"/>
  <c r="E114" i="5" l="1"/>
  <c r="G114" i="5"/>
  <c r="K113" i="5"/>
  <c r="N113" i="5" s="1"/>
  <c r="M114" i="5" l="1"/>
  <c r="I114" i="5"/>
  <c r="L114" i="5" s="1"/>
  <c r="H114" i="5"/>
  <c r="J115" i="5" s="1"/>
  <c r="G115" i="5" l="1"/>
  <c r="E115" i="5"/>
  <c r="K114" i="5"/>
  <c r="N114" i="5" s="1"/>
  <c r="H115" i="5" l="1"/>
  <c r="J116" i="5" s="1"/>
  <c r="M115" i="5"/>
  <c r="I115" i="5"/>
  <c r="L115" i="5" s="1"/>
  <c r="G116" i="5" l="1"/>
  <c r="E116" i="5"/>
  <c r="K115" i="5"/>
  <c r="N115" i="5" s="1"/>
  <c r="H116" i="5" l="1"/>
  <c r="J117" i="5" s="1"/>
  <c r="I116" i="5"/>
  <c r="L116" i="5" s="1"/>
  <c r="M116" i="5"/>
  <c r="G117" i="5" l="1"/>
  <c r="E117" i="5"/>
  <c r="K116" i="5"/>
  <c r="N116" i="5" s="1"/>
  <c r="H117" i="5" l="1"/>
  <c r="J118" i="5" s="1"/>
  <c r="I117" i="5"/>
  <c r="L117" i="5" s="1"/>
  <c r="M117" i="5"/>
  <c r="G118" i="5" l="1"/>
  <c r="E118" i="5"/>
  <c r="K117" i="5"/>
  <c r="N117" i="5" s="1"/>
  <c r="H118" i="5" l="1"/>
  <c r="I118" i="5"/>
  <c r="L118" i="5" s="1"/>
  <c r="M118" i="5"/>
  <c r="K118" i="5" l="1"/>
  <c r="J119" i="5"/>
  <c r="N118" i="5"/>
  <c r="G119" i="5"/>
  <c r="E119" i="5"/>
  <c r="H119" i="5" l="1"/>
  <c r="I119" i="5"/>
  <c r="L119" i="5" s="1"/>
  <c r="M119" i="5"/>
  <c r="K119" i="5" l="1"/>
  <c r="J120" i="5"/>
  <c r="N119" i="5"/>
  <c r="E120" i="5"/>
  <c r="G120" i="5"/>
  <c r="I120" i="5" l="1"/>
  <c r="L120" i="5" s="1"/>
  <c r="M120" i="5"/>
  <c r="H120" i="5"/>
  <c r="J121" i="5" s="1"/>
  <c r="E121" i="5" l="1"/>
  <c r="G121" i="5"/>
  <c r="K120" i="5"/>
  <c r="N120" i="5" s="1"/>
  <c r="M121" i="5" l="1"/>
  <c r="I121" i="5"/>
  <c r="L121" i="5" s="1"/>
  <c r="H121" i="5"/>
  <c r="J122" i="5" s="1"/>
  <c r="G122" i="5" l="1"/>
  <c r="E122" i="5"/>
  <c r="K121" i="5"/>
  <c r="N121" i="5" s="1"/>
  <c r="H122" i="5" l="1"/>
  <c r="J123" i="5" s="1"/>
  <c r="M122" i="5"/>
  <c r="I122" i="5"/>
  <c r="L122" i="5" s="1"/>
  <c r="E123" i="5" l="1"/>
  <c r="G123" i="5"/>
  <c r="K122" i="5"/>
  <c r="N122" i="5" s="1"/>
  <c r="M123" i="5" l="1"/>
  <c r="I123" i="5"/>
  <c r="L123" i="5" s="1"/>
  <c r="H123" i="5"/>
  <c r="J124" i="5" s="1"/>
  <c r="E124" i="5" l="1"/>
  <c r="G124" i="5"/>
  <c r="K123" i="5"/>
  <c r="N123" i="5" s="1"/>
  <c r="M124" i="5" l="1"/>
  <c r="I124" i="5"/>
  <c r="L124" i="5" s="1"/>
  <c r="H124" i="5"/>
  <c r="J125" i="5" s="1"/>
  <c r="G125" i="5" l="1"/>
  <c r="E125" i="5"/>
  <c r="K124" i="5"/>
  <c r="N124" i="5" s="1"/>
  <c r="H125" i="5" l="1"/>
  <c r="J126" i="5" s="1"/>
  <c r="M125" i="5"/>
  <c r="I125" i="5"/>
  <c r="L125" i="5" s="1"/>
  <c r="G126" i="5" l="1"/>
  <c r="E126" i="5"/>
  <c r="K125" i="5"/>
  <c r="N125" i="5" s="1"/>
  <c r="H126" i="5" l="1"/>
  <c r="J127" i="5" s="1"/>
  <c r="I126" i="5"/>
  <c r="L126" i="5" s="1"/>
  <c r="M126" i="5"/>
  <c r="G127" i="5" l="1"/>
  <c r="E127" i="5"/>
  <c r="K126" i="5"/>
  <c r="N126" i="5" s="1"/>
  <c r="H127" i="5" l="1"/>
  <c r="J128" i="5" s="1"/>
  <c r="I127" i="5"/>
  <c r="L127" i="5" s="1"/>
  <c r="M127" i="5"/>
  <c r="G128" i="5" l="1"/>
  <c r="E128" i="5"/>
  <c r="K127" i="5"/>
  <c r="N127" i="5" s="1"/>
  <c r="H128" i="5" l="1"/>
  <c r="I128" i="5"/>
  <c r="L128" i="5" s="1"/>
  <c r="M128" i="5"/>
  <c r="K128" i="5" l="1"/>
  <c r="N128" i="5" s="1"/>
  <c r="J129" i="5"/>
  <c r="G129" i="5"/>
  <c r="E129" i="5"/>
  <c r="H129" i="5" l="1"/>
  <c r="I129" i="5"/>
  <c r="L129" i="5" s="1"/>
  <c r="M129" i="5"/>
  <c r="K129" i="5" l="1"/>
  <c r="J130" i="5"/>
  <c r="N129" i="5"/>
  <c r="E130" i="5"/>
  <c r="G130" i="5"/>
  <c r="H130" i="5" l="1"/>
  <c r="M130" i="5"/>
  <c r="I130" i="5"/>
  <c r="L130" i="5" s="1"/>
  <c r="K130" i="5" l="1"/>
  <c r="N130" i="5" s="1"/>
  <c r="J131" i="5"/>
  <c r="E131" i="5"/>
  <c r="G131" i="5"/>
  <c r="M131" i="5" l="1"/>
  <c r="I131" i="5"/>
  <c r="L131" i="5" s="1"/>
  <c r="H131" i="5"/>
  <c r="J132" i="5" s="1"/>
  <c r="E132" i="5" l="1"/>
  <c r="G132" i="5"/>
  <c r="K131" i="5"/>
  <c r="N131" i="5" s="1"/>
  <c r="M132" i="5" l="1"/>
  <c r="I132" i="5"/>
  <c r="L132" i="5" s="1"/>
  <c r="H132" i="5"/>
  <c r="J133" i="5" s="1"/>
  <c r="G133" i="5" l="1"/>
  <c r="E133" i="5"/>
  <c r="K132" i="5"/>
  <c r="N132" i="5" s="1"/>
  <c r="H133" i="5" l="1"/>
  <c r="J134" i="5" s="1"/>
  <c r="M133" i="5"/>
  <c r="I133" i="5"/>
  <c r="L133" i="5" s="1"/>
  <c r="G134" i="5" l="1"/>
  <c r="E134" i="5"/>
  <c r="K133" i="5"/>
  <c r="N133" i="5" s="1"/>
  <c r="H134" i="5" l="1"/>
  <c r="J135" i="5" s="1"/>
  <c r="I134" i="5"/>
  <c r="L134" i="5" s="1"/>
  <c r="M134" i="5"/>
  <c r="G135" i="5" l="1"/>
  <c r="E135" i="5"/>
  <c r="K134" i="5"/>
  <c r="N134" i="5" s="1"/>
  <c r="H135" i="5" l="1"/>
  <c r="J136" i="5" s="1"/>
  <c r="I135" i="5"/>
  <c r="L135" i="5" s="1"/>
  <c r="M135" i="5"/>
  <c r="G136" i="5" l="1"/>
  <c r="E136" i="5"/>
  <c r="K135" i="5"/>
  <c r="N135" i="5" s="1"/>
  <c r="H136" i="5" l="1"/>
  <c r="I136" i="5"/>
  <c r="L136" i="5" s="1"/>
  <c r="M136" i="5"/>
  <c r="K136" i="5" l="1"/>
  <c r="J137" i="5"/>
  <c r="N136" i="5"/>
  <c r="G137" i="5"/>
  <c r="E137" i="5"/>
  <c r="H137" i="5" l="1"/>
  <c r="I137" i="5"/>
  <c r="L137" i="5" s="1"/>
  <c r="M137" i="5"/>
  <c r="K137" i="5" l="1"/>
  <c r="J138" i="5"/>
  <c r="N137" i="5"/>
  <c r="E138" i="5"/>
  <c r="G138" i="5"/>
  <c r="M138" i="5" l="1"/>
  <c r="I138" i="5"/>
  <c r="L138" i="5" s="1"/>
  <c r="H138" i="5"/>
  <c r="K138" i="5" l="1"/>
  <c r="N138" i="5" s="1"/>
  <c r="J139" i="5"/>
  <c r="E139" i="5"/>
  <c r="G139" i="5"/>
  <c r="M139" i="5" l="1"/>
  <c r="I139" i="5"/>
  <c r="L139" i="5" s="1"/>
  <c r="H139" i="5"/>
  <c r="J140" i="5" s="1"/>
  <c r="E140" i="5" l="1"/>
  <c r="G140" i="5"/>
  <c r="K139" i="5"/>
  <c r="N139" i="5" s="1"/>
  <c r="M140" i="5" l="1"/>
  <c r="I140" i="5"/>
  <c r="L140" i="5" s="1"/>
  <c r="H140" i="5"/>
  <c r="K140" i="5" l="1"/>
  <c r="N140" i="5" s="1"/>
  <c r="J141" i="5"/>
  <c r="G141" i="5"/>
  <c r="E141" i="5"/>
  <c r="H141" i="5" l="1"/>
  <c r="J142" i="5" s="1"/>
  <c r="M141" i="5"/>
  <c r="I141" i="5"/>
  <c r="L141" i="5" s="1"/>
  <c r="G142" i="5" l="1"/>
  <c r="E142" i="5"/>
  <c r="K141" i="5"/>
  <c r="N141" i="5" s="1"/>
  <c r="H142" i="5" l="1"/>
  <c r="J143" i="5" s="1"/>
  <c r="I142" i="5"/>
  <c r="L142" i="5" s="1"/>
  <c r="M142" i="5"/>
  <c r="G143" i="5" l="1"/>
  <c r="E143" i="5"/>
  <c r="K142" i="5"/>
  <c r="N142" i="5" s="1"/>
  <c r="H143" i="5" l="1"/>
  <c r="J144" i="5" s="1"/>
  <c r="I143" i="5"/>
  <c r="L143" i="5" s="1"/>
  <c r="M143" i="5"/>
  <c r="G144" i="5" l="1"/>
  <c r="E144" i="5"/>
  <c r="K143" i="5"/>
  <c r="N143" i="5" s="1"/>
  <c r="H144" i="5" l="1"/>
  <c r="I144" i="5"/>
  <c r="L144" i="5" s="1"/>
  <c r="M144" i="5"/>
  <c r="K144" i="5" l="1"/>
  <c r="N144" i="5" s="1"/>
  <c r="J145" i="5"/>
  <c r="G145" i="5"/>
  <c r="E145" i="5"/>
  <c r="H145" i="5" l="1"/>
  <c r="I145" i="5"/>
  <c r="L145" i="5" s="1"/>
  <c r="M145" i="5"/>
  <c r="K145" i="5" l="1"/>
  <c r="J146" i="5"/>
  <c r="N145" i="5"/>
  <c r="E146" i="5"/>
  <c r="G146" i="5"/>
  <c r="H146" i="5" l="1"/>
  <c r="M146" i="5"/>
  <c r="I146" i="5"/>
  <c r="L146" i="5" s="1"/>
  <c r="K146" i="5" l="1"/>
  <c r="N146" i="5" s="1"/>
  <c r="J147" i="5"/>
  <c r="E147" i="5"/>
  <c r="G147" i="5"/>
  <c r="M147" i="5" l="1"/>
  <c r="I147" i="5"/>
  <c r="L147" i="5" s="1"/>
  <c r="H147" i="5"/>
  <c r="J148" i="5" s="1"/>
  <c r="E148" i="5" l="1"/>
  <c r="G148" i="5"/>
  <c r="K147" i="5"/>
  <c r="N147" i="5" s="1"/>
  <c r="M148" i="5" l="1"/>
  <c r="I148" i="5"/>
  <c r="L148" i="5" s="1"/>
  <c r="H148" i="5"/>
  <c r="J149" i="5" s="1"/>
  <c r="G149" i="5" l="1"/>
  <c r="E149" i="5"/>
  <c r="K148" i="5"/>
  <c r="N148" i="5" s="1"/>
  <c r="H149" i="5" l="1"/>
  <c r="J150" i="5" s="1"/>
  <c r="M149" i="5"/>
  <c r="I149" i="5"/>
  <c r="L149" i="5" s="1"/>
  <c r="G150" i="5" l="1"/>
  <c r="E150" i="5"/>
  <c r="K149" i="5"/>
  <c r="N149" i="5" s="1"/>
  <c r="H150" i="5" l="1"/>
  <c r="J151" i="5" s="1"/>
  <c r="M150" i="5"/>
  <c r="I150" i="5"/>
  <c r="L150" i="5" s="1"/>
  <c r="G151" i="5" l="1"/>
  <c r="E151" i="5"/>
  <c r="K150" i="5"/>
  <c r="N150" i="5" s="1"/>
  <c r="H151" i="5" l="1"/>
  <c r="J152" i="5" s="1"/>
  <c r="M151" i="5"/>
  <c r="I151" i="5"/>
  <c r="L151" i="5" s="1"/>
  <c r="G152" i="5" l="1"/>
  <c r="E152" i="5"/>
  <c r="K151" i="5"/>
  <c r="N151" i="5" s="1"/>
  <c r="H152" i="5" l="1"/>
  <c r="J153" i="5" s="1"/>
  <c r="M152" i="5"/>
  <c r="I152" i="5"/>
  <c r="L152" i="5" s="1"/>
  <c r="E153" i="5" l="1"/>
  <c r="G153" i="5"/>
  <c r="K152" i="5"/>
  <c r="N152" i="5" s="1"/>
  <c r="I153" i="5" l="1"/>
  <c r="L153" i="5" s="1"/>
  <c r="M153" i="5"/>
  <c r="H153" i="5"/>
  <c r="J154" i="5" s="1"/>
  <c r="K153" i="5" l="1"/>
  <c r="N153" i="5"/>
  <c r="G154" i="5"/>
  <c r="E154" i="5"/>
  <c r="H154" i="5" l="1"/>
  <c r="M154" i="5"/>
  <c r="I154" i="5"/>
  <c r="L154" i="5" s="1"/>
  <c r="K154" i="5" l="1"/>
  <c r="N154" i="5" s="1"/>
  <c r="J155" i="5"/>
  <c r="G155" i="5"/>
  <c r="E155" i="5"/>
  <c r="H155" i="5" l="1"/>
  <c r="M155" i="5"/>
  <c r="I155" i="5"/>
  <c r="L155" i="5" s="1"/>
  <c r="K155" i="5" l="1"/>
  <c r="J156" i="5"/>
  <c r="N155" i="5"/>
  <c r="E156" i="5"/>
  <c r="G156" i="5"/>
  <c r="M156" i="5" l="1"/>
  <c r="I156" i="5"/>
  <c r="L156" i="5" s="1"/>
  <c r="H156" i="5"/>
  <c r="K156" i="5" l="1"/>
  <c r="N156" i="5" s="1"/>
  <c r="J157" i="5"/>
  <c r="E157" i="5"/>
  <c r="G157" i="5"/>
  <c r="M157" i="5" l="1"/>
  <c r="I157" i="5"/>
  <c r="L157" i="5" s="1"/>
  <c r="H157" i="5"/>
  <c r="J158" i="5" s="1"/>
  <c r="G158" i="5" l="1"/>
  <c r="E158" i="5"/>
  <c r="K157" i="5"/>
  <c r="N157" i="5" s="1"/>
  <c r="H158" i="5" l="1"/>
  <c r="J159" i="5" s="1"/>
  <c r="I158" i="5"/>
  <c r="L158" i="5" s="1"/>
  <c r="M158" i="5"/>
  <c r="E159" i="5" l="1"/>
  <c r="G159" i="5"/>
  <c r="K158" i="5"/>
  <c r="N158" i="5" s="1"/>
  <c r="M159" i="5" l="1"/>
  <c r="I159" i="5"/>
  <c r="L159" i="5" s="1"/>
  <c r="H159" i="5"/>
  <c r="K159" i="5" l="1"/>
  <c r="J160" i="5"/>
  <c r="N159" i="5"/>
  <c r="E160" i="5"/>
  <c r="G160" i="5"/>
  <c r="H160" i="5" l="1"/>
  <c r="J161" i="5" s="1"/>
  <c r="I160" i="5"/>
  <c r="L160" i="5" s="1"/>
  <c r="M160" i="5"/>
  <c r="E161" i="5" l="1"/>
  <c r="G161" i="5"/>
  <c r="K160" i="5"/>
  <c r="N160" i="5" s="1"/>
  <c r="I161" i="5" l="1"/>
  <c r="L161" i="5" s="1"/>
  <c r="M161" i="5"/>
  <c r="H161" i="5"/>
  <c r="K161" i="5" l="1"/>
  <c r="N161" i="5" s="1"/>
  <c r="J162" i="5"/>
  <c r="G162" i="5"/>
  <c r="E162" i="5"/>
  <c r="H162" i="5" l="1"/>
  <c r="M162" i="5"/>
  <c r="I162" i="5"/>
  <c r="L162" i="5" s="1"/>
  <c r="K162" i="5" l="1"/>
  <c r="J163" i="5"/>
  <c r="N162" i="5"/>
  <c r="E163" i="5"/>
  <c r="G163" i="5"/>
  <c r="I163" i="5" l="1"/>
  <c r="L163" i="5" s="1"/>
  <c r="M163" i="5"/>
  <c r="H163" i="5"/>
  <c r="K163" i="5" l="1"/>
  <c r="J164" i="5"/>
  <c r="N163" i="5"/>
  <c r="E164" i="5"/>
  <c r="G164" i="5"/>
  <c r="I164" i="5" l="1"/>
  <c r="L164" i="5" s="1"/>
  <c r="M164" i="5"/>
  <c r="H164" i="5"/>
  <c r="J165" i="5" s="1"/>
  <c r="E165" i="5" l="1"/>
  <c r="G165" i="5"/>
  <c r="K164" i="5"/>
  <c r="N164" i="5" s="1"/>
  <c r="M165" i="5" l="1"/>
  <c r="I165" i="5"/>
  <c r="L165" i="5" s="1"/>
  <c r="H165" i="5"/>
  <c r="J166" i="5" s="1"/>
  <c r="G166" i="5" l="1"/>
  <c r="E166" i="5"/>
  <c r="K165" i="5"/>
  <c r="N165" i="5" s="1"/>
  <c r="H166" i="5" l="1"/>
  <c r="J167" i="5" s="1"/>
  <c r="I166" i="5"/>
  <c r="L166" i="5" s="1"/>
  <c r="M166" i="5"/>
  <c r="E167" i="5" l="1"/>
  <c r="G167" i="5"/>
  <c r="K166" i="5"/>
  <c r="N166" i="5" s="1"/>
  <c r="I167" i="5" l="1"/>
  <c r="L167" i="5" s="1"/>
  <c r="M167" i="5"/>
  <c r="H167" i="5"/>
  <c r="K167" i="5" l="1"/>
  <c r="J168" i="5"/>
  <c r="N167" i="5"/>
  <c r="G168" i="5"/>
  <c r="E168" i="5"/>
  <c r="H168" i="5" l="1"/>
  <c r="J169" i="5" s="1"/>
  <c r="M168" i="5"/>
  <c r="I168" i="5"/>
  <c r="L168" i="5" s="1"/>
  <c r="E169" i="5" l="1"/>
  <c r="G169" i="5"/>
  <c r="K168" i="5"/>
  <c r="N168" i="5" s="1"/>
  <c r="I169" i="5" l="1"/>
  <c r="L169" i="5" s="1"/>
  <c r="M169" i="5"/>
  <c r="H169" i="5"/>
  <c r="J170" i="5" s="1"/>
  <c r="G170" i="5" l="1"/>
  <c r="E170" i="5"/>
  <c r="K169" i="5"/>
  <c r="N169" i="5" s="1"/>
  <c r="H170" i="5" l="1"/>
  <c r="M170" i="5"/>
  <c r="I170" i="5"/>
  <c r="L170" i="5" s="1"/>
  <c r="K170" i="5" l="1"/>
  <c r="J171" i="5"/>
  <c r="N170" i="5"/>
  <c r="G171" i="5"/>
  <c r="E171" i="5"/>
  <c r="H171" i="5" l="1"/>
  <c r="M171" i="5"/>
  <c r="I171" i="5"/>
  <c r="L171" i="5" s="1"/>
  <c r="K171" i="5" l="1"/>
  <c r="J172" i="5"/>
  <c r="N171" i="5"/>
  <c r="G172" i="5"/>
  <c r="E172" i="5"/>
  <c r="H172" i="5" l="1"/>
  <c r="J173" i="5" s="1"/>
  <c r="M172" i="5"/>
  <c r="I172" i="5"/>
  <c r="L172" i="5" s="1"/>
  <c r="E173" i="5" l="1"/>
  <c r="G173" i="5"/>
  <c r="K172" i="5"/>
  <c r="N172" i="5" s="1"/>
  <c r="I173" i="5" l="1"/>
  <c r="L173" i="5" s="1"/>
  <c r="M173" i="5"/>
  <c r="H173" i="5"/>
  <c r="K173" i="5" l="1"/>
  <c r="J174" i="5"/>
  <c r="N173" i="5"/>
  <c r="G174" i="5"/>
  <c r="E174" i="5"/>
  <c r="H174" i="5" l="1"/>
  <c r="J175" i="5" s="1"/>
  <c r="I174" i="5"/>
  <c r="L174" i="5" s="1"/>
  <c r="M174" i="5"/>
  <c r="G175" i="5" l="1"/>
  <c r="E175" i="5"/>
  <c r="K174" i="5"/>
  <c r="N174" i="5" s="1"/>
  <c r="H175" i="5" l="1"/>
  <c r="M175" i="5"/>
  <c r="I175" i="5"/>
  <c r="L175" i="5" s="1"/>
  <c r="K175" i="5" l="1"/>
  <c r="J176" i="5"/>
  <c r="N175" i="5"/>
  <c r="G176" i="5"/>
  <c r="E176" i="5"/>
  <c r="H176" i="5" l="1"/>
  <c r="J177" i="5" s="1"/>
  <c r="I176" i="5"/>
  <c r="L176" i="5" s="1"/>
  <c r="M176" i="5"/>
  <c r="E177" i="5" l="1"/>
  <c r="G177" i="5"/>
  <c r="K176" i="5"/>
  <c r="N176" i="5" s="1"/>
  <c r="I177" i="5" l="1"/>
  <c r="L177" i="5" s="1"/>
  <c r="M177" i="5"/>
  <c r="H177" i="5"/>
  <c r="J178" i="5" s="1"/>
  <c r="E178" i="5" l="1"/>
  <c r="G178" i="5"/>
  <c r="K177" i="5"/>
  <c r="N177" i="5" s="1"/>
  <c r="M178" i="5" l="1"/>
  <c r="I178" i="5"/>
  <c r="L178" i="5" s="1"/>
  <c r="H178" i="5"/>
  <c r="K178" i="5" l="1"/>
  <c r="N178" i="5" s="1"/>
  <c r="J179" i="5"/>
  <c r="E179" i="5"/>
  <c r="G179" i="5"/>
  <c r="I179" i="5" l="1"/>
  <c r="L179" i="5" s="1"/>
  <c r="M179" i="5"/>
  <c r="H179" i="5"/>
  <c r="K179" i="5" l="1"/>
  <c r="J180" i="5"/>
  <c r="N179" i="5"/>
  <c r="E180" i="5"/>
  <c r="G180" i="5"/>
  <c r="M180" i="5" l="1"/>
  <c r="I180" i="5"/>
  <c r="L180" i="5" s="1"/>
  <c r="H180" i="5"/>
  <c r="J181" i="5" s="1"/>
  <c r="G181" i="5" l="1"/>
  <c r="E181" i="5"/>
  <c r="K180" i="5"/>
  <c r="N180" i="5" s="1"/>
  <c r="H181" i="5" l="1"/>
  <c r="J182" i="5" s="1"/>
  <c r="M181" i="5"/>
  <c r="I181" i="5"/>
  <c r="L181" i="5" s="1"/>
  <c r="G182" i="5" l="1"/>
  <c r="E182" i="5"/>
  <c r="K181" i="5"/>
  <c r="N181" i="5" s="1"/>
  <c r="H182" i="5" l="1"/>
  <c r="J183" i="5" s="1"/>
  <c r="I182" i="5"/>
  <c r="L182" i="5" s="1"/>
  <c r="M182" i="5"/>
  <c r="E183" i="5" l="1"/>
  <c r="G183" i="5"/>
  <c r="K182" i="5"/>
  <c r="N182" i="5" s="1"/>
  <c r="M183" i="5" l="1"/>
  <c r="I183" i="5"/>
  <c r="L183" i="5" s="1"/>
  <c r="H183" i="5"/>
  <c r="J184" i="5" s="1"/>
  <c r="G184" i="5" l="1"/>
  <c r="E184" i="5"/>
  <c r="K183" i="5"/>
  <c r="N183" i="5" s="1"/>
  <c r="H184" i="5" l="1"/>
  <c r="J185" i="5" s="1"/>
  <c r="I184" i="5"/>
  <c r="L184" i="5" s="1"/>
  <c r="M184" i="5"/>
  <c r="E185" i="5" l="1"/>
  <c r="G185" i="5"/>
  <c r="K184" i="5"/>
  <c r="N184" i="5" s="1"/>
  <c r="M185" i="5" l="1"/>
  <c r="I185" i="5"/>
  <c r="L185" i="5" s="1"/>
  <c r="H185" i="5"/>
  <c r="K185" i="5" l="1"/>
  <c r="N185" i="5" s="1"/>
  <c r="J186" i="5"/>
  <c r="E186" i="5"/>
  <c r="G186" i="5"/>
  <c r="M186" i="5" l="1"/>
  <c r="I186" i="5"/>
  <c r="L186" i="5" s="1"/>
  <c r="H186" i="5"/>
  <c r="J187" i="5" s="1"/>
  <c r="E187" i="5" l="1"/>
  <c r="G187" i="5"/>
  <c r="K186" i="5"/>
  <c r="N186" i="5" s="1"/>
  <c r="M187" i="5" l="1"/>
  <c r="I187" i="5"/>
  <c r="L187" i="5" s="1"/>
  <c r="H187" i="5"/>
  <c r="J188" i="5" s="1"/>
  <c r="G188" i="5" l="1"/>
  <c r="E188" i="5"/>
  <c r="K187" i="5"/>
  <c r="N187" i="5" s="1"/>
  <c r="H188" i="5" l="1"/>
  <c r="J189" i="5" s="1"/>
  <c r="M188" i="5"/>
  <c r="I188" i="5"/>
  <c r="L188" i="5" s="1"/>
  <c r="E189" i="5" l="1"/>
  <c r="G189" i="5"/>
  <c r="K188" i="5"/>
  <c r="N188" i="5" s="1"/>
  <c r="I189" i="5" l="1"/>
  <c r="L189" i="5" s="1"/>
  <c r="M189" i="5"/>
  <c r="H189" i="5"/>
  <c r="J190" i="5" s="1"/>
  <c r="G190" i="5" l="1"/>
  <c r="E190" i="5"/>
  <c r="K189" i="5"/>
  <c r="N189" i="5" s="1"/>
  <c r="H190" i="5" l="1"/>
  <c r="I190" i="5"/>
  <c r="L190" i="5" s="1"/>
  <c r="M190" i="5"/>
  <c r="K190" i="5" l="1"/>
  <c r="N190" i="5" s="1"/>
  <c r="J191" i="5"/>
  <c r="E191" i="5"/>
  <c r="G191" i="5"/>
  <c r="M191" i="5" l="1"/>
  <c r="I191" i="5"/>
  <c r="L191" i="5" s="1"/>
  <c r="H191" i="5"/>
  <c r="K191" i="5" l="1"/>
  <c r="N191" i="5" s="1"/>
  <c r="J192" i="5"/>
  <c r="G192" i="5"/>
  <c r="E192" i="5"/>
  <c r="H192" i="5" l="1"/>
  <c r="I192" i="5"/>
  <c r="L192" i="5" s="1"/>
  <c r="M192" i="5"/>
  <c r="K192" i="5" l="1"/>
  <c r="J193" i="5"/>
  <c r="N192" i="5"/>
  <c r="E193" i="5"/>
  <c r="G193" i="5"/>
  <c r="M193" i="5" l="1"/>
  <c r="I193" i="5"/>
  <c r="L193" i="5" s="1"/>
  <c r="H193" i="5"/>
  <c r="K193" i="5" l="1"/>
  <c r="J194" i="5"/>
  <c r="N193" i="5"/>
  <c r="G194" i="5"/>
  <c r="E194" i="5"/>
  <c r="H194" i="5" l="1"/>
  <c r="J195" i="5" s="1"/>
  <c r="M194" i="5"/>
  <c r="I194" i="5"/>
  <c r="L194" i="5" s="1"/>
  <c r="K194" i="5" l="1"/>
  <c r="N194" i="5"/>
  <c r="E195" i="5"/>
  <c r="G195" i="5"/>
  <c r="H195" i="5" l="1"/>
  <c r="J196" i="5" s="1"/>
  <c r="I195" i="5"/>
  <c r="L195" i="5" s="1"/>
  <c r="M195" i="5"/>
  <c r="E196" i="5" l="1"/>
  <c r="G196" i="5"/>
  <c r="K195" i="5"/>
  <c r="N195" i="5" s="1"/>
  <c r="M196" i="5" l="1"/>
  <c r="I196" i="5"/>
  <c r="L196" i="5" s="1"/>
  <c r="H196" i="5"/>
  <c r="J197" i="5" s="1"/>
  <c r="G197" i="5" l="1"/>
  <c r="E197" i="5"/>
  <c r="K196" i="5"/>
  <c r="N196" i="5" s="1"/>
  <c r="H197" i="5" l="1"/>
  <c r="J198" i="5" s="1"/>
  <c r="M197" i="5"/>
  <c r="I197" i="5"/>
  <c r="L197" i="5" s="1"/>
  <c r="G198" i="5" l="1"/>
  <c r="E198" i="5"/>
  <c r="K197" i="5"/>
  <c r="N197" i="5" s="1"/>
  <c r="H198" i="5" l="1"/>
  <c r="J199" i="5" s="1"/>
  <c r="I198" i="5"/>
  <c r="L198" i="5" s="1"/>
  <c r="M198" i="5"/>
  <c r="G199" i="5" l="1"/>
  <c r="E199" i="5"/>
  <c r="K198" i="5"/>
  <c r="N198" i="5" s="1"/>
  <c r="H199" i="5" l="1"/>
  <c r="I199" i="5"/>
  <c r="L199" i="5" s="1"/>
  <c r="M199" i="5"/>
  <c r="K199" i="5" l="1"/>
  <c r="J200" i="5"/>
  <c r="N199" i="5"/>
  <c r="G200" i="5"/>
  <c r="E200" i="5"/>
  <c r="H200" i="5" l="1"/>
  <c r="J201" i="5" s="1"/>
  <c r="I200" i="5"/>
  <c r="L200" i="5" s="1"/>
  <c r="M200" i="5"/>
  <c r="E201" i="5" l="1"/>
  <c r="G201" i="5"/>
  <c r="K200" i="5"/>
  <c r="N200" i="5" s="1"/>
  <c r="I201" i="5" l="1"/>
  <c r="L201" i="5" s="1"/>
  <c r="M201" i="5"/>
  <c r="H201" i="5"/>
  <c r="J202" i="5" s="1"/>
  <c r="K201" i="5" l="1"/>
  <c r="N201" i="5" s="1"/>
  <c r="E202" i="5"/>
  <c r="G202" i="5"/>
  <c r="M202" i="5" l="1"/>
  <c r="I202" i="5"/>
  <c r="L202" i="5" s="1"/>
  <c r="H202" i="5"/>
  <c r="K202" i="5" l="1"/>
  <c r="J203" i="5"/>
  <c r="N202" i="5"/>
  <c r="E203" i="5"/>
  <c r="G203" i="5"/>
  <c r="M203" i="5" l="1"/>
  <c r="I203" i="5"/>
  <c r="L203" i="5" s="1"/>
  <c r="H203" i="5"/>
  <c r="J204" i="5" s="1"/>
  <c r="E204" i="5" l="1"/>
  <c r="G204" i="5"/>
  <c r="K203" i="5"/>
  <c r="N203" i="5" s="1"/>
  <c r="M204" i="5" l="1"/>
  <c r="I204" i="5"/>
  <c r="L204" i="5" s="1"/>
  <c r="H204" i="5"/>
  <c r="J205" i="5" s="1"/>
  <c r="E205" i="5" l="1"/>
  <c r="G205" i="5"/>
  <c r="K204" i="5"/>
  <c r="N204" i="5" s="1"/>
  <c r="I205" i="5" l="1"/>
  <c r="L205" i="5" s="1"/>
  <c r="M205" i="5"/>
  <c r="H205" i="5"/>
  <c r="K205" i="5" l="1"/>
  <c r="N205" i="5" s="1"/>
  <c r="J206" i="5"/>
  <c r="G206" i="5"/>
  <c r="E206" i="5"/>
  <c r="H206" i="5" l="1"/>
  <c r="J207" i="5" s="1"/>
  <c r="I206" i="5"/>
  <c r="L206" i="5" s="1"/>
  <c r="M206" i="5"/>
  <c r="G207" i="5" l="1"/>
  <c r="E207" i="5"/>
  <c r="K206" i="5"/>
  <c r="N206" i="5" s="1"/>
  <c r="H207" i="5" l="1"/>
  <c r="J208" i="5" s="1"/>
  <c r="K207" i="5"/>
  <c r="M207" i="5"/>
  <c r="I207" i="5"/>
  <c r="L207" i="5" s="1"/>
  <c r="N207" i="5" l="1"/>
  <c r="G208" i="5"/>
  <c r="E208" i="5"/>
  <c r="I208" i="5" l="1"/>
  <c r="L208" i="5" s="1"/>
  <c r="M208" i="5"/>
  <c r="H208" i="5"/>
  <c r="J209" i="5" s="1"/>
  <c r="E209" i="5" l="1"/>
  <c r="G209" i="5"/>
  <c r="K208" i="5"/>
  <c r="N208" i="5" s="1"/>
  <c r="I209" i="5" l="1"/>
  <c r="L209" i="5" s="1"/>
  <c r="M209" i="5"/>
  <c r="H209" i="5"/>
  <c r="K209" i="5" l="1"/>
  <c r="N209" i="5" s="1"/>
  <c r="J210" i="5"/>
  <c r="E210" i="5"/>
  <c r="G210" i="5"/>
  <c r="M210" i="5" l="1"/>
  <c r="I210" i="5"/>
  <c r="L210" i="5" s="1"/>
  <c r="H210" i="5"/>
  <c r="J211" i="5" s="1"/>
  <c r="K210" i="5" l="1"/>
  <c r="N210" i="5" s="1"/>
  <c r="E211" i="5"/>
  <c r="G211" i="5"/>
  <c r="I211" i="5" l="1"/>
  <c r="L211" i="5" s="1"/>
  <c r="M211" i="5"/>
  <c r="H211" i="5"/>
  <c r="K211" i="5" l="1"/>
  <c r="N211" i="5" s="1"/>
  <c r="J212" i="5"/>
  <c r="E212" i="5"/>
  <c r="G212" i="5"/>
  <c r="M212" i="5" l="1"/>
  <c r="I212" i="5"/>
  <c r="L212" i="5" s="1"/>
  <c r="H212" i="5"/>
  <c r="J213" i="5" s="1"/>
  <c r="G213" i="5" l="1"/>
  <c r="E213" i="5"/>
  <c r="K212" i="5"/>
  <c r="N212" i="5" s="1"/>
  <c r="H213" i="5" l="1"/>
  <c r="J214" i="5" s="1"/>
  <c r="M213" i="5"/>
  <c r="I213" i="5"/>
  <c r="L213" i="5" s="1"/>
  <c r="G214" i="5" l="1"/>
  <c r="E214" i="5"/>
  <c r="K213" i="5"/>
  <c r="N213" i="5" s="1"/>
  <c r="H214" i="5" l="1"/>
  <c r="J215" i="5" s="1"/>
  <c r="I214" i="5"/>
  <c r="L214" i="5" s="1"/>
  <c r="M214" i="5"/>
  <c r="E215" i="5" l="1"/>
  <c r="G215" i="5"/>
  <c r="K214" i="5"/>
  <c r="N214" i="5" s="1"/>
  <c r="I215" i="5" l="1"/>
  <c r="L215" i="5" s="1"/>
  <c r="M215" i="5"/>
  <c r="H215" i="5"/>
  <c r="K215" i="5" l="1"/>
  <c r="N215" i="5" s="1"/>
  <c r="J216" i="5"/>
  <c r="G216" i="5"/>
  <c r="E216" i="5"/>
  <c r="H216" i="5" l="1"/>
  <c r="J217" i="5" s="1"/>
  <c r="I216" i="5"/>
  <c r="L216" i="5" s="1"/>
  <c r="M216" i="5"/>
  <c r="E217" i="5" l="1"/>
  <c r="G217" i="5"/>
  <c r="K216" i="5"/>
  <c r="N216" i="5" s="1"/>
  <c r="M217" i="5" l="1"/>
  <c r="I217" i="5"/>
  <c r="L217" i="5" s="1"/>
  <c r="H217" i="5"/>
  <c r="K217" i="5" l="1"/>
  <c r="N217" i="5" s="1"/>
  <c r="J218" i="5"/>
  <c r="G218" i="5"/>
  <c r="E218" i="5"/>
  <c r="H218" i="5" l="1"/>
  <c r="J219" i="5" s="1"/>
  <c r="M218" i="5"/>
  <c r="I218" i="5"/>
  <c r="L218" i="5" s="1"/>
  <c r="E219" i="5" l="1"/>
  <c r="G219" i="5"/>
  <c r="K218" i="5"/>
  <c r="N218" i="5" s="1"/>
  <c r="I219" i="5" l="1"/>
  <c r="L219" i="5" s="1"/>
  <c r="M219" i="5"/>
  <c r="H219" i="5"/>
  <c r="J220" i="5" s="1"/>
  <c r="G220" i="5" l="1"/>
  <c r="E220" i="5"/>
  <c r="K219" i="5"/>
  <c r="N219" i="5" s="1"/>
  <c r="H220" i="5" l="1"/>
  <c r="J221" i="5" s="1"/>
  <c r="M220" i="5"/>
  <c r="I220" i="5"/>
  <c r="L220" i="5" s="1"/>
  <c r="E221" i="5" l="1"/>
  <c r="G221" i="5"/>
  <c r="K220" i="5"/>
  <c r="N220" i="5" s="1"/>
  <c r="I221" i="5" l="1"/>
  <c r="L221" i="5" s="1"/>
  <c r="M221" i="5"/>
  <c r="H221" i="5"/>
  <c r="K221" i="5" l="1"/>
  <c r="J222" i="5"/>
  <c r="N221" i="5"/>
  <c r="G222" i="5"/>
  <c r="E222" i="5"/>
  <c r="H222" i="5" l="1"/>
  <c r="J223" i="5" s="1"/>
  <c r="I222" i="5"/>
  <c r="L222" i="5" s="1"/>
  <c r="M222" i="5"/>
  <c r="E223" i="5" l="1"/>
  <c r="G223" i="5"/>
  <c r="K222" i="5"/>
  <c r="N222" i="5" s="1"/>
  <c r="M223" i="5" l="1"/>
  <c r="I223" i="5"/>
  <c r="L223" i="5" s="1"/>
  <c r="H223" i="5"/>
  <c r="K223" i="5" l="1"/>
  <c r="N223" i="5" s="1"/>
  <c r="J224" i="5"/>
  <c r="G224" i="5"/>
  <c r="E224" i="5"/>
  <c r="H224" i="5" l="1"/>
  <c r="I224" i="5"/>
  <c r="L224" i="5" s="1"/>
  <c r="M224" i="5"/>
  <c r="K224" i="5" l="1"/>
  <c r="J225" i="5"/>
  <c r="N224" i="5"/>
  <c r="E225" i="5"/>
  <c r="G225" i="5"/>
  <c r="H225" i="5" l="1"/>
  <c r="M225" i="5"/>
  <c r="I225" i="5"/>
  <c r="L225" i="5" s="1"/>
  <c r="K225" i="5" l="1"/>
  <c r="J226" i="5"/>
  <c r="N225" i="5"/>
  <c r="G226" i="5"/>
  <c r="E226" i="5"/>
  <c r="H226" i="5" l="1"/>
  <c r="M226" i="5"/>
  <c r="I226" i="5"/>
  <c r="L226" i="5" s="1"/>
  <c r="K226" i="5" l="1"/>
  <c r="N226" i="5" s="1"/>
  <c r="J227" i="5"/>
  <c r="E227" i="5"/>
  <c r="G227" i="5"/>
  <c r="I227" i="5" l="1"/>
  <c r="L227" i="5" s="1"/>
  <c r="M227" i="5"/>
  <c r="H227" i="5"/>
  <c r="J228" i="5" s="1"/>
  <c r="E228" i="5" l="1"/>
  <c r="G228" i="5"/>
  <c r="K227" i="5"/>
  <c r="N227" i="5" s="1"/>
  <c r="M228" i="5" l="1"/>
  <c r="I228" i="5"/>
  <c r="L228" i="5" s="1"/>
  <c r="H228" i="5"/>
  <c r="J229" i="5" s="1"/>
  <c r="G229" i="5" l="1"/>
  <c r="E229" i="5"/>
  <c r="K228" i="5"/>
  <c r="N228" i="5" s="1"/>
  <c r="H229" i="5" l="1"/>
  <c r="J230" i="5" s="1"/>
  <c r="M229" i="5"/>
  <c r="I229" i="5"/>
  <c r="L229" i="5" s="1"/>
  <c r="G230" i="5" l="1"/>
  <c r="E230" i="5"/>
  <c r="K229" i="5"/>
  <c r="N229" i="5" s="1"/>
  <c r="H230" i="5" l="1"/>
  <c r="J231" i="5" s="1"/>
  <c r="I230" i="5"/>
  <c r="L230" i="5" s="1"/>
  <c r="M230" i="5"/>
  <c r="E231" i="5" l="1"/>
  <c r="G231" i="5"/>
  <c r="K230" i="5"/>
  <c r="N230" i="5" s="1"/>
  <c r="M231" i="5" l="1"/>
  <c r="I231" i="5"/>
  <c r="L231" i="5" s="1"/>
  <c r="H231" i="5"/>
  <c r="J232" i="5" s="1"/>
  <c r="K231" i="5" l="1"/>
  <c r="N231" i="5" s="1"/>
  <c r="G232" i="5"/>
  <c r="E232" i="5"/>
  <c r="H232" i="5" l="1"/>
  <c r="J233" i="5" s="1"/>
  <c r="I232" i="5"/>
  <c r="L232" i="5" s="1"/>
  <c r="M232" i="5"/>
  <c r="E233" i="5" l="1"/>
  <c r="G233" i="5"/>
  <c r="K232" i="5"/>
  <c r="N232" i="5" s="1"/>
  <c r="I233" i="5" l="1"/>
  <c r="L233" i="5" s="1"/>
  <c r="M233" i="5"/>
  <c r="H233" i="5"/>
  <c r="K233" i="5" l="1"/>
  <c r="N233" i="5" s="1"/>
  <c r="J234" i="5"/>
  <c r="E234" i="5"/>
  <c r="G234" i="5"/>
  <c r="M234" i="5" l="1"/>
  <c r="I234" i="5"/>
  <c r="L234" i="5" s="1"/>
  <c r="H234" i="5"/>
  <c r="K234" i="5" l="1"/>
  <c r="N234" i="5" s="1"/>
  <c r="J235" i="5"/>
  <c r="E235" i="5"/>
  <c r="G235" i="5"/>
  <c r="I235" i="5" l="1"/>
  <c r="M235" i="5"/>
  <c r="H235" i="5"/>
  <c r="K235" i="5" l="1"/>
  <c r="L235" i="5"/>
  <c r="P10" i="5"/>
  <c r="N235" i="5" l="1"/>
  <c r="Q17" i="5" s="1"/>
</calcChain>
</file>

<file path=xl/connections.xml><?xml version="1.0" encoding="utf-8"?>
<connections xmlns="http://schemas.openxmlformats.org/spreadsheetml/2006/main">
  <connection id="1" name="查询来自 MS Access Database3" type="1" refreshedVersion="2" background="1" saveData="1">
    <dbPr connection="DSN=MS Access Database;DBQ=D:\0_经济管理中的计算机应用\Northwind.accdb;DefaultDir=D:\0_经济管理中的计算机应用;DriverId=25;FIL=MS Access;MaxBufferSize=2048;PageTimeout=5;" command="SELECT 雇员.姓氏 &amp; 名字 AS '雇员姓名', 订单.订单ID, 产品.产品名称, 订单明细.数量_x000d__x000a_FROM `D:\0_经济管理中的计算机应用\Northwind.accdb`.产品 产品, `D:\0_经济管理中的计算机应用\Northwind.accdb`.订单 订单, `D:\0_经济管理中的计算机应用\Northwind.accdb`.订单明细 订单明细, `D:\0_经济管理中的计算机应用\Northwind.accdb`.雇员 雇员, `D:\0_经济管理中的计算机应用\Northwind.accdb`.类别 类别_x000d__x000a_WHERE 订单.雇员ID = 雇员.雇员ID AND 订单明细.订单ID = 订单.订单ID AND 产品.产品ID = 订单明细.产品ID AND 类别.类别ID = 产品.类别ID AND ((订单.订购日期&gt;={ts '1997-08-21 00:00:00'} And 订单.订购日期&lt;={ts '1997-08-31 00:00:00'}) AND (雇员.职务='销售经理' Or 雇员.职务='销售代表') AND (类别.类别名称='饮料'))_x000d__x000a_ORDER BY 雇员.姓氏 &amp; 名字, 订单.订单ID"/>
  </connection>
</connections>
</file>

<file path=xl/sharedStrings.xml><?xml version="1.0" encoding="utf-8"?>
<sst xmlns="http://schemas.openxmlformats.org/spreadsheetml/2006/main" count="11675" uniqueCount="161">
  <si>
    <t>'雇员姓名'</t>
  </si>
  <si>
    <t>订单ID</t>
  </si>
  <si>
    <t>产品名称</t>
  </si>
  <si>
    <t>数量</t>
  </si>
  <si>
    <t>李芳</t>
  </si>
  <si>
    <t>柳橙汁</t>
  </si>
  <si>
    <t>孙林</t>
  </si>
  <si>
    <t>运动饮料</t>
  </si>
  <si>
    <t>张雪眉</t>
  </si>
  <si>
    <t>苹果汁</t>
  </si>
  <si>
    <t>赵军</t>
  </si>
  <si>
    <t>汽水</t>
  </si>
  <si>
    <t>郑建杰</t>
  </si>
  <si>
    <t>苏打水</t>
  </si>
  <si>
    <t>牛奶</t>
  </si>
  <si>
    <t>日期</t>
  </si>
  <si>
    <t>省份名称</t>
  </si>
  <si>
    <t>渠道名称</t>
  </si>
  <si>
    <t>净销售额</t>
  </si>
  <si>
    <t>产品名称长度</t>
  </si>
  <si>
    <t>安徽</t>
  </si>
  <si>
    <t>零售</t>
  </si>
  <si>
    <t>办公桌装饰摆件</t>
  </si>
  <si>
    <t>办公桌</t>
  </si>
  <si>
    <t>批发</t>
  </si>
  <si>
    <t>销售次数</t>
  </si>
  <si>
    <t>办公桌配件</t>
  </si>
  <si>
    <t>净销售额总计</t>
  </si>
  <si>
    <t>销售总计</t>
  </si>
  <si>
    <t>福建</t>
  </si>
  <si>
    <t>广东</t>
  </si>
  <si>
    <t>广西</t>
  </si>
  <si>
    <t>河北</t>
  </si>
  <si>
    <t>江苏</t>
  </si>
  <si>
    <t>天津</t>
  </si>
  <si>
    <t>浙江</t>
  </si>
  <si>
    <t>年月</t>
  </si>
  <si>
    <t>销售金额（万元）</t>
  </si>
  <si>
    <t>消除季节影响的销售金额</t>
  </si>
  <si>
    <t>趋势预测值</t>
  </si>
  <si>
    <t>预测值</t>
  </si>
  <si>
    <t>各季节平均值</t>
  </si>
  <si>
    <t>总平均值</t>
  </si>
  <si>
    <t>季节指数</t>
  </si>
  <si>
    <t>各季度指数平均值</t>
  </si>
  <si>
    <t>温度X1</t>
  </si>
  <si>
    <t>湿度X2</t>
  </si>
  <si>
    <t>浓度X3</t>
  </si>
  <si>
    <t>产量Y</t>
  </si>
  <si>
    <t>散点图</t>
  </si>
  <si>
    <t>采用方法名称</t>
  </si>
  <si>
    <t>H8方程式</t>
  </si>
  <si>
    <t>选择方程式的解释</t>
  </si>
  <si>
    <t>预测值：</t>
  </si>
  <si>
    <t>a</t>
  </si>
  <si>
    <t>b1</t>
  </si>
  <si>
    <t>b3</t>
  </si>
  <si>
    <t>变量子集</t>
  </si>
  <si>
    <t>调整后的R平方</t>
  </si>
  <si>
    <t>X1</t>
  </si>
  <si>
    <t>X2</t>
  </si>
  <si>
    <t>X3</t>
  </si>
  <si>
    <t>X3X1</t>
  </si>
  <si>
    <t>选择该变量子集</t>
  </si>
  <si>
    <t>X3X2</t>
  </si>
  <si>
    <t>X3X1X2</t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</si>
  <si>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</si>
  <si>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</si>
  <si>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</si>
  <si>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</si>
  <si>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</si>
  <si>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</si>
  <si>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</si>
  <si>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</si>
  <si>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df</t>
  </si>
  <si>
    <t>SS</t>
  </si>
  <si>
    <t>MS</t>
  </si>
  <si>
    <t>F</t>
  </si>
  <si>
    <t>Significance F</t>
  </si>
  <si>
    <t>回归分析</t>
  </si>
  <si>
    <t>残差</t>
  </si>
  <si>
    <t>总计</t>
  </si>
  <si>
    <t>Coefficients</t>
  </si>
  <si>
    <t>t Stat</t>
  </si>
  <si>
    <t>P-value</t>
  </si>
  <si>
    <t>Lower 95%</t>
  </si>
  <si>
    <t>Intercept</t>
  </si>
  <si>
    <t>Upper 95%</t>
  </si>
  <si>
    <t>下限 95.0%</t>
  </si>
  <si>
    <t>上限 95.0%</t>
  </si>
  <si>
    <t>单位可变成本</t>
  </si>
  <si>
    <t>生产量</t>
  </si>
  <si>
    <t>工厂A</t>
  </si>
  <si>
    <t>工厂B</t>
  </si>
  <si>
    <r>
      <rPr>
        <b/>
        <sz val="12"/>
        <color theme="1"/>
        <rFont val="宋体"/>
        <family val="3"/>
        <charset val="134"/>
      </rPr>
      <t>工厂</t>
    </r>
    <r>
      <rPr>
        <b/>
        <sz val="12"/>
        <color theme="1"/>
        <rFont val="Times New Roman"/>
        <family val="1"/>
      </rPr>
      <t>A</t>
    </r>
  </si>
  <si>
    <r>
      <rPr>
        <b/>
        <sz val="12"/>
        <color theme="1"/>
        <rFont val="宋体"/>
        <family val="3"/>
        <charset val="134"/>
      </rPr>
      <t>工厂</t>
    </r>
    <r>
      <rPr>
        <b/>
        <sz val="12"/>
        <color theme="1"/>
        <rFont val="Times New Roman"/>
        <family val="1"/>
      </rPr>
      <t>B</t>
    </r>
  </si>
  <si>
    <t>固定成本</t>
  </si>
  <si>
    <t>总成本</t>
  </si>
  <si>
    <t>图表数据</t>
  </si>
  <si>
    <t>两工厂的相对盈亏平衡点</t>
  </si>
  <si>
    <t>工厂A成本</t>
  </si>
  <si>
    <t>工厂B成本</t>
  </si>
  <si>
    <t>相对盈亏平衡点处的成本</t>
  </si>
  <si>
    <t>文本框</t>
  </si>
  <si>
    <t>红色空心点子坐标</t>
  </si>
  <si>
    <t>相对盈亏平衡点处的参考线</t>
  </si>
  <si>
    <t>每班产量</t>
  </si>
  <si>
    <t>客户需求量</t>
  </si>
  <si>
    <t>初始库存量</t>
  </si>
  <si>
    <t>安全库存量</t>
  </si>
  <si>
    <t>单位储存成本</t>
  </si>
  <si>
    <t>单位丢失成本</t>
  </si>
  <si>
    <t>单位生产成本</t>
  </si>
  <si>
    <t>最低总成本</t>
  </si>
  <si>
    <t>最优产量</t>
  </si>
  <si>
    <t>天</t>
  </si>
  <si>
    <t>需求量</t>
  </si>
  <si>
    <t>期末库存量</t>
  </si>
  <si>
    <t>丢失量</t>
  </si>
  <si>
    <t>加班标志</t>
  </si>
  <si>
    <t>储存成本</t>
  </si>
  <si>
    <t>丢失成本</t>
  </si>
  <si>
    <t>生产成本</t>
  </si>
  <si>
    <t>贴现率</t>
  </si>
  <si>
    <t>增长率</t>
  </si>
  <si>
    <t>发生概率</t>
  </si>
  <si>
    <t>初始投资额</t>
  </si>
  <si>
    <t>第一年销售数量</t>
  </si>
  <si>
    <t>单价</t>
  </si>
  <si>
    <t>单位变动成本均值</t>
  </si>
  <si>
    <t>单位变动成本标准差</t>
  </si>
  <si>
    <t>第1年</t>
  </si>
  <si>
    <t>第2年</t>
  </si>
  <si>
    <t>第3年</t>
  </si>
  <si>
    <t>第4年</t>
  </si>
  <si>
    <t>年销售单价</t>
  </si>
  <si>
    <t>年销量</t>
  </si>
  <si>
    <t>年销售收入</t>
  </si>
  <si>
    <t>年固定成本</t>
  </si>
  <si>
    <t xml:space="preserve">年单位变动成本 </t>
  </si>
  <si>
    <t>年总成本</t>
  </si>
  <si>
    <t>年利润</t>
  </si>
  <si>
    <t>项目净现值</t>
  </si>
  <si>
    <t>最大值</t>
  </si>
  <si>
    <t>最小值</t>
  </si>
  <si>
    <t>等分</t>
  </si>
  <si>
    <t>等分间隔长度</t>
  </si>
  <si>
    <t>下方保存模型</t>
  </si>
  <si>
    <t>班次</t>
  </si>
  <si>
    <t>所需护理人员人数</t>
  </si>
  <si>
    <t>开始工作人数</t>
  </si>
  <si>
    <t>实际工作人数</t>
  </si>
  <si>
    <t>6：00-10：00</t>
  </si>
  <si>
    <t>10：00-14：00</t>
  </si>
  <si>
    <t>14：00-18：00</t>
  </si>
  <si>
    <t>18：00-22：00</t>
  </si>
  <si>
    <t>22：00-2：00</t>
  </si>
  <si>
    <t>2：00-6：00</t>
  </si>
  <si>
    <t>总人数</t>
  </si>
  <si>
    <t>控件设计区</t>
    <phoneticPr fontId="24" type="noConversion"/>
  </si>
  <si>
    <t>阈限值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</si>
</sst>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_);[Red]\(0.0\)"/>
    <numFmt numFmtId="178" formatCode="0.000"/>
    <numFmt numFmtId="179" formatCode="0.00000000"/>
  </numFmts>
  <fonts count="27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name val="等线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0070C0"/>
      <name val="宋体"/>
      <family val="3"/>
      <charset val="134"/>
    </font>
    <font>
      <sz val="11"/>
      <color rgb="FF0070C0"/>
      <name val="宋体"/>
      <family val="3"/>
      <charset val="134"/>
    </font>
    <font>
      <b/>
      <sz val="14"/>
      <color rgb="FF0070C0"/>
      <name val="宋体"/>
      <family val="3"/>
      <charset val="134"/>
    </font>
    <font>
      <b/>
      <sz val="11"/>
      <color theme="0" tint="-0.34998626667073579"/>
      <name val="宋体"/>
      <family val="3"/>
      <charset val="134"/>
    </font>
    <font>
      <sz val="11"/>
      <color theme="0" tint="-0.34998626667073579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Arial"/>
      <family val="2"/>
    </font>
    <font>
      <b/>
      <sz val="11"/>
      <name val="宋体"/>
      <family val="3"/>
      <charset val="134"/>
    </font>
    <font>
      <sz val="11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F6FB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1" fillId="0" borderId="0"/>
    <xf numFmtId="0" fontId="7" fillId="0" borderId="0"/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9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9" fontId="0" fillId="0" borderId="0" xfId="0" applyNumberFormat="1">
      <alignment vertical="center"/>
    </xf>
    <xf numFmtId="1" fontId="0" fillId="3" borderId="1" xfId="0" applyNumberFormat="1" applyFill="1" applyBorder="1">
      <alignment vertical="center"/>
    </xf>
    <xf numFmtId="9" fontId="0" fillId="3" borderId="1" xfId="1" applyFont="1" applyFill="1" applyBorder="1">
      <alignment vertical="center"/>
    </xf>
    <xf numFmtId="1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0" fontId="6" fillId="0" borderId="0" xfId="3" applyFont="1"/>
    <xf numFmtId="0" fontId="6" fillId="0" borderId="0" xfId="3" applyFont="1" applyAlignment="1">
      <alignment horizontal="center"/>
    </xf>
    <xf numFmtId="0" fontId="7" fillId="8" borderId="1" xfId="3" applyFont="1" applyFill="1" applyBorder="1" applyAlignment="1">
      <alignment horizontal="center"/>
    </xf>
    <xf numFmtId="0" fontId="7" fillId="4" borderId="2" xfId="3" applyFont="1" applyFill="1" applyBorder="1"/>
    <xf numFmtId="0" fontId="7" fillId="4" borderId="3" xfId="3" applyFont="1" applyFill="1" applyBorder="1"/>
    <xf numFmtId="0" fontId="6" fillId="9" borderId="1" xfId="3" applyFont="1" applyFill="1" applyBorder="1"/>
    <xf numFmtId="0" fontId="6" fillId="5" borderId="1" xfId="3" applyFont="1" applyFill="1" applyBorder="1" applyAlignment="1">
      <alignment horizont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7" fillId="4" borderId="1" xfId="3" applyFont="1" applyFill="1" applyBorder="1"/>
    <xf numFmtId="0" fontId="6" fillId="10" borderId="1" xfId="3" applyFont="1" applyFill="1" applyBorder="1"/>
    <xf numFmtId="176" fontId="6" fillId="11" borderId="1" xfId="3" applyNumberFormat="1" applyFont="1" applyFill="1" applyBorder="1"/>
    <xf numFmtId="0" fontId="6" fillId="12" borderId="1" xfId="3" applyFont="1" applyFill="1" applyBorder="1"/>
    <xf numFmtId="0" fontId="7" fillId="0" borderId="0" xfId="3" applyFont="1" applyAlignment="1">
      <alignment horizontal="center"/>
    </xf>
    <xf numFmtId="176" fontId="6" fillId="12" borderId="1" xfId="3" applyNumberFormat="1" applyFont="1" applyFill="1" applyBorder="1"/>
    <xf numFmtId="177" fontId="6" fillId="0" borderId="0" xfId="3" applyNumberFormat="1" applyFont="1"/>
    <xf numFmtId="0" fontId="6" fillId="13" borderId="1" xfId="3" applyFont="1" applyFill="1" applyBorder="1" applyAlignment="1">
      <alignment horizontal="center"/>
    </xf>
    <xf numFmtId="0" fontId="6" fillId="8" borderId="1" xfId="3" applyFont="1" applyFill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7" fillId="0" borderId="0" xfId="3" applyFont="1"/>
    <xf numFmtId="0" fontId="6" fillId="13" borderId="1" xfId="3" applyFont="1" applyFill="1" applyBorder="1"/>
    <xf numFmtId="0" fontId="7" fillId="0" borderId="0" xfId="3" applyFont="1" applyAlignment="1">
      <alignment horizontal="left"/>
    </xf>
    <xf numFmtId="176" fontId="6" fillId="13" borderId="1" xfId="3" applyNumberFormat="1" applyFont="1" applyFill="1" applyBorder="1" applyAlignment="1">
      <alignment horizontal="center"/>
    </xf>
    <xf numFmtId="176" fontId="6" fillId="0" borderId="1" xfId="3" applyNumberFormat="1" applyFont="1" applyBorder="1"/>
    <xf numFmtId="0" fontId="6" fillId="0" borderId="1" xfId="3" applyFont="1" applyBorder="1"/>
    <xf numFmtId="0" fontId="1" fillId="0" borderId="0" xfId="2" applyFont="1"/>
    <xf numFmtId="0" fontId="1" fillId="14" borderId="0" xfId="2" applyFont="1" applyFill="1"/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1" xfId="2" applyFont="1" applyBorder="1"/>
    <xf numFmtId="0" fontId="10" fillId="0" borderId="1" xfId="2" applyFont="1" applyBorder="1"/>
    <xf numFmtId="0" fontId="3" fillId="0" borderId="0" xfId="2" applyFont="1"/>
    <xf numFmtId="0" fontId="11" fillId="0" borderId="2" xfId="2" applyFont="1" applyBorder="1"/>
    <xf numFmtId="0" fontId="12" fillId="15" borderId="1" xfId="2" applyFont="1" applyFill="1" applyBorder="1"/>
    <xf numFmtId="0" fontId="3" fillId="0" borderId="1" xfId="2" applyFont="1" applyBorder="1" applyAlignment="1">
      <alignment horizontal="center" vertical="center" wrapText="1"/>
    </xf>
    <xf numFmtId="178" fontId="1" fillId="0" borderId="1" xfId="2" applyNumberFormat="1" applyFont="1" applyBorder="1"/>
    <xf numFmtId="0" fontId="13" fillId="0" borderId="1" xfId="2" applyFont="1" applyBorder="1" applyAlignment="1">
      <alignment horizontal="center" vertical="center" wrapText="1"/>
    </xf>
    <xf numFmtId="178" fontId="14" fillId="0" borderId="1" xfId="2" applyNumberFormat="1" applyFont="1" applyBorder="1"/>
    <xf numFmtId="0" fontId="1" fillId="0" borderId="1" xfId="2" applyFont="1" applyBorder="1"/>
    <xf numFmtId="0" fontId="1" fillId="15" borderId="1" xfId="2" applyFont="1" applyFill="1" applyBorder="1"/>
    <xf numFmtId="0" fontId="15" fillId="15" borderId="1" xfId="2" applyFont="1" applyFill="1" applyBorder="1"/>
    <xf numFmtId="0" fontId="11" fillId="15" borderId="1" xfId="2" applyFont="1" applyFill="1" applyBorder="1"/>
    <xf numFmtId="0" fontId="1" fillId="0" borderId="4" xfId="2" applyFont="1" applyBorder="1" applyAlignment="1">
      <alignment horizontal="centerContinuous"/>
    </xf>
    <xf numFmtId="0" fontId="16" fillId="0" borderId="0" xfId="2" applyFont="1"/>
    <xf numFmtId="0" fontId="1" fillId="0" borderId="5" xfId="2" applyFont="1" applyBorder="1"/>
    <xf numFmtId="0" fontId="1" fillId="0" borderId="4" xfId="2" applyFont="1" applyBorder="1" applyAlignment="1">
      <alignment horizontal="center"/>
    </xf>
    <xf numFmtId="0" fontId="1" fillId="14" borderId="1" xfId="2" applyFont="1" applyFill="1" applyBorder="1"/>
    <xf numFmtId="0" fontId="1" fillId="16" borderId="1" xfId="2" applyFont="1" applyFill="1" applyBorder="1"/>
    <xf numFmtId="0" fontId="1" fillId="17" borderId="1" xfId="2" applyFont="1" applyFill="1" applyBorder="1"/>
    <xf numFmtId="0" fontId="16" fillId="0" borderId="5" xfId="2" applyFont="1" applyBorder="1"/>
    <xf numFmtId="0" fontId="17" fillId="0" borderId="0" xfId="4" applyFont="1"/>
    <xf numFmtId="0" fontId="18" fillId="4" borderId="1" xfId="4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center"/>
    </xf>
    <xf numFmtId="0" fontId="18" fillId="0" borderId="1" xfId="4" applyFont="1" applyBorder="1"/>
    <xf numFmtId="58" fontId="17" fillId="0" borderId="1" xfId="4" applyNumberFormat="1" applyFont="1" applyBorder="1" applyAlignment="1">
      <alignment horizontal="center"/>
    </xf>
    <xf numFmtId="0" fontId="17" fillId="0" borderId="1" xfId="4" applyFont="1" applyBorder="1" applyAlignment="1">
      <alignment horizontal="center"/>
    </xf>
    <xf numFmtId="0" fontId="17" fillId="0" borderId="1" xfId="4" applyFont="1" applyBorder="1"/>
    <xf numFmtId="0" fontId="18" fillId="0" borderId="2" xfId="4" applyFont="1" applyBorder="1"/>
    <xf numFmtId="0" fontId="17" fillId="0" borderId="6" xfId="4" applyFont="1" applyBorder="1"/>
    <xf numFmtId="0" fontId="18" fillId="0" borderId="1" xfId="4" applyFont="1" applyBorder="1" applyAlignment="1">
      <alignment horizontal="center"/>
    </xf>
    <xf numFmtId="179" fontId="19" fillId="0" borderId="3" xfId="4" applyNumberFormat="1" applyFont="1" applyBorder="1"/>
    <xf numFmtId="58" fontId="0" fillId="0" borderId="0" xfId="0" applyNumberFormat="1">
      <alignment vertical="center"/>
    </xf>
    <xf numFmtId="9" fontId="0" fillId="0" borderId="1" xfId="0" applyNumberFormat="1" applyBorder="1">
      <alignment vertical="center"/>
    </xf>
    <xf numFmtId="0" fontId="4" fillId="14" borderId="1" xfId="0" applyFont="1" applyFill="1" applyBorder="1" applyAlignment="1">
      <alignment horizontal="center" vertical="center"/>
    </xf>
    <xf numFmtId="0" fontId="1" fillId="18" borderId="1" xfId="0" applyFont="1" applyFill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18" fillId="19" borderId="1" xfId="4" applyFont="1" applyFill="1" applyBorder="1" applyAlignment="1">
      <alignment horizontal="center" vertical="center" wrapText="1"/>
    </xf>
    <xf numFmtId="1" fontId="17" fillId="19" borderId="1" xfId="4" applyNumberFormat="1" applyFont="1" applyFill="1" applyBorder="1" applyAlignment="1">
      <alignment horizontal="center"/>
    </xf>
    <xf numFmtId="0" fontId="17" fillId="19" borderId="0" xfId="4" applyFont="1" applyFill="1"/>
    <xf numFmtId="0" fontId="18" fillId="20" borderId="1" xfId="4" applyFont="1" applyFill="1" applyBorder="1" applyAlignment="1">
      <alignment horizontal="center" vertical="center" wrapText="1"/>
    </xf>
    <xf numFmtId="1" fontId="17" fillId="20" borderId="1" xfId="4" applyNumberFormat="1" applyFont="1" applyFill="1" applyBorder="1" applyAlignment="1">
      <alignment horizontal="center"/>
    </xf>
    <xf numFmtId="0" fontId="17" fillId="20" borderId="0" xfId="4" applyFont="1" applyFill="1"/>
    <xf numFmtId="0" fontId="17" fillId="0" borderId="7" xfId="4" applyFont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7" fillId="8" borderId="1" xfId="3" applyFont="1" applyFill="1" applyBorder="1" applyAlignment="1">
      <alignment horizontal="center"/>
    </xf>
  </cellXfs>
  <cellStyles count="5">
    <cellStyle name="百分比" xfId="1" builtinId="5"/>
    <cellStyle name="常规" xfId="0" builtinId="0"/>
    <cellStyle name="常规 2" xfId="2"/>
    <cellStyle name="常规_第1套第6题解答" xfId="3"/>
    <cellStyle name="常规_第4章-1-答案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33247755107106E-2"/>
          <c:y val="0.18330562846310899"/>
          <c:w val="0.89880575380495498"/>
          <c:h val="0.713339749198017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第3题!$O$19:$O$26</c:f>
              <c:strCache>
                <c:ptCount val="8"/>
                <c:pt idx="0">
                  <c:v>河北</c:v>
                </c:pt>
                <c:pt idx="1">
                  <c:v>安徽</c:v>
                </c:pt>
                <c:pt idx="2">
                  <c:v>天津</c:v>
                </c:pt>
                <c:pt idx="3">
                  <c:v>江苏</c:v>
                </c:pt>
                <c:pt idx="4">
                  <c:v>广西</c:v>
                </c:pt>
                <c:pt idx="5">
                  <c:v>广东</c:v>
                </c:pt>
                <c:pt idx="6">
                  <c:v>福建</c:v>
                </c:pt>
                <c:pt idx="7">
                  <c:v>浙江</c:v>
                </c:pt>
              </c:strCache>
            </c:strRef>
          </c:cat>
          <c:val>
            <c:numRef>
              <c:f>第3题!$N$19:$N$26</c:f>
              <c:numCache>
                <c:formatCode>General</c:formatCode>
                <c:ptCount val="8"/>
                <c:pt idx="0">
                  <c:v>142</c:v>
                </c:pt>
                <c:pt idx="1">
                  <c:v>132</c:v>
                </c:pt>
                <c:pt idx="2">
                  <c:v>70</c:v>
                </c:pt>
                <c:pt idx="3">
                  <c:v>67</c:v>
                </c:pt>
                <c:pt idx="4">
                  <c:v>64</c:v>
                </c:pt>
                <c:pt idx="5">
                  <c:v>36</c:v>
                </c:pt>
                <c:pt idx="6">
                  <c:v>24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6-4151-9642-16A88E877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837819136"/>
        <c:axId val="837813312"/>
      </c:barChart>
      <c:catAx>
        <c:axId val="8378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13312"/>
        <c:crosses val="autoZero"/>
        <c:auto val="1"/>
        <c:lblAlgn val="ctr"/>
        <c:lblOffset val="100"/>
        <c:noMultiLvlLbl val="0"/>
      </c:catAx>
      <c:valAx>
        <c:axId val="83781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季节指数预测模拟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第4题!$B$1</c:f>
              <c:strCache>
                <c:ptCount val="1"/>
                <c:pt idx="0">
                  <c:v>销售金额（万元）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第4题!$A$2:$A$49</c:f>
              <c:numCache>
                <c:formatCode>m"月"d"日"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</c:numCache>
            </c:numRef>
          </c:cat>
          <c:val>
            <c:numRef>
              <c:f>第4题!$B$2:$B$49</c:f>
              <c:numCache>
                <c:formatCode>General</c:formatCode>
                <c:ptCount val="48"/>
                <c:pt idx="0">
                  <c:v>4300</c:v>
                </c:pt>
                <c:pt idx="1">
                  <c:v>4600</c:v>
                </c:pt>
                <c:pt idx="2">
                  <c:v>4700</c:v>
                </c:pt>
                <c:pt idx="3">
                  <c:v>4900</c:v>
                </c:pt>
                <c:pt idx="4">
                  <c:v>5000</c:v>
                </c:pt>
                <c:pt idx="5">
                  <c:v>7800</c:v>
                </c:pt>
                <c:pt idx="6">
                  <c:v>9000</c:v>
                </c:pt>
                <c:pt idx="7">
                  <c:v>10000</c:v>
                </c:pt>
                <c:pt idx="8">
                  <c:v>11000</c:v>
                </c:pt>
                <c:pt idx="9">
                  <c:v>10500</c:v>
                </c:pt>
                <c:pt idx="10">
                  <c:v>10600</c:v>
                </c:pt>
                <c:pt idx="11">
                  <c:v>11100</c:v>
                </c:pt>
                <c:pt idx="12">
                  <c:v>5300</c:v>
                </c:pt>
                <c:pt idx="13">
                  <c:v>5600</c:v>
                </c:pt>
                <c:pt idx="14">
                  <c:v>5700</c:v>
                </c:pt>
                <c:pt idx="15">
                  <c:v>5900</c:v>
                </c:pt>
                <c:pt idx="16">
                  <c:v>6000</c:v>
                </c:pt>
                <c:pt idx="17">
                  <c:v>8800</c:v>
                </c:pt>
                <c:pt idx="18">
                  <c:v>10000</c:v>
                </c:pt>
                <c:pt idx="19">
                  <c:v>11000</c:v>
                </c:pt>
                <c:pt idx="20">
                  <c:v>12000</c:v>
                </c:pt>
                <c:pt idx="21">
                  <c:v>11500</c:v>
                </c:pt>
                <c:pt idx="22">
                  <c:v>11600</c:v>
                </c:pt>
                <c:pt idx="23">
                  <c:v>12100</c:v>
                </c:pt>
                <c:pt idx="24">
                  <c:v>6800</c:v>
                </c:pt>
                <c:pt idx="25">
                  <c:v>7100</c:v>
                </c:pt>
                <c:pt idx="26">
                  <c:v>7200</c:v>
                </c:pt>
                <c:pt idx="27">
                  <c:v>7400</c:v>
                </c:pt>
                <c:pt idx="28">
                  <c:v>7500</c:v>
                </c:pt>
                <c:pt idx="29">
                  <c:v>10300</c:v>
                </c:pt>
                <c:pt idx="30">
                  <c:v>11500</c:v>
                </c:pt>
                <c:pt idx="31">
                  <c:v>12500</c:v>
                </c:pt>
                <c:pt idx="32">
                  <c:v>13500</c:v>
                </c:pt>
                <c:pt idx="33">
                  <c:v>13000</c:v>
                </c:pt>
                <c:pt idx="34">
                  <c:v>13100</c:v>
                </c:pt>
                <c:pt idx="35">
                  <c:v>13600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2-4786-8007-20D71074B1EB}"/>
            </c:ext>
          </c:extLst>
        </c:ser>
        <c:ser>
          <c:idx val="1"/>
          <c:order val="1"/>
          <c:tx>
            <c:strRef>
              <c:f>第4题!$E$1</c:f>
              <c:strCache>
                <c:ptCount val="1"/>
                <c:pt idx="0">
                  <c:v>预测值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第4题!$A$2:$A$49</c:f>
              <c:numCache>
                <c:formatCode>m"月"d"日"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</c:numCache>
            </c:numRef>
          </c:cat>
          <c:val>
            <c:numRef>
              <c:f>第4题!$E$2:$E$49</c:f>
              <c:numCache>
                <c:formatCode>0</c:formatCode>
                <c:ptCount val="48"/>
                <c:pt idx="0">
                  <c:v>4367.6976729667658</c:v>
                </c:pt>
                <c:pt idx="1">
                  <c:v>4674.8839408046915</c:v>
                </c:pt>
                <c:pt idx="2">
                  <c:v>4820.1872136487964</c:v>
                </c:pt>
                <c:pt idx="3">
                  <c:v>5055.518648401362</c:v>
                </c:pt>
                <c:pt idx="4">
                  <c:v>5208.7003865108545</c:v>
                </c:pt>
                <c:pt idx="5">
                  <c:v>7678.6816287716247</c:v>
                </c:pt>
                <c:pt idx="6">
                  <c:v>8821.4683650390689</c:v>
                </c:pt>
                <c:pt idx="7">
                  <c:v>9819.8532377083029</c:v>
                </c:pt>
                <c:pt idx="8">
                  <c:v>10841.64696883388</c:v>
                </c:pt>
                <c:pt idx="9">
                  <c:v>10528.246614736769</c:v>
                </c:pt>
                <c:pt idx="10">
                  <c:v>10756.210845828844</c:v>
                </c:pt>
                <c:pt idx="11">
                  <c:v>11352.216531451289</c:v>
                </c:pt>
                <c:pt idx="12">
                  <c:v>5123.1241890868578</c:v>
                </c:pt>
                <c:pt idx="13">
                  <c:v>5471.766790126514</c:v>
                </c:pt>
                <c:pt idx="14">
                  <c:v>5628.673808936599</c:v>
                </c:pt>
                <c:pt idx="15">
                  <c:v>5891.5672867103403</c:v>
                </c:pt>
                <c:pt idx="16">
                  <c:v>6058.5300463304202</c:v>
                </c:pt>
                <c:pt idx="17">
                  <c:v>8914.3798908876415</c:v>
                </c:pt>
                <c:pt idx="18">
                  <c:v>10222.538885282169</c:v>
                </c:pt>
                <c:pt idx="19">
                  <c:v>11358.733973057246</c:v>
                </c:pt>
                <c:pt idx="20">
                  <c:v>12518.337919288699</c:v>
                </c:pt>
                <c:pt idx="21">
                  <c:v>12136.03245763865</c:v>
                </c:pt>
                <c:pt idx="22">
                  <c:v>12377.777710241313</c:v>
                </c:pt>
                <c:pt idx="23">
                  <c:v>13042.688503416695</c:v>
                </c:pt>
                <c:pt idx="24">
                  <c:v>5876.4866983323109</c:v>
                </c:pt>
                <c:pt idx="25">
                  <c:v>6266.4723639037293</c:v>
                </c:pt>
                <c:pt idx="26">
                  <c:v>6437.1604042244026</c:v>
                </c:pt>
                <c:pt idx="27">
                  <c:v>6727.6159250193186</c:v>
                </c:pt>
                <c:pt idx="28">
                  <c:v>6908.3597061499859</c:v>
                </c:pt>
                <c:pt idx="29">
                  <c:v>10150.078153003658</c:v>
                </c:pt>
                <c:pt idx="30">
                  <c:v>11623.609405525236</c:v>
                </c:pt>
                <c:pt idx="31">
                  <c:v>12897.614708406225</c:v>
                </c:pt>
                <c:pt idx="32">
                  <c:v>14195.028869743555</c:v>
                </c:pt>
                <c:pt idx="33">
                  <c:v>13743.81830054053</c:v>
                </c:pt>
                <c:pt idx="34">
                  <c:v>13999.34457465378</c:v>
                </c:pt>
                <c:pt idx="35">
                  <c:v>14733.160475382101</c:v>
                </c:pt>
                <c:pt idx="36">
                  <c:v>6629.8492075777631</c:v>
                </c:pt>
                <c:pt idx="37">
                  <c:v>7061.1779376809454</c:v>
                </c:pt>
                <c:pt idx="38">
                  <c:v>7245.6469995122052</c:v>
                </c:pt>
                <c:pt idx="39">
                  <c:v>7563.6645633282969</c:v>
                </c:pt>
                <c:pt idx="40">
                  <c:v>7758.1893659695515</c:v>
                </c:pt>
                <c:pt idx="41">
                  <c:v>11385.776415119675</c:v>
                </c:pt>
                <c:pt idx="42">
                  <c:v>13024.679925768303</c:v>
                </c:pt>
                <c:pt idx="43">
                  <c:v>14436.495443755168</c:v>
                </c:pt>
                <c:pt idx="44">
                  <c:v>15871.719820198374</c:v>
                </c:pt>
                <c:pt idx="45">
                  <c:v>15351.604143442411</c:v>
                </c:pt>
                <c:pt idx="46">
                  <c:v>15620.911439066249</c:v>
                </c:pt>
                <c:pt idx="47">
                  <c:v>16423.632447347547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2-4786-8007-20D71074B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090080"/>
        <c:axId val="341090496"/>
      </c:lineChart>
      <c:dateAx>
        <c:axId val="34109008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90496"/>
        <c:crosses val="autoZero"/>
        <c:auto val="1"/>
        <c:lblOffset val="100"/>
        <c:baseTimeUnit val="months"/>
      </c:dateAx>
      <c:valAx>
        <c:axId val="3410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细菌数、蘑菇产量
</a:t>
            </a: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143263342082198E-2"/>
                  <c:y val="-0.155304389034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C04-4B06-BAF1-65C3AF7DF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242799"/>
        <c:axId val="2048246127"/>
      </c:scatterChart>
      <c:valAx>
        <c:axId val="20482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246127"/>
        <c:crosses val="autoZero"/>
        <c:crossBetween val="midCat"/>
      </c:valAx>
      <c:valAx>
        <c:axId val="20482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24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温度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935247860099403"/>
                  <c:y val="-0.27149384104764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第5题!$A$2:$A$21</c:f>
              <c:numCache>
                <c:formatCode>General</c:formatCode>
                <c:ptCount val="20"/>
                <c:pt idx="0">
                  <c:v>35</c:v>
                </c:pt>
                <c:pt idx="1">
                  <c:v>29</c:v>
                </c:pt>
                <c:pt idx="2">
                  <c:v>31</c:v>
                </c:pt>
                <c:pt idx="3">
                  <c:v>29</c:v>
                </c:pt>
                <c:pt idx="4">
                  <c:v>32</c:v>
                </c:pt>
                <c:pt idx="5">
                  <c:v>28</c:v>
                </c:pt>
                <c:pt idx="6">
                  <c:v>30</c:v>
                </c:pt>
                <c:pt idx="7">
                  <c:v>35</c:v>
                </c:pt>
                <c:pt idx="8">
                  <c:v>37</c:v>
                </c:pt>
                <c:pt idx="9">
                  <c:v>33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37</c:v>
                </c:pt>
                <c:pt idx="14">
                  <c:v>34</c:v>
                </c:pt>
                <c:pt idx="15">
                  <c:v>36</c:v>
                </c:pt>
                <c:pt idx="16">
                  <c:v>33</c:v>
                </c:pt>
                <c:pt idx="17">
                  <c:v>33</c:v>
                </c:pt>
                <c:pt idx="18">
                  <c:v>36</c:v>
                </c:pt>
                <c:pt idx="19">
                  <c:v>29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A-44AD-AB78-331C97F6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湿度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053871391076097"/>
                  <c:y val="-0.23900736366287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第5题!$B$2:$B$21</c:f>
              <c:numCache>
                <c:formatCode>General</c:formatCode>
                <c:ptCount val="20"/>
                <c:pt idx="0">
                  <c:v>71</c:v>
                </c:pt>
                <c:pt idx="1">
                  <c:v>73</c:v>
                </c:pt>
                <c:pt idx="2">
                  <c:v>74</c:v>
                </c:pt>
                <c:pt idx="3">
                  <c:v>74</c:v>
                </c:pt>
                <c:pt idx="4">
                  <c:v>71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72</c:v>
                </c:pt>
                <c:pt idx="9">
                  <c:v>72</c:v>
                </c:pt>
                <c:pt idx="10">
                  <c:v>73</c:v>
                </c:pt>
                <c:pt idx="11">
                  <c:v>75</c:v>
                </c:pt>
                <c:pt idx="12">
                  <c:v>73</c:v>
                </c:pt>
                <c:pt idx="13">
                  <c:v>72</c:v>
                </c:pt>
                <c:pt idx="14">
                  <c:v>71</c:v>
                </c:pt>
                <c:pt idx="15">
                  <c:v>71</c:v>
                </c:pt>
                <c:pt idx="16">
                  <c:v>72</c:v>
                </c:pt>
                <c:pt idx="17">
                  <c:v>74</c:v>
                </c:pt>
                <c:pt idx="18">
                  <c:v>73</c:v>
                </c:pt>
                <c:pt idx="19">
                  <c:v>72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D-4D35-9B96-91A418FA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营养液浓度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724859706344205"/>
                  <c:y val="-0.241681648201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第5题!$C$2:$C$21</c:f>
              <c:numCache>
                <c:formatCode>General</c:formatCode>
                <c:ptCount val="20"/>
                <c:pt idx="0">
                  <c:v>35</c:v>
                </c:pt>
                <c:pt idx="1">
                  <c:v>38</c:v>
                </c:pt>
                <c:pt idx="2">
                  <c:v>35</c:v>
                </c:pt>
                <c:pt idx="3">
                  <c:v>38</c:v>
                </c:pt>
                <c:pt idx="4">
                  <c:v>33</c:v>
                </c:pt>
                <c:pt idx="5">
                  <c:v>38</c:v>
                </c:pt>
                <c:pt idx="6">
                  <c:v>36</c:v>
                </c:pt>
                <c:pt idx="7">
                  <c:v>35</c:v>
                </c:pt>
                <c:pt idx="8">
                  <c:v>41</c:v>
                </c:pt>
                <c:pt idx="9">
                  <c:v>36</c:v>
                </c:pt>
                <c:pt idx="10">
                  <c:v>38</c:v>
                </c:pt>
                <c:pt idx="11">
                  <c:v>41</c:v>
                </c:pt>
                <c:pt idx="12">
                  <c:v>45</c:v>
                </c:pt>
                <c:pt idx="13">
                  <c:v>43</c:v>
                </c:pt>
                <c:pt idx="14">
                  <c:v>32</c:v>
                </c:pt>
                <c:pt idx="15">
                  <c:v>42</c:v>
                </c:pt>
                <c:pt idx="16">
                  <c:v>37</c:v>
                </c:pt>
                <c:pt idx="17">
                  <c:v>40</c:v>
                </c:pt>
                <c:pt idx="18">
                  <c:v>34</c:v>
                </c:pt>
                <c:pt idx="19">
                  <c:v>42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0-438F-81ED-FBAD16B1A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26097660045"/>
          <c:y val="5.6454059340490199E-2"/>
          <c:w val="0.82907921728828904"/>
          <c:h val="0.858130792670502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'[1]第2题-4-答案'!$H$9</c:f>
              <c:strCache>
                <c:ptCount val="1"/>
                <c:pt idx="0">
                  <c:v>工厂A成本</c:v>
                </c:pt>
              </c:strCache>
            </c:strRef>
          </c:tx>
          <c:spPr>
            <a:ln w="19050" cap="rnd" cmpd="sng" algn="ctr">
              <a:solidFill>
                <a:srgbClr val="0000CC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'[1]第2题-4-答案'!$G$11:$G$16</c:f>
              <c:numCache>
                <c:formatCode>General</c:formatCode>
                <c:ptCount val="6"/>
                <c:pt idx="0">
                  <c:v>0</c:v>
                </c:pt>
                <c:pt idx="1">
                  <c:v>2999.9989999999998</c:v>
                </c:pt>
                <c:pt idx="2">
                  <c:v>3000</c:v>
                </c:pt>
                <c:pt idx="3">
                  <c:v>3999.9989999999998</c:v>
                </c:pt>
                <c:pt idx="4">
                  <c:v>4000</c:v>
                </c:pt>
                <c:pt idx="5">
                  <c:v>6000</c:v>
                </c:pt>
              </c:numCache>
            </c:numRef>
          </c:xVal>
          <c:yVal>
            <c:numRef>
              <c:f>'[1]第2题-4-答案'!$H$11:$H$16</c:f>
              <c:numCache>
                <c:formatCode>General</c:formatCode>
                <c:ptCount val="6"/>
                <c:pt idx="0">
                  <c:v>30000</c:v>
                </c:pt>
                <c:pt idx="1">
                  <c:v>179999.95</c:v>
                </c:pt>
                <c:pt idx="2">
                  <c:v>159000</c:v>
                </c:pt>
                <c:pt idx="3">
                  <c:v>201999.95699999999</c:v>
                </c:pt>
                <c:pt idx="4">
                  <c:v>150000</c:v>
                </c:pt>
                <c:pt idx="5">
                  <c:v>210000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E-49A5-B3FA-C5D30D1538EE}"/>
            </c:ext>
          </c:extLst>
        </c:ser>
        <c:ser>
          <c:idx val="1"/>
          <c:order val="1"/>
          <c:tx>
            <c:strRef>
              <c:f>'[1]第2题-4-答案'!$I$9</c:f>
              <c:strCache>
                <c:ptCount val="1"/>
                <c:pt idx="0">
                  <c:v>工厂B成本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'[1]第2题-4-答案'!$G$11:$G$16</c:f>
              <c:numCache>
                <c:formatCode>General</c:formatCode>
                <c:ptCount val="6"/>
                <c:pt idx="0">
                  <c:v>0</c:v>
                </c:pt>
                <c:pt idx="1">
                  <c:v>2999.9989999999998</c:v>
                </c:pt>
                <c:pt idx="2">
                  <c:v>3000</c:v>
                </c:pt>
                <c:pt idx="3">
                  <c:v>3999.9989999999998</c:v>
                </c:pt>
                <c:pt idx="4">
                  <c:v>4000</c:v>
                </c:pt>
                <c:pt idx="5">
                  <c:v>6000</c:v>
                </c:pt>
              </c:numCache>
            </c:numRef>
          </c:xVal>
          <c:yVal>
            <c:numRef>
              <c:f>'[1]第2题-4-答案'!$I$11:$I$16</c:f>
              <c:numCache>
                <c:formatCode>General</c:formatCode>
                <c:ptCount val="6"/>
                <c:pt idx="0">
                  <c:v>50000</c:v>
                </c:pt>
                <c:pt idx="1">
                  <c:v>154999.965</c:v>
                </c:pt>
                <c:pt idx="2">
                  <c:v>131000</c:v>
                </c:pt>
                <c:pt idx="3">
                  <c:v>157999.973</c:v>
                </c:pt>
                <c:pt idx="4">
                  <c:v>130000</c:v>
                </c:pt>
                <c:pt idx="5">
                  <c:v>170000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E-49A5-B3FA-C5D30D1538EE}"/>
            </c:ext>
          </c:extLst>
        </c:ser>
        <c:ser>
          <c:idx val="3"/>
          <c:order val="2"/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9"/>
            <c:spPr>
              <a:solidFill>
                <a:schemeClr val="bg1"/>
              </a:solidFill>
              <a:ln w="222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'[1]第2题-4-答案'!$H$22:$H$26</c:f>
              <c:numCache>
                <c:formatCode>General</c:formatCode>
                <c:ptCount val="5"/>
                <c:pt idx="0">
                  <c:v>666.66666666666697</c:v>
                </c:pt>
                <c:pt idx="1">
                  <c:v>1000</c:v>
                </c:pt>
                <c:pt idx="2">
                  <c:v>1333.3333333333301</c:v>
                </c:pt>
                <c:pt idx="3">
                  <c:v>1666.6666666666699</c:v>
                </c:pt>
                <c:pt idx="4">
                  <c:v>2000</c:v>
                </c:pt>
              </c:numCache>
            </c:numRef>
          </c:xVal>
          <c:yVal>
            <c:numRef>
              <c:f>'[1]第2题-4-答案'!$I$22:$I$26</c:f>
              <c:numCache>
                <c:formatCode>General</c:formatCode>
                <c:ptCount val="5"/>
                <c:pt idx="0">
                  <c:v>63333.333333333299</c:v>
                </c:pt>
                <c:pt idx="1">
                  <c:v>80000</c:v>
                </c:pt>
                <c:pt idx="2">
                  <c:v>96666.666666666701</c:v>
                </c:pt>
                <c:pt idx="3">
                  <c:v>113333.33333333299</c:v>
                </c:pt>
                <c:pt idx="4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6E-49A5-B3FA-C5D30D1538EE}"/>
            </c:ext>
          </c:extLst>
        </c:ser>
        <c:ser>
          <c:idx val="2"/>
          <c:order val="3"/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'[1]第2题-4-答案'!$G$29:$G$31</c:f>
              <c:numCache>
                <c:formatCode>General</c:formatCode>
                <c:ptCount val="3"/>
                <c:pt idx="0">
                  <c:v>1333.3333333333301</c:v>
                </c:pt>
                <c:pt idx="1">
                  <c:v>1333.3333333333301</c:v>
                </c:pt>
                <c:pt idx="2">
                  <c:v>1333.3333333333301</c:v>
                </c:pt>
              </c:numCache>
            </c:numRef>
          </c:xVal>
          <c:yVal>
            <c:numRef>
              <c:f>'[1]第2题-4-答案'!$H$29:$H$31</c:f>
              <c:numCache>
                <c:formatCode>General</c:formatCode>
                <c:ptCount val="3"/>
                <c:pt idx="0">
                  <c:v>240000</c:v>
                </c:pt>
                <c:pt idx="1">
                  <c:v>96666.666666666701</c:v>
                </c:pt>
                <c:pt idx="2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6E-49A5-B3FA-C5D30D1538EE}"/>
            </c:ext>
          </c:extLst>
        </c:ser>
        <c:ser>
          <c:idx val="4"/>
          <c:order val="4"/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9"/>
            <c:spPr>
              <a:solidFill>
                <a:srgbClr val="FF3300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'[1]第2题-4-答案'!$G$30</c:f>
              <c:numCache>
                <c:formatCode>General</c:formatCode>
                <c:ptCount val="1"/>
                <c:pt idx="0">
                  <c:v>1333.3333333333301</c:v>
                </c:pt>
              </c:numCache>
            </c:numRef>
          </c:xVal>
          <c:yVal>
            <c:numRef>
              <c:f>'[1]第2题-4-答案'!$H$30</c:f>
              <c:numCache>
                <c:formatCode>General</c:formatCode>
                <c:ptCount val="1"/>
                <c:pt idx="0">
                  <c:v>96666.666666666701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6E-49A5-B3FA-C5D30D153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50368"/>
        <c:axId val="162656640"/>
      </c:scatterChart>
      <c:valAx>
        <c:axId val="162650368"/>
        <c:scaling>
          <c:orientation val="minMax"/>
          <c:max val="6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生产量</a:t>
                </a:r>
              </a:p>
            </c:rich>
          </c:tx>
          <c:layout>
            <c:manualLayout>
              <c:xMode val="edge"/>
              <c:yMode val="edge"/>
              <c:x val="0.86048000361366705"/>
              <c:y val="0.828912755081249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656640"/>
        <c:crosses val="autoZero"/>
        <c:crossBetween val="midCat"/>
        <c:majorUnit val="500"/>
      </c:valAx>
      <c:valAx>
        <c:axId val="162656640"/>
        <c:scaling>
          <c:orientation val="minMax"/>
          <c:max val="240000"/>
          <c:min val="3000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650368"/>
        <c:crosses val="autoZero"/>
        <c:crossBetween val="midCat"/>
        <c:majorUnit val="30000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25228015655928"/>
          <c:y val="0.71201598516714104"/>
          <c:w val="0.20046026989989099"/>
          <c:h val="0.167154058434942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准时供货率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第7题!$Q$9:$V$9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第7题!$Q$10:$V$10</c:f>
              <c:numCache>
                <c:formatCode>General</c:formatCode>
                <c:ptCount val="6"/>
                <c:pt idx="0">
                  <c:v>0.63181818181818195</c:v>
                </c:pt>
                <c:pt idx="1">
                  <c:v>0.62727272727272698</c:v>
                </c:pt>
                <c:pt idx="2">
                  <c:v>0.7</c:v>
                </c:pt>
                <c:pt idx="3">
                  <c:v>0.736363636363636</c:v>
                </c:pt>
                <c:pt idx="4">
                  <c:v>0.70909090909090899</c:v>
                </c:pt>
                <c:pt idx="5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30-4167-8A82-A3048A39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26448"/>
        <c:axId val="1360242016"/>
      </c:scatterChart>
      <c:valAx>
        <c:axId val="1120326448"/>
        <c:scaling>
          <c:orientation val="minMax"/>
          <c:max val="8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0242016"/>
        <c:crosses val="autoZero"/>
        <c:crossBetween val="midCat"/>
      </c:valAx>
      <c:valAx>
        <c:axId val="1360242016"/>
        <c:scaling>
          <c:orientation val="minMax"/>
          <c:max val="0.9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3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项目净现值累计概率图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第8题!$L$2:$L$23</c:f>
              <c:numCache>
                <c:formatCode>0</c:formatCode>
                <c:ptCount val="22"/>
                <c:pt idx="0" formatCode="General">
                  <c:v>-8749.8601084004986</c:v>
                </c:pt>
                <c:pt idx="1">
                  <c:v>-7325.1102162008592</c:v>
                </c:pt>
                <c:pt idx="2">
                  <c:v>-5900.3603240012199</c:v>
                </c:pt>
                <c:pt idx="3">
                  <c:v>-4475.6104318015805</c:v>
                </c:pt>
                <c:pt idx="4">
                  <c:v>-3050.8605396019416</c:v>
                </c:pt>
                <c:pt idx="5">
                  <c:v>-1626.1106474023027</c:v>
                </c:pt>
                <c:pt idx="6">
                  <c:v>-201.36075520266377</c:v>
                </c:pt>
                <c:pt idx="7">
                  <c:v>1223.3891369969751</c:v>
                </c:pt>
                <c:pt idx="8">
                  <c:v>2648.139029196614</c:v>
                </c:pt>
                <c:pt idx="9">
                  <c:v>4072.888921396253</c:v>
                </c:pt>
                <c:pt idx="10">
                  <c:v>5497.6388135958914</c:v>
                </c:pt>
                <c:pt idx="11">
                  <c:v>6922.3887057955308</c:v>
                </c:pt>
                <c:pt idx="12">
                  <c:v>8347.1385979951701</c:v>
                </c:pt>
                <c:pt idx="13">
                  <c:v>9771.8884901948095</c:v>
                </c:pt>
                <c:pt idx="14">
                  <c:v>11196.638382394449</c:v>
                </c:pt>
                <c:pt idx="15">
                  <c:v>12621.388274594088</c:v>
                </c:pt>
                <c:pt idx="16">
                  <c:v>14046.138166793728</c:v>
                </c:pt>
                <c:pt idx="17">
                  <c:v>15470.888058993367</c:v>
                </c:pt>
                <c:pt idx="18">
                  <c:v>16895.637951193006</c:v>
                </c:pt>
                <c:pt idx="19">
                  <c:v>18320.387843392644</c:v>
                </c:pt>
                <c:pt idx="20">
                  <c:v>19745.137735592281</c:v>
                </c:pt>
                <c:pt idx="21">
                  <c:v>21169.887627791919</c:v>
                </c:pt>
              </c:numCache>
            </c:numRef>
          </c:xVal>
          <c:yVal>
            <c:numRef>
              <c:f>第8题!$N$2:$N$23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0.06</c:v>
                </c:pt>
                <c:pt idx="4">
                  <c:v>0.09</c:v>
                </c:pt>
                <c:pt idx="5">
                  <c:v>0.16999999999999998</c:v>
                </c:pt>
                <c:pt idx="6">
                  <c:v>0.24</c:v>
                </c:pt>
                <c:pt idx="7">
                  <c:v>0.3</c:v>
                </c:pt>
                <c:pt idx="8">
                  <c:v>0.32999999999999996</c:v>
                </c:pt>
                <c:pt idx="9">
                  <c:v>0.41</c:v>
                </c:pt>
                <c:pt idx="10">
                  <c:v>0.53</c:v>
                </c:pt>
                <c:pt idx="11">
                  <c:v>0.63</c:v>
                </c:pt>
                <c:pt idx="12">
                  <c:v>0.68</c:v>
                </c:pt>
                <c:pt idx="13">
                  <c:v>0.74</c:v>
                </c:pt>
                <c:pt idx="14">
                  <c:v>0.83</c:v>
                </c:pt>
                <c:pt idx="15">
                  <c:v>0.88</c:v>
                </c:pt>
                <c:pt idx="16">
                  <c:v>0.91</c:v>
                </c:pt>
                <c:pt idx="17">
                  <c:v>0.94000000000000006</c:v>
                </c:pt>
                <c:pt idx="18">
                  <c:v>0.96000000000000008</c:v>
                </c:pt>
                <c:pt idx="19">
                  <c:v>0.98000000000000009</c:v>
                </c:pt>
                <c:pt idx="20">
                  <c:v>0.9900000000000001</c:v>
                </c:pt>
                <c:pt idx="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C-4FA3-991D-D45DCCB5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18896"/>
        <c:axId val="539323888"/>
      </c:scatterChart>
      <c:valAx>
        <c:axId val="53931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23888"/>
        <c:crosses val="autoZero"/>
        <c:crossBetween val="midCat"/>
      </c:valAx>
      <c:valAx>
        <c:axId val="5393238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1889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List" dx="22" fmlaLink="$K$5" fmlaRange="$K$6:$K$7" noThreeD="1" sel="1" val="0"/>
</file>

<file path=xl/ctrlProps/ctrlProp3.xml><?xml version="1.0" encoding="utf-8"?>
<formControlPr xmlns="http://schemas.microsoft.com/office/spreadsheetml/2009/9/main" objectType="CheckBox" checked="Checked" fmlaLink="$I$4" noThreeD="1"/>
</file>

<file path=xl/ctrlProps/ctrlProp4.xml><?xml version="1.0" encoding="utf-8"?>
<formControlPr xmlns="http://schemas.microsoft.com/office/spreadsheetml/2009/9/main" objectType="Radio" checked="Checked" firstButton="1" fmlaLink="$J$5" noThreeD="1"/>
</file>

<file path=xl/ctrlProps/ctrlProp5.xml><?xml version="1.0" encoding="utf-8"?>
<formControlPr xmlns="http://schemas.microsoft.com/office/spreadsheetml/2009/9/main" objectType="Radio" noThreeD="1"/>
</file>

<file path=xl/ctrlProps/ctrlProp6.xml><?xml version="1.0" encoding="utf-8"?>
<formControlPr xmlns="http://schemas.microsoft.com/office/spreadsheetml/2009/9/main" objectType="Radio" noThreeD="1"/>
</file>

<file path=xl/ctrlProps/ctrlProp7.xml><?xml version="1.0" encoding="utf-8"?>
<formControlPr xmlns="http://schemas.microsoft.com/office/spreadsheetml/2009/9/main" objectType="Spin" dx="16" fmlaLink="$E$5" inc="500" max="6000" min="4000" page="10" val="50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emf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15</xdr:col>
      <xdr:colOff>42863</xdr:colOff>
      <xdr:row>11</xdr:row>
      <xdr:rowOff>123825</xdr:rowOff>
    </xdr:to>
    <xdr:sp macro="" textlink="">
      <xdr:nvSpPr>
        <xdr:cNvPr id="2" name="文本框 1"/>
        <xdr:cNvSpPr txBox="1"/>
      </xdr:nvSpPr>
      <xdr:spPr>
        <a:xfrm>
          <a:off x="4762500" y="176213"/>
          <a:ext cx="5167313" cy="18859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第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题 （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6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分）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通过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MS Query 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Northwind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数据库查询符合下列要求的雇员姓名、订单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ID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、产品名称和数量：</a:t>
          </a:r>
          <a:endParaRPr lang="en-US" altLang="zh-CN" sz="1200">
            <a:latin typeface="宋体" panose="02010600030101010101" pitchFamily="7" charset="-122"/>
            <a:ea typeface="宋体" panose="02010600030101010101" pitchFamily="7" charset="-122"/>
          </a:endParaRPr>
        </a:p>
        <a:p>
          <a:pPr indent="288290">
            <a:lnSpc>
              <a:spcPct val="150000"/>
            </a:lnSpc>
          </a:pPr>
          <a:r>
            <a:rPr lang="en-US" altLang="zh-CN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1997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年</a:t>
          </a:r>
          <a:r>
            <a:rPr lang="en-US" altLang="zh-CN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8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月下旬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、雇员职务为“销售经理”或“销售代表”、饮料类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的相关记录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，并按姓名升序、订单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ID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升序排列；将查询结果返回到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A1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单元格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起始的区域。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indent="0">
            <a:lnSpc>
              <a:spcPct val="150000"/>
            </a:lnSpc>
          </a:pP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注意：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不能对返回到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Excel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后的查询结果做任何编辑修改， 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违者不得分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zh-CN" altLang="en-US" sz="12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14</xdr:col>
      <xdr:colOff>572250</xdr:colOff>
      <xdr:row>32</xdr:row>
      <xdr:rowOff>48112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965" y="2311400"/>
          <a:ext cx="5372735" cy="342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16193</xdr:colOff>
      <xdr:row>0</xdr:row>
      <xdr:rowOff>38100</xdr:rowOff>
    </xdr:from>
    <xdr:to>
      <xdr:col>7</xdr:col>
      <xdr:colOff>170497</xdr:colOff>
      <xdr:row>11</xdr:row>
      <xdr:rowOff>79692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3" y="38100"/>
          <a:ext cx="5388292" cy="1979930"/>
        </a:xfrm>
        <a:prstGeom prst="rect">
          <a:avLst/>
        </a:prstGeom>
      </xdr:spPr>
    </xdr:pic>
    <xdr:clientData/>
  </xdr:twoCellAnchor>
  <xdr:twoCellAnchor>
    <xdr:from>
      <xdr:col>8</xdr:col>
      <xdr:colOff>109538</xdr:colOff>
      <xdr:row>2</xdr:row>
      <xdr:rowOff>52387</xdr:rowOff>
    </xdr:from>
    <xdr:to>
      <xdr:col>17</xdr:col>
      <xdr:colOff>552449</xdr:colOff>
      <xdr:row>18</xdr:row>
      <xdr:rowOff>71437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AF5E275C-58D5-4A0D-8447-C42794B24E89}"/>
            </a:ext>
          </a:extLst>
        </xdr:cNvPr>
        <xdr:cNvSpPr txBox="1">
          <a:spLocks noChangeArrowheads="1"/>
        </xdr:cNvSpPr>
      </xdr:nvSpPr>
      <xdr:spPr bwMode="auto">
        <a:xfrm>
          <a:off x="6567488" y="404812"/>
          <a:ext cx="6229349" cy="2838450"/>
        </a:xfrm>
        <a:prstGeom prst="rect">
          <a:avLst/>
        </a:prstGeom>
        <a:solidFill>
          <a:srgbClr val="DBEEF4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ct val="1500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 第2题（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10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分）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利用位于文件夹中的Northwind数据库，生成如下图所示的一个数据透视表。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（直辖市：上海、北京、天津、重庆）</a:t>
          </a: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9</xdr:col>
      <xdr:colOff>5714</xdr:colOff>
      <xdr:row>6</xdr:row>
      <xdr:rowOff>53340</xdr:rowOff>
    </xdr:from>
    <xdr:to>
      <xdr:col>15</xdr:col>
      <xdr:colOff>134302</xdr:colOff>
      <xdr:row>17</xdr:row>
      <xdr:rowOff>25544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C097C15-4439-4E02-AD3B-E4BC53123D34}"/>
            </a:ext>
          </a:extLst>
        </xdr:cNvPr>
        <xdr:cNvGrpSpPr/>
      </xdr:nvGrpSpPr>
      <xdr:grpSpPr>
        <a:xfrm>
          <a:off x="7106602" y="1110615"/>
          <a:ext cx="3986213" cy="1910542"/>
          <a:chOff x="8001001" y="2788920"/>
          <a:chExt cx="5554979" cy="2188672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6E602AA8-2675-98D8-4604-E11DD363F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008620" y="3596640"/>
            <a:ext cx="2095238" cy="1380952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A4AAE187-ABFA-D901-5FF1-BB7C886FD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008620" y="2788920"/>
            <a:ext cx="2114286" cy="476190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F927E761-C515-0888-F78B-4B576B704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001001" y="3362376"/>
            <a:ext cx="5554979" cy="2520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419099</xdr:colOff>
      <xdr:row>31</xdr:row>
      <xdr:rowOff>114300</xdr:rowOff>
    </xdr:from>
    <xdr:to>
      <xdr:col>15</xdr:col>
      <xdr:colOff>571499</xdr:colOff>
      <xdr:row>50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34</xdr:row>
          <xdr:rowOff>76200</xdr:rowOff>
        </xdr:from>
        <xdr:to>
          <xdr:col>15</xdr:col>
          <xdr:colOff>114300</xdr:colOff>
          <xdr:row>40</xdr:row>
          <xdr:rowOff>0</xdr:rowOff>
        </xdr:to>
        <xdr:sp macro="" textlink="">
          <xdr:nvSpPr>
            <xdr:cNvPr id="2049" name="Group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45720" tIns="41148" rIns="0" bIns="0" anchor="t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产品名称选择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34</xdr:row>
          <xdr:rowOff>95250</xdr:rowOff>
        </xdr:from>
        <xdr:to>
          <xdr:col>12</xdr:col>
          <xdr:colOff>533400</xdr:colOff>
          <xdr:row>36</xdr:row>
          <xdr:rowOff>95250</xdr:rowOff>
        </xdr:to>
        <xdr:sp macro="" textlink="">
          <xdr:nvSpPr>
            <xdr:cNvPr id="2050" name="List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152401</xdr:colOff>
      <xdr:row>31</xdr:row>
      <xdr:rowOff>133350</xdr:rowOff>
    </xdr:from>
    <xdr:to>
      <xdr:col>13</xdr:col>
      <xdr:colOff>390526</xdr:colOff>
      <xdr:row>33</xdr:row>
      <xdr:rowOff>9525</xdr:rowOff>
    </xdr:to>
    <xdr:sp macro="" textlink="$J$28">
      <xdr:nvSpPr>
        <xdr:cNvPr id="3" name="文本框 2"/>
        <xdr:cNvSpPr txBox="1"/>
      </xdr:nvSpPr>
      <xdr:spPr>
        <a:xfrm>
          <a:off x="7966710" y="5645150"/>
          <a:ext cx="3827145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E4BB47-1EA7-4EAE-8467-9F7126C51741}" type="TxLink">
            <a:rPr lang="zh-CN" altLang="en-US" sz="1400" b="1" i="0" u="none" strike="noStrike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pPr/>
            <a:t>不同省份办公桌零售销售次数统计图</a:t>
          </a:fld>
          <a:endParaRPr lang="zh-CN" altLang="en-US" sz="1400" b="1"/>
        </a:p>
      </xdr:txBody>
    </xdr:sp>
    <xdr:clientData/>
  </xdr:twoCellAnchor>
  <xdr:twoCellAnchor>
    <xdr:from>
      <xdr:col>16</xdr:col>
      <xdr:colOff>295275</xdr:colOff>
      <xdr:row>4</xdr:row>
      <xdr:rowOff>171450</xdr:rowOff>
    </xdr:from>
    <xdr:to>
      <xdr:col>28</xdr:col>
      <xdr:colOff>126230</xdr:colOff>
      <xdr:row>28</xdr:row>
      <xdr:rowOff>158352</xdr:rowOff>
    </xdr:to>
    <xdr:sp macro="" textlink="">
      <xdr:nvSpPr>
        <xdr:cNvPr id="4" name="文本框 3"/>
        <xdr:cNvSpPr txBox="1"/>
      </xdr:nvSpPr>
      <xdr:spPr>
        <a:xfrm>
          <a:off x="13756005" y="882650"/>
          <a:ext cx="8060055" cy="4253865"/>
        </a:xfrm>
        <a:prstGeom prst="rect">
          <a:avLst/>
        </a:prstGeom>
        <a:solidFill>
          <a:srgbClr val="E2FFC5"/>
        </a:solidFill>
        <a:ln w="9525">
          <a:solidFill>
            <a:srgbClr val="000000"/>
          </a:solidFill>
          <a:miter lim="800000"/>
        </a:ln>
      </xdr:spPr>
      <xdr:txBody>
        <a:bodyPr vertOverflow="clip" horzOverflow="clip" wrap="square" lIns="27432" tIns="18288" rIns="0" bIns="0" rtlCol="0" anchor="t" upright="1"/>
        <a:lstStyle/>
        <a:p>
          <a:pPr algn="l" rtl="0">
            <a:lnSpc>
              <a:spcPct val="120000"/>
            </a:lnSpc>
            <a:spcBef>
              <a:spcPts val="600"/>
            </a:spcBef>
            <a:spcAft>
              <a:spcPts val="600"/>
            </a:spcAft>
          </a:pPr>
          <a:r>
            <a:rPr lang="zh-CN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第</a:t>
          </a:r>
          <a:r>
            <a:rPr lang="en-US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</a:t>
          </a:r>
          <a:r>
            <a:rPr lang="zh-CN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题</a:t>
          </a:r>
          <a:r>
            <a:rPr lang="en-US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(15</a:t>
          </a:r>
          <a:r>
            <a:rPr lang="zh-CN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分</a:t>
          </a:r>
          <a:r>
            <a:rPr lang="en-US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) 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根据本工作表数据，利用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数据库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函数及模拟运算表，计算各个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省份</a:t>
          </a:r>
          <a:r>
            <a:rPr lang="zh-CN" altLang="zh-CN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净销售额总计额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zh-CN" altLang="zh-CN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销售总次数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。创建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一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个列表框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一个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选项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框组控件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及复选控件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且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绘制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样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图所示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的柱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形图图形。</a:t>
          </a:r>
          <a:r>
            <a:rPr lang="zh-CN" altLang="en-US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要求根据数据从大到小排列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，并显示相应数值</a:t>
          </a:r>
          <a:r>
            <a:rPr lang="en-US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.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通过列表框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选择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相应内容后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，在条形图形中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显示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图表标题也作相应变化，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结果如下图所示。说明：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样图中数据仅供参考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en-US" altLang="zh-CN" sz="1200" b="0" i="0" kern="1600" baseline="0"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algn="l" rtl="0">
            <a:lnSpc>
              <a:spcPct val="120000"/>
            </a:lnSpc>
            <a:spcBef>
              <a:spcPts val="600"/>
            </a:spcBef>
            <a:spcAft>
              <a:spcPts val="600"/>
            </a:spcAft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34</xdr:row>
          <xdr:rowOff>38100</xdr:rowOff>
        </xdr:from>
        <xdr:to>
          <xdr:col>11</xdr:col>
          <xdr:colOff>57150</xdr:colOff>
          <xdr:row>35</xdr:row>
          <xdr:rowOff>142875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是否零售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35</xdr:row>
          <xdr:rowOff>95250</xdr:rowOff>
        </xdr:from>
        <xdr:to>
          <xdr:col>14</xdr:col>
          <xdr:colOff>504825</xdr:colOff>
          <xdr:row>37</xdr:row>
          <xdr:rowOff>9525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36</xdr:row>
          <xdr:rowOff>152400</xdr:rowOff>
        </xdr:from>
        <xdr:to>
          <xdr:col>14</xdr:col>
          <xdr:colOff>542925</xdr:colOff>
          <xdr:row>38</xdr:row>
          <xdr:rowOff>66675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办公桌配件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304800</xdr:colOff>
          <xdr:row>38</xdr:row>
          <xdr:rowOff>19050</xdr:rowOff>
        </xdr:from>
        <xdr:to>
          <xdr:col>14</xdr:col>
          <xdr:colOff>600075</xdr:colOff>
          <xdr:row>39</xdr:row>
          <xdr:rowOff>114300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办公桌装饰摆件</a:t>
              </a:r>
            </a:p>
          </xdr:txBody>
        </xdr:sp>
        <xdr:clientData/>
      </xdr:twoCellAnchor>
    </mc:Choice>
    <mc:Fallback/>
  </mc:AlternateContent>
  <xdr:twoCellAnchor editAs="oneCell">
    <xdr:from>
      <xdr:col>18</xdr:col>
      <xdr:colOff>404813</xdr:colOff>
      <xdr:row>11</xdr:row>
      <xdr:rowOff>4763</xdr:rowOff>
    </xdr:from>
    <xdr:to>
      <xdr:col>26</xdr:col>
      <xdr:colOff>192723</xdr:colOff>
      <xdr:row>27</xdr:row>
      <xdr:rowOff>46355</xdr:rowOff>
    </xdr:to>
    <xdr:pic>
      <xdr:nvPicPr>
        <xdr:cNvPr id="5" name="图片 4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8038" y="1943101"/>
          <a:ext cx="4931410" cy="28609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19050</xdr:rowOff>
    </xdr:from>
    <xdr:to>
      <xdr:col>11</xdr:col>
      <xdr:colOff>295275</xdr:colOff>
      <xdr:row>23</xdr:row>
      <xdr:rowOff>19051</xdr:rowOff>
    </xdr:to>
    <xdr:sp macro="" textlink="">
      <xdr:nvSpPr>
        <xdr:cNvPr id="2" name="文本框 1"/>
        <xdr:cNvSpPr txBox="1"/>
      </xdr:nvSpPr>
      <xdr:spPr>
        <a:xfrm>
          <a:off x="6814185" y="2857500"/>
          <a:ext cx="4570095" cy="1244600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题（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10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分）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A1:B37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单元格中是某公司某产品近三年的月度销售金额汇总值，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此产品的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这个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并且具有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明显的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月度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季节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波动影响，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请你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</a:t>
          </a:r>
          <a:r>
            <a:rPr lang="zh-CN" altLang="zh-CN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来预测未来一年各月的销售金额，并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以年月为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轴绘制销售金额和销售金额预测值的折线图。</a:t>
          </a:r>
          <a:endParaRPr lang="zh-CN" altLang="zh-CN" sz="12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28575</xdr:colOff>
      <xdr:row>24</xdr:row>
      <xdr:rowOff>19050</xdr:rowOff>
    </xdr:from>
    <xdr:to>
      <xdr:col>11</xdr:col>
      <xdr:colOff>323850</xdr:colOff>
      <xdr:row>39</xdr:row>
      <xdr:rowOff>47625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0</xdr:row>
      <xdr:rowOff>53340</xdr:rowOff>
    </xdr:from>
    <xdr:to>
      <xdr:col>10</xdr:col>
      <xdr:colOff>426720</xdr:colOff>
      <xdr:row>5</xdr:row>
      <xdr:rowOff>137160</xdr:rowOff>
    </xdr:to>
    <xdr:sp macro="" textlink="">
      <xdr:nvSpPr>
        <xdr:cNvPr id="2" name="文本框 1"/>
        <xdr:cNvSpPr txBox="1"/>
      </xdr:nvSpPr>
      <xdr:spPr>
        <a:xfrm>
          <a:off x="3573780" y="53340"/>
          <a:ext cx="5358765" cy="97282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解释为什么选择该方程：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因为该方程的调整后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平方值最高，解释性最强。</a:t>
          </a:r>
          <a:endParaRPr lang="zh-CN" altLang="zh-CN">
            <a:effectLst/>
          </a:endParaRPr>
        </a:p>
        <a:p>
          <a:endParaRPr lang="zh-CN" altLang="zh-CN">
            <a:effectLst/>
          </a:endParaRPr>
        </a:p>
      </xdr:txBody>
    </xdr:sp>
    <xdr:clientData/>
  </xdr:twoCellAnchor>
  <xdr:twoCellAnchor>
    <xdr:from>
      <xdr:col>8</xdr:col>
      <xdr:colOff>351989</xdr:colOff>
      <xdr:row>8</xdr:row>
      <xdr:rowOff>75457</xdr:rowOff>
    </xdr:from>
    <xdr:to>
      <xdr:col>13</xdr:col>
      <xdr:colOff>322776</xdr:colOff>
      <xdr:row>20</xdr:row>
      <xdr:rowOff>114300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534352</xdr:colOff>
      <xdr:row>13</xdr:row>
      <xdr:rowOff>157162</xdr:rowOff>
    </xdr:from>
    <xdr:to>
      <xdr:col>19</xdr:col>
      <xdr:colOff>99060</xdr:colOff>
      <xdr:row>24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588645</xdr:colOff>
      <xdr:row>36</xdr:row>
      <xdr:rowOff>8573</xdr:rowOff>
    </xdr:from>
    <xdr:to>
      <xdr:col>19</xdr:col>
      <xdr:colOff>148591</xdr:colOff>
      <xdr:row>47</xdr:row>
      <xdr:rowOff>145733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629602</xdr:colOff>
      <xdr:row>24</xdr:row>
      <xdr:rowOff>28575</xdr:rowOff>
    </xdr:from>
    <xdr:to>
      <xdr:col>18</xdr:col>
      <xdr:colOff>627697</xdr:colOff>
      <xdr:row>35</xdr:row>
      <xdr:rowOff>120015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800" y="50800"/>
          <a:ext cx="4457700" cy="25222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 b="1">
              <a:latin typeface="宋体" panose="02010600030101010101" pitchFamily="7" charset="-122"/>
              <a:ea typeface="宋体" panose="02010600030101010101" pitchFamily="7" charset="-122"/>
            </a:rPr>
            <a:t>第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5</a:t>
          </a:r>
          <a:r>
            <a:rPr lang="zh-CN" altLang="en-US" sz="1100" b="1">
              <a:latin typeface="宋体" panose="02010600030101010101" pitchFamily="7" charset="-122"/>
              <a:ea typeface="宋体" panose="02010600030101010101" pitchFamily="7" charset="-122"/>
            </a:rPr>
            <a:t>题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（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9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分） 一菌菇种植农场，发现某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菌菇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的单位产量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Y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可能和平均温度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、湿度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、营养液浓度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X3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有关。他们收集了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20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批次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菌菇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种植的相关数据，放在单元格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A1:D21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。如果某批次蘑菇种植时的温度、湿度、浓度</a:t>
          </a:r>
          <a:r>
            <a:rPr lang="zh-CN" altLang="en-US" sz="110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分别为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为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31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75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30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，请使用</a:t>
          </a:r>
          <a:r>
            <a:rPr lang="zh-CN" altLang="en-US" sz="1100" b="1">
              <a:solidFill>
                <a:srgbClr val="C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多元线性回归模型</a:t>
          </a:r>
          <a:r>
            <a:rPr lang="zh-CN" altLang="en-US" sz="1100" b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，对产量进行估计。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要求：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、请绘制散点图，观察数据变化规律；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、请使用</a:t>
          </a:r>
          <a:r>
            <a:rPr lang="zh-CN" altLang="en-US" sz="1100">
              <a:solidFill>
                <a:srgbClr val="C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向前增选法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，找到多元线性回归方程，确定其参数；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3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、在黄色文本框解释为什么使用该方程；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4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、在单元格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H8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，用第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步得到的方程计算产量预测值。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</xdr:colOff>
      <xdr:row>14</xdr:row>
      <xdr:rowOff>57150</xdr:rowOff>
    </xdr:from>
    <xdr:to>
      <xdr:col>5</xdr:col>
      <xdr:colOff>609600</xdr:colOff>
      <xdr:row>32</xdr:row>
      <xdr:rowOff>161926</xdr:rowOff>
    </xdr:to>
    <xdr:grpSp>
      <xdr:nvGrpSpPr>
        <xdr:cNvPr id="2" name="组合 1"/>
        <xdr:cNvGrpSpPr/>
      </xdr:nvGrpSpPr>
      <xdr:grpSpPr>
        <a:xfrm>
          <a:off x="154306" y="2819400"/>
          <a:ext cx="4936807" cy="3552826"/>
          <a:chOff x="209551" y="3028950"/>
          <a:chExt cx="5667374" cy="3533776"/>
        </a:xfrm>
      </xdr:grpSpPr>
      <xdr:graphicFrame macro="">
        <xdr:nvGraphicFramePr>
          <xdr:cNvPr id="3" name="图表 2"/>
          <xdr:cNvGraphicFramePr/>
        </xdr:nvGraphicFramePr>
        <xdr:xfrm>
          <a:off x="209551" y="3028950"/>
          <a:ext cx="5667374" cy="35337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69" name="Spinner 1" hidden="1">
                <a:extLst>
                  <a:ext uri="{63B3BB69-23CF-44E3-9099-C40C66FF867C}">
                    <a14:compatExt spid="_x0000_s7169"/>
                  </a:ext>
                </a:extLst>
              </xdr:cNvPr>
              <xdr:cNvSpPr/>
            </xdr:nvSpPr>
            <xdr:spPr bwMode="auto">
              <a:xfrm>
                <a:off x="2638425" y="3267075"/>
                <a:ext cx="333376" cy="3905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$B$13">
        <xdr:nvSpPr>
          <xdr:cNvPr id="4" name="TextBox 4"/>
          <xdr:cNvSpPr txBox="1"/>
        </xdr:nvSpPr>
        <xdr:spPr>
          <a:xfrm>
            <a:off x="2979916" y="3252812"/>
            <a:ext cx="2202665" cy="409575"/>
          </a:xfrm>
          <a:prstGeom prst="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E345244-86C3-45B4-AF9C-5B4BDD104C2C}" type="TxLink">
              <a:rPr lang="zh-CN" altLang="en-US" sz="1200"/>
              <a:pPr algn="ctr"/>
              <a:t>工厂B固定成本=50000</a:t>
            </a:fld>
            <a:endParaRPr lang="zh-CN" altLang="en-US" sz="1200"/>
          </a:p>
        </xdr:txBody>
      </xdr:sp>
    </xdr:grpSp>
    <xdr:clientData/>
  </xdr:twoCellAnchor>
  <xdr:twoCellAnchor>
    <xdr:from>
      <xdr:col>10</xdr:col>
      <xdr:colOff>28575</xdr:colOff>
      <xdr:row>5</xdr:row>
      <xdr:rowOff>152400</xdr:rowOff>
    </xdr:from>
    <xdr:to>
      <xdr:col>15</xdr:col>
      <xdr:colOff>485775</xdr:colOff>
      <xdr:row>44</xdr:row>
      <xdr:rowOff>133350</xdr:rowOff>
    </xdr:to>
    <xdr:grpSp>
      <xdr:nvGrpSpPr>
        <xdr:cNvPr id="5" name="组合 4"/>
        <xdr:cNvGrpSpPr/>
      </xdr:nvGrpSpPr>
      <xdr:grpSpPr>
        <a:xfrm>
          <a:off x="8391525" y="1143000"/>
          <a:ext cx="6005513" cy="7486650"/>
          <a:chOff x="7581900" y="2105025"/>
          <a:chExt cx="6905625" cy="7410450"/>
        </a:xfrm>
      </xdr:grpSpPr>
      <xdr:sp macro="" textlink="">
        <xdr:nvSpPr>
          <xdr:cNvPr id="6" name="TextBox 8"/>
          <xdr:cNvSpPr txBox="1"/>
        </xdr:nvSpPr>
        <xdr:spPr>
          <a:xfrm>
            <a:off x="7581900" y="2105025"/>
            <a:ext cx="6905625" cy="7410450"/>
          </a:xfrm>
          <a:prstGeom prst="rect">
            <a:avLst/>
          </a:prstGeom>
          <a:solidFill>
            <a:srgbClr val="FFCCC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6</a:t>
            </a:r>
            <a:r>
              <a:rPr lang="zh-CN" altLang="en-US" sz="1200" b="1"/>
              <a:t>题（</a:t>
            </a:r>
            <a:r>
              <a:rPr lang="en-US" altLang="zh-CN" sz="1200" b="1"/>
              <a:t>12</a:t>
            </a:r>
            <a:r>
              <a:rPr lang="zh-CN" altLang="en-US" sz="1200" b="1"/>
              <a:t>分）  </a:t>
            </a:r>
            <a:r>
              <a:rPr lang="zh-CN" altLang="en-US" sz="1200"/>
              <a:t>某产品可以由工厂</a:t>
            </a:r>
            <a:r>
              <a:rPr lang="en-US" altLang="zh-CN" sz="1200"/>
              <a:t>A</a:t>
            </a:r>
            <a:r>
              <a:rPr lang="zh-CN" altLang="en-US" sz="1200"/>
              <a:t>或工厂</a:t>
            </a:r>
            <a:r>
              <a:rPr lang="en-US" altLang="zh-CN" sz="1200"/>
              <a:t>B</a:t>
            </a:r>
            <a:r>
              <a:rPr lang="zh-CN" altLang="en-US" sz="1200"/>
              <a:t>生产。工厂</a:t>
            </a:r>
            <a:r>
              <a:rPr lang="en-US" altLang="zh-CN" sz="1200"/>
              <a:t>A</a:t>
            </a:r>
            <a:r>
              <a:rPr lang="zh-CN" altLang="en-US" sz="1200"/>
              <a:t>和工厂</a:t>
            </a:r>
            <a:r>
              <a:rPr lang="en-US" altLang="zh-CN" sz="1200"/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的固定成本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元和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200"/>
              <a:t>当前生产量为</a:t>
            </a:r>
            <a:r>
              <a:rPr lang="en-US" altLang="zh-CN" sz="1200"/>
              <a:t>3000</a:t>
            </a:r>
            <a:r>
              <a:rPr lang="zh-CN" altLang="en-US" sz="1200"/>
              <a:t>，各工厂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产品的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单位可变成本与生产量的关系如下表所示：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/>
              <a:t>1</a:t>
            </a:r>
            <a:r>
              <a:rPr lang="zh-CN" altLang="en-US" sz="1200"/>
              <a:t>、计算两工厂各自的总成本。</a:t>
            </a:r>
          </a:p>
          <a:p>
            <a:r>
              <a:rPr lang="en-US" altLang="zh-CN" sz="1200"/>
              <a:t>2</a:t>
            </a:r>
            <a:r>
              <a:rPr lang="zh-CN" altLang="en-US" sz="1200"/>
              <a:t>、计算两工厂的相对盈亏平衡点和相对盈亏平衡点处的成本。</a:t>
            </a:r>
          </a:p>
          <a:p>
            <a:r>
              <a:rPr lang="en-US" altLang="zh-CN" sz="1200"/>
              <a:t>3</a:t>
            </a:r>
            <a:r>
              <a:rPr lang="zh-CN" altLang="en-US" sz="1200"/>
              <a:t>、绘制如样图所示的成本随生产量变化图表，并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在图中工厂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和工厂 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相对盈亏平衡点处添加一条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大红色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垂直参考线 。</a:t>
            </a:r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zh-CN" altLang="en-US" sz="1200"/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4</a:t>
            </a:r>
            <a:r>
              <a:rPr lang="zh-CN" altLang="en-US" sz="1200" baseline="0"/>
              <a:t>、在图中绘制当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固定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时的 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和工厂 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的的相对盈亏平衡点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（用红色空心点子表示）。</a:t>
            </a:r>
            <a:endParaRPr lang="en-US" altLang="zh-CN" sz="1200" baseline="0"/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200" baseline="0"/>
              <a:t> 5</a:t>
            </a:r>
            <a:r>
              <a:rPr lang="zh-CN" altLang="en-US" sz="1200" baseline="0"/>
              <a:t>、在图中</a:t>
            </a:r>
            <a:r>
              <a:rPr lang="zh-CN" altLang="en-US" sz="1200"/>
              <a:t>添加一个微调项，使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固定成本</a:t>
            </a:r>
            <a:r>
              <a:rPr lang="zh-CN" altLang="en-US" sz="1200"/>
              <a:t>从</a:t>
            </a:r>
            <a:r>
              <a:rPr lang="en-US" altLang="zh-CN" sz="1200"/>
              <a:t>40000</a:t>
            </a:r>
            <a:r>
              <a:rPr lang="zh-CN" altLang="en-US" sz="1200"/>
              <a:t>按步长</a:t>
            </a:r>
            <a:r>
              <a:rPr lang="en-US" altLang="zh-CN" sz="1200"/>
              <a:t>5000</a:t>
            </a:r>
            <a:r>
              <a:rPr lang="zh-CN" altLang="en-US" sz="1200"/>
              <a:t>变化到</a:t>
            </a:r>
            <a:r>
              <a:rPr lang="en-US" altLang="zh-CN" sz="1200"/>
              <a:t>60000</a:t>
            </a:r>
            <a:r>
              <a:rPr lang="zh-CN" altLang="en-US" sz="1200"/>
              <a:t>，图表能反映出两个工厂各自的成本线以及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当前相对盈亏平衡点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参考线的变化</a:t>
            </a:r>
            <a:r>
              <a:rPr lang="zh-CN" altLang="en-US" sz="1200"/>
              <a:t>。</a:t>
            </a:r>
            <a:endParaRPr lang="zh-CN" altLang="zh-CN" sz="1200">
              <a:effectLst/>
            </a:endParaRPr>
          </a:p>
        </xdr:txBody>
      </xdr:sp>
      <xdr:pic>
        <xdr:nvPicPr>
          <xdr:cNvPr id="7" name="图片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43925" y="2638425"/>
            <a:ext cx="4972050" cy="952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图片 7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179589" y="4707168"/>
            <a:ext cx="5752381" cy="3139466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442912</xdr:colOff>
      <xdr:row>11</xdr:row>
      <xdr:rowOff>9525</xdr:rowOff>
    </xdr:from>
    <xdr:to>
      <xdr:col>24</xdr:col>
      <xdr:colOff>214312</xdr:colOff>
      <xdr:row>26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633412</xdr:colOff>
      <xdr:row>33</xdr:row>
      <xdr:rowOff>71437</xdr:rowOff>
    </xdr:from>
    <xdr:to>
      <xdr:col>22</xdr:col>
      <xdr:colOff>571500</xdr:colOff>
      <xdr:row>55</xdr:row>
      <xdr:rowOff>52387</xdr:rowOff>
    </xdr:to>
    <xdr:grpSp>
      <xdr:nvGrpSpPr>
        <xdr:cNvPr id="3" name="组合 2"/>
        <xdr:cNvGrpSpPr/>
      </xdr:nvGrpSpPr>
      <xdr:grpSpPr>
        <a:xfrm>
          <a:off x="10582275" y="5886450"/>
          <a:ext cx="5081588" cy="3857625"/>
          <a:chOff x="333375" y="3409950"/>
          <a:chExt cx="5308687" cy="3790950"/>
        </a:xfrm>
      </xdr:grpSpPr>
      <xdr:sp macro="" textlink="">
        <xdr:nvSpPr>
          <xdr:cNvPr id="4" name="TextBox 2"/>
          <xdr:cNvSpPr txBox="1"/>
        </xdr:nvSpPr>
        <xdr:spPr>
          <a:xfrm>
            <a:off x="333375" y="3409950"/>
            <a:ext cx="5308687" cy="379095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7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某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公司生产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一种产品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每天每班产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250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客户每天的需求量是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件，当低于安全库存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第二天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进行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加班生产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，产品的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单位储存成本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0.8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元，单位生产成本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3.5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每天未满足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需求都将丢失，单位丢失成本为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假定初始库存量为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件，请：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模拟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计算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220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天内每天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的库存变化与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丢失量、储存成本（期初加期末库存量的平均值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单位储存成本）、丢失成本与加工成本；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、计算当产量为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200-350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，步长为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时，对应的最低成本与最优产量。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、安全库存为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30,40,50,60,70,80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时，安全库存对准时供货的影响，如下图所示。</a:t>
            </a:r>
            <a:endParaRPr lang="zh-CN" altLang="zh-CN">
              <a:effectLst/>
            </a:endParaRPr>
          </a:p>
          <a:p>
            <a:endParaRPr lang="zh-CN" altLang="en-US" sz="1100"/>
          </a:p>
        </xdr:txBody>
      </xdr:sp>
      <xdr:pic>
        <xdr:nvPicPr>
          <xdr:cNvPr id="5" name="图片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21904" y="4969675"/>
            <a:ext cx="3934056" cy="217038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25</xdr:row>
      <xdr:rowOff>6350</xdr:rowOff>
    </xdr:from>
    <xdr:to>
      <xdr:col>4</xdr:col>
      <xdr:colOff>622300</xdr:colOff>
      <xdr:row>36</xdr:row>
      <xdr:rowOff>120650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404812</xdr:colOff>
      <xdr:row>2</xdr:row>
      <xdr:rowOff>95250</xdr:rowOff>
    </xdr:from>
    <xdr:to>
      <xdr:col>25</xdr:col>
      <xdr:colOff>55562</xdr:colOff>
      <xdr:row>27</xdr:row>
      <xdr:rowOff>119062</xdr:rowOff>
    </xdr:to>
    <xdr:grpSp>
      <xdr:nvGrpSpPr>
        <xdr:cNvPr id="3" name="组合 2"/>
        <xdr:cNvGrpSpPr/>
      </xdr:nvGrpSpPr>
      <xdr:grpSpPr>
        <a:xfrm>
          <a:off x="10091737" y="447675"/>
          <a:ext cx="6723063" cy="4429125"/>
          <a:chOff x="4413250" y="1041400"/>
          <a:chExt cx="6965950" cy="4470400"/>
        </a:xfrm>
      </xdr:grpSpPr>
      <xdr:sp macro="" textlink="">
        <xdr:nvSpPr>
          <xdr:cNvPr id="4" name="Text Box 2"/>
          <xdr:cNvSpPr txBox="1">
            <a:spLocks noChangeArrowheads="1"/>
          </xdr:cNvSpPr>
        </xdr:nvSpPr>
        <xdr:spPr>
          <a:xfrm>
            <a:off x="4413250" y="1041400"/>
            <a:ext cx="6965950" cy="4470400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strike="noStrike">
                <a:solidFill>
                  <a:srgbClr val="000000"/>
                </a:solidFill>
                <a:latin typeface="+mn-ea"/>
                <a:ea typeface="+mn-ea"/>
              </a:rPr>
              <a:t>8</a:t>
            </a: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题（</a:t>
            </a:r>
            <a:r>
              <a:rPr lang="en-US" altLang="zh-CN" sz="1100" b="1" i="0" strike="noStrike">
                <a:solidFill>
                  <a:srgbClr val="000000"/>
                </a:solidFill>
                <a:latin typeface="+mn-ea"/>
                <a:ea typeface="+mn-ea"/>
              </a:rPr>
              <a:t>14</a:t>
            </a: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分）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  <a:cs typeface="Times New Roman" panose="02020603050405020304" pitchFamily="12"/>
              </a:rPr>
              <a:t> 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  <a:cs typeface="Times New Roman" panose="02020603050405020304" pitchFamily="12"/>
            </a:endParaRPr>
          </a:p>
          <a:p>
            <a:pPr algn="l" rtl="0">
              <a:defRPr sz="1000"/>
            </a:pP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某企业拟进行新产品投资，初始投资额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万，项目期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年，贴现率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5%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。项目投入运营后，第一年销售数量为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万件，以后几年销量的增长率是一个离散分布的随机数，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单价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380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元，单位变动成本是均值为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元、标准差为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元的正态分布随机数，年固定成本均为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600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万元。要求：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年里该项目的利润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2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、计算该项目的投资评价净现值。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、对投资净现值进行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次模拟。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次模拟后的最大值、最小值，进行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20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等分，计算每一等分段的间隔长度，根据分段统计净现值发生的累计概率，并做出如下所示图形。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marL="0" marR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000"/>
            </a:pPr>
            <a:endParaRPr lang="zh-CN" altLang="en-US" sz="11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pic>
        <xdr:nvPicPr>
          <xdr:cNvPr id="5" name="图片 4"/>
          <xdr:cNvPicPr/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5473700" y="3219450"/>
            <a:ext cx="4023995" cy="2084705"/>
          </a:xfrm>
          <a:prstGeom prst="rect">
            <a:avLst/>
          </a:prstGeom>
          <a:noFill/>
        </xdr:spPr>
      </xdr:pic>
      <xdr:pic>
        <xdr:nvPicPr>
          <xdr:cNvPr id="6" name="图片 5"/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5829300" y="1625600"/>
            <a:ext cx="2647950" cy="35941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224790</xdr:colOff>
      <xdr:row>0</xdr:row>
      <xdr:rowOff>173990</xdr:rowOff>
    </xdr:from>
    <xdr:to>
      <xdr:col>14</xdr:col>
      <xdr:colOff>416560</xdr:colOff>
      <xdr:row>13</xdr:row>
      <xdr:rowOff>101600</xdr:rowOff>
    </xdr:to>
    <xdr:sp macro="" textlink="">
      <xdr:nvSpPr>
        <xdr:cNvPr id="2" name="文本框 1"/>
        <xdr:cNvSpPr txBox="1"/>
      </xdr:nvSpPr>
      <xdr:spPr>
        <a:xfrm>
          <a:off x="6725285" y="173990"/>
          <a:ext cx="4930140" cy="2239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分）某医院每天各时间段至少需要配备护理人员数量如下表。假定每人上班后连续工作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小时，试建立使总人数最少的计划安排模型。将规划求解模型保存在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开始的单元格。 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zh-CN" altLang="zh-CN" sz="1200">
            <a:effectLst/>
          </a:endParaRPr>
        </a:p>
      </xdr:txBody>
    </xdr:sp>
    <xdr:clientData/>
  </xdr:twoCellAnchor>
  <xdr:twoCellAnchor editAs="oneCell">
    <xdr:from>
      <xdr:col>7</xdr:col>
      <xdr:colOff>420054</xdr:colOff>
      <xdr:row>5</xdr:row>
      <xdr:rowOff>58103</xdr:rowOff>
    </xdr:from>
    <xdr:to>
      <xdr:col>14</xdr:col>
      <xdr:colOff>144463</xdr:colOff>
      <xdr:row>12</xdr:row>
      <xdr:rowOff>65956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1292" y="915353"/>
          <a:ext cx="4158296" cy="12080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745;&#31639;&#26426;&#24212;&#29992;\&#35745;&#31639;&#26426;&#24212;&#29992;JX\&#26399;&#26411;&#32771;&#35797;&#20986;&#39064;\&#26399;&#26411;&#32771;&#35797;&#21367;-&#31532;2&#39064;\&#26399;&#26411;&#32771;&#35797;&#21367;-&#31532;2&#39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2题-1-题目"/>
      <sheetName val="第2题-1-答案"/>
      <sheetName val="第2题-2-题目"/>
      <sheetName val="第2题-2-答案"/>
      <sheetName val="第2题-3-题目 "/>
      <sheetName val="第2题-3-答案"/>
      <sheetName val="第2题-4-题目"/>
      <sheetName val="第2题-4-答案"/>
      <sheetName val="第2题-补考-题目"/>
      <sheetName val="第2题-补考-答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H9" t="str">
            <v>工厂A成本</v>
          </cell>
          <cell r="I9" t="str">
            <v>工厂B成本</v>
          </cell>
        </row>
        <row r="11">
          <cell r="G11">
            <v>0</v>
          </cell>
          <cell r="H11">
            <v>30000</v>
          </cell>
          <cell r="I11">
            <v>50000</v>
          </cell>
        </row>
        <row r="12">
          <cell r="G12">
            <v>2999.9989999999998</v>
          </cell>
          <cell r="H12">
            <v>179999.95</v>
          </cell>
          <cell r="I12">
            <v>154999.965</v>
          </cell>
        </row>
        <row r="13">
          <cell r="G13">
            <v>3000</v>
          </cell>
          <cell r="H13">
            <v>159000</v>
          </cell>
          <cell r="I13">
            <v>131000</v>
          </cell>
        </row>
        <row r="14">
          <cell r="G14">
            <v>3999.9989999999998</v>
          </cell>
          <cell r="H14">
            <v>201999.95699999999</v>
          </cell>
          <cell r="I14">
            <v>157999.973</v>
          </cell>
        </row>
        <row r="15">
          <cell r="G15">
            <v>4000</v>
          </cell>
          <cell r="H15">
            <v>150000</v>
          </cell>
          <cell r="I15">
            <v>130000</v>
          </cell>
        </row>
        <row r="16">
          <cell r="G16">
            <v>6000</v>
          </cell>
          <cell r="H16">
            <v>210000</v>
          </cell>
          <cell r="I16">
            <v>170000</v>
          </cell>
        </row>
        <row r="22">
          <cell r="H22">
            <v>666.66666666666697</v>
          </cell>
          <cell r="I22">
            <v>63333.333333333299</v>
          </cell>
        </row>
        <row r="23">
          <cell r="H23">
            <v>1000</v>
          </cell>
          <cell r="I23">
            <v>80000</v>
          </cell>
        </row>
        <row r="24">
          <cell r="H24">
            <v>1333.3333333333301</v>
          </cell>
          <cell r="I24">
            <v>96666.666666666701</v>
          </cell>
        </row>
        <row r="25">
          <cell r="H25">
            <v>1666.6666666666699</v>
          </cell>
          <cell r="I25">
            <v>113333.33333333299</v>
          </cell>
        </row>
        <row r="26">
          <cell r="H26">
            <v>2000</v>
          </cell>
          <cell r="I26">
            <v>130000</v>
          </cell>
        </row>
        <row r="29">
          <cell r="G29">
            <v>1333.3333333333301</v>
          </cell>
          <cell r="H29">
            <v>240000</v>
          </cell>
        </row>
        <row r="30">
          <cell r="G30">
            <v>1333.3333333333301</v>
          </cell>
          <cell r="H30">
            <v>96666.666666666701</v>
          </cell>
        </row>
        <row r="31">
          <cell r="G31">
            <v>1333.3333333333301</v>
          </cell>
          <cell r="H31">
            <v>30000</v>
          </cell>
        </row>
      </sheetData>
      <sheetData sheetId="8" refreshError="1"/>
      <sheetData sheetId="9" refreshError="1"/>
    </sheetDataSet>
  </externalBook>
</externalLink>
</file>

<file path=xl/queryTables/queryTable1.xml><?xml version="1.0" encoding="utf-8"?>
<queryTable xmlns="http://schemas.openxmlformats.org/spreadsheetml/2006/main" name="查询来自 MS Access Database" connectionId="1" autoFormatId="16" applyNumberFormats="0" applyBorderFormats="0" applyFontFormats="1" applyPatternFormats="1" applyAlignmentFormats="0" applyWidthHeightFormats="0">
  <queryTableRefresh nextId="5">
    <queryTableFields count="4">
      <queryTableField id="1" name="'雇员姓名'" tableColumnId="1"/>
      <queryTableField id="2" name="订单ID" tableColumnId="2"/>
      <queryTableField id="3" name="产品名称" tableColumnId="3"/>
      <queryTableField id="4" name="数量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_查询来自_MS_Access_Database3" displayName="表_查询来自_MS_Access_Database3" ref="A1:D8" tableType="queryTable" totalsRowShown="0">
  <autoFilter ref="A1:D8"/>
  <tableColumns count="4">
    <tableColumn id="1" uniqueName="1" name="'雇员姓名'" queryTableFieldId="1"/>
    <tableColumn id="2" uniqueName="2" name="订单ID" queryTableFieldId="2"/>
    <tableColumn id="3" uniqueName="3" name="产品名称" queryTableFieldId="3"/>
    <tableColumn id="4" uniqueName="4" name="数量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10" sqref="F10"/>
    </sheetView>
  </sheetViews>
  <sheetFormatPr defaultColWidth="9" defaultRowHeight="13.9"/>
  <cols>
    <col min="1" max="1" width="12" customWidth="1"/>
    <col min="2" max="2" width="9.1328125" customWidth="1"/>
    <col min="3" max="3" width="11" customWidth="1"/>
    <col min="4" max="4" width="7.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10644</v>
      </c>
      <c r="C2" t="s">
        <v>5</v>
      </c>
      <c r="D2">
        <v>20</v>
      </c>
    </row>
    <row r="3" spans="1:4">
      <c r="A3" t="s">
        <v>6</v>
      </c>
      <c r="B3">
        <v>10643</v>
      </c>
      <c r="C3" t="s">
        <v>7</v>
      </c>
      <c r="D3">
        <v>21</v>
      </c>
    </row>
    <row r="4" spans="1:4">
      <c r="A4" t="s">
        <v>8</v>
      </c>
      <c r="B4">
        <v>10646</v>
      </c>
      <c r="C4" t="s">
        <v>9</v>
      </c>
      <c r="D4">
        <v>15</v>
      </c>
    </row>
    <row r="5" spans="1:4">
      <c r="A5" t="s">
        <v>10</v>
      </c>
      <c r="B5">
        <v>10648</v>
      </c>
      <c r="C5" t="s">
        <v>11</v>
      </c>
      <c r="D5">
        <v>15</v>
      </c>
    </row>
    <row r="6" spans="1:4">
      <c r="A6" t="s">
        <v>12</v>
      </c>
      <c r="B6">
        <v>10640</v>
      </c>
      <c r="C6" t="s">
        <v>13</v>
      </c>
      <c r="D6">
        <v>15</v>
      </c>
    </row>
    <row r="7" spans="1:4">
      <c r="A7" t="s">
        <v>12</v>
      </c>
      <c r="B7">
        <v>10641</v>
      </c>
      <c r="C7" t="s">
        <v>14</v>
      </c>
      <c r="D7">
        <v>50</v>
      </c>
    </row>
    <row r="8" spans="1:4">
      <c r="A8" t="s">
        <v>12</v>
      </c>
      <c r="B8">
        <v>10647</v>
      </c>
      <c r="C8" t="s">
        <v>7</v>
      </c>
      <c r="D8">
        <v>20</v>
      </c>
    </row>
  </sheetData>
  <phoneticPr fontId="2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ColWidth="9" defaultRowHeight="13.9"/>
  <cols>
    <col min="3" max="3" width="12.73046875" customWidth="1"/>
    <col min="6" max="6" width="10.1328125" customWidth="1"/>
    <col min="7" max="7" width="14.3984375" customWidth="1"/>
    <col min="8" max="8" width="17.1328125" customWidth="1"/>
  </cols>
  <sheetData/>
  <phoneticPr fontId="2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784"/>
  <sheetViews>
    <sheetView topLeftCell="E16" workbookViewId="0">
      <selection activeCell="I5" sqref="I5"/>
    </sheetView>
  </sheetViews>
  <sheetFormatPr defaultColWidth="9" defaultRowHeight="13.9"/>
  <cols>
    <col min="1" max="1" width="13.86328125" customWidth="1"/>
    <col min="4" max="4" width="17" customWidth="1"/>
    <col min="5" max="5" width="13.59765625" customWidth="1"/>
    <col min="9" max="9" width="19.59765625" customWidth="1"/>
    <col min="10" max="10" width="15.86328125" customWidth="1"/>
    <col min="11" max="11" width="12.86328125" bestFit="1" customWidth="1"/>
    <col min="12" max="12" width="13.265625" customWidth="1"/>
  </cols>
  <sheetData>
    <row r="1" spans="1:11">
      <c r="A1" t="s">
        <v>15</v>
      </c>
      <c r="B1" t="s">
        <v>16</v>
      </c>
      <c r="C1" t="s">
        <v>17</v>
      </c>
      <c r="D1" t="s">
        <v>2</v>
      </c>
      <c r="E1" t="s">
        <v>18</v>
      </c>
      <c r="F1" t="s">
        <v>19</v>
      </c>
    </row>
    <row r="2" spans="1:11">
      <c r="A2" s="83">
        <v>43525</v>
      </c>
      <c r="B2" t="s">
        <v>20</v>
      </c>
      <c r="C2" t="s">
        <v>21</v>
      </c>
      <c r="D2" t="s">
        <v>22</v>
      </c>
      <c r="E2">
        <v>287</v>
      </c>
      <c r="F2">
        <f>LEN(D2)</f>
        <v>7</v>
      </c>
    </row>
    <row r="3" spans="1:11">
      <c r="A3" s="83">
        <v>43525</v>
      </c>
      <c r="B3" t="s">
        <v>20</v>
      </c>
      <c r="C3" t="s">
        <v>21</v>
      </c>
      <c r="D3" t="s">
        <v>23</v>
      </c>
      <c r="E3">
        <v>594</v>
      </c>
      <c r="F3">
        <f t="shared" ref="F3:F66" si="0">LEN(D3)</f>
        <v>3</v>
      </c>
      <c r="I3" s="87" t="s">
        <v>159</v>
      </c>
    </row>
    <row r="4" spans="1:11">
      <c r="A4" s="83">
        <v>43525</v>
      </c>
      <c r="B4" t="s">
        <v>20</v>
      </c>
      <c r="C4" t="s">
        <v>24</v>
      </c>
      <c r="D4" t="s">
        <v>22</v>
      </c>
      <c r="E4">
        <v>79</v>
      </c>
      <c r="F4">
        <f t="shared" si="0"/>
        <v>7</v>
      </c>
      <c r="I4" s="88" t="b">
        <v>1</v>
      </c>
    </row>
    <row r="5" spans="1:11">
      <c r="A5" s="83">
        <v>43525</v>
      </c>
      <c r="B5" t="s">
        <v>20</v>
      </c>
      <c r="C5" t="s">
        <v>24</v>
      </c>
      <c r="D5" t="s">
        <v>22</v>
      </c>
      <c r="E5">
        <v>79</v>
      </c>
      <c r="F5">
        <f t="shared" si="0"/>
        <v>7</v>
      </c>
      <c r="I5" s="6">
        <f>IF(I4,1,2)</f>
        <v>1</v>
      </c>
      <c r="J5" s="6">
        <v>1</v>
      </c>
      <c r="K5" s="6">
        <v>1</v>
      </c>
    </row>
    <row r="6" spans="1:11">
      <c r="A6" s="83">
        <v>43556</v>
      </c>
      <c r="B6" t="s">
        <v>20</v>
      </c>
      <c r="C6" t="s">
        <v>21</v>
      </c>
      <c r="D6" t="s">
        <v>22</v>
      </c>
      <c r="E6">
        <v>322</v>
      </c>
      <c r="F6">
        <f t="shared" si="0"/>
        <v>7</v>
      </c>
      <c r="I6" s="6" t="s">
        <v>21</v>
      </c>
      <c r="J6" s="6" t="s">
        <v>23</v>
      </c>
      <c r="K6" s="6" t="s">
        <v>25</v>
      </c>
    </row>
    <row r="7" spans="1:11">
      <c r="A7" s="83">
        <v>43556</v>
      </c>
      <c r="B7" t="s">
        <v>20</v>
      </c>
      <c r="C7" t="s">
        <v>21</v>
      </c>
      <c r="D7" t="s">
        <v>23</v>
      </c>
      <c r="E7">
        <v>605</v>
      </c>
      <c r="F7">
        <f t="shared" si="0"/>
        <v>3</v>
      </c>
      <c r="I7" s="6" t="s">
        <v>24</v>
      </c>
      <c r="J7" s="6" t="s">
        <v>26</v>
      </c>
      <c r="K7" s="6" t="s">
        <v>27</v>
      </c>
    </row>
    <row r="8" spans="1:11">
      <c r="A8" s="83">
        <v>43556</v>
      </c>
      <c r="B8" t="s">
        <v>20</v>
      </c>
      <c r="C8" t="s">
        <v>24</v>
      </c>
      <c r="D8" t="s">
        <v>22</v>
      </c>
      <c r="E8">
        <v>79</v>
      </c>
      <c r="F8">
        <f t="shared" si="0"/>
        <v>7</v>
      </c>
      <c r="I8" s="6"/>
      <c r="J8" s="6" t="s">
        <v>22</v>
      </c>
      <c r="K8" s="6"/>
    </row>
    <row r="9" spans="1:11">
      <c r="A9" s="83">
        <v>43556</v>
      </c>
      <c r="B9" t="s">
        <v>20</v>
      </c>
      <c r="C9" t="s">
        <v>24</v>
      </c>
      <c r="D9" t="s">
        <v>26</v>
      </c>
      <c r="E9">
        <v>79</v>
      </c>
      <c r="F9">
        <f t="shared" si="0"/>
        <v>5</v>
      </c>
    </row>
    <row r="10" spans="1:11">
      <c r="A10" s="83">
        <v>43586</v>
      </c>
      <c r="B10" t="s">
        <v>20</v>
      </c>
      <c r="C10" t="s">
        <v>21</v>
      </c>
      <c r="D10" t="s">
        <v>22</v>
      </c>
      <c r="E10">
        <v>508</v>
      </c>
      <c r="F10">
        <f t="shared" si="0"/>
        <v>7</v>
      </c>
    </row>
    <row r="11" spans="1:11">
      <c r="A11" s="83">
        <v>43586</v>
      </c>
      <c r="B11" t="s">
        <v>20</v>
      </c>
      <c r="C11" t="s">
        <v>21</v>
      </c>
      <c r="D11" t="s">
        <v>22</v>
      </c>
      <c r="E11">
        <v>853</v>
      </c>
      <c r="F11">
        <f t="shared" si="0"/>
        <v>7</v>
      </c>
    </row>
    <row r="12" spans="1:11">
      <c r="A12" s="83">
        <v>43586</v>
      </c>
      <c r="B12" t="s">
        <v>20</v>
      </c>
      <c r="C12" t="s">
        <v>24</v>
      </c>
      <c r="D12" t="s">
        <v>22</v>
      </c>
      <c r="E12">
        <v>70</v>
      </c>
      <c r="F12">
        <f t="shared" si="0"/>
        <v>7</v>
      </c>
    </row>
    <row r="13" spans="1:11">
      <c r="A13" s="83">
        <v>43586</v>
      </c>
      <c r="B13" t="s">
        <v>20</v>
      </c>
      <c r="C13" t="s">
        <v>24</v>
      </c>
      <c r="D13" t="s">
        <v>22</v>
      </c>
      <c r="E13">
        <v>79</v>
      </c>
      <c r="F13">
        <f t="shared" si="0"/>
        <v>7</v>
      </c>
    </row>
    <row r="14" spans="1:11">
      <c r="A14" s="83">
        <v>43617</v>
      </c>
      <c r="B14" t="s">
        <v>20</v>
      </c>
      <c r="C14" t="s">
        <v>21</v>
      </c>
      <c r="D14" t="s">
        <v>26</v>
      </c>
      <c r="E14">
        <v>934</v>
      </c>
      <c r="F14">
        <f t="shared" si="0"/>
        <v>5</v>
      </c>
      <c r="I14">
        <v>2</v>
      </c>
    </row>
    <row r="15" spans="1:11">
      <c r="A15" s="83">
        <v>43617</v>
      </c>
      <c r="B15" t="s">
        <v>20</v>
      </c>
      <c r="C15" t="s">
        <v>21</v>
      </c>
      <c r="D15" t="s">
        <v>26</v>
      </c>
      <c r="E15">
        <v>1193</v>
      </c>
      <c r="F15">
        <f t="shared" si="0"/>
        <v>5</v>
      </c>
      <c r="H15" s="6" t="s">
        <v>16</v>
      </c>
      <c r="I15" s="6" t="s">
        <v>2</v>
      </c>
      <c r="J15" s="6" t="s">
        <v>19</v>
      </c>
      <c r="K15" s="6" t="s">
        <v>17</v>
      </c>
    </row>
    <row r="16" spans="1:11">
      <c r="A16" s="83">
        <v>43617</v>
      </c>
      <c r="B16" t="s">
        <v>20</v>
      </c>
      <c r="C16" t="s">
        <v>24</v>
      </c>
      <c r="D16" t="s">
        <v>22</v>
      </c>
      <c r="E16">
        <v>158</v>
      </c>
      <c r="F16">
        <f t="shared" si="0"/>
        <v>7</v>
      </c>
      <c r="H16" s="6" t="s">
        <v>20</v>
      </c>
      <c r="I16" s="6" t="str">
        <f>INDEX(J6:J8,J5)</f>
        <v>办公桌</v>
      </c>
      <c r="J16" s="6">
        <f>LEN(I16)</f>
        <v>3</v>
      </c>
      <c r="K16" s="6" t="str">
        <f>INDEX(I6:I7,I5)</f>
        <v>零售</v>
      </c>
    </row>
    <row r="17" spans="1:15">
      <c r="A17" s="83">
        <v>43617</v>
      </c>
      <c r="B17" t="s">
        <v>20</v>
      </c>
      <c r="C17" t="s">
        <v>24</v>
      </c>
      <c r="D17" t="s">
        <v>23</v>
      </c>
      <c r="E17">
        <v>191</v>
      </c>
      <c r="F17">
        <f t="shared" si="0"/>
        <v>3</v>
      </c>
      <c r="I17" t="s">
        <v>25</v>
      </c>
      <c r="J17" t="s">
        <v>28</v>
      </c>
      <c r="L17" t="str">
        <f>INDEX(K6:K7,K5)</f>
        <v>销售次数</v>
      </c>
    </row>
    <row r="18" spans="1:15">
      <c r="A18" s="83">
        <v>43647</v>
      </c>
      <c r="B18" t="s">
        <v>20</v>
      </c>
      <c r="C18" t="s">
        <v>21</v>
      </c>
      <c r="D18" t="s">
        <v>26</v>
      </c>
      <c r="E18">
        <v>123</v>
      </c>
      <c r="F18">
        <f t="shared" si="0"/>
        <v>5</v>
      </c>
      <c r="I18" s="6">
        <f>DCOUNT(A1:F3784,E1,H15:K16)</f>
        <v>132</v>
      </c>
      <c r="J18" s="6">
        <f>DSUM(A1:F3784,E1,H15:K16)</f>
        <v>67176</v>
      </c>
    </row>
    <row r="19" spans="1:15">
      <c r="A19" s="83">
        <v>43647</v>
      </c>
      <c r="B19" t="s">
        <v>20</v>
      </c>
      <c r="C19" t="s">
        <v>21</v>
      </c>
      <c r="D19" t="s">
        <v>22</v>
      </c>
      <c r="E19">
        <v>1845</v>
      </c>
      <c r="F19">
        <f t="shared" si="0"/>
        <v>7</v>
      </c>
      <c r="H19" t="s">
        <v>20</v>
      </c>
      <c r="I19">
        <f t="dataTable" ref="I19:J26" dt2D="0" dtr="0" r1="H16"/>
        <v>132</v>
      </c>
      <c r="J19">
        <v>67176</v>
      </c>
      <c r="L19">
        <f>INDEX(I19:J19,$K$5)</f>
        <v>132</v>
      </c>
      <c r="M19">
        <v>1</v>
      </c>
      <c r="N19">
        <f>LARGE($L$19:$L$26,M19)</f>
        <v>142</v>
      </c>
      <c r="O19" t="str">
        <f>INDEX($H$19:$H$26,MATCH(N19,$L$19:$L$26,0))</f>
        <v>河北</v>
      </c>
    </row>
    <row r="20" spans="1:15">
      <c r="A20" s="83">
        <v>43647</v>
      </c>
      <c r="B20" t="s">
        <v>20</v>
      </c>
      <c r="C20" t="s">
        <v>24</v>
      </c>
      <c r="D20" t="s">
        <v>22</v>
      </c>
      <c r="E20">
        <v>175</v>
      </c>
      <c r="F20">
        <f t="shared" si="0"/>
        <v>7</v>
      </c>
      <c r="H20" t="s">
        <v>29</v>
      </c>
      <c r="I20">
        <v>24</v>
      </c>
      <c r="J20">
        <v>5614</v>
      </c>
      <c r="L20">
        <f t="shared" ref="L20:L26" si="1">INDEX(I20:J20,$K$5)</f>
        <v>24</v>
      </c>
      <c r="M20">
        <v>2</v>
      </c>
      <c r="N20">
        <f t="shared" ref="N20:N26" si="2">LARGE($L$19:$L$26,M20)</f>
        <v>132</v>
      </c>
      <c r="O20" t="str">
        <f t="shared" ref="O20:O26" si="3">INDEX($H$19:$H$26,MATCH(N20,$L$19:$L$26,0))</f>
        <v>安徽</v>
      </c>
    </row>
    <row r="21" spans="1:15">
      <c r="A21" s="83">
        <v>43647</v>
      </c>
      <c r="B21" t="s">
        <v>20</v>
      </c>
      <c r="C21" t="s">
        <v>24</v>
      </c>
      <c r="D21" t="s">
        <v>23</v>
      </c>
      <c r="E21">
        <v>214</v>
      </c>
      <c r="F21">
        <f t="shared" si="0"/>
        <v>3</v>
      </c>
      <c r="H21" t="s">
        <v>30</v>
      </c>
      <c r="I21">
        <v>36</v>
      </c>
      <c r="J21">
        <v>29822</v>
      </c>
      <c r="L21">
        <f t="shared" si="1"/>
        <v>36</v>
      </c>
      <c r="M21">
        <v>3</v>
      </c>
      <c r="N21">
        <f t="shared" si="2"/>
        <v>70</v>
      </c>
      <c r="O21" t="str">
        <f t="shared" si="3"/>
        <v>天津</v>
      </c>
    </row>
    <row r="22" spans="1:15">
      <c r="A22" s="83">
        <v>43678</v>
      </c>
      <c r="B22" t="s">
        <v>20</v>
      </c>
      <c r="C22" t="s">
        <v>21</v>
      </c>
      <c r="D22" t="s">
        <v>23</v>
      </c>
      <c r="E22">
        <v>175</v>
      </c>
      <c r="F22">
        <f t="shared" si="0"/>
        <v>3</v>
      </c>
      <c r="H22" t="s">
        <v>31</v>
      </c>
      <c r="I22">
        <v>64</v>
      </c>
      <c r="J22">
        <v>21822</v>
      </c>
      <c r="L22">
        <f t="shared" si="1"/>
        <v>64</v>
      </c>
      <c r="M22">
        <v>4</v>
      </c>
      <c r="N22">
        <f t="shared" si="2"/>
        <v>67</v>
      </c>
      <c r="O22" t="str">
        <f t="shared" si="3"/>
        <v>江苏</v>
      </c>
    </row>
    <row r="23" spans="1:15">
      <c r="A23" s="83">
        <v>43678</v>
      </c>
      <c r="B23" t="s">
        <v>20</v>
      </c>
      <c r="C23" t="s">
        <v>21</v>
      </c>
      <c r="D23" t="s">
        <v>22</v>
      </c>
      <c r="E23">
        <v>2210</v>
      </c>
      <c r="F23">
        <f t="shared" si="0"/>
        <v>7</v>
      </c>
      <c r="H23" t="s">
        <v>32</v>
      </c>
      <c r="I23">
        <v>142</v>
      </c>
      <c r="J23">
        <v>34409</v>
      </c>
      <c r="L23">
        <f t="shared" si="1"/>
        <v>142</v>
      </c>
      <c r="M23">
        <v>5</v>
      </c>
      <c r="N23">
        <f t="shared" si="2"/>
        <v>64</v>
      </c>
      <c r="O23" t="str">
        <f t="shared" si="3"/>
        <v>广西</v>
      </c>
    </row>
    <row r="24" spans="1:15">
      <c r="A24" s="83">
        <v>43678</v>
      </c>
      <c r="B24" t="s">
        <v>20</v>
      </c>
      <c r="C24" t="s">
        <v>24</v>
      </c>
      <c r="D24" t="s">
        <v>26</v>
      </c>
      <c r="E24">
        <v>184</v>
      </c>
      <c r="F24">
        <f t="shared" si="0"/>
        <v>5</v>
      </c>
      <c r="H24" t="s">
        <v>33</v>
      </c>
      <c r="I24">
        <v>67</v>
      </c>
      <c r="J24">
        <v>8383</v>
      </c>
      <c r="L24">
        <f t="shared" si="1"/>
        <v>67</v>
      </c>
      <c r="M24">
        <v>6</v>
      </c>
      <c r="N24">
        <f t="shared" si="2"/>
        <v>36</v>
      </c>
      <c r="O24" t="str">
        <f t="shared" si="3"/>
        <v>广东</v>
      </c>
    </row>
    <row r="25" spans="1:15">
      <c r="A25" s="83">
        <v>43678</v>
      </c>
      <c r="B25" t="s">
        <v>20</v>
      </c>
      <c r="C25" t="s">
        <v>24</v>
      </c>
      <c r="D25" t="s">
        <v>26</v>
      </c>
      <c r="E25">
        <v>214</v>
      </c>
      <c r="F25">
        <f t="shared" si="0"/>
        <v>5</v>
      </c>
      <c r="H25" t="s">
        <v>34</v>
      </c>
      <c r="I25">
        <v>70</v>
      </c>
      <c r="J25">
        <v>16704</v>
      </c>
      <c r="L25">
        <f t="shared" si="1"/>
        <v>70</v>
      </c>
      <c r="M25">
        <v>7</v>
      </c>
      <c r="N25">
        <f t="shared" si="2"/>
        <v>24</v>
      </c>
      <c r="O25" t="str">
        <f t="shared" si="3"/>
        <v>福建</v>
      </c>
    </row>
    <row r="26" spans="1:15">
      <c r="A26" s="83">
        <v>43709</v>
      </c>
      <c r="B26" t="s">
        <v>20</v>
      </c>
      <c r="C26" t="s">
        <v>21</v>
      </c>
      <c r="D26" t="s">
        <v>26</v>
      </c>
      <c r="E26">
        <v>158</v>
      </c>
      <c r="F26">
        <f t="shared" si="0"/>
        <v>5</v>
      </c>
      <c r="H26" t="s">
        <v>35</v>
      </c>
      <c r="I26">
        <v>7</v>
      </c>
      <c r="J26">
        <v>1851</v>
      </c>
      <c r="L26">
        <f t="shared" si="1"/>
        <v>7</v>
      </c>
      <c r="M26">
        <v>8</v>
      </c>
      <c r="N26">
        <f t="shared" si="2"/>
        <v>7</v>
      </c>
      <c r="O26" t="str">
        <f t="shared" si="3"/>
        <v>浙江</v>
      </c>
    </row>
    <row r="27" spans="1:15">
      <c r="A27" s="83">
        <v>43709</v>
      </c>
      <c r="B27" t="s">
        <v>20</v>
      </c>
      <c r="C27" t="s">
        <v>21</v>
      </c>
      <c r="D27" t="s">
        <v>23</v>
      </c>
      <c r="E27">
        <v>1730</v>
      </c>
      <c r="F27">
        <f t="shared" si="0"/>
        <v>3</v>
      </c>
    </row>
    <row r="28" spans="1:15">
      <c r="A28" s="83">
        <v>43709</v>
      </c>
      <c r="B28" t="s">
        <v>20</v>
      </c>
      <c r="C28" t="s">
        <v>24</v>
      </c>
      <c r="D28" t="s">
        <v>23</v>
      </c>
      <c r="E28">
        <v>166</v>
      </c>
      <c r="F28">
        <f t="shared" si="0"/>
        <v>3</v>
      </c>
      <c r="J28" t="str">
        <f>"不同省份"&amp;I16&amp;K16&amp;L17&amp;"统计图"</f>
        <v>不同省份办公桌零售销售次数统计图</v>
      </c>
    </row>
    <row r="29" spans="1:15">
      <c r="A29" s="83">
        <v>43709</v>
      </c>
      <c r="B29" t="s">
        <v>20</v>
      </c>
      <c r="C29" t="s">
        <v>24</v>
      </c>
      <c r="D29" t="s">
        <v>22</v>
      </c>
      <c r="E29">
        <v>203</v>
      </c>
      <c r="F29">
        <f t="shared" si="0"/>
        <v>7</v>
      </c>
    </row>
    <row r="30" spans="1:15">
      <c r="A30" s="83">
        <v>43739</v>
      </c>
      <c r="B30" t="s">
        <v>20</v>
      </c>
      <c r="C30" t="s">
        <v>21</v>
      </c>
      <c r="D30" t="s">
        <v>23</v>
      </c>
      <c r="E30">
        <v>175</v>
      </c>
      <c r="F30">
        <f t="shared" si="0"/>
        <v>3</v>
      </c>
    </row>
    <row r="31" spans="1:15">
      <c r="A31" s="83">
        <v>43739</v>
      </c>
      <c r="B31" t="s">
        <v>20</v>
      </c>
      <c r="C31" t="s">
        <v>21</v>
      </c>
      <c r="D31" t="s">
        <v>23</v>
      </c>
      <c r="E31">
        <v>1536</v>
      </c>
      <c r="F31">
        <f t="shared" si="0"/>
        <v>3</v>
      </c>
    </row>
    <row r="32" spans="1:15">
      <c r="A32" s="83">
        <v>43739</v>
      </c>
      <c r="B32" t="s">
        <v>20</v>
      </c>
      <c r="C32" t="s">
        <v>24</v>
      </c>
      <c r="D32" t="s">
        <v>23</v>
      </c>
      <c r="E32">
        <v>88</v>
      </c>
      <c r="F32">
        <f t="shared" si="0"/>
        <v>3</v>
      </c>
    </row>
    <row r="33" spans="1:6">
      <c r="A33" s="83">
        <v>43739</v>
      </c>
      <c r="B33" t="s">
        <v>20</v>
      </c>
      <c r="C33" t="s">
        <v>24</v>
      </c>
      <c r="D33" t="s">
        <v>26</v>
      </c>
      <c r="E33">
        <v>191</v>
      </c>
      <c r="F33">
        <f t="shared" si="0"/>
        <v>5</v>
      </c>
    </row>
    <row r="34" spans="1:6">
      <c r="A34" s="83">
        <v>43770</v>
      </c>
      <c r="B34" t="s">
        <v>20</v>
      </c>
      <c r="C34" t="s">
        <v>21</v>
      </c>
      <c r="D34" t="s">
        <v>23</v>
      </c>
      <c r="E34">
        <v>210</v>
      </c>
      <c r="F34">
        <f t="shared" si="0"/>
        <v>3</v>
      </c>
    </row>
    <row r="35" spans="1:6">
      <c r="A35" s="83">
        <v>43770</v>
      </c>
      <c r="B35" t="s">
        <v>20</v>
      </c>
      <c r="C35" t="s">
        <v>21</v>
      </c>
      <c r="D35" t="s">
        <v>23</v>
      </c>
      <c r="E35">
        <v>1550</v>
      </c>
      <c r="F35">
        <f t="shared" si="0"/>
        <v>3</v>
      </c>
    </row>
    <row r="36" spans="1:6">
      <c r="A36" s="83">
        <v>43770</v>
      </c>
      <c r="B36" t="s">
        <v>20</v>
      </c>
      <c r="C36" t="s">
        <v>24</v>
      </c>
      <c r="D36" t="s">
        <v>22</v>
      </c>
      <c r="E36">
        <v>70</v>
      </c>
      <c r="F36">
        <f t="shared" si="0"/>
        <v>7</v>
      </c>
    </row>
    <row r="37" spans="1:6">
      <c r="A37" s="83">
        <v>43770</v>
      </c>
      <c r="B37" t="s">
        <v>20</v>
      </c>
      <c r="C37" t="s">
        <v>24</v>
      </c>
      <c r="D37" t="s">
        <v>23</v>
      </c>
      <c r="E37">
        <v>304</v>
      </c>
      <c r="F37">
        <f t="shared" si="0"/>
        <v>3</v>
      </c>
    </row>
    <row r="38" spans="1:6">
      <c r="A38" s="83">
        <v>43800</v>
      </c>
      <c r="B38" t="s">
        <v>20</v>
      </c>
      <c r="C38" t="s">
        <v>21</v>
      </c>
      <c r="D38" t="s">
        <v>22</v>
      </c>
      <c r="E38">
        <v>280</v>
      </c>
      <c r="F38">
        <f t="shared" si="0"/>
        <v>7</v>
      </c>
    </row>
    <row r="39" spans="1:6">
      <c r="A39" s="83">
        <v>43800</v>
      </c>
      <c r="B39" t="s">
        <v>20</v>
      </c>
      <c r="C39" t="s">
        <v>21</v>
      </c>
      <c r="D39" t="s">
        <v>23</v>
      </c>
      <c r="E39">
        <v>2131</v>
      </c>
      <c r="F39">
        <f t="shared" si="0"/>
        <v>3</v>
      </c>
    </row>
    <row r="40" spans="1:6">
      <c r="A40" s="83">
        <v>43800</v>
      </c>
      <c r="B40" t="s">
        <v>20</v>
      </c>
      <c r="C40" t="s">
        <v>24</v>
      </c>
      <c r="D40" t="s">
        <v>26</v>
      </c>
      <c r="E40">
        <v>114</v>
      </c>
      <c r="F40">
        <f t="shared" si="0"/>
        <v>5</v>
      </c>
    </row>
    <row r="41" spans="1:6">
      <c r="A41" s="83">
        <v>43800</v>
      </c>
      <c r="B41" t="s">
        <v>20</v>
      </c>
      <c r="C41" t="s">
        <v>24</v>
      </c>
      <c r="D41" t="s">
        <v>26</v>
      </c>
      <c r="E41">
        <v>459</v>
      </c>
      <c r="F41">
        <f t="shared" si="0"/>
        <v>5</v>
      </c>
    </row>
    <row r="42" spans="1:6">
      <c r="A42" s="83">
        <v>42856</v>
      </c>
      <c r="B42" t="s">
        <v>20</v>
      </c>
      <c r="C42" t="s">
        <v>24</v>
      </c>
      <c r="D42" t="s">
        <v>26</v>
      </c>
      <c r="E42">
        <v>96</v>
      </c>
      <c r="F42">
        <f t="shared" si="0"/>
        <v>5</v>
      </c>
    </row>
    <row r="43" spans="1:6">
      <c r="A43" s="83">
        <v>42856</v>
      </c>
      <c r="B43" t="s">
        <v>20</v>
      </c>
      <c r="C43" t="s">
        <v>24</v>
      </c>
      <c r="D43" t="s">
        <v>23</v>
      </c>
      <c r="E43">
        <v>113</v>
      </c>
      <c r="F43">
        <f t="shared" si="0"/>
        <v>3</v>
      </c>
    </row>
    <row r="44" spans="1:6">
      <c r="A44" s="83">
        <v>42887</v>
      </c>
      <c r="B44" t="s">
        <v>20</v>
      </c>
      <c r="C44" t="s">
        <v>24</v>
      </c>
      <c r="D44" t="s">
        <v>22</v>
      </c>
      <c r="E44">
        <v>140</v>
      </c>
      <c r="F44">
        <f t="shared" si="0"/>
        <v>7</v>
      </c>
    </row>
    <row r="45" spans="1:6">
      <c r="A45" s="83">
        <v>42887</v>
      </c>
      <c r="B45" t="s">
        <v>20</v>
      </c>
      <c r="C45" t="s">
        <v>24</v>
      </c>
      <c r="D45" t="s">
        <v>23</v>
      </c>
      <c r="E45">
        <v>191</v>
      </c>
      <c r="F45">
        <f t="shared" si="0"/>
        <v>3</v>
      </c>
    </row>
    <row r="46" spans="1:6">
      <c r="A46" s="83">
        <v>42917</v>
      </c>
      <c r="B46" t="s">
        <v>20</v>
      </c>
      <c r="C46" t="s">
        <v>21</v>
      </c>
      <c r="D46" t="s">
        <v>23</v>
      </c>
      <c r="E46">
        <v>997</v>
      </c>
      <c r="F46">
        <f t="shared" si="0"/>
        <v>3</v>
      </c>
    </row>
    <row r="47" spans="1:6">
      <c r="A47" s="83">
        <v>42917</v>
      </c>
      <c r="B47" t="s">
        <v>20</v>
      </c>
      <c r="C47" t="s">
        <v>21</v>
      </c>
      <c r="D47" t="s">
        <v>26</v>
      </c>
      <c r="E47">
        <v>1468</v>
      </c>
      <c r="F47">
        <f t="shared" si="0"/>
        <v>5</v>
      </c>
    </row>
    <row r="48" spans="1:6">
      <c r="A48" s="83">
        <v>42917</v>
      </c>
      <c r="B48" t="s">
        <v>20</v>
      </c>
      <c r="C48" t="s">
        <v>24</v>
      </c>
      <c r="D48" t="s">
        <v>26</v>
      </c>
      <c r="E48">
        <v>306</v>
      </c>
      <c r="F48">
        <f t="shared" si="0"/>
        <v>5</v>
      </c>
    </row>
    <row r="49" spans="1:6">
      <c r="A49" s="83">
        <v>42917</v>
      </c>
      <c r="B49" t="s">
        <v>20</v>
      </c>
      <c r="C49" t="s">
        <v>24</v>
      </c>
      <c r="D49" t="s">
        <v>26</v>
      </c>
      <c r="E49">
        <v>326</v>
      </c>
      <c r="F49">
        <f t="shared" si="0"/>
        <v>5</v>
      </c>
    </row>
    <row r="50" spans="1:6">
      <c r="A50" s="83">
        <v>42948</v>
      </c>
      <c r="B50" t="s">
        <v>20</v>
      </c>
      <c r="C50" t="s">
        <v>21</v>
      </c>
      <c r="D50" t="s">
        <v>23</v>
      </c>
      <c r="E50">
        <v>1351</v>
      </c>
      <c r="F50">
        <f t="shared" si="0"/>
        <v>3</v>
      </c>
    </row>
    <row r="51" spans="1:6">
      <c r="A51" s="83">
        <v>42948</v>
      </c>
      <c r="B51" t="s">
        <v>20</v>
      </c>
      <c r="C51" t="s">
        <v>21</v>
      </c>
      <c r="D51" t="s">
        <v>22</v>
      </c>
      <c r="E51">
        <v>971</v>
      </c>
      <c r="F51">
        <f t="shared" si="0"/>
        <v>7</v>
      </c>
    </row>
    <row r="52" spans="1:6">
      <c r="A52" s="83">
        <v>42948</v>
      </c>
      <c r="B52" t="s">
        <v>20</v>
      </c>
      <c r="C52" t="s">
        <v>24</v>
      </c>
      <c r="D52" t="s">
        <v>26</v>
      </c>
      <c r="E52">
        <v>663</v>
      </c>
      <c r="F52">
        <f t="shared" si="0"/>
        <v>5</v>
      </c>
    </row>
    <row r="53" spans="1:6">
      <c r="A53" s="83">
        <v>42948</v>
      </c>
      <c r="B53" t="s">
        <v>20</v>
      </c>
      <c r="C53" t="s">
        <v>24</v>
      </c>
      <c r="D53" t="s">
        <v>26</v>
      </c>
      <c r="E53">
        <v>568</v>
      </c>
      <c r="F53">
        <f t="shared" si="0"/>
        <v>5</v>
      </c>
    </row>
    <row r="54" spans="1:6">
      <c r="A54" s="83">
        <v>42979</v>
      </c>
      <c r="B54" t="s">
        <v>20</v>
      </c>
      <c r="C54" t="s">
        <v>21</v>
      </c>
      <c r="D54" t="s">
        <v>23</v>
      </c>
      <c r="E54">
        <v>1366</v>
      </c>
      <c r="F54">
        <f t="shared" si="0"/>
        <v>3</v>
      </c>
    </row>
    <row r="55" spans="1:6">
      <c r="A55" s="83">
        <v>42979</v>
      </c>
      <c r="B55" t="s">
        <v>20</v>
      </c>
      <c r="C55" t="s">
        <v>21</v>
      </c>
      <c r="D55" t="s">
        <v>23</v>
      </c>
      <c r="E55">
        <v>1160</v>
      </c>
      <c r="F55">
        <f t="shared" si="0"/>
        <v>3</v>
      </c>
    </row>
    <row r="56" spans="1:6">
      <c r="A56" s="83">
        <v>42979</v>
      </c>
      <c r="B56" t="s">
        <v>20</v>
      </c>
      <c r="C56" t="s">
        <v>24</v>
      </c>
      <c r="D56" t="s">
        <v>26</v>
      </c>
      <c r="E56">
        <v>587</v>
      </c>
      <c r="F56">
        <f t="shared" si="0"/>
        <v>5</v>
      </c>
    </row>
    <row r="57" spans="1:6">
      <c r="A57" s="83">
        <v>42979</v>
      </c>
      <c r="B57" t="s">
        <v>20</v>
      </c>
      <c r="C57" t="s">
        <v>24</v>
      </c>
      <c r="D57" t="s">
        <v>23</v>
      </c>
      <c r="E57">
        <v>349</v>
      </c>
      <c r="F57">
        <f t="shared" si="0"/>
        <v>3</v>
      </c>
    </row>
    <row r="58" spans="1:6">
      <c r="A58" s="83">
        <v>43009</v>
      </c>
      <c r="B58" t="s">
        <v>20</v>
      </c>
      <c r="C58" t="s">
        <v>21</v>
      </c>
      <c r="D58" t="s">
        <v>22</v>
      </c>
      <c r="E58">
        <v>81</v>
      </c>
      <c r="F58">
        <f t="shared" si="0"/>
        <v>7</v>
      </c>
    </row>
    <row r="59" spans="1:6">
      <c r="A59" s="83">
        <v>43009</v>
      </c>
      <c r="B59" t="s">
        <v>20</v>
      </c>
      <c r="C59" t="s">
        <v>21</v>
      </c>
      <c r="D59" t="s">
        <v>22</v>
      </c>
      <c r="E59">
        <v>921</v>
      </c>
      <c r="F59">
        <f t="shared" si="0"/>
        <v>7</v>
      </c>
    </row>
    <row r="60" spans="1:6">
      <c r="A60" s="83">
        <v>43009</v>
      </c>
      <c r="B60" t="s">
        <v>20</v>
      </c>
      <c r="C60" t="s">
        <v>24</v>
      </c>
      <c r="D60" t="s">
        <v>22</v>
      </c>
      <c r="E60">
        <v>1080</v>
      </c>
      <c r="F60">
        <f t="shared" si="0"/>
        <v>7</v>
      </c>
    </row>
    <row r="61" spans="1:6">
      <c r="A61" s="83">
        <v>43009</v>
      </c>
      <c r="B61" t="s">
        <v>20</v>
      </c>
      <c r="C61" t="s">
        <v>24</v>
      </c>
      <c r="D61" t="s">
        <v>23</v>
      </c>
      <c r="E61">
        <v>383</v>
      </c>
      <c r="F61">
        <f t="shared" si="0"/>
        <v>3</v>
      </c>
    </row>
    <row r="62" spans="1:6">
      <c r="A62" s="83">
        <v>43040</v>
      </c>
      <c r="B62" t="s">
        <v>20</v>
      </c>
      <c r="C62" t="s">
        <v>21</v>
      </c>
      <c r="D62" t="s">
        <v>22</v>
      </c>
      <c r="E62">
        <v>91</v>
      </c>
      <c r="F62">
        <f t="shared" si="0"/>
        <v>7</v>
      </c>
    </row>
    <row r="63" spans="1:6">
      <c r="A63" s="83">
        <v>43040</v>
      </c>
      <c r="B63" t="s">
        <v>20</v>
      </c>
      <c r="C63" t="s">
        <v>21</v>
      </c>
      <c r="D63" t="s">
        <v>26</v>
      </c>
      <c r="E63">
        <v>748</v>
      </c>
      <c r="F63">
        <f t="shared" si="0"/>
        <v>5</v>
      </c>
    </row>
    <row r="64" spans="1:6">
      <c r="A64" s="83">
        <v>43040</v>
      </c>
      <c r="B64" t="s">
        <v>20</v>
      </c>
      <c r="C64" t="s">
        <v>24</v>
      </c>
      <c r="D64" t="s">
        <v>23</v>
      </c>
      <c r="E64">
        <v>1443</v>
      </c>
      <c r="F64">
        <f t="shared" si="0"/>
        <v>3</v>
      </c>
    </row>
    <row r="65" spans="1:6">
      <c r="A65" s="83">
        <v>43040</v>
      </c>
      <c r="B65" t="s">
        <v>20</v>
      </c>
      <c r="C65" t="s">
        <v>24</v>
      </c>
      <c r="D65" t="s">
        <v>26</v>
      </c>
      <c r="E65">
        <v>293</v>
      </c>
      <c r="F65">
        <f t="shared" si="0"/>
        <v>5</v>
      </c>
    </row>
    <row r="66" spans="1:6">
      <c r="A66" s="83">
        <v>43070</v>
      </c>
      <c r="B66" t="s">
        <v>20</v>
      </c>
      <c r="C66" t="s">
        <v>21</v>
      </c>
      <c r="D66" t="s">
        <v>22</v>
      </c>
      <c r="E66">
        <v>172</v>
      </c>
      <c r="F66">
        <f t="shared" si="0"/>
        <v>7</v>
      </c>
    </row>
    <row r="67" spans="1:6">
      <c r="A67" s="83">
        <v>43070</v>
      </c>
      <c r="B67" t="s">
        <v>20</v>
      </c>
      <c r="C67" t="s">
        <v>21</v>
      </c>
      <c r="D67" t="s">
        <v>26</v>
      </c>
      <c r="E67">
        <v>517</v>
      </c>
      <c r="F67">
        <f t="shared" ref="F67:F130" si="4">LEN(D67)</f>
        <v>5</v>
      </c>
    </row>
    <row r="68" spans="1:6">
      <c r="A68" s="83">
        <v>43070</v>
      </c>
      <c r="B68" t="s">
        <v>20</v>
      </c>
      <c r="C68" t="s">
        <v>24</v>
      </c>
      <c r="D68" t="s">
        <v>22</v>
      </c>
      <c r="E68">
        <v>1875</v>
      </c>
      <c r="F68">
        <f t="shared" si="4"/>
        <v>7</v>
      </c>
    </row>
    <row r="69" spans="1:6">
      <c r="A69" s="83">
        <v>43070</v>
      </c>
      <c r="B69" t="s">
        <v>20</v>
      </c>
      <c r="C69" t="s">
        <v>24</v>
      </c>
      <c r="D69" t="s">
        <v>26</v>
      </c>
      <c r="E69">
        <v>360</v>
      </c>
      <c r="F69">
        <f t="shared" si="4"/>
        <v>5</v>
      </c>
    </row>
    <row r="70" spans="1:6">
      <c r="A70" s="83">
        <v>43101</v>
      </c>
      <c r="B70" t="s">
        <v>20</v>
      </c>
      <c r="C70" t="s">
        <v>21</v>
      </c>
      <c r="D70" t="s">
        <v>22</v>
      </c>
      <c r="E70">
        <v>186</v>
      </c>
      <c r="F70">
        <f t="shared" si="4"/>
        <v>7</v>
      </c>
    </row>
    <row r="71" spans="1:6">
      <c r="A71" s="83">
        <v>43101</v>
      </c>
      <c r="B71" t="s">
        <v>20</v>
      </c>
      <c r="C71" t="s">
        <v>21</v>
      </c>
      <c r="D71" t="s">
        <v>26</v>
      </c>
      <c r="E71">
        <v>693</v>
      </c>
      <c r="F71">
        <f t="shared" si="4"/>
        <v>5</v>
      </c>
    </row>
    <row r="72" spans="1:6">
      <c r="A72" s="83">
        <v>43101</v>
      </c>
      <c r="B72" t="s">
        <v>20</v>
      </c>
      <c r="C72" t="s">
        <v>24</v>
      </c>
      <c r="D72" t="s">
        <v>22</v>
      </c>
      <c r="E72">
        <v>1762</v>
      </c>
      <c r="F72">
        <f t="shared" si="4"/>
        <v>7</v>
      </c>
    </row>
    <row r="73" spans="1:6">
      <c r="A73" s="83">
        <v>43101</v>
      </c>
      <c r="B73" t="s">
        <v>20</v>
      </c>
      <c r="C73" t="s">
        <v>24</v>
      </c>
      <c r="D73" t="s">
        <v>22</v>
      </c>
      <c r="E73">
        <v>349</v>
      </c>
      <c r="F73">
        <f t="shared" si="4"/>
        <v>7</v>
      </c>
    </row>
    <row r="74" spans="1:6">
      <c r="A74" s="83">
        <v>43132</v>
      </c>
      <c r="B74" t="s">
        <v>20</v>
      </c>
      <c r="C74" t="s">
        <v>21</v>
      </c>
      <c r="D74" t="s">
        <v>23</v>
      </c>
      <c r="E74">
        <v>172</v>
      </c>
      <c r="F74">
        <f t="shared" si="4"/>
        <v>3</v>
      </c>
    </row>
    <row r="75" spans="1:6">
      <c r="A75" s="83">
        <v>43132</v>
      </c>
      <c r="B75" t="s">
        <v>20</v>
      </c>
      <c r="C75" t="s">
        <v>21</v>
      </c>
      <c r="D75" t="s">
        <v>23</v>
      </c>
      <c r="E75">
        <v>497</v>
      </c>
      <c r="F75">
        <f t="shared" si="4"/>
        <v>3</v>
      </c>
    </row>
    <row r="76" spans="1:6">
      <c r="A76" s="83">
        <v>43132</v>
      </c>
      <c r="B76" t="s">
        <v>20</v>
      </c>
      <c r="C76" t="s">
        <v>24</v>
      </c>
      <c r="D76" t="s">
        <v>22</v>
      </c>
      <c r="E76">
        <v>1983</v>
      </c>
      <c r="F76">
        <f t="shared" si="4"/>
        <v>7</v>
      </c>
    </row>
    <row r="77" spans="1:6">
      <c r="A77" s="83">
        <v>43132</v>
      </c>
      <c r="B77" t="s">
        <v>20</v>
      </c>
      <c r="C77" t="s">
        <v>24</v>
      </c>
      <c r="D77" t="s">
        <v>26</v>
      </c>
      <c r="E77">
        <v>394</v>
      </c>
      <c r="F77">
        <f t="shared" si="4"/>
        <v>5</v>
      </c>
    </row>
    <row r="78" spans="1:6">
      <c r="A78" s="83">
        <v>43160</v>
      </c>
      <c r="B78" t="s">
        <v>20</v>
      </c>
      <c r="C78" t="s">
        <v>21</v>
      </c>
      <c r="D78" t="s">
        <v>23</v>
      </c>
      <c r="E78">
        <v>249</v>
      </c>
      <c r="F78">
        <f t="shared" si="4"/>
        <v>3</v>
      </c>
    </row>
    <row r="79" spans="1:6">
      <c r="A79" s="83">
        <v>43160</v>
      </c>
      <c r="B79" t="s">
        <v>20</v>
      </c>
      <c r="C79" t="s">
        <v>21</v>
      </c>
      <c r="D79" t="s">
        <v>22</v>
      </c>
      <c r="E79">
        <v>586</v>
      </c>
      <c r="F79">
        <f t="shared" si="4"/>
        <v>7</v>
      </c>
    </row>
    <row r="80" spans="1:6">
      <c r="A80" s="83">
        <v>43160</v>
      </c>
      <c r="B80" t="s">
        <v>20</v>
      </c>
      <c r="C80" t="s">
        <v>24</v>
      </c>
      <c r="D80" t="s">
        <v>23</v>
      </c>
      <c r="E80">
        <v>1811</v>
      </c>
      <c r="F80">
        <f t="shared" si="4"/>
        <v>3</v>
      </c>
    </row>
    <row r="81" spans="1:6">
      <c r="A81" s="83">
        <v>43160</v>
      </c>
      <c r="B81" t="s">
        <v>20</v>
      </c>
      <c r="C81" t="s">
        <v>24</v>
      </c>
      <c r="D81" t="s">
        <v>22</v>
      </c>
      <c r="E81">
        <v>394</v>
      </c>
      <c r="F81">
        <f t="shared" si="4"/>
        <v>7</v>
      </c>
    </row>
    <row r="82" spans="1:6">
      <c r="A82" s="83">
        <v>43191</v>
      </c>
      <c r="B82" t="s">
        <v>20</v>
      </c>
      <c r="C82" t="s">
        <v>21</v>
      </c>
      <c r="D82" t="s">
        <v>23</v>
      </c>
      <c r="E82">
        <v>315</v>
      </c>
      <c r="F82">
        <f t="shared" si="4"/>
        <v>3</v>
      </c>
    </row>
    <row r="83" spans="1:6">
      <c r="A83" s="83">
        <v>43191</v>
      </c>
      <c r="B83" t="s">
        <v>20</v>
      </c>
      <c r="C83" t="s">
        <v>21</v>
      </c>
      <c r="D83" t="s">
        <v>26</v>
      </c>
      <c r="E83">
        <v>117</v>
      </c>
      <c r="F83">
        <f t="shared" si="4"/>
        <v>5</v>
      </c>
    </row>
    <row r="84" spans="1:6">
      <c r="A84" s="83">
        <v>43191</v>
      </c>
      <c r="B84" t="s">
        <v>20</v>
      </c>
      <c r="C84" t="s">
        <v>24</v>
      </c>
      <c r="D84" t="s">
        <v>26</v>
      </c>
      <c r="E84">
        <v>2061</v>
      </c>
      <c r="F84">
        <f t="shared" si="4"/>
        <v>5</v>
      </c>
    </row>
    <row r="85" spans="1:6">
      <c r="A85" s="83">
        <v>43191</v>
      </c>
      <c r="B85" t="s">
        <v>20</v>
      </c>
      <c r="C85" t="s">
        <v>24</v>
      </c>
      <c r="D85" t="s">
        <v>26</v>
      </c>
      <c r="E85">
        <v>437</v>
      </c>
      <c r="F85">
        <f t="shared" si="4"/>
        <v>5</v>
      </c>
    </row>
    <row r="86" spans="1:6">
      <c r="A86" s="83">
        <v>43221</v>
      </c>
      <c r="B86" t="s">
        <v>20</v>
      </c>
      <c r="C86" t="s">
        <v>21</v>
      </c>
      <c r="D86" t="s">
        <v>26</v>
      </c>
      <c r="E86">
        <v>501</v>
      </c>
      <c r="F86">
        <f t="shared" si="4"/>
        <v>5</v>
      </c>
    </row>
    <row r="87" spans="1:6">
      <c r="A87" s="83">
        <v>43221</v>
      </c>
      <c r="B87" t="s">
        <v>20</v>
      </c>
      <c r="C87" t="s">
        <v>21</v>
      </c>
      <c r="D87" t="s">
        <v>23</v>
      </c>
      <c r="E87">
        <v>153</v>
      </c>
      <c r="F87">
        <f t="shared" si="4"/>
        <v>3</v>
      </c>
    </row>
    <row r="88" spans="1:6">
      <c r="A88" s="83">
        <v>43221</v>
      </c>
      <c r="B88" t="s">
        <v>20</v>
      </c>
      <c r="C88" t="s">
        <v>24</v>
      </c>
      <c r="D88" t="s">
        <v>22</v>
      </c>
      <c r="E88">
        <v>2104</v>
      </c>
      <c r="F88">
        <f t="shared" si="4"/>
        <v>7</v>
      </c>
    </row>
    <row r="89" spans="1:6">
      <c r="A89" s="83">
        <v>43221</v>
      </c>
      <c r="B89" t="s">
        <v>20</v>
      </c>
      <c r="C89" t="s">
        <v>24</v>
      </c>
      <c r="D89" t="s">
        <v>22</v>
      </c>
      <c r="E89">
        <v>405</v>
      </c>
      <c r="F89">
        <f t="shared" si="4"/>
        <v>7</v>
      </c>
    </row>
    <row r="90" spans="1:6">
      <c r="A90" s="83">
        <v>43252</v>
      </c>
      <c r="B90" t="s">
        <v>20</v>
      </c>
      <c r="C90" t="s">
        <v>21</v>
      </c>
      <c r="D90" t="s">
        <v>22</v>
      </c>
      <c r="E90">
        <v>697</v>
      </c>
      <c r="F90">
        <f t="shared" si="4"/>
        <v>7</v>
      </c>
    </row>
    <row r="91" spans="1:6">
      <c r="A91" s="83">
        <v>43252</v>
      </c>
      <c r="B91" t="s">
        <v>20</v>
      </c>
      <c r="C91" t="s">
        <v>21</v>
      </c>
      <c r="D91" t="s">
        <v>23</v>
      </c>
      <c r="E91">
        <v>171</v>
      </c>
      <c r="F91">
        <f t="shared" si="4"/>
        <v>3</v>
      </c>
    </row>
    <row r="92" spans="1:6">
      <c r="A92" s="83">
        <v>43252</v>
      </c>
      <c r="B92" t="s">
        <v>20</v>
      </c>
      <c r="C92" t="s">
        <v>24</v>
      </c>
      <c r="D92" t="s">
        <v>26</v>
      </c>
      <c r="E92">
        <v>2279</v>
      </c>
      <c r="F92">
        <f t="shared" si="4"/>
        <v>5</v>
      </c>
    </row>
    <row r="93" spans="1:6">
      <c r="A93" s="83">
        <v>43252</v>
      </c>
      <c r="B93" t="s">
        <v>20</v>
      </c>
      <c r="C93" t="s">
        <v>24</v>
      </c>
      <c r="D93" t="s">
        <v>22</v>
      </c>
      <c r="E93">
        <v>394</v>
      </c>
      <c r="F93">
        <f t="shared" si="4"/>
        <v>7</v>
      </c>
    </row>
    <row r="94" spans="1:6">
      <c r="A94" s="83">
        <v>43282</v>
      </c>
      <c r="B94" t="s">
        <v>20</v>
      </c>
      <c r="C94" t="s">
        <v>21</v>
      </c>
      <c r="D94" t="s">
        <v>26</v>
      </c>
      <c r="E94">
        <v>793</v>
      </c>
      <c r="F94">
        <f t="shared" si="4"/>
        <v>5</v>
      </c>
    </row>
    <row r="95" spans="1:6">
      <c r="A95" s="83">
        <v>43282</v>
      </c>
      <c r="B95" t="s">
        <v>20</v>
      </c>
      <c r="C95" t="s">
        <v>21</v>
      </c>
      <c r="D95" t="s">
        <v>22</v>
      </c>
      <c r="E95">
        <v>221</v>
      </c>
      <c r="F95">
        <f t="shared" si="4"/>
        <v>7</v>
      </c>
    </row>
    <row r="96" spans="1:6">
      <c r="A96" s="83">
        <v>43282</v>
      </c>
      <c r="B96" t="s">
        <v>20</v>
      </c>
      <c r="C96" t="s">
        <v>24</v>
      </c>
      <c r="D96" t="s">
        <v>22</v>
      </c>
      <c r="E96">
        <v>1999</v>
      </c>
      <c r="F96">
        <f t="shared" si="4"/>
        <v>7</v>
      </c>
    </row>
    <row r="97" spans="1:6">
      <c r="A97" s="83">
        <v>43282</v>
      </c>
      <c r="B97" t="s">
        <v>20</v>
      </c>
      <c r="C97" t="s">
        <v>24</v>
      </c>
      <c r="D97" t="s">
        <v>22</v>
      </c>
      <c r="E97">
        <v>326</v>
      </c>
      <c r="F97">
        <f t="shared" si="4"/>
        <v>7</v>
      </c>
    </row>
    <row r="98" spans="1:6">
      <c r="A98" s="83">
        <v>43313</v>
      </c>
      <c r="B98" t="s">
        <v>20</v>
      </c>
      <c r="C98" t="s">
        <v>21</v>
      </c>
      <c r="D98" t="s">
        <v>23</v>
      </c>
      <c r="E98">
        <v>863</v>
      </c>
      <c r="F98">
        <f t="shared" si="4"/>
        <v>3</v>
      </c>
    </row>
    <row r="99" spans="1:6">
      <c r="A99" s="83">
        <v>43313</v>
      </c>
      <c r="B99" t="s">
        <v>20</v>
      </c>
      <c r="C99" t="s">
        <v>21</v>
      </c>
      <c r="D99" t="s">
        <v>23</v>
      </c>
      <c r="E99">
        <v>221</v>
      </c>
      <c r="F99">
        <f t="shared" si="4"/>
        <v>3</v>
      </c>
    </row>
    <row r="100" spans="1:6">
      <c r="A100" s="83">
        <v>43313</v>
      </c>
      <c r="B100" t="s">
        <v>20</v>
      </c>
      <c r="C100" t="s">
        <v>24</v>
      </c>
      <c r="D100" t="s">
        <v>26</v>
      </c>
      <c r="E100">
        <v>1850</v>
      </c>
      <c r="F100">
        <f t="shared" si="4"/>
        <v>5</v>
      </c>
    </row>
    <row r="101" spans="1:6">
      <c r="A101" s="83">
        <v>43313</v>
      </c>
      <c r="B101" t="s">
        <v>20</v>
      </c>
      <c r="C101" t="s">
        <v>24</v>
      </c>
      <c r="D101" t="s">
        <v>23</v>
      </c>
      <c r="E101">
        <v>360</v>
      </c>
      <c r="F101">
        <f t="shared" si="4"/>
        <v>3</v>
      </c>
    </row>
    <row r="102" spans="1:6">
      <c r="A102" s="83">
        <v>43344</v>
      </c>
      <c r="B102" t="s">
        <v>20</v>
      </c>
      <c r="C102" t="s">
        <v>21</v>
      </c>
      <c r="D102" t="s">
        <v>22</v>
      </c>
      <c r="E102">
        <v>1176</v>
      </c>
      <c r="F102">
        <f t="shared" si="4"/>
        <v>7</v>
      </c>
    </row>
    <row r="103" spans="1:6">
      <c r="A103" s="83">
        <v>43344</v>
      </c>
      <c r="B103" t="s">
        <v>20</v>
      </c>
      <c r="C103" t="s">
        <v>21</v>
      </c>
      <c r="D103" t="s">
        <v>26</v>
      </c>
      <c r="E103">
        <v>221</v>
      </c>
      <c r="F103">
        <f t="shared" si="4"/>
        <v>5</v>
      </c>
    </row>
    <row r="104" spans="1:6">
      <c r="A104" s="83">
        <v>43344</v>
      </c>
      <c r="B104" t="s">
        <v>20</v>
      </c>
      <c r="C104" t="s">
        <v>24</v>
      </c>
      <c r="D104" t="s">
        <v>22</v>
      </c>
      <c r="E104">
        <v>1825</v>
      </c>
      <c r="F104">
        <f t="shared" si="4"/>
        <v>7</v>
      </c>
    </row>
    <row r="105" spans="1:6">
      <c r="A105" s="83">
        <v>43344</v>
      </c>
      <c r="B105" t="s">
        <v>20</v>
      </c>
      <c r="C105" t="s">
        <v>24</v>
      </c>
      <c r="D105" t="s">
        <v>22</v>
      </c>
      <c r="E105">
        <v>338</v>
      </c>
      <c r="F105">
        <f t="shared" si="4"/>
        <v>7</v>
      </c>
    </row>
    <row r="106" spans="1:6">
      <c r="A106" s="83">
        <v>43374</v>
      </c>
      <c r="B106" t="s">
        <v>20</v>
      </c>
      <c r="C106" t="s">
        <v>21</v>
      </c>
      <c r="D106" t="s">
        <v>26</v>
      </c>
      <c r="E106">
        <v>977</v>
      </c>
      <c r="F106">
        <f t="shared" si="4"/>
        <v>5</v>
      </c>
    </row>
    <row r="107" spans="1:6">
      <c r="A107" s="83">
        <v>43374</v>
      </c>
      <c r="B107" t="s">
        <v>20</v>
      </c>
      <c r="C107" t="s">
        <v>21</v>
      </c>
      <c r="D107" t="s">
        <v>26</v>
      </c>
      <c r="E107">
        <v>203</v>
      </c>
      <c r="F107">
        <f t="shared" si="4"/>
        <v>5</v>
      </c>
    </row>
    <row r="108" spans="1:6">
      <c r="A108" s="83">
        <v>43374</v>
      </c>
      <c r="B108" t="s">
        <v>20</v>
      </c>
      <c r="C108" t="s">
        <v>24</v>
      </c>
      <c r="D108" t="s">
        <v>22</v>
      </c>
      <c r="E108">
        <v>1783</v>
      </c>
      <c r="F108">
        <f t="shared" si="4"/>
        <v>7</v>
      </c>
    </row>
    <row r="109" spans="1:6">
      <c r="A109" s="83">
        <v>43374</v>
      </c>
      <c r="B109" t="s">
        <v>20</v>
      </c>
      <c r="C109" t="s">
        <v>24</v>
      </c>
      <c r="D109" t="s">
        <v>23</v>
      </c>
      <c r="E109">
        <v>338</v>
      </c>
      <c r="F109">
        <f t="shared" si="4"/>
        <v>3</v>
      </c>
    </row>
    <row r="110" spans="1:6">
      <c r="A110" s="83">
        <v>43405</v>
      </c>
      <c r="B110" t="s">
        <v>20</v>
      </c>
      <c r="C110" t="s">
        <v>21</v>
      </c>
      <c r="D110" t="s">
        <v>22</v>
      </c>
      <c r="E110">
        <v>1238</v>
      </c>
      <c r="F110">
        <f t="shared" si="4"/>
        <v>7</v>
      </c>
    </row>
    <row r="111" spans="1:6">
      <c r="A111" s="83">
        <v>43405</v>
      </c>
      <c r="B111" t="s">
        <v>20</v>
      </c>
      <c r="C111" t="s">
        <v>21</v>
      </c>
      <c r="D111" t="s">
        <v>23</v>
      </c>
      <c r="E111">
        <v>252</v>
      </c>
      <c r="F111">
        <f t="shared" si="4"/>
        <v>3</v>
      </c>
    </row>
    <row r="112" spans="1:6">
      <c r="A112" s="83">
        <v>43405</v>
      </c>
      <c r="B112" t="s">
        <v>20</v>
      </c>
      <c r="C112" t="s">
        <v>24</v>
      </c>
      <c r="D112" t="s">
        <v>22</v>
      </c>
      <c r="E112">
        <v>1938</v>
      </c>
      <c r="F112">
        <f t="shared" si="4"/>
        <v>7</v>
      </c>
    </row>
    <row r="113" spans="1:6">
      <c r="A113" s="83">
        <v>43405</v>
      </c>
      <c r="B113" t="s">
        <v>20</v>
      </c>
      <c r="C113" t="s">
        <v>24</v>
      </c>
      <c r="D113" t="s">
        <v>23</v>
      </c>
      <c r="E113">
        <v>371</v>
      </c>
      <c r="F113">
        <f t="shared" si="4"/>
        <v>3</v>
      </c>
    </row>
    <row r="114" spans="1:6">
      <c r="A114" s="83">
        <v>43435</v>
      </c>
      <c r="B114" t="s">
        <v>20</v>
      </c>
      <c r="C114" t="s">
        <v>21</v>
      </c>
      <c r="D114" t="s">
        <v>26</v>
      </c>
      <c r="E114">
        <v>1206</v>
      </c>
      <c r="F114">
        <f t="shared" si="4"/>
        <v>5</v>
      </c>
    </row>
    <row r="115" spans="1:6">
      <c r="A115" s="83">
        <v>43435</v>
      </c>
      <c r="B115" t="s">
        <v>20</v>
      </c>
      <c r="C115" t="s">
        <v>21</v>
      </c>
      <c r="D115" t="s">
        <v>23</v>
      </c>
      <c r="E115">
        <v>239</v>
      </c>
      <c r="F115">
        <f t="shared" si="4"/>
        <v>3</v>
      </c>
    </row>
    <row r="116" spans="1:6">
      <c r="A116" s="83">
        <v>43435</v>
      </c>
      <c r="B116" t="s">
        <v>20</v>
      </c>
      <c r="C116" t="s">
        <v>24</v>
      </c>
      <c r="D116" t="s">
        <v>22</v>
      </c>
      <c r="E116">
        <v>1867</v>
      </c>
      <c r="F116">
        <f t="shared" si="4"/>
        <v>7</v>
      </c>
    </row>
    <row r="117" spans="1:6">
      <c r="A117" s="83">
        <v>43435</v>
      </c>
      <c r="B117" t="s">
        <v>20</v>
      </c>
      <c r="C117" t="s">
        <v>24</v>
      </c>
      <c r="D117" t="s">
        <v>22</v>
      </c>
      <c r="E117">
        <v>371</v>
      </c>
      <c r="F117">
        <f t="shared" si="4"/>
        <v>7</v>
      </c>
    </row>
    <row r="118" spans="1:6">
      <c r="A118" s="83">
        <v>43466</v>
      </c>
      <c r="B118" t="s">
        <v>20</v>
      </c>
      <c r="C118" t="s">
        <v>21</v>
      </c>
      <c r="D118" t="s">
        <v>22</v>
      </c>
      <c r="E118">
        <v>1272</v>
      </c>
      <c r="F118">
        <f t="shared" si="4"/>
        <v>7</v>
      </c>
    </row>
    <row r="119" spans="1:6">
      <c r="A119" s="83">
        <v>43466</v>
      </c>
      <c r="B119" t="s">
        <v>20</v>
      </c>
      <c r="C119" t="s">
        <v>21</v>
      </c>
      <c r="D119" t="s">
        <v>26</v>
      </c>
      <c r="E119">
        <v>252</v>
      </c>
      <c r="F119">
        <f t="shared" si="4"/>
        <v>5</v>
      </c>
    </row>
    <row r="120" spans="1:6">
      <c r="A120" s="83">
        <v>43466</v>
      </c>
      <c r="B120" t="s">
        <v>20</v>
      </c>
      <c r="C120" t="s">
        <v>24</v>
      </c>
      <c r="D120" t="s">
        <v>23</v>
      </c>
      <c r="E120">
        <v>2083</v>
      </c>
      <c r="F120">
        <f t="shared" si="4"/>
        <v>3</v>
      </c>
    </row>
    <row r="121" spans="1:6">
      <c r="A121" s="83">
        <v>43466</v>
      </c>
      <c r="B121" t="s">
        <v>20</v>
      </c>
      <c r="C121" t="s">
        <v>24</v>
      </c>
      <c r="D121" t="s">
        <v>23</v>
      </c>
      <c r="E121">
        <v>415</v>
      </c>
      <c r="F121">
        <f t="shared" si="4"/>
        <v>3</v>
      </c>
    </row>
    <row r="122" spans="1:6">
      <c r="A122" s="83">
        <v>43497</v>
      </c>
      <c r="B122" t="s">
        <v>20</v>
      </c>
      <c r="C122" t="s">
        <v>21</v>
      </c>
      <c r="D122" t="s">
        <v>22</v>
      </c>
      <c r="E122">
        <v>1050</v>
      </c>
      <c r="F122">
        <f t="shared" si="4"/>
        <v>7</v>
      </c>
    </row>
    <row r="123" spans="1:6">
      <c r="A123" s="83">
        <v>43497</v>
      </c>
      <c r="B123" t="s">
        <v>20</v>
      </c>
      <c r="C123" t="s">
        <v>21</v>
      </c>
      <c r="D123" t="s">
        <v>23</v>
      </c>
      <c r="E123">
        <v>374</v>
      </c>
      <c r="F123">
        <f t="shared" si="4"/>
        <v>3</v>
      </c>
    </row>
    <row r="124" spans="1:6">
      <c r="A124" s="83">
        <v>43497</v>
      </c>
      <c r="B124" t="s">
        <v>20</v>
      </c>
      <c r="C124" t="s">
        <v>24</v>
      </c>
      <c r="D124" t="s">
        <v>23</v>
      </c>
      <c r="E124">
        <v>2516</v>
      </c>
      <c r="F124">
        <f t="shared" si="4"/>
        <v>3</v>
      </c>
    </row>
    <row r="125" spans="1:6">
      <c r="A125" s="83">
        <v>43497</v>
      </c>
      <c r="B125" t="s">
        <v>20</v>
      </c>
      <c r="C125" t="s">
        <v>24</v>
      </c>
      <c r="D125" t="s">
        <v>26</v>
      </c>
      <c r="E125">
        <v>601</v>
      </c>
      <c r="F125">
        <f t="shared" si="4"/>
        <v>5</v>
      </c>
    </row>
    <row r="126" spans="1:6">
      <c r="A126" s="83">
        <v>43525</v>
      </c>
      <c r="B126" t="s">
        <v>20</v>
      </c>
      <c r="C126" t="s">
        <v>21</v>
      </c>
      <c r="D126" t="s">
        <v>23</v>
      </c>
      <c r="E126">
        <v>1269</v>
      </c>
      <c r="F126">
        <f t="shared" si="4"/>
        <v>3</v>
      </c>
    </row>
    <row r="127" spans="1:6">
      <c r="A127" s="83">
        <v>43525</v>
      </c>
      <c r="B127" t="s">
        <v>20</v>
      </c>
      <c r="C127" t="s">
        <v>21</v>
      </c>
      <c r="D127" t="s">
        <v>26</v>
      </c>
      <c r="E127">
        <v>455</v>
      </c>
      <c r="F127">
        <f t="shared" si="4"/>
        <v>5</v>
      </c>
    </row>
    <row r="128" spans="1:6">
      <c r="A128" s="83">
        <v>43525</v>
      </c>
      <c r="B128" t="s">
        <v>20</v>
      </c>
      <c r="C128" t="s">
        <v>24</v>
      </c>
      <c r="D128" t="s">
        <v>22</v>
      </c>
      <c r="E128">
        <v>2338</v>
      </c>
      <c r="F128">
        <f t="shared" si="4"/>
        <v>7</v>
      </c>
    </row>
    <row r="129" spans="1:6">
      <c r="A129" s="83">
        <v>43525</v>
      </c>
      <c r="B129" t="s">
        <v>20</v>
      </c>
      <c r="C129" t="s">
        <v>24</v>
      </c>
      <c r="D129" t="s">
        <v>23</v>
      </c>
      <c r="E129">
        <v>481</v>
      </c>
      <c r="F129">
        <f t="shared" si="4"/>
        <v>3</v>
      </c>
    </row>
    <row r="130" spans="1:6">
      <c r="A130" s="83">
        <v>43556</v>
      </c>
      <c r="B130" t="s">
        <v>20</v>
      </c>
      <c r="C130" t="s">
        <v>21</v>
      </c>
      <c r="D130" t="s">
        <v>22</v>
      </c>
      <c r="E130">
        <v>1072</v>
      </c>
      <c r="F130">
        <f t="shared" si="4"/>
        <v>7</v>
      </c>
    </row>
    <row r="131" spans="1:6">
      <c r="A131" s="83">
        <v>43556</v>
      </c>
      <c r="B131" t="s">
        <v>20</v>
      </c>
      <c r="C131" t="s">
        <v>21</v>
      </c>
      <c r="D131" t="s">
        <v>26</v>
      </c>
      <c r="E131">
        <v>491</v>
      </c>
      <c r="F131">
        <f t="shared" ref="F131:F194" si="5">LEN(D131)</f>
        <v>5</v>
      </c>
    </row>
    <row r="132" spans="1:6">
      <c r="A132" s="83">
        <v>43556</v>
      </c>
      <c r="B132" t="s">
        <v>20</v>
      </c>
      <c r="C132" t="s">
        <v>24</v>
      </c>
      <c r="D132" t="s">
        <v>22</v>
      </c>
      <c r="E132">
        <v>2406</v>
      </c>
      <c r="F132">
        <f t="shared" si="5"/>
        <v>7</v>
      </c>
    </row>
    <row r="133" spans="1:6">
      <c r="A133" s="83">
        <v>43556</v>
      </c>
      <c r="B133" t="s">
        <v>20</v>
      </c>
      <c r="C133" t="s">
        <v>24</v>
      </c>
      <c r="D133" t="s">
        <v>23</v>
      </c>
      <c r="E133">
        <v>503</v>
      </c>
      <c r="F133">
        <f t="shared" si="5"/>
        <v>3</v>
      </c>
    </row>
    <row r="134" spans="1:6">
      <c r="A134" s="83">
        <v>43586</v>
      </c>
      <c r="B134" t="s">
        <v>20</v>
      </c>
      <c r="C134" t="s">
        <v>21</v>
      </c>
      <c r="D134" t="s">
        <v>26</v>
      </c>
      <c r="E134">
        <v>1236</v>
      </c>
      <c r="F134">
        <f t="shared" si="5"/>
        <v>5</v>
      </c>
    </row>
    <row r="135" spans="1:6">
      <c r="A135" s="83">
        <v>43586</v>
      </c>
      <c r="B135" t="s">
        <v>20</v>
      </c>
      <c r="C135" t="s">
        <v>21</v>
      </c>
      <c r="D135" t="s">
        <v>26</v>
      </c>
      <c r="E135">
        <v>565</v>
      </c>
      <c r="F135">
        <f t="shared" si="5"/>
        <v>5</v>
      </c>
    </row>
    <row r="136" spans="1:6">
      <c r="A136" s="83">
        <v>43586</v>
      </c>
      <c r="B136" t="s">
        <v>20</v>
      </c>
      <c r="C136" t="s">
        <v>24</v>
      </c>
      <c r="D136" t="s">
        <v>23</v>
      </c>
      <c r="E136">
        <v>2182</v>
      </c>
      <c r="F136">
        <f t="shared" si="5"/>
        <v>3</v>
      </c>
    </row>
    <row r="137" spans="1:6">
      <c r="A137" s="83">
        <v>43586</v>
      </c>
      <c r="B137" t="s">
        <v>20</v>
      </c>
      <c r="C137" t="s">
        <v>24</v>
      </c>
      <c r="D137" t="s">
        <v>22</v>
      </c>
      <c r="E137">
        <v>524</v>
      </c>
      <c r="F137">
        <f t="shared" si="5"/>
        <v>7</v>
      </c>
    </row>
    <row r="138" spans="1:6">
      <c r="A138" s="83">
        <v>43617</v>
      </c>
      <c r="B138" t="s">
        <v>20</v>
      </c>
      <c r="C138" t="s">
        <v>21</v>
      </c>
      <c r="D138" t="s">
        <v>23</v>
      </c>
      <c r="E138">
        <v>1483</v>
      </c>
      <c r="F138">
        <f t="shared" si="5"/>
        <v>3</v>
      </c>
    </row>
    <row r="139" spans="1:6">
      <c r="A139" s="83">
        <v>43617</v>
      </c>
      <c r="B139" t="s">
        <v>20</v>
      </c>
      <c r="C139" t="s">
        <v>21</v>
      </c>
      <c r="D139" t="s">
        <v>22</v>
      </c>
      <c r="E139">
        <v>423</v>
      </c>
      <c r="F139">
        <f t="shared" si="5"/>
        <v>7</v>
      </c>
    </row>
    <row r="140" spans="1:6">
      <c r="A140" s="83">
        <v>43617</v>
      </c>
      <c r="B140" t="s">
        <v>20</v>
      </c>
      <c r="C140" t="s">
        <v>24</v>
      </c>
      <c r="D140" t="s">
        <v>26</v>
      </c>
      <c r="E140">
        <v>2031</v>
      </c>
      <c r="F140">
        <f t="shared" si="5"/>
        <v>5</v>
      </c>
    </row>
    <row r="141" spans="1:6">
      <c r="A141" s="83">
        <v>43617</v>
      </c>
      <c r="B141" t="s">
        <v>20</v>
      </c>
      <c r="C141" t="s">
        <v>24</v>
      </c>
      <c r="D141" t="s">
        <v>23</v>
      </c>
      <c r="E141">
        <v>470</v>
      </c>
      <c r="F141">
        <f t="shared" si="5"/>
        <v>3</v>
      </c>
    </row>
    <row r="142" spans="1:6">
      <c r="A142" s="83">
        <v>43647</v>
      </c>
      <c r="B142" t="s">
        <v>20</v>
      </c>
      <c r="C142" t="s">
        <v>21</v>
      </c>
      <c r="D142" t="s">
        <v>26</v>
      </c>
      <c r="E142">
        <v>1444</v>
      </c>
      <c r="F142">
        <f t="shared" si="5"/>
        <v>5</v>
      </c>
    </row>
    <row r="143" spans="1:6">
      <c r="A143" s="83">
        <v>43647</v>
      </c>
      <c r="B143" t="s">
        <v>20</v>
      </c>
      <c r="C143" t="s">
        <v>21</v>
      </c>
      <c r="D143" t="s">
        <v>23</v>
      </c>
      <c r="E143">
        <v>356</v>
      </c>
      <c r="F143">
        <f t="shared" si="5"/>
        <v>3</v>
      </c>
    </row>
    <row r="144" spans="1:6">
      <c r="A144" s="83">
        <v>43647</v>
      </c>
      <c r="B144" t="s">
        <v>20</v>
      </c>
      <c r="C144" t="s">
        <v>24</v>
      </c>
      <c r="D144" t="s">
        <v>22</v>
      </c>
      <c r="E144">
        <v>1928</v>
      </c>
      <c r="F144">
        <f t="shared" si="5"/>
        <v>7</v>
      </c>
    </row>
    <row r="145" spans="1:6">
      <c r="A145" s="83">
        <v>43647</v>
      </c>
      <c r="B145" t="s">
        <v>20</v>
      </c>
      <c r="C145" t="s">
        <v>24</v>
      </c>
      <c r="D145" t="s">
        <v>26</v>
      </c>
      <c r="E145">
        <v>536</v>
      </c>
      <c r="F145">
        <f t="shared" si="5"/>
        <v>5</v>
      </c>
    </row>
    <row r="146" spans="1:6">
      <c r="A146" s="83">
        <v>43678</v>
      </c>
      <c r="B146" t="s">
        <v>20</v>
      </c>
      <c r="C146" t="s">
        <v>21</v>
      </c>
      <c r="D146" t="s">
        <v>22</v>
      </c>
      <c r="E146">
        <v>1476</v>
      </c>
      <c r="F146">
        <f t="shared" si="5"/>
        <v>7</v>
      </c>
    </row>
    <row r="147" spans="1:6">
      <c r="A147" s="83">
        <v>43678</v>
      </c>
      <c r="B147" t="s">
        <v>20</v>
      </c>
      <c r="C147" t="s">
        <v>21</v>
      </c>
      <c r="D147" t="s">
        <v>23</v>
      </c>
      <c r="E147">
        <v>387</v>
      </c>
      <c r="F147">
        <f t="shared" si="5"/>
        <v>3</v>
      </c>
    </row>
    <row r="148" spans="1:6">
      <c r="A148" s="83">
        <v>43678</v>
      </c>
      <c r="B148" t="s">
        <v>20</v>
      </c>
      <c r="C148" t="s">
        <v>24</v>
      </c>
      <c r="D148" t="s">
        <v>26</v>
      </c>
      <c r="E148">
        <v>1658</v>
      </c>
      <c r="F148">
        <f t="shared" si="5"/>
        <v>5</v>
      </c>
    </row>
    <row r="149" spans="1:6">
      <c r="A149" s="83">
        <v>43678</v>
      </c>
      <c r="B149" t="s">
        <v>20</v>
      </c>
      <c r="C149" t="s">
        <v>24</v>
      </c>
      <c r="D149" t="s">
        <v>26</v>
      </c>
      <c r="E149">
        <v>480</v>
      </c>
      <c r="F149">
        <f t="shared" si="5"/>
        <v>5</v>
      </c>
    </row>
    <row r="150" spans="1:6">
      <c r="A150" s="83">
        <v>43709</v>
      </c>
      <c r="B150" t="s">
        <v>20</v>
      </c>
      <c r="C150" t="s">
        <v>21</v>
      </c>
      <c r="D150" t="s">
        <v>23</v>
      </c>
      <c r="E150">
        <v>1727</v>
      </c>
      <c r="F150">
        <f t="shared" si="5"/>
        <v>3</v>
      </c>
    </row>
    <row r="151" spans="1:6">
      <c r="A151" s="83">
        <v>43709</v>
      </c>
      <c r="B151" t="s">
        <v>20</v>
      </c>
      <c r="C151" t="s">
        <v>21</v>
      </c>
      <c r="D151" t="s">
        <v>26</v>
      </c>
      <c r="E151">
        <v>405</v>
      </c>
      <c r="F151">
        <f t="shared" si="5"/>
        <v>5</v>
      </c>
    </row>
    <row r="152" spans="1:6">
      <c r="A152" s="83">
        <v>43709</v>
      </c>
      <c r="B152" t="s">
        <v>20</v>
      </c>
      <c r="C152" t="s">
        <v>24</v>
      </c>
      <c r="D152" t="s">
        <v>22</v>
      </c>
      <c r="E152">
        <v>1664</v>
      </c>
      <c r="F152">
        <f t="shared" si="5"/>
        <v>7</v>
      </c>
    </row>
    <row r="153" spans="1:6">
      <c r="A153" s="83">
        <v>43709</v>
      </c>
      <c r="B153" t="s">
        <v>20</v>
      </c>
      <c r="C153" t="s">
        <v>24</v>
      </c>
      <c r="D153" t="s">
        <v>23</v>
      </c>
      <c r="E153">
        <v>644</v>
      </c>
      <c r="F153">
        <f t="shared" si="5"/>
        <v>3</v>
      </c>
    </row>
    <row r="154" spans="1:6">
      <c r="A154" s="83">
        <v>43739</v>
      </c>
      <c r="B154" t="s">
        <v>20</v>
      </c>
      <c r="C154" t="s">
        <v>21</v>
      </c>
      <c r="D154" t="s">
        <v>22</v>
      </c>
      <c r="E154">
        <v>1327</v>
      </c>
      <c r="F154">
        <f t="shared" si="5"/>
        <v>7</v>
      </c>
    </row>
    <row r="155" spans="1:6">
      <c r="A155" s="83">
        <v>43739</v>
      </c>
      <c r="B155" t="s">
        <v>20</v>
      </c>
      <c r="C155" t="s">
        <v>21</v>
      </c>
      <c r="D155" t="s">
        <v>26</v>
      </c>
      <c r="E155">
        <v>387</v>
      </c>
      <c r="F155">
        <f t="shared" si="5"/>
        <v>5</v>
      </c>
    </row>
    <row r="156" spans="1:6">
      <c r="A156" s="83">
        <v>43739</v>
      </c>
      <c r="B156" t="s">
        <v>20</v>
      </c>
      <c r="C156" t="s">
        <v>24</v>
      </c>
      <c r="D156" t="s">
        <v>26</v>
      </c>
      <c r="E156">
        <v>1189</v>
      </c>
      <c r="F156">
        <f t="shared" si="5"/>
        <v>5</v>
      </c>
    </row>
    <row r="157" spans="1:6">
      <c r="A157" s="83">
        <v>43739</v>
      </c>
      <c r="B157" t="s">
        <v>20</v>
      </c>
      <c r="C157" t="s">
        <v>24</v>
      </c>
      <c r="D157" t="s">
        <v>23</v>
      </c>
      <c r="E157">
        <v>426</v>
      </c>
      <c r="F157">
        <f t="shared" si="5"/>
        <v>3</v>
      </c>
    </row>
    <row r="158" spans="1:6">
      <c r="A158" s="83">
        <v>43770</v>
      </c>
      <c r="B158" t="s">
        <v>20</v>
      </c>
      <c r="C158" t="s">
        <v>21</v>
      </c>
      <c r="D158" t="s">
        <v>26</v>
      </c>
      <c r="E158">
        <v>1744</v>
      </c>
      <c r="F158">
        <f t="shared" si="5"/>
        <v>5</v>
      </c>
    </row>
    <row r="159" spans="1:6">
      <c r="A159" s="83">
        <v>43770</v>
      </c>
      <c r="B159" t="s">
        <v>20</v>
      </c>
      <c r="C159" t="s">
        <v>21</v>
      </c>
      <c r="D159" t="s">
        <v>22</v>
      </c>
      <c r="E159">
        <v>441</v>
      </c>
      <c r="F159">
        <f t="shared" si="5"/>
        <v>7</v>
      </c>
    </row>
    <row r="160" spans="1:6">
      <c r="A160" s="83">
        <v>43770</v>
      </c>
      <c r="B160" t="s">
        <v>20</v>
      </c>
      <c r="C160" t="s">
        <v>24</v>
      </c>
      <c r="D160" t="s">
        <v>22</v>
      </c>
      <c r="E160">
        <v>1358</v>
      </c>
      <c r="F160">
        <f t="shared" si="5"/>
        <v>7</v>
      </c>
    </row>
    <row r="161" spans="1:6">
      <c r="A161" s="83">
        <v>43770</v>
      </c>
      <c r="B161" t="s">
        <v>20</v>
      </c>
      <c r="C161" t="s">
        <v>24</v>
      </c>
      <c r="D161" t="s">
        <v>26</v>
      </c>
      <c r="E161">
        <v>568</v>
      </c>
      <c r="F161">
        <f t="shared" si="5"/>
        <v>5</v>
      </c>
    </row>
    <row r="162" spans="1:6">
      <c r="A162" s="83">
        <v>43800</v>
      </c>
      <c r="B162" t="s">
        <v>20</v>
      </c>
      <c r="C162" t="s">
        <v>21</v>
      </c>
      <c r="D162" t="s">
        <v>23</v>
      </c>
      <c r="E162">
        <v>1257</v>
      </c>
      <c r="F162">
        <f t="shared" si="5"/>
        <v>3</v>
      </c>
    </row>
    <row r="163" spans="1:6">
      <c r="A163" s="83">
        <v>43800</v>
      </c>
      <c r="B163" t="s">
        <v>20</v>
      </c>
      <c r="C163" t="s">
        <v>21</v>
      </c>
      <c r="D163" t="s">
        <v>22</v>
      </c>
      <c r="E163">
        <v>455</v>
      </c>
      <c r="F163">
        <f t="shared" si="5"/>
        <v>7</v>
      </c>
    </row>
    <row r="164" spans="1:6">
      <c r="A164" s="83">
        <v>43800</v>
      </c>
      <c r="B164" t="s">
        <v>20</v>
      </c>
      <c r="C164" t="s">
        <v>24</v>
      </c>
      <c r="D164" t="s">
        <v>23</v>
      </c>
      <c r="E164">
        <v>1316</v>
      </c>
      <c r="F164">
        <f t="shared" si="5"/>
        <v>3</v>
      </c>
    </row>
    <row r="165" spans="1:6">
      <c r="A165" s="83">
        <v>43800</v>
      </c>
      <c r="B165" t="s">
        <v>20</v>
      </c>
      <c r="C165" t="s">
        <v>24</v>
      </c>
      <c r="D165" t="s">
        <v>22</v>
      </c>
      <c r="E165">
        <v>699</v>
      </c>
      <c r="F165">
        <f t="shared" si="5"/>
        <v>7</v>
      </c>
    </row>
    <row r="166" spans="1:6">
      <c r="A166" s="83">
        <v>42917</v>
      </c>
      <c r="B166" t="s">
        <v>20</v>
      </c>
      <c r="C166" t="s">
        <v>21</v>
      </c>
      <c r="D166" t="s">
        <v>26</v>
      </c>
      <c r="E166">
        <v>193</v>
      </c>
      <c r="F166">
        <f t="shared" si="5"/>
        <v>5</v>
      </c>
    </row>
    <row r="167" spans="1:6">
      <c r="A167" s="83">
        <v>42917</v>
      </c>
      <c r="B167" t="s">
        <v>20</v>
      </c>
      <c r="C167" t="s">
        <v>21</v>
      </c>
      <c r="D167" t="s">
        <v>26</v>
      </c>
      <c r="E167">
        <v>854</v>
      </c>
      <c r="F167">
        <f t="shared" si="5"/>
        <v>5</v>
      </c>
    </row>
    <row r="168" spans="1:6">
      <c r="A168" s="83">
        <v>42917</v>
      </c>
      <c r="B168" t="s">
        <v>20</v>
      </c>
      <c r="C168" t="s">
        <v>21</v>
      </c>
      <c r="D168" t="s">
        <v>26</v>
      </c>
      <c r="E168">
        <v>203</v>
      </c>
      <c r="F168">
        <f t="shared" si="5"/>
        <v>5</v>
      </c>
    </row>
    <row r="169" spans="1:6">
      <c r="A169" s="83">
        <v>42917</v>
      </c>
      <c r="B169" t="s">
        <v>20</v>
      </c>
      <c r="C169" t="s">
        <v>24</v>
      </c>
      <c r="D169" t="s">
        <v>22</v>
      </c>
      <c r="E169">
        <v>114</v>
      </c>
      <c r="F169">
        <f t="shared" si="5"/>
        <v>7</v>
      </c>
    </row>
    <row r="170" spans="1:6">
      <c r="A170" s="83">
        <v>42917</v>
      </c>
      <c r="B170" t="s">
        <v>20</v>
      </c>
      <c r="C170" t="s">
        <v>24</v>
      </c>
      <c r="D170" t="s">
        <v>26</v>
      </c>
      <c r="E170">
        <v>138</v>
      </c>
      <c r="F170">
        <f t="shared" si="5"/>
        <v>5</v>
      </c>
    </row>
    <row r="171" spans="1:6">
      <c r="A171" s="83">
        <v>42917</v>
      </c>
      <c r="B171" t="s">
        <v>20</v>
      </c>
      <c r="C171" t="s">
        <v>24</v>
      </c>
      <c r="D171" t="s">
        <v>23</v>
      </c>
      <c r="E171">
        <v>146</v>
      </c>
      <c r="F171">
        <f t="shared" si="5"/>
        <v>3</v>
      </c>
    </row>
    <row r="172" spans="1:6">
      <c r="A172" s="83">
        <v>42948</v>
      </c>
      <c r="B172" t="s">
        <v>20</v>
      </c>
      <c r="C172" t="s">
        <v>21</v>
      </c>
      <c r="D172" t="s">
        <v>22</v>
      </c>
      <c r="E172">
        <v>175</v>
      </c>
      <c r="F172">
        <f t="shared" si="5"/>
        <v>7</v>
      </c>
    </row>
    <row r="173" spans="1:6">
      <c r="A173" s="83">
        <v>42948</v>
      </c>
      <c r="B173" t="s">
        <v>20</v>
      </c>
      <c r="C173" t="s">
        <v>21</v>
      </c>
      <c r="D173" t="s">
        <v>23</v>
      </c>
      <c r="E173">
        <v>931</v>
      </c>
      <c r="F173">
        <f t="shared" si="5"/>
        <v>3</v>
      </c>
    </row>
    <row r="174" spans="1:6">
      <c r="A174" s="83">
        <v>42948</v>
      </c>
      <c r="B174" t="s">
        <v>20</v>
      </c>
      <c r="C174" t="s">
        <v>21</v>
      </c>
      <c r="D174" t="s">
        <v>26</v>
      </c>
      <c r="E174">
        <v>203</v>
      </c>
      <c r="F174">
        <f t="shared" si="5"/>
        <v>5</v>
      </c>
    </row>
    <row r="175" spans="1:6">
      <c r="A175" s="83">
        <v>42948</v>
      </c>
      <c r="B175" t="s">
        <v>20</v>
      </c>
      <c r="C175" t="s">
        <v>24</v>
      </c>
      <c r="D175" t="s">
        <v>22</v>
      </c>
      <c r="E175">
        <v>79</v>
      </c>
      <c r="F175">
        <f t="shared" si="5"/>
        <v>7</v>
      </c>
    </row>
    <row r="176" spans="1:6">
      <c r="A176" s="83">
        <v>42948</v>
      </c>
      <c r="B176" t="s">
        <v>20</v>
      </c>
      <c r="C176" t="s">
        <v>24</v>
      </c>
      <c r="D176" t="s">
        <v>22</v>
      </c>
      <c r="E176">
        <v>151</v>
      </c>
      <c r="F176">
        <f t="shared" si="5"/>
        <v>7</v>
      </c>
    </row>
    <row r="177" spans="1:6">
      <c r="A177" s="83">
        <v>42948</v>
      </c>
      <c r="B177" t="s">
        <v>20</v>
      </c>
      <c r="C177" t="s">
        <v>24</v>
      </c>
      <c r="D177" t="s">
        <v>26</v>
      </c>
      <c r="E177">
        <v>158</v>
      </c>
      <c r="F177">
        <f t="shared" si="5"/>
        <v>5</v>
      </c>
    </row>
    <row r="178" spans="1:6">
      <c r="A178" s="83">
        <v>42979</v>
      </c>
      <c r="B178" t="s">
        <v>20</v>
      </c>
      <c r="C178" t="s">
        <v>21</v>
      </c>
      <c r="D178" t="s">
        <v>26</v>
      </c>
      <c r="E178">
        <v>193</v>
      </c>
      <c r="F178">
        <f t="shared" si="5"/>
        <v>5</v>
      </c>
    </row>
    <row r="179" spans="1:6">
      <c r="A179" s="83">
        <v>42979</v>
      </c>
      <c r="B179" t="s">
        <v>20</v>
      </c>
      <c r="C179" t="s">
        <v>21</v>
      </c>
      <c r="D179" t="s">
        <v>26</v>
      </c>
      <c r="E179">
        <v>981</v>
      </c>
      <c r="F179">
        <f t="shared" si="5"/>
        <v>5</v>
      </c>
    </row>
    <row r="180" spans="1:6">
      <c r="A180" s="83">
        <v>42979</v>
      </c>
      <c r="B180" t="s">
        <v>20</v>
      </c>
      <c r="C180" t="s">
        <v>21</v>
      </c>
      <c r="D180" t="s">
        <v>23</v>
      </c>
      <c r="E180">
        <v>180</v>
      </c>
      <c r="F180">
        <f t="shared" si="5"/>
        <v>3</v>
      </c>
    </row>
    <row r="181" spans="1:6">
      <c r="A181" s="83">
        <v>42979</v>
      </c>
      <c r="B181" t="s">
        <v>20</v>
      </c>
      <c r="C181" t="s">
        <v>24</v>
      </c>
      <c r="D181" t="s">
        <v>22</v>
      </c>
      <c r="E181">
        <v>61</v>
      </c>
      <c r="F181">
        <f t="shared" si="5"/>
        <v>7</v>
      </c>
    </row>
    <row r="182" spans="1:6">
      <c r="A182" s="83">
        <v>42979</v>
      </c>
      <c r="B182" t="s">
        <v>20</v>
      </c>
      <c r="C182" t="s">
        <v>24</v>
      </c>
      <c r="D182" t="s">
        <v>26</v>
      </c>
      <c r="E182">
        <v>151</v>
      </c>
      <c r="F182">
        <f t="shared" si="5"/>
        <v>5</v>
      </c>
    </row>
    <row r="183" spans="1:6">
      <c r="A183" s="83">
        <v>42979</v>
      </c>
      <c r="B183" t="s">
        <v>20</v>
      </c>
      <c r="C183" t="s">
        <v>24</v>
      </c>
      <c r="D183" t="s">
        <v>22</v>
      </c>
      <c r="E183">
        <v>191</v>
      </c>
      <c r="F183">
        <f t="shared" si="5"/>
        <v>7</v>
      </c>
    </row>
    <row r="184" spans="1:6">
      <c r="A184" s="83">
        <v>43009</v>
      </c>
      <c r="B184" t="s">
        <v>20</v>
      </c>
      <c r="C184" t="s">
        <v>21</v>
      </c>
      <c r="D184" t="s">
        <v>23</v>
      </c>
      <c r="E184">
        <v>210</v>
      </c>
      <c r="F184">
        <f t="shared" si="5"/>
        <v>3</v>
      </c>
    </row>
    <row r="185" spans="1:6">
      <c r="A185" s="83">
        <v>43009</v>
      </c>
      <c r="B185" t="s">
        <v>20</v>
      </c>
      <c r="C185" t="s">
        <v>21</v>
      </c>
      <c r="D185" t="s">
        <v>22</v>
      </c>
      <c r="E185">
        <v>1041</v>
      </c>
      <c r="F185">
        <f t="shared" si="5"/>
        <v>7</v>
      </c>
    </row>
    <row r="186" spans="1:6">
      <c r="A186" s="83">
        <v>43009</v>
      </c>
      <c r="B186" t="s">
        <v>20</v>
      </c>
      <c r="C186" t="s">
        <v>21</v>
      </c>
      <c r="D186" t="s">
        <v>26</v>
      </c>
      <c r="E186">
        <v>135</v>
      </c>
      <c r="F186">
        <f t="shared" si="5"/>
        <v>5</v>
      </c>
    </row>
    <row r="187" spans="1:6">
      <c r="A187" s="83">
        <v>43009</v>
      </c>
      <c r="B187" t="s">
        <v>20</v>
      </c>
      <c r="C187" t="s">
        <v>24</v>
      </c>
      <c r="D187" t="s">
        <v>26</v>
      </c>
      <c r="E187">
        <v>53</v>
      </c>
      <c r="F187">
        <f t="shared" si="5"/>
        <v>5</v>
      </c>
    </row>
    <row r="188" spans="1:6">
      <c r="A188" s="83">
        <v>43009</v>
      </c>
      <c r="B188" t="s">
        <v>20</v>
      </c>
      <c r="C188" t="s">
        <v>24</v>
      </c>
      <c r="D188" t="s">
        <v>26</v>
      </c>
      <c r="E188">
        <v>206</v>
      </c>
      <c r="F188">
        <f t="shared" si="5"/>
        <v>5</v>
      </c>
    </row>
    <row r="189" spans="1:6">
      <c r="A189" s="83">
        <v>43009</v>
      </c>
      <c r="B189" t="s">
        <v>20</v>
      </c>
      <c r="C189" t="s">
        <v>24</v>
      </c>
      <c r="D189" t="s">
        <v>22</v>
      </c>
      <c r="E189">
        <v>101</v>
      </c>
      <c r="F189">
        <f t="shared" si="5"/>
        <v>7</v>
      </c>
    </row>
    <row r="190" spans="1:6">
      <c r="A190" s="83">
        <v>43040</v>
      </c>
      <c r="B190" t="s">
        <v>20</v>
      </c>
      <c r="C190" t="s">
        <v>21</v>
      </c>
      <c r="D190" t="s">
        <v>22</v>
      </c>
      <c r="E190">
        <v>175</v>
      </c>
      <c r="F190">
        <f t="shared" si="5"/>
        <v>7</v>
      </c>
    </row>
    <row r="191" spans="1:6">
      <c r="A191" s="83">
        <v>43040</v>
      </c>
      <c r="B191" t="s">
        <v>20</v>
      </c>
      <c r="C191" t="s">
        <v>21</v>
      </c>
      <c r="D191" t="s">
        <v>26</v>
      </c>
      <c r="E191">
        <v>1011</v>
      </c>
      <c r="F191">
        <f t="shared" si="5"/>
        <v>5</v>
      </c>
    </row>
    <row r="192" spans="1:6">
      <c r="A192" s="83">
        <v>43040</v>
      </c>
      <c r="B192" t="s">
        <v>20</v>
      </c>
      <c r="C192" t="s">
        <v>21</v>
      </c>
      <c r="D192" t="s">
        <v>26</v>
      </c>
      <c r="E192">
        <v>225</v>
      </c>
      <c r="F192">
        <f t="shared" si="5"/>
        <v>5</v>
      </c>
    </row>
    <row r="193" spans="1:6">
      <c r="A193" s="83">
        <v>43040</v>
      </c>
      <c r="B193" t="s">
        <v>20</v>
      </c>
      <c r="C193" t="s">
        <v>24</v>
      </c>
      <c r="D193" t="s">
        <v>26</v>
      </c>
      <c r="E193">
        <v>105</v>
      </c>
      <c r="F193">
        <f t="shared" si="5"/>
        <v>5</v>
      </c>
    </row>
    <row r="194" spans="1:6">
      <c r="A194" s="83">
        <v>43040</v>
      </c>
      <c r="B194" t="s">
        <v>20</v>
      </c>
      <c r="C194" t="s">
        <v>24</v>
      </c>
      <c r="D194" t="s">
        <v>26</v>
      </c>
      <c r="E194">
        <v>124</v>
      </c>
      <c r="F194">
        <f t="shared" si="5"/>
        <v>5</v>
      </c>
    </row>
    <row r="195" spans="1:6">
      <c r="A195" s="83">
        <v>43040</v>
      </c>
      <c r="B195" t="s">
        <v>20</v>
      </c>
      <c r="C195" t="s">
        <v>24</v>
      </c>
      <c r="D195" t="s">
        <v>23</v>
      </c>
      <c r="E195">
        <v>113</v>
      </c>
      <c r="F195">
        <f t="shared" ref="F195:F258" si="6">LEN(D195)</f>
        <v>3</v>
      </c>
    </row>
    <row r="196" spans="1:6">
      <c r="A196" s="83">
        <v>43070</v>
      </c>
      <c r="B196" t="s">
        <v>20</v>
      </c>
      <c r="C196" t="s">
        <v>21</v>
      </c>
      <c r="D196" t="s">
        <v>23</v>
      </c>
      <c r="E196">
        <v>140</v>
      </c>
      <c r="F196">
        <f t="shared" si="6"/>
        <v>3</v>
      </c>
    </row>
    <row r="197" spans="1:6">
      <c r="A197" s="83">
        <v>43070</v>
      </c>
      <c r="B197" t="s">
        <v>20</v>
      </c>
      <c r="C197" t="s">
        <v>21</v>
      </c>
      <c r="D197" t="s">
        <v>23</v>
      </c>
      <c r="E197">
        <v>849</v>
      </c>
      <c r="F197">
        <f t="shared" si="6"/>
        <v>3</v>
      </c>
    </row>
    <row r="198" spans="1:6">
      <c r="A198" s="83">
        <v>43070</v>
      </c>
      <c r="B198" t="s">
        <v>20</v>
      </c>
      <c r="C198" t="s">
        <v>21</v>
      </c>
      <c r="D198" t="s">
        <v>22</v>
      </c>
      <c r="E198">
        <v>248</v>
      </c>
      <c r="F198">
        <f t="shared" si="6"/>
        <v>7</v>
      </c>
    </row>
    <row r="199" spans="1:6">
      <c r="A199" s="83">
        <v>43070</v>
      </c>
      <c r="B199" t="s">
        <v>20</v>
      </c>
      <c r="C199" t="s">
        <v>24</v>
      </c>
      <c r="D199" t="s">
        <v>26</v>
      </c>
      <c r="E199">
        <v>123</v>
      </c>
      <c r="F199">
        <f t="shared" si="6"/>
        <v>5</v>
      </c>
    </row>
    <row r="200" spans="1:6">
      <c r="A200" s="83">
        <v>43070</v>
      </c>
      <c r="B200" t="s">
        <v>20</v>
      </c>
      <c r="C200" t="s">
        <v>24</v>
      </c>
      <c r="D200" t="s">
        <v>26</v>
      </c>
      <c r="E200">
        <v>151</v>
      </c>
      <c r="F200">
        <f t="shared" si="6"/>
        <v>5</v>
      </c>
    </row>
    <row r="201" spans="1:6">
      <c r="A201" s="83">
        <v>43070</v>
      </c>
      <c r="B201" t="s">
        <v>20</v>
      </c>
      <c r="C201" t="s">
        <v>24</v>
      </c>
      <c r="D201" t="s">
        <v>26</v>
      </c>
      <c r="E201">
        <v>135</v>
      </c>
      <c r="F201">
        <f t="shared" si="6"/>
        <v>5</v>
      </c>
    </row>
    <row r="202" spans="1:6">
      <c r="A202" s="83">
        <v>43101</v>
      </c>
      <c r="B202" t="s">
        <v>20</v>
      </c>
      <c r="C202" t="s">
        <v>21</v>
      </c>
      <c r="D202" t="s">
        <v>26</v>
      </c>
      <c r="E202">
        <v>140</v>
      </c>
      <c r="F202">
        <f t="shared" si="6"/>
        <v>5</v>
      </c>
    </row>
    <row r="203" spans="1:6">
      <c r="A203" s="83">
        <v>43101</v>
      </c>
      <c r="B203" t="s">
        <v>20</v>
      </c>
      <c r="C203" t="s">
        <v>21</v>
      </c>
      <c r="D203" t="s">
        <v>26</v>
      </c>
      <c r="E203">
        <v>912</v>
      </c>
      <c r="F203">
        <f t="shared" si="6"/>
        <v>5</v>
      </c>
    </row>
    <row r="204" spans="1:6">
      <c r="A204" s="83">
        <v>43101</v>
      </c>
      <c r="B204" t="s">
        <v>20</v>
      </c>
      <c r="C204" t="s">
        <v>21</v>
      </c>
      <c r="D204" t="s">
        <v>26</v>
      </c>
      <c r="E204">
        <v>293</v>
      </c>
      <c r="F204">
        <f t="shared" si="6"/>
        <v>5</v>
      </c>
    </row>
    <row r="205" spans="1:6">
      <c r="A205" s="83">
        <v>43101</v>
      </c>
      <c r="B205" t="s">
        <v>20</v>
      </c>
      <c r="C205" t="s">
        <v>24</v>
      </c>
      <c r="D205" t="s">
        <v>22</v>
      </c>
      <c r="E205">
        <v>114</v>
      </c>
      <c r="F205">
        <f t="shared" si="6"/>
        <v>7</v>
      </c>
    </row>
    <row r="206" spans="1:6">
      <c r="A206" s="83">
        <v>43101</v>
      </c>
      <c r="B206" t="s">
        <v>20</v>
      </c>
      <c r="C206" t="s">
        <v>24</v>
      </c>
      <c r="D206" t="s">
        <v>26</v>
      </c>
      <c r="E206">
        <v>151</v>
      </c>
      <c r="F206">
        <f t="shared" si="6"/>
        <v>5</v>
      </c>
    </row>
    <row r="207" spans="1:6">
      <c r="A207" s="83">
        <v>43101</v>
      </c>
      <c r="B207" t="s">
        <v>20</v>
      </c>
      <c r="C207" t="s">
        <v>24</v>
      </c>
      <c r="D207" t="s">
        <v>26</v>
      </c>
      <c r="E207">
        <v>124</v>
      </c>
      <c r="F207">
        <f t="shared" si="6"/>
        <v>5</v>
      </c>
    </row>
    <row r="208" spans="1:6">
      <c r="A208" s="83">
        <v>43132</v>
      </c>
      <c r="B208" t="s">
        <v>20</v>
      </c>
      <c r="C208" t="s">
        <v>21</v>
      </c>
      <c r="D208" t="s">
        <v>23</v>
      </c>
      <c r="E208">
        <v>88</v>
      </c>
      <c r="F208">
        <f t="shared" si="6"/>
        <v>3</v>
      </c>
    </row>
    <row r="209" spans="1:6">
      <c r="A209" s="83">
        <v>43132</v>
      </c>
      <c r="B209" t="s">
        <v>20</v>
      </c>
      <c r="C209" t="s">
        <v>21</v>
      </c>
      <c r="D209" t="s">
        <v>26</v>
      </c>
      <c r="E209">
        <v>873</v>
      </c>
      <c r="F209">
        <f t="shared" si="6"/>
        <v>5</v>
      </c>
    </row>
    <row r="210" spans="1:6">
      <c r="A210" s="83">
        <v>43132</v>
      </c>
      <c r="B210" t="s">
        <v>20</v>
      </c>
      <c r="C210" t="s">
        <v>21</v>
      </c>
      <c r="D210" t="s">
        <v>23</v>
      </c>
      <c r="E210">
        <v>180</v>
      </c>
      <c r="F210">
        <f t="shared" si="6"/>
        <v>3</v>
      </c>
    </row>
    <row r="211" spans="1:6">
      <c r="A211" s="83">
        <v>43132</v>
      </c>
      <c r="B211" t="s">
        <v>20</v>
      </c>
      <c r="C211" t="s">
        <v>24</v>
      </c>
      <c r="D211" t="s">
        <v>26</v>
      </c>
      <c r="E211">
        <v>140</v>
      </c>
      <c r="F211">
        <f t="shared" si="6"/>
        <v>5</v>
      </c>
    </row>
    <row r="212" spans="1:6">
      <c r="A212" s="83">
        <v>43132</v>
      </c>
      <c r="B212" t="s">
        <v>20</v>
      </c>
      <c r="C212" t="s">
        <v>24</v>
      </c>
      <c r="D212" t="s">
        <v>22</v>
      </c>
      <c r="E212">
        <v>179</v>
      </c>
      <c r="F212">
        <f t="shared" si="6"/>
        <v>7</v>
      </c>
    </row>
    <row r="213" spans="1:6">
      <c r="A213" s="83">
        <v>43132</v>
      </c>
      <c r="B213" t="s">
        <v>20</v>
      </c>
      <c r="C213" t="s">
        <v>24</v>
      </c>
      <c r="D213" t="s">
        <v>26</v>
      </c>
      <c r="E213">
        <v>146</v>
      </c>
      <c r="F213">
        <f t="shared" si="6"/>
        <v>5</v>
      </c>
    </row>
    <row r="214" spans="1:6">
      <c r="A214" s="83">
        <v>43160</v>
      </c>
      <c r="B214" t="s">
        <v>20</v>
      </c>
      <c r="C214" t="s">
        <v>21</v>
      </c>
      <c r="D214" t="s">
        <v>23</v>
      </c>
      <c r="E214">
        <v>70</v>
      </c>
      <c r="F214">
        <f t="shared" si="6"/>
        <v>3</v>
      </c>
    </row>
    <row r="215" spans="1:6">
      <c r="A215" s="83">
        <v>43160</v>
      </c>
      <c r="B215" t="s">
        <v>20</v>
      </c>
      <c r="C215" t="s">
        <v>21</v>
      </c>
      <c r="D215" t="s">
        <v>26</v>
      </c>
      <c r="E215">
        <v>841</v>
      </c>
      <c r="F215">
        <f t="shared" si="6"/>
        <v>5</v>
      </c>
    </row>
    <row r="216" spans="1:6">
      <c r="A216" s="83">
        <v>43160</v>
      </c>
      <c r="B216" t="s">
        <v>20</v>
      </c>
      <c r="C216" t="s">
        <v>21</v>
      </c>
      <c r="D216" t="s">
        <v>23</v>
      </c>
      <c r="E216">
        <v>90</v>
      </c>
      <c r="F216">
        <f t="shared" si="6"/>
        <v>3</v>
      </c>
    </row>
    <row r="217" spans="1:6">
      <c r="A217" s="83">
        <v>43160</v>
      </c>
      <c r="B217" t="s">
        <v>20</v>
      </c>
      <c r="C217" t="s">
        <v>24</v>
      </c>
      <c r="D217" t="s">
        <v>23</v>
      </c>
      <c r="E217">
        <v>131</v>
      </c>
      <c r="F217">
        <f t="shared" si="6"/>
        <v>3</v>
      </c>
    </row>
    <row r="218" spans="1:6">
      <c r="A218" s="83">
        <v>43160</v>
      </c>
      <c r="B218" t="s">
        <v>20</v>
      </c>
      <c r="C218" t="s">
        <v>24</v>
      </c>
      <c r="D218" t="s">
        <v>26</v>
      </c>
      <c r="E218">
        <v>151</v>
      </c>
      <c r="F218">
        <f t="shared" si="6"/>
        <v>5</v>
      </c>
    </row>
    <row r="219" spans="1:6">
      <c r="A219" s="83">
        <v>43160</v>
      </c>
      <c r="B219" t="s">
        <v>20</v>
      </c>
      <c r="C219" t="s">
        <v>24</v>
      </c>
      <c r="D219" t="s">
        <v>26</v>
      </c>
      <c r="E219">
        <v>124</v>
      </c>
      <c r="F219">
        <f t="shared" si="6"/>
        <v>5</v>
      </c>
    </row>
    <row r="220" spans="1:6">
      <c r="A220" s="83">
        <v>43191</v>
      </c>
      <c r="B220" t="s">
        <v>20</v>
      </c>
      <c r="C220" t="s">
        <v>21</v>
      </c>
      <c r="D220" t="s">
        <v>26</v>
      </c>
      <c r="E220">
        <v>70</v>
      </c>
      <c r="F220">
        <f t="shared" si="6"/>
        <v>5</v>
      </c>
    </row>
    <row r="221" spans="1:6">
      <c r="A221" s="83">
        <v>43191</v>
      </c>
      <c r="B221" t="s">
        <v>20</v>
      </c>
      <c r="C221" t="s">
        <v>21</v>
      </c>
      <c r="D221" t="s">
        <v>22</v>
      </c>
      <c r="E221">
        <v>921</v>
      </c>
      <c r="F221">
        <f t="shared" si="6"/>
        <v>7</v>
      </c>
    </row>
    <row r="222" spans="1:6">
      <c r="A222" s="83">
        <v>43191</v>
      </c>
      <c r="B222" t="s">
        <v>20</v>
      </c>
      <c r="C222" t="s">
        <v>21</v>
      </c>
      <c r="D222" t="s">
        <v>23</v>
      </c>
      <c r="E222">
        <v>113</v>
      </c>
      <c r="F222">
        <f t="shared" si="6"/>
        <v>3</v>
      </c>
    </row>
    <row r="223" spans="1:6">
      <c r="A223" s="83">
        <v>43191</v>
      </c>
      <c r="B223" t="s">
        <v>20</v>
      </c>
      <c r="C223" t="s">
        <v>24</v>
      </c>
      <c r="D223" t="s">
        <v>26</v>
      </c>
      <c r="E223">
        <v>140</v>
      </c>
      <c r="F223">
        <f t="shared" si="6"/>
        <v>5</v>
      </c>
    </row>
    <row r="224" spans="1:6">
      <c r="A224" s="83">
        <v>43191</v>
      </c>
      <c r="B224" t="s">
        <v>20</v>
      </c>
      <c r="C224" t="s">
        <v>24</v>
      </c>
      <c r="D224" t="s">
        <v>26</v>
      </c>
      <c r="E224">
        <v>165</v>
      </c>
      <c r="F224">
        <f t="shared" si="6"/>
        <v>5</v>
      </c>
    </row>
    <row r="225" spans="1:6">
      <c r="A225" s="83">
        <v>43191</v>
      </c>
      <c r="B225" t="s">
        <v>20</v>
      </c>
      <c r="C225" t="s">
        <v>24</v>
      </c>
      <c r="D225" t="s">
        <v>22</v>
      </c>
      <c r="E225">
        <v>146</v>
      </c>
      <c r="F225">
        <f t="shared" si="6"/>
        <v>7</v>
      </c>
    </row>
    <row r="226" spans="1:6">
      <c r="A226" s="83">
        <v>43221</v>
      </c>
      <c r="B226" t="s">
        <v>20</v>
      </c>
      <c r="C226" t="s">
        <v>21</v>
      </c>
      <c r="D226" t="s">
        <v>26</v>
      </c>
      <c r="E226">
        <v>88</v>
      </c>
      <c r="F226">
        <f t="shared" si="6"/>
        <v>5</v>
      </c>
    </row>
    <row r="227" spans="1:6">
      <c r="A227" s="83">
        <v>43221</v>
      </c>
      <c r="B227" t="s">
        <v>20</v>
      </c>
      <c r="C227" t="s">
        <v>21</v>
      </c>
      <c r="D227" t="s">
        <v>23</v>
      </c>
      <c r="E227">
        <v>950</v>
      </c>
      <c r="F227">
        <f t="shared" si="6"/>
        <v>3</v>
      </c>
    </row>
    <row r="228" spans="1:6">
      <c r="A228" s="83">
        <v>43221</v>
      </c>
      <c r="B228" t="s">
        <v>20</v>
      </c>
      <c r="C228" t="s">
        <v>21</v>
      </c>
      <c r="D228" t="s">
        <v>23</v>
      </c>
      <c r="E228">
        <v>90</v>
      </c>
      <c r="F228">
        <f t="shared" si="6"/>
        <v>3</v>
      </c>
    </row>
    <row r="229" spans="1:6">
      <c r="A229" s="83">
        <v>43221</v>
      </c>
      <c r="B229" t="s">
        <v>20</v>
      </c>
      <c r="C229" t="s">
        <v>24</v>
      </c>
      <c r="D229" t="s">
        <v>23</v>
      </c>
      <c r="E229">
        <v>140</v>
      </c>
      <c r="F229">
        <f t="shared" si="6"/>
        <v>3</v>
      </c>
    </row>
    <row r="230" spans="1:6">
      <c r="A230" s="83">
        <v>43221</v>
      </c>
      <c r="B230" t="s">
        <v>20</v>
      </c>
      <c r="C230" t="s">
        <v>24</v>
      </c>
      <c r="D230" t="s">
        <v>26</v>
      </c>
      <c r="E230">
        <v>193</v>
      </c>
      <c r="F230">
        <f t="shared" si="6"/>
        <v>5</v>
      </c>
    </row>
    <row r="231" spans="1:6">
      <c r="A231" s="83">
        <v>43221</v>
      </c>
      <c r="B231" t="s">
        <v>20</v>
      </c>
      <c r="C231" t="s">
        <v>24</v>
      </c>
      <c r="D231" t="s">
        <v>26</v>
      </c>
      <c r="E231">
        <v>180</v>
      </c>
      <c r="F231">
        <f t="shared" si="6"/>
        <v>5</v>
      </c>
    </row>
    <row r="232" spans="1:6">
      <c r="A232" s="83">
        <v>43252</v>
      </c>
      <c r="B232" t="s">
        <v>20</v>
      </c>
      <c r="C232" t="s">
        <v>21</v>
      </c>
      <c r="D232" t="s">
        <v>22</v>
      </c>
      <c r="E232">
        <v>123</v>
      </c>
      <c r="F232">
        <f t="shared" si="6"/>
        <v>7</v>
      </c>
    </row>
    <row r="233" spans="1:6">
      <c r="A233" s="83">
        <v>43252</v>
      </c>
      <c r="B233" t="s">
        <v>20</v>
      </c>
      <c r="C233" t="s">
        <v>21</v>
      </c>
      <c r="D233" t="s">
        <v>22</v>
      </c>
      <c r="E233">
        <v>549</v>
      </c>
      <c r="F233">
        <f t="shared" si="6"/>
        <v>7</v>
      </c>
    </row>
    <row r="234" spans="1:6">
      <c r="A234" s="83">
        <v>43252</v>
      </c>
      <c r="B234" t="s">
        <v>20</v>
      </c>
      <c r="C234" t="s">
        <v>21</v>
      </c>
      <c r="D234" t="s">
        <v>22</v>
      </c>
      <c r="E234">
        <v>45</v>
      </c>
      <c r="F234">
        <f t="shared" si="6"/>
        <v>7</v>
      </c>
    </row>
    <row r="235" spans="1:6">
      <c r="A235" s="83">
        <v>43252</v>
      </c>
      <c r="B235" t="s">
        <v>20</v>
      </c>
      <c r="C235" t="s">
        <v>24</v>
      </c>
      <c r="D235" t="s">
        <v>26</v>
      </c>
      <c r="E235">
        <v>149</v>
      </c>
      <c r="F235">
        <f t="shared" si="6"/>
        <v>5</v>
      </c>
    </row>
    <row r="236" spans="1:6">
      <c r="A236" s="83">
        <v>43252</v>
      </c>
      <c r="B236" t="s">
        <v>20</v>
      </c>
      <c r="C236" t="s">
        <v>24</v>
      </c>
      <c r="D236" t="s">
        <v>23</v>
      </c>
      <c r="E236">
        <v>220</v>
      </c>
      <c r="F236">
        <f t="shared" si="6"/>
        <v>3</v>
      </c>
    </row>
    <row r="237" spans="1:6">
      <c r="A237" s="83">
        <v>43252</v>
      </c>
      <c r="B237" t="s">
        <v>20</v>
      </c>
      <c r="C237" t="s">
        <v>24</v>
      </c>
      <c r="D237" t="s">
        <v>22</v>
      </c>
      <c r="E237">
        <v>146</v>
      </c>
      <c r="F237">
        <f t="shared" si="6"/>
        <v>7</v>
      </c>
    </row>
    <row r="238" spans="1:6">
      <c r="A238" s="83">
        <v>43282</v>
      </c>
      <c r="B238" t="s">
        <v>20</v>
      </c>
      <c r="C238" t="s">
        <v>21</v>
      </c>
      <c r="D238" t="s">
        <v>23</v>
      </c>
      <c r="E238">
        <v>175</v>
      </c>
      <c r="F238">
        <f t="shared" si="6"/>
        <v>3</v>
      </c>
    </row>
    <row r="239" spans="1:6">
      <c r="A239" s="83">
        <v>43282</v>
      </c>
      <c r="B239" t="s">
        <v>20</v>
      </c>
      <c r="C239" t="s">
        <v>21</v>
      </c>
      <c r="D239" t="s">
        <v>23</v>
      </c>
      <c r="E239">
        <v>766</v>
      </c>
      <c r="F239">
        <f t="shared" si="6"/>
        <v>3</v>
      </c>
    </row>
    <row r="240" spans="1:6">
      <c r="A240" s="83">
        <v>43282</v>
      </c>
      <c r="B240" t="s">
        <v>20</v>
      </c>
      <c r="C240" t="s">
        <v>21</v>
      </c>
      <c r="D240" t="s">
        <v>26</v>
      </c>
      <c r="E240">
        <v>113</v>
      </c>
      <c r="F240">
        <f t="shared" si="6"/>
        <v>5</v>
      </c>
    </row>
    <row r="241" spans="1:6">
      <c r="A241" s="83">
        <v>43282</v>
      </c>
      <c r="B241" t="s">
        <v>20</v>
      </c>
      <c r="C241" t="s">
        <v>24</v>
      </c>
      <c r="D241" t="s">
        <v>26</v>
      </c>
      <c r="E241">
        <v>140</v>
      </c>
      <c r="F241">
        <f t="shared" si="6"/>
        <v>5</v>
      </c>
    </row>
    <row r="242" spans="1:6">
      <c r="A242" s="83">
        <v>43282</v>
      </c>
      <c r="B242" t="s">
        <v>20</v>
      </c>
      <c r="C242" t="s">
        <v>24</v>
      </c>
      <c r="D242" t="s">
        <v>23</v>
      </c>
      <c r="E242">
        <v>193</v>
      </c>
      <c r="F242">
        <f t="shared" si="6"/>
        <v>3</v>
      </c>
    </row>
    <row r="243" spans="1:6">
      <c r="A243" s="83">
        <v>43282</v>
      </c>
      <c r="B243" t="s">
        <v>20</v>
      </c>
      <c r="C243" t="s">
        <v>24</v>
      </c>
      <c r="D243" t="s">
        <v>26</v>
      </c>
      <c r="E243">
        <v>90</v>
      </c>
      <c r="F243">
        <f t="shared" si="6"/>
        <v>5</v>
      </c>
    </row>
    <row r="244" spans="1:6">
      <c r="A244" s="83">
        <v>43313</v>
      </c>
      <c r="B244" t="s">
        <v>20</v>
      </c>
      <c r="C244" t="s">
        <v>21</v>
      </c>
      <c r="D244" t="s">
        <v>22</v>
      </c>
      <c r="E244">
        <v>158</v>
      </c>
      <c r="F244">
        <f t="shared" si="6"/>
        <v>7</v>
      </c>
    </row>
    <row r="245" spans="1:6">
      <c r="A245" s="83">
        <v>43313</v>
      </c>
      <c r="B245" t="s">
        <v>20</v>
      </c>
      <c r="C245" t="s">
        <v>21</v>
      </c>
      <c r="D245" t="s">
        <v>22</v>
      </c>
      <c r="E245">
        <v>832</v>
      </c>
      <c r="F245">
        <f t="shared" si="6"/>
        <v>7</v>
      </c>
    </row>
    <row r="246" spans="1:6">
      <c r="A246" s="83">
        <v>43313</v>
      </c>
      <c r="B246" t="s">
        <v>20</v>
      </c>
      <c r="C246" t="s">
        <v>21</v>
      </c>
      <c r="D246" t="s">
        <v>22</v>
      </c>
      <c r="E246">
        <v>45</v>
      </c>
      <c r="F246">
        <f t="shared" si="6"/>
        <v>7</v>
      </c>
    </row>
    <row r="247" spans="1:6">
      <c r="A247" s="83">
        <v>43313</v>
      </c>
      <c r="B247" t="s">
        <v>20</v>
      </c>
      <c r="C247" t="s">
        <v>24</v>
      </c>
      <c r="D247" t="s">
        <v>23</v>
      </c>
      <c r="E247">
        <v>140</v>
      </c>
      <c r="F247">
        <f t="shared" si="6"/>
        <v>3</v>
      </c>
    </row>
    <row r="248" spans="1:6">
      <c r="A248" s="83">
        <v>43313</v>
      </c>
      <c r="B248" t="s">
        <v>20</v>
      </c>
      <c r="C248" t="s">
        <v>24</v>
      </c>
      <c r="D248" t="s">
        <v>22</v>
      </c>
      <c r="E248">
        <v>206</v>
      </c>
      <c r="F248">
        <f t="shared" si="6"/>
        <v>7</v>
      </c>
    </row>
    <row r="249" spans="1:6">
      <c r="A249" s="83">
        <v>43313</v>
      </c>
      <c r="B249" t="s">
        <v>20</v>
      </c>
      <c r="C249" t="s">
        <v>24</v>
      </c>
      <c r="D249" t="s">
        <v>23</v>
      </c>
      <c r="E249">
        <v>90</v>
      </c>
      <c r="F249">
        <f t="shared" si="6"/>
        <v>3</v>
      </c>
    </row>
    <row r="250" spans="1:6">
      <c r="A250" s="83">
        <v>43344</v>
      </c>
      <c r="B250" t="s">
        <v>20</v>
      </c>
      <c r="C250" t="s">
        <v>21</v>
      </c>
      <c r="D250" t="s">
        <v>22</v>
      </c>
      <c r="E250">
        <v>210</v>
      </c>
      <c r="F250">
        <f t="shared" si="6"/>
        <v>7</v>
      </c>
    </row>
    <row r="251" spans="1:6">
      <c r="A251" s="83">
        <v>43344</v>
      </c>
      <c r="B251" t="s">
        <v>20</v>
      </c>
      <c r="C251" t="s">
        <v>21</v>
      </c>
      <c r="D251" t="s">
        <v>23</v>
      </c>
      <c r="E251">
        <v>885</v>
      </c>
      <c r="F251">
        <f t="shared" si="6"/>
        <v>3</v>
      </c>
    </row>
    <row r="252" spans="1:6">
      <c r="A252" s="83">
        <v>43344</v>
      </c>
      <c r="B252" t="s">
        <v>20</v>
      </c>
      <c r="C252" t="s">
        <v>21</v>
      </c>
      <c r="D252" t="s">
        <v>22</v>
      </c>
      <c r="E252">
        <v>68</v>
      </c>
      <c r="F252">
        <f t="shared" si="6"/>
        <v>7</v>
      </c>
    </row>
    <row r="253" spans="1:6">
      <c r="A253" s="83">
        <v>43344</v>
      </c>
      <c r="B253" t="s">
        <v>20</v>
      </c>
      <c r="C253" t="s">
        <v>24</v>
      </c>
      <c r="D253" t="s">
        <v>23</v>
      </c>
      <c r="E253">
        <v>131</v>
      </c>
      <c r="F253">
        <f t="shared" si="6"/>
        <v>3</v>
      </c>
    </row>
    <row r="254" spans="1:6">
      <c r="A254" s="83">
        <v>43344</v>
      </c>
      <c r="B254" t="s">
        <v>20</v>
      </c>
      <c r="C254" t="s">
        <v>24</v>
      </c>
      <c r="D254" t="s">
        <v>22</v>
      </c>
      <c r="E254">
        <v>206</v>
      </c>
      <c r="F254">
        <f t="shared" si="6"/>
        <v>7</v>
      </c>
    </row>
    <row r="255" spans="1:6">
      <c r="A255" s="83">
        <v>43344</v>
      </c>
      <c r="B255" t="s">
        <v>20</v>
      </c>
      <c r="C255" t="s">
        <v>24</v>
      </c>
      <c r="D255" t="s">
        <v>23</v>
      </c>
      <c r="E255">
        <v>79</v>
      </c>
      <c r="F255">
        <f t="shared" si="6"/>
        <v>3</v>
      </c>
    </row>
    <row r="256" spans="1:6">
      <c r="A256" s="83">
        <v>43374</v>
      </c>
      <c r="B256" t="s">
        <v>20</v>
      </c>
      <c r="C256" t="s">
        <v>21</v>
      </c>
      <c r="D256" t="s">
        <v>26</v>
      </c>
      <c r="E256">
        <v>123</v>
      </c>
      <c r="F256">
        <f t="shared" si="6"/>
        <v>5</v>
      </c>
    </row>
    <row r="257" spans="1:6">
      <c r="A257" s="83">
        <v>43374</v>
      </c>
      <c r="B257" t="s">
        <v>20</v>
      </c>
      <c r="C257" t="s">
        <v>21</v>
      </c>
      <c r="D257" t="s">
        <v>22</v>
      </c>
      <c r="E257">
        <v>193</v>
      </c>
      <c r="F257">
        <f t="shared" si="6"/>
        <v>7</v>
      </c>
    </row>
    <row r="258" spans="1:6">
      <c r="A258" s="83">
        <v>43374</v>
      </c>
      <c r="B258" t="s">
        <v>20</v>
      </c>
      <c r="C258" t="s">
        <v>21</v>
      </c>
      <c r="D258" t="s">
        <v>26</v>
      </c>
      <c r="E258">
        <v>68</v>
      </c>
      <c r="F258">
        <f t="shared" si="6"/>
        <v>5</v>
      </c>
    </row>
    <row r="259" spans="1:6">
      <c r="A259" s="83">
        <v>43374</v>
      </c>
      <c r="B259" t="s">
        <v>20</v>
      </c>
      <c r="C259" t="s">
        <v>24</v>
      </c>
      <c r="D259" t="s">
        <v>23</v>
      </c>
      <c r="E259">
        <v>131</v>
      </c>
      <c r="F259">
        <f t="shared" ref="F259:F322" si="7">LEN(D259)</f>
        <v>3</v>
      </c>
    </row>
    <row r="260" spans="1:6">
      <c r="A260" s="83">
        <v>43374</v>
      </c>
      <c r="B260" t="s">
        <v>20</v>
      </c>
      <c r="C260" t="s">
        <v>24</v>
      </c>
      <c r="D260" t="s">
        <v>23</v>
      </c>
      <c r="E260">
        <v>193</v>
      </c>
      <c r="F260">
        <f t="shared" si="7"/>
        <v>3</v>
      </c>
    </row>
    <row r="261" spans="1:6">
      <c r="A261" s="83">
        <v>43374</v>
      </c>
      <c r="B261" t="s">
        <v>20</v>
      </c>
      <c r="C261" t="s">
        <v>24</v>
      </c>
      <c r="D261" t="s">
        <v>23</v>
      </c>
      <c r="E261">
        <v>79</v>
      </c>
      <c r="F261">
        <f t="shared" si="7"/>
        <v>3</v>
      </c>
    </row>
    <row r="262" spans="1:6">
      <c r="A262" s="83">
        <v>43405</v>
      </c>
      <c r="B262" t="s">
        <v>20</v>
      </c>
      <c r="C262" t="s">
        <v>21</v>
      </c>
      <c r="D262" t="s">
        <v>23</v>
      </c>
      <c r="E262">
        <v>105</v>
      </c>
      <c r="F262">
        <f t="shared" si="7"/>
        <v>3</v>
      </c>
    </row>
    <row r="263" spans="1:6">
      <c r="A263" s="83">
        <v>43405</v>
      </c>
      <c r="B263" t="s">
        <v>20</v>
      </c>
      <c r="C263" t="s">
        <v>21</v>
      </c>
      <c r="D263" t="s">
        <v>26</v>
      </c>
      <c r="E263">
        <v>248</v>
      </c>
      <c r="F263">
        <f t="shared" si="7"/>
        <v>5</v>
      </c>
    </row>
    <row r="264" spans="1:6">
      <c r="A264" s="83">
        <v>43405</v>
      </c>
      <c r="B264" t="s">
        <v>20</v>
      </c>
      <c r="C264" t="s">
        <v>21</v>
      </c>
      <c r="D264" t="s">
        <v>26</v>
      </c>
      <c r="E264">
        <v>90</v>
      </c>
      <c r="F264">
        <f t="shared" si="7"/>
        <v>5</v>
      </c>
    </row>
    <row r="265" spans="1:6">
      <c r="A265" s="83">
        <v>43405</v>
      </c>
      <c r="B265" t="s">
        <v>20</v>
      </c>
      <c r="C265" t="s">
        <v>24</v>
      </c>
      <c r="D265" t="s">
        <v>22</v>
      </c>
      <c r="E265">
        <v>140</v>
      </c>
      <c r="F265">
        <f t="shared" si="7"/>
        <v>7</v>
      </c>
    </row>
    <row r="266" spans="1:6">
      <c r="A266" s="83">
        <v>43405</v>
      </c>
      <c r="B266" t="s">
        <v>20</v>
      </c>
      <c r="C266" t="s">
        <v>24</v>
      </c>
      <c r="D266" t="s">
        <v>26</v>
      </c>
      <c r="E266">
        <v>234</v>
      </c>
      <c r="F266">
        <f t="shared" si="7"/>
        <v>5</v>
      </c>
    </row>
    <row r="267" spans="1:6">
      <c r="A267" s="83">
        <v>43405</v>
      </c>
      <c r="B267" t="s">
        <v>20</v>
      </c>
      <c r="C267" t="s">
        <v>24</v>
      </c>
      <c r="D267" t="s">
        <v>26</v>
      </c>
      <c r="E267">
        <v>90</v>
      </c>
      <c r="F267">
        <f t="shared" si="7"/>
        <v>5</v>
      </c>
    </row>
    <row r="268" spans="1:6">
      <c r="A268" s="83">
        <v>43435</v>
      </c>
      <c r="B268" t="s">
        <v>20</v>
      </c>
      <c r="C268" t="s">
        <v>21</v>
      </c>
      <c r="D268" t="s">
        <v>23</v>
      </c>
      <c r="E268">
        <v>88</v>
      </c>
      <c r="F268">
        <f t="shared" si="7"/>
        <v>3</v>
      </c>
    </row>
    <row r="269" spans="1:6">
      <c r="A269" s="83">
        <v>43435</v>
      </c>
      <c r="B269" t="s">
        <v>20</v>
      </c>
      <c r="C269" t="s">
        <v>21</v>
      </c>
      <c r="D269" t="s">
        <v>22</v>
      </c>
      <c r="E269">
        <v>248</v>
      </c>
      <c r="F269">
        <f t="shared" si="7"/>
        <v>7</v>
      </c>
    </row>
    <row r="270" spans="1:6">
      <c r="A270" s="83">
        <v>43435</v>
      </c>
      <c r="B270" t="s">
        <v>20</v>
      </c>
      <c r="C270" t="s">
        <v>21</v>
      </c>
      <c r="D270" t="s">
        <v>26</v>
      </c>
      <c r="E270">
        <v>90</v>
      </c>
      <c r="F270">
        <f t="shared" si="7"/>
        <v>5</v>
      </c>
    </row>
    <row r="271" spans="1:6">
      <c r="A271" s="83">
        <v>43435</v>
      </c>
      <c r="B271" t="s">
        <v>20</v>
      </c>
      <c r="C271" t="s">
        <v>24</v>
      </c>
      <c r="D271" t="s">
        <v>23</v>
      </c>
      <c r="E271">
        <v>123</v>
      </c>
      <c r="F271">
        <f t="shared" si="7"/>
        <v>3</v>
      </c>
    </row>
    <row r="272" spans="1:6">
      <c r="A272" s="83">
        <v>43435</v>
      </c>
      <c r="B272" t="s">
        <v>20</v>
      </c>
      <c r="C272" t="s">
        <v>24</v>
      </c>
      <c r="D272" t="s">
        <v>26</v>
      </c>
      <c r="E272">
        <v>220</v>
      </c>
      <c r="F272">
        <f t="shared" si="7"/>
        <v>5</v>
      </c>
    </row>
    <row r="273" spans="1:6">
      <c r="A273" s="83">
        <v>43435</v>
      </c>
      <c r="B273" t="s">
        <v>20</v>
      </c>
      <c r="C273" t="s">
        <v>24</v>
      </c>
      <c r="D273" t="s">
        <v>23</v>
      </c>
      <c r="E273">
        <v>90</v>
      </c>
      <c r="F273">
        <f t="shared" si="7"/>
        <v>3</v>
      </c>
    </row>
    <row r="274" spans="1:6">
      <c r="A274" s="83">
        <v>43466</v>
      </c>
      <c r="B274" t="s">
        <v>20</v>
      </c>
      <c r="C274" t="s">
        <v>21</v>
      </c>
      <c r="D274" t="s">
        <v>26</v>
      </c>
      <c r="E274">
        <v>140</v>
      </c>
      <c r="F274">
        <f t="shared" si="7"/>
        <v>5</v>
      </c>
    </row>
    <row r="275" spans="1:6">
      <c r="A275" s="83">
        <v>43466</v>
      </c>
      <c r="B275" t="s">
        <v>20</v>
      </c>
      <c r="C275" t="s">
        <v>21</v>
      </c>
      <c r="D275" t="s">
        <v>26</v>
      </c>
      <c r="E275">
        <v>358</v>
      </c>
      <c r="F275">
        <f t="shared" si="7"/>
        <v>5</v>
      </c>
    </row>
    <row r="276" spans="1:6">
      <c r="A276" s="83">
        <v>43466</v>
      </c>
      <c r="B276" t="s">
        <v>20</v>
      </c>
      <c r="C276" t="s">
        <v>21</v>
      </c>
      <c r="D276" t="s">
        <v>22</v>
      </c>
      <c r="E276">
        <v>113</v>
      </c>
      <c r="F276">
        <f t="shared" si="7"/>
        <v>7</v>
      </c>
    </row>
    <row r="277" spans="1:6">
      <c r="A277" s="83">
        <v>43466</v>
      </c>
      <c r="B277" t="s">
        <v>20</v>
      </c>
      <c r="C277" t="s">
        <v>24</v>
      </c>
      <c r="D277" t="s">
        <v>22</v>
      </c>
      <c r="E277">
        <v>149</v>
      </c>
      <c r="F277">
        <f t="shared" si="7"/>
        <v>7</v>
      </c>
    </row>
    <row r="278" spans="1:6">
      <c r="A278" s="83">
        <v>43466</v>
      </c>
      <c r="B278" t="s">
        <v>20</v>
      </c>
      <c r="C278" t="s">
        <v>24</v>
      </c>
      <c r="D278" t="s">
        <v>26</v>
      </c>
      <c r="E278">
        <v>234</v>
      </c>
      <c r="F278">
        <f t="shared" si="7"/>
        <v>5</v>
      </c>
    </row>
    <row r="279" spans="1:6">
      <c r="A279" s="83">
        <v>43466</v>
      </c>
      <c r="B279" t="s">
        <v>20</v>
      </c>
      <c r="C279" t="s">
        <v>24</v>
      </c>
      <c r="D279" t="s">
        <v>23</v>
      </c>
      <c r="E279">
        <v>90</v>
      </c>
      <c r="F279">
        <f t="shared" si="7"/>
        <v>3</v>
      </c>
    </row>
    <row r="280" spans="1:6">
      <c r="A280" s="83">
        <v>43497</v>
      </c>
      <c r="B280" t="s">
        <v>20</v>
      </c>
      <c r="C280" t="s">
        <v>21</v>
      </c>
      <c r="D280" t="s">
        <v>22</v>
      </c>
      <c r="E280">
        <v>88</v>
      </c>
      <c r="F280">
        <f t="shared" si="7"/>
        <v>7</v>
      </c>
    </row>
    <row r="281" spans="1:6">
      <c r="A281" s="83">
        <v>43497</v>
      </c>
      <c r="B281" t="s">
        <v>20</v>
      </c>
      <c r="C281" t="s">
        <v>21</v>
      </c>
      <c r="D281" t="s">
        <v>26</v>
      </c>
      <c r="E281">
        <v>275</v>
      </c>
      <c r="F281">
        <f t="shared" si="7"/>
        <v>5</v>
      </c>
    </row>
    <row r="282" spans="1:6">
      <c r="A282" s="83">
        <v>43497</v>
      </c>
      <c r="B282" t="s">
        <v>20</v>
      </c>
      <c r="C282" t="s">
        <v>21</v>
      </c>
      <c r="D282" t="s">
        <v>26</v>
      </c>
      <c r="E282">
        <v>113</v>
      </c>
      <c r="F282">
        <f t="shared" si="7"/>
        <v>5</v>
      </c>
    </row>
    <row r="283" spans="1:6">
      <c r="A283" s="83">
        <v>43497</v>
      </c>
      <c r="B283" t="s">
        <v>20</v>
      </c>
      <c r="C283" t="s">
        <v>24</v>
      </c>
      <c r="D283" t="s">
        <v>22</v>
      </c>
      <c r="E283">
        <v>175</v>
      </c>
      <c r="F283">
        <f t="shared" si="7"/>
        <v>7</v>
      </c>
    </row>
    <row r="284" spans="1:6">
      <c r="A284" s="83">
        <v>43497</v>
      </c>
      <c r="B284" t="s">
        <v>20</v>
      </c>
      <c r="C284" t="s">
        <v>24</v>
      </c>
      <c r="D284" t="s">
        <v>23</v>
      </c>
      <c r="E284">
        <v>248</v>
      </c>
      <c r="F284">
        <f t="shared" si="7"/>
        <v>3</v>
      </c>
    </row>
    <row r="285" spans="1:6">
      <c r="A285" s="83">
        <v>43497</v>
      </c>
      <c r="B285" t="s">
        <v>20</v>
      </c>
      <c r="C285" t="s">
        <v>24</v>
      </c>
      <c r="D285" t="s">
        <v>23</v>
      </c>
      <c r="E285">
        <v>101</v>
      </c>
      <c r="F285">
        <f t="shared" si="7"/>
        <v>3</v>
      </c>
    </row>
    <row r="286" spans="1:6">
      <c r="A286" s="83">
        <v>43525</v>
      </c>
      <c r="B286" t="s">
        <v>20</v>
      </c>
      <c r="C286" t="s">
        <v>21</v>
      </c>
      <c r="D286" t="s">
        <v>26</v>
      </c>
      <c r="E286">
        <v>88</v>
      </c>
      <c r="F286">
        <f t="shared" si="7"/>
        <v>5</v>
      </c>
    </row>
    <row r="287" spans="1:6">
      <c r="A287" s="83">
        <v>43525</v>
      </c>
      <c r="B287" t="s">
        <v>20</v>
      </c>
      <c r="C287" t="s">
        <v>21</v>
      </c>
      <c r="D287" t="s">
        <v>22</v>
      </c>
      <c r="E287">
        <v>275</v>
      </c>
      <c r="F287">
        <f t="shared" si="7"/>
        <v>7</v>
      </c>
    </row>
    <row r="288" spans="1:6">
      <c r="A288" s="83">
        <v>43525</v>
      </c>
      <c r="B288" t="s">
        <v>20</v>
      </c>
      <c r="C288" t="s">
        <v>21</v>
      </c>
      <c r="D288" t="s">
        <v>23</v>
      </c>
      <c r="E288">
        <v>135</v>
      </c>
      <c r="F288">
        <f t="shared" si="7"/>
        <v>3</v>
      </c>
    </row>
    <row r="289" spans="1:6">
      <c r="A289" s="83">
        <v>43525</v>
      </c>
      <c r="B289" t="s">
        <v>20</v>
      </c>
      <c r="C289" t="s">
        <v>24</v>
      </c>
      <c r="D289" t="s">
        <v>22</v>
      </c>
      <c r="E289">
        <v>158</v>
      </c>
      <c r="F289">
        <f t="shared" si="7"/>
        <v>7</v>
      </c>
    </row>
    <row r="290" spans="1:6">
      <c r="A290" s="83">
        <v>43525</v>
      </c>
      <c r="B290" t="s">
        <v>20</v>
      </c>
      <c r="C290" t="s">
        <v>24</v>
      </c>
      <c r="D290" t="s">
        <v>22</v>
      </c>
      <c r="E290">
        <v>220</v>
      </c>
      <c r="F290">
        <f t="shared" si="7"/>
        <v>7</v>
      </c>
    </row>
    <row r="291" spans="1:6">
      <c r="A291" s="83">
        <v>43525</v>
      </c>
      <c r="B291" t="s">
        <v>20</v>
      </c>
      <c r="C291" t="s">
        <v>24</v>
      </c>
      <c r="D291" t="s">
        <v>23</v>
      </c>
      <c r="E291">
        <v>79</v>
      </c>
      <c r="F291">
        <f t="shared" si="7"/>
        <v>3</v>
      </c>
    </row>
    <row r="292" spans="1:6">
      <c r="A292" s="83">
        <v>43556</v>
      </c>
      <c r="B292" t="s">
        <v>20</v>
      </c>
      <c r="C292" t="s">
        <v>21</v>
      </c>
      <c r="D292" t="s">
        <v>23</v>
      </c>
      <c r="E292">
        <v>88</v>
      </c>
      <c r="F292">
        <f t="shared" si="7"/>
        <v>3</v>
      </c>
    </row>
    <row r="293" spans="1:6">
      <c r="A293" s="83">
        <v>43556</v>
      </c>
      <c r="B293" t="s">
        <v>20</v>
      </c>
      <c r="C293" t="s">
        <v>21</v>
      </c>
      <c r="D293" t="s">
        <v>22</v>
      </c>
      <c r="E293">
        <v>220</v>
      </c>
      <c r="F293">
        <f t="shared" si="7"/>
        <v>7</v>
      </c>
    </row>
    <row r="294" spans="1:6">
      <c r="A294" s="83">
        <v>43556</v>
      </c>
      <c r="B294" t="s">
        <v>20</v>
      </c>
      <c r="C294" t="s">
        <v>21</v>
      </c>
      <c r="D294" t="s">
        <v>23</v>
      </c>
      <c r="E294">
        <v>135</v>
      </c>
      <c r="F294">
        <f t="shared" si="7"/>
        <v>3</v>
      </c>
    </row>
    <row r="295" spans="1:6">
      <c r="A295" s="83">
        <v>43556</v>
      </c>
      <c r="B295" t="s">
        <v>20</v>
      </c>
      <c r="C295" t="s">
        <v>24</v>
      </c>
      <c r="D295" t="s">
        <v>26</v>
      </c>
      <c r="E295">
        <v>166</v>
      </c>
      <c r="F295">
        <f t="shared" si="7"/>
        <v>5</v>
      </c>
    </row>
    <row r="296" spans="1:6">
      <c r="A296" s="83">
        <v>43556</v>
      </c>
      <c r="B296" t="s">
        <v>20</v>
      </c>
      <c r="C296" t="s">
        <v>24</v>
      </c>
      <c r="D296" t="s">
        <v>23</v>
      </c>
      <c r="E296">
        <v>248</v>
      </c>
      <c r="F296">
        <f t="shared" si="7"/>
        <v>3</v>
      </c>
    </row>
    <row r="297" spans="1:6">
      <c r="A297" s="83">
        <v>43556</v>
      </c>
      <c r="B297" t="s">
        <v>20</v>
      </c>
      <c r="C297" t="s">
        <v>24</v>
      </c>
      <c r="D297" t="s">
        <v>26</v>
      </c>
      <c r="E297">
        <v>90</v>
      </c>
      <c r="F297">
        <f t="shared" si="7"/>
        <v>5</v>
      </c>
    </row>
    <row r="298" spans="1:6">
      <c r="A298" s="83">
        <v>43586</v>
      </c>
      <c r="B298" t="s">
        <v>20</v>
      </c>
      <c r="C298" t="s">
        <v>21</v>
      </c>
      <c r="D298" t="s">
        <v>23</v>
      </c>
      <c r="E298">
        <v>88</v>
      </c>
      <c r="F298">
        <f t="shared" si="7"/>
        <v>3</v>
      </c>
    </row>
    <row r="299" spans="1:6">
      <c r="A299" s="83">
        <v>43586</v>
      </c>
      <c r="B299" t="s">
        <v>20</v>
      </c>
      <c r="C299" t="s">
        <v>21</v>
      </c>
      <c r="D299" t="s">
        <v>26</v>
      </c>
      <c r="E299">
        <v>248</v>
      </c>
      <c r="F299">
        <f t="shared" si="7"/>
        <v>5</v>
      </c>
    </row>
    <row r="300" spans="1:6">
      <c r="A300" s="83">
        <v>43586</v>
      </c>
      <c r="B300" t="s">
        <v>20</v>
      </c>
      <c r="C300" t="s">
        <v>21</v>
      </c>
      <c r="D300" t="s">
        <v>23</v>
      </c>
      <c r="E300">
        <v>135</v>
      </c>
      <c r="F300">
        <f t="shared" si="7"/>
        <v>3</v>
      </c>
    </row>
    <row r="301" spans="1:6">
      <c r="A301" s="83">
        <v>43586</v>
      </c>
      <c r="B301" t="s">
        <v>20</v>
      </c>
      <c r="C301" t="s">
        <v>24</v>
      </c>
      <c r="D301" t="s">
        <v>23</v>
      </c>
      <c r="E301">
        <v>149</v>
      </c>
      <c r="F301">
        <f t="shared" si="7"/>
        <v>3</v>
      </c>
    </row>
    <row r="302" spans="1:6">
      <c r="A302" s="83">
        <v>43586</v>
      </c>
      <c r="B302" t="s">
        <v>20</v>
      </c>
      <c r="C302" t="s">
        <v>24</v>
      </c>
      <c r="D302" t="s">
        <v>23</v>
      </c>
      <c r="E302">
        <v>206</v>
      </c>
      <c r="F302">
        <f t="shared" si="7"/>
        <v>3</v>
      </c>
    </row>
    <row r="303" spans="1:6">
      <c r="A303" s="83">
        <v>43586</v>
      </c>
      <c r="B303" t="s">
        <v>20</v>
      </c>
      <c r="C303" t="s">
        <v>24</v>
      </c>
      <c r="D303" t="s">
        <v>23</v>
      </c>
      <c r="E303">
        <v>79</v>
      </c>
      <c r="F303">
        <f t="shared" si="7"/>
        <v>3</v>
      </c>
    </row>
    <row r="304" spans="1:6">
      <c r="A304" s="83">
        <v>43617</v>
      </c>
      <c r="B304" t="s">
        <v>20</v>
      </c>
      <c r="C304" t="s">
        <v>21</v>
      </c>
      <c r="D304" t="s">
        <v>22</v>
      </c>
      <c r="E304">
        <v>105</v>
      </c>
      <c r="F304">
        <f t="shared" si="7"/>
        <v>7</v>
      </c>
    </row>
    <row r="305" spans="1:6">
      <c r="A305" s="83">
        <v>43617</v>
      </c>
      <c r="B305" t="s">
        <v>20</v>
      </c>
      <c r="C305" t="s">
        <v>21</v>
      </c>
      <c r="D305" t="s">
        <v>26</v>
      </c>
      <c r="E305">
        <v>248</v>
      </c>
      <c r="F305">
        <f t="shared" si="7"/>
        <v>5</v>
      </c>
    </row>
    <row r="306" spans="1:6">
      <c r="A306" s="83">
        <v>43617</v>
      </c>
      <c r="B306" t="s">
        <v>20</v>
      </c>
      <c r="C306" t="s">
        <v>21</v>
      </c>
      <c r="D306" t="s">
        <v>26</v>
      </c>
      <c r="E306">
        <v>135</v>
      </c>
      <c r="F306">
        <f t="shared" si="7"/>
        <v>5</v>
      </c>
    </row>
    <row r="307" spans="1:6">
      <c r="A307" s="83">
        <v>43617</v>
      </c>
      <c r="B307" t="s">
        <v>20</v>
      </c>
      <c r="C307" t="s">
        <v>24</v>
      </c>
      <c r="D307" t="s">
        <v>22</v>
      </c>
      <c r="E307">
        <v>149</v>
      </c>
      <c r="F307">
        <f t="shared" si="7"/>
        <v>7</v>
      </c>
    </row>
    <row r="308" spans="1:6">
      <c r="A308" s="83">
        <v>43617</v>
      </c>
      <c r="B308" t="s">
        <v>20</v>
      </c>
      <c r="C308" t="s">
        <v>24</v>
      </c>
      <c r="D308" t="s">
        <v>22</v>
      </c>
      <c r="E308">
        <v>179</v>
      </c>
      <c r="F308">
        <f t="shared" si="7"/>
        <v>7</v>
      </c>
    </row>
    <row r="309" spans="1:6">
      <c r="A309" s="83">
        <v>43617</v>
      </c>
      <c r="B309" t="s">
        <v>20</v>
      </c>
      <c r="C309" t="s">
        <v>24</v>
      </c>
      <c r="D309" t="s">
        <v>23</v>
      </c>
      <c r="E309">
        <v>68</v>
      </c>
      <c r="F309">
        <f t="shared" si="7"/>
        <v>3</v>
      </c>
    </row>
    <row r="310" spans="1:6">
      <c r="A310" s="83">
        <v>43647</v>
      </c>
      <c r="B310" t="s">
        <v>20</v>
      </c>
      <c r="C310" t="s">
        <v>21</v>
      </c>
      <c r="D310" t="s">
        <v>23</v>
      </c>
      <c r="E310">
        <v>140</v>
      </c>
      <c r="F310">
        <f t="shared" si="7"/>
        <v>3</v>
      </c>
    </row>
    <row r="311" spans="1:6">
      <c r="A311" s="83">
        <v>43647</v>
      </c>
      <c r="B311" t="s">
        <v>20</v>
      </c>
      <c r="C311" t="s">
        <v>21</v>
      </c>
      <c r="D311" t="s">
        <v>22</v>
      </c>
      <c r="E311">
        <v>248</v>
      </c>
      <c r="F311">
        <f t="shared" si="7"/>
        <v>7</v>
      </c>
    </row>
    <row r="312" spans="1:6">
      <c r="A312" s="83">
        <v>43647</v>
      </c>
      <c r="B312" t="s">
        <v>20</v>
      </c>
      <c r="C312" t="s">
        <v>21</v>
      </c>
      <c r="D312" t="s">
        <v>26</v>
      </c>
      <c r="E312">
        <v>158</v>
      </c>
      <c r="F312">
        <f t="shared" si="7"/>
        <v>5</v>
      </c>
    </row>
    <row r="313" spans="1:6">
      <c r="A313" s="83">
        <v>43647</v>
      </c>
      <c r="B313" t="s">
        <v>20</v>
      </c>
      <c r="C313" t="s">
        <v>24</v>
      </c>
      <c r="D313" t="s">
        <v>23</v>
      </c>
      <c r="E313">
        <v>184</v>
      </c>
      <c r="F313">
        <f t="shared" si="7"/>
        <v>3</v>
      </c>
    </row>
    <row r="314" spans="1:6">
      <c r="A314" s="83">
        <v>43647</v>
      </c>
      <c r="B314" t="s">
        <v>20</v>
      </c>
      <c r="C314" t="s">
        <v>24</v>
      </c>
      <c r="D314" t="s">
        <v>26</v>
      </c>
      <c r="E314">
        <v>206</v>
      </c>
      <c r="F314">
        <f t="shared" si="7"/>
        <v>5</v>
      </c>
    </row>
    <row r="315" spans="1:6">
      <c r="A315" s="83">
        <v>43647</v>
      </c>
      <c r="B315" t="s">
        <v>20</v>
      </c>
      <c r="C315" t="s">
        <v>24</v>
      </c>
      <c r="D315" t="s">
        <v>26</v>
      </c>
      <c r="E315">
        <v>79</v>
      </c>
      <c r="F315">
        <f t="shared" si="7"/>
        <v>5</v>
      </c>
    </row>
    <row r="316" spans="1:6">
      <c r="A316" s="83">
        <v>43678</v>
      </c>
      <c r="B316" t="s">
        <v>20</v>
      </c>
      <c r="C316" t="s">
        <v>21</v>
      </c>
      <c r="D316" t="s">
        <v>22</v>
      </c>
      <c r="E316">
        <v>123</v>
      </c>
      <c r="F316">
        <f t="shared" si="7"/>
        <v>7</v>
      </c>
    </row>
    <row r="317" spans="1:6">
      <c r="A317" s="83">
        <v>43678</v>
      </c>
      <c r="B317" t="s">
        <v>20</v>
      </c>
      <c r="C317" t="s">
        <v>21</v>
      </c>
      <c r="D317" t="s">
        <v>22</v>
      </c>
      <c r="E317">
        <v>275</v>
      </c>
      <c r="F317">
        <f t="shared" si="7"/>
        <v>7</v>
      </c>
    </row>
    <row r="318" spans="1:6">
      <c r="A318" s="83">
        <v>43678</v>
      </c>
      <c r="B318" t="s">
        <v>20</v>
      </c>
      <c r="C318" t="s">
        <v>21</v>
      </c>
      <c r="D318" t="s">
        <v>26</v>
      </c>
      <c r="E318">
        <v>180</v>
      </c>
      <c r="F318">
        <f t="shared" si="7"/>
        <v>5</v>
      </c>
    </row>
    <row r="319" spans="1:6">
      <c r="A319" s="83">
        <v>43678</v>
      </c>
      <c r="B319" t="s">
        <v>20</v>
      </c>
      <c r="C319" t="s">
        <v>24</v>
      </c>
      <c r="D319" t="s">
        <v>22</v>
      </c>
      <c r="E319">
        <v>131</v>
      </c>
      <c r="F319">
        <f t="shared" si="7"/>
        <v>7</v>
      </c>
    </row>
    <row r="320" spans="1:6">
      <c r="A320" s="83">
        <v>43678</v>
      </c>
      <c r="B320" t="s">
        <v>20</v>
      </c>
      <c r="C320" t="s">
        <v>24</v>
      </c>
      <c r="D320" t="s">
        <v>26</v>
      </c>
      <c r="E320">
        <v>193</v>
      </c>
      <c r="F320">
        <f t="shared" si="7"/>
        <v>5</v>
      </c>
    </row>
    <row r="321" spans="1:6">
      <c r="A321" s="83">
        <v>43678</v>
      </c>
      <c r="B321" t="s">
        <v>20</v>
      </c>
      <c r="C321" t="s">
        <v>24</v>
      </c>
      <c r="D321" t="s">
        <v>22</v>
      </c>
      <c r="E321">
        <v>68</v>
      </c>
      <c r="F321">
        <f t="shared" si="7"/>
        <v>7</v>
      </c>
    </row>
    <row r="322" spans="1:6">
      <c r="A322" s="83">
        <v>43709</v>
      </c>
      <c r="B322" t="s">
        <v>20</v>
      </c>
      <c r="C322" t="s">
        <v>21</v>
      </c>
      <c r="D322" t="s">
        <v>23</v>
      </c>
      <c r="E322">
        <v>123</v>
      </c>
      <c r="F322">
        <f t="shared" si="7"/>
        <v>3</v>
      </c>
    </row>
    <row r="323" spans="1:6">
      <c r="A323" s="83">
        <v>43709</v>
      </c>
      <c r="B323" t="s">
        <v>20</v>
      </c>
      <c r="C323" t="s">
        <v>21</v>
      </c>
      <c r="D323" t="s">
        <v>23</v>
      </c>
      <c r="E323">
        <v>303</v>
      </c>
      <c r="F323">
        <f t="shared" ref="F323:F386" si="8">LEN(D323)</f>
        <v>3</v>
      </c>
    </row>
    <row r="324" spans="1:6">
      <c r="A324" s="83">
        <v>43709</v>
      </c>
      <c r="B324" t="s">
        <v>20</v>
      </c>
      <c r="C324" t="s">
        <v>21</v>
      </c>
      <c r="D324" t="s">
        <v>22</v>
      </c>
      <c r="E324">
        <v>158</v>
      </c>
      <c r="F324">
        <f t="shared" si="8"/>
        <v>7</v>
      </c>
    </row>
    <row r="325" spans="1:6">
      <c r="A325" s="83">
        <v>43709</v>
      </c>
      <c r="B325" t="s">
        <v>20</v>
      </c>
      <c r="C325" t="s">
        <v>24</v>
      </c>
      <c r="D325" t="s">
        <v>26</v>
      </c>
      <c r="E325">
        <v>114</v>
      </c>
      <c r="F325">
        <f t="shared" si="8"/>
        <v>5</v>
      </c>
    </row>
    <row r="326" spans="1:6">
      <c r="A326" s="83">
        <v>43709</v>
      </c>
      <c r="B326" t="s">
        <v>20</v>
      </c>
      <c r="C326" t="s">
        <v>24</v>
      </c>
      <c r="D326" t="s">
        <v>26</v>
      </c>
      <c r="E326">
        <v>206</v>
      </c>
      <c r="F326">
        <f t="shared" si="8"/>
        <v>5</v>
      </c>
    </row>
    <row r="327" spans="1:6">
      <c r="A327" s="83">
        <v>43709</v>
      </c>
      <c r="B327" t="s">
        <v>20</v>
      </c>
      <c r="C327" t="s">
        <v>24</v>
      </c>
      <c r="D327" t="s">
        <v>22</v>
      </c>
      <c r="E327">
        <v>68</v>
      </c>
      <c r="F327">
        <f t="shared" si="8"/>
        <v>7</v>
      </c>
    </row>
    <row r="328" spans="1:6">
      <c r="A328" s="83">
        <v>43739</v>
      </c>
      <c r="B328" t="s">
        <v>20</v>
      </c>
      <c r="C328" t="s">
        <v>21</v>
      </c>
      <c r="D328" t="s">
        <v>23</v>
      </c>
      <c r="E328">
        <v>140</v>
      </c>
      <c r="F328">
        <f t="shared" si="8"/>
        <v>3</v>
      </c>
    </row>
    <row r="329" spans="1:6">
      <c r="A329" s="83">
        <v>43739</v>
      </c>
      <c r="B329" t="s">
        <v>20</v>
      </c>
      <c r="C329" t="s">
        <v>21</v>
      </c>
      <c r="D329" t="s">
        <v>22</v>
      </c>
      <c r="E329">
        <v>330</v>
      </c>
      <c r="F329">
        <f t="shared" si="8"/>
        <v>7</v>
      </c>
    </row>
    <row r="330" spans="1:6">
      <c r="A330" s="83">
        <v>43739</v>
      </c>
      <c r="B330" t="s">
        <v>20</v>
      </c>
      <c r="C330" t="s">
        <v>21</v>
      </c>
      <c r="D330" t="s">
        <v>26</v>
      </c>
      <c r="E330">
        <v>158</v>
      </c>
      <c r="F330">
        <f t="shared" si="8"/>
        <v>5</v>
      </c>
    </row>
    <row r="331" spans="1:6">
      <c r="A331" s="83">
        <v>43739</v>
      </c>
      <c r="B331" t="s">
        <v>20</v>
      </c>
      <c r="C331" t="s">
        <v>24</v>
      </c>
      <c r="D331" t="s">
        <v>26</v>
      </c>
      <c r="E331">
        <v>61</v>
      </c>
      <c r="F331">
        <f t="shared" si="8"/>
        <v>5</v>
      </c>
    </row>
    <row r="332" spans="1:6">
      <c r="A332" s="83">
        <v>43739</v>
      </c>
      <c r="B332" t="s">
        <v>20</v>
      </c>
      <c r="C332" t="s">
        <v>24</v>
      </c>
      <c r="D332" t="s">
        <v>23</v>
      </c>
      <c r="E332">
        <v>193</v>
      </c>
      <c r="F332">
        <f t="shared" si="8"/>
        <v>3</v>
      </c>
    </row>
    <row r="333" spans="1:6">
      <c r="A333" s="83">
        <v>43739</v>
      </c>
      <c r="B333" t="s">
        <v>20</v>
      </c>
      <c r="C333" t="s">
        <v>24</v>
      </c>
      <c r="D333" t="s">
        <v>26</v>
      </c>
      <c r="E333">
        <v>56</v>
      </c>
      <c r="F333">
        <f t="shared" si="8"/>
        <v>5</v>
      </c>
    </row>
    <row r="334" spans="1:6">
      <c r="A334" s="83">
        <v>43770</v>
      </c>
      <c r="B334" t="s">
        <v>20</v>
      </c>
      <c r="C334" t="s">
        <v>21</v>
      </c>
      <c r="D334" t="s">
        <v>26</v>
      </c>
      <c r="E334">
        <v>140</v>
      </c>
      <c r="F334">
        <f t="shared" si="8"/>
        <v>5</v>
      </c>
    </row>
    <row r="335" spans="1:6">
      <c r="A335" s="83">
        <v>43770</v>
      </c>
      <c r="B335" t="s">
        <v>20</v>
      </c>
      <c r="C335" t="s">
        <v>21</v>
      </c>
      <c r="D335" t="s">
        <v>23</v>
      </c>
      <c r="E335">
        <v>303</v>
      </c>
      <c r="F335">
        <f t="shared" si="8"/>
        <v>3</v>
      </c>
    </row>
    <row r="336" spans="1:6">
      <c r="A336" s="83">
        <v>43770</v>
      </c>
      <c r="B336" t="s">
        <v>20</v>
      </c>
      <c r="C336" t="s">
        <v>21</v>
      </c>
      <c r="D336" t="s">
        <v>22</v>
      </c>
      <c r="E336">
        <v>180</v>
      </c>
      <c r="F336">
        <f t="shared" si="8"/>
        <v>7</v>
      </c>
    </row>
    <row r="337" spans="1:6">
      <c r="A337" s="83">
        <v>43770</v>
      </c>
      <c r="B337" t="s">
        <v>20</v>
      </c>
      <c r="C337" t="s">
        <v>24</v>
      </c>
      <c r="D337" t="s">
        <v>23</v>
      </c>
      <c r="E337">
        <v>88</v>
      </c>
      <c r="F337">
        <f t="shared" si="8"/>
        <v>3</v>
      </c>
    </row>
    <row r="338" spans="1:6">
      <c r="A338" s="83">
        <v>43770</v>
      </c>
      <c r="B338" t="s">
        <v>20</v>
      </c>
      <c r="C338" t="s">
        <v>24</v>
      </c>
      <c r="D338" t="s">
        <v>26</v>
      </c>
      <c r="E338">
        <v>261</v>
      </c>
      <c r="F338">
        <f t="shared" si="8"/>
        <v>5</v>
      </c>
    </row>
    <row r="339" spans="1:6">
      <c r="A339" s="83">
        <v>43770</v>
      </c>
      <c r="B339" t="s">
        <v>20</v>
      </c>
      <c r="C339" t="s">
        <v>24</v>
      </c>
      <c r="D339" t="s">
        <v>23</v>
      </c>
      <c r="E339">
        <v>68</v>
      </c>
      <c r="F339">
        <f t="shared" si="8"/>
        <v>3</v>
      </c>
    </row>
    <row r="340" spans="1:6">
      <c r="A340" s="83">
        <v>43800</v>
      </c>
      <c r="B340" t="s">
        <v>20</v>
      </c>
      <c r="C340" t="s">
        <v>21</v>
      </c>
      <c r="D340" t="s">
        <v>26</v>
      </c>
      <c r="E340">
        <v>175</v>
      </c>
      <c r="F340">
        <f t="shared" si="8"/>
        <v>5</v>
      </c>
    </row>
    <row r="341" spans="1:6">
      <c r="A341" s="83">
        <v>43800</v>
      </c>
      <c r="B341" t="s">
        <v>20</v>
      </c>
      <c r="C341" t="s">
        <v>21</v>
      </c>
      <c r="D341" t="s">
        <v>22</v>
      </c>
      <c r="E341">
        <v>330</v>
      </c>
      <c r="F341">
        <f t="shared" si="8"/>
        <v>7</v>
      </c>
    </row>
    <row r="342" spans="1:6">
      <c r="A342" s="83">
        <v>43800</v>
      </c>
      <c r="B342" t="s">
        <v>20</v>
      </c>
      <c r="C342" t="s">
        <v>21</v>
      </c>
      <c r="D342" t="s">
        <v>26</v>
      </c>
      <c r="E342">
        <v>158</v>
      </c>
      <c r="F342">
        <f t="shared" si="8"/>
        <v>5</v>
      </c>
    </row>
    <row r="343" spans="1:6">
      <c r="A343" s="83">
        <v>43800</v>
      </c>
      <c r="B343" t="s">
        <v>20</v>
      </c>
      <c r="C343" t="s">
        <v>24</v>
      </c>
      <c r="D343" t="s">
        <v>26</v>
      </c>
      <c r="E343">
        <v>123</v>
      </c>
      <c r="F343">
        <f t="shared" si="8"/>
        <v>5</v>
      </c>
    </row>
    <row r="344" spans="1:6">
      <c r="A344" s="83">
        <v>43800</v>
      </c>
      <c r="B344" t="s">
        <v>20</v>
      </c>
      <c r="C344" t="s">
        <v>24</v>
      </c>
      <c r="D344" t="s">
        <v>26</v>
      </c>
      <c r="E344">
        <v>330</v>
      </c>
      <c r="F344">
        <f t="shared" si="8"/>
        <v>5</v>
      </c>
    </row>
    <row r="345" spans="1:6">
      <c r="A345" s="83">
        <v>43800</v>
      </c>
      <c r="B345" t="s">
        <v>20</v>
      </c>
      <c r="C345" t="s">
        <v>24</v>
      </c>
      <c r="D345" t="s">
        <v>26</v>
      </c>
      <c r="E345">
        <v>79</v>
      </c>
      <c r="F345">
        <f t="shared" si="8"/>
        <v>5</v>
      </c>
    </row>
    <row r="346" spans="1:6">
      <c r="A346" s="83">
        <v>42795</v>
      </c>
      <c r="B346" t="s">
        <v>20</v>
      </c>
      <c r="C346" t="s">
        <v>24</v>
      </c>
      <c r="D346" t="s">
        <v>22</v>
      </c>
      <c r="E346">
        <v>149</v>
      </c>
      <c r="F346">
        <f t="shared" si="8"/>
        <v>7</v>
      </c>
    </row>
    <row r="347" spans="1:6">
      <c r="A347" s="83">
        <v>42795</v>
      </c>
      <c r="B347" t="s">
        <v>20</v>
      </c>
      <c r="C347" t="s">
        <v>24</v>
      </c>
      <c r="D347" t="s">
        <v>23</v>
      </c>
      <c r="E347">
        <v>113</v>
      </c>
      <c r="F347">
        <f t="shared" si="8"/>
        <v>3</v>
      </c>
    </row>
    <row r="348" spans="1:6">
      <c r="A348" s="83">
        <v>42826</v>
      </c>
      <c r="B348" t="s">
        <v>20</v>
      </c>
      <c r="C348" t="s">
        <v>24</v>
      </c>
      <c r="D348" t="s">
        <v>26</v>
      </c>
      <c r="E348">
        <v>131</v>
      </c>
      <c r="F348">
        <f t="shared" si="8"/>
        <v>5</v>
      </c>
    </row>
    <row r="349" spans="1:6">
      <c r="A349" s="83">
        <v>42826</v>
      </c>
      <c r="B349" t="s">
        <v>20</v>
      </c>
      <c r="C349" t="s">
        <v>24</v>
      </c>
      <c r="D349" t="s">
        <v>22</v>
      </c>
      <c r="E349">
        <v>146</v>
      </c>
      <c r="F349">
        <f t="shared" si="8"/>
        <v>7</v>
      </c>
    </row>
    <row r="350" spans="1:6">
      <c r="A350" s="83">
        <v>42856</v>
      </c>
      <c r="B350" t="s">
        <v>20</v>
      </c>
      <c r="C350" t="s">
        <v>24</v>
      </c>
      <c r="D350" t="s">
        <v>23</v>
      </c>
      <c r="E350">
        <v>123</v>
      </c>
      <c r="F350">
        <f t="shared" si="8"/>
        <v>3</v>
      </c>
    </row>
    <row r="351" spans="1:6">
      <c r="A351" s="83">
        <v>42856</v>
      </c>
      <c r="B351" t="s">
        <v>20</v>
      </c>
      <c r="C351" t="s">
        <v>24</v>
      </c>
      <c r="D351" t="s">
        <v>22</v>
      </c>
      <c r="E351">
        <v>169</v>
      </c>
      <c r="F351">
        <f t="shared" si="8"/>
        <v>7</v>
      </c>
    </row>
    <row r="352" spans="1:6">
      <c r="A352" s="83">
        <v>42887</v>
      </c>
      <c r="B352" t="s">
        <v>20</v>
      </c>
      <c r="C352" t="s">
        <v>24</v>
      </c>
      <c r="D352" t="s">
        <v>23</v>
      </c>
      <c r="E352">
        <v>114</v>
      </c>
      <c r="F352">
        <f t="shared" si="8"/>
        <v>3</v>
      </c>
    </row>
    <row r="353" spans="1:6">
      <c r="A353" s="83">
        <v>42887</v>
      </c>
      <c r="B353" t="s">
        <v>20</v>
      </c>
      <c r="C353" t="s">
        <v>24</v>
      </c>
      <c r="D353" t="s">
        <v>23</v>
      </c>
      <c r="E353">
        <v>236</v>
      </c>
      <c r="F353">
        <f t="shared" si="8"/>
        <v>3</v>
      </c>
    </row>
    <row r="354" spans="1:6">
      <c r="A354" s="83">
        <v>42917</v>
      </c>
      <c r="B354" t="s">
        <v>20</v>
      </c>
      <c r="C354" t="s">
        <v>21</v>
      </c>
      <c r="D354" t="s">
        <v>22</v>
      </c>
      <c r="E354">
        <v>591</v>
      </c>
      <c r="F354">
        <f t="shared" si="8"/>
        <v>7</v>
      </c>
    </row>
    <row r="355" spans="1:6">
      <c r="A355" s="83">
        <v>42917</v>
      </c>
      <c r="B355" t="s">
        <v>20</v>
      </c>
      <c r="C355" t="s">
        <v>21</v>
      </c>
      <c r="D355" t="s">
        <v>22</v>
      </c>
      <c r="E355">
        <v>1422</v>
      </c>
      <c r="F355">
        <f t="shared" si="8"/>
        <v>7</v>
      </c>
    </row>
    <row r="356" spans="1:6">
      <c r="A356" s="83">
        <v>42917</v>
      </c>
      <c r="B356" t="s">
        <v>20</v>
      </c>
      <c r="C356" t="s">
        <v>24</v>
      </c>
      <c r="D356" t="s">
        <v>22</v>
      </c>
      <c r="E356">
        <v>149</v>
      </c>
      <c r="F356">
        <f t="shared" si="8"/>
        <v>7</v>
      </c>
    </row>
    <row r="357" spans="1:6">
      <c r="A357" s="83">
        <v>42917</v>
      </c>
      <c r="B357" t="s">
        <v>20</v>
      </c>
      <c r="C357" t="s">
        <v>24</v>
      </c>
      <c r="D357" t="s">
        <v>26</v>
      </c>
      <c r="E357">
        <v>169</v>
      </c>
      <c r="F357">
        <f t="shared" si="8"/>
        <v>5</v>
      </c>
    </row>
    <row r="358" spans="1:6">
      <c r="A358" s="83">
        <v>42948</v>
      </c>
      <c r="B358" t="s">
        <v>20</v>
      </c>
      <c r="C358" t="s">
        <v>21</v>
      </c>
      <c r="D358" t="s">
        <v>22</v>
      </c>
      <c r="E358">
        <v>569</v>
      </c>
      <c r="F358">
        <f t="shared" si="8"/>
        <v>7</v>
      </c>
    </row>
    <row r="359" spans="1:6">
      <c r="A359" s="83">
        <v>42948</v>
      </c>
      <c r="B359" t="s">
        <v>20</v>
      </c>
      <c r="C359" t="s">
        <v>21</v>
      </c>
      <c r="D359" t="s">
        <v>26</v>
      </c>
      <c r="E359">
        <v>1340</v>
      </c>
      <c r="F359">
        <f t="shared" si="8"/>
        <v>5</v>
      </c>
    </row>
    <row r="360" spans="1:6">
      <c r="A360" s="83">
        <v>42948</v>
      </c>
      <c r="B360" t="s">
        <v>20</v>
      </c>
      <c r="C360" t="s">
        <v>24</v>
      </c>
      <c r="D360" t="s">
        <v>22</v>
      </c>
      <c r="E360">
        <v>149</v>
      </c>
      <c r="F360">
        <f t="shared" si="8"/>
        <v>7</v>
      </c>
    </row>
    <row r="361" spans="1:6">
      <c r="A361" s="83">
        <v>42948</v>
      </c>
      <c r="B361" t="s">
        <v>20</v>
      </c>
      <c r="C361" t="s">
        <v>24</v>
      </c>
      <c r="D361" t="s">
        <v>26</v>
      </c>
      <c r="E361">
        <v>326</v>
      </c>
      <c r="F361">
        <f t="shared" si="8"/>
        <v>5</v>
      </c>
    </row>
    <row r="362" spans="1:6">
      <c r="A362" s="83">
        <v>42979</v>
      </c>
      <c r="B362" t="s">
        <v>20</v>
      </c>
      <c r="C362" t="s">
        <v>21</v>
      </c>
      <c r="D362" t="s">
        <v>26</v>
      </c>
      <c r="E362">
        <v>576</v>
      </c>
      <c r="F362">
        <f t="shared" si="8"/>
        <v>5</v>
      </c>
    </row>
    <row r="363" spans="1:6">
      <c r="A363" s="83">
        <v>42979</v>
      </c>
      <c r="B363" t="s">
        <v>20</v>
      </c>
      <c r="C363" t="s">
        <v>21</v>
      </c>
      <c r="D363" t="s">
        <v>22</v>
      </c>
      <c r="E363">
        <v>1345</v>
      </c>
      <c r="F363">
        <f t="shared" si="8"/>
        <v>7</v>
      </c>
    </row>
    <row r="364" spans="1:6">
      <c r="A364" s="83">
        <v>42979</v>
      </c>
      <c r="B364" t="s">
        <v>20</v>
      </c>
      <c r="C364" t="s">
        <v>24</v>
      </c>
      <c r="D364" t="s">
        <v>23</v>
      </c>
      <c r="E364">
        <v>140</v>
      </c>
      <c r="F364">
        <f t="shared" si="8"/>
        <v>3</v>
      </c>
    </row>
    <row r="365" spans="1:6">
      <c r="A365" s="83">
        <v>42979</v>
      </c>
      <c r="B365" t="s">
        <v>20</v>
      </c>
      <c r="C365" t="s">
        <v>24</v>
      </c>
      <c r="D365" t="s">
        <v>26</v>
      </c>
      <c r="E365">
        <v>304</v>
      </c>
      <c r="F365">
        <f t="shared" si="8"/>
        <v>5</v>
      </c>
    </row>
    <row r="366" spans="1:6">
      <c r="A366" s="83">
        <v>43009</v>
      </c>
      <c r="B366" t="s">
        <v>20</v>
      </c>
      <c r="C366" t="s">
        <v>21</v>
      </c>
      <c r="D366" t="s">
        <v>23</v>
      </c>
      <c r="E366">
        <v>692</v>
      </c>
      <c r="F366">
        <f t="shared" si="8"/>
        <v>3</v>
      </c>
    </row>
    <row r="367" spans="1:6">
      <c r="A367" s="83">
        <v>43009</v>
      </c>
      <c r="B367" t="s">
        <v>20</v>
      </c>
      <c r="C367" t="s">
        <v>21</v>
      </c>
      <c r="D367" t="s">
        <v>22</v>
      </c>
      <c r="E367">
        <v>1990</v>
      </c>
      <c r="F367">
        <f t="shared" si="8"/>
        <v>7</v>
      </c>
    </row>
    <row r="368" spans="1:6">
      <c r="A368" s="83">
        <v>43009</v>
      </c>
      <c r="B368" t="s">
        <v>20</v>
      </c>
      <c r="C368" t="s">
        <v>24</v>
      </c>
      <c r="D368" t="s">
        <v>23</v>
      </c>
      <c r="E368">
        <v>131</v>
      </c>
      <c r="F368">
        <f t="shared" si="8"/>
        <v>3</v>
      </c>
    </row>
    <row r="369" spans="1:6">
      <c r="A369" s="83">
        <v>43009</v>
      </c>
      <c r="B369" t="s">
        <v>20</v>
      </c>
      <c r="C369" t="s">
        <v>24</v>
      </c>
      <c r="D369" t="s">
        <v>23</v>
      </c>
      <c r="E369">
        <v>281</v>
      </c>
      <c r="F369">
        <f t="shared" si="8"/>
        <v>3</v>
      </c>
    </row>
    <row r="370" spans="1:6">
      <c r="A370" s="83">
        <v>43040</v>
      </c>
      <c r="B370" t="s">
        <v>20</v>
      </c>
      <c r="C370" t="s">
        <v>21</v>
      </c>
      <c r="D370" t="s">
        <v>23</v>
      </c>
      <c r="E370">
        <v>601</v>
      </c>
      <c r="F370">
        <f t="shared" si="8"/>
        <v>3</v>
      </c>
    </row>
    <row r="371" spans="1:6">
      <c r="A371" s="83">
        <v>43040</v>
      </c>
      <c r="B371" t="s">
        <v>20</v>
      </c>
      <c r="C371" t="s">
        <v>21</v>
      </c>
      <c r="D371" t="s">
        <v>23</v>
      </c>
      <c r="E371">
        <v>2130</v>
      </c>
      <c r="F371">
        <f t="shared" si="8"/>
        <v>3</v>
      </c>
    </row>
    <row r="372" spans="1:6">
      <c r="A372" s="83">
        <v>43040</v>
      </c>
      <c r="B372" t="s">
        <v>20</v>
      </c>
      <c r="C372" t="s">
        <v>24</v>
      </c>
      <c r="D372" t="s">
        <v>23</v>
      </c>
      <c r="E372">
        <v>149</v>
      </c>
      <c r="F372">
        <f t="shared" si="8"/>
        <v>3</v>
      </c>
    </row>
    <row r="373" spans="1:6">
      <c r="A373" s="83">
        <v>43040</v>
      </c>
      <c r="B373" t="s">
        <v>20</v>
      </c>
      <c r="C373" t="s">
        <v>24</v>
      </c>
      <c r="D373" t="s">
        <v>26</v>
      </c>
      <c r="E373">
        <v>304</v>
      </c>
      <c r="F373">
        <f t="shared" si="8"/>
        <v>5</v>
      </c>
    </row>
    <row r="374" spans="1:6">
      <c r="A374" s="83">
        <v>43070</v>
      </c>
      <c r="B374" t="s">
        <v>20</v>
      </c>
      <c r="C374" t="s">
        <v>21</v>
      </c>
      <c r="D374" t="s">
        <v>23</v>
      </c>
      <c r="E374">
        <v>888</v>
      </c>
      <c r="F374">
        <f t="shared" si="8"/>
        <v>3</v>
      </c>
    </row>
    <row r="375" spans="1:6">
      <c r="A375" s="83">
        <v>43070</v>
      </c>
      <c r="B375" t="s">
        <v>20</v>
      </c>
      <c r="C375" t="s">
        <v>21</v>
      </c>
      <c r="D375" t="s">
        <v>23</v>
      </c>
      <c r="E375">
        <v>2110</v>
      </c>
      <c r="F375">
        <f t="shared" si="8"/>
        <v>3</v>
      </c>
    </row>
    <row r="376" spans="1:6">
      <c r="A376" s="83">
        <v>43070</v>
      </c>
      <c r="B376" t="s">
        <v>20</v>
      </c>
      <c r="C376" t="s">
        <v>24</v>
      </c>
      <c r="D376" t="s">
        <v>23</v>
      </c>
      <c r="E376">
        <v>131</v>
      </c>
      <c r="F376">
        <f t="shared" si="8"/>
        <v>3</v>
      </c>
    </row>
    <row r="377" spans="1:6">
      <c r="A377" s="83">
        <v>43070</v>
      </c>
      <c r="B377" t="s">
        <v>20</v>
      </c>
      <c r="C377" t="s">
        <v>24</v>
      </c>
      <c r="D377" t="s">
        <v>22</v>
      </c>
      <c r="E377">
        <v>371</v>
      </c>
      <c r="F377">
        <f t="shared" si="8"/>
        <v>7</v>
      </c>
    </row>
    <row r="378" spans="1:6">
      <c r="A378" s="83">
        <v>43101</v>
      </c>
      <c r="B378" t="s">
        <v>20</v>
      </c>
      <c r="C378" t="s">
        <v>21</v>
      </c>
      <c r="D378" t="s">
        <v>26</v>
      </c>
      <c r="E378">
        <v>970</v>
      </c>
      <c r="F378">
        <f t="shared" si="8"/>
        <v>5</v>
      </c>
    </row>
    <row r="379" spans="1:6">
      <c r="A379" s="83">
        <v>43101</v>
      </c>
      <c r="B379" t="s">
        <v>20</v>
      </c>
      <c r="C379" t="s">
        <v>21</v>
      </c>
      <c r="D379" t="s">
        <v>23</v>
      </c>
      <c r="E379">
        <v>1358</v>
      </c>
      <c r="F379">
        <f t="shared" si="8"/>
        <v>3</v>
      </c>
    </row>
    <row r="380" spans="1:6">
      <c r="A380" s="83">
        <v>43101</v>
      </c>
      <c r="B380" t="s">
        <v>20</v>
      </c>
      <c r="C380" t="s">
        <v>24</v>
      </c>
      <c r="D380" t="s">
        <v>23</v>
      </c>
      <c r="E380">
        <v>149</v>
      </c>
      <c r="F380">
        <f t="shared" si="8"/>
        <v>3</v>
      </c>
    </row>
    <row r="381" spans="1:6">
      <c r="A381" s="83">
        <v>43101</v>
      </c>
      <c r="B381" t="s">
        <v>20</v>
      </c>
      <c r="C381" t="s">
        <v>24</v>
      </c>
      <c r="D381" t="s">
        <v>22</v>
      </c>
      <c r="E381">
        <v>360</v>
      </c>
      <c r="F381">
        <f t="shared" si="8"/>
        <v>7</v>
      </c>
    </row>
    <row r="382" spans="1:6">
      <c r="A382" s="83">
        <v>43132</v>
      </c>
      <c r="B382" t="s">
        <v>20</v>
      </c>
      <c r="C382" t="s">
        <v>21</v>
      </c>
      <c r="D382" t="s">
        <v>23</v>
      </c>
      <c r="E382">
        <v>1080</v>
      </c>
      <c r="F382">
        <f t="shared" si="8"/>
        <v>3</v>
      </c>
    </row>
    <row r="383" spans="1:6">
      <c r="A383" s="83">
        <v>43132</v>
      </c>
      <c r="B383" t="s">
        <v>20</v>
      </c>
      <c r="C383" t="s">
        <v>21</v>
      </c>
      <c r="D383" t="s">
        <v>22</v>
      </c>
      <c r="E383">
        <v>1338</v>
      </c>
      <c r="F383">
        <f t="shared" si="8"/>
        <v>7</v>
      </c>
    </row>
    <row r="384" spans="1:6">
      <c r="A384" s="83">
        <v>43132</v>
      </c>
      <c r="B384" t="s">
        <v>20</v>
      </c>
      <c r="C384" t="s">
        <v>24</v>
      </c>
      <c r="D384" t="s">
        <v>23</v>
      </c>
      <c r="E384">
        <v>175</v>
      </c>
      <c r="F384">
        <f t="shared" si="8"/>
        <v>3</v>
      </c>
    </row>
    <row r="385" spans="1:6">
      <c r="A385" s="83">
        <v>43132</v>
      </c>
      <c r="B385" t="s">
        <v>20</v>
      </c>
      <c r="C385" t="s">
        <v>24</v>
      </c>
      <c r="D385" t="s">
        <v>23</v>
      </c>
      <c r="E385">
        <v>404</v>
      </c>
      <c r="F385">
        <f t="shared" si="8"/>
        <v>3</v>
      </c>
    </row>
    <row r="386" spans="1:6">
      <c r="A386" s="83">
        <v>43160</v>
      </c>
      <c r="B386" t="s">
        <v>20</v>
      </c>
      <c r="C386" t="s">
        <v>21</v>
      </c>
      <c r="D386" t="s">
        <v>23</v>
      </c>
      <c r="E386">
        <v>105</v>
      </c>
      <c r="F386">
        <f t="shared" si="8"/>
        <v>3</v>
      </c>
    </row>
    <row r="387" spans="1:6">
      <c r="A387" s="83">
        <v>43160</v>
      </c>
      <c r="B387" t="s">
        <v>20</v>
      </c>
      <c r="C387" t="s">
        <v>21</v>
      </c>
      <c r="D387" t="s">
        <v>26</v>
      </c>
      <c r="E387">
        <v>2302</v>
      </c>
      <c r="F387">
        <f t="shared" ref="F387:F450" si="9">LEN(D387)</f>
        <v>5</v>
      </c>
    </row>
    <row r="388" spans="1:6">
      <c r="A388" s="83">
        <v>43160</v>
      </c>
      <c r="B388" t="s">
        <v>20</v>
      </c>
      <c r="C388" t="s">
        <v>24</v>
      </c>
      <c r="D388" t="s">
        <v>23</v>
      </c>
      <c r="E388">
        <v>149</v>
      </c>
      <c r="F388">
        <f t="shared" si="9"/>
        <v>3</v>
      </c>
    </row>
    <row r="389" spans="1:6">
      <c r="A389" s="83">
        <v>43160</v>
      </c>
      <c r="B389" t="s">
        <v>20</v>
      </c>
      <c r="C389" t="s">
        <v>24</v>
      </c>
      <c r="D389" t="s">
        <v>26</v>
      </c>
      <c r="E389">
        <v>360</v>
      </c>
      <c r="F389">
        <f t="shared" si="9"/>
        <v>5</v>
      </c>
    </row>
    <row r="390" spans="1:6">
      <c r="A390" s="83">
        <v>43191</v>
      </c>
      <c r="B390" t="s">
        <v>20</v>
      </c>
      <c r="C390" t="s">
        <v>21</v>
      </c>
      <c r="D390" t="s">
        <v>26</v>
      </c>
      <c r="E390">
        <v>123</v>
      </c>
      <c r="F390">
        <f t="shared" si="9"/>
        <v>5</v>
      </c>
    </row>
    <row r="391" spans="1:6">
      <c r="A391" s="83">
        <v>43191</v>
      </c>
      <c r="B391" t="s">
        <v>20</v>
      </c>
      <c r="C391" t="s">
        <v>21</v>
      </c>
      <c r="D391" t="s">
        <v>23</v>
      </c>
      <c r="E391">
        <v>1553</v>
      </c>
      <c r="F391">
        <f t="shared" si="9"/>
        <v>3</v>
      </c>
    </row>
    <row r="392" spans="1:6">
      <c r="A392" s="83">
        <v>43191</v>
      </c>
      <c r="B392" t="s">
        <v>20</v>
      </c>
      <c r="C392" t="s">
        <v>24</v>
      </c>
      <c r="D392" t="s">
        <v>26</v>
      </c>
      <c r="E392">
        <v>1345</v>
      </c>
      <c r="F392">
        <f t="shared" si="9"/>
        <v>5</v>
      </c>
    </row>
    <row r="393" spans="1:6">
      <c r="A393" s="83">
        <v>43191</v>
      </c>
      <c r="B393" t="s">
        <v>20</v>
      </c>
      <c r="C393" t="s">
        <v>24</v>
      </c>
      <c r="D393" t="s">
        <v>26</v>
      </c>
      <c r="E393">
        <v>437</v>
      </c>
      <c r="F393">
        <f t="shared" si="9"/>
        <v>5</v>
      </c>
    </row>
    <row r="394" spans="1:6">
      <c r="A394" s="83">
        <v>43221</v>
      </c>
      <c r="B394" t="s">
        <v>20</v>
      </c>
      <c r="C394" t="s">
        <v>21</v>
      </c>
      <c r="D394" t="s">
        <v>26</v>
      </c>
      <c r="E394">
        <v>263</v>
      </c>
      <c r="F394">
        <f t="shared" si="9"/>
        <v>5</v>
      </c>
    </row>
    <row r="395" spans="1:6">
      <c r="A395" s="83">
        <v>43221</v>
      </c>
      <c r="B395" t="s">
        <v>20</v>
      </c>
      <c r="C395" t="s">
        <v>21</v>
      </c>
      <c r="D395" t="s">
        <v>26</v>
      </c>
      <c r="E395">
        <v>1132</v>
      </c>
      <c r="F395">
        <f t="shared" si="9"/>
        <v>5</v>
      </c>
    </row>
    <row r="396" spans="1:6">
      <c r="A396" s="83">
        <v>43221</v>
      </c>
      <c r="B396" t="s">
        <v>20</v>
      </c>
      <c r="C396" t="s">
        <v>24</v>
      </c>
      <c r="D396" t="s">
        <v>23</v>
      </c>
      <c r="E396">
        <v>1260</v>
      </c>
      <c r="F396">
        <f t="shared" si="9"/>
        <v>3</v>
      </c>
    </row>
    <row r="397" spans="1:6">
      <c r="A397" s="83">
        <v>43221</v>
      </c>
      <c r="B397" t="s">
        <v>20</v>
      </c>
      <c r="C397" t="s">
        <v>24</v>
      </c>
      <c r="D397" t="s">
        <v>23</v>
      </c>
      <c r="E397">
        <v>437</v>
      </c>
      <c r="F397">
        <f t="shared" si="9"/>
        <v>3</v>
      </c>
    </row>
    <row r="398" spans="1:6">
      <c r="A398" s="83">
        <v>43252</v>
      </c>
      <c r="B398" t="s">
        <v>20</v>
      </c>
      <c r="C398" t="s">
        <v>21</v>
      </c>
      <c r="D398" t="s">
        <v>22</v>
      </c>
      <c r="E398">
        <v>245</v>
      </c>
      <c r="F398">
        <f t="shared" si="9"/>
        <v>7</v>
      </c>
    </row>
    <row r="399" spans="1:6">
      <c r="A399" s="83">
        <v>43252</v>
      </c>
      <c r="B399" t="s">
        <v>20</v>
      </c>
      <c r="C399" t="s">
        <v>21</v>
      </c>
      <c r="D399" t="s">
        <v>23</v>
      </c>
      <c r="E399">
        <v>1318</v>
      </c>
      <c r="F399">
        <f t="shared" si="9"/>
        <v>3</v>
      </c>
    </row>
    <row r="400" spans="1:6">
      <c r="A400" s="83">
        <v>43252</v>
      </c>
      <c r="B400" t="s">
        <v>20</v>
      </c>
      <c r="C400" t="s">
        <v>24</v>
      </c>
      <c r="D400" t="s">
        <v>22</v>
      </c>
      <c r="E400">
        <v>1286</v>
      </c>
      <c r="F400">
        <f t="shared" si="9"/>
        <v>7</v>
      </c>
    </row>
    <row r="401" spans="1:6">
      <c r="A401" s="83">
        <v>43252</v>
      </c>
      <c r="B401" t="s">
        <v>20</v>
      </c>
      <c r="C401" t="s">
        <v>24</v>
      </c>
      <c r="D401" t="s">
        <v>23</v>
      </c>
      <c r="E401">
        <v>416</v>
      </c>
      <c r="F401">
        <f t="shared" si="9"/>
        <v>3</v>
      </c>
    </row>
    <row r="402" spans="1:6">
      <c r="A402" s="83">
        <v>43282</v>
      </c>
      <c r="B402" t="s">
        <v>20</v>
      </c>
      <c r="C402" t="s">
        <v>21</v>
      </c>
      <c r="D402" t="s">
        <v>26</v>
      </c>
      <c r="E402">
        <v>403</v>
      </c>
      <c r="F402">
        <f t="shared" si="9"/>
        <v>5</v>
      </c>
    </row>
    <row r="403" spans="1:6">
      <c r="A403" s="83">
        <v>43282</v>
      </c>
      <c r="B403" t="s">
        <v>20</v>
      </c>
      <c r="C403" t="s">
        <v>21</v>
      </c>
      <c r="D403" t="s">
        <v>26</v>
      </c>
      <c r="E403">
        <v>1740</v>
      </c>
      <c r="F403">
        <f t="shared" si="9"/>
        <v>5</v>
      </c>
    </row>
    <row r="404" spans="1:6">
      <c r="A404" s="83">
        <v>43282</v>
      </c>
      <c r="B404" t="s">
        <v>20</v>
      </c>
      <c r="C404" t="s">
        <v>24</v>
      </c>
      <c r="D404" t="s">
        <v>23</v>
      </c>
      <c r="E404">
        <v>1138</v>
      </c>
      <c r="F404">
        <f t="shared" si="9"/>
        <v>3</v>
      </c>
    </row>
    <row r="405" spans="1:6">
      <c r="A405" s="83">
        <v>43282</v>
      </c>
      <c r="B405" t="s">
        <v>20</v>
      </c>
      <c r="C405" t="s">
        <v>24</v>
      </c>
      <c r="D405" t="s">
        <v>26</v>
      </c>
      <c r="E405">
        <v>383</v>
      </c>
      <c r="F405">
        <f t="shared" si="9"/>
        <v>5</v>
      </c>
    </row>
    <row r="406" spans="1:6">
      <c r="A406" s="83">
        <v>43313</v>
      </c>
      <c r="B406" t="s">
        <v>20</v>
      </c>
      <c r="C406" t="s">
        <v>21</v>
      </c>
      <c r="D406" t="s">
        <v>23</v>
      </c>
      <c r="E406">
        <v>525</v>
      </c>
      <c r="F406">
        <f t="shared" si="9"/>
        <v>3</v>
      </c>
    </row>
    <row r="407" spans="1:6">
      <c r="A407" s="83">
        <v>43313</v>
      </c>
      <c r="B407" t="s">
        <v>20</v>
      </c>
      <c r="C407" t="s">
        <v>21</v>
      </c>
      <c r="D407" t="s">
        <v>26</v>
      </c>
      <c r="E407">
        <v>1560</v>
      </c>
      <c r="F407">
        <f t="shared" si="9"/>
        <v>5</v>
      </c>
    </row>
    <row r="408" spans="1:6">
      <c r="A408" s="83">
        <v>43313</v>
      </c>
      <c r="B408" t="s">
        <v>20</v>
      </c>
      <c r="C408" t="s">
        <v>24</v>
      </c>
      <c r="D408" t="s">
        <v>22</v>
      </c>
      <c r="E408">
        <v>1031</v>
      </c>
      <c r="F408">
        <f t="shared" si="9"/>
        <v>7</v>
      </c>
    </row>
    <row r="409" spans="1:6">
      <c r="A409" s="83">
        <v>43313</v>
      </c>
      <c r="B409" t="s">
        <v>20</v>
      </c>
      <c r="C409" t="s">
        <v>24</v>
      </c>
      <c r="D409" t="s">
        <v>23</v>
      </c>
      <c r="E409">
        <v>349</v>
      </c>
      <c r="F409">
        <f t="shared" si="9"/>
        <v>3</v>
      </c>
    </row>
    <row r="410" spans="1:6">
      <c r="A410" s="83">
        <v>43344</v>
      </c>
      <c r="B410" t="s">
        <v>20</v>
      </c>
      <c r="C410" t="s">
        <v>21</v>
      </c>
      <c r="D410" t="s">
        <v>26</v>
      </c>
      <c r="E410">
        <v>420</v>
      </c>
      <c r="F410">
        <f t="shared" si="9"/>
        <v>5</v>
      </c>
    </row>
    <row r="411" spans="1:6">
      <c r="A411" s="83">
        <v>43344</v>
      </c>
      <c r="B411" t="s">
        <v>20</v>
      </c>
      <c r="C411" t="s">
        <v>21</v>
      </c>
      <c r="D411" t="s">
        <v>26</v>
      </c>
      <c r="E411">
        <v>180</v>
      </c>
      <c r="F411">
        <f t="shared" si="9"/>
        <v>5</v>
      </c>
    </row>
    <row r="412" spans="1:6">
      <c r="A412" s="83">
        <v>43344</v>
      </c>
      <c r="B412" t="s">
        <v>20</v>
      </c>
      <c r="C412" t="s">
        <v>24</v>
      </c>
      <c r="D412" t="s">
        <v>23</v>
      </c>
      <c r="E412">
        <v>990</v>
      </c>
      <c r="F412">
        <f t="shared" si="9"/>
        <v>3</v>
      </c>
    </row>
    <row r="413" spans="1:6">
      <c r="A413" s="83">
        <v>43344</v>
      </c>
      <c r="B413" t="s">
        <v>20</v>
      </c>
      <c r="C413" t="s">
        <v>24</v>
      </c>
      <c r="D413" t="s">
        <v>26</v>
      </c>
      <c r="E413">
        <v>326</v>
      </c>
      <c r="F413">
        <f t="shared" si="9"/>
        <v>5</v>
      </c>
    </row>
    <row r="414" spans="1:6">
      <c r="A414" s="83">
        <v>43374</v>
      </c>
      <c r="B414" t="s">
        <v>20</v>
      </c>
      <c r="C414" t="s">
        <v>21</v>
      </c>
      <c r="D414" t="s">
        <v>23</v>
      </c>
      <c r="E414">
        <v>263</v>
      </c>
      <c r="F414">
        <f t="shared" si="9"/>
        <v>3</v>
      </c>
    </row>
    <row r="415" spans="1:6">
      <c r="A415" s="83">
        <v>43374</v>
      </c>
      <c r="B415" t="s">
        <v>20</v>
      </c>
      <c r="C415" t="s">
        <v>21</v>
      </c>
      <c r="D415" t="s">
        <v>26</v>
      </c>
      <c r="E415">
        <v>270</v>
      </c>
      <c r="F415">
        <f t="shared" si="9"/>
        <v>5</v>
      </c>
    </row>
    <row r="416" spans="1:6">
      <c r="A416" s="83">
        <v>43374</v>
      </c>
      <c r="B416" t="s">
        <v>20</v>
      </c>
      <c r="C416" t="s">
        <v>24</v>
      </c>
      <c r="D416" t="s">
        <v>26</v>
      </c>
      <c r="E416">
        <v>949</v>
      </c>
      <c r="F416">
        <f t="shared" si="9"/>
        <v>5</v>
      </c>
    </row>
    <row r="417" spans="1:6">
      <c r="A417" s="83">
        <v>43374</v>
      </c>
      <c r="B417" t="s">
        <v>20</v>
      </c>
      <c r="C417" t="s">
        <v>24</v>
      </c>
      <c r="D417" t="s">
        <v>22</v>
      </c>
      <c r="E417">
        <v>326</v>
      </c>
      <c r="F417">
        <f t="shared" si="9"/>
        <v>7</v>
      </c>
    </row>
    <row r="418" spans="1:6">
      <c r="A418" s="83">
        <v>43405</v>
      </c>
      <c r="B418" t="s">
        <v>20</v>
      </c>
      <c r="C418" t="s">
        <v>21</v>
      </c>
      <c r="D418" t="s">
        <v>26</v>
      </c>
      <c r="E418">
        <v>193</v>
      </c>
      <c r="F418">
        <f t="shared" si="9"/>
        <v>5</v>
      </c>
    </row>
    <row r="419" spans="1:6">
      <c r="A419" s="83">
        <v>43405</v>
      </c>
      <c r="B419" t="s">
        <v>20</v>
      </c>
      <c r="C419" t="s">
        <v>21</v>
      </c>
      <c r="D419" t="s">
        <v>22</v>
      </c>
      <c r="E419">
        <v>135</v>
      </c>
      <c r="F419">
        <f t="shared" si="9"/>
        <v>7</v>
      </c>
    </row>
    <row r="420" spans="1:6">
      <c r="A420" s="83">
        <v>43405</v>
      </c>
      <c r="B420" t="s">
        <v>20</v>
      </c>
      <c r="C420" t="s">
        <v>24</v>
      </c>
      <c r="D420" t="s">
        <v>22</v>
      </c>
      <c r="E420">
        <v>1055</v>
      </c>
      <c r="F420">
        <f t="shared" si="9"/>
        <v>7</v>
      </c>
    </row>
    <row r="421" spans="1:6">
      <c r="A421" s="83">
        <v>43405</v>
      </c>
      <c r="B421" t="s">
        <v>20</v>
      </c>
      <c r="C421" t="s">
        <v>24</v>
      </c>
      <c r="D421" t="s">
        <v>26</v>
      </c>
      <c r="E421">
        <v>349</v>
      </c>
      <c r="F421">
        <f t="shared" si="9"/>
        <v>5</v>
      </c>
    </row>
    <row r="422" spans="1:6">
      <c r="A422" s="83">
        <v>43435</v>
      </c>
      <c r="B422" t="s">
        <v>20</v>
      </c>
      <c r="C422" t="s">
        <v>21</v>
      </c>
      <c r="D422" t="s">
        <v>26</v>
      </c>
      <c r="E422">
        <v>263</v>
      </c>
      <c r="F422">
        <f t="shared" si="9"/>
        <v>5</v>
      </c>
    </row>
    <row r="423" spans="1:6">
      <c r="A423" s="83">
        <v>43435</v>
      </c>
      <c r="B423" t="s">
        <v>20</v>
      </c>
      <c r="C423" t="s">
        <v>21</v>
      </c>
      <c r="D423" t="s">
        <v>23</v>
      </c>
      <c r="E423">
        <v>113</v>
      </c>
      <c r="F423">
        <f t="shared" si="9"/>
        <v>3</v>
      </c>
    </row>
    <row r="424" spans="1:6">
      <c r="A424" s="83">
        <v>43435</v>
      </c>
      <c r="B424" t="s">
        <v>20</v>
      </c>
      <c r="C424" t="s">
        <v>24</v>
      </c>
      <c r="D424" t="s">
        <v>26</v>
      </c>
      <c r="E424">
        <v>958</v>
      </c>
      <c r="F424">
        <f t="shared" si="9"/>
        <v>5</v>
      </c>
    </row>
    <row r="425" spans="1:6">
      <c r="A425" s="83">
        <v>43435</v>
      </c>
      <c r="B425" t="s">
        <v>20</v>
      </c>
      <c r="C425" t="s">
        <v>24</v>
      </c>
      <c r="D425" t="s">
        <v>22</v>
      </c>
      <c r="E425">
        <v>371</v>
      </c>
      <c r="F425">
        <f t="shared" si="9"/>
        <v>7</v>
      </c>
    </row>
    <row r="426" spans="1:6">
      <c r="A426" s="83">
        <v>43466</v>
      </c>
      <c r="B426" t="s">
        <v>20</v>
      </c>
      <c r="C426" t="s">
        <v>21</v>
      </c>
      <c r="D426" t="s">
        <v>23</v>
      </c>
      <c r="E426">
        <v>440</v>
      </c>
      <c r="F426">
        <f t="shared" si="9"/>
        <v>3</v>
      </c>
    </row>
    <row r="427" spans="1:6">
      <c r="A427" s="83">
        <v>43466</v>
      </c>
      <c r="B427" t="s">
        <v>20</v>
      </c>
      <c r="C427" t="s">
        <v>21</v>
      </c>
      <c r="D427" t="s">
        <v>26</v>
      </c>
      <c r="E427">
        <v>45</v>
      </c>
      <c r="F427">
        <f t="shared" si="9"/>
        <v>5</v>
      </c>
    </row>
    <row r="428" spans="1:6">
      <c r="A428" s="83">
        <v>43466</v>
      </c>
      <c r="B428" t="s">
        <v>20</v>
      </c>
      <c r="C428" t="s">
        <v>24</v>
      </c>
      <c r="D428" t="s">
        <v>23</v>
      </c>
      <c r="E428">
        <v>1115</v>
      </c>
      <c r="F428">
        <f t="shared" si="9"/>
        <v>3</v>
      </c>
    </row>
    <row r="429" spans="1:6">
      <c r="A429" s="83">
        <v>43466</v>
      </c>
      <c r="B429" t="s">
        <v>20</v>
      </c>
      <c r="C429" t="s">
        <v>24</v>
      </c>
      <c r="D429" t="s">
        <v>26</v>
      </c>
      <c r="E429">
        <v>458</v>
      </c>
      <c r="F429">
        <f t="shared" si="9"/>
        <v>5</v>
      </c>
    </row>
    <row r="430" spans="1:6">
      <c r="A430" s="83">
        <v>43497</v>
      </c>
      <c r="B430" t="s">
        <v>20</v>
      </c>
      <c r="C430" t="s">
        <v>21</v>
      </c>
      <c r="D430" t="s">
        <v>23</v>
      </c>
      <c r="E430">
        <v>630</v>
      </c>
      <c r="F430">
        <f t="shared" si="9"/>
        <v>3</v>
      </c>
    </row>
    <row r="431" spans="1:6">
      <c r="A431" s="83">
        <v>43497</v>
      </c>
      <c r="B431" t="s">
        <v>20</v>
      </c>
      <c r="C431" t="s">
        <v>21</v>
      </c>
      <c r="D431" t="s">
        <v>26</v>
      </c>
      <c r="E431">
        <v>68</v>
      </c>
      <c r="F431">
        <f t="shared" si="9"/>
        <v>5</v>
      </c>
    </row>
    <row r="432" spans="1:6">
      <c r="A432" s="83">
        <v>43497</v>
      </c>
      <c r="B432" t="s">
        <v>20</v>
      </c>
      <c r="C432" t="s">
        <v>24</v>
      </c>
      <c r="D432" t="s">
        <v>22</v>
      </c>
      <c r="E432">
        <v>1326</v>
      </c>
      <c r="F432">
        <f t="shared" si="9"/>
        <v>7</v>
      </c>
    </row>
    <row r="433" spans="1:6">
      <c r="A433" s="83">
        <v>43497</v>
      </c>
      <c r="B433" t="s">
        <v>20</v>
      </c>
      <c r="C433" t="s">
        <v>24</v>
      </c>
      <c r="D433" t="s">
        <v>23</v>
      </c>
      <c r="E433">
        <v>611</v>
      </c>
      <c r="F433">
        <f t="shared" si="9"/>
        <v>3</v>
      </c>
    </row>
    <row r="434" spans="1:6">
      <c r="A434" s="83">
        <v>43525</v>
      </c>
      <c r="B434" t="s">
        <v>20</v>
      </c>
      <c r="C434" t="s">
        <v>21</v>
      </c>
      <c r="D434" t="s">
        <v>26</v>
      </c>
      <c r="E434">
        <v>565</v>
      </c>
      <c r="F434">
        <f t="shared" si="9"/>
        <v>5</v>
      </c>
    </row>
    <row r="435" spans="1:6">
      <c r="A435" s="83">
        <v>43525</v>
      </c>
      <c r="B435" t="s">
        <v>20</v>
      </c>
      <c r="C435" t="s">
        <v>21</v>
      </c>
      <c r="D435" t="s">
        <v>22</v>
      </c>
      <c r="E435">
        <v>135</v>
      </c>
      <c r="F435">
        <f t="shared" si="9"/>
        <v>7</v>
      </c>
    </row>
    <row r="436" spans="1:6">
      <c r="A436" s="83">
        <v>43525</v>
      </c>
      <c r="B436" t="s">
        <v>20</v>
      </c>
      <c r="C436" t="s">
        <v>24</v>
      </c>
      <c r="D436" t="s">
        <v>23</v>
      </c>
      <c r="E436">
        <v>1047</v>
      </c>
      <c r="F436">
        <f t="shared" si="9"/>
        <v>3</v>
      </c>
    </row>
    <row r="437" spans="1:6">
      <c r="A437" s="83">
        <v>43525</v>
      </c>
      <c r="B437" t="s">
        <v>20</v>
      </c>
      <c r="C437" t="s">
        <v>24</v>
      </c>
      <c r="D437" t="s">
        <v>23</v>
      </c>
      <c r="E437">
        <v>525</v>
      </c>
      <c r="F437">
        <f t="shared" si="9"/>
        <v>3</v>
      </c>
    </row>
    <row r="438" spans="1:6">
      <c r="A438" s="83">
        <v>43556</v>
      </c>
      <c r="B438" t="s">
        <v>20</v>
      </c>
      <c r="C438" t="s">
        <v>21</v>
      </c>
      <c r="D438" t="s">
        <v>23</v>
      </c>
      <c r="E438">
        <v>657</v>
      </c>
      <c r="F438">
        <f t="shared" si="9"/>
        <v>3</v>
      </c>
    </row>
    <row r="439" spans="1:6">
      <c r="A439" s="83">
        <v>43556</v>
      </c>
      <c r="B439" t="s">
        <v>20</v>
      </c>
      <c r="C439" t="s">
        <v>21</v>
      </c>
      <c r="D439" t="s">
        <v>22</v>
      </c>
      <c r="E439">
        <v>270</v>
      </c>
      <c r="F439">
        <f t="shared" si="9"/>
        <v>7</v>
      </c>
    </row>
    <row r="440" spans="1:6">
      <c r="A440" s="83">
        <v>43556</v>
      </c>
      <c r="B440" t="s">
        <v>20</v>
      </c>
      <c r="C440" t="s">
        <v>24</v>
      </c>
      <c r="D440" t="s">
        <v>22</v>
      </c>
      <c r="E440">
        <v>1089</v>
      </c>
      <c r="F440">
        <f t="shared" si="9"/>
        <v>7</v>
      </c>
    </row>
    <row r="441" spans="1:6">
      <c r="A441" s="83">
        <v>43556</v>
      </c>
      <c r="B441" t="s">
        <v>20</v>
      </c>
      <c r="C441" t="s">
        <v>24</v>
      </c>
      <c r="D441" t="s">
        <v>22</v>
      </c>
      <c r="E441">
        <v>546</v>
      </c>
      <c r="F441">
        <f t="shared" si="9"/>
        <v>7</v>
      </c>
    </row>
    <row r="442" spans="1:6">
      <c r="A442" s="83">
        <v>43586</v>
      </c>
      <c r="B442" t="s">
        <v>20</v>
      </c>
      <c r="C442" t="s">
        <v>21</v>
      </c>
      <c r="D442" t="s">
        <v>23</v>
      </c>
      <c r="E442">
        <v>590</v>
      </c>
      <c r="F442">
        <f t="shared" si="9"/>
        <v>3</v>
      </c>
    </row>
    <row r="443" spans="1:6">
      <c r="A443" s="83">
        <v>43586</v>
      </c>
      <c r="B443" t="s">
        <v>20</v>
      </c>
      <c r="C443" t="s">
        <v>21</v>
      </c>
      <c r="D443" t="s">
        <v>26</v>
      </c>
      <c r="E443">
        <v>383</v>
      </c>
      <c r="F443">
        <f t="shared" si="9"/>
        <v>5</v>
      </c>
    </row>
    <row r="444" spans="1:6">
      <c r="A444" s="83">
        <v>43586</v>
      </c>
      <c r="B444" t="s">
        <v>20</v>
      </c>
      <c r="C444" t="s">
        <v>24</v>
      </c>
      <c r="D444" t="s">
        <v>23</v>
      </c>
      <c r="E444">
        <v>922</v>
      </c>
      <c r="F444">
        <f t="shared" si="9"/>
        <v>3</v>
      </c>
    </row>
    <row r="445" spans="1:6">
      <c r="A445" s="83">
        <v>43586</v>
      </c>
      <c r="B445" t="s">
        <v>20</v>
      </c>
      <c r="C445" t="s">
        <v>24</v>
      </c>
      <c r="D445" t="s">
        <v>26</v>
      </c>
      <c r="E445">
        <v>491</v>
      </c>
      <c r="F445">
        <f t="shared" si="9"/>
        <v>5</v>
      </c>
    </row>
    <row r="446" spans="1:6">
      <c r="A446" s="83">
        <v>43617</v>
      </c>
      <c r="B446" t="s">
        <v>20</v>
      </c>
      <c r="C446" t="s">
        <v>21</v>
      </c>
      <c r="D446" t="s">
        <v>22</v>
      </c>
      <c r="E446">
        <v>724</v>
      </c>
      <c r="F446">
        <f t="shared" si="9"/>
        <v>7</v>
      </c>
    </row>
    <row r="447" spans="1:6">
      <c r="A447" s="83">
        <v>43617</v>
      </c>
      <c r="B447" t="s">
        <v>20</v>
      </c>
      <c r="C447" t="s">
        <v>21</v>
      </c>
      <c r="D447" t="s">
        <v>26</v>
      </c>
      <c r="E447">
        <v>360</v>
      </c>
      <c r="F447">
        <f t="shared" si="9"/>
        <v>5</v>
      </c>
    </row>
    <row r="448" spans="1:6">
      <c r="A448" s="83">
        <v>43617</v>
      </c>
      <c r="B448" t="s">
        <v>20</v>
      </c>
      <c r="C448" t="s">
        <v>24</v>
      </c>
      <c r="D448" t="s">
        <v>22</v>
      </c>
      <c r="E448">
        <v>748</v>
      </c>
      <c r="F448">
        <f t="shared" si="9"/>
        <v>7</v>
      </c>
    </row>
    <row r="449" spans="1:6">
      <c r="A449" s="83">
        <v>43617</v>
      </c>
      <c r="B449" t="s">
        <v>20</v>
      </c>
      <c r="C449" t="s">
        <v>24</v>
      </c>
      <c r="D449" t="s">
        <v>23</v>
      </c>
      <c r="E449">
        <v>448</v>
      </c>
      <c r="F449">
        <f t="shared" si="9"/>
        <v>3</v>
      </c>
    </row>
    <row r="450" spans="1:6">
      <c r="A450" s="83">
        <v>43647</v>
      </c>
      <c r="B450" t="s">
        <v>20</v>
      </c>
      <c r="C450" t="s">
        <v>21</v>
      </c>
      <c r="D450" t="s">
        <v>22</v>
      </c>
      <c r="E450">
        <v>581</v>
      </c>
      <c r="F450">
        <f t="shared" si="9"/>
        <v>7</v>
      </c>
    </row>
    <row r="451" spans="1:6">
      <c r="A451" s="83">
        <v>43647</v>
      </c>
      <c r="B451" t="s">
        <v>20</v>
      </c>
      <c r="C451" t="s">
        <v>21</v>
      </c>
      <c r="D451" t="s">
        <v>23</v>
      </c>
      <c r="E451">
        <v>495</v>
      </c>
      <c r="F451">
        <f t="shared" ref="F451:F514" si="10">LEN(D451)</f>
        <v>3</v>
      </c>
    </row>
    <row r="452" spans="1:6">
      <c r="A452" s="83">
        <v>43647</v>
      </c>
      <c r="B452" t="s">
        <v>20</v>
      </c>
      <c r="C452" t="s">
        <v>24</v>
      </c>
      <c r="D452" t="s">
        <v>23</v>
      </c>
      <c r="E452">
        <v>697</v>
      </c>
      <c r="F452">
        <f t="shared" si="10"/>
        <v>3</v>
      </c>
    </row>
    <row r="453" spans="1:6">
      <c r="A453" s="83">
        <v>43647</v>
      </c>
      <c r="B453" t="s">
        <v>20</v>
      </c>
      <c r="C453" t="s">
        <v>24</v>
      </c>
      <c r="D453" t="s">
        <v>26</v>
      </c>
      <c r="E453">
        <v>437</v>
      </c>
      <c r="F453">
        <f t="shared" si="10"/>
        <v>5</v>
      </c>
    </row>
    <row r="454" spans="1:6">
      <c r="A454" s="83">
        <v>43678</v>
      </c>
      <c r="B454" t="s">
        <v>20</v>
      </c>
      <c r="C454" t="s">
        <v>21</v>
      </c>
      <c r="D454" t="s">
        <v>23</v>
      </c>
      <c r="E454">
        <v>708</v>
      </c>
      <c r="F454">
        <f t="shared" si="10"/>
        <v>3</v>
      </c>
    </row>
    <row r="455" spans="1:6">
      <c r="A455" s="83">
        <v>43678</v>
      </c>
      <c r="B455" t="s">
        <v>20</v>
      </c>
      <c r="C455" t="s">
        <v>21</v>
      </c>
      <c r="D455" t="s">
        <v>26</v>
      </c>
      <c r="E455">
        <v>626</v>
      </c>
      <c r="F455">
        <f t="shared" si="10"/>
        <v>5</v>
      </c>
    </row>
    <row r="456" spans="1:6">
      <c r="A456" s="83">
        <v>43678</v>
      </c>
      <c r="B456" t="s">
        <v>20</v>
      </c>
      <c r="C456" t="s">
        <v>24</v>
      </c>
      <c r="D456" t="s">
        <v>26</v>
      </c>
      <c r="E456">
        <v>527</v>
      </c>
      <c r="F456">
        <f t="shared" si="10"/>
        <v>5</v>
      </c>
    </row>
    <row r="457" spans="1:6">
      <c r="A457" s="83">
        <v>43678</v>
      </c>
      <c r="B457" t="s">
        <v>20</v>
      </c>
      <c r="C457" t="s">
        <v>24</v>
      </c>
      <c r="D457" t="s">
        <v>23</v>
      </c>
      <c r="E457">
        <v>404</v>
      </c>
      <c r="F457">
        <f t="shared" si="10"/>
        <v>3</v>
      </c>
    </row>
    <row r="458" spans="1:6">
      <c r="A458" s="83">
        <v>43709</v>
      </c>
      <c r="B458" t="s">
        <v>20</v>
      </c>
      <c r="C458" t="s">
        <v>21</v>
      </c>
      <c r="D458" t="s">
        <v>22</v>
      </c>
      <c r="E458">
        <v>767</v>
      </c>
      <c r="F458">
        <f t="shared" si="10"/>
        <v>7</v>
      </c>
    </row>
    <row r="459" spans="1:6">
      <c r="A459" s="83">
        <v>43709</v>
      </c>
      <c r="B459" t="s">
        <v>20</v>
      </c>
      <c r="C459" t="s">
        <v>21</v>
      </c>
      <c r="D459" t="s">
        <v>22</v>
      </c>
      <c r="E459">
        <v>657</v>
      </c>
      <c r="F459">
        <f t="shared" si="10"/>
        <v>7</v>
      </c>
    </row>
    <row r="460" spans="1:6">
      <c r="A460" s="83">
        <v>43709</v>
      </c>
      <c r="B460" t="s">
        <v>20</v>
      </c>
      <c r="C460" t="s">
        <v>24</v>
      </c>
      <c r="D460" t="s">
        <v>23</v>
      </c>
      <c r="E460">
        <v>561</v>
      </c>
      <c r="F460">
        <f t="shared" si="10"/>
        <v>3</v>
      </c>
    </row>
    <row r="461" spans="1:6">
      <c r="A461" s="83">
        <v>43709</v>
      </c>
      <c r="B461" t="s">
        <v>20</v>
      </c>
      <c r="C461" t="s">
        <v>24</v>
      </c>
      <c r="D461" t="s">
        <v>22</v>
      </c>
      <c r="E461">
        <v>469</v>
      </c>
      <c r="F461">
        <f t="shared" si="10"/>
        <v>7</v>
      </c>
    </row>
    <row r="462" spans="1:6">
      <c r="A462" s="83">
        <v>43739</v>
      </c>
      <c r="B462" t="s">
        <v>20</v>
      </c>
      <c r="C462" t="s">
        <v>21</v>
      </c>
      <c r="D462" t="s">
        <v>26</v>
      </c>
      <c r="E462">
        <v>1005</v>
      </c>
      <c r="F462">
        <f t="shared" si="10"/>
        <v>5</v>
      </c>
    </row>
    <row r="463" spans="1:6">
      <c r="A463" s="83">
        <v>43739</v>
      </c>
      <c r="B463" t="s">
        <v>20</v>
      </c>
      <c r="C463" t="s">
        <v>21</v>
      </c>
      <c r="D463" t="s">
        <v>26</v>
      </c>
      <c r="E463">
        <v>769</v>
      </c>
      <c r="F463">
        <f t="shared" si="10"/>
        <v>5</v>
      </c>
    </row>
    <row r="464" spans="1:6">
      <c r="A464" s="83">
        <v>43739</v>
      </c>
      <c r="B464" t="s">
        <v>20</v>
      </c>
      <c r="C464" t="s">
        <v>24</v>
      </c>
      <c r="D464" t="s">
        <v>26</v>
      </c>
      <c r="E464">
        <v>333</v>
      </c>
      <c r="F464">
        <f t="shared" si="10"/>
        <v>5</v>
      </c>
    </row>
    <row r="465" spans="1:6">
      <c r="A465" s="83">
        <v>43739</v>
      </c>
      <c r="B465" t="s">
        <v>20</v>
      </c>
      <c r="C465" t="s">
        <v>24</v>
      </c>
      <c r="D465" t="s">
        <v>23</v>
      </c>
      <c r="E465">
        <v>338</v>
      </c>
      <c r="F465">
        <f t="shared" si="10"/>
        <v>3</v>
      </c>
    </row>
    <row r="466" spans="1:6">
      <c r="A466" s="83">
        <v>43770</v>
      </c>
      <c r="B466" t="s">
        <v>20</v>
      </c>
      <c r="C466" t="s">
        <v>21</v>
      </c>
      <c r="D466" t="s">
        <v>26</v>
      </c>
      <c r="E466">
        <v>1054</v>
      </c>
      <c r="F466">
        <f t="shared" si="10"/>
        <v>5</v>
      </c>
    </row>
    <row r="467" spans="1:6">
      <c r="A467" s="83">
        <v>43770</v>
      </c>
      <c r="B467" t="s">
        <v>20</v>
      </c>
      <c r="C467" t="s">
        <v>21</v>
      </c>
      <c r="D467" t="s">
        <v>22</v>
      </c>
      <c r="E467">
        <v>609</v>
      </c>
      <c r="F467">
        <f t="shared" si="10"/>
        <v>7</v>
      </c>
    </row>
    <row r="468" spans="1:6">
      <c r="A468" s="83">
        <v>43770</v>
      </c>
      <c r="B468" t="s">
        <v>20</v>
      </c>
      <c r="C468" t="s">
        <v>24</v>
      </c>
      <c r="D468" t="s">
        <v>23</v>
      </c>
      <c r="E468">
        <v>403</v>
      </c>
      <c r="F468">
        <f t="shared" si="10"/>
        <v>3</v>
      </c>
    </row>
    <row r="469" spans="1:6">
      <c r="A469" s="83">
        <v>43770</v>
      </c>
      <c r="B469" t="s">
        <v>20</v>
      </c>
      <c r="C469" t="s">
        <v>24</v>
      </c>
      <c r="D469" t="s">
        <v>23</v>
      </c>
      <c r="E469">
        <v>470</v>
      </c>
      <c r="F469">
        <f t="shared" si="10"/>
        <v>3</v>
      </c>
    </row>
    <row r="470" spans="1:6">
      <c r="A470" s="83">
        <v>43800</v>
      </c>
      <c r="B470" t="s">
        <v>20</v>
      </c>
      <c r="C470" t="s">
        <v>21</v>
      </c>
      <c r="D470" t="s">
        <v>23</v>
      </c>
      <c r="E470">
        <v>996</v>
      </c>
      <c r="F470">
        <f t="shared" si="10"/>
        <v>3</v>
      </c>
    </row>
    <row r="471" spans="1:6">
      <c r="A471" s="83">
        <v>43800</v>
      </c>
      <c r="B471" t="s">
        <v>20</v>
      </c>
      <c r="C471" t="s">
        <v>21</v>
      </c>
      <c r="D471" t="s">
        <v>22</v>
      </c>
      <c r="E471">
        <v>627</v>
      </c>
      <c r="F471">
        <f t="shared" si="10"/>
        <v>7</v>
      </c>
    </row>
    <row r="472" spans="1:6">
      <c r="A472" s="83">
        <v>43800</v>
      </c>
      <c r="B472" t="s">
        <v>20</v>
      </c>
      <c r="C472" t="s">
        <v>24</v>
      </c>
      <c r="D472" t="s">
        <v>22</v>
      </c>
      <c r="E472">
        <v>407</v>
      </c>
      <c r="F472">
        <f t="shared" si="10"/>
        <v>7</v>
      </c>
    </row>
    <row r="473" spans="1:6">
      <c r="A473" s="83">
        <v>43800</v>
      </c>
      <c r="B473" t="s">
        <v>20</v>
      </c>
      <c r="C473" t="s">
        <v>24</v>
      </c>
      <c r="D473" t="s">
        <v>22</v>
      </c>
      <c r="E473">
        <v>645</v>
      </c>
      <c r="F473">
        <f t="shared" si="10"/>
        <v>7</v>
      </c>
    </row>
    <row r="474" spans="1:6">
      <c r="A474" s="83">
        <v>43221</v>
      </c>
      <c r="B474" t="s">
        <v>20</v>
      </c>
      <c r="C474" t="s">
        <v>21</v>
      </c>
      <c r="D474" t="s">
        <v>26</v>
      </c>
      <c r="E474">
        <v>140</v>
      </c>
      <c r="F474">
        <f t="shared" si="10"/>
        <v>5</v>
      </c>
    </row>
    <row r="475" spans="1:6">
      <c r="A475" s="83">
        <v>43221</v>
      </c>
      <c r="B475" t="s">
        <v>20</v>
      </c>
      <c r="C475" t="s">
        <v>21</v>
      </c>
      <c r="D475" t="s">
        <v>26</v>
      </c>
      <c r="E475">
        <v>220</v>
      </c>
      <c r="F475">
        <f t="shared" si="10"/>
        <v>5</v>
      </c>
    </row>
    <row r="476" spans="1:6">
      <c r="A476" s="83">
        <v>43221</v>
      </c>
      <c r="B476" t="s">
        <v>20</v>
      </c>
      <c r="C476" t="s">
        <v>21</v>
      </c>
      <c r="D476" t="s">
        <v>23</v>
      </c>
      <c r="E476">
        <v>180</v>
      </c>
      <c r="F476">
        <f t="shared" si="10"/>
        <v>3</v>
      </c>
    </row>
    <row r="477" spans="1:6">
      <c r="A477" s="83">
        <v>43221</v>
      </c>
      <c r="B477" t="s">
        <v>20</v>
      </c>
      <c r="C477" t="s">
        <v>24</v>
      </c>
      <c r="D477" t="s">
        <v>23</v>
      </c>
      <c r="E477">
        <v>158</v>
      </c>
      <c r="F477">
        <f t="shared" si="10"/>
        <v>3</v>
      </c>
    </row>
    <row r="478" spans="1:6">
      <c r="A478" s="83">
        <v>43221</v>
      </c>
      <c r="B478" t="s">
        <v>20</v>
      </c>
      <c r="C478" t="s">
        <v>24</v>
      </c>
      <c r="D478" t="s">
        <v>23</v>
      </c>
      <c r="E478">
        <v>193</v>
      </c>
      <c r="F478">
        <f t="shared" si="10"/>
        <v>3</v>
      </c>
    </row>
    <row r="479" spans="1:6">
      <c r="A479" s="83">
        <v>43221</v>
      </c>
      <c r="B479" t="s">
        <v>20</v>
      </c>
      <c r="C479" t="s">
        <v>24</v>
      </c>
      <c r="D479" t="s">
        <v>22</v>
      </c>
      <c r="E479">
        <v>180</v>
      </c>
      <c r="F479">
        <f t="shared" si="10"/>
        <v>7</v>
      </c>
    </row>
    <row r="480" spans="1:6">
      <c r="A480" s="83">
        <v>43252</v>
      </c>
      <c r="B480" t="s">
        <v>20</v>
      </c>
      <c r="C480" t="s">
        <v>21</v>
      </c>
      <c r="D480" t="s">
        <v>26</v>
      </c>
      <c r="E480">
        <v>140</v>
      </c>
      <c r="F480">
        <f t="shared" si="10"/>
        <v>5</v>
      </c>
    </row>
    <row r="481" spans="1:6">
      <c r="A481" s="83">
        <v>43252</v>
      </c>
      <c r="B481" t="s">
        <v>20</v>
      </c>
      <c r="C481" t="s">
        <v>21</v>
      </c>
      <c r="D481" t="s">
        <v>26</v>
      </c>
      <c r="E481">
        <v>193</v>
      </c>
      <c r="F481">
        <f t="shared" si="10"/>
        <v>5</v>
      </c>
    </row>
    <row r="482" spans="1:6">
      <c r="A482" s="83">
        <v>43252</v>
      </c>
      <c r="B482" t="s">
        <v>20</v>
      </c>
      <c r="C482" t="s">
        <v>21</v>
      </c>
      <c r="D482" t="s">
        <v>23</v>
      </c>
      <c r="E482">
        <v>293</v>
      </c>
      <c r="F482">
        <f t="shared" si="10"/>
        <v>3</v>
      </c>
    </row>
    <row r="483" spans="1:6">
      <c r="A483" s="83">
        <v>43252</v>
      </c>
      <c r="B483" t="s">
        <v>20</v>
      </c>
      <c r="C483" t="s">
        <v>24</v>
      </c>
      <c r="D483" t="s">
        <v>26</v>
      </c>
      <c r="E483">
        <v>149</v>
      </c>
      <c r="F483">
        <f t="shared" si="10"/>
        <v>5</v>
      </c>
    </row>
    <row r="484" spans="1:6">
      <c r="A484" s="83">
        <v>43252</v>
      </c>
      <c r="B484" t="s">
        <v>20</v>
      </c>
      <c r="C484" t="s">
        <v>24</v>
      </c>
      <c r="D484" t="s">
        <v>26</v>
      </c>
      <c r="E484">
        <v>206</v>
      </c>
      <c r="F484">
        <f t="shared" si="10"/>
        <v>5</v>
      </c>
    </row>
    <row r="485" spans="1:6">
      <c r="A485" s="83">
        <v>43252</v>
      </c>
      <c r="B485" t="s">
        <v>20</v>
      </c>
      <c r="C485" t="s">
        <v>24</v>
      </c>
      <c r="D485" t="s">
        <v>22</v>
      </c>
      <c r="E485">
        <v>225</v>
      </c>
      <c r="F485">
        <f t="shared" si="10"/>
        <v>7</v>
      </c>
    </row>
    <row r="486" spans="1:6">
      <c r="A486" s="83">
        <v>43282</v>
      </c>
      <c r="B486" t="s">
        <v>20</v>
      </c>
      <c r="C486" t="s">
        <v>21</v>
      </c>
      <c r="D486" t="s">
        <v>22</v>
      </c>
      <c r="E486">
        <v>140</v>
      </c>
      <c r="F486">
        <f t="shared" si="10"/>
        <v>7</v>
      </c>
    </row>
    <row r="487" spans="1:6">
      <c r="A487" s="83">
        <v>43282</v>
      </c>
      <c r="B487" t="s">
        <v>20</v>
      </c>
      <c r="C487" t="s">
        <v>21</v>
      </c>
      <c r="D487" t="s">
        <v>23</v>
      </c>
      <c r="E487">
        <v>165</v>
      </c>
      <c r="F487">
        <f t="shared" si="10"/>
        <v>3</v>
      </c>
    </row>
    <row r="488" spans="1:6">
      <c r="A488" s="83">
        <v>43282</v>
      </c>
      <c r="B488" t="s">
        <v>20</v>
      </c>
      <c r="C488" t="s">
        <v>21</v>
      </c>
      <c r="D488" t="s">
        <v>23</v>
      </c>
      <c r="E488">
        <v>293</v>
      </c>
      <c r="F488">
        <f t="shared" si="10"/>
        <v>3</v>
      </c>
    </row>
    <row r="489" spans="1:6">
      <c r="A489" s="83">
        <v>43282</v>
      </c>
      <c r="B489" t="s">
        <v>20</v>
      </c>
      <c r="C489" t="s">
        <v>24</v>
      </c>
      <c r="D489" t="s">
        <v>26</v>
      </c>
      <c r="E489">
        <v>123</v>
      </c>
      <c r="F489">
        <f t="shared" si="10"/>
        <v>5</v>
      </c>
    </row>
    <row r="490" spans="1:6">
      <c r="A490" s="83">
        <v>43282</v>
      </c>
      <c r="B490" t="s">
        <v>20</v>
      </c>
      <c r="C490" t="s">
        <v>24</v>
      </c>
      <c r="D490" t="s">
        <v>22</v>
      </c>
      <c r="E490">
        <v>179</v>
      </c>
      <c r="F490">
        <f t="shared" si="10"/>
        <v>7</v>
      </c>
    </row>
    <row r="491" spans="1:6">
      <c r="A491" s="83">
        <v>43282</v>
      </c>
      <c r="B491" t="s">
        <v>20</v>
      </c>
      <c r="C491" t="s">
        <v>24</v>
      </c>
      <c r="D491" t="s">
        <v>23</v>
      </c>
      <c r="E491">
        <v>214</v>
      </c>
      <c r="F491">
        <f t="shared" si="10"/>
        <v>3</v>
      </c>
    </row>
    <row r="492" spans="1:6">
      <c r="A492" s="83">
        <v>43313</v>
      </c>
      <c r="B492" t="s">
        <v>20</v>
      </c>
      <c r="C492" t="s">
        <v>21</v>
      </c>
      <c r="D492" t="s">
        <v>22</v>
      </c>
      <c r="E492">
        <v>123</v>
      </c>
      <c r="F492">
        <f t="shared" si="10"/>
        <v>7</v>
      </c>
    </row>
    <row r="493" spans="1:6">
      <c r="A493" s="83">
        <v>43313</v>
      </c>
      <c r="B493" t="s">
        <v>20</v>
      </c>
      <c r="C493" t="s">
        <v>21</v>
      </c>
      <c r="D493" t="s">
        <v>23</v>
      </c>
      <c r="E493">
        <v>193</v>
      </c>
      <c r="F493">
        <f t="shared" si="10"/>
        <v>3</v>
      </c>
    </row>
    <row r="494" spans="1:6">
      <c r="A494" s="83">
        <v>43313</v>
      </c>
      <c r="B494" t="s">
        <v>20</v>
      </c>
      <c r="C494" t="s">
        <v>21</v>
      </c>
      <c r="D494" t="s">
        <v>26</v>
      </c>
      <c r="E494">
        <v>315</v>
      </c>
      <c r="F494">
        <f t="shared" si="10"/>
        <v>5</v>
      </c>
    </row>
    <row r="495" spans="1:6">
      <c r="A495" s="83">
        <v>43313</v>
      </c>
      <c r="B495" t="s">
        <v>20</v>
      </c>
      <c r="C495" t="s">
        <v>24</v>
      </c>
      <c r="D495" t="s">
        <v>22</v>
      </c>
      <c r="E495">
        <v>123</v>
      </c>
      <c r="F495">
        <f t="shared" si="10"/>
        <v>7</v>
      </c>
    </row>
    <row r="496" spans="1:6">
      <c r="A496" s="83">
        <v>43313</v>
      </c>
      <c r="B496" t="s">
        <v>20</v>
      </c>
      <c r="C496" t="s">
        <v>24</v>
      </c>
      <c r="D496" t="s">
        <v>22</v>
      </c>
      <c r="E496">
        <v>151</v>
      </c>
      <c r="F496">
        <f t="shared" si="10"/>
        <v>7</v>
      </c>
    </row>
    <row r="497" spans="1:6">
      <c r="A497" s="83">
        <v>43313</v>
      </c>
      <c r="B497" t="s">
        <v>20</v>
      </c>
      <c r="C497" t="s">
        <v>24</v>
      </c>
      <c r="D497" t="s">
        <v>26</v>
      </c>
      <c r="E497">
        <v>214</v>
      </c>
      <c r="F497">
        <f t="shared" si="10"/>
        <v>5</v>
      </c>
    </row>
    <row r="498" spans="1:6">
      <c r="A498" s="83">
        <v>43344</v>
      </c>
      <c r="B498" t="s">
        <v>20</v>
      </c>
      <c r="C498" t="s">
        <v>21</v>
      </c>
      <c r="D498" t="s">
        <v>26</v>
      </c>
      <c r="E498">
        <v>140</v>
      </c>
      <c r="F498">
        <f t="shared" si="10"/>
        <v>5</v>
      </c>
    </row>
    <row r="499" spans="1:6">
      <c r="A499" s="83">
        <v>43344</v>
      </c>
      <c r="B499" t="s">
        <v>20</v>
      </c>
      <c r="C499" t="s">
        <v>21</v>
      </c>
      <c r="D499" t="s">
        <v>26</v>
      </c>
      <c r="E499">
        <v>165</v>
      </c>
      <c r="F499">
        <f t="shared" si="10"/>
        <v>5</v>
      </c>
    </row>
    <row r="500" spans="1:6">
      <c r="A500" s="83">
        <v>43344</v>
      </c>
      <c r="B500" t="s">
        <v>20</v>
      </c>
      <c r="C500" t="s">
        <v>21</v>
      </c>
      <c r="D500" t="s">
        <v>22</v>
      </c>
      <c r="E500">
        <v>533</v>
      </c>
      <c r="F500">
        <f t="shared" si="10"/>
        <v>7</v>
      </c>
    </row>
    <row r="501" spans="1:6">
      <c r="A501" s="83">
        <v>43344</v>
      </c>
      <c r="B501" t="s">
        <v>20</v>
      </c>
      <c r="C501" t="s">
        <v>24</v>
      </c>
      <c r="D501" t="s">
        <v>23</v>
      </c>
      <c r="E501">
        <v>114</v>
      </c>
      <c r="F501">
        <f t="shared" si="10"/>
        <v>3</v>
      </c>
    </row>
    <row r="502" spans="1:6">
      <c r="A502" s="83">
        <v>43344</v>
      </c>
      <c r="B502" t="s">
        <v>20</v>
      </c>
      <c r="C502" t="s">
        <v>24</v>
      </c>
      <c r="D502" t="s">
        <v>26</v>
      </c>
      <c r="E502">
        <v>138</v>
      </c>
      <c r="F502">
        <f t="shared" si="10"/>
        <v>5</v>
      </c>
    </row>
    <row r="503" spans="1:6">
      <c r="A503" s="83">
        <v>43344</v>
      </c>
      <c r="B503" t="s">
        <v>20</v>
      </c>
      <c r="C503" t="s">
        <v>24</v>
      </c>
      <c r="D503" t="s">
        <v>22</v>
      </c>
      <c r="E503">
        <v>203</v>
      </c>
      <c r="F503">
        <f t="shared" si="10"/>
        <v>7</v>
      </c>
    </row>
    <row r="504" spans="1:6">
      <c r="A504" s="83">
        <v>43374</v>
      </c>
      <c r="B504" t="s">
        <v>20</v>
      </c>
      <c r="C504" t="s">
        <v>21</v>
      </c>
      <c r="D504" t="s">
        <v>23</v>
      </c>
      <c r="E504">
        <v>140</v>
      </c>
      <c r="F504">
        <f t="shared" si="10"/>
        <v>3</v>
      </c>
    </row>
    <row r="505" spans="1:6">
      <c r="A505" s="83">
        <v>43374</v>
      </c>
      <c r="B505" t="s">
        <v>20</v>
      </c>
      <c r="C505" t="s">
        <v>21</v>
      </c>
      <c r="D505" t="s">
        <v>22</v>
      </c>
      <c r="E505">
        <v>110</v>
      </c>
      <c r="F505">
        <f t="shared" si="10"/>
        <v>7</v>
      </c>
    </row>
    <row r="506" spans="1:6">
      <c r="A506" s="83">
        <v>43374</v>
      </c>
      <c r="B506" t="s">
        <v>20</v>
      </c>
      <c r="C506" t="s">
        <v>21</v>
      </c>
      <c r="D506" t="s">
        <v>26</v>
      </c>
      <c r="E506">
        <v>629</v>
      </c>
      <c r="F506">
        <f t="shared" si="10"/>
        <v>5</v>
      </c>
    </row>
    <row r="507" spans="1:6">
      <c r="A507" s="83">
        <v>43374</v>
      </c>
      <c r="B507" t="s">
        <v>20</v>
      </c>
      <c r="C507" t="s">
        <v>24</v>
      </c>
      <c r="D507" t="s">
        <v>22</v>
      </c>
      <c r="E507">
        <v>114</v>
      </c>
      <c r="F507">
        <f t="shared" si="10"/>
        <v>7</v>
      </c>
    </row>
    <row r="508" spans="1:6">
      <c r="A508" s="83">
        <v>43374</v>
      </c>
      <c r="B508" t="s">
        <v>20</v>
      </c>
      <c r="C508" t="s">
        <v>24</v>
      </c>
      <c r="D508" t="s">
        <v>26</v>
      </c>
      <c r="E508">
        <v>138</v>
      </c>
      <c r="F508">
        <f t="shared" si="10"/>
        <v>5</v>
      </c>
    </row>
    <row r="509" spans="1:6">
      <c r="A509" s="83">
        <v>43374</v>
      </c>
      <c r="B509" t="s">
        <v>20</v>
      </c>
      <c r="C509" t="s">
        <v>24</v>
      </c>
      <c r="D509" t="s">
        <v>22</v>
      </c>
      <c r="E509">
        <v>191</v>
      </c>
      <c r="F509">
        <f t="shared" si="10"/>
        <v>7</v>
      </c>
    </row>
    <row r="510" spans="1:6">
      <c r="A510" s="83">
        <v>43405</v>
      </c>
      <c r="B510" t="s">
        <v>20</v>
      </c>
      <c r="C510" t="s">
        <v>21</v>
      </c>
      <c r="D510" t="s">
        <v>22</v>
      </c>
      <c r="E510">
        <v>175</v>
      </c>
      <c r="F510">
        <f t="shared" si="10"/>
        <v>7</v>
      </c>
    </row>
    <row r="511" spans="1:6">
      <c r="A511" s="83">
        <v>43405</v>
      </c>
      <c r="B511" t="s">
        <v>20</v>
      </c>
      <c r="C511" t="s">
        <v>21</v>
      </c>
      <c r="D511" t="s">
        <v>26</v>
      </c>
      <c r="E511">
        <v>138</v>
      </c>
      <c r="F511">
        <f t="shared" si="10"/>
        <v>5</v>
      </c>
    </row>
    <row r="512" spans="1:6">
      <c r="A512" s="83">
        <v>43405</v>
      </c>
      <c r="B512" t="s">
        <v>20</v>
      </c>
      <c r="C512" t="s">
        <v>21</v>
      </c>
      <c r="D512" t="s">
        <v>23</v>
      </c>
      <c r="E512">
        <v>1057</v>
      </c>
      <c r="F512">
        <f t="shared" si="10"/>
        <v>3</v>
      </c>
    </row>
    <row r="513" spans="1:6">
      <c r="A513" s="83">
        <v>43405</v>
      </c>
      <c r="B513" t="s">
        <v>20</v>
      </c>
      <c r="C513" t="s">
        <v>24</v>
      </c>
      <c r="D513" t="s">
        <v>23</v>
      </c>
      <c r="E513">
        <v>123</v>
      </c>
      <c r="F513">
        <f t="shared" si="10"/>
        <v>3</v>
      </c>
    </row>
    <row r="514" spans="1:6">
      <c r="A514" s="83">
        <v>43405</v>
      </c>
      <c r="B514" t="s">
        <v>20</v>
      </c>
      <c r="C514" t="s">
        <v>24</v>
      </c>
      <c r="D514" t="s">
        <v>26</v>
      </c>
      <c r="E514">
        <v>151</v>
      </c>
      <c r="F514">
        <f t="shared" si="10"/>
        <v>5</v>
      </c>
    </row>
    <row r="515" spans="1:6">
      <c r="A515" s="83">
        <v>43405</v>
      </c>
      <c r="B515" t="s">
        <v>20</v>
      </c>
      <c r="C515" t="s">
        <v>24</v>
      </c>
      <c r="D515" t="s">
        <v>23</v>
      </c>
      <c r="E515">
        <v>203</v>
      </c>
      <c r="F515">
        <f t="shared" ref="F515:F578" si="11">LEN(D515)</f>
        <v>3</v>
      </c>
    </row>
    <row r="516" spans="1:6">
      <c r="A516" s="83">
        <v>43435</v>
      </c>
      <c r="B516" t="s">
        <v>20</v>
      </c>
      <c r="C516" t="s">
        <v>21</v>
      </c>
      <c r="D516" t="s">
        <v>26</v>
      </c>
      <c r="E516">
        <v>158</v>
      </c>
      <c r="F516">
        <f t="shared" si="11"/>
        <v>5</v>
      </c>
    </row>
    <row r="517" spans="1:6">
      <c r="A517" s="83">
        <v>43435</v>
      </c>
      <c r="B517" t="s">
        <v>20</v>
      </c>
      <c r="C517" t="s">
        <v>21</v>
      </c>
      <c r="D517" t="s">
        <v>26</v>
      </c>
      <c r="E517">
        <v>110</v>
      </c>
      <c r="F517">
        <f t="shared" si="11"/>
        <v>5</v>
      </c>
    </row>
    <row r="518" spans="1:6">
      <c r="A518" s="83">
        <v>43435</v>
      </c>
      <c r="B518" t="s">
        <v>20</v>
      </c>
      <c r="C518" t="s">
        <v>21</v>
      </c>
      <c r="D518" t="s">
        <v>22</v>
      </c>
      <c r="E518">
        <v>1165</v>
      </c>
      <c r="F518">
        <f t="shared" si="11"/>
        <v>7</v>
      </c>
    </row>
    <row r="519" spans="1:6">
      <c r="A519" s="83">
        <v>43435</v>
      </c>
      <c r="B519" t="s">
        <v>20</v>
      </c>
      <c r="C519" t="s">
        <v>24</v>
      </c>
      <c r="D519" t="s">
        <v>22</v>
      </c>
      <c r="E519">
        <v>114</v>
      </c>
      <c r="F519">
        <f t="shared" si="11"/>
        <v>7</v>
      </c>
    </row>
    <row r="520" spans="1:6">
      <c r="A520" s="83">
        <v>43435</v>
      </c>
      <c r="B520" t="s">
        <v>20</v>
      </c>
      <c r="C520" t="s">
        <v>24</v>
      </c>
      <c r="D520" t="s">
        <v>22</v>
      </c>
      <c r="E520">
        <v>151</v>
      </c>
      <c r="F520">
        <f t="shared" si="11"/>
        <v>7</v>
      </c>
    </row>
    <row r="521" spans="1:6">
      <c r="A521" s="83">
        <v>43435</v>
      </c>
      <c r="B521" t="s">
        <v>20</v>
      </c>
      <c r="C521" t="s">
        <v>24</v>
      </c>
      <c r="D521" t="s">
        <v>22</v>
      </c>
      <c r="E521">
        <v>180</v>
      </c>
      <c r="F521">
        <f t="shared" si="11"/>
        <v>7</v>
      </c>
    </row>
    <row r="522" spans="1:6">
      <c r="A522" s="83">
        <v>43466</v>
      </c>
      <c r="B522" t="s">
        <v>20</v>
      </c>
      <c r="C522" t="s">
        <v>21</v>
      </c>
      <c r="D522" t="s">
        <v>23</v>
      </c>
      <c r="E522">
        <v>158</v>
      </c>
      <c r="F522">
        <f t="shared" si="11"/>
        <v>3</v>
      </c>
    </row>
    <row r="523" spans="1:6">
      <c r="A523" s="83">
        <v>43466</v>
      </c>
      <c r="B523" t="s">
        <v>20</v>
      </c>
      <c r="C523" t="s">
        <v>21</v>
      </c>
      <c r="D523" t="s">
        <v>26</v>
      </c>
      <c r="E523">
        <v>83</v>
      </c>
      <c r="F523">
        <f t="shared" si="11"/>
        <v>5</v>
      </c>
    </row>
    <row r="524" spans="1:6">
      <c r="A524" s="83">
        <v>43466</v>
      </c>
      <c r="B524" t="s">
        <v>20</v>
      </c>
      <c r="C524" t="s">
        <v>21</v>
      </c>
      <c r="D524" t="s">
        <v>23</v>
      </c>
      <c r="E524">
        <v>1136</v>
      </c>
      <c r="F524">
        <f t="shared" si="11"/>
        <v>3</v>
      </c>
    </row>
    <row r="525" spans="1:6">
      <c r="A525" s="83">
        <v>43466</v>
      </c>
      <c r="B525" t="s">
        <v>20</v>
      </c>
      <c r="C525" t="s">
        <v>24</v>
      </c>
      <c r="D525" t="s">
        <v>22</v>
      </c>
      <c r="E525">
        <v>123</v>
      </c>
      <c r="F525">
        <f t="shared" si="11"/>
        <v>7</v>
      </c>
    </row>
    <row r="526" spans="1:6">
      <c r="A526" s="83">
        <v>43466</v>
      </c>
      <c r="B526" t="s">
        <v>20</v>
      </c>
      <c r="C526" t="s">
        <v>24</v>
      </c>
      <c r="D526" t="s">
        <v>26</v>
      </c>
      <c r="E526">
        <v>193</v>
      </c>
      <c r="F526">
        <f t="shared" si="11"/>
        <v>5</v>
      </c>
    </row>
    <row r="527" spans="1:6">
      <c r="A527" s="83">
        <v>43466</v>
      </c>
      <c r="B527" t="s">
        <v>20</v>
      </c>
      <c r="C527" t="s">
        <v>24</v>
      </c>
      <c r="D527" t="s">
        <v>22</v>
      </c>
      <c r="E527">
        <v>191</v>
      </c>
      <c r="F527">
        <f t="shared" si="11"/>
        <v>7</v>
      </c>
    </row>
    <row r="528" spans="1:6">
      <c r="A528" s="83">
        <v>43497</v>
      </c>
      <c r="B528" t="s">
        <v>20</v>
      </c>
      <c r="C528" t="s">
        <v>21</v>
      </c>
      <c r="D528" t="s">
        <v>23</v>
      </c>
      <c r="E528">
        <v>53</v>
      </c>
      <c r="F528">
        <f t="shared" si="11"/>
        <v>3</v>
      </c>
    </row>
    <row r="529" spans="1:6">
      <c r="A529" s="83">
        <v>43497</v>
      </c>
      <c r="B529" t="s">
        <v>20</v>
      </c>
      <c r="C529" t="s">
        <v>21</v>
      </c>
      <c r="D529" t="s">
        <v>23</v>
      </c>
      <c r="E529">
        <v>94</v>
      </c>
      <c r="F529">
        <f t="shared" si="11"/>
        <v>3</v>
      </c>
    </row>
    <row r="530" spans="1:6">
      <c r="A530" s="83">
        <v>43497</v>
      </c>
      <c r="B530" t="s">
        <v>20</v>
      </c>
      <c r="C530" t="s">
        <v>21</v>
      </c>
      <c r="D530" t="s">
        <v>26</v>
      </c>
      <c r="E530">
        <v>627</v>
      </c>
      <c r="F530">
        <f t="shared" si="11"/>
        <v>5</v>
      </c>
    </row>
    <row r="531" spans="1:6">
      <c r="A531" s="83">
        <v>43497</v>
      </c>
      <c r="B531" t="s">
        <v>20</v>
      </c>
      <c r="C531" t="s">
        <v>24</v>
      </c>
      <c r="D531" t="s">
        <v>26</v>
      </c>
      <c r="E531">
        <v>53</v>
      </c>
      <c r="F531">
        <f t="shared" si="11"/>
        <v>5</v>
      </c>
    </row>
    <row r="532" spans="1:6">
      <c r="A532" s="83">
        <v>43497</v>
      </c>
      <c r="B532" t="s">
        <v>20</v>
      </c>
      <c r="C532" t="s">
        <v>24</v>
      </c>
      <c r="D532" t="s">
        <v>26</v>
      </c>
      <c r="E532">
        <v>69</v>
      </c>
      <c r="F532">
        <f t="shared" si="11"/>
        <v>5</v>
      </c>
    </row>
    <row r="533" spans="1:6">
      <c r="A533" s="83">
        <v>43497</v>
      </c>
      <c r="B533" t="s">
        <v>20</v>
      </c>
      <c r="C533" t="s">
        <v>24</v>
      </c>
      <c r="D533" t="s">
        <v>22</v>
      </c>
      <c r="E533">
        <v>79</v>
      </c>
      <c r="F533">
        <f t="shared" si="11"/>
        <v>7</v>
      </c>
    </row>
    <row r="534" spans="1:6">
      <c r="A534" s="83">
        <v>43525</v>
      </c>
      <c r="B534" t="s">
        <v>20</v>
      </c>
      <c r="C534" t="s">
        <v>21</v>
      </c>
      <c r="D534" t="s">
        <v>22</v>
      </c>
      <c r="E534">
        <v>42</v>
      </c>
      <c r="F534">
        <f t="shared" si="11"/>
        <v>7</v>
      </c>
    </row>
    <row r="535" spans="1:6">
      <c r="A535" s="83">
        <v>43525</v>
      </c>
      <c r="B535" t="s">
        <v>20</v>
      </c>
      <c r="C535" t="s">
        <v>21</v>
      </c>
      <c r="D535" t="s">
        <v>23</v>
      </c>
      <c r="E535">
        <v>66</v>
      </c>
      <c r="F535">
        <f t="shared" si="11"/>
        <v>3</v>
      </c>
    </row>
    <row r="536" spans="1:6">
      <c r="A536" s="83">
        <v>43525</v>
      </c>
      <c r="B536" t="s">
        <v>20</v>
      </c>
      <c r="C536" t="s">
        <v>21</v>
      </c>
      <c r="D536" t="s">
        <v>26</v>
      </c>
      <c r="E536">
        <v>450</v>
      </c>
      <c r="F536">
        <f t="shared" si="11"/>
        <v>5</v>
      </c>
    </row>
    <row r="537" spans="1:6">
      <c r="A537" s="83">
        <v>43525</v>
      </c>
      <c r="B537" t="s">
        <v>20</v>
      </c>
      <c r="C537" t="s">
        <v>24</v>
      </c>
      <c r="D537" t="s">
        <v>23</v>
      </c>
      <c r="E537">
        <v>44</v>
      </c>
      <c r="F537">
        <f t="shared" si="11"/>
        <v>3</v>
      </c>
    </row>
    <row r="538" spans="1:6">
      <c r="A538" s="83">
        <v>43525</v>
      </c>
      <c r="B538" t="s">
        <v>20</v>
      </c>
      <c r="C538" t="s">
        <v>24</v>
      </c>
      <c r="D538" t="s">
        <v>26</v>
      </c>
      <c r="E538">
        <v>83</v>
      </c>
      <c r="F538">
        <f t="shared" si="11"/>
        <v>5</v>
      </c>
    </row>
    <row r="539" spans="1:6">
      <c r="A539" s="83">
        <v>43525</v>
      </c>
      <c r="B539" t="s">
        <v>20</v>
      </c>
      <c r="C539" t="s">
        <v>24</v>
      </c>
      <c r="D539" t="s">
        <v>22</v>
      </c>
      <c r="E539">
        <v>79</v>
      </c>
      <c r="F539">
        <f t="shared" si="11"/>
        <v>7</v>
      </c>
    </row>
    <row r="540" spans="1:6">
      <c r="A540" s="83">
        <v>43556</v>
      </c>
      <c r="B540" t="s">
        <v>20</v>
      </c>
      <c r="C540" t="s">
        <v>21</v>
      </c>
      <c r="D540" t="s">
        <v>23</v>
      </c>
      <c r="E540">
        <v>46</v>
      </c>
      <c r="F540">
        <f t="shared" si="11"/>
        <v>3</v>
      </c>
    </row>
    <row r="541" spans="1:6">
      <c r="A541" s="83">
        <v>43556</v>
      </c>
      <c r="B541" t="s">
        <v>20</v>
      </c>
      <c r="C541" t="s">
        <v>21</v>
      </c>
      <c r="D541" t="s">
        <v>23</v>
      </c>
      <c r="E541">
        <v>66</v>
      </c>
      <c r="F541">
        <f t="shared" si="11"/>
        <v>3</v>
      </c>
    </row>
    <row r="542" spans="1:6">
      <c r="A542" s="83">
        <v>43556</v>
      </c>
      <c r="B542" t="s">
        <v>20</v>
      </c>
      <c r="C542" t="s">
        <v>21</v>
      </c>
      <c r="D542" t="s">
        <v>22</v>
      </c>
      <c r="E542">
        <v>560</v>
      </c>
      <c r="F542">
        <f t="shared" si="11"/>
        <v>7</v>
      </c>
    </row>
    <row r="543" spans="1:6">
      <c r="A543" s="83">
        <v>43556</v>
      </c>
      <c r="B543" t="s">
        <v>20</v>
      </c>
      <c r="C543" t="s">
        <v>24</v>
      </c>
      <c r="D543" t="s">
        <v>23</v>
      </c>
      <c r="E543">
        <v>53</v>
      </c>
      <c r="F543">
        <f t="shared" si="11"/>
        <v>3</v>
      </c>
    </row>
    <row r="544" spans="1:6">
      <c r="A544" s="83">
        <v>43556</v>
      </c>
      <c r="B544" t="s">
        <v>20</v>
      </c>
      <c r="C544" t="s">
        <v>24</v>
      </c>
      <c r="D544" t="s">
        <v>26</v>
      </c>
      <c r="E544">
        <v>124</v>
      </c>
      <c r="F544">
        <f t="shared" si="11"/>
        <v>5</v>
      </c>
    </row>
    <row r="545" spans="1:6">
      <c r="A545" s="83">
        <v>43556</v>
      </c>
      <c r="B545" t="s">
        <v>20</v>
      </c>
      <c r="C545" t="s">
        <v>24</v>
      </c>
      <c r="D545" t="s">
        <v>22</v>
      </c>
      <c r="E545">
        <v>101</v>
      </c>
      <c r="F545">
        <f t="shared" si="11"/>
        <v>7</v>
      </c>
    </row>
    <row r="546" spans="1:6">
      <c r="A546" s="83">
        <v>43586</v>
      </c>
      <c r="B546" t="s">
        <v>20</v>
      </c>
      <c r="C546" t="s">
        <v>21</v>
      </c>
      <c r="D546" t="s">
        <v>26</v>
      </c>
      <c r="E546">
        <v>46</v>
      </c>
      <c r="F546">
        <f t="shared" si="11"/>
        <v>5</v>
      </c>
    </row>
    <row r="547" spans="1:6">
      <c r="A547" s="83">
        <v>43586</v>
      </c>
      <c r="B547" t="s">
        <v>20</v>
      </c>
      <c r="C547" t="s">
        <v>21</v>
      </c>
      <c r="D547" t="s">
        <v>26</v>
      </c>
      <c r="E547">
        <v>44</v>
      </c>
      <c r="F547">
        <f t="shared" si="11"/>
        <v>5</v>
      </c>
    </row>
    <row r="548" spans="1:6">
      <c r="A548" s="83">
        <v>43586</v>
      </c>
      <c r="B548" t="s">
        <v>20</v>
      </c>
      <c r="C548" t="s">
        <v>21</v>
      </c>
      <c r="D548" t="s">
        <v>22</v>
      </c>
      <c r="E548">
        <v>624</v>
      </c>
      <c r="F548">
        <f t="shared" si="11"/>
        <v>7</v>
      </c>
    </row>
    <row r="549" spans="1:6">
      <c r="A549" s="83">
        <v>43586</v>
      </c>
      <c r="B549" t="s">
        <v>20</v>
      </c>
      <c r="C549" t="s">
        <v>24</v>
      </c>
      <c r="D549" t="s">
        <v>22</v>
      </c>
      <c r="E549">
        <v>53</v>
      </c>
      <c r="F549">
        <f t="shared" si="11"/>
        <v>7</v>
      </c>
    </row>
    <row r="550" spans="1:6">
      <c r="A550" s="83">
        <v>43586</v>
      </c>
      <c r="B550" t="s">
        <v>20</v>
      </c>
      <c r="C550" t="s">
        <v>24</v>
      </c>
      <c r="D550" t="s">
        <v>23</v>
      </c>
      <c r="E550">
        <v>96</v>
      </c>
      <c r="F550">
        <f t="shared" si="11"/>
        <v>3</v>
      </c>
    </row>
    <row r="551" spans="1:6">
      <c r="A551" s="83">
        <v>43586</v>
      </c>
      <c r="B551" t="s">
        <v>20</v>
      </c>
      <c r="C551" t="s">
        <v>24</v>
      </c>
      <c r="D551" t="s">
        <v>22</v>
      </c>
      <c r="E551">
        <v>113</v>
      </c>
      <c r="F551">
        <f t="shared" si="11"/>
        <v>7</v>
      </c>
    </row>
    <row r="552" spans="1:6">
      <c r="A552" s="83">
        <v>43617</v>
      </c>
      <c r="B552" t="s">
        <v>20</v>
      </c>
      <c r="C552" t="s">
        <v>21</v>
      </c>
      <c r="D552" t="s">
        <v>23</v>
      </c>
      <c r="E552">
        <v>42</v>
      </c>
      <c r="F552">
        <f t="shared" si="11"/>
        <v>3</v>
      </c>
    </row>
    <row r="553" spans="1:6">
      <c r="A553" s="83">
        <v>43617</v>
      </c>
      <c r="B553" t="s">
        <v>20</v>
      </c>
      <c r="C553" t="s">
        <v>21</v>
      </c>
      <c r="D553" t="s">
        <v>26</v>
      </c>
      <c r="E553">
        <v>44</v>
      </c>
      <c r="F553">
        <f t="shared" si="11"/>
        <v>5</v>
      </c>
    </row>
    <row r="554" spans="1:6">
      <c r="A554" s="83">
        <v>43617</v>
      </c>
      <c r="B554" t="s">
        <v>20</v>
      </c>
      <c r="C554" t="s">
        <v>21</v>
      </c>
      <c r="D554" t="s">
        <v>26</v>
      </c>
      <c r="E554">
        <v>719</v>
      </c>
      <c r="F554">
        <f t="shared" si="11"/>
        <v>5</v>
      </c>
    </row>
    <row r="555" spans="1:6">
      <c r="A555" s="83">
        <v>43617</v>
      </c>
      <c r="B555" t="s">
        <v>20</v>
      </c>
      <c r="C555" t="s">
        <v>24</v>
      </c>
      <c r="D555" t="s">
        <v>26</v>
      </c>
      <c r="E555">
        <v>44</v>
      </c>
      <c r="F555">
        <f t="shared" si="11"/>
        <v>5</v>
      </c>
    </row>
    <row r="556" spans="1:6">
      <c r="A556" s="83">
        <v>43617</v>
      </c>
      <c r="B556" t="s">
        <v>20</v>
      </c>
      <c r="C556" t="s">
        <v>24</v>
      </c>
      <c r="D556" t="s">
        <v>22</v>
      </c>
      <c r="E556">
        <v>83</v>
      </c>
      <c r="F556">
        <f t="shared" si="11"/>
        <v>7</v>
      </c>
    </row>
    <row r="557" spans="1:6">
      <c r="A557" s="83">
        <v>43617</v>
      </c>
      <c r="B557" t="s">
        <v>20</v>
      </c>
      <c r="C557" t="s">
        <v>24</v>
      </c>
      <c r="D557" t="s">
        <v>26</v>
      </c>
      <c r="E557">
        <v>101</v>
      </c>
      <c r="F557">
        <f t="shared" si="11"/>
        <v>5</v>
      </c>
    </row>
    <row r="558" spans="1:6">
      <c r="A558" s="83">
        <v>43647</v>
      </c>
      <c r="B558" t="s">
        <v>20</v>
      </c>
      <c r="C558" t="s">
        <v>21</v>
      </c>
      <c r="D558" t="s">
        <v>23</v>
      </c>
      <c r="E558">
        <v>42</v>
      </c>
      <c r="F558">
        <f t="shared" si="11"/>
        <v>3</v>
      </c>
    </row>
    <row r="559" spans="1:6">
      <c r="A559" s="83">
        <v>43647</v>
      </c>
      <c r="B559" t="s">
        <v>20</v>
      </c>
      <c r="C559" t="s">
        <v>21</v>
      </c>
      <c r="D559" t="s">
        <v>22</v>
      </c>
      <c r="E559">
        <v>39</v>
      </c>
      <c r="F559">
        <f t="shared" si="11"/>
        <v>7</v>
      </c>
    </row>
    <row r="560" spans="1:6">
      <c r="A560" s="83">
        <v>43647</v>
      </c>
      <c r="B560" t="s">
        <v>20</v>
      </c>
      <c r="C560" t="s">
        <v>21</v>
      </c>
      <c r="D560" t="s">
        <v>26</v>
      </c>
      <c r="E560">
        <v>714</v>
      </c>
      <c r="F560">
        <f t="shared" si="11"/>
        <v>5</v>
      </c>
    </row>
    <row r="561" spans="1:6">
      <c r="A561" s="83">
        <v>43647</v>
      </c>
      <c r="B561" t="s">
        <v>20</v>
      </c>
      <c r="C561" t="s">
        <v>24</v>
      </c>
      <c r="D561" t="s">
        <v>26</v>
      </c>
      <c r="E561">
        <v>35</v>
      </c>
      <c r="F561">
        <f t="shared" si="11"/>
        <v>5</v>
      </c>
    </row>
    <row r="562" spans="1:6">
      <c r="A562" s="83">
        <v>43647</v>
      </c>
      <c r="B562" t="s">
        <v>20</v>
      </c>
      <c r="C562" t="s">
        <v>24</v>
      </c>
      <c r="D562" t="s">
        <v>23</v>
      </c>
      <c r="E562">
        <v>96</v>
      </c>
      <c r="F562">
        <f t="shared" si="11"/>
        <v>3</v>
      </c>
    </row>
    <row r="563" spans="1:6">
      <c r="A563" s="83">
        <v>43647</v>
      </c>
      <c r="B563" t="s">
        <v>20</v>
      </c>
      <c r="C563" t="s">
        <v>24</v>
      </c>
      <c r="D563" t="s">
        <v>22</v>
      </c>
      <c r="E563">
        <v>113</v>
      </c>
      <c r="F563">
        <f t="shared" si="11"/>
        <v>7</v>
      </c>
    </row>
    <row r="564" spans="1:6">
      <c r="A564" s="83">
        <v>43678</v>
      </c>
      <c r="B564" t="s">
        <v>20</v>
      </c>
      <c r="C564" t="s">
        <v>21</v>
      </c>
      <c r="D564" t="s">
        <v>22</v>
      </c>
      <c r="E564">
        <v>46</v>
      </c>
      <c r="F564">
        <f t="shared" si="11"/>
        <v>7</v>
      </c>
    </row>
    <row r="565" spans="1:6">
      <c r="A565" s="83">
        <v>43678</v>
      </c>
      <c r="B565" t="s">
        <v>20</v>
      </c>
      <c r="C565" t="s">
        <v>21</v>
      </c>
      <c r="D565" t="s">
        <v>23</v>
      </c>
      <c r="E565">
        <v>39</v>
      </c>
      <c r="F565">
        <f t="shared" si="11"/>
        <v>3</v>
      </c>
    </row>
    <row r="566" spans="1:6">
      <c r="A566" s="83">
        <v>43678</v>
      </c>
      <c r="B566" t="s">
        <v>20</v>
      </c>
      <c r="C566" t="s">
        <v>21</v>
      </c>
      <c r="D566" t="s">
        <v>26</v>
      </c>
      <c r="E566">
        <v>810</v>
      </c>
      <c r="F566">
        <f t="shared" si="11"/>
        <v>5</v>
      </c>
    </row>
    <row r="567" spans="1:6">
      <c r="A567" s="83">
        <v>43678</v>
      </c>
      <c r="B567" t="s">
        <v>20</v>
      </c>
      <c r="C567" t="s">
        <v>24</v>
      </c>
      <c r="D567" t="s">
        <v>22</v>
      </c>
      <c r="E567">
        <v>26</v>
      </c>
      <c r="F567">
        <f t="shared" si="11"/>
        <v>7</v>
      </c>
    </row>
    <row r="568" spans="1:6">
      <c r="A568" s="83">
        <v>43678</v>
      </c>
      <c r="B568" t="s">
        <v>20</v>
      </c>
      <c r="C568" t="s">
        <v>24</v>
      </c>
      <c r="D568" t="s">
        <v>26</v>
      </c>
      <c r="E568">
        <v>83</v>
      </c>
      <c r="F568">
        <f t="shared" si="11"/>
        <v>5</v>
      </c>
    </row>
    <row r="569" spans="1:6">
      <c r="A569" s="83">
        <v>43678</v>
      </c>
      <c r="B569" t="s">
        <v>20</v>
      </c>
      <c r="C569" t="s">
        <v>24</v>
      </c>
      <c r="D569" t="s">
        <v>26</v>
      </c>
      <c r="E569">
        <v>101</v>
      </c>
      <c r="F569">
        <f t="shared" si="11"/>
        <v>5</v>
      </c>
    </row>
    <row r="570" spans="1:6">
      <c r="A570" s="83">
        <v>43709</v>
      </c>
      <c r="B570" t="s">
        <v>20</v>
      </c>
      <c r="C570" t="s">
        <v>21</v>
      </c>
      <c r="D570" t="s">
        <v>23</v>
      </c>
      <c r="E570">
        <v>46</v>
      </c>
      <c r="F570">
        <f t="shared" si="11"/>
        <v>3</v>
      </c>
    </row>
    <row r="571" spans="1:6">
      <c r="A571" s="83">
        <v>43709</v>
      </c>
      <c r="B571" t="s">
        <v>20</v>
      </c>
      <c r="C571" t="s">
        <v>21</v>
      </c>
      <c r="D571" t="s">
        <v>22</v>
      </c>
      <c r="E571">
        <v>55</v>
      </c>
      <c r="F571">
        <f t="shared" si="11"/>
        <v>7</v>
      </c>
    </row>
    <row r="572" spans="1:6">
      <c r="A572" s="83">
        <v>43709</v>
      </c>
      <c r="B572" t="s">
        <v>20</v>
      </c>
      <c r="C572" t="s">
        <v>21</v>
      </c>
      <c r="D572" t="s">
        <v>23</v>
      </c>
      <c r="E572">
        <v>716</v>
      </c>
      <c r="F572">
        <f t="shared" si="11"/>
        <v>3</v>
      </c>
    </row>
    <row r="573" spans="1:6">
      <c r="A573" s="83">
        <v>43709</v>
      </c>
      <c r="B573" t="s">
        <v>20</v>
      </c>
      <c r="C573" t="s">
        <v>24</v>
      </c>
      <c r="D573" t="s">
        <v>26</v>
      </c>
      <c r="E573">
        <v>35</v>
      </c>
      <c r="F573">
        <f t="shared" si="11"/>
        <v>5</v>
      </c>
    </row>
    <row r="574" spans="1:6">
      <c r="A574" s="83">
        <v>43709</v>
      </c>
      <c r="B574" t="s">
        <v>20</v>
      </c>
      <c r="C574" t="s">
        <v>24</v>
      </c>
      <c r="D574" t="s">
        <v>26</v>
      </c>
      <c r="E574">
        <v>124</v>
      </c>
      <c r="F574">
        <f t="shared" si="11"/>
        <v>5</v>
      </c>
    </row>
    <row r="575" spans="1:6">
      <c r="A575" s="83">
        <v>43709</v>
      </c>
      <c r="B575" t="s">
        <v>20</v>
      </c>
      <c r="C575" t="s">
        <v>24</v>
      </c>
      <c r="D575" t="s">
        <v>23</v>
      </c>
      <c r="E575">
        <v>101</v>
      </c>
      <c r="F575">
        <f t="shared" si="11"/>
        <v>3</v>
      </c>
    </row>
    <row r="576" spans="1:6">
      <c r="A576" s="83">
        <v>43739</v>
      </c>
      <c r="B576" t="s">
        <v>20</v>
      </c>
      <c r="C576" t="s">
        <v>21</v>
      </c>
      <c r="D576" t="s">
        <v>23</v>
      </c>
      <c r="E576">
        <v>25</v>
      </c>
      <c r="F576">
        <f t="shared" si="11"/>
        <v>3</v>
      </c>
    </row>
    <row r="577" spans="1:6">
      <c r="A577" s="83">
        <v>43739</v>
      </c>
      <c r="B577" t="s">
        <v>20</v>
      </c>
      <c r="C577" t="s">
        <v>21</v>
      </c>
      <c r="D577" t="s">
        <v>22</v>
      </c>
      <c r="E577">
        <v>44</v>
      </c>
      <c r="F577">
        <f t="shared" si="11"/>
        <v>7</v>
      </c>
    </row>
    <row r="578" spans="1:6">
      <c r="A578" s="83">
        <v>43739</v>
      </c>
      <c r="B578" t="s">
        <v>20</v>
      </c>
      <c r="C578" t="s">
        <v>21</v>
      </c>
      <c r="D578" t="s">
        <v>26</v>
      </c>
      <c r="E578">
        <v>797</v>
      </c>
      <c r="F578">
        <f t="shared" si="11"/>
        <v>5</v>
      </c>
    </row>
    <row r="579" spans="1:6">
      <c r="A579" s="83">
        <v>43739</v>
      </c>
      <c r="B579" t="s">
        <v>20</v>
      </c>
      <c r="C579" t="s">
        <v>24</v>
      </c>
      <c r="D579" t="s">
        <v>26</v>
      </c>
      <c r="E579">
        <v>26</v>
      </c>
      <c r="F579">
        <f t="shared" ref="F579:F642" si="12">LEN(D579)</f>
        <v>5</v>
      </c>
    </row>
    <row r="580" spans="1:6">
      <c r="A580" s="83">
        <v>43739</v>
      </c>
      <c r="B580" t="s">
        <v>20</v>
      </c>
      <c r="C580" t="s">
        <v>24</v>
      </c>
      <c r="D580" t="s">
        <v>22</v>
      </c>
      <c r="E580">
        <v>110</v>
      </c>
      <c r="F580">
        <f t="shared" si="12"/>
        <v>7</v>
      </c>
    </row>
    <row r="581" spans="1:6">
      <c r="A581" s="83">
        <v>43739</v>
      </c>
      <c r="B581" t="s">
        <v>20</v>
      </c>
      <c r="C581" t="s">
        <v>24</v>
      </c>
      <c r="D581" t="s">
        <v>22</v>
      </c>
      <c r="E581">
        <v>79</v>
      </c>
      <c r="F581">
        <f t="shared" si="12"/>
        <v>7</v>
      </c>
    </row>
    <row r="582" spans="1:6">
      <c r="A582" s="83">
        <v>43770</v>
      </c>
      <c r="B582" t="s">
        <v>20</v>
      </c>
      <c r="C582" t="s">
        <v>21</v>
      </c>
      <c r="D582" t="s">
        <v>22</v>
      </c>
      <c r="E582">
        <v>35</v>
      </c>
      <c r="F582">
        <f t="shared" si="12"/>
        <v>7</v>
      </c>
    </row>
    <row r="583" spans="1:6">
      <c r="A583" s="83">
        <v>43770</v>
      </c>
      <c r="B583" t="s">
        <v>20</v>
      </c>
      <c r="C583" t="s">
        <v>21</v>
      </c>
      <c r="D583" t="s">
        <v>26</v>
      </c>
      <c r="E583">
        <v>66</v>
      </c>
      <c r="F583">
        <f t="shared" si="12"/>
        <v>5</v>
      </c>
    </row>
    <row r="584" spans="1:6">
      <c r="A584" s="83">
        <v>43770</v>
      </c>
      <c r="B584" t="s">
        <v>20</v>
      </c>
      <c r="C584" t="s">
        <v>21</v>
      </c>
      <c r="D584" t="s">
        <v>26</v>
      </c>
      <c r="E584">
        <v>677</v>
      </c>
      <c r="F584">
        <f t="shared" si="12"/>
        <v>5</v>
      </c>
    </row>
    <row r="585" spans="1:6">
      <c r="A585" s="83">
        <v>43770</v>
      </c>
      <c r="B585" t="s">
        <v>20</v>
      </c>
      <c r="C585" t="s">
        <v>24</v>
      </c>
      <c r="D585" t="s">
        <v>23</v>
      </c>
      <c r="E585">
        <v>26</v>
      </c>
      <c r="F585">
        <f t="shared" si="12"/>
        <v>3</v>
      </c>
    </row>
    <row r="586" spans="1:6">
      <c r="A586" s="83">
        <v>43770</v>
      </c>
      <c r="B586" t="s">
        <v>20</v>
      </c>
      <c r="C586" t="s">
        <v>24</v>
      </c>
      <c r="D586" t="s">
        <v>23</v>
      </c>
      <c r="E586">
        <v>124</v>
      </c>
      <c r="F586">
        <f t="shared" si="12"/>
        <v>3</v>
      </c>
    </row>
    <row r="587" spans="1:6">
      <c r="A587" s="83">
        <v>43770</v>
      </c>
      <c r="B587" t="s">
        <v>20</v>
      </c>
      <c r="C587" t="s">
        <v>24</v>
      </c>
      <c r="D587" t="s">
        <v>26</v>
      </c>
      <c r="E587">
        <v>90</v>
      </c>
      <c r="F587">
        <f t="shared" si="12"/>
        <v>5</v>
      </c>
    </row>
    <row r="588" spans="1:6">
      <c r="A588" s="83">
        <v>43800</v>
      </c>
      <c r="B588" t="s">
        <v>20</v>
      </c>
      <c r="C588" t="s">
        <v>21</v>
      </c>
      <c r="D588" t="s">
        <v>23</v>
      </c>
      <c r="E588">
        <v>46</v>
      </c>
      <c r="F588">
        <f t="shared" si="12"/>
        <v>3</v>
      </c>
    </row>
    <row r="589" spans="1:6">
      <c r="A589" s="83">
        <v>43800</v>
      </c>
      <c r="B589" t="s">
        <v>20</v>
      </c>
      <c r="C589" t="s">
        <v>21</v>
      </c>
      <c r="D589" t="s">
        <v>23</v>
      </c>
      <c r="E589">
        <v>55</v>
      </c>
      <c r="F589">
        <f t="shared" si="12"/>
        <v>3</v>
      </c>
    </row>
    <row r="590" spans="1:6">
      <c r="A590" s="83">
        <v>43800</v>
      </c>
      <c r="B590" t="s">
        <v>20</v>
      </c>
      <c r="C590" t="s">
        <v>21</v>
      </c>
      <c r="D590" t="s">
        <v>26</v>
      </c>
      <c r="E590">
        <v>798</v>
      </c>
      <c r="F590">
        <f t="shared" si="12"/>
        <v>5</v>
      </c>
    </row>
    <row r="591" spans="1:6">
      <c r="A591" s="83">
        <v>43800</v>
      </c>
      <c r="B591" t="s">
        <v>20</v>
      </c>
      <c r="C591" t="s">
        <v>24</v>
      </c>
      <c r="D591" t="s">
        <v>23</v>
      </c>
      <c r="E591">
        <v>26</v>
      </c>
      <c r="F591">
        <f t="shared" si="12"/>
        <v>3</v>
      </c>
    </row>
    <row r="592" spans="1:6">
      <c r="A592" s="83">
        <v>43800</v>
      </c>
      <c r="B592" t="s">
        <v>20</v>
      </c>
      <c r="C592" t="s">
        <v>24</v>
      </c>
      <c r="D592" t="s">
        <v>23</v>
      </c>
      <c r="E592">
        <v>151</v>
      </c>
      <c r="F592">
        <f t="shared" si="12"/>
        <v>3</v>
      </c>
    </row>
    <row r="593" spans="1:6">
      <c r="A593" s="83">
        <v>43800</v>
      </c>
      <c r="B593" t="s">
        <v>20</v>
      </c>
      <c r="C593" t="s">
        <v>24</v>
      </c>
      <c r="D593" t="s">
        <v>22</v>
      </c>
      <c r="E593">
        <v>113</v>
      </c>
      <c r="F593">
        <f t="shared" si="12"/>
        <v>7</v>
      </c>
    </row>
    <row r="594" spans="1:6">
      <c r="A594" s="83">
        <v>42795</v>
      </c>
      <c r="B594" t="s">
        <v>20</v>
      </c>
      <c r="C594" t="s">
        <v>24</v>
      </c>
      <c r="D594" t="s">
        <v>23</v>
      </c>
      <c r="E594">
        <v>1682</v>
      </c>
      <c r="F594">
        <f t="shared" si="12"/>
        <v>3</v>
      </c>
    </row>
    <row r="595" spans="1:6">
      <c r="A595" s="83">
        <v>42795</v>
      </c>
      <c r="B595" t="s">
        <v>20</v>
      </c>
      <c r="C595" t="s">
        <v>24</v>
      </c>
      <c r="D595" t="s">
        <v>26</v>
      </c>
      <c r="E595">
        <v>2738</v>
      </c>
      <c r="F595">
        <f t="shared" si="12"/>
        <v>5</v>
      </c>
    </row>
    <row r="596" spans="1:6">
      <c r="A596" s="83">
        <v>42826</v>
      </c>
      <c r="B596" t="s">
        <v>20</v>
      </c>
      <c r="C596" t="s">
        <v>24</v>
      </c>
      <c r="D596" t="s">
        <v>26</v>
      </c>
      <c r="E596">
        <v>1968</v>
      </c>
      <c r="F596">
        <f t="shared" si="12"/>
        <v>5</v>
      </c>
    </row>
    <row r="597" spans="1:6">
      <c r="A597" s="83">
        <v>42826</v>
      </c>
      <c r="B597" t="s">
        <v>20</v>
      </c>
      <c r="C597" t="s">
        <v>24</v>
      </c>
      <c r="D597" t="s">
        <v>23</v>
      </c>
      <c r="E597">
        <v>3850</v>
      </c>
      <c r="F597">
        <f t="shared" si="12"/>
        <v>3</v>
      </c>
    </row>
    <row r="598" spans="1:6">
      <c r="A598" s="83">
        <v>42856</v>
      </c>
      <c r="B598" t="s">
        <v>20</v>
      </c>
      <c r="C598" t="s">
        <v>24</v>
      </c>
      <c r="D598" t="s">
        <v>26</v>
      </c>
      <c r="E598">
        <v>1804</v>
      </c>
      <c r="F598">
        <f t="shared" si="12"/>
        <v>5</v>
      </c>
    </row>
    <row r="599" spans="1:6">
      <c r="A599" s="83">
        <v>42856</v>
      </c>
      <c r="B599" t="s">
        <v>20</v>
      </c>
      <c r="C599" t="s">
        <v>24</v>
      </c>
      <c r="D599" t="s">
        <v>22</v>
      </c>
      <c r="E599">
        <v>2172</v>
      </c>
      <c r="F599">
        <f t="shared" si="12"/>
        <v>7</v>
      </c>
    </row>
    <row r="600" spans="1:6">
      <c r="A600" s="83">
        <v>42887</v>
      </c>
      <c r="B600" t="s">
        <v>20</v>
      </c>
      <c r="C600" t="s">
        <v>24</v>
      </c>
      <c r="D600" t="s">
        <v>26</v>
      </c>
      <c r="E600">
        <v>2273</v>
      </c>
      <c r="F600">
        <f t="shared" si="12"/>
        <v>5</v>
      </c>
    </row>
    <row r="601" spans="1:6">
      <c r="A601" s="83">
        <v>42887</v>
      </c>
      <c r="B601" t="s">
        <v>20</v>
      </c>
      <c r="C601" t="s">
        <v>24</v>
      </c>
      <c r="D601" t="s">
        <v>26</v>
      </c>
      <c r="E601">
        <v>4489</v>
      </c>
      <c r="F601">
        <f t="shared" si="12"/>
        <v>5</v>
      </c>
    </row>
    <row r="602" spans="1:6">
      <c r="A602" s="83">
        <v>42917</v>
      </c>
      <c r="B602" t="s">
        <v>20</v>
      </c>
      <c r="C602" t="s">
        <v>21</v>
      </c>
      <c r="D602" t="s">
        <v>22</v>
      </c>
      <c r="E602">
        <v>358</v>
      </c>
      <c r="F602">
        <f t="shared" si="12"/>
        <v>7</v>
      </c>
    </row>
    <row r="603" spans="1:6">
      <c r="A603" s="83">
        <v>42917</v>
      </c>
      <c r="B603" t="s">
        <v>20</v>
      </c>
      <c r="C603" t="s">
        <v>21</v>
      </c>
      <c r="D603" t="s">
        <v>23</v>
      </c>
      <c r="E603">
        <v>659</v>
      </c>
      <c r="F603">
        <f t="shared" si="12"/>
        <v>3</v>
      </c>
    </row>
    <row r="604" spans="1:6">
      <c r="A604" s="83">
        <v>42917</v>
      </c>
      <c r="B604" t="s">
        <v>20</v>
      </c>
      <c r="C604" t="s">
        <v>24</v>
      </c>
      <c r="D604" t="s">
        <v>23</v>
      </c>
      <c r="E604">
        <v>2156</v>
      </c>
      <c r="F604">
        <f t="shared" si="12"/>
        <v>3</v>
      </c>
    </row>
    <row r="605" spans="1:6">
      <c r="A605" s="83">
        <v>42917</v>
      </c>
      <c r="B605" t="s">
        <v>20</v>
      </c>
      <c r="C605" t="s">
        <v>24</v>
      </c>
      <c r="D605" t="s">
        <v>26</v>
      </c>
      <c r="E605">
        <v>3697</v>
      </c>
      <c r="F605">
        <f t="shared" si="12"/>
        <v>5</v>
      </c>
    </row>
    <row r="606" spans="1:6">
      <c r="A606" s="83">
        <v>42948</v>
      </c>
      <c r="B606" t="s">
        <v>20</v>
      </c>
      <c r="C606" t="s">
        <v>21</v>
      </c>
      <c r="D606" t="s">
        <v>23</v>
      </c>
      <c r="E606">
        <v>413</v>
      </c>
      <c r="F606">
        <f t="shared" si="12"/>
        <v>3</v>
      </c>
    </row>
    <row r="607" spans="1:6">
      <c r="A607" s="83">
        <v>42948</v>
      </c>
      <c r="B607" t="s">
        <v>20</v>
      </c>
      <c r="C607" t="s">
        <v>21</v>
      </c>
      <c r="D607" t="s">
        <v>22</v>
      </c>
      <c r="E607">
        <v>293</v>
      </c>
      <c r="F607">
        <f t="shared" si="12"/>
        <v>7</v>
      </c>
    </row>
    <row r="608" spans="1:6">
      <c r="A608" s="83">
        <v>42948</v>
      </c>
      <c r="B608" t="s">
        <v>20</v>
      </c>
      <c r="C608" t="s">
        <v>24</v>
      </c>
      <c r="D608" t="s">
        <v>23</v>
      </c>
      <c r="E608">
        <v>1974</v>
      </c>
      <c r="F608">
        <f t="shared" si="12"/>
        <v>3</v>
      </c>
    </row>
    <row r="609" spans="1:6">
      <c r="A609" s="83">
        <v>42948</v>
      </c>
      <c r="B609" t="s">
        <v>20</v>
      </c>
      <c r="C609" t="s">
        <v>24</v>
      </c>
      <c r="D609" t="s">
        <v>26</v>
      </c>
      <c r="E609">
        <v>1982</v>
      </c>
      <c r="F609">
        <f t="shared" si="12"/>
        <v>5</v>
      </c>
    </row>
    <row r="610" spans="1:6">
      <c r="A610" s="83">
        <v>42979</v>
      </c>
      <c r="B610" t="s">
        <v>20</v>
      </c>
      <c r="C610" t="s">
        <v>21</v>
      </c>
      <c r="D610" t="s">
        <v>26</v>
      </c>
      <c r="E610">
        <v>385</v>
      </c>
      <c r="F610">
        <f t="shared" si="12"/>
        <v>5</v>
      </c>
    </row>
    <row r="611" spans="1:6">
      <c r="A611" s="83">
        <v>42979</v>
      </c>
      <c r="B611" t="s">
        <v>20</v>
      </c>
      <c r="C611" t="s">
        <v>21</v>
      </c>
      <c r="D611" t="s">
        <v>26</v>
      </c>
      <c r="E611">
        <v>203</v>
      </c>
      <c r="F611">
        <f t="shared" si="12"/>
        <v>5</v>
      </c>
    </row>
    <row r="612" spans="1:6">
      <c r="A612" s="83">
        <v>42979</v>
      </c>
      <c r="B612" t="s">
        <v>20</v>
      </c>
      <c r="C612" t="s">
        <v>24</v>
      </c>
      <c r="D612" t="s">
        <v>22</v>
      </c>
      <c r="E612">
        <v>2811</v>
      </c>
      <c r="F612">
        <f t="shared" si="12"/>
        <v>7</v>
      </c>
    </row>
    <row r="613" spans="1:6">
      <c r="A613" s="83">
        <v>42979</v>
      </c>
      <c r="B613" t="s">
        <v>20</v>
      </c>
      <c r="C613" t="s">
        <v>24</v>
      </c>
      <c r="D613" t="s">
        <v>22</v>
      </c>
      <c r="E613">
        <v>2454</v>
      </c>
      <c r="F613">
        <f t="shared" si="12"/>
        <v>7</v>
      </c>
    </row>
    <row r="614" spans="1:6">
      <c r="A614" s="83">
        <v>43009</v>
      </c>
      <c r="B614" t="s">
        <v>20</v>
      </c>
      <c r="C614" t="s">
        <v>21</v>
      </c>
      <c r="D614" t="s">
        <v>23</v>
      </c>
      <c r="E614">
        <v>504</v>
      </c>
      <c r="F614">
        <f t="shared" si="12"/>
        <v>3</v>
      </c>
    </row>
    <row r="615" spans="1:6">
      <c r="A615" s="83">
        <v>43009</v>
      </c>
      <c r="B615" t="s">
        <v>20</v>
      </c>
      <c r="C615" t="s">
        <v>21</v>
      </c>
      <c r="D615" t="s">
        <v>22</v>
      </c>
      <c r="E615">
        <v>293</v>
      </c>
      <c r="F615">
        <f t="shared" si="12"/>
        <v>7</v>
      </c>
    </row>
    <row r="616" spans="1:6">
      <c r="A616" s="83">
        <v>43009</v>
      </c>
      <c r="B616" t="s">
        <v>20</v>
      </c>
      <c r="C616" t="s">
        <v>24</v>
      </c>
      <c r="D616" t="s">
        <v>26</v>
      </c>
      <c r="E616">
        <v>2266</v>
      </c>
      <c r="F616">
        <f t="shared" si="12"/>
        <v>5</v>
      </c>
    </row>
    <row r="617" spans="1:6">
      <c r="A617" s="83">
        <v>43009</v>
      </c>
      <c r="B617" t="s">
        <v>20</v>
      </c>
      <c r="C617" t="s">
        <v>24</v>
      </c>
      <c r="D617" t="s">
        <v>23</v>
      </c>
      <c r="E617">
        <v>1219</v>
      </c>
      <c r="F617">
        <f t="shared" si="12"/>
        <v>3</v>
      </c>
    </row>
    <row r="618" spans="1:6">
      <c r="A618" s="83">
        <v>43040</v>
      </c>
      <c r="B618" t="s">
        <v>20</v>
      </c>
      <c r="C618" t="s">
        <v>21</v>
      </c>
      <c r="D618" t="s">
        <v>23</v>
      </c>
      <c r="E618">
        <v>385</v>
      </c>
      <c r="F618">
        <f t="shared" si="12"/>
        <v>3</v>
      </c>
    </row>
    <row r="619" spans="1:6">
      <c r="A619" s="83">
        <v>43040</v>
      </c>
      <c r="B619" t="s">
        <v>20</v>
      </c>
      <c r="C619" t="s">
        <v>21</v>
      </c>
      <c r="D619" t="s">
        <v>23</v>
      </c>
      <c r="E619">
        <v>270</v>
      </c>
      <c r="F619">
        <f t="shared" si="12"/>
        <v>3</v>
      </c>
    </row>
    <row r="620" spans="1:6">
      <c r="A620" s="83">
        <v>43040</v>
      </c>
      <c r="B620" t="s">
        <v>20</v>
      </c>
      <c r="C620" t="s">
        <v>24</v>
      </c>
      <c r="D620" t="s">
        <v>26</v>
      </c>
      <c r="E620">
        <v>2110</v>
      </c>
      <c r="F620">
        <f t="shared" si="12"/>
        <v>5</v>
      </c>
    </row>
    <row r="621" spans="1:6">
      <c r="A621" s="83">
        <v>43040</v>
      </c>
      <c r="B621" t="s">
        <v>20</v>
      </c>
      <c r="C621" t="s">
        <v>24</v>
      </c>
      <c r="D621" t="s">
        <v>22</v>
      </c>
      <c r="E621">
        <v>4001</v>
      </c>
      <c r="F621">
        <f t="shared" si="12"/>
        <v>7</v>
      </c>
    </row>
    <row r="622" spans="1:6">
      <c r="A622" s="83">
        <v>43070</v>
      </c>
      <c r="B622" t="s">
        <v>20</v>
      </c>
      <c r="C622" t="s">
        <v>21</v>
      </c>
      <c r="D622" t="s">
        <v>22</v>
      </c>
      <c r="E622">
        <v>330</v>
      </c>
      <c r="F622">
        <f t="shared" si="12"/>
        <v>7</v>
      </c>
    </row>
    <row r="623" spans="1:6">
      <c r="A623" s="83">
        <v>43070</v>
      </c>
      <c r="B623" t="s">
        <v>20</v>
      </c>
      <c r="C623" t="s">
        <v>21</v>
      </c>
      <c r="D623" t="s">
        <v>26</v>
      </c>
      <c r="E623">
        <v>338</v>
      </c>
      <c r="F623">
        <f t="shared" si="12"/>
        <v>5</v>
      </c>
    </row>
    <row r="624" spans="1:6">
      <c r="A624" s="83">
        <v>43070</v>
      </c>
      <c r="B624" t="s">
        <v>20</v>
      </c>
      <c r="C624" t="s">
        <v>24</v>
      </c>
      <c r="D624" t="s">
        <v>22</v>
      </c>
      <c r="E624">
        <v>2049</v>
      </c>
      <c r="F624">
        <f t="shared" si="12"/>
        <v>7</v>
      </c>
    </row>
    <row r="625" spans="1:6">
      <c r="A625" s="83">
        <v>43070</v>
      </c>
      <c r="B625" t="s">
        <v>20</v>
      </c>
      <c r="C625" t="s">
        <v>24</v>
      </c>
      <c r="D625" t="s">
        <v>23</v>
      </c>
      <c r="E625">
        <v>4193</v>
      </c>
      <c r="F625">
        <f t="shared" si="12"/>
        <v>3</v>
      </c>
    </row>
    <row r="626" spans="1:6">
      <c r="A626" s="83">
        <v>43101</v>
      </c>
      <c r="B626" t="s">
        <v>20</v>
      </c>
      <c r="C626" t="s">
        <v>21</v>
      </c>
      <c r="D626" t="s">
        <v>22</v>
      </c>
      <c r="E626">
        <v>413</v>
      </c>
      <c r="F626">
        <f t="shared" si="12"/>
        <v>7</v>
      </c>
    </row>
    <row r="627" spans="1:6">
      <c r="A627" s="83">
        <v>43101</v>
      </c>
      <c r="B627" t="s">
        <v>20</v>
      </c>
      <c r="C627" t="s">
        <v>21</v>
      </c>
      <c r="D627" t="s">
        <v>26</v>
      </c>
      <c r="E627">
        <v>383</v>
      </c>
      <c r="F627">
        <f t="shared" si="12"/>
        <v>5</v>
      </c>
    </row>
    <row r="628" spans="1:6">
      <c r="A628" s="83">
        <v>43101</v>
      </c>
      <c r="B628" t="s">
        <v>20</v>
      </c>
      <c r="C628" t="s">
        <v>24</v>
      </c>
      <c r="D628" t="s">
        <v>23</v>
      </c>
      <c r="E628">
        <v>2244</v>
      </c>
      <c r="F628">
        <f t="shared" si="12"/>
        <v>3</v>
      </c>
    </row>
    <row r="629" spans="1:6">
      <c r="A629" s="83">
        <v>43101</v>
      </c>
      <c r="B629" t="s">
        <v>20</v>
      </c>
      <c r="C629" t="s">
        <v>24</v>
      </c>
      <c r="D629" t="s">
        <v>22</v>
      </c>
      <c r="E629">
        <v>3730</v>
      </c>
      <c r="F629">
        <f t="shared" si="12"/>
        <v>7</v>
      </c>
    </row>
    <row r="630" spans="1:6">
      <c r="A630" s="83">
        <v>43132</v>
      </c>
      <c r="B630" t="s">
        <v>20</v>
      </c>
      <c r="C630" t="s">
        <v>21</v>
      </c>
      <c r="D630" t="s">
        <v>23</v>
      </c>
      <c r="E630">
        <v>588</v>
      </c>
      <c r="F630">
        <f t="shared" si="12"/>
        <v>3</v>
      </c>
    </row>
    <row r="631" spans="1:6">
      <c r="A631" s="83">
        <v>43132</v>
      </c>
      <c r="B631" t="s">
        <v>20</v>
      </c>
      <c r="C631" t="s">
        <v>21</v>
      </c>
      <c r="D631" t="s">
        <v>26</v>
      </c>
      <c r="E631">
        <v>433</v>
      </c>
      <c r="F631">
        <f t="shared" si="12"/>
        <v>5</v>
      </c>
    </row>
    <row r="632" spans="1:6">
      <c r="A632" s="83">
        <v>43132</v>
      </c>
      <c r="B632" t="s">
        <v>20</v>
      </c>
      <c r="C632" t="s">
        <v>24</v>
      </c>
      <c r="D632" t="s">
        <v>23</v>
      </c>
      <c r="E632">
        <v>1849</v>
      </c>
      <c r="F632">
        <f t="shared" si="12"/>
        <v>3</v>
      </c>
    </row>
    <row r="633" spans="1:6">
      <c r="A633" s="83">
        <v>43132</v>
      </c>
      <c r="B633" t="s">
        <v>20</v>
      </c>
      <c r="C633" t="s">
        <v>24</v>
      </c>
      <c r="D633" t="s">
        <v>22</v>
      </c>
      <c r="E633">
        <v>3293</v>
      </c>
      <c r="F633">
        <f t="shared" si="12"/>
        <v>7</v>
      </c>
    </row>
    <row r="634" spans="1:6">
      <c r="A634" s="83">
        <v>43160</v>
      </c>
      <c r="B634" t="s">
        <v>20</v>
      </c>
      <c r="C634" t="s">
        <v>21</v>
      </c>
      <c r="D634" t="s">
        <v>23</v>
      </c>
      <c r="E634">
        <v>440</v>
      </c>
      <c r="F634">
        <f t="shared" si="12"/>
        <v>3</v>
      </c>
    </row>
    <row r="635" spans="1:6">
      <c r="A635" s="83">
        <v>43160</v>
      </c>
      <c r="B635" t="s">
        <v>20</v>
      </c>
      <c r="C635" t="s">
        <v>21</v>
      </c>
      <c r="D635" t="s">
        <v>26</v>
      </c>
      <c r="E635">
        <v>338</v>
      </c>
      <c r="F635">
        <f t="shared" si="12"/>
        <v>5</v>
      </c>
    </row>
    <row r="636" spans="1:6">
      <c r="A636" s="83">
        <v>43160</v>
      </c>
      <c r="B636" t="s">
        <v>20</v>
      </c>
      <c r="C636" t="s">
        <v>24</v>
      </c>
      <c r="D636" t="s">
        <v>26</v>
      </c>
      <c r="E636">
        <v>1515</v>
      </c>
      <c r="F636">
        <f t="shared" si="12"/>
        <v>5</v>
      </c>
    </row>
    <row r="637" spans="1:6">
      <c r="A637" s="83">
        <v>43160</v>
      </c>
      <c r="B637" t="s">
        <v>20</v>
      </c>
      <c r="C637" t="s">
        <v>24</v>
      </c>
      <c r="D637" t="s">
        <v>22</v>
      </c>
      <c r="E637">
        <v>3986</v>
      </c>
      <c r="F637">
        <f t="shared" si="12"/>
        <v>7</v>
      </c>
    </row>
    <row r="638" spans="1:6">
      <c r="A638" s="83">
        <v>43191</v>
      </c>
      <c r="B638" t="s">
        <v>20</v>
      </c>
      <c r="C638" t="s">
        <v>21</v>
      </c>
      <c r="D638" t="s">
        <v>22</v>
      </c>
      <c r="E638">
        <v>523</v>
      </c>
      <c r="F638">
        <f t="shared" si="12"/>
        <v>7</v>
      </c>
    </row>
    <row r="639" spans="1:6">
      <c r="A639" s="83">
        <v>43191</v>
      </c>
      <c r="B639" t="s">
        <v>20</v>
      </c>
      <c r="C639" t="s">
        <v>21</v>
      </c>
      <c r="D639" t="s">
        <v>22</v>
      </c>
      <c r="E639">
        <v>180</v>
      </c>
      <c r="F639">
        <f t="shared" si="12"/>
        <v>7</v>
      </c>
    </row>
    <row r="640" spans="1:6">
      <c r="A640" s="83">
        <v>43191</v>
      </c>
      <c r="B640" t="s">
        <v>20</v>
      </c>
      <c r="C640" t="s">
        <v>24</v>
      </c>
      <c r="D640" t="s">
        <v>26</v>
      </c>
      <c r="E640">
        <v>1888</v>
      </c>
      <c r="F640">
        <f t="shared" si="12"/>
        <v>5</v>
      </c>
    </row>
    <row r="641" spans="1:6">
      <c r="A641" s="83">
        <v>43191</v>
      </c>
      <c r="B641" t="s">
        <v>20</v>
      </c>
      <c r="C641" t="s">
        <v>24</v>
      </c>
      <c r="D641" t="s">
        <v>22</v>
      </c>
      <c r="E641">
        <v>2227</v>
      </c>
      <c r="F641">
        <f t="shared" si="12"/>
        <v>7</v>
      </c>
    </row>
    <row r="642" spans="1:6">
      <c r="A642" s="83">
        <v>43221</v>
      </c>
      <c r="B642" t="s">
        <v>20</v>
      </c>
      <c r="C642" t="s">
        <v>21</v>
      </c>
      <c r="D642" t="s">
        <v>22</v>
      </c>
      <c r="E642">
        <v>500</v>
      </c>
      <c r="F642">
        <f t="shared" si="12"/>
        <v>7</v>
      </c>
    </row>
    <row r="643" spans="1:6">
      <c r="A643" s="83">
        <v>43221</v>
      </c>
      <c r="B643" t="s">
        <v>20</v>
      </c>
      <c r="C643" t="s">
        <v>21</v>
      </c>
      <c r="D643" t="s">
        <v>26</v>
      </c>
      <c r="E643">
        <v>248</v>
      </c>
      <c r="F643">
        <f t="shared" ref="F643:F706" si="13">LEN(D643)</f>
        <v>5</v>
      </c>
    </row>
    <row r="644" spans="1:6">
      <c r="A644" s="83">
        <v>43221</v>
      </c>
      <c r="B644" t="s">
        <v>20</v>
      </c>
      <c r="C644" t="s">
        <v>24</v>
      </c>
      <c r="D644" t="s">
        <v>22</v>
      </c>
      <c r="E644">
        <v>2159</v>
      </c>
      <c r="F644">
        <f t="shared" si="13"/>
        <v>7</v>
      </c>
    </row>
    <row r="645" spans="1:6">
      <c r="A645" s="83">
        <v>43221</v>
      </c>
      <c r="B645" t="s">
        <v>20</v>
      </c>
      <c r="C645" t="s">
        <v>24</v>
      </c>
      <c r="D645" t="s">
        <v>26</v>
      </c>
      <c r="E645">
        <v>1667</v>
      </c>
      <c r="F645">
        <f t="shared" si="13"/>
        <v>5</v>
      </c>
    </row>
    <row r="646" spans="1:6">
      <c r="A646" s="83">
        <v>43252</v>
      </c>
      <c r="B646" t="s">
        <v>20</v>
      </c>
      <c r="C646" t="s">
        <v>21</v>
      </c>
      <c r="D646" t="s">
        <v>26</v>
      </c>
      <c r="E646">
        <v>896</v>
      </c>
      <c r="F646">
        <f t="shared" si="13"/>
        <v>5</v>
      </c>
    </row>
    <row r="647" spans="1:6">
      <c r="A647" s="83">
        <v>43252</v>
      </c>
      <c r="B647" t="s">
        <v>20</v>
      </c>
      <c r="C647" t="s">
        <v>21</v>
      </c>
      <c r="D647" t="s">
        <v>26</v>
      </c>
      <c r="E647">
        <v>225</v>
      </c>
      <c r="F647">
        <f t="shared" si="13"/>
        <v>5</v>
      </c>
    </row>
    <row r="648" spans="1:6">
      <c r="A648" s="83">
        <v>43252</v>
      </c>
      <c r="B648" t="s">
        <v>20</v>
      </c>
      <c r="C648" t="s">
        <v>24</v>
      </c>
      <c r="D648" t="s">
        <v>26</v>
      </c>
      <c r="E648">
        <v>2131</v>
      </c>
      <c r="F648">
        <f t="shared" si="13"/>
        <v>5</v>
      </c>
    </row>
    <row r="649" spans="1:6">
      <c r="A649" s="83">
        <v>43252</v>
      </c>
      <c r="B649" t="s">
        <v>20</v>
      </c>
      <c r="C649" t="s">
        <v>24</v>
      </c>
      <c r="D649" t="s">
        <v>22</v>
      </c>
      <c r="E649">
        <v>1280</v>
      </c>
      <c r="F649">
        <f t="shared" si="13"/>
        <v>7</v>
      </c>
    </row>
    <row r="650" spans="1:6">
      <c r="A650" s="83">
        <v>43282</v>
      </c>
      <c r="B650" t="s">
        <v>20</v>
      </c>
      <c r="C650" t="s">
        <v>21</v>
      </c>
      <c r="D650" t="s">
        <v>22</v>
      </c>
      <c r="E650">
        <v>1040</v>
      </c>
      <c r="F650">
        <f t="shared" si="13"/>
        <v>7</v>
      </c>
    </row>
    <row r="651" spans="1:6">
      <c r="A651" s="83">
        <v>43282</v>
      </c>
      <c r="B651" t="s">
        <v>20</v>
      </c>
      <c r="C651" t="s">
        <v>21</v>
      </c>
      <c r="D651" t="s">
        <v>22</v>
      </c>
      <c r="E651">
        <v>338</v>
      </c>
      <c r="F651">
        <f t="shared" si="13"/>
        <v>7</v>
      </c>
    </row>
    <row r="652" spans="1:6">
      <c r="A652" s="83">
        <v>43282</v>
      </c>
      <c r="B652" t="s">
        <v>20</v>
      </c>
      <c r="C652" t="s">
        <v>24</v>
      </c>
      <c r="D652" t="s">
        <v>22</v>
      </c>
      <c r="E652">
        <v>96</v>
      </c>
      <c r="F652">
        <f t="shared" si="13"/>
        <v>7</v>
      </c>
    </row>
    <row r="653" spans="1:6">
      <c r="A653" s="83">
        <v>43282</v>
      </c>
      <c r="B653" t="s">
        <v>20</v>
      </c>
      <c r="C653" t="s">
        <v>24</v>
      </c>
      <c r="D653" t="s">
        <v>26</v>
      </c>
      <c r="E653">
        <v>995</v>
      </c>
      <c r="F653">
        <f t="shared" si="13"/>
        <v>5</v>
      </c>
    </row>
    <row r="654" spans="1:6">
      <c r="A654" s="83">
        <v>43313</v>
      </c>
      <c r="B654" t="s">
        <v>20</v>
      </c>
      <c r="C654" t="s">
        <v>21</v>
      </c>
      <c r="D654" t="s">
        <v>23</v>
      </c>
      <c r="E654">
        <v>1202</v>
      </c>
      <c r="F654">
        <f t="shared" si="13"/>
        <v>3</v>
      </c>
    </row>
    <row r="655" spans="1:6">
      <c r="A655" s="83">
        <v>43313</v>
      </c>
      <c r="B655" t="s">
        <v>20</v>
      </c>
      <c r="C655" t="s">
        <v>21</v>
      </c>
      <c r="D655" t="s">
        <v>26</v>
      </c>
      <c r="E655">
        <v>293</v>
      </c>
      <c r="F655">
        <f t="shared" si="13"/>
        <v>5</v>
      </c>
    </row>
    <row r="656" spans="1:6">
      <c r="A656" s="83">
        <v>43313</v>
      </c>
      <c r="B656" t="s">
        <v>20</v>
      </c>
      <c r="C656" t="s">
        <v>24</v>
      </c>
      <c r="D656" t="s">
        <v>22</v>
      </c>
      <c r="E656">
        <v>138</v>
      </c>
      <c r="F656">
        <f t="shared" si="13"/>
        <v>7</v>
      </c>
    </row>
    <row r="657" spans="1:6">
      <c r="A657" s="83">
        <v>43313</v>
      </c>
      <c r="B657" t="s">
        <v>20</v>
      </c>
      <c r="C657" t="s">
        <v>24</v>
      </c>
      <c r="D657" t="s">
        <v>26</v>
      </c>
      <c r="E657">
        <v>860</v>
      </c>
      <c r="F657">
        <f t="shared" si="13"/>
        <v>5</v>
      </c>
    </row>
    <row r="658" spans="1:6">
      <c r="A658" s="83">
        <v>43344</v>
      </c>
      <c r="B658" t="s">
        <v>20</v>
      </c>
      <c r="C658" t="s">
        <v>21</v>
      </c>
      <c r="D658" t="s">
        <v>23</v>
      </c>
      <c r="E658">
        <v>248</v>
      </c>
      <c r="F658">
        <f t="shared" si="13"/>
        <v>3</v>
      </c>
    </row>
    <row r="659" spans="1:6">
      <c r="A659" s="83">
        <v>43344</v>
      </c>
      <c r="B659" t="s">
        <v>20</v>
      </c>
      <c r="C659" t="s">
        <v>21</v>
      </c>
      <c r="D659" t="s">
        <v>26</v>
      </c>
      <c r="E659">
        <v>68</v>
      </c>
      <c r="F659">
        <f t="shared" si="13"/>
        <v>5</v>
      </c>
    </row>
    <row r="660" spans="1:6">
      <c r="A660" s="83">
        <v>43344</v>
      </c>
      <c r="B660" t="s">
        <v>20</v>
      </c>
      <c r="C660" t="s">
        <v>24</v>
      </c>
      <c r="D660" t="s">
        <v>26</v>
      </c>
      <c r="E660">
        <v>330</v>
      </c>
      <c r="F660">
        <f t="shared" si="13"/>
        <v>5</v>
      </c>
    </row>
    <row r="661" spans="1:6">
      <c r="A661" s="83">
        <v>43344</v>
      </c>
      <c r="B661" t="s">
        <v>20</v>
      </c>
      <c r="C661" t="s">
        <v>24</v>
      </c>
      <c r="D661" t="s">
        <v>22</v>
      </c>
      <c r="E661">
        <v>68</v>
      </c>
      <c r="F661">
        <f t="shared" si="13"/>
        <v>7</v>
      </c>
    </row>
    <row r="662" spans="1:6">
      <c r="A662" s="83">
        <v>43374</v>
      </c>
      <c r="B662" t="s">
        <v>20</v>
      </c>
      <c r="C662" t="s">
        <v>21</v>
      </c>
      <c r="D662" t="s">
        <v>26</v>
      </c>
      <c r="E662">
        <v>220</v>
      </c>
      <c r="F662">
        <f t="shared" si="13"/>
        <v>5</v>
      </c>
    </row>
    <row r="663" spans="1:6">
      <c r="A663" s="83">
        <v>43374</v>
      </c>
      <c r="B663" t="s">
        <v>20</v>
      </c>
      <c r="C663" t="s">
        <v>24</v>
      </c>
      <c r="D663" t="s">
        <v>22</v>
      </c>
      <c r="E663">
        <v>694</v>
      </c>
      <c r="F663">
        <f t="shared" si="13"/>
        <v>7</v>
      </c>
    </row>
    <row r="664" spans="1:6">
      <c r="A664" s="83">
        <v>43374</v>
      </c>
      <c r="B664" t="s">
        <v>20</v>
      </c>
      <c r="C664" t="s">
        <v>24</v>
      </c>
      <c r="D664" t="s">
        <v>26</v>
      </c>
      <c r="E664">
        <v>90</v>
      </c>
      <c r="F664">
        <f t="shared" si="13"/>
        <v>5</v>
      </c>
    </row>
    <row r="665" spans="1:6">
      <c r="A665" s="83">
        <v>43405</v>
      </c>
      <c r="B665" t="s">
        <v>20</v>
      </c>
      <c r="C665" t="s">
        <v>21</v>
      </c>
      <c r="D665" t="s">
        <v>26</v>
      </c>
      <c r="E665">
        <v>248</v>
      </c>
      <c r="F665">
        <f t="shared" si="13"/>
        <v>5</v>
      </c>
    </row>
    <row r="666" spans="1:6">
      <c r="A666" s="83">
        <v>43405</v>
      </c>
      <c r="B666" t="s">
        <v>20</v>
      </c>
      <c r="C666" t="s">
        <v>24</v>
      </c>
      <c r="D666" t="s">
        <v>26</v>
      </c>
      <c r="E666">
        <v>588</v>
      </c>
      <c r="F666">
        <f t="shared" si="13"/>
        <v>5</v>
      </c>
    </row>
    <row r="667" spans="1:6">
      <c r="A667" s="83">
        <v>43405</v>
      </c>
      <c r="B667" t="s">
        <v>20</v>
      </c>
      <c r="C667" t="s">
        <v>24</v>
      </c>
      <c r="D667" t="s">
        <v>22</v>
      </c>
      <c r="E667">
        <v>113</v>
      </c>
      <c r="F667">
        <f t="shared" si="13"/>
        <v>7</v>
      </c>
    </row>
    <row r="668" spans="1:6">
      <c r="A668" s="83">
        <v>43435</v>
      </c>
      <c r="B668" t="s">
        <v>20</v>
      </c>
      <c r="C668" t="s">
        <v>21</v>
      </c>
      <c r="D668" t="s">
        <v>26</v>
      </c>
      <c r="E668">
        <v>220</v>
      </c>
      <c r="F668">
        <f t="shared" si="13"/>
        <v>5</v>
      </c>
    </row>
    <row r="669" spans="1:6">
      <c r="A669" s="83">
        <v>43435</v>
      </c>
      <c r="B669" t="s">
        <v>20</v>
      </c>
      <c r="C669" t="s">
        <v>24</v>
      </c>
      <c r="D669" t="s">
        <v>22</v>
      </c>
      <c r="E669">
        <v>945</v>
      </c>
      <c r="F669">
        <f t="shared" si="13"/>
        <v>7</v>
      </c>
    </row>
    <row r="670" spans="1:6">
      <c r="A670" s="83">
        <v>43435</v>
      </c>
      <c r="B670" t="s">
        <v>20</v>
      </c>
      <c r="C670" t="s">
        <v>24</v>
      </c>
      <c r="D670" t="s">
        <v>26</v>
      </c>
      <c r="E670">
        <v>79</v>
      </c>
      <c r="F670">
        <f t="shared" si="13"/>
        <v>5</v>
      </c>
    </row>
    <row r="671" spans="1:6">
      <c r="A671" s="83">
        <v>43466</v>
      </c>
      <c r="B671" t="s">
        <v>20</v>
      </c>
      <c r="C671" t="s">
        <v>21</v>
      </c>
      <c r="D671" t="s">
        <v>23</v>
      </c>
      <c r="E671">
        <v>248</v>
      </c>
      <c r="F671">
        <f t="shared" si="13"/>
        <v>3</v>
      </c>
    </row>
    <row r="672" spans="1:6">
      <c r="A672" s="83">
        <v>43466</v>
      </c>
      <c r="B672" t="s">
        <v>20</v>
      </c>
      <c r="C672" t="s">
        <v>24</v>
      </c>
      <c r="D672" t="s">
        <v>23</v>
      </c>
      <c r="E672">
        <v>1075</v>
      </c>
      <c r="F672">
        <f t="shared" si="13"/>
        <v>3</v>
      </c>
    </row>
    <row r="673" spans="1:6">
      <c r="A673" s="83">
        <v>43466</v>
      </c>
      <c r="B673" t="s">
        <v>20</v>
      </c>
      <c r="C673" t="s">
        <v>24</v>
      </c>
      <c r="D673" t="s">
        <v>26</v>
      </c>
      <c r="E673">
        <v>90</v>
      </c>
      <c r="F673">
        <f t="shared" si="13"/>
        <v>5</v>
      </c>
    </row>
    <row r="674" spans="1:6">
      <c r="A674" s="83">
        <v>43497</v>
      </c>
      <c r="B674" t="s">
        <v>20</v>
      </c>
      <c r="C674" t="s">
        <v>21</v>
      </c>
      <c r="D674" t="s">
        <v>22</v>
      </c>
      <c r="E674">
        <v>193</v>
      </c>
      <c r="F674">
        <f t="shared" si="13"/>
        <v>7</v>
      </c>
    </row>
    <row r="675" spans="1:6">
      <c r="A675" s="83">
        <v>43497</v>
      </c>
      <c r="B675" t="s">
        <v>20</v>
      </c>
      <c r="C675" t="s">
        <v>21</v>
      </c>
      <c r="D675" t="s">
        <v>22</v>
      </c>
      <c r="E675">
        <v>225</v>
      </c>
      <c r="F675">
        <f t="shared" si="13"/>
        <v>7</v>
      </c>
    </row>
    <row r="676" spans="1:6">
      <c r="A676" s="83">
        <v>43497</v>
      </c>
      <c r="B676" t="s">
        <v>20</v>
      </c>
      <c r="C676" t="s">
        <v>24</v>
      </c>
      <c r="D676" t="s">
        <v>26</v>
      </c>
      <c r="E676">
        <v>1475</v>
      </c>
      <c r="F676">
        <f t="shared" si="13"/>
        <v>5</v>
      </c>
    </row>
    <row r="677" spans="1:6">
      <c r="A677" s="83">
        <v>43497</v>
      </c>
      <c r="B677" t="s">
        <v>20</v>
      </c>
      <c r="C677" t="s">
        <v>24</v>
      </c>
      <c r="D677" t="s">
        <v>23</v>
      </c>
      <c r="E677">
        <v>45</v>
      </c>
      <c r="F677">
        <f t="shared" si="13"/>
        <v>3</v>
      </c>
    </row>
    <row r="678" spans="1:6">
      <c r="A678" s="83">
        <v>43525</v>
      </c>
      <c r="B678" t="s">
        <v>20</v>
      </c>
      <c r="C678" t="s">
        <v>21</v>
      </c>
      <c r="D678" t="s">
        <v>23</v>
      </c>
      <c r="E678">
        <v>248</v>
      </c>
      <c r="F678">
        <f t="shared" si="13"/>
        <v>3</v>
      </c>
    </row>
    <row r="679" spans="1:6">
      <c r="A679" s="83">
        <v>43525</v>
      </c>
      <c r="B679" t="s">
        <v>20</v>
      </c>
      <c r="C679" t="s">
        <v>21</v>
      </c>
      <c r="D679" t="s">
        <v>26</v>
      </c>
      <c r="E679">
        <v>225</v>
      </c>
      <c r="F679">
        <f t="shared" si="13"/>
        <v>5</v>
      </c>
    </row>
    <row r="680" spans="1:6">
      <c r="A680" s="83">
        <v>43525</v>
      </c>
      <c r="B680" t="s">
        <v>20</v>
      </c>
      <c r="C680" t="s">
        <v>24</v>
      </c>
      <c r="D680" t="s">
        <v>26</v>
      </c>
      <c r="E680">
        <v>827</v>
      </c>
      <c r="F680">
        <f t="shared" si="13"/>
        <v>5</v>
      </c>
    </row>
    <row r="681" spans="1:6">
      <c r="A681" s="83">
        <v>43525</v>
      </c>
      <c r="B681" t="s">
        <v>20</v>
      </c>
      <c r="C681" t="s">
        <v>24</v>
      </c>
      <c r="D681" t="s">
        <v>22</v>
      </c>
      <c r="E681">
        <v>79</v>
      </c>
      <c r="F681">
        <f t="shared" si="13"/>
        <v>7</v>
      </c>
    </row>
    <row r="682" spans="1:6">
      <c r="A682" s="83">
        <v>43556</v>
      </c>
      <c r="B682" t="s">
        <v>20</v>
      </c>
      <c r="C682" t="s">
        <v>21</v>
      </c>
      <c r="D682" t="s">
        <v>22</v>
      </c>
      <c r="E682">
        <v>248</v>
      </c>
      <c r="F682">
        <f t="shared" si="13"/>
        <v>7</v>
      </c>
    </row>
    <row r="683" spans="1:6">
      <c r="A683" s="83">
        <v>43556</v>
      </c>
      <c r="B683" t="s">
        <v>20</v>
      </c>
      <c r="C683" t="s">
        <v>21</v>
      </c>
      <c r="D683" t="s">
        <v>26</v>
      </c>
      <c r="E683">
        <v>225</v>
      </c>
      <c r="F683">
        <f t="shared" si="13"/>
        <v>5</v>
      </c>
    </row>
    <row r="684" spans="1:6">
      <c r="A684" s="83">
        <v>43556</v>
      </c>
      <c r="B684" t="s">
        <v>20</v>
      </c>
      <c r="C684" t="s">
        <v>24</v>
      </c>
      <c r="D684" t="s">
        <v>23</v>
      </c>
      <c r="E684">
        <v>358</v>
      </c>
      <c r="F684">
        <f t="shared" si="13"/>
        <v>3</v>
      </c>
    </row>
    <row r="685" spans="1:6">
      <c r="A685" s="83">
        <v>43556</v>
      </c>
      <c r="B685" t="s">
        <v>20</v>
      </c>
      <c r="C685" t="s">
        <v>24</v>
      </c>
      <c r="D685" t="s">
        <v>22</v>
      </c>
      <c r="E685">
        <v>56</v>
      </c>
      <c r="F685">
        <f t="shared" si="13"/>
        <v>7</v>
      </c>
    </row>
    <row r="686" spans="1:6">
      <c r="A686" s="83">
        <v>43586</v>
      </c>
      <c r="B686" t="s">
        <v>20</v>
      </c>
      <c r="C686" t="s">
        <v>21</v>
      </c>
      <c r="D686" t="s">
        <v>26</v>
      </c>
      <c r="E686">
        <v>220</v>
      </c>
      <c r="F686">
        <f t="shared" si="13"/>
        <v>5</v>
      </c>
    </row>
    <row r="687" spans="1:6">
      <c r="A687" s="83">
        <v>43586</v>
      </c>
      <c r="B687" t="s">
        <v>20</v>
      </c>
      <c r="C687" t="s">
        <v>21</v>
      </c>
      <c r="D687" t="s">
        <v>22</v>
      </c>
      <c r="E687">
        <v>270</v>
      </c>
      <c r="F687">
        <f t="shared" si="13"/>
        <v>7</v>
      </c>
    </row>
    <row r="688" spans="1:6">
      <c r="A688" s="83">
        <v>43586</v>
      </c>
      <c r="B688" t="s">
        <v>20</v>
      </c>
      <c r="C688" t="s">
        <v>24</v>
      </c>
      <c r="D688" t="s">
        <v>22</v>
      </c>
      <c r="E688">
        <v>868</v>
      </c>
      <c r="F688">
        <f t="shared" si="13"/>
        <v>7</v>
      </c>
    </row>
    <row r="689" spans="1:6">
      <c r="A689" s="83">
        <v>43586</v>
      </c>
      <c r="B689" t="s">
        <v>20</v>
      </c>
      <c r="C689" t="s">
        <v>24</v>
      </c>
      <c r="D689" t="s">
        <v>22</v>
      </c>
      <c r="E689">
        <v>34</v>
      </c>
      <c r="F689">
        <f t="shared" si="13"/>
        <v>7</v>
      </c>
    </row>
    <row r="690" spans="1:6">
      <c r="A690" s="83">
        <v>43617</v>
      </c>
      <c r="B690" t="s">
        <v>20</v>
      </c>
      <c r="C690" t="s">
        <v>21</v>
      </c>
      <c r="D690" t="s">
        <v>23</v>
      </c>
      <c r="E690">
        <v>248</v>
      </c>
      <c r="F690">
        <f t="shared" si="13"/>
        <v>3</v>
      </c>
    </row>
    <row r="691" spans="1:6">
      <c r="A691" s="83">
        <v>43617</v>
      </c>
      <c r="B691" t="s">
        <v>20</v>
      </c>
      <c r="C691" t="s">
        <v>21</v>
      </c>
      <c r="D691" t="s">
        <v>26</v>
      </c>
      <c r="E691">
        <v>383</v>
      </c>
      <c r="F691">
        <f t="shared" si="13"/>
        <v>5</v>
      </c>
    </row>
    <row r="692" spans="1:6">
      <c r="A692" s="83">
        <v>43617</v>
      </c>
      <c r="B692" t="s">
        <v>20</v>
      </c>
      <c r="C692" t="s">
        <v>24</v>
      </c>
      <c r="D692" t="s">
        <v>26</v>
      </c>
      <c r="E692">
        <v>1596</v>
      </c>
      <c r="F692">
        <f t="shared" si="13"/>
        <v>5</v>
      </c>
    </row>
    <row r="693" spans="1:6">
      <c r="A693" s="83">
        <v>43617</v>
      </c>
      <c r="B693" t="s">
        <v>20</v>
      </c>
      <c r="C693" t="s">
        <v>24</v>
      </c>
      <c r="D693" t="s">
        <v>22</v>
      </c>
      <c r="E693">
        <v>34</v>
      </c>
      <c r="F693">
        <f t="shared" si="13"/>
        <v>7</v>
      </c>
    </row>
    <row r="694" spans="1:6">
      <c r="A694" s="83">
        <v>43647</v>
      </c>
      <c r="B694" t="s">
        <v>20</v>
      </c>
      <c r="C694" t="s">
        <v>21</v>
      </c>
      <c r="D694" t="s">
        <v>26</v>
      </c>
      <c r="E694">
        <v>220</v>
      </c>
      <c r="F694">
        <f t="shared" si="13"/>
        <v>5</v>
      </c>
    </row>
    <row r="695" spans="1:6">
      <c r="A695" s="83">
        <v>43647</v>
      </c>
      <c r="B695" t="s">
        <v>20</v>
      </c>
      <c r="C695" t="s">
        <v>21</v>
      </c>
      <c r="D695" t="s">
        <v>23</v>
      </c>
      <c r="E695">
        <v>203</v>
      </c>
      <c r="F695">
        <f t="shared" si="13"/>
        <v>3</v>
      </c>
    </row>
    <row r="696" spans="1:6">
      <c r="A696" s="83">
        <v>43647</v>
      </c>
      <c r="B696" t="s">
        <v>20</v>
      </c>
      <c r="C696" t="s">
        <v>24</v>
      </c>
      <c r="D696" t="s">
        <v>26</v>
      </c>
      <c r="E696">
        <v>655</v>
      </c>
      <c r="F696">
        <f t="shared" si="13"/>
        <v>5</v>
      </c>
    </row>
    <row r="697" spans="1:6">
      <c r="A697" s="83">
        <v>43647</v>
      </c>
      <c r="B697" t="s">
        <v>20</v>
      </c>
      <c r="C697" t="s">
        <v>24</v>
      </c>
      <c r="D697" t="s">
        <v>22</v>
      </c>
      <c r="E697">
        <v>56</v>
      </c>
      <c r="F697">
        <f t="shared" si="13"/>
        <v>7</v>
      </c>
    </row>
    <row r="698" spans="1:6">
      <c r="A698" s="83">
        <v>43678</v>
      </c>
      <c r="B698" t="s">
        <v>20</v>
      </c>
      <c r="C698" t="s">
        <v>21</v>
      </c>
      <c r="D698" t="s">
        <v>23</v>
      </c>
      <c r="E698">
        <v>248</v>
      </c>
      <c r="F698">
        <f t="shared" si="13"/>
        <v>3</v>
      </c>
    </row>
    <row r="699" spans="1:6">
      <c r="A699" s="83">
        <v>43678</v>
      </c>
      <c r="B699" t="s">
        <v>20</v>
      </c>
      <c r="C699" t="s">
        <v>21</v>
      </c>
      <c r="D699" t="s">
        <v>26</v>
      </c>
      <c r="E699">
        <v>383</v>
      </c>
      <c r="F699">
        <f t="shared" si="13"/>
        <v>5</v>
      </c>
    </row>
    <row r="700" spans="1:6">
      <c r="A700" s="83">
        <v>43678</v>
      </c>
      <c r="B700" t="s">
        <v>20</v>
      </c>
      <c r="C700" t="s">
        <v>24</v>
      </c>
      <c r="D700" t="s">
        <v>23</v>
      </c>
      <c r="E700">
        <v>2003</v>
      </c>
      <c r="F700">
        <f t="shared" si="13"/>
        <v>3</v>
      </c>
    </row>
    <row r="701" spans="1:6">
      <c r="A701" s="83">
        <v>43678</v>
      </c>
      <c r="B701" t="s">
        <v>20</v>
      </c>
      <c r="C701" t="s">
        <v>24</v>
      </c>
      <c r="D701" t="s">
        <v>23</v>
      </c>
      <c r="E701">
        <v>68</v>
      </c>
      <c r="F701">
        <f t="shared" si="13"/>
        <v>3</v>
      </c>
    </row>
    <row r="702" spans="1:6">
      <c r="A702" s="83">
        <v>43709</v>
      </c>
      <c r="B702" t="s">
        <v>20</v>
      </c>
      <c r="C702" t="s">
        <v>21</v>
      </c>
      <c r="D702" t="s">
        <v>22</v>
      </c>
      <c r="E702">
        <v>220</v>
      </c>
      <c r="F702">
        <f t="shared" si="13"/>
        <v>7</v>
      </c>
    </row>
    <row r="703" spans="1:6">
      <c r="A703" s="83">
        <v>43709</v>
      </c>
      <c r="B703" t="s">
        <v>20</v>
      </c>
      <c r="C703" t="s">
        <v>21</v>
      </c>
      <c r="D703" t="s">
        <v>22</v>
      </c>
      <c r="E703">
        <v>428</v>
      </c>
      <c r="F703">
        <f t="shared" si="13"/>
        <v>7</v>
      </c>
    </row>
    <row r="704" spans="1:6">
      <c r="A704" s="83">
        <v>43709</v>
      </c>
      <c r="B704" t="s">
        <v>20</v>
      </c>
      <c r="C704" t="s">
        <v>24</v>
      </c>
      <c r="D704" t="s">
        <v>23</v>
      </c>
      <c r="E704">
        <v>3148</v>
      </c>
      <c r="F704">
        <f t="shared" si="13"/>
        <v>3</v>
      </c>
    </row>
    <row r="705" spans="1:6">
      <c r="A705" s="83">
        <v>43709</v>
      </c>
      <c r="B705" t="s">
        <v>20</v>
      </c>
      <c r="C705" t="s">
        <v>24</v>
      </c>
      <c r="D705" t="s">
        <v>23</v>
      </c>
      <c r="E705">
        <v>68</v>
      </c>
      <c r="F705">
        <f t="shared" si="13"/>
        <v>3</v>
      </c>
    </row>
    <row r="706" spans="1:6">
      <c r="A706" s="83">
        <v>43739</v>
      </c>
      <c r="B706" t="s">
        <v>20</v>
      </c>
      <c r="C706" t="s">
        <v>21</v>
      </c>
      <c r="D706" t="s">
        <v>22</v>
      </c>
      <c r="E706">
        <v>385</v>
      </c>
      <c r="F706">
        <f t="shared" si="13"/>
        <v>7</v>
      </c>
    </row>
    <row r="707" spans="1:6">
      <c r="A707" s="83">
        <v>43739</v>
      </c>
      <c r="B707" t="s">
        <v>20</v>
      </c>
      <c r="C707" t="s">
        <v>21</v>
      </c>
      <c r="D707" t="s">
        <v>22</v>
      </c>
      <c r="E707">
        <v>450</v>
      </c>
      <c r="F707">
        <f t="shared" ref="F707:F770" si="14">LEN(D707)</f>
        <v>7</v>
      </c>
    </row>
    <row r="708" spans="1:6">
      <c r="A708" s="83">
        <v>43739</v>
      </c>
      <c r="B708" t="s">
        <v>20</v>
      </c>
      <c r="C708" t="s">
        <v>24</v>
      </c>
      <c r="D708" t="s">
        <v>23</v>
      </c>
      <c r="E708">
        <v>2914</v>
      </c>
      <c r="F708">
        <f t="shared" si="14"/>
        <v>3</v>
      </c>
    </row>
    <row r="709" spans="1:6">
      <c r="A709" s="83">
        <v>43739</v>
      </c>
      <c r="B709" t="s">
        <v>20</v>
      </c>
      <c r="C709" t="s">
        <v>24</v>
      </c>
      <c r="D709" t="s">
        <v>22</v>
      </c>
      <c r="E709">
        <v>79</v>
      </c>
      <c r="F709">
        <f t="shared" si="14"/>
        <v>7</v>
      </c>
    </row>
    <row r="710" spans="1:6">
      <c r="A710" s="83">
        <v>43770</v>
      </c>
      <c r="B710" t="s">
        <v>20</v>
      </c>
      <c r="C710" t="s">
        <v>21</v>
      </c>
      <c r="D710" t="s">
        <v>26</v>
      </c>
      <c r="E710">
        <v>330</v>
      </c>
      <c r="F710">
        <f t="shared" si="14"/>
        <v>5</v>
      </c>
    </row>
    <row r="711" spans="1:6">
      <c r="A711" s="83">
        <v>43770</v>
      </c>
      <c r="B711" t="s">
        <v>20</v>
      </c>
      <c r="C711" t="s">
        <v>21</v>
      </c>
      <c r="D711" t="s">
        <v>23</v>
      </c>
      <c r="E711">
        <v>248</v>
      </c>
      <c r="F711">
        <f t="shared" si="14"/>
        <v>3</v>
      </c>
    </row>
    <row r="712" spans="1:6">
      <c r="A712" s="83">
        <v>43770</v>
      </c>
      <c r="B712" t="s">
        <v>20</v>
      </c>
      <c r="C712" t="s">
        <v>24</v>
      </c>
      <c r="D712" t="s">
        <v>22</v>
      </c>
      <c r="E712">
        <v>2455</v>
      </c>
      <c r="F712">
        <f t="shared" si="14"/>
        <v>7</v>
      </c>
    </row>
    <row r="713" spans="1:6">
      <c r="A713" s="83">
        <v>43770</v>
      </c>
      <c r="B713" t="s">
        <v>20</v>
      </c>
      <c r="C713" t="s">
        <v>24</v>
      </c>
      <c r="D713" t="s">
        <v>26</v>
      </c>
      <c r="E713">
        <v>90</v>
      </c>
      <c r="F713">
        <f t="shared" si="14"/>
        <v>5</v>
      </c>
    </row>
    <row r="714" spans="1:6">
      <c r="A714" s="83">
        <v>43800</v>
      </c>
      <c r="B714" t="s">
        <v>20</v>
      </c>
      <c r="C714" t="s">
        <v>21</v>
      </c>
      <c r="D714" t="s">
        <v>22</v>
      </c>
      <c r="E714">
        <v>523</v>
      </c>
      <c r="F714">
        <f t="shared" si="14"/>
        <v>7</v>
      </c>
    </row>
    <row r="715" spans="1:6">
      <c r="A715" s="83">
        <v>43800</v>
      </c>
      <c r="B715" t="s">
        <v>20</v>
      </c>
      <c r="C715" t="s">
        <v>21</v>
      </c>
      <c r="D715" t="s">
        <v>23</v>
      </c>
      <c r="E715">
        <v>225</v>
      </c>
      <c r="F715">
        <f t="shared" si="14"/>
        <v>3</v>
      </c>
    </row>
    <row r="716" spans="1:6">
      <c r="A716" s="83">
        <v>43800</v>
      </c>
      <c r="B716" t="s">
        <v>20</v>
      </c>
      <c r="C716" t="s">
        <v>24</v>
      </c>
      <c r="D716" t="s">
        <v>26</v>
      </c>
      <c r="E716">
        <v>3873</v>
      </c>
      <c r="F716">
        <f t="shared" si="14"/>
        <v>5</v>
      </c>
    </row>
    <row r="717" spans="1:6">
      <c r="A717" s="83">
        <v>43800</v>
      </c>
      <c r="B717" t="s">
        <v>20</v>
      </c>
      <c r="C717" t="s">
        <v>24</v>
      </c>
      <c r="D717" t="s">
        <v>26</v>
      </c>
      <c r="E717">
        <v>113</v>
      </c>
      <c r="F717">
        <f t="shared" si="14"/>
        <v>5</v>
      </c>
    </row>
    <row r="718" spans="1:6">
      <c r="A718" s="83">
        <v>42795</v>
      </c>
      <c r="B718" t="s">
        <v>20</v>
      </c>
      <c r="C718" t="s">
        <v>24</v>
      </c>
      <c r="D718" t="s">
        <v>23</v>
      </c>
      <c r="E718">
        <v>61</v>
      </c>
      <c r="F718">
        <f t="shared" si="14"/>
        <v>3</v>
      </c>
    </row>
    <row r="719" spans="1:6">
      <c r="A719" s="83">
        <v>42795</v>
      </c>
      <c r="B719" t="s">
        <v>20</v>
      </c>
      <c r="C719" t="s">
        <v>24</v>
      </c>
      <c r="D719" t="s">
        <v>26</v>
      </c>
      <c r="E719">
        <v>101</v>
      </c>
      <c r="F719">
        <f t="shared" si="14"/>
        <v>5</v>
      </c>
    </row>
    <row r="720" spans="1:6">
      <c r="A720" s="83">
        <v>42826</v>
      </c>
      <c r="B720" t="s">
        <v>20</v>
      </c>
      <c r="C720" t="s">
        <v>24</v>
      </c>
      <c r="D720" t="s">
        <v>26</v>
      </c>
      <c r="E720">
        <v>44</v>
      </c>
      <c r="F720">
        <f t="shared" si="14"/>
        <v>5</v>
      </c>
    </row>
    <row r="721" spans="1:6">
      <c r="A721" s="83">
        <v>42826</v>
      </c>
      <c r="B721" t="s">
        <v>20</v>
      </c>
      <c r="C721" t="s">
        <v>24</v>
      </c>
      <c r="D721" t="s">
        <v>23</v>
      </c>
      <c r="E721">
        <v>113</v>
      </c>
      <c r="F721">
        <f t="shared" si="14"/>
        <v>3</v>
      </c>
    </row>
    <row r="722" spans="1:6">
      <c r="A722" s="83">
        <v>42856</v>
      </c>
      <c r="B722" t="s">
        <v>20</v>
      </c>
      <c r="C722" t="s">
        <v>24</v>
      </c>
      <c r="D722" t="s">
        <v>26</v>
      </c>
      <c r="E722">
        <v>53</v>
      </c>
      <c r="F722">
        <f t="shared" si="14"/>
        <v>5</v>
      </c>
    </row>
    <row r="723" spans="1:6">
      <c r="A723" s="83">
        <v>42856</v>
      </c>
      <c r="B723" t="s">
        <v>20</v>
      </c>
      <c r="C723" t="s">
        <v>24</v>
      </c>
      <c r="D723" t="s">
        <v>26</v>
      </c>
      <c r="E723">
        <v>79</v>
      </c>
      <c r="F723">
        <f t="shared" si="14"/>
        <v>5</v>
      </c>
    </row>
    <row r="724" spans="1:6">
      <c r="A724" s="83">
        <v>42887</v>
      </c>
      <c r="B724" t="s">
        <v>20</v>
      </c>
      <c r="C724" t="s">
        <v>24</v>
      </c>
      <c r="D724" t="s">
        <v>23</v>
      </c>
      <c r="E724">
        <v>53</v>
      </c>
      <c r="F724">
        <f t="shared" si="14"/>
        <v>3</v>
      </c>
    </row>
    <row r="725" spans="1:6">
      <c r="A725" s="83">
        <v>42887</v>
      </c>
      <c r="B725" t="s">
        <v>20</v>
      </c>
      <c r="C725" t="s">
        <v>24</v>
      </c>
      <c r="D725" t="s">
        <v>22</v>
      </c>
      <c r="E725">
        <v>113</v>
      </c>
      <c r="F725">
        <f t="shared" si="14"/>
        <v>7</v>
      </c>
    </row>
    <row r="726" spans="1:6">
      <c r="A726" s="83">
        <v>42917</v>
      </c>
      <c r="B726" t="s">
        <v>20</v>
      </c>
      <c r="C726" t="s">
        <v>21</v>
      </c>
      <c r="D726" t="s">
        <v>26</v>
      </c>
      <c r="E726">
        <v>298</v>
      </c>
      <c r="F726">
        <f t="shared" si="14"/>
        <v>5</v>
      </c>
    </row>
    <row r="727" spans="1:6">
      <c r="A727" s="83">
        <v>42917</v>
      </c>
      <c r="B727" t="s">
        <v>20</v>
      </c>
      <c r="C727" t="s">
        <v>21</v>
      </c>
      <c r="D727" t="s">
        <v>26</v>
      </c>
      <c r="E727">
        <v>473</v>
      </c>
      <c r="F727">
        <f t="shared" si="14"/>
        <v>5</v>
      </c>
    </row>
    <row r="728" spans="1:6">
      <c r="A728" s="83">
        <v>42917</v>
      </c>
      <c r="B728" t="s">
        <v>20</v>
      </c>
      <c r="C728" t="s">
        <v>24</v>
      </c>
      <c r="D728" t="s">
        <v>22</v>
      </c>
      <c r="E728">
        <v>61</v>
      </c>
      <c r="F728">
        <f t="shared" si="14"/>
        <v>7</v>
      </c>
    </row>
    <row r="729" spans="1:6">
      <c r="A729" s="83">
        <v>42917</v>
      </c>
      <c r="B729" t="s">
        <v>20</v>
      </c>
      <c r="C729" t="s">
        <v>24</v>
      </c>
      <c r="D729" t="s">
        <v>23</v>
      </c>
      <c r="E729">
        <v>135</v>
      </c>
      <c r="F729">
        <f t="shared" si="14"/>
        <v>3</v>
      </c>
    </row>
    <row r="730" spans="1:6">
      <c r="A730" s="83">
        <v>42948</v>
      </c>
      <c r="B730" t="s">
        <v>20</v>
      </c>
      <c r="C730" t="s">
        <v>21</v>
      </c>
      <c r="D730" t="s">
        <v>23</v>
      </c>
      <c r="E730">
        <v>525</v>
      </c>
      <c r="F730">
        <f t="shared" si="14"/>
        <v>3</v>
      </c>
    </row>
    <row r="731" spans="1:6">
      <c r="A731" s="83">
        <v>42948</v>
      </c>
      <c r="B731" t="s">
        <v>20</v>
      </c>
      <c r="C731" t="s">
        <v>21</v>
      </c>
      <c r="D731" t="s">
        <v>26</v>
      </c>
      <c r="E731">
        <v>495</v>
      </c>
      <c r="F731">
        <f t="shared" si="14"/>
        <v>5</v>
      </c>
    </row>
    <row r="732" spans="1:6">
      <c r="A732" s="83">
        <v>42948</v>
      </c>
      <c r="B732" t="s">
        <v>20</v>
      </c>
      <c r="C732" t="s">
        <v>24</v>
      </c>
      <c r="D732" t="s">
        <v>23</v>
      </c>
      <c r="E732">
        <v>70</v>
      </c>
      <c r="F732">
        <f t="shared" si="14"/>
        <v>3</v>
      </c>
    </row>
    <row r="733" spans="1:6">
      <c r="A733" s="83">
        <v>42948</v>
      </c>
      <c r="B733" t="s">
        <v>20</v>
      </c>
      <c r="C733" t="s">
        <v>24</v>
      </c>
      <c r="D733" t="s">
        <v>22</v>
      </c>
      <c r="E733">
        <v>158</v>
      </c>
      <c r="F733">
        <f t="shared" si="14"/>
        <v>7</v>
      </c>
    </row>
    <row r="734" spans="1:6">
      <c r="A734" s="83">
        <v>42979</v>
      </c>
      <c r="B734" t="s">
        <v>20</v>
      </c>
      <c r="C734" t="s">
        <v>21</v>
      </c>
      <c r="D734" t="s">
        <v>23</v>
      </c>
      <c r="E734">
        <v>710</v>
      </c>
      <c r="F734">
        <f t="shared" si="14"/>
        <v>3</v>
      </c>
    </row>
    <row r="735" spans="1:6">
      <c r="A735" s="83">
        <v>42979</v>
      </c>
      <c r="B735" t="s">
        <v>20</v>
      </c>
      <c r="C735" t="s">
        <v>21</v>
      </c>
      <c r="D735" t="s">
        <v>23</v>
      </c>
      <c r="E735">
        <v>113</v>
      </c>
      <c r="F735">
        <f t="shared" si="14"/>
        <v>3</v>
      </c>
    </row>
    <row r="736" spans="1:6">
      <c r="A736" s="83">
        <v>42979</v>
      </c>
      <c r="B736" t="s">
        <v>20</v>
      </c>
      <c r="C736" t="s">
        <v>24</v>
      </c>
      <c r="D736" t="s">
        <v>26</v>
      </c>
      <c r="E736">
        <v>70</v>
      </c>
      <c r="F736">
        <f t="shared" si="14"/>
        <v>5</v>
      </c>
    </row>
    <row r="737" spans="1:6">
      <c r="A737" s="83">
        <v>42979</v>
      </c>
      <c r="B737" t="s">
        <v>20</v>
      </c>
      <c r="C737" t="s">
        <v>24</v>
      </c>
      <c r="D737" t="s">
        <v>23</v>
      </c>
      <c r="E737">
        <v>135</v>
      </c>
      <c r="F737">
        <f t="shared" si="14"/>
        <v>3</v>
      </c>
    </row>
    <row r="738" spans="1:6">
      <c r="A738" s="83">
        <v>43009</v>
      </c>
      <c r="B738" t="s">
        <v>20</v>
      </c>
      <c r="C738" t="s">
        <v>21</v>
      </c>
      <c r="D738" t="s">
        <v>22</v>
      </c>
      <c r="E738">
        <v>683</v>
      </c>
      <c r="F738">
        <f t="shared" si="14"/>
        <v>7</v>
      </c>
    </row>
    <row r="739" spans="1:6">
      <c r="A739" s="83">
        <v>43009</v>
      </c>
      <c r="B739" t="s">
        <v>20</v>
      </c>
      <c r="C739" t="s">
        <v>21</v>
      </c>
      <c r="D739" t="s">
        <v>22</v>
      </c>
      <c r="E739">
        <v>135</v>
      </c>
      <c r="F739">
        <f t="shared" si="14"/>
        <v>7</v>
      </c>
    </row>
    <row r="740" spans="1:6">
      <c r="A740" s="83">
        <v>43009</v>
      </c>
      <c r="B740" t="s">
        <v>20</v>
      </c>
      <c r="C740" t="s">
        <v>24</v>
      </c>
      <c r="D740" t="s">
        <v>26</v>
      </c>
      <c r="E740">
        <v>70</v>
      </c>
      <c r="F740">
        <f t="shared" si="14"/>
        <v>5</v>
      </c>
    </row>
    <row r="741" spans="1:6">
      <c r="A741" s="83">
        <v>43009</v>
      </c>
      <c r="B741" t="s">
        <v>20</v>
      </c>
      <c r="C741" t="s">
        <v>24</v>
      </c>
      <c r="D741" t="s">
        <v>26</v>
      </c>
      <c r="E741">
        <v>124</v>
      </c>
      <c r="F741">
        <f t="shared" si="14"/>
        <v>5</v>
      </c>
    </row>
    <row r="742" spans="1:6">
      <c r="A742" s="83">
        <v>43040</v>
      </c>
      <c r="B742" t="s">
        <v>20</v>
      </c>
      <c r="C742" t="s">
        <v>21</v>
      </c>
      <c r="D742" t="s">
        <v>26</v>
      </c>
      <c r="E742">
        <v>930</v>
      </c>
      <c r="F742">
        <f t="shared" si="14"/>
        <v>5</v>
      </c>
    </row>
    <row r="743" spans="1:6">
      <c r="A743" s="83">
        <v>43040</v>
      </c>
      <c r="B743" t="s">
        <v>20</v>
      </c>
      <c r="C743" t="s">
        <v>21</v>
      </c>
      <c r="D743" t="s">
        <v>26</v>
      </c>
      <c r="E743">
        <v>225</v>
      </c>
      <c r="F743">
        <f t="shared" si="14"/>
        <v>5</v>
      </c>
    </row>
    <row r="744" spans="1:6">
      <c r="A744" s="83">
        <v>43040</v>
      </c>
      <c r="B744" t="s">
        <v>20</v>
      </c>
      <c r="C744" t="s">
        <v>24</v>
      </c>
      <c r="D744" t="s">
        <v>23</v>
      </c>
      <c r="E744">
        <v>79</v>
      </c>
      <c r="F744">
        <f t="shared" si="14"/>
        <v>3</v>
      </c>
    </row>
    <row r="745" spans="1:6">
      <c r="A745" s="83">
        <v>43040</v>
      </c>
      <c r="B745" t="s">
        <v>20</v>
      </c>
      <c r="C745" t="s">
        <v>24</v>
      </c>
      <c r="D745" t="s">
        <v>26</v>
      </c>
      <c r="E745">
        <v>113</v>
      </c>
      <c r="F745">
        <f t="shared" si="14"/>
        <v>5</v>
      </c>
    </row>
    <row r="746" spans="1:6">
      <c r="A746" s="83">
        <v>43070</v>
      </c>
      <c r="B746" t="s">
        <v>20</v>
      </c>
      <c r="C746" t="s">
        <v>21</v>
      </c>
      <c r="D746" t="s">
        <v>22</v>
      </c>
      <c r="E746">
        <v>821</v>
      </c>
      <c r="F746">
        <f t="shared" si="14"/>
        <v>7</v>
      </c>
    </row>
    <row r="747" spans="1:6">
      <c r="A747" s="83">
        <v>43070</v>
      </c>
      <c r="B747" t="s">
        <v>20</v>
      </c>
      <c r="C747" t="s">
        <v>21</v>
      </c>
      <c r="D747" t="s">
        <v>23</v>
      </c>
      <c r="E747">
        <v>338</v>
      </c>
      <c r="F747">
        <f t="shared" si="14"/>
        <v>3</v>
      </c>
    </row>
    <row r="748" spans="1:6">
      <c r="A748" s="83">
        <v>43070</v>
      </c>
      <c r="B748" t="s">
        <v>20</v>
      </c>
      <c r="C748" t="s">
        <v>24</v>
      </c>
      <c r="D748" t="s">
        <v>22</v>
      </c>
      <c r="E748">
        <v>79</v>
      </c>
      <c r="F748">
        <f t="shared" si="14"/>
        <v>7</v>
      </c>
    </row>
    <row r="749" spans="1:6">
      <c r="A749" s="83">
        <v>43070</v>
      </c>
      <c r="B749" t="s">
        <v>20</v>
      </c>
      <c r="C749" t="s">
        <v>24</v>
      </c>
      <c r="D749" t="s">
        <v>26</v>
      </c>
      <c r="E749">
        <v>124</v>
      </c>
      <c r="F749">
        <f t="shared" si="14"/>
        <v>5</v>
      </c>
    </row>
    <row r="750" spans="1:6">
      <c r="A750" s="83">
        <v>43101</v>
      </c>
      <c r="B750" t="s">
        <v>20</v>
      </c>
      <c r="C750" t="s">
        <v>21</v>
      </c>
      <c r="D750" t="s">
        <v>22</v>
      </c>
      <c r="E750">
        <v>158</v>
      </c>
      <c r="F750">
        <f t="shared" si="14"/>
        <v>7</v>
      </c>
    </row>
    <row r="751" spans="1:6">
      <c r="A751" s="83">
        <v>43101</v>
      </c>
      <c r="B751" t="s">
        <v>20</v>
      </c>
      <c r="C751" t="s">
        <v>21</v>
      </c>
      <c r="D751" t="s">
        <v>26</v>
      </c>
      <c r="E751">
        <v>315</v>
      </c>
      <c r="F751">
        <f t="shared" si="14"/>
        <v>5</v>
      </c>
    </row>
    <row r="752" spans="1:6">
      <c r="A752" s="83">
        <v>43101</v>
      </c>
      <c r="B752" t="s">
        <v>20</v>
      </c>
      <c r="C752" t="s">
        <v>24</v>
      </c>
      <c r="D752" t="s">
        <v>23</v>
      </c>
      <c r="E752">
        <v>96</v>
      </c>
      <c r="F752">
        <f t="shared" si="14"/>
        <v>3</v>
      </c>
    </row>
    <row r="753" spans="1:6">
      <c r="A753" s="83">
        <v>43101</v>
      </c>
      <c r="B753" t="s">
        <v>20</v>
      </c>
      <c r="C753" t="s">
        <v>24</v>
      </c>
      <c r="D753" t="s">
        <v>23</v>
      </c>
      <c r="E753">
        <v>135</v>
      </c>
      <c r="F753">
        <f t="shared" si="14"/>
        <v>3</v>
      </c>
    </row>
    <row r="754" spans="1:6">
      <c r="A754" s="83">
        <v>43132</v>
      </c>
      <c r="B754" t="s">
        <v>20</v>
      </c>
      <c r="C754" t="s">
        <v>21</v>
      </c>
      <c r="D754" t="s">
        <v>23</v>
      </c>
      <c r="E754">
        <v>123</v>
      </c>
      <c r="F754">
        <f t="shared" si="14"/>
        <v>3</v>
      </c>
    </row>
    <row r="755" spans="1:6">
      <c r="A755" s="83">
        <v>43132</v>
      </c>
      <c r="B755" t="s">
        <v>20</v>
      </c>
      <c r="C755" t="s">
        <v>21</v>
      </c>
      <c r="D755" t="s">
        <v>26</v>
      </c>
      <c r="E755">
        <v>360</v>
      </c>
      <c r="F755">
        <f t="shared" si="14"/>
        <v>5</v>
      </c>
    </row>
    <row r="756" spans="1:6">
      <c r="A756" s="83">
        <v>43132</v>
      </c>
      <c r="B756" t="s">
        <v>20</v>
      </c>
      <c r="C756" t="s">
        <v>24</v>
      </c>
      <c r="D756" t="s">
        <v>26</v>
      </c>
      <c r="E756">
        <v>105</v>
      </c>
      <c r="F756">
        <f t="shared" si="14"/>
        <v>5</v>
      </c>
    </row>
    <row r="757" spans="1:6">
      <c r="A757" s="83">
        <v>43132</v>
      </c>
      <c r="B757" t="s">
        <v>20</v>
      </c>
      <c r="C757" t="s">
        <v>24</v>
      </c>
      <c r="D757" t="s">
        <v>23</v>
      </c>
      <c r="E757">
        <v>135</v>
      </c>
      <c r="F757">
        <f t="shared" si="14"/>
        <v>3</v>
      </c>
    </row>
    <row r="758" spans="1:6">
      <c r="A758" s="83">
        <v>43160</v>
      </c>
      <c r="B758" t="s">
        <v>20</v>
      </c>
      <c r="C758" t="s">
        <v>21</v>
      </c>
      <c r="D758" t="s">
        <v>23</v>
      </c>
      <c r="E758">
        <v>193</v>
      </c>
      <c r="F758">
        <f t="shared" si="14"/>
        <v>3</v>
      </c>
    </row>
    <row r="759" spans="1:6">
      <c r="A759" s="83">
        <v>43160</v>
      </c>
      <c r="B759" t="s">
        <v>20</v>
      </c>
      <c r="C759" t="s">
        <v>21</v>
      </c>
      <c r="D759" t="s">
        <v>23</v>
      </c>
      <c r="E759">
        <v>338</v>
      </c>
      <c r="F759">
        <f t="shared" si="14"/>
        <v>3</v>
      </c>
    </row>
    <row r="760" spans="1:6">
      <c r="A760" s="83">
        <v>43160</v>
      </c>
      <c r="B760" t="s">
        <v>20</v>
      </c>
      <c r="C760" t="s">
        <v>24</v>
      </c>
      <c r="D760" t="s">
        <v>22</v>
      </c>
      <c r="E760">
        <v>88</v>
      </c>
      <c r="F760">
        <f t="shared" si="14"/>
        <v>7</v>
      </c>
    </row>
    <row r="761" spans="1:6">
      <c r="A761" s="83">
        <v>43160</v>
      </c>
      <c r="B761" t="s">
        <v>20</v>
      </c>
      <c r="C761" t="s">
        <v>24</v>
      </c>
      <c r="D761" t="s">
        <v>22</v>
      </c>
      <c r="E761">
        <v>146</v>
      </c>
      <c r="F761">
        <f t="shared" si="14"/>
        <v>7</v>
      </c>
    </row>
    <row r="762" spans="1:6">
      <c r="A762" s="83">
        <v>43191</v>
      </c>
      <c r="B762" t="s">
        <v>20</v>
      </c>
      <c r="C762" t="s">
        <v>21</v>
      </c>
      <c r="D762" t="s">
        <v>22</v>
      </c>
      <c r="E762">
        <v>175</v>
      </c>
      <c r="F762">
        <f t="shared" si="14"/>
        <v>7</v>
      </c>
    </row>
    <row r="763" spans="1:6">
      <c r="A763" s="83">
        <v>43191</v>
      </c>
      <c r="B763" t="s">
        <v>20</v>
      </c>
      <c r="C763" t="s">
        <v>21</v>
      </c>
      <c r="D763" t="s">
        <v>26</v>
      </c>
      <c r="E763">
        <v>315</v>
      </c>
      <c r="F763">
        <f t="shared" si="14"/>
        <v>5</v>
      </c>
    </row>
    <row r="764" spans="1:6">
      <c r="A764" s="83">
        <v>43191</v>
      </c>
      <c r="B764" t="s">
        <v>20</v>
      </c>
      <c r="C764" t="s">
        <v>24</v>
      </c>
      <c r="D764" t="s">
        <v>22</v>
      </c>
      <c r="E764">
        <v>88</v>
      </c>
      <c r="F764">
        <f t="shared" si="14"/>
        <v>7</v>
      </c>
    </row>
    <row r="765" spans="1:6">
      <c r="A765" s="83">
        <v>43191</v>
      </c>
      <c r="B765" t="s">
        <v>20</v>
      </c>
      <c r="C765" t="s">
        <v>24</v>
      </c>
      <c r="D765" t="s">
        <v>26</v>
      </c>
      <c r="E765">
        <v>146</v>
      </c>
      <c r="F765">
        <f t="shared" si="14"/>
        <v>5</v>
      </c>
    </row>
    <row r="766" spans="1:6">
      <c r="A766" s="83">
        <v>43221</v>
      </c>
      <c r="B766" t="s">
        <v>20</v>
      </c>
      <c r="C766" t="s">
        <v>21</v>
      </c>
      <c r="D766" t="s">
        <v>26</v>
      </c>
      <c r="E766">
        <v>333</v>
      </c>
      <c r="F766">
        <f t="shared" si="14"/>
        <v>5</v>
      </c>
    </row>
    <row r="767" spans="1:6">
      <c r="A767" s="83">
        <v>43221</v>
      </c>
      <c r="B767" t="s">
        <v>20</v>
      </c>
      <c r="C767" t="s">
        <v>21</v>
      </c>
      <c r="D767" t="s">
        <v>26</v>
      </c>
      <c r="E767">
        <v>248</v>
      </c>
      <c r="F767">
        <f t="shared" si="14"/>
        <v>5</v>
      </c>
    </row>
    <row r="768" spans="1:6">
      <c r="A768" s="83">
        <v>43221</v>
      </c>
      <c r="B768" t="s">
        <v>20</v>
      </c>
      <c r="C768" t="s">
        <v>24</v>
      </c>
      <c r="D768" t="s">
        <v>23</v>
      </c>
      <c r="E768">
        <v>96</v>
      </c>
      <c r="F768">
        <f t="shared" si="14"/>
        <v>3</v>
      </c>
    </row>
    <row r="769" spans="1:6">
      <c r="A769" s="83">
        <v>43221</v>
      </c>
      <c r="B769" t="s">
        <v>20</v>
      </c>
      <c r="C769" t="s">
        <v>24</v>
      </c>
      <c r="D769" t="s">
        <v>22</v>
      </c>
      <c r="E769">
        <v>169</v>
      </c>
      <c r="F769">
        <f t="shared" si="14"/>
        <v>7</v>
      </c>
    </row>
    <row r="770" spans="1:6">
      <c r="A770" s="83">
        <v>43252</v>
      </c>
      <c r="B770" t="s">
        <v>20</v>
      </c>
      <c r="C770" t="s">
        <v>21</v>
      </c>
      <c r="D770" t="s">
        <v>26</v>
      </c>
      <c r="E770">
        <v>315</v>
      </c>
      <c r="F770">
        <f t="shared" si="14"/>
        <v>5</v>
      </c>
    </row>
    <row r="771" spans="1:6">
      <c r="A771" s="83">
        <v>43252</v>
      </c>
      <c r="B771" t="s">
        <v>20</v>
      </c>
      <c r="C771" t="s">
        <v>21</v>
      </c>
      <c r="D771" t="s">
        <v>22</v>
      </c>
      <c r="E771">
        <v>293</v>
      </c>
      <c r="F771">
        <f t="shared" ref="F771:F834" si="15">LEN(D771)</f>
        <v>7</v>
      </c>
    </row>
    <row r="772" spans="1:6">
      <c r="A772" s="83">
        <v>43252</v>
      </c>
      <c r="B772" t="s">
        <v>20</v>
      </c>
      <c r="C772" t="s">
        <v>24</v>
      </c>
      <c r="D772" t="s">
        <v>22</v>
      </c>
      <c r="E772">
        <v>96</v>
      </c>
      <c r="F772">
        <f t="shared" si="15"/>
        <v>7</v>
      </c>
    </row>
    <row r="773" spans="1:6">
      <c r="A773" s="83">
        <v>43252</v>
      </c>
      <c r="B773" t="s">
        <v>20</v>
      </c>
      <c r="C773" t="s">
        <v>24</v>
      </c>
      <c r="D773" t="s">
        <v>26</v>
      </c>
      <c r="E773">
        <v>169</v>
      </c>
      <c r="F773">
        <f t="shared" si="15"/>
        <v>5</v>
      </c>
    </row>
    <row r="774" spans="1:6">
      <c r="A774" s="83">
        <v>43282</v>
      </c>
      <c r="B774" t="s">
        <v>20</v>
      </c>
      <c r="C774" t="s">
        <v>21</v>
      </c>
      <c r="D774" t="s">
        <v>22</v>
      </c>
      <c r="E774">
        <v>640</v>
      </c>
      <c r="F774">
        <f t="shared" si="15"/>
        <v>7</v>
      </c>
    </row>
    <row r="775" spans="1:6">
      <c r="A775" s="83">
        <v>43282</v>
      </c>
      <c r="B775" t="s">
        <v>20</v>
      </c>
      <c r="C775" t="s">
        <v>21</v>
      </c>
      <c r="D775" t="s">
        <v>23</v>
      </c>
      <c r="E775">
        <v>477</v>
      </c>
      <c r="F775">
        <f t="shared" si="15"/>
        <v>3</v>
      </c>
    </row>
    <row r="776" spans="1:6">
      <c r="A776" s="83">
        <v>43282</v>
      </c>
      <c r="B776" t="s">
        <v>20</v>
      </c>
      <c r="C776" t="s">
        <v>24</v>
      </c>
      <c r="D776" t="s">
        <v>23</v>
      </c>
      <c r="E776">
        <v>53</v>
      </c>
      <c r="F776">
        <f t="shared" si="15"/>
        <v>3</v>
      </c>
    </row>
    <row r="777" spans="1:6">
      <c r="A777" s="83">
        <v>43282</v>
      </c>
      <c r="B777" t="s">
        <v>20</v>
      </c>
      <c r="C777" t="s">
        <v>24</v>
      </c>
      <c r="D777" t="s">
        <v>23</v>
      </c>
      <c r="E777">
        <v>169</v>
      </c>
      <c r="F777">
        <f t="shared" si="15"/>
        <v>3</v>
      </c>
    </row>
    <row r="778" spans="1:6">
      <c r="A778" s="83">
        <v>43313</v>
      </c>
      <c r="B778" t="s">
        <v>20</v>
      </c>
      <c r="C778" t="s">
        <v>21</v>
      </c>
      <c r="D778" t="s">
        <v>23</v>
      </c>
      <c r="E778">
        <v>834</v>
      </c>
      <c r="F778">
        <f t="shared" si="15"/>
        <v>3</v>
      </c>
    </row>
    <row r="779" spans="1:6">
      <c r="A779" s="83">
        <v>43313</v>
      </c>
      <c r="B779" t="s">
        <v>20</v>
      </c>
      <c r="C779" t="s">
        <v>21</v>
      </c>
      <c r="D779" t="s">
        <v>22</v>
      </c>
      <c r="E779">
        <v>604</v>
      </c>
      <c r="F779">
        <f t="shared" si="15"/>
        <v>7</v>
      </c>
    </row>
    <row r="780" spans="1:6">
      <c r="A780" s="83">
        <v>43313</v>
      </c>
      <c r="B780" t="s">
        <v>20</v>
      </c>
      <c r="C780" t="s">
        <v>24</v>
      </c>
      <c r="D780" t="s">
        <v>23</v>
      </c>
      <c r="E780">
        <v>70</v>
      </c>
      <c r="F780">
        <f t="shared" si="15"/>
        <v>3</v>
      </c>
    </row>
    <row r="781" spans="1:6">
      <c r="A781" s="83">
        <v>43313</v>
      </c>
      <c r="B781" t="s">
        <v>20</v>
      </c>
      <c r="C781" t="s">
        <v>24</v>
      </c>
      <c r="D781" t="s">
        <v>26</v>
      </c>
      <c r="E781">
        <v>180</v>
      </c>
      <c r="F781">
        <f t="shared" si="15"/>
        <v>5</v>
      </c>
    </row>
    <row r="782" spans="1:6">
      <c r="A782" s="83">
        <v>43344</v>
      </c>
      <c r="B782" t="s">
        <v>20</v>
      </c>
      <c r="C782" t="s">
        <v>21</v>
      </c>
      <c r="D782" t="s">
        <v>26</v>
      </c>
      <c r="E782">
        <v>994</v>
      </c>
      <c r="F782">
        <f t="shared" si="15"/>
        <v>5</v>
      </c>
    </row>
    <row r="783" spans="1:6">
      <c r="A783" s="83">
        <v>43344</v>
      </c>
      <c r="B783" t="s">
        <v>20</v>
      </c>
      <c r="C783" t="s">
        <v>21</v>
      </c>
      <c r="D783" t="s">
        <v>22</v>
      </c>
      <c r="E783">
        <v>603</v>
      </c>
      <c r="F783">
        <f t="shared" si="15"/>
        <v>7</v>
      </c>
    </row>
    <row r="784" spans="1:6">
      <c r="A784" s="83">
        <v>43344</v>
      </c>
      <c r="B784" t="s">
        <v>20</v>
      </c>
      <c r="C784" t="s">
        <v>24</v>
      </c>
      <c r="D784" t="s">
        <v>22</v>
      </c>
      <c r="E784">
        <v>96</v>
      </c>
      <c r="F784">
        <f t="shared" si="15"/>
        <v>7</v>
      </c>
    </row>
    <row r="785" spans="1:6">
      <c r="A785" s="83">
        <v>43344</v>
      </c>
      <c r="B785" t="s">
        <v>20</v>
      </c>
      <c r="C785" t="s">
        <v>24</v>
      </c>
      <c r="D785" t="s">
        <v>22</v>
      </c>
      <c r="E785">
        <v>203</v>
      </c>
      <c r="F785">
        <f t="shared" si="15"/>
        <v>7</v>
      </c>
    </row>
    <row r="786" spans="1:6">
      <c r="A786" s="83">
        <v>43374</v>
      </c>
      <c r="B786" t="s">
        <v>20</v>
      </c>
      <c r="C786" t="s">
        <v>21</v>
      </c>
      <c r="D786" t="s">
        <v>23</v>
      </c>
      <c r="E786">
        <v>175</v>
      </c>
      <c r="F786">
        <f t="shared" si="15"/>
        <v>3</v>
      </c>
    </row>
    <row r="787" spans="1:6">
      <c r="A787" s="83">
        <v>43374</v>
      </c>
      <c r="B787" t="s">
        <v>20</v>
      </c>
      <c r="C787" t="s">
        <v>21</v>
      </c>
      <c r="D787" t="s">
        <v>23</v>
      </c>
      <c r="E787">
        <v>739</v>
      </c>
      <c r="F787">
        <f t="shared" si="15"/>
        <v>3</v>
      </c>
    </row>
    <row r="788" spans="1:6">
      <c r="A788" s="83">
        <v>43374</v>
      </c>
      <c r="B788" t="s">
        <v>20</v>
      </c>
      <c r="C788" t="s">
        <v>24</v>
      </c>
      <c r="D788" t="s">
        <v>23</v>
      </c>
      <c r="E788">
        <v>105</v>
      </c>
      <c r="F788">
        <f t="shared" si="15"/>
        <v>3</v>
      </c>
    </row>
    <row r="789" spans="1:6">
      <c r="A789" s="83">
        <v>43374</v>
      </c>
      <c r="B789" t="s">
        <v>20</v>
      </c>
      <c r="C789" t="s">
        <v>24</v>
      </c>
      <c r="D789" t="s">
        <v>22</v>
      </c>
      <c r="E789">
        <v>169</v>
      </c>
      <c r="F789">
        <f t="shared" si="15"/>
        <v>7</v>
      </c>
    </row>
    <row r="790" spans="1:6">
      <c r="A790" s="83">
        <v>43405</v>
      </c>
      <c r="B790" t="s">
        <v>20</v>
      </c>
      <c r="C790" t="s">
        <v>21</v>
      </c>
      <c r="D790" t="s">
        <v>26</v>
      </c>
      <c r="E790">
        <v>140</v>
      </c>
      <c r="F790">
        <f t="shared" si="15"/>
        <v>5</v>
      </c>
    </row>
    <row r="791" spans="1:6">
      <c r="A791" s="83">
        <v>43405</v>
      </c>
      <c r="B791" t="s">
        <v>20</v>
      </c>
      <c r="C791" t="s">
        <v>21</v>
      </c>
      <c r="D791" t="s">
        <v>23</v>
      </c>
      <c r="E791">
        <v>450</v>
      </c>
      <c r="F791">
        <f t="shared" si="15"/>
        <v>3</v>
      </c>
    </row>
    <row r="792" spans="1:6">
      <c r="A792" s="83">
        <v>43405</v>
      </c>
      <c r="B792" t="s">
        <v>20</v>
      </c>
      <c r="C792" t="s">
        <v>24</v>
      </c>
      <c r="D792" t="s">
        <v>26</v>
      </c>
      <c r="E792">
        <v>114</v>
      </c>
      <c r="F792">
        <f t="shared" si="15"/>
        <v>5</v>
      </c>
    </row>
    <row r="793" spans="1:6">
      <c r="A793" s="83">
        <v>43405</v>
      </c>
      <c r="B793" t="s">
        <v>20</v>
      </c>
      <c r="C793" t="s">
        <v>24</v>
      </c>
      <c r="D793" t="s">
        <v>23</v>
      </c>
      <c r="E793">
        <v>169</v>
      </c>
      <c r="F793">
        <f t="shared" si="15"/>
        <v>3</v>
      </c>
    </row>
    <row r="794" spans="1:6">
      <c r="A794" s="83">
        <v>43435</v>
      </c>
      <c r="B794" t="s">
        <v>20</v>
      </c>
      <c r="C794" t="s">
        <v>21</v>
      </c>
      <c r="D794" t="s">
        <v>26</v>
      </c>
      <c r="E794">
        <v>175</v>
      </c>
      <c r="F794">
        <f t="shared" si="15"/>
        <v>5</v>
      </c>
    </row>
    <row r="795" spans="1:6">
      <c r="A795" s="83">
        <v>43435</v>
      </c>
      <c r="B795" t="s">
        <v>20</v>
      </c>
      <c r="C795" t="s">
        <v>21</v>
      </c>
      <c r="D795" t="s">
        <v>22</v>
      </c>
      <c r="E795">
        <v>477</v>
      </c>
      <c r="F795">
        <f t="shared" si="15"/>
        <v>7</v>
      </c>
    </row>
    <row r="796" spans="1:6">
      <c r="A796" s="83">
        <v>43435</v>
      </c>
      <c r="B796" t="s">
        <v>20</v>
      </c>
      <c r="C796" t="s">
        <v>24</v>
      </c>
      <c r="D796" t="s">
        <v>23</v>
      </c>
      <c r="E796">
        <v>105</v>
      </c>
      <c r="F796">
        <f t="shared" si="15"/>
        <v>3</v>
      </c>
    </row>
    <row r="797" spans="1:6">
      <c r="A797" s="83">
        <v>43435</v>
      </c>
      <c r="B797" t="s">
        <v>20</v>
      </c>
      <c r="C797" t="s">
        <v>24</v>
      </c>
      <c r="D797" t="s">
        <v>23</v>
      </c>
      <c r="E797">
        <v>146</v>
      </c>
      <c r="F797">
        <f t="shared" si="15"/>
        <v>3</v>
      </c>
    </row>
    <row r="798" spans="1:6">
      <c r="A798" s="83">
        <v>43466</v>
      </c>
      <c r="B798" t="s">
        <v>20</v>
      </c>
      <c r="C798" t="s">
        <v>21</v>
      </c>
      <c r="D798" t="s">
        <v>26</v>
      </c>
      <c r="E798">
        <v>175</v>
      </c>
      <c r="F798">
        <f t="shared" si="15"/>
        <v>5</v>
      </c>
    </row>
    <row r="799" spans="1:6">
      <c r="A799" s="83">
        <v>43466</v>
      </c>
      <c r="B799" t="s">
        <v>20</v>
      </c>
      <c r="C799" t="s">
        <v>21</v>
      </c>
      <c r="D799" t="s">
        <v>26</v>
      </c>
      <c r="E799">
        <v>630</v>
      </c>
      <c r="F799">
        <f t="shared" si="15"/>
        <v>5</v>
      </c>
    </row>
    <row r="800" spans="1:6">
      <c r="A800" s="83">
        <v>43466</v>
      </c>
      <c r="B800" t="s">
        <v>20</v>
      </c>
      <c r="C800" t="s">
        <v>24</v>
      </c>
      <c r="D800" t="s">
        <v>23</v>
      </c>
      <c r="E800">
        <v>79</v>
      </c>
      <c r="F800">
        <f t="shared" si="15"/>
        <v>3</v>
      </c>
    </row>
    <row r="801" spans="1:6">
      <c r="A801" s="83">
        <v>43466</v>
      </c>
      <c r="B801" t="s">
        <v>20</v>
      </c>
      <c r="C801" t="s">
        <v>24</v>
      </c>
      <c r="D801" t="s">
        <v>22</v>
      </c>
      <c r="E801">
        <v>135</v>
      </c>
      <c r="F801">
        <f t="shared" si="15"/>
        <v>7</v>
      </c>
    </row>
    <row r="802" spans="1:6">
      <c r="A802" s="83">
        <v>43497</v>
      </c>
      <c r="B802" t="s">
        <v>20</v>
      </c>
      <c r="C802" t="s">
        <v>21</v>
      </c>
      <c r="D802" t="s">
        <v>26</v>
      </c>
      <c r="E802">
        <v>193</v>
      </c>
      <c r="F802">
        <f t="shared" si="15"/>
        <v>5</v>
      </c>
    </row>
    <row r="803" spans="1:6">
      <c r="A803" s="83">
        <v>43497</v>
      </c>
      <c r="B803" t="s">
        <v>20</v>
      </c>
      <c r="C803" t="s">
        <v>21</v>
      </c>
      <c r="D803" t="s">
        <v>23</v>
      </c>
      <c r="E803">
        <v>620</v>
      </c>
      <c r="F803">
        <f t="shared" si="15"/>
        <v>3</v>
      </c>
    </row>
    <row r="804" spans="1:6">
      <c r="A804" s="83">
        <v>43497</v>
      </c>
      <c r="B804" t="s">
        <v>20</v>
      </c>
      <c r="C804" t="s">
        <v>24</v>
      </c>
      <c r="D804" t="s">
        <v>26</v>
      </c>
      <c r="E804">
        <v>70</v>
      </c>
      <c r="F804">
        <f t="shared" si="15"/>
        <v>5</v>
      </c>
    </row>
    <row r="805" spans="1:6">
      <c r="A805" s="83">
        <v>43497</v>
      </c>
      <c r="B805" t="s">
        <v>20</v>
      </c>
      <c r="C805" t="s">
        <v>24</v>
      </c>
      <c r="D805" t="s">
        <v>23</v>
      </c>
      <c r="E805">
        <v>90</v>
      </c>
      <c r="F805">
        <f t="shared" si="15"/>
        <v>3</v>
      </c>
    </row>
    <row r="806" spans="1:6">
      <c r="A806" s="83">
        <v>43525</v>
      </c>
      <c r="B806" t="s">
        <v>20</v>
      </c>
      <c r="C806" t="s">
        <v>21</v>
      </c>
      <c r="D806" t="s">
        <v>26</v>
      </c>
      <c r="E806">
        <v>175</v>
      </c>
      <c r="F806">
        <f t="shared" si="15"/>
        <v>5</v>
      </c>
    </row>
    <row r="807" spans="1:6">
      <c r="A807" s="83">
        <v>43525</v>
      </c>
      <c r="B807" t="s">
        <v>20</v>
      </c>
      <c r="C807" t="s">
        <v>21</v>
      </c>
      <c r="D807" t="s">
        <v>23</v>
      </c>
      <c r="E807">
        <v>495</v>
      </c>
      <c r="F807">
        <f t="shared" si="15"/>
        <v>3</v>
      </c>
    </row>
    <row r="808" spans="1:6">
      <c r="A808" s="83">
        <v>43525</v>
      </c>
      <c r="B808" t="s">
        <v>20</v>
      </c>
      <c r="C808" t="s">
        <v>24</v>
      </c>
      <c r="D808" t="s">
        <v>23</v>
      </c>
      <c r="E808">
        <v>79</v>
      </c>
      <c r="F808">
        <f t="shared" si="15"/>
        <v>3</v>
      </c>
    </row>
    <row r="809" spans="1:6">
      <c r="A809" s="83">
        <v>43525</v>
      </c>
      <c r="B809" t="s">
        <v>20</v>
      </c>
      <c r="C809" t="s">
        <v>24</v>
      </c>
      <c r="D809" t="s">
        <v>26</v>
      </c>
      <c r="E809">
        <v>124</v>
      </c>
      <c r="F809">
        <f t="shared" si="15"/>
        <v>5</v>
      </c>
    </row>
    <row r="810" spans="1:6">
      <c r="A810" s="83">
        <v>43556</v>
      </c>
      <c r="B810" t="s">
        <v>20</v>
      </c>
      <c r="C810" t="s">
        <v>21</v>
      </c>
      <c r="D810" t="s">
        <v>26</v>
      </c>
      <c r="E810">
        <v>245</v>
      </c>
      <c r="F810">
        <f t="shared" si="15"/>
        <v>5</v>
      </c>
    </row>
    <row r="811" spans="1:6">
      <c r="A811" s="83">
        <v>43556</v>
      </c>
      <c r="B811" t="s">
        <v>20</v>
      </c>
      <c r="C811" t="s">
        <v>21</v>
      </c>
      <c r="D811" t="s">
        <v>26</v>
      </c>
      <c r="E811">
        <v>495</v>
      </c>
      <c r="F811">
        <f t="shared" si="15"/>
        <v>5</v>
      </c>
    </row>
    <row r="812" spans="1:6">
      <c r="A812" s="83">
        <v>43556</v>
      </c>
      <c r="B812" t="s">
        <v>20</v>
      </c>
      <c r="C812" t="s">
        <v>24</v>
      </c>
      <c r="D812" t="s">
        <v>26</v>
      </c>
      <c r="E812">
        <v>79</v>
      </c>
      <c r="F812">
        <f t="shared" si="15"/>
        <v>5</v>
      </c>
    </row>
    <row r="813" spans="1:6">
      <c r="A813" s="83">
        <v>43556</v>
      </c>
      <c r="B813" t="s">
        <v>20</v>
      </c>
      <c r="C813" t="s">
        <v>24</v>
      </c>
      <c r="D813" t="s">
        <v>22</v>
      </c>
      <c r="E813">
        <v>68</v>
      </c>
      <c r="F813">
        <f t="shared" si="15"/>
        <v>7</v>
      </c>
    </row>
    <row r="814" spans="1:6">
      <c r="A814" s="83">
        <v>43586</v>
      </c>
      <c r="B814" t="s">
        <v>20</v>
      </c>
      <c r="C814" t="s">
        <v>21</v>
      </c>
      <c r="D814" t="s">
        <v>23</v>
      </c>
      <c r="E814">
        <v>298</v>
      </c>
      <c r="F814">
        <f t="shared" si="15"/>
        <v>3</v>
      </c>
    </row>
    <row r="815" spans="1:6">
      <c r="A815" s="83">
        <v>43586</v>
      </c>
      <c r="B815" t="s">
        <v>20</v>
      </c>
      <c r="C815" t="s">
        <v>21</v>
      </c>
      <c r="D815" t="s">
        <v>26</v>
      </c>
      <c r="E815">
        <v>540</v>
      </c>
      <c r="F815">
        <f t="shared" si="15"/>
        <v>5</v>
      </c>
    </row>
    <row r="816" spans="1:6">
      <c r="A816" s="83">
        <v>43586</v>
      </c>
      <c r="B816" t="s">
        <v>20</v>
      </c>
      <c r="C816" t="s">
        <v>24</v>
      </c>
      <c r="D816" t="s">
        <v>23</v>
      </c>
      <c r="E816">
        <v>96</v>
      </c>
      <c r="F816">
        <f t="shared" si="15"/>
        <v>3</v>
      </c>
    </row>
    <row r="817" spans="1:6">
      <c r="A817" s="83">
        <v>43586</v>
      </c>
      <c r="B817" t="s">
        <v>20</v>
      </c>
      <c r="C817" t="s">
        <v>24</v>
      </c>
      <c r="D817" t="s">
        <v>26</v>
      </c>
      <c r="E817">
        <v>45</v>
      </c>
      <c r="F817">
        <f t="shared" si="15"/>
        <v>5</v>
      </c>
    </row>
    <row r="818" spans="1:6">
      <c r="A818" s="83">
        <v>43617</v>
      </c>
      <c r="B818" t="s">
        <v>20</v>
      </c>
      <c r="C818" t="s">
        <v>21</v>
      </c>
      <c r="D818" t="s">
        <v>26</v>
      </c>
      <c r="E818">
        <v>350</v>
      </c>
      <c r="F818">
        <f t="shared" si="15"/>
        <v>5</v>
      </c>
    </row>
    <row r="819" spans="1:6">
      <c r="A819" s="83">
        <v>43617</v>
      </c>
      <c r="B819" t="s">
        <v>20</v>
      </c>
      <c r="C819" t="s">
        <v>21</v>
      </c>
      <c r="D819" t="s">
        <v>22</v>
      </c>
      <c r="E819">
        <v>509</v>
      </c>
      <c r="F819">
        <f t="shared" si="15"/>
        <v>7</v>
      </c>
    </row>
    <row r="820" spans="1:6">
      <c r="A820" s="83">
        <v>43617</v>
      </c>
      <c r="B820" t="s">
        <v>20</v>
      </c>
      <c r="C820" t="s">
        <v>24</v>
      </c>
      <c r="D820" t="s">
        <v>26</v>
      </c>
      <c r="E820">
        <v>79</v>
      </c>
      <c r="F820">
        <f t="shared" si="15"/>
        <v>5</v>
      </c>
    </row>
    <row r="821" spans="1:6">
      <c r="A821" s="83">
        <v>43617</v>
      </c>
      <c r="B821" t="s">
        <v>20</v>
      </c>
      <c r="C821" t="s">
        <v>24</v>
      </c>
      <c r="D821" t="s">
        <v>26</v>
      </c>
      <c r="E821">
        <v>124</v>
      </c>
      <c r="F821">
        <f t="shared" si="15"/>
        <v>5</v>
      </c>
    </row>
    <row r="822" spans="1:6">
      <c r="A822" s="83">
        <v>43647</v>
      </c>
      <c r="B822" t="s">
        <v>20</v>
      </c>
      <c r="C822" t="s">
        <v>21</v>
      </c>
      <c r="D822" t="s">
        <v>26</v>
      </c>
      <c r="E822">
        <v>228</v>
      </c>
      <c r="F822">
        <f t="shared" si="15"/>
        <v>5</v>
      </c>
    </row>
    <row r="823" spans="1:6">
      <c r="A823" s="83">
        <v>43647</v>
      </c>
      <c r="B823" t="s">
        <v>20</v>
      </c>
      <c r="C823" t="s">
        <v>21</v>
      </c>
      <c r="D823" t="s">
        <v>26</v>
      </c>
      <c r="E823">
        <v>620</v>
      </c>
      <c r="F823">
        <f t="shared" si="15"/>
        <v>5</v>
      </c>
    </row>
    <row r="824" spans="1:6">
      <c r="A824" s="83">
        <v>43647</v>
      </c>
      <c r="B824" t="s">
        <v>20</v>
      </c>
      <c r="C824" t="s">
        <v>24</v>
      </c>
      <c r="D824" t="s">
        <v>22</v>
      </c>
      <c r="E824">
        <v>88</v>
      </c>
      <c r="F824">
        <f t="shared" si="15"/>
        <v>7</v>
      </c>
    </row>
    <row r="825" spans="1:6">
      <c r="A825" s="83">
        <v>43647</v>
      </c>
      <c r="B825" t="s">
        <v>20</v>
      </c>
      <c r="C825" t="s">
        <v>24</v>
      </c>
      <c r="D825" t="s">
        <v>23</v>
      </c>
      <c r="E825">
        <v>146</v>
      </c>
      <c r="F825">
        <f t="shared" si="15"/>
        <v>3</v>
      </c>
    </row>
    <row r="826" spans="1:6">
      <c r="A826" s="83">
        <v>43678</v>
      </c>
      <c r="B826" t="s">
        <v>20</v>
      </c>
      <c r="C826" t="s">
        <v>21</v>
      </c>
      <c r="D826" t="s">
        <v>26</v>
      </c>
      <c r="E826">
        <v>263</v>
      </c>
      <c r="F826">
        <f t="shared" si="15"/>
        <v>5</v>
      </c>
    </row>
    <row r="827" spans="1:6">
      <c r="A827" s="83">
        <v>43678</v>
      </c>
      <c r="B827" t="s">
        <v>20</v>
      </c>
      <c r="C827" t="s">
        <v>21</v>
      </c>
      <c r="D827" t="s">
        <v>23</v>
      </c>
      <c r="E827">
        <v>770</v>
      </c>
      <c r="F827">
        <f t="shared" si="15"/>
        <v>3</v>
      </c>
    </row>
    <row r="828" spans="1:6">
      <c r="A828" s="83">
        <v>43678</v>
      </c>
      <c r="B828" t="s">
        <v>20</v>
      </c>
      <c r="C828" t="s">
        <v>24</v>
      </c>
      <c r="D828" t="s">
        <v>23</v>
      </c>
      <c r="E828">
        <v>114</v>
      </c>
      <c r="F828">
        <f t="shared" si="15"/>
        <v>3</v>
      </c>
    </row>
    <row r="829" spans="1:6">
      <c r="A829" s="83">
        <v>43678</v>
      </c>
      <c r="B829" t="s">
        <v>20</v>
      </c>
      <c r="C829" t="s">
        <v>24</v>
      </c>
      <c r="D829" t="s">
        <v>26</v>
      </c>
      <c r="E829">
        <v>124</v>
      </c>
      <c r="F829">
        <f t="shared" si="15"/>
        <v>5</v>
      </c>
    </row>
    <row r="830" spans="1:6">
      <c r="A830" s="83">
        <v>43709</v>
      </c>
      <c r="B830" t="s">
        <v>20</v>
      </c>
      <c r="C830" t="s">
        <v>21</v>
      </c>
      <c r="D830" t="s">
        <v>26</v>
      </c>
      <c r="E830">
        <v>368</v>
      </c>
      <c r="F830">
        <f t="shared" si="15"/>
        <v>5</v>
      </c>
    </row>
    <row r="831" spans="1:6">
      <c r="A831" s="83">
        <v>43709</v>
      </c>
      <c r="B831" t="s">
        <v>20</v>
      </c>
      <c r="C831" t="s">
        <v>21</v>
      </c>
      <c r="D831" t="s">
        <v>26</v>
      </c>
      <c r="E831">
        <v>858</v>
      </c>
      <c r="F831">
        <f t="shared" si="15"/>
        <v>5</v>
      </c>
    </row>
    <row r="832" spans="1:6">
      <c r="A832" s="83">
        <v>43709</v>
      </c>
      <c r="B832" t="s">
        <v>20</v>
      </c>
      <c r="C832" t="s">
        <v>24</v>
      </c>
      <c r="D832" t="s">
        <v>26</v>
      </c>
      <c r="E832">
        <v>88</v>
      </c>
      <c r="F832">
        <f t="shared" si="15"/>
        <v>5</v>
      </c>
    </row>
    <row r="833" spans="1:6">
      <c r="A833" s="83">
        <v>43709</v>
      </c>
      <c r="B833" t="s">
        <v>20</v>
      </c>
      <c r="C833" t="s">
        <v>24</v>
      </c>
      <c r="D833" t="s">
        <v>26</v>
      </c>
      <c r="E833">
        <v>135</v>
      </c>
      <c r="F833">
        <f t="shared" si="15"/>
        <v>5</v>
      </c>
    </row>
    <row r="834" spans="1:6">
      <c r="A834" s="83">
        <v>43739</v>
      </c>
      <c r="B834" t="s">
        <v>20</v>
      </c>
      <c r="C834" t="s">
        <v>21</v>
      </c>
      <c r="D834" t="s">
        <v>26</v>
      </c>
      <c r="E834">
        <v>394</v>
      </c>
      <c r="F834">
        <f t="shared" si="15"/>
        <v>5</v>
      </c>
    </row>
    <row r="835" spans="1:6">
      <c r="A835" s="83">
        <v>43739</v>
      </c>
      <c r="B835" t="s">
        <v>20</v>
      </c>
      <c r="C835" t="s">
        <v>21</v>
      </c>
      <c r="D835" t="s">
        <v>22</v>
      </c>
      <c r="E835">
        <v>918</v>
      </c>
      <c r="F835">
        <f t="shared" ref="F835:F898" si="16">LEN(D835)</f>
        <v>7</v>
      </c>
    </row>
    <row r="836" spans="1:6">
      <c r="A836" s="83">
        <v>43739</v>
      </c>
      <c r="B836" t="s">
        <v>20</v>
      </c>
      <c r="C836" t="s">
        <v>24</v>
      </c>
      <c r="D836" t="s">
        <v>22</v>
      </c>
      <c r="E836">
        <v>96</v>
      </c>
      <c r="F836">
        <f t="shared" si="16"/>
        <v>7</v>
      </c>
    </row>
    <row r="837" spans="1:6">
      <c r="A837" s="83">
        <v>43739</v>
      </c>
      <c r="B837" t="s">
        <v>20</v>
      </c>
      <c r="C837" t="s">
        <v>24</v>
      </c>
      <c r="D837" t="s">
        <v>23</v>
      </c>
      <c r="E837">
        <v>146</v>
      </c>
      <c r="F837">
        <f t="shared" si="16"/>
        <v>3</v>
      </c>
    </row>
    <row r="838" spans="1:6">
      <c r="A838" s="83">
        <v>43770</v>
      </c>
      <c r="B838" t="s">
        <v>20</v>
      </c>
      <c r="C838" t="s">
        <v>21</v>
      </c>
      <c r="D838" t="s">
        <v>26</v>
      </c>
      <c r="E838">
        <v>333</v>
      </c>
      <c r="F838">
        <f t="shared" si="16"/>
        <v>5</v>
      </c>
    </row>
    <row r="839" spans="1:6">
      <c r="A839" s="83">
        <v>43770</v>
      </c>
      <c r="B839" t="s">
        <v>20</v>
      </c>
      <c r="C839" t="s">
        <v>21</v>
      </c>
      <c r="D839" t="s">
        <v>26</v>
      </c>
      <c r="E839">
        <v>816</v>
      </c>
      <c r="F839">
        <f t="shared" si="16"/>
        <v>5</v>
      </c>
    </row>
    <row r="840" spans="1:6">
      <c r="A840" s="83">
        <v>43770</v>
      </c>
      <c r="B840" t="s">
        <v>20</v>
      </c>
      <c r="C840" t="s">
        <v>24</v>
      </c>
      <c r="D840" t="s">
        <v>26</v>
      </c>
      <c r="E840">
        <v>79</v>
      </c>
      <c r="F840">
        <f t="shared" si="16"/>
        <v>5</v>
      </c>
    </row>
    <row r="841" spans="1:6">
      <c r="A841" s="83">
        <v>43770</v>
      </c>
      <c r="B841" t="s">
        <v>20</v>
      </c>
      <c r="C841" t="s">
        <v>24</v>
      </c>
      <c r="D841" t="s">
        <v>26</v>
      </c>
      <c r="E841">
        <v>146</v>
      </c>
      <c r="F841">
        <f t="shared" si="16"/>
        <v>5</v>
      </c>
    </row>
    <row r="842" spans="1:6">
      <c r="A842" s="83">
        <v>43800</v>
      </c>
      <c r="B842" t="s">
        <v>20</v>
      </c>
      <c r="C842" t="s">
        <v>21</v>
      </c>
      <c r="D842" t="s">
        <v>23</v>
      </c>
      <c r="E842">
        <v>333</v>
      </c>
      <c r="F842">
        <f t="shared" si="16"/>
        <v>3</v>
      </c>
    </row>
    <row r="843" spans="1:6">
      <c r="A843" s="83">
        <v>43800</v>
      </c>
      <c r="B843" t="s">
        <v>20</v>
      </c>
      <c r="C843" t="s">
        <v>21</v>
      </c>
      <c r="D843" t="s">
        <v>26</v>
      </c>
      <c r="E843">
        <v>995</v>
      </c>
      <c r="F843">
        <f t="shared" si="16"/>
        <v>5</v>
      </c>
    </row>
    <row r="844" spans="1:6">
      <c r="A844" s="83">
        <v>43800</v>
      </c>
      <c r="B844" t="s">
        <v>20</v>
      </c>
      <c r="C844" t="s">
        <v>24</v>
      </c>
      <c r="D844" t="s">
        <v>23</v>
      </c>
      <c r="E844">
        <v>70</v>
      </c>
      <c r="F844">
        <f t="shared" si="16"/>
        <v>3</v>
      </c>
    </row>
    <row r="845" spans="1:6">
      <c r="A845" s="83">
        <v>43800</v>
      </c>
      <c r="B845" t="s">
        <v>20</v>
      </c>
      <c r="C845" t="s">
        <v>24</v>
      </c>
      <c r="D845" t="s">
        <v>23</v>
      </c>
      <c r="E845">
        <v>158</v>
      </c>
      <c r="F845">
        <f t="shared" si="16"/>
        <v>3</v>
      </c>
    </row>
    <row r="846" spans="1:6">
      <c r="A846" s="83">
        <v>43586</v>
      </c>
      <c r="B846" t="s">
        <v>29</v>
      </c>
      <c r="C846" t="s">
        <v>24</v>
      </c>
      <c r="D846" t="s">
        <v>23</v>
      </c>
      <c r="E846">
        <v>210</v>
      </c>
      <c r="F846">
        <f t="shared" si="16"/>
        <v>3</v>
      </c>
    </row>
    <row r="847" spans="1:6">
      <c r="A847" s="83">
        <v>43586</v>
      </c>
      <c r="B847" t="s">
        <v>29</v>
      </c>
      <c r="C847" t="s">
        <v>24</v>
      </c>
      <c r="D847" t="s">
        <v>26</v>
      </c>
      <c r="E847">
        <v>557</v>
      </c>
      <c r="F847">
        <f t="shared" si="16"/>
        <v>5</v>
      </c>
    </row>
    <row r="848" spans="1:6">
      <c r="A848" s="83">
        <v>43617</v>
      </c>
      <c r="B848" t="s">
        <v>29</v>
      </c>
      <c r="C848" t="s">
        <v>24</v>
      </c>
      <c r="D848" t="s">
        <v>22</v>
      </c>
      <c r="E848">
        <v>714</v>
      </c>
      <c r="F848">
        <f t="shared" si="16"/>
        <v>7</v>
      </c>
    </row>
    <row r="849" spans="1:6">
      <c r="A849" s="83">
        <v>43617</v>
      </c>
      <c r="B849" t="s">
        <v>29</v>
      </c>
      <c r="C849" t="s">
        <v>24</v>
      </c>
      <c r="D849" t="s">
        <v>23</v>
      </c>
      <c r="E849">
        <v>1461</v>
      </c>
      <c r="F849">
        <f t="shared" si="16"/>
        <v>3</v>
      </c>
    </row>
    <row r="850" spans="1:6">
      <c r="A850" s="83">
        <v>43647</v>
      </c>
      <c r="B850" t="s">
        <v>29</v>
      </c>
      <c r="C850" t="s">
        <v>24</v>
      </c>
      <c r="D850" t="s">
        <v>22</v>
      </c>
      <c r="E850">
        <v>792</v>
      </c>
      <c r="F850">
        <f t="shared" si="16"/>
        <v>7</v>
      </c>
    </row>
    <row r="851" spans="1:6">
      <c r="A851" s="83">
        <v>43647</v>
      </c>
      <c r="B851" t="s">
        <v>29</v>
      </c>
      <c r="C851" t="s">
        <v>24</v>
      </c>
      <c r="D851" t="s">
        <v>26</v>
      </c>
      <c r="E851">
        <v>1271</v>
      </c>
      <c r="F851">
        <f t="shared" si="16"/>
        <v>5</v>
      </c>
    </row>
    <row r="852" spans="1:6">
      <c r="A852" s="83">
        <v>43678</v>
      </c>
      <c r="B852" t="s">
        <v>29</v>
      </c>
      <c r="C852" t="s">
        <v>21</v>
      </c>
      <c r="D852" t="s">
        <v>26</v>
      </c>
      <c r="E852">
        <v>158</v>
      </c>
      <c r="F852">
        <f t="shared" si="16"/>
        <v>5</v>
      </c>
    </row>
    <row r="853" spans="1:6">
      <c r="A853" s="83">
        <v>43678</v>
      </c>
      <c r="B853" t="s">
        <v>29</v>
      </c>
      <c r="C853" t="s">
        <v>21</v>
      </c>
      <c r="D853" t="s">
        <v>23</v>
      </c>
      <c r="E853">
        <v>203</v>
      </c>
      <c r="F853">
        <f t="shared" si="16"/>
        <v>3</v>
      </c>
    </row>
    <row r="854" spans="1:6">
      <c r="A854" s="83">
        <v>43678</v>
      </c>
      <c r="B854" t="s">
        <v>29</v>
      </c>
      <c r="C854" t="s">
        <v>24</v>
      </c>
      <c r="D854" t="s">
        <v>22</v>
      </c>
      <c r="E854">
        <v>561</v>
      </c>
      <c r="F854">
        <f t="shared" si="16"/>
        <v>7</v>
      </c>
    </row>
    <row r="855" spans="1:6">
      <c r="A855" s="83">
        <v>43678</v>
      </c>
      <c r="B855" t="s">
        <v>29</v>
      </c>
      <c r="C855" t="s">
        <v>24</v>
      </c>
      <c r="D855" t="s">
        <v>26</v>
      </c>
      <c r="E855">
        <v>1785</v>
      </c>
      <c r="F855">
        <f t="shared" si="16"/>
        <v>5</v>
      </c>
    </row>
    <row r="856" spans="1:6">
      <c r="A856" s="83">
        <v>43709</v>
      </c>
      <c r="B856" t="s">
        <v>29</v>
      </c>
      <c r="C856" t="s">
        <v>21</v>
      </c>
      <c r="D856" t="s">
        <v>22</v>
      </c>
      <c r="E856">
        <v>140</v>
      </c>
      <c r="F856">
        <f t="shared" si="16"/>
        <v>7</v>
      </c>
    </row>
    <row r="857" spans="1:6">
      <c r="A857" s="83">
        <v>43709</v>
      </c>
      <c r="B857" t="s">
        <v>29</v>
      </c>
      <c r="C857" t="s">
        <v>21</v>
      </c>
      <c r="D857" t="s">
        <v>22</v>
      </c>
      <c r="E857">
        <v>203</v>
      </c>
      <c r="F857">
        <f t="shared" si="16"/>
        <v>7</v>
      </c>
    </row>
    <row r="858" spans="1:6">
      <c r="A858" s="83">
        <v>43709</v>
      </c>
      <c r="B858" t="s">
        <v>29</v>
      </c>
      <c r="C858" t="s">
        <v>24</v>
      </c>
      <c r="D858" t="s">
        <v>23</v>
      </c>
      <c r="E858">
        <v>561</v>
      </c>
      <c r="F858">
        <f t="shared" si="16"/>
        <v>3</v>
      </c>
    </row>
    <row r="859" spans="1:6">
      <c r="A859" s="83">
        <v>43709</v>
      </c>
      <c r="B859" t="s">
        <v>29</v>
      </c>
      <c r="C859" t="s">
        <v>24</v>
      </c>
      <c r="D859" t="s">
        <v>23</v>
      </c>
      <c r="E859">
        <v>1463</v>
      </c>
      <c r="F859">
        <f t="shared" si="16"/>
        <v>3</v>
      </c>
    </row>
    <row r="860" spans="1:6">
      <c r="A860" s="83">
        <v>43739</v>
      </c>
      <c r="B860" t="s">
        <v>29</v>
      </c>
      <c r="C860" t="s">
        <v>21</v>
      </c>
      <c r="D860" t="s">
        <v>26</v>
      </c>
      <c r="E860">
        <v>158</v>
      </c>
      <c r="F860">
        <f t="shared" si="16"/>
        <v>5</v>
      </c>
    </row>
    <row r="861" spans="1:6">
      <c r="A861" s="83">
        <v>43739</v>
      </c>
      <c r="B861" t="s">
        <v>29</v>
      </c>
      <c r="C861" t="s">
        <v>21</v>
      </c>
      <c r="D861" t="s">
        <v>26</v>
      </c>
      <c r="E861">
        <v>180</v>
      </c>
      <c r="F861">
        <f t="shared" si="16"/>
        <v>5</v>
      </c>
    </row>
    <row r="862" spans="1:6">
      <c r="A862" s="83">
        <v>43739</v>
      </c>
      <c r="B862" t="s">
        <v>29</v>
      </c>
      <c r="C862" t="s">
        <v>24</v>
      </c>
      <c r="D862" t="s">
        <v>23</v>
      </c>
      <c r="E862">
        <v>612</v>
      </c>
      <c r="F862">
        <f t="shared" si="16"/>
        <v>3</v>
      </c>
    </row>
    <row r="863" spans="1:6">
      <c r="A863" s="83">
        <v>43739</v>
      </c>
      <c r="B863" t="s">
        <v>29</v>
      </c>
      <c r="C863" t="s">
        <v>24</v>
      </c>
      <c r="D863" t="s">
        <v>26</v>
      </c>
      <c r="E863">
        <v>1238</v>
      </c>
      <c r="F863">
        <f t="shared" si="16"/>
        <v>5</v>
      </c>
    </row>
    <row r="864" spans="1:6">
      <c r="A864" s="83">
        <v>43770</v>
      </c>
      <c r="B864" t="s">
        <v>29</v>
      </c>
      <c r="C864" t="s">
        <v>21</v>
      </c>
      <c r="D864" t="s">
        <v>23</v>
      </c>
      <c r="E864">
        <v>140</v>
      </c>
      <c r="F864">
        <f t="shared" si="16"/>
        <v>3</v>
      </c>
    </row>
    <row r="865" spans="1:6">
      <c r="A865" s="83">
        <v>43770</v>
      </c>
      <c r="B865" t="s">
        <v>29</v>
      </c>
      <c r="C865" t="s">
        <v>21</v>
      </c>
      <c r="D865" t="s">
        <v>22</v>
      </c>
      <c r="E865">
        <v>203</v>
      </c>
      <c r="F865">
        <f t="shared" si="16"/>
        <v>7</v>
      </c>
    </row>
    <row r="866" spans="1:6">
      <c r="A866" s="83">
        <v>43770</v>
      </c>
      <c r="B866" t="s">
        <v>29</v>
      </c>
      <c r="C866" t="s">
        <v>24</v>
      </c>
      <c r="D866" t="s">
        <v>26</v>
      </c>
      <c r="E866">
        <v>663</v>
      </c>
      <c r="F866">
        <f t="shared" si="16"/>
        <v>5</v>
      </c>
    </row>
    <row r="867" spans="1:6">
      <c r="A867" s="83">
        <v>43770</v>
      </c>
      <c r="B867" t="s">
        <v>29</v>
      </c>
      <c r="C867" t="s">
        <v>24</v>
      </c>
      <c r="D867" t="s">
        <v>23</v>
      </c>
      <c r="E867">
        <v>1177</v>
      </c>
      <c r="F867">
        <f t="shared" si="16"/>
        <v>3</v>
      </c>
    </row>
    <row r="868" spans="1:6">
      <c r="A868" s="83">
        <v>43800</v>
      </c>
      <c r="B868" t="s">
        <v>29</v>
      </c>
      <c r="C868" t="s">
        <v>21</v>
      </c>
      <c r="D868" t="s">
        <v>23</v>
      </c>
      <c r="E868">
        <v>158</v>
      </c>
      <c r="F868">
        <f t="shared" si="16"/>
        <v>3</v>
      </c>
    </row>
    <row r="869" spans="1:6">
      <c r="A869" s="83">
        <v>43800</v>
      </c>
      <c r="B869" t="s">
        <v>29</v>
      </c>
      <c r="C869" t="s">
        <v>21</v>
      </c>
      <c r="D869" t="s">
        <v>26</v>
      </c>
      <c r="E869">
        <v>180</v>
      </c>
      <c r="F869">
        <f t="shared" si="16"/>
        <v>5</v>
      </c>
    </row>
    <row r="870" spans="1:6">
      <c r="A870" s="83">
        <v>43800</v>
      </c>
      <c r="B870" t="s">
        <v>29</v>
      </c>
      <c r="C870" t="s">
        <v>24</v>
      </c>
      <c r="D870" t="s">
        <v>26</v>
      </c>
      <c r="E870">
        <v>792</v>
      </c>
      <c r="F870">
        <f t="shared" si="16"/>
        <v>5</v>
      </c>
    </row>
    <row r="871" spans="1:6">
      <c r="A871" s="83">
        <v>43800</v>
      </c>
      <c r="B871" t="s">
        <v>29</v>
      </c>
      <c r="C871" t="s">
        <v>24</v>
      </c>
      <c r="D871" t="s">
        <v>23</v>
      </c>
      <c r="E871">
        <v>1177</v>
      </c>
      <c r="F871">
        <f t="shared" si="16"/>
        <v>3</v>
      </c>
    </row>
    <row r="872" spans="1:6">
      <c r="A872" s="83">
        <v>43586</v>
      </c>
      <c r="B872" t="s">
        <v>29</v>
      </c>
      <c r="C872" t="s">
        <v>24</v>
      </c>
      <c r="D872" t="s">
        <v>26</v>
      </c>
      <c r="E872">
        <v>254</v>
      </c>
      <c r="F872">
        <f t="shared" si="16"/>
        <v>5</v>
      </c>
    </row>
    <row r="873" spans="1:6">
      <c r="A873" s="83">
        <v>43586</v>
      </c>
      <c r="B873" t="s">
        <v>29</v>
      </c>
      <c r="C873" t="s">
        <v>24</v>
      </c>
      <c r="D873" t="s">
        <v>23</v>
      </c>
      <c r="E873">
        <v>259</v>
      </c>
      <c r="F873">
        <f t="shared" si="16"/>
        <v>3</v>
      </c>
    </row>
    <row r="874" spans="1:6">
      <c r="A874" s="83">
        <v>43617</v>
      </c>
      <c r="B874" t="s">
        <v>29</v>
      </c>
      <c r="C874" t="s">
        <v>24</v>
      </c>
      <c r="D874" t="s">
        <v>23</v>
      </c>
      <c r="E874">
        <v>376</v>
      </c>
      <c r="F874">
        <f t="shared" si="16"/>
        <v>3</v>
      </c>
    </row>
    <row r="875" spans="1:6">
      <c r="A875" s="83">
        <v>43617</v>
      </c>
      <c r="B875" t="s">
        <v>29</v>
      </c>
      <c r="C875" t="s">
        <v>24</v>
      </c>
      <c r="D875" t="s">
        <v>26</v>
      </c>
      <c r="E875">
        <v>203</v>
      </c>
      <c r="F875">
        <f t="shared" si="16"/>
        <v>5</v>
      </c>
    </row>
    <row r="876" spans="1:6">
      <c r="A876" s="83">
        <v>43647</v>
      </c>
      <c r="B876" t="s">
        <v>29</v>
      </c>
      <c r="C876" t="s">
        <v>24</v>
      </c>
      <c r="D876" t="s">
        <v>26</v>
      </c>
      <c r="E876">
        <v>476</v>
      </c>
      <c r="F876">
        <f t="shared" si="16"/>
        <v>5</v>
      </c>
    </row>
    <row r="877" spans="1:6">
      <c r="A877" s="83">
        <v>43647</v>
      </c>
      <c r="B877" t="s">
        <v>29</v>
      </c>
      <c r="C877" t="s">
        <v>24</v>
      </c>
      <c r="D877" t="s">
        <v>26</v>
      </c>
      <c r="E877">
        <v>124</v>
      </c>
      <c r="F877">
        <f t="shared" si="16"/>
        <v>5</v>
      </c>
    </row>
    <row r="878" spans="1:6">
      <c r="A878" s="83">
        <v>43678</v>
      </c>
      <c r="B878" t="s">
        <v>29</v>
      </c>
      <c r="C878" t="s">
        <v>21</v>
      </c>
      <c r="D878" t="s">
        <v>26</v>
      </c>
      <c r="E878">
        <v>105</v>
      </c>
      <c r="F878">
        <f t="shared" si="16"/>
        <v>5</v>
      </c>
    </row>
    <row r="879" spans="1:6">
      <c r="A879" s="83">
        <v>43678</v>
      </c>
      <c r="B879" t="s">
        <v>29</v>
      </c>
      <c r="C879" t="s">
        <v>21</v>
      </c>
      <c r="D879" t="s">
        <v>23</v>
      </c>
      <c r="E879">
        <v>221</v>
      </c>
      <c r="F879">
        <f t="shared" si="16"/>
        <v>3</v>
      </c>
    </row>
    <row r="880" spans="1:6">
      <c r="A880" s="83">
        <v>43678</v>
      </c>
      <c r="B880" t="s">
        <v>29</v>
      </c>
      <c r="C880" t="s">
        <v>24</v>
      </c>
      <c r="D880" t="s">
        <v>22</v>
      </c>
      <c r="E880">
        <v>526</v>
      </c>
      <c r="F880">
        <f t="shared" si="16"/>
        <v>7</v>
      </c>
    </row>
    <row r="881" spans="1:6">
      <c r="A881" s="83">
        <v>43678</v>
      </c>
      <c r="B881" t="s">
        <v>29</v>
      </c>
      <c r="C881" t="s">
        <v>24</v>
      </c>
      <c r="D881" t="s">
        <v>22</v>
      </c>
      <c r="E881">
        <v>90</v>
      </c>
      <c r="F881">
        <f t="shared" si="16"/>
        <v>7</v>
      </c>
    </row>
    <row r="882" spans="1:6">
      <c r="A882" s="83">
        <v>43709</v>
      </c>
      <c r="B882" t="s">
        <v>29</v>
      </c>
      <c r="C882" t="s">
        <v>21</v>
      </c>
      <c r="D882" t="s">
        <v>26</v>
      </c>
      <c r="E882">
        <v>186</v>
      </c>
      <c r="F882">
        <f t="shared" si="16"/>
        <v>5</v>
      </c>
    </row>
    <row r="883" spans="1:6">
      <c r="A883" s="83">
        <v>43709</v>
      </c>
      <c r="B883" t="s">
        <v>29</v>
      </c>
      <c r="C883" t="s">
        <v>21</v>
      </c>
      <c r="D883" t="s">
        <v>26</v>
      </c>
      <c r="E883">
        <v>153</v>
      </c>
      <c r="F883">
        <f t="shared" si="16"/>
        <v>5</v>
      </c>
    </row>
    <row r="884" spans="1:6">
      <c r="A884" s="83">
        <v>43709</v>
      </c>
      <c r="B884" t="s">
        <v>29</v>
      </c>
      <c r="C884" t="s">
        <v>24</v>
      </c>
      <c r="D884" t="s">
        <v>22</v>
      </c>
      <c r="E884">
        <v>44</v>
      </c>
      <c r="F884">
        <f t="shared" si="16"/>
        <v>7</v>
      </c>
    </row>
    <row r="885" spans="1:6">
      <c r="A885" s="83">
        <v>43709</v>
      </c>
      <c r="B885" t="s">
        <v>29</v>
      </c>
      <c r="C885" t="s">
        <v>24</v>
      </c>
      <c r="D885" t="s">
        <v>23</v>
      </c>
      <c r="E885">
        <v>124</v>
      </c>
      <c r="F885">
        <f t="shared" si="16"/>
        <v>3</v>
      </c>
    </row>
    <row r="886" spans="1:6">
      <c r="A886" s="83">
        <v>43739</v>
      </c>
      <c r="B886" t="s">
        <v>29</v>
      </c>
      <c r="C886" t="s">
        <v>21</v>
      </c>
      <c r="D886" t="s">
        <v>22</v>
      </c>
      <c r="E886">
        <v>158</v>
      </c>
      <c r="F886">
        <f t="shared" si="16"/>
        <v>7</v>
      </c>
    </row>
    <row r="887" spans="1:6">
      <c r="A887" s="83">
        <v>43739</v>
      </c>
      <c r="B887" t="s">
        <v>29</v>
      </c>
      <c r="C887" t="s">
        <v>21</v>
      </c>
      <c r="D887" t="s">
        <v>22</v>
      </c>
      <c r="E887">
        <v>221</v>
      </c>
      <c r="F887">
        <f t="shared" si="16"/>
        <v>7</v>
      </c>
    </row>
    <row r="888" spans="1:6">
      <c r="A888" s="83">
        <v>43739</v>
      </c>
      <c r="B888" t="s">
        <v>29</v>
      </c>
      <c r="C888" t="s">
        <v>24</v>
      </c>
      <c r="D888" t="s">
        <v>26</v>
      </c>
      <c r="E888">
        <v>44</v>
      </c>
      <c r="F888">
        <f t="shared" si="16"/>
        <v>5</v>
      </c>
    </row>
    <row r="889" spans="1:6">
      <c r="A889" s="83">
        <v>43739</v>
      </c>
      <c r="B889" t="s">
        <v>29</v>
      </c>
      <c r="C889" t="s">
        <v>24</v>
      </c>
      <c r="D889" t="s">
        <v>26</v>
      </c>
      <c r="E889">
        <v>248</v>
      </c>
      <c r="F889">
        <f t="shared" si="16"/>
        <v>5</v>
      </c>
    </row>
    <row r="890" spans="1:6">
      <c r="A890" s="83">
        <v>43770</v>
      </c>
      <c r="B890" t="s">
        <v>29</v>
      </c>
      <c r="C890" t="s">
        <v>21</v>
      </c>
      <c r="D890" t="s">
        <v>23</v>
      </c>
      <c r="E890">
        <v>291</v>
      </c>
      <c r="F890">
        <f t="shared" si="16"/>
        <v>3</v>
      </c>
    </row>
    <row r="891" spans="1:6">
      <c r="A891" s="83">
        <v>43770</v>
      </c>
      <c r="B891" t="s">
        <v>29</v>
      </c>
      <c r="C891" t="s">
        <v>21</v>
      </c>
      <c r="D891" t="s">
        <v>23</v>
      </c>
      <c r="E891">
        <v>203</v>
      </c>
      <c r="F891">
        <f t="shared" si="16"/>
        <v>3</v>
      </c>
    </row>
    <row r="892" spans="1:6">
      <c r="A892" s="83">
        <v>43770</v>
      </c>
      <c r="B892" t="s">
        <v>29</v>
      </c>
      <c r="C892" t="s">
        <v>24</v>
      </c>
      <c r="D892" t="s">
        <v>26</v>
      </c>
      <c r="E892">
        <v>96</v>
      </c>
      <c r="F892">
        <f t="shared" si="16"/>
        <v>5</v>
      </c>
    </row>
    <row r="893" spans="1:6">
      <c r="A893" s="83">
        <v>43770</v>
      </c>
      <c r="B893" t="s">
        <v>29</v>
      </c>
      <c r="C893" t="s">
        <v>24</v>
      </c>
      <c r="D893" t="s">
        <v>23</v>
      </c>
      <c r="E893">
        <v>304</v>
      </c>
      <c r="F893">
        <f t="shared" si="16"/>
        <v>3</v>
      </c>
    </row>
    <row r="894" spans="1:6">
      <c r="A894" s="83">
        <v>43800</v>
      </c>
      <c r="B894" t="s">
        <v>29</v>
      </c>
      <c r="C894" t="s">
        <v>21</v>
      </c>
      <c r="D894" t="s">
        <v>26</v>
      </c>
      <c r="E894">
        <v>396</v>
      </c>
      <c r="F894">
        <f t="shared" si="16"/>
        <v>5</v>
      </c>
    </row>
    <row r="895" spans="1:6">
      <c r="A895" s="83">
        <v>43800</v>
      </c>
      <c r="B895" t="s">
        <v>29</v>
      </c>
      <c r="C895" t="s">
        <v>21</v>
      </c>
      <c r="D895" t="s">
        <v>26</v>
      </c>
      <c r="E895">
        <v>252</v>
      </c>
      <c r="F895">
        <f t="shared" si="16"/>
        <v>5</v>
      </c>
    </row>
    <row r="896" spans="1:6">
      <c r="A896" s="83">
        <v>43800</v>
      </c>
      <c r="B896" t="s">
        <v>29</v>
      </c>
      <c r="C896" t="s">
        <v>24</v>
      </c>
      <c r="D896" t="s">
        <v>26</v>
      </c>
      <c r="E896">
        <v>96</v>
      </c>
      <c r="F896">
        <f t="shared" si="16"/>
        <v>5</v>
      </c>
    </row>
    <row r="897" spans="1:6">
      <c r="A897" s="83">
        <v>43800</v>
      </c>
      <c r="B897" t="s">
        <v>29</v>
      </c>
      <c r="C897" t="s">
        <v>24</v>
      </c>
      <c r="D897" t="s">
        <v>22</v>
      </c>
      <c r="E897">
        <v>304</v>
      </c>
      <c r="F897">
        <f t="shared" si="16"/>
        <v>7</v>
      </c>
    </row>
    <row r="898" spans="1:6">
      <c r="A898" s="83">
        <v>43586</v>
      </c>
      <c r="B898" t="s">
        <v>29</v>
      </c>
      <c r="C898" t="s">
        <v>24</v>
      </c>
      <c r="D898" t="s">
        <v>22</v>
      </c>
      <c r="E898">
        <v>394</v>
      </c>
      <c r="F898">
        <f t="shared" si="16"/>
        <v>7</v>
      </c>
    </row>
    <row r="899" spans="1:6">
      <c r="A899" s="83">
        <v>43586</v>
      </c>
      <c r="B899" t="s">
        <v>29</v>
      </c>
      <c r="C899" t="s">
        <v>24</v>
      </c>
      <c r="D899" t="s">
        <v>23</v>
      </c>
      <c r="E899">
        <v>491</v>
      </c>
      <c r="F899">
        <f t="shared" ref="F899:F962" si="17">LEN(D899)</f>
        <v>3</v>
      </c>
    </row>
    <row r="900" spans="1:6">
      <c r="A900" s="83">
        <v>43617</v>
      </c>
      <c r="B900" t="s">
        <v>29</v>
      </c>
      <c r="C900" t="s">
        <v>24</v>
      </c>
      <c r="D900" t="s">
        <v>22</v>
      </c>
      <c r="E900">
        <v>535</v>
      </c>
      <c r="F900">
        <f t="shared" si="17"/>
        <v>7</v>
      </c>
    </row>
    <row r="901" spans="1:6">
      <c r="A901" s="83">
        <v>43617</v>
      </c>
      <c r="B901" t="s">
        <v>29</v>
      </c>
      <c r="C901" t="s">
        <v>24</v>
      </c>
      <c r="D901" t="s">
        <v>22</v>
      </c>
      <c r="E901">
        <v>459</v>
      </c>
      <c r="F901">
        <f t="shared" si="17"/>
        <v>7</v>
      </c>
    </row>
    <row r="902" spans="1:6">
      <c r="A902" s="83">
        <v>43647</v>
      </c>
      <c r="B902" t="s">
        <v>29</v>
      </c>
      <c r="C902" t="s">
        <v>24</v>
      </c>
      <c r="D902" t="s">
        <v>26</v>
      </c>
      <c r="E902">
        <v>560</v>
      </c>
      <c r="F902">
        <f t="shared" si="17"/>
        <v>5</v>
      </c>
    </row>
    <row r="903" spans="1:6">
      <c r="A903" s="83">
        <v>43647</v>
      </c>
      <c r="B903" t="s">
        <v>29</v>
      </c>
      <c r="C903" t="s">
        <v>24</v>
      </c>
      <c r="D903" t="s">
        <v>26</v>
      </c>
      <c r="E903">
        <v>371</v>
      </c>
      <c r="F903">
        <f t="shared" si="17"/>
        <v>5</v>
      </c>
    </row>
    <row r="904" spans="1:6">
      <c r="A904" s="83">
        <v>43678</v>
      </c>
      <c r="B904" t="s">
        <v>29</v>
      </c>
      <c r="C904" t="s">
        <v>21</v>
      </c>
      <c r="D904" t="s">
        <v>22</v>
      </c>
      <c r="E904">
        <v>245</v>
      </c>
      <c r="F904">
        <f t="shared" si="17"/>
        <v>7</v>
      </c>
    </row>
    <row r="905" spans="1:6">
      <c r="A905" s="83">
        <v>43678</v>
      </c>
      <c r="B905" t="s">
        <v>29</v>
      </c>
      <c r="C905" t="s">
        <v>21</v>
      </c>
      <c r="D905" t="s">
        <v>23</v>
      </c>
      <c r="E905">
        <v>360</v>
      </c>
      <c r="F905">
        <f t="shared" si="17"/>
        <v>3</v>
      </c>
    </row>
    <row r="906" spans="1:6">
      <c r="A906" s="83">
        <v>43678</v>
      </c>
      <c r="B906" t="s">
        <v>29</v>
      </c>
      <c r="C906" t="s">
        <v>24</v>
      </c>
      <c r="D906" t="s">
        <v>26</v>
      </c>
      <c r="E906">
        <v>131</v>
      </c>
      <c r="F906">
        <f t="shared" si="17"/>
        <v>5</v>
      </c>
    </row>
    <row r="907" spans="1:6">
      <c r="A907" s="83">
        <v>43678</v>
      </c>
      <c r="B907" t="s">
        <v>29</v>
      </c>
      <c r="C907" t="s">
        <v>24</v>
      </c>
      <c r="D907" t="s">
        <v>22</v>
      </c>
      <c r="E907">
        <v>426</v>
      </c>
      <c r="F907">
        <f t="shared" si="17"/>
        <v>7</v>
      </c>
    </row>
    <row r="908" spans="1:6">
      <c r="A908" s="83">
        <v>43709</v>
      </c>
      <c r="B908" t="s">
        <v>29</v>
      </c>
      <c r="C908" t="s">
        <v>21</v>
      </c>
      <c r="D908" t="s">
        <v>23</v>
      </c>
      <c r="E908">
        <v>368</v>
      </c>
      <c r="F908">
        <f t="shared" si="17"/>
        <v>3</v>
      </c>
    </row>
    <row r="909" spans="1:6">
      <c r="A909" s="83">
        <v>43709</v>
      </c>
      <c r="B909" t="s">
        <v>29</v>
      </c>
      <c r="C909" t="s">
        <v>21</v>
      </c>
      <c r="D909" t="s">
        <v>22</v>
      </c>
      <c r="E909">
        <v>428</v>
      </c>
      <c r="F909">
        <f t="shared" si="17"/>
        <v>7</v>
      </c>
    </row>
    <row r="910" spans="1:6">
      <c r="A910" s="83">
        <v>43709</v>
      </c>
      <c r="B910" t="s">
        <v>29</v>
      </c>
      <c r="C910" t="s">
        <v>24</v>
      </c>
      <c r="D910" t="s">
        <v>22</v>
      </c>
      <c r="E910">
        <v>158</v>
      </c>
      <c r="F910">
        <f t="shared" si="17"/>
        <v>7</v>
      </c>
    </row>
    <row r="911" spans="1:6">
      <c r="A911" s="83">
        <v>43709</v>
      </c>
      <c r="B911" t="s">
        <v>29</v>
      </c>
      <c r="C911" t="s">
        <v>24</v>
      </c>
      <c r="D911" t="s">
        <v>23</v>
      </c>
      <c r="E911">
        <v>761</v>
      </c>
      <c r="F911">
        <f t="shared" si="17"/>
        <v>3</v>
      </c>
    </row>
    <row r="912" spans="1:6">
      <c r="A912" s="83">
        <v>43739</v>
      </c>
      <c r="B912" t="s">
        <v>29</v>
      </c>
      <c r="C912" t="s">
        <v>21</v>
      </c>
      <c r="D912" t="s">
        <v>26</v>
      </c>
      <c r="E912">
        <v>245</v>
      </c>
      <c r="F912">
        <f t="shared" si="17"/>
        <v>5</v>
      </c>
    </row>
    <row r="913" spans="1:6">
      <c r="A913" s="83">
        <v>43739</v>
      </c>
      <c r="B913" t="s">
        <v>29</v>
      </c>
      <c r="C913" t="s">
        <v>21</v>
      </c>
      <c r="D913" t="s">
        <v>22</v>
      </c>
      <c r="E913">
        <v>473</v>
      </c>
      <c r="F913">
        <f t="shared" si="17"/>
        <v>7</v>
      </c>
    </row>
    <row r="914" spans="1:6">
      <c r="A914" s="83">
        <v>43739</v>
      </c>
      <c r="B914" t="s">
        <v>29</v>
      </c>
      <c r="C914" t="s">
        <v>24</v>
      </c>
      <c r="D914" t="s">
        <v>23</v>
      </c>
      <c r="E914">
        <v>263</v>
      </c>
      <c r="F914">
        <f t="shared" si="17"/>
        <v>3</v>
      </c>
    </row>
    <row r="915" spans="1:6">
      <c r="A915" s="83">
        <v>43739</v>
      </c>
      <c r="B915" t="s">
        <v>29</v>
      </c>
      <c r="C915" t="s">
        <v>24</v>
      </c>
      <c r="D915" t="s">
        <v>23</v>
      </c>
      <c r="E915">
        <v>985</v>
      </c>
      <c r="F915">
        <f t="shared" si="17"/>
        <v>3</v>
      </c>
    </row>
    <row r="916" spans="1:6">
      <c r="A916" s="83">
        <v>43770</v>
      </c>
      <c r="B916" t="s">
        <v>29</v>
      </c>
      <c r="C916" t="s">
        <v>21</v>
      </c>
      <c r="D916" t="s">
        <v>26</v>
      </c>
      <c r="E916">
        <v>210</v>
      </c>
      <c r="F916">
        <f t="shared" si="17"/>
        <v>5</v>
      </c>
    </row>
    <row r="917" spans="1:6">
      <c r="A917" s="83">
        <v>43770</v>
      </c>
      <c r="B917" t="s">
        <v>29</v>
      </c>
      <c r="C917" t="s">
        <v>21</v>
      </c>
      <c r="D917" t="s">
        <v>22</v>
      </c>
      <c r="E917">
        <v>715</v>
      </c>
      <c r="F917">
        <f t="shared" si="17"/>
        <v>7</v>
      </c>
    </row>
    <row r="918" spans="1:6">
      <c r="A918" s="83">
        <v>43770</v>
      </c>
      <c r="B918" t="s">
        <v>29</v>
      </c>
      <c r="C918" t="s">
        <v>24</v>
      </c>
      <c r="D918" t="s">
        <v>26</v>
      </c>
      <c r="E918">
        <v>394</v>
      </c>
      <c r="F918">
        <f t="shared" si="17"/>
        <v>5</v>
      </c>
    </row>
    <row r="919" spans="1:6">
      <c r="A919" s="83">
        <v>43770</v>
      </c>
      <c r="B919" t="s">
        <v>29</v>
      </c>
      <c r="C919" t="s">
        <v>24</v>
      </c>
      <c r="D919" t="s">
        <v>26</v>
      </c>
      <c r="E919">
        <v>954</v>
      </c>
      <c r="F919">
        <f t="shared" si="17"/>
        <v>5</v>
      </c>
    </row>
    <row r="920" spans="1:6">
      <c r="A920" s="83">
        <v>43800</v>
      </c>
      <c r="B920" t="s">
        <v>29</v>
      </c>
      <c r="C920" t="s">
        <v>21</v>
      </c>
      <c r="D920" t="s">
        <v>23</v>
      </c>
      <c r="E920">
        <v>263</v>
      </c>
      <c r="F920">
        <f t="shared" si="17"/>
        <v>3</v>
      </c>
    </row>
    <row r="921" spans="1:6">
      <c r="A921" s="83">
        <v>43800</v>
      </c>
      <c r="B921" t="s">
        <v>29</v>
      </c>
      <c r="C921" t="s">
        <v>21</v>
      </c>
      <c r="D921" t="s">
        <v>26</v>
      </c>
      <c r="E921">
        <v>857</v>
      </c>
      <c r="F921">
        <f t="shared" si="17"/>
        <v>5</v>
      </c>
    </row>
    <row r="922" spans="1:6">
      <c r="A922" s="83">
        <v>43800</v>
      </c>
      <c r="B922" t="s">
        <v>29</v>
      </c>
      <c r="C922" t="s">
        <v>24</v>
      </c>
      <c r="D922" t="s">
        <v>26</v>
      </c>
      <c r="E922">
        <v>368</v>
      </c>
      <c r="F922">
        <f t="shared" si="17"/>
        <v>5</v>
      </c>
    </row>
    <row r="923" spans="1:6">
      <c r="A923" s="83">
        <v>43800</v>
      </c>
      <c r="B923" t="s">
        <v>29</v>
      </c>
      <c r="C923" t="s">
        <v>24</v>
      </c>
      <c r="D923" t="s">
        <v>22</v>
      </c>
      <c r="E923">
        <v>1207</v>
      </c>
      <c r="F923">
        <f t="shared" si="17"/>
        <v>7</v>
      </c>
    </row>
    <row r="924" spans="1:6">
      <c r="A924" s="83">
        <v>43586</v>
      </c>
      <c r="B924" t="s">
        <v>29</v>
      </c>
      <c r="C924" t="s">
        <v>24</v>
      </c>
      <c r="D924" t="s">
        <v>22</v>
      </c>
      <c r="E924">
        <v>671</v>
      </c>
      <c r="F924">
        <f t="shared" si="17"/>
        <v>7</v>
      </c>
    </row>
    <row r="925" spans="1:6">
      <c r="A925" s="83">
        <v>43586</v>
      </c>
      <c r="B925" t="s">
        <v>29</v>
      </c>
      <c r="C925" t="s">
        <v>24</v>
      </c>
      <c r="D925" t="s">
        <v>23</v>
      </c>
      <c r="E925">
        <v>508</v>
      </c>
      <c r="F925">
        <f t="shared" si="17"/>
        <v>3</v>
      </c>
    </row>
    <row r="926" spans="1:6">
      <c r="A926" s="83">
        <v>43586</v>
      </c>
      <c r="B926" t="s">
        <v>29</v>
      </c>
      <c r="C926" t="s">
        <v>24</v>
      </c>
      <c r="D926" t="s">
        <v>22</v>
      </c>
      <c r="E926">
        <v>2214</v>
      </c>
      <c r="F926">
        <f t="shared" si="17"/>
        <v>7</v>
      </c>
    </row>
    <row r="927" spans="1:6">
      <c r="A927" s="83">
        <v>43617</v>
      </c>
      <c r="B927" t="s">
        <v>29</v>
      </c>
      <c r="C927" t="s">
        <v>24</v>
      </c>
      <c r="D927" t="s">
        <v>23</v>
      </c>
      <c r="E927">
        <v>679</v>
      </c>
      <c r="F927">
        <f t="shared" si="17"/>
        <v>3</v>
      </c>
    </row>
    <row r="928" spans="1:6">
      <c r="A928" s="83">
        <v>43617</v>
      </c>
      <c r="B928" t="s">
        <v>29</v>
      </c>
      <c r="C928" t="s">
        <v>24</v>
      </c>
      <c r="D928" t="s">
        <v>26</v>
      </c>
      <c r="E928">
        <v>641</v>
      </c>
      <c r="F928">
        <f t="shared" si="17"/>
        <v>5</v>
      </c>
    </row>
    <row r="929" spans="1:6">
      <c r="A929" s="83">
        <v>43617</v>
      </c>
      <c r="B929" t="s">
        <v>29</v>
      </c>
      <c r="C929" t="s">
        <v>24</v>
      </c>
      <c r="D929" t="s">
        <v>23</v>
      </c>
      <c r="E929">
        <v>1565</v>
      </c>
      <c r="F929">
        <f t="shared" si="17"/>
        <v>3</v>
      </c>
    </row>
    <row r="930" spans="1:6">
      <c r="A930" s="83">
        <v>43647</v>
      </c>
      <c r="B930" t="s">
        <v>29</v>
      </c>
      <c r="C930" t="s">
        <v>24</v>
      </c>
      <c r="D930" t="s">
        <v>26</v>
      </c>
      <c r="E930">
        <v>782</v>
      </c>
      <c r="F930">
        <f t="shared" si="17"/>
        <v>5</v>
      </c>
    </row>
    <row r="931" spans="1:6">
      <c r="A931" s="83">
        <v>43647</v>
      </c>
      <c r="B931" t="s">
        <v>29</v>
      </c>
      <c r="C931" t="s">
        <v>24</v>
      </c>
      <c r="D931" t="s">
        <v>26</v>
      </c>
      <c r="E931">
        <v>507</v>
      </c>
      <c r="F931">
        <f t="shared" si="17"/>
        <v>5</v>
      </c>
    </row>
    <row r="932" spans="1:6">
      <c r="A932" s="83">
        <v>43647</v>
      </c>
      <c r="B932" t="s">
        <v>29</v>
      </c>
      <c r="C932" t="s">
        <v>24</v>
      </c>
      <c r="D932" t="s">
        <v>26</v>
      </c>
      <c r="E932">
        <v>1689</v>
      </c>
      <c r="F932">
        <f t="shared" si="17"/>
        <v>5</v>
      </c>
    </row>
    <row r="933" spans="1:6">
      <c r="A933" s="83">
        <v>43678</v>
      </c>
      <c r="B933" t="s">
        <v>29</v>
      </c>
      <c r="C933" t="s">
        <v>21</v>
      </c>
      <c r="D933" t="s">
        <v>23</v>
      </c>
      <c r="E933">
        <v>77</v>
      </c>
      <c r="F933">
        <f t="shared" si="17"/>
        <v>3</v>
      </c>
    </row>
    <row r="934" spans="1:6">
      <c r="A934" s="83">
        <v>43678</v>
      </c>
      <c r="B934" t="s">
        <v>29</v>
      </c>
      <c r="C934" t="s">
        <v>21</v>
      </c>
      <c r="D934" t="s">
        <v>23</v>
      </c>
      <c r="E934">
        <v>204</v>
      </c>
      <c r="F934">
        <f t="shared" si="17"/>
        <v>3</v>
      </c>
    </row>
    <row r="935" spans="1:6">
      <c r="A935" s="83">
        <v>43678</v>
      </c>
      <c r="B935" t="s">
        <v>29</v>
      </c>
      <c r="C935" t="s">
        <v>21</v>
      </c>
      <c r="D935" t="s">
        <v>26</v>
      </c>
      <c r="E935">
        <v>77</v>
      </c>
      <c r="F935">
        <f t="shared" si="17"/>
        <v>5</v>
      </c>
    </row>
    <row r="936" spans="1:6">
      <c r="A936" s="83">
        <v>43678</v>
      </c>
      <c r="B936" t="s">
        <v>29</v>
      </c>
      <c r="C936" t="s">
        <v>24</v>
      </c>
      <c r="D936" t="s">
        <v>23</v>
      </c>
      <c r="E936">
        <v>898</v>
      </c>
      <c r="F936">
        <f t="shared" si="17"/>
        <v>3</v>
      </c>
    </row>
    <row r="937" spans="1:6">
      <c r="A937" s="83">
        <v>43678</v>
      </c>
      <c r="B937" t="s">
        <v>29</v>
      </c>
      <c r="C937" t="s">
        <v>24</v>
      </c>
      <c r="D937" t="s">
        <v>22</v>
      </c>
      <c r="E937">
        <v>627</v>
      </c>
      <c r="F937">
        <f t="shared" si="17"/>
        <v>7</v>
      </c>
    </row>
    <row r="938" spans="1:6">
      <c r="A938" s="83">
        <v>43678</v>
      </c>
      <c r="B938" t="s">
        <v>29</v>
      </c>
      <c r="C938" t="s">
        <v>24</v>
      </c>
      <c r="D938" t="s">
        <v>26</v>
      </c>
      <c r="E938">
        <v>1863</v>
      </c>
      <c r="F938">
        <f t="shared" si="17"/>
        <v>5</v>
      </c>
    </row>
    <row r="939" spans="1:6">
      <c r="A939" s="83">
        <v>43709</v>
      </c>
      <c r="B939" t="s">
        <v>29</v>
      </c>
      <c r="C939" t="s">
        <v>21</v>
      </c>
      <c r="D939" t="s">
        <v>22</v>
      </c>
      <c r="E939">
        <v>18</v>
      </c>
      <c r="F939">
        <f t="shared" si="17"/>
        <v>7</v>
      </c>
    </row>
    <row r="940" spans="1:6">
      <c r="A940" s="83">
        <v>43709</v>
      </c>
      <c r="B940" t="s">
        <v>29</v>
      </c>
      <c r="C940" t="s">
        <v>21</v>
      </c>
      <c r="D940" t="s">
        <v>22</v>
      </c>
      <c r="E940">
        <v>138</v>
      </c>
      <c r="F940">
        <f t="shared" si="17"/>
        <v>7</v>
      </c>
    </row>
    <row r="941" spans="1:6">
      <c r="A941" s="83">
        <v>43709</v>
      </c>
      <c r="B941" t="s">
        <v>29</v>
      </c>
      <c r="C941" t="s">
        <v>21</v>
      </c>
      <c r="D941" t="s">
        <v>23</v>
      </c>
      <c r="E941">
        <v>77</v>
      </c>
      <c r="F941">
        <f t="shared" si="17"/>
        <v>3</v>
      </c>
    </row>
    <row r="942" spans="1:6">
      <c r="A942" s="83">
        <v>43709</v>
      </c>
      <c r="B942" t="s">
        <v>29</v>
      </c>
      <c r="C942" t="s">
        <v>24</v>
      </c>
      <c r="D942" t="s">
        <v>23</v>
      </c>
      <c r="E942">
        <v>1237</v>
      </c>
      <c r="F942">
        <f t="shared" si="17"/>
        <v>3</v>
      </c>
    </row>
    <row r="943" spans="1:6">
      <c r="A943" s="83">
        <v>43709</v>
      </c>
      <c r="B943" t="s">
        <v>29</v>
      </c>
      <c r="C943" t="s">
        <v>24</v>
      </c>
      <c r="D943" t="s">
        <v>23</v>
      </c>
      <c r="E943">
        <v>668</v>
      </c>
      <c r="F943">
        <f t="shared" si="17"/>
        <v>3</v>
      </c>
    </row>
    <row r="944" spans="1:6">
      <c r="A944" s="83">
        <v>43709</v>
      </c>
      <c r="B944" t="s">
        <v>29</v>
      </c>
      <c r="C944" t="s">
        <v>24</v>
      </c>
      <c r="D944" t="s">
        <v>26</v>
      </c>
      <c r="E944">
        <v>1849</v>
      </c>
      <c r="F944">
        <f t="shared" si="17"/>
        <v>5</v>
      </c>
    </row>
    <row r="945" spans="1:6">
      <c r="A945" s="83">
        <v>43739</v>
      </c>
      <c r="B945" t="s">
        <v>29</v>
      </c>
      <c r="C945" t="s">
        <v>21</v>
      </c>
      <c r="D945" t="s">
        <v>23</v>
      </c>
      <c r="E945">
        <v>72</v>
      </c>
      <c r="F945">
        <f t="shared" si="17"/>
        <v>3</v>
      </c>
    </row>
    <row r="946" spans="1:6">
      <c r="A946" s="83">
        <v>43739</v>
      </c>
      <c r="B946" t="s">
        <v>29</v>
      </c>
      <c r="C946" t="s">
        <v>21</v>
      </c>
      <c r="D946" t="s">
        <v>26</v>
      </c>
      <c r="E946">
        <v>77</v>
      </c>
      <c r="F946">
        <f t="shared" si="17"/>
        <v>5</v>
      </c>
    </row>
    <row r="947" spans="1:6">
      <c r="A947" s="83">
        <v>43739</v>
      </c>
      <c r="B947" t="s">
        <v>29</v>
      </c>
      <c r="C947" t="s">
        <v>24</v>
      </c>
      <c r="D947" t="s">
        <v>23</v>
      </c>
      <c r="E947">
        <v>1489</v>
      </c>
      <c r="F947">
        <f t="shared" si="17"/>
        <v>3</v>
      </c>
    </row>
    <row r="948" spans="1:6">
      <c r="A948" s="83">
        <v>43739</v>
      </c>
      <c r="B948" t="s">
        <v>29</v>
      </c>
      <c r="C948" t="s">
        <v>24</v>
      </c>
      <c r="D948" t="s">
        <v>23</v>
      </c>
      <c r="E948">
        <v>817</v>
      </c>
      <c r="F948">
        <f t="shared" si="17"/>
        <v>3</v>
      </c>
    </row>
    <row r="949" spans="1:6">
      <c r="A949" s="83">
        <v>43739</v>
      </c>
      <c r="B949" t="s">
        <v>29</v>
      </c>
      <c r="C949" t="s">
        <v>24</v>
      </c>
      <c r="D949" t="s">
        <v>22</v>
      </c>
      <c r="E949">
        <v>90</v>
      </c>
      <c r="F949">
        <f t="shared" si="17"/>
        <v>7</v>
      </c>
    </row>
    <row r="950" spans="1:6">
      <c r="A950" s="83">
        <v>43770</v>
      </c>
      <c r="B950" t="s">
        <v>29</v>
      </c>
      <c r="C950" t="s">
        <v>21</v>
      </c>
      <c r="D950" t="s">
        <v>23</v>
      </c>
      <c r="E950">
        <v>99</v>
      </c>
      <c r="F950">
        <f t="shared" si="17"/>
        <v>3</v>
      </c>
    </row>
    <row r="951" spans="1:6">
      <c r="A951" s="83">
        <v>43770</v>
      </c>
      <c r="B951" t="s">
        <v>29</v>
      </c>
      <c r="C951" t="s">
        <v>21</v>
      </c>
      <c r="D951" t="s">
        <v>26</v>
      </c>
      <c r="E951">
        <v>90</v>
      </c>
      <c r="F951">
        <f t="shared" si="17"/>
        <v>5</v>
      </c>
    </row>
    <row r="952" spans="1:6">
      <c r="A952" s="83">
        <v>43770</v>
      </c>
      <c r="B952" t="s">
        <v>29</v>
      </c>
      <c r="C952" t="s">
        <v>24</v>
      </c>
      <c r="D952" t="s">
        <v>26</v>
      </c>
      <c r="E952">
        <v>1327</v>
      </c>
      <c r="F952">
        <f t="shared" si="17"/>
        <v>5</v>
      </c>
    </row>
    <row r="953" spans="1:6">
      <c r="A953" s="83">
        <v>43770</v>
      </c>
      <c r="B953" t="s">
        <v>29</v>
      </c>
      <c r="C953" t="s">
        <v>24</v>
      </c>
      <c r="D953" t="s">
        <v>26</v>
      </c>
      <c r="E953">
        <v>867</v>
      </c>
      <c r="F953">
        <f t="shared" si="17"/>
        <v>5</v>
      </c>
    </row>
    <row r="954" spans="1:6">
      <c r="A954" s="83">
        <v>43770</v>
      </c>
      <c r="B954" t="s">
        <v>29</v>
      </c>
      <c r="C954" t="s">
        <v>24</v>
      </c>
      <c r="D954" t="s">
        <v>22</v>
      </c>
      <c r="E954">
        <v>135</v>
      </c>
      <c r="F954">
        <f t="shared" si="17"/>
        <v>7</v>
      </c>
    </row>
    <row r="955" spans="1:6">
      <c r="A955" s="83">
        <v>43800</v>
      </c>
      <c r="B955" t="s">
        <v>29</v>
      </c>
      <c r="C955" t="s">
        <v>21</v>
      </c>
      <c r="D955" t="s">
        <v>26</v>
      </c>
      <c r="E955">
        <v>94</v>
      </c>
      <c r="F955">
        <f t="shared" si="17"/>
        <v>5</v>
      </c>
    </row>
    <row r="956" spans="1:6">
      <c r="A956" s="83">
        <v>43800</v>
      </c>
      <c r="B956" t="s">
        <v>29</v>
      </c>
      <c r="C956" t="s">
        <v>21</v>
      </c>
      <c r="D956" t="s">
        <v>22</v>
      </c>
      <c r="E956">
        <v>126</v>
      </c>
      <c r="F956">
        <f t="shared" si="17"/>
        <v>7</v>
      </c>
    </row>
    <row r="957" spans="1:6">
      <c r="A957" s="83">
        <v>43800</v>
      </c>
      <c r="B957" t="s">
        <v>29</v>
      </c>
      <c r="C957" t="s">
        <v>24</v>
      </c>
      <c r="D957" t="s">
        <v>22</v>
      </c>
      <c r="E957">
        <v>1355</v>
      </c>
      <c r="F957">
        <f t="shared" si="17"/>
        <v>7</v>
      </c>
    </row>
    <row r="958" spans="1:6">
      <c r="A958" s="83">
        <v>43800</v>
      </c>
      <c r="B958" t="s">
        <v>29</v>
      </c>
      <c r="C958" t="s">
        <v>24</v>
      </c>
      <c r="D958" t="s">
        <v>22</v>
      </c>
      <c r="E958">
        <v>921</v>
      </c>
      <c r="F958">
        <f t="shared" si="17"/>
        <v>7</v>
      </c>
    </row>
    <row r="959" spans="1:6">
      <c r="A959" s="83">
        <v>43800</v>
      </c>
      <c r="B959" t="s">
        <v>29</v>
      </c>
      <c r="C959" t="s">
        <v>24</v>
      </c>
      <c r="D959" t="s">
        <v>23</v>
      </c>
      <c r="E959">
        <v>68</v>
      </c>
      <c r="F959">
        <f t="shared" si="17"/>
        <v>3</v>
      </c>
    </row>
    <row r="960" spans="1:6">
      <c r="A960" s="83">
        <v>43586</v>
      </c>
      <c r="B960" t="s">
        <v>29</v>
      </c>
      <c r="C960" t="s">
        <v>24</v>
      </c>
      <c r="D960" t="s">
        <v>22</v>
      </c>
      <c r="E960">
        <v>681</v>
      </c>
      <c r="F960">
        <f t="shared" si="17"/>
        <v>7</v>
      </c>
    </row>
    <row r="961" spans="1:6">
      <c r="A961" s="83">
        <v>43586</v>
      </c>
      <c r="B961" t="s">
        <v>29</v>
      </c>
      <c r="C961" t="s">
        <v>24</v>
      </c>
      <c r="D961" t="s">
        <v>26</v>
      </c>
      <c r="E961">
        <v>1430</v>
      </c>
      <c r="F961">
        <f t="shared" si="17"/>
        <v>5</v>
      </c>
    </row>
    <row r="962" spans="1:6">
      <c r="A962" s="83">
        <v>43617</v>
      </c>
      <c r="B962" t="s">
        <v>29</v>
      </c>
      <c r="C962" t="s">
        <v>24</v>
      </c>
      <c r="D962" t="s">
        <v>26</v>
      </c>
      <c r="E962">
        <v>760</v>
      </c>
      <c r="F962">
        <f t="shared" si="17"/>
        <v>5</v>
      </c>
    </row>
    <row r="963" spans="1:6">
      <c r="A963" s="83">
        <v>43617</v>
      </c>
      <c r="B963" t="s">
        <v>29</v>
      </c>
      <c r="C963" t="s">
        <v>24</v>
      </c>
      <c r="D963" t="s">
        <v>26</v>
      </c>
      <c r="E963">
        <v>1812</v>
      </c>
      <c r="F963">
        <f t="shared" ref="F963:F1026" si="18">LEN(D963)</f>
        <v>5</v>
      </c>
    </row>
    <row r="964" spans="1:6">
      <c r="A964" s="83">
        <v>43647</v>
      </c>
      <c r="B964" t="s">
        <v>29</v>
      </c>
      <c r="C964" t="s">
        <v>24</v>
      </c>
      <c r="D964" t="s">
        <v>22</v>
      </c>
      <c r="E964">
        <v>776</v>
      </c>
      <c r="F964">
        <f t="shared" si="18"/>
        <v>7</v>
      </c>
    </row>
    <row r="965" spans="1:6">
      <c r="A965" s="83">
        <v>43647</v>
      </c>
      <c r="B965" t="s">
        <v>29</v>
      </c>
      <c r="C965" t="s">
        <v>24</v>
      </c>
      <c r="D965" t="s">
        <v>26</v>
      </c>
      <c r="E965">
        <v>1932</v>
      </c>
      <c r="F965">
        <f t="shared" si="18"/>
        <v>5</v>
      </c>
    </row>
    <row r="966" spans="1:6">
      <c r="A966" s="83">
        <v>43678</v>
      </c>
      <c r="B966" t="s">
        <v>29</v>
      </c>
      <c r="C966" t="s">
        <v>21</v>
      </c>
      <c r="D966" t="s">
        <v>26</v>
      </c>
      <c r="E966">
        <v>248</v>
      </c>
      <c r="F966">
        <f t="shared" si="18"/>
        <v>5</v>
      </c>
    </row>
    <row r="967" spans="1:6">
      <c r="A967" s="83">
        <v>43678</v>
      </c>
      <c r="B967" t="s">
        <v>29</v>
      </c>
      <c r="C967" t="s">
        <v>21</v>
      </c>
      <c r="D967" t="s">
        <v>26</v>
      </c>
      <c r="E967">
        <v>248</v>
      </c>
      <c r="F967">
        <f t="shared" si="18"/>
        <v>5</v>
      </c>
    </row>
    <row r="968" spans="1:6">
      <c r="A968" s="83">
        <v>43678</v>
      </c>
      <c r="B968" t="s">
        <v>29</v>
      </c>
      <c r="C968" t="s">
        <v>24</v>
      </c>
      <c r="D968" t="s">
        <v>26</v>
      </c>
      <c r="E968">
        <v>441</v>
      </c>
      <c r="F968">
        <f t="shared" si="18"/>
        <v>5</v>
      </c>
    </row>
    <row r="969" spans="1:6">
      <c r="A969" s="83">
        <v>43678</v>
      </c>
      <c r="B969" t="s">
        <v>29</v>
      </c>
      <c r="C969" t="s">
        <v>24</v>
      </c>
      <c r="D969" t="s">
        <v>23</v>
      </c>
      <c r="E969">
        <v>304</v>
      </c>
      <c r="F969">
        <f t="shared" si="18"/>
        <v>3</v>
      </c>
    </row>
    <row r="970" spans="1:6">
      <c r="A970" s="83">
        <v>43709</v>
      </c>
      <c r="B970" t="s">
        <v>29</v>
      </c>
      <c r="C970" t="s">
        <v>21</v>
      </c>
      <c r="D970" t="s">
        <v>23</v>
      </c>
      <c r="E970">
        <v>220</v>
      </c>
      <c r="F970">
        <f t="shared" si="18"/>
        <v>3</v>
      </c>
    </row>
    <row r="971" spans="1:6">
      <c r="A971" s="83">
        <v>43709</v>
      </c>
      <c r="B971" t="s">
        <v>29</v>
      </c>
      <c r="C971" t="s">
        <v>21</v>
      </c>
      <c r="D971" t="s">
        <v>23</v>
      </c>
      <c r="E971">
        <v>360</v>
      </c>
      <c r="F971">
        <f t="shared" si="18"/>
        <v>3</v>
      </c>
    </row>
    <row r="972" spans="1:6">
      <c r="A972" s="83">
        <v>43709</v>
      </c>
      <c r="B972" t="s">
        <v>29</v>
      </c>
      <c r="C972" t="s">
        <v>24</v>
      </c>
      <c r="D972" t="s">
        <v>26</v>
      </c>
      <c r="E972">
        <v>400</v>
      </c>
      <c r="F972">
        <f t="shared" si="18"/>
        <v>5</v>
      </c>
    </row>
    <row r="973" spans="1:6">
      <c r="A973" s="83">
        <v>43709</v>
      </c>
      <c r="B973" t="s">
        <v>29</v>
      </c>
      <c r="C973" t="s">
        <v>24</v>
      </c>
      <c r="D973" t="s">
        <v>22</v>
      </c>
      <c r="E973">
        <v>236</v>
      </c>
      <c r="F973">
        <f t="shared" si="18"/>
        <v>7</v>
      </c>
    </row>
    <row r="974" spans="1:6">
      <c r="A974" s="83">
        <v>43739</v>
      </c>
      <c r="B974" t="s">
        <v>29</v>
      </c>
      <c r="C974" t="s">
        <v>21</v>
      </c>
      <c r="D974" t="s">
        <v>23</v>
      </c>
      <c r="E974">
        <v>385</v>
      </c>
      <c r="F974">
        <f t="shared" si="18"/>
        <v>3</v>
      </c>
    </row>
    <row r="975" spans="1:6">
      <c r="A975" s="83">
        <v>43739</v>
      </c>
      <c r="B975" t="s">
        <v>29</v>
      </c>
      <c r="C975" t="s">
        <v>21</v>
      </c>
      <c r="D975" t="s">
        <v>23</v>
      </c>
      <c r="E975">
        <v>450</v>
      </c>
      <c r="F975">
        <f t="shared" si="18"/>
        <v>3</v>
      </c>
    </row>
    <row r="976" spans="1:6">
      <c r="A976" s="83">
        <v>43739</v>
      </c>
      <c r="B976" t="s">
        <v>29</v>
      </c>
      <c r="C976" t="s">
        <v>24</v>
      </c>
      <c r="D976" t="s">
        <v>26</v>
      </c>
      <c r="E976">
        <v>521</v>
      </c>
      <c r="F976">
        <f t="shared" si="18"/>
        <v>5</v>
      </c>
    </row>
    <row r="977" spans="1:6">
      <c r="A977" s="83">
        <v>43739</v>
      </c>
      <c r="B977" t="s">
        <v>29</v>
      </c>
      <c r="C977" t="s">
        <v>24</v>
      </c>
      <c r="D977" t="s">
        <v>23</v>
      </c>
      <c r="E977">
        <v>371</v>
      </c>
      <c r="F977">
        <f t="shared" si="18"/>
        <v>3</v>
      </c>
    </row>
    <row r="978" spans="1:6">
      <c r="A978" s="83">
        <v>43770</v>
      </c>
      <c r="B978" t="s">
        <v>29</v>
      </c>
      <c r="C978" t="s">
        <v>21</v>
      </c>
      <c r="D978" t="s">
        <v>26</v>
      </c>
      <c r="E978">
        <v>431</v>
      </c>
      <c r="F978">
        <f t="shared" si="18"/>
        <v>5</v>
      </c>
    </row>
    <row r="979" spans="1:6">
      <c r="A979" s="83">
        <v>43770</v>
      </c>
      <c r="B979" t="s">
        <v>29</v>
      </c>
      <c r="C979" t="s">
        <v>21</v>
      </c>
      <c r="D979" t="s">
        <v>23</v>
      </c>
      <c r="E979">
        <v>225</v>
      </c>
      <c r="F979">
        <f t="shared" si="18"/>
        <v>3</v>
      </c>
    </row>
    <row r="980" spans="1:6">
      <c r="A980" s="83">
        <v>43770</v>
      </c>
      <c r="B980" t="s">
        <v>29</v>
      </c>
      <c r="C980" t="s">
        <v>24</v>
      </c>
      <c r="D980" t="s">
        <v>22</v>
      </c>
      <c r="E980">
        <v>681</v>
      </c>
      <c r="F980">
        <f t="shared" si="18"/>
        <v>7</v>
      </c>
    </row>
    <row r="981" spans="1:6">
      <c r="A981" s="83">
        <v>43770</v>
      </c>
      <c r="B981" t="s">
        <v>29</v>
      </c>
      <c r="C981" t="s">
        <v>24</v>
      </c>
      <c r="D981" t="s">
        <v>23</v>
      </c>
      <c r="E981">
        <v>338</v>
      </c>
      <c r="F981">
        <f t="shared" si="18"/>
        <v>3</v>
      </c>
    </row>
    <row r="982" spans="1:6">
      <c r="A982" s="83">
        <v>43800</v>
      </c>
      <c r="B982" t="s">
        <v>29</v>
      </c>
      <c r="C982" t="s">
        <v>21</v>
      </c>
      <c r="D982" t="s">
        <v>23</v>
      </c>
      <c r="E982">
        <v>138</v>
      </c>
      <c r="F982">
        <f t="shared" si="18"/>
        <v>3</v>
      </c>
    </row>
    <row r="983" spans="1:6">
      <c r="A983" s="83">
        <v>43800</v>
      </c>
      <c r="B983" t="s">
        <v>29</v>
      </c>
      <c r="C983" t="s">
        <v>21</v>
      </c>
      <c r="D983" t="s">
        <v>26</v>
      </c>
      <c r="E983">
        <v>158</v>
      </c>
      <c r="F983">
        <f t="shared" si="18"/>
        <v>5</v>
      </c>
    </row>
    <row r="984" spans="1:6">
      <c r="A984" s="83">
        <v>43800</v>
      </c>
      <c r="B984" t="s">
        <v>29</v>
      </c>
      <c r="C984" t="s">
        <v>24</v>
      </c>
      <c r="D984" t="s">
        <v>23</v>
      </c>
      <c r="E984">
        <v>1319</v>
      </c>
      <c r="F984">
        <f t="shared" si="18"/>
        <v>3</v>
      </c>
    </row>
    <row r="985" spans="1:6">
      <c r="A985" s="83">
        <v>43800</v>
      </c>
      <c r="B985" t="s">
        <v>29</v>
      </c>
      <c r="C985" t="s">
        <v>24</v>
      </c>
      <c r="D985" t="s">
        <v>26</v>
      </c>
      <c r="E985">
        <v>623</v>
      </c>
      <c r="F985">
        <f t="shared" si="18"/>
        <v>5</v>
      </c>
    </row>
    <row r="986" spans="1:6">
      <c r="A986" s="83">
        <v>43586</v>
      </c>
      <c r="B986" t="s">
        <v>29</v>
      </c>
      <c r="C986" t="s">
        <v>24</v>
      </c>
      <c r="D986" t="s">
        <v>22</v>
      </c>
      <c r="E986">
        <v>1012</v>
      </c>
      <c r="F986">
        <f t="shared" si="18"/>
        <v>7</v>
      </c>
    </row>
    <row r="987" spans="1:6">
      <c r="A987" s="83">
        <v>43586</v>
      </c>
      <c r="B987" t="s">
        <v>29</v>
      </c>
      <c r="C987" t="s">
        <v>24</v>
      </c>
      <c r="D987" t="s">
        <v>23</v>
      </c>
      <c r="E987">
        <v>459</v>
      </c>
      <c r="F987">
        <f t="shared" si="18"/>
        <v>3</v>
      </c>
    </row>
    <row r="988" spans="1:6">
      <c r="A988" s="83">
        <v>43617</v>
      </c>
      <c r="B988" t="s">
        <v>29</v>
      </c>
      <c r="C988" t="s">
        <v>24</v>
      </c>
      <c r="D988" t="s">
        <v>22</v>
      </c>
      <c r="E988">
        <v>1337</v>
      </c>
      <c r="F988">
        <f t="shared" si="18"/>
        <v>7</v>
      </c>
    </row>
    <row r="989" spans="1:6">
      <c r="A989" s="83">
        <v>43617</v>
      </c>
      <c r="B989" t="s">
        <v>29</v>
      </c>
      <c r="C989" t="s">
        <v>24</v>
      </c>
      <c r="D989" t="s">
        <v>23</v>
      </c>
      <c r="E989">
        <v>557</v>
      </c>
      <c r="F989">
        <f t="shared" si="18"/>
        <v>3</v>
      </c>
    </row>
    <row r="990" spans="1:6">
      <c r="A990" s="83">
        <v>43647</v>
      </c>
      <c r="B990" t="s">
        <v>29</v>
      </c>
      <c r="C990" t="s">
        <v>24</v>
      </c>
      <c r="D990" t="s">
        <v>26</v>
      </c>
      <c r="E990">
        <v>1534</v>
      </c>
      <c r="F990">
        <f t="shared" si="18"/>
        <v>5</v>
      </c>
    </row>
    <row r="991" spans="1:6">
      <c r="A991" s="83">
        <v>43647</v>
      </c>
      <c r="B991" t="s">
        <v>29</v>
      </c>
      <c r="C991" t="s">
        <v>24</v>
      </c>
      <c r="D991" t="s">
        <v>23</v>
      </c>
      <c r="E991">
        <v>655</v>
      </c>
      <c r="F991">
        <f t="shared" si="18"/>
        <v>3</v>
      </c>
    </row>
    <row r="992" spans="1:6">
      <c r="A992" s="83">
        <v>43678</v>
      </c>
      <c r="B992" t="s">
        <v>29</v>
      </c>
      <c r="C992" t="s">
        <v>21</v>
      </c>
      <c r="D992" t="s">
        <v>26</v>
      </c>
      <c r="E992">
        <v>140</v>
      </c>
      <c r="F992">
        <f t="shared" si="18"/>
        <v>5</v>
      </c>
    </row>
    <row r="993" spans="1:6">
      <c r="A993" s="83">
        <v>43678</v>
      </c>
      <c r="B993" t="s">
        <v>29</v>
      </c>
      <c r="C993" t="s">
        <v>21</v>
      </c>
      <c r="D993" t="s">
        <v>22</v>
      </c>
      <c r="E993">
        <v>248</v>
      </c>
      <c r="F993">
        <f t="shared" si="18"/>
        <v>7</v>
      </c>
    </row>
    <row r="994" spans="1:6">
      <c r="A994" s="83">
        <v>43678</v>
      </c>
      <c r="B994" t="s">
        <v>29</v>
      </c>
      <c r="C994" t="s">
        <v>24</v>
      </c>
      <c r="D994" t="s">
        <v>22</v>
      </c>
      <c r="E994">
        <v>263</v>
      </c>
      <c r="F994">
        <f t="shared" si="18"/>
        <v>7</v>
      </c>
    </row>
    <row r="995" spans="1:6">
      <c r="A995" s="83">
        <v>43678</v>
      </c>
      <c r="B995" t="s">
        <v>29</v>
      </c>
      <c r="C995" t="s">
        <v>24</v>
      </c>
      <c r="D995" t="s">
        <v>26</v>
      </c>
      <c r="E995">
        <v>426</v>
      </c>
      <c r="F995">
        <f t="shared" si="18"/>
        <v>5</v>
      </c>
    </row>
    <row r="996" spans="1:6">
      <c r="A996" s="83">
        <v>43709</v>
      </c>
      <c r="B996" t="s">
        <v>29</v>
      </c>
      <c r="C996" t="s">
        <v>21</v>
      </c>
      <c r="D996" t="s">
        <v>26</v>
      </c>
      <c r="E996">
        <v>298</v>
      </c>
      <c r="F996">
        <f t="shared" si="18"/>
        <v>5</v>
      </c>
    </row>
    <row r="997" spans="1:6">
      <c r="A997" s="83">
        <v>43709</v>
      </c>
      <c r="B997" t="s">
        <v>29</v>
      </c>
      <c r="C997" t="s">
        <v>21</v>
      </c>
      <c r="D997" t="s">
        <v>23</v>
      </c>
      <c r="E997">
        <v>315</v>
      </c>
      <c r="F997">
        <f t="shared" si="18"/>
        <v>3</v>
      </c>
    </row>
    <row r="998" spans="1:6">
      <c r="A998" s="83">
        <v>43709</v>
      </c>
      <c r="B998" t="s">
        <v>29</v>
      </c>
      <c r="C998" t="s">
        <v>24</v>
      </c>
      <c r="D998" t="s">
        <v>22</v>
      </c>
      <c r="E998">
        <v>210</v>
      </c>
      <c r="F998">
        <f t="shared" si="18"/>
        <v>7</v>
      </c>
    </row>
    <row r="999" spans="1:6">
      <c r="A999" s="83">
        <v>43709</v>
      </c>
      <c r="B999" t="s">
        <v>29</v>
      </c>
      <c r="C999" t="s">
        <v>24</v>
      </c>
      <c r="D999" t="s">
        <v>26</v>
      </c>
      <c r="E999">
        <v>492</v>
      </c>
      <c r="F999">
        <f t="shared" si="18"/>
        <v>5</v>
      </c>
    </row>
    <row r="1000" spans="1:6">
      <c r="A1000" s="83">
        <v>43739</v>
      </c>
      <c r="B1000" t="s">
        <v>29</v>
      </c>
      <c r="C1000" t="s">
        <v>21</v>
      </c>
      <c r="D1000" t="s">
        <v>23</v>
      </c>
      <c r="E1000">
        <v>175</v>
      </c>
      <c r="F1000">
        <f t="shared" si="18"/>
        <v>3</v>
      </c>
    </row>
    <row r="1001" spans="1:6">
      <c r="A1001" s="83">
        <v>43739</v>
      </c>
      <c r="B1001" t="s">
        <v>29</v>
      </c>
      <c r="C1001" t="s">
        <v>21</v>
      </c>
      <c r="D1001" t="s">
        <v>26</v>
      </c>
      <c r="E1001">
        <v>248</v>
      </c>
      <c r="F1001">
        <f t="shared" si="18"/>
        <v>5</v>
      </c>
    </row>
    <row r="1002" spans="1:6">
      <c r="A1002" s="83">
        <v>43739</v>
      </c>
      <c r="B1002" t="s">
        <v>29</v>
      </c>
      <c r="C1002" t="s">
        <v>24</v>
      </c>
      <c r="D1002" t="s">
        <v>22</v>
      </c>
      <c r="E1002">
        <v>263</v>
      </c>
      <c r="F1002">
        <f t="shared" si="18"/>
        <v>7</v>
      </c>
    </row>
    <row r="1003" spans="1:6">
      <c r="A1003" s="83">
        <v>43739</v>
      </c>
      <c r="B1003" t="s">
        <v>29</v>
      </c>
      <c r="C1003" t="s">
        <v>24</v>
      </c>
      <c r="D1003" t="s">
        <v>26</v>
      </c>
      <c r="E1003">
        <v>688</v>
      </c>
      <c r="F1003">
        <f t="shared" si="18"/>
        <v>5</v>
      </c>
    </row>
    <row r="1004" spans="1:6">
      <c r="A1004" s="83">
        <v>43770</v>
      </c>
      <c r="B1004" t="s">
        <v>29</v>
      </c>
      <c r="C1004" t="s">
        <v>21</v>
      </c>
      <c r="D1004" t="s">
        <v>23</v>
      </c>
      <c r="E1004">
        <v>385</v>
      </c>
      <c r="F1004">
        <f t="shared" si="18"/>
        <v>3</v>
      </c>
    </row>
    <row r="1005" spans="1:6">
      <c r="A1005" s="83">
        <v>43770</v>
      </c>
      <c r="B1005" t="s">
        <v>29</v>
      </c>
      <c r="C1005" t="s">
        <v>21</v>
      </c>
      <c r="D1005" t="s">
        <v>23</v>
      </c>
      <c r="E1005">
        <v>225</v>
      </c>
      <c r="F1005">
        <f t="shared" si="18"/>
        <v>3</v>
      </c>
    </row>
    <row r="1006" spans="1:6">
      <c r="A1006" s="83">
        <v>43770</v>
      </c>
      <c r="B1006" t="s">
        <v>29</v>
      </c>
      <c r="C1006" t="s">
        <v>24</v>
      </c>
      <c r="D1006" t="s">
        <v>26</v>
      </c>
      <c r="E1006">
        <v>263</v>
      </c>
      <c r="F1006">
        <f t="shared" si="18"/>
        <v>5</v>
      </c>
    </row>
    <row r="1007" spans="1:6">
      <c r="A1007" s="83">
        <v>43770</v>
      </c>
      <c r="B1007" t="s">
        <v>29</v>
      </c>
      <c r="C1007" t="s">
        <v>24</v>
      </c>
      <c r="D1007" t="s">
        <v>26</v>
      </c>
      <c r="E1007">
        <v>826</v>
      </c>
      <c r="F1007">
        <f t="shared" si="18"/>
        <v>5</v>
      </c>
    </row>
    <row r="1008" spans="1:6">
      <c r="A1008" s="83">
        <v>43800</v>
      </c>
      <c r="B1008" t="s">
        <v>29</v>
      </c>
      <c r="C1008" t="s">
        <v>21</v>
      </c>
      <c r="D1008" t="s">
        <v>26</v>
      </c>
      <c r="E1008">
        <v>508</v>
      </c>
      <c r="F1008">
        <f t="shared" si="18"/>
        <v>5</v>
      </c>
    </row>
    <row r="1009" spans="1:6">
      <c r="A1009" s="83">
        <v>43800</v>
      </c>
      <c r="B1009" t="s">
        <v>29</v>
      </c>
      <c r="C1009" t="s">
        <v>21</v>
      </c>
      <c r="D1009" t="s">
        <v>26</v>
      </c>
      <c r="E1009">
        <v>293</v>
      </c>
      <c r="F1009">
        <f t="shared" si="18"/>
        <v>5</v>
      </c>
    </row>
    <row r="1010" spans="1:6">
      <c r="A1010" s="83">
        <v>43800</v>
      </c>
      <c r="B1010" t="s">
        <v>29</v>
      </c>
      <c r="C1010" t="s">
        <v>24</v>
      </c>
      <c r="D1010" t="s">
        <v>26</v>
      </c>
      <c r="E1010">
        <v>289</v>
      </c>
      <c r="F1010">
        <f t="shared" si="18"/>
        <v>5</v>
      </c>
    </row>
    <row r="1011" spans="1:6">
      <c r="A1011" s="83">
        <v>43800</v>
      </c>
      <c r="B1011" t="s">
        <v>29</v>
      </c>
      <c r="C1011" t="s">
        <v>24</v>
      </c>
      <c r="D1011" t="s">
        <v>26</v>
      </c>
      <c r="E1011">
        <v>622</v>
      </c>
      <c r="F1011">
        <f t="shared" si="18"/>
        <v>5</v>
      </c>
    </row>
    <row r="1012" spans="1:6">
      <c r="A1012" s="83">
        <v>43525</v>
      </c>
      <c r="B1012" t="s">
        <v>30</v>
      </c>
      <c r="C1012" t="s">
        <v>21</v>
      </c>
      <c r="D1012" t="s">
        <v>26</v>
      </c>
      <c r="E1012">
        <v>116</v>
      </c>
      <c r="F1012">
        <f t="shared" si="18"/>
        <v>5</v>
      </c>
    </row>
    <row r="1013" spans="1:6">
      <c r="A1013" s="83">
        <v>43525</v>
      </c>
      <c r="B1013" t="s">
        <v>30</v>
      </c>
      <c r="C1013" t="s">
        <v>21</v>
      </c>
      <c r="D1013" t="s">
        <v>22</v>
      </c>
      <c r="E1013">
        <v>167</v>
      </c>
      <c r="F1013">
        <f t="shared" si="18"/>
        <v>7</v>
      </c>
    </row>
    <row r="1014" spans="1:6">
      <c r="A1014" s="83">
        <v>43525</v>
      </c>
      <c r="B1014" t="s">
        <v>30</v>
      </c>
      <c r="C1014" t="s">
        <v>24</v>
      </c>
      <c r="D1014" t="s">
        <v>26</v>
      </c>
      <c r="E1014">
        <v>18</v>
      </c>
      <c r="F1014">
        <f t="shared" si="18"/>
        <v>5</v>
      </c>
    </row>
    <row r="1015" spans="1:6">
      <c r="A1015" s="83">
        <v>43525</v>
      </c>
      <c r="B1015" t="s">
        <v>30</v>
      </c>
      <c r="C1015" t="s">
        <v>24</v>
      </c>
      <c r="D1015" t="s">
        <v>26</v>
      </c>
      <c r="E1015">
        <v>23</v>
      </c>
      <c r="F1015">
        <f t="shared" si="18"/>
        <v>5</v>
      </c>
    </row>
    <row r="1016" spans="1:6">
      <c r="A1016" s="83">
        <v>43556</v>
      </c>
      <c r="B1016" t="s">
        <v>30</v>
      </c>
      <c r="C1016" t="s">
        <v>21</v>
      </c>
      <c r="D1016" t="s">
        <v>22</v>
      </c>
      <c r="E1016">
        <v>123</v>
      </c>
      <c r="F1016">
        <f t="shared" si="18"/>
        <v>7</v>
      </c>
    </row>
    <row r="1017" spans="1:6">
      <c r="A1017" s="83">
        <v>43556</v>
      </c>
      <c r="B1017" t="s">
        <v>30</v>
      </c>
      <c r="C1017" t="s">
        <v>21</v>
      </c>
      <c r="D1017" t="s">
        <v>23</v>
      </c>
      <c r="E1017">
        <v>122</v>
      </c>
      <c r="F1017">
        <f t="shared" si="18"/>
        <v>3</v>
      </c>
    </row>
    <row r="1018" spans="1:6">
      <c r="A1018" s="83">
        <v>43556</v>
      </c>
      <c r="B1018" t="s">
        <v>30</v>
      </c>
      <c r="C1018" t="s">
        <v>24</v>
      </c>
      <c r="D1018" t="s">
        <v>23</v>
      </c>
      <c r="E1018">
        <v>26</v>
      </c>
      <c r="F1018">
        <f t="shared" si="18"/>
        <v>3</v>
      </c>
    </row>
    <row r="1019" spans="1:6">
      <c r="A1019" s="83">
        <v>43556</v>
      </c>
      <c r="B1019" t="s">
        <v>30</v>
      </c>
      <c r="C1019" t="s">
        <v>24</v>
      </c>
      <c r="D1019" t="s">
        <v>23</v>
      </c>
      <c r="E1019">
        <v>56</v>
      </c>
      <c r="F1019">
        <f t="shared" si="18"/>
        <v>3</v>
      </c>
    </row>
    <row r="1020" spans="1:6">
      <c r="A1020" s="83">
        <v>43586</v>
      </c>
      <c r="B1020" t="s">
        <v>30</v>
      </c>
      <c r="C1020" t="s">
        <v>21</v>
      </c>
      <c r="D1020" t="s">
        <v>22</v>
      </c>
      <c r="E1020">
        <v>112</v>
      </c>
      <c r="F1020">
        <f t="shared" si="18"/>
        <v>7</v>
      </c>
    </row>
    <row r="1021" spans="1:6">
      <c r="A1021" s="83">
        <v>43586</v>
      </c>
      <c r="B1021" t="s">
        <v>30</v>
      </c>
      <c r="C1021" t="s">
        <v>21</v>
      </c>
      <c r="D1021" t="s">
        <v>26</v>
      </c>
      <c r="E1021">
        <v>90</v>
      </c>
      <c r="F1021">
        <f t="shared" si="18"/>
        <v>5</v>
      </c>
    </row>
    <row r="1022" spans="1:6">
      <c r="A1022" s="83">
        <v>43586</v>
      </c>
      <c r="B1022" t="s">
        <v>30</v>
      </c>
      <c r="C1022" t="s">
        <v>24</v>
      </c>
      <c r="D1022" t="s">
        <v>26</v>
      </c>
      <c r="E1022">
        <v>26</v>
      </c>
      <c r="F1022">
        <f t="shared" si="18"/>
        <v>5</v>
      </c>
    </row>
    <row r="1023" spans="1:6">
      <c r="A1023" s="83">
        <v>43586</v>
      </c>
      <c r="B1023" t="s">
        <v>30</v>
      </c>
      <c r="C1023" t="s">
        <v>24</v>
      </c>
      <c r="D1023" t="s">
        <v>23</v>
      </c>
      <c r="E1023">
        <v>56</v>
      </c>
      <c r="F1023">
        <f t="shared" si="18"/>
        <v>3</v>
      </c>
    </row>
    <row r="1024" spans="1:6">
      <c r="A1024" s="83">
        <v>43617</v>
      </c>
      <c r="B1024" t="s">
        <v>30</v>
      </c>
      <c r="C1024" t="s">
        <v>21</v>
      </c>
      <c r="D1024" t="s">
        <v>26</v>
      </c>
      <c r="E1024">
        <v>175</v>
      </c>
      <c r="F1024">
        <f t="shared" si="18"/>
        <v>5</v>
      </c>
    </row>
    <row r="1025" spans="1:6">
      <c r="A1025" s="83">
        <v>43617</v>
      </c>
      <c r="B1025" t="s">
        <v>30</v>
      </c>
      <c r="C1025" t="s">
        <v>21</v>
      </c>
      <c r="D1025" t="s">
        <v>23</v>
      </c>
      <c r="E1025">
        <v>225</v>
      </c>
      <c r="F1025">
        <f t="shared" si="18"/>
        <v>3</v>
      </c>
    </row>
    <row r="1026" spans="1:6">
      <c r="A1026" s="83">
        <v>43617</v>
      </c>
      <c r="B1026" t="s">
        <v>30</v>
      </c>
      <c r="C1026" t="s">
        <v>24</v>
      </c>
      <c r="D1026" t="s">
        <v>23</v>
      </c>
      <c r="E1026">
        <v>70</v>
      </c>
      <c r="F1026">
        <f t="shared" si="18"/>
        <v>3</v>
      </c>
    </row>
    <row r="1027" spans="1:6">
      <c r="A1027" s="83">
        <v>43617</v>
      </c>
      <c r="B1027" t="s">
        <v>30</v>
      </c>
      <c r="C1027" t="s">
        <v>24</v>
      </c>
      <c r="D1027" t="s">
        <v>26</v>
      </c>
      <c r="E1027">
        <v>146</v>
      </c>
      <c r="F1027">
        <f t="shared" ref="F1027:F1090" si="19">LEN(D1027)</f>
        <v>5</v>
      </c>
    </row>
    <row r="1028" spans="1:6">
      <c r="A1028" s="83">
        <v>43647</v>
      </c>
      <c r="B1028" t="s">
        <v>30</v>
      </c>
      <c r="C1028" t="s">
        <v>21</v>
      </c>
      <c r="D1028" t="s">
        <v>23</v>
      </c>
      <c r="E1028">
        <v>140</v>
      </c>
      <c r="F1028">
        <f t="shared" si="19"/>
        <v>3</v>
      </c>
    </row>
    <row r="1029" spans="1:6">
      <c r="A1029" s="83">
        <v>43647</v>
      </c>
      <c r="B1029" t="s">
        <v>30</v>
      </c>
      <c r="C1029" t="s">
        <v>21</v>
      </c>
      <c r="D1029" t="s">
        <v>26</v>
      </c>
      <c r="E1029">
        <v>225</v>
      </c>
      <c r="F1029">
        <f t="shared" si="19"/>
        <v>5</v>
      </c>
    </row>
    <row r="1030" spans="1:6">
      <c r="A1030" s="83">
        <v>43647</v>
      </c>
      <c r="B1030" t="s">
        <v>30</v>
      </c>
      <c r="C1030" t="s">
        <v>24</v>
      </c>
      <c r="D1030" t="s">
        <v>22</v>
      </c>
      <c r="E1030">
        <v>79</v>
      </c>
      <c r="F1030">
        <f t="shared" si="19"/>
        <v>7</v>
      </c>
    </row>
    <row r="1031" spans="1:6">
      <c r="A1031" s="83">
        <v>43647</v>
      </c>
      <c r="B1031" t="s">
        <v>30</v>
      </c>
      <c r="C1031" t="s">
        <v>24</v>
      </c>
      <c r="D1031" t="s">
        <v>26</v>
      </c>
      <c r="E1031">
        <v>124</v>
      </c>
      <c r="F1031">
        <f t="shared" si="19"/>
        <v>5</v>
      </c>
    </row>
    <row r="1032" spans="1:6">
      <c r="A1032" s="83">
        <v>43678</v>
      </c>
      <c r="B1032" t="s">
        <v>30</v>
      </c>
      <c r="C1032" t="s">
        <v>21</v>
      </c>
      <c r="D1032" t="s">
        <v>26</v>
      </c>
      <c r="E1032">
        <v>228</v>
      </c>
      <c r="F1032">
        <f t="shared" si="19"/>
        <v>5</v>
      </c>
    </row>
    <row r="1033" spans="1:6">
      <c r="A1033" s="83">
        <v>43678</v>
      </c>
      <c r="B1033" t="s">
        <v>30</v>
      </c>
      <c r="C1033" t="s">
        <v>21</v>
      </c>
      <c r="D1033" t="s">
        <v>23</v>
      </c>
      <c r="E1033">
        <v>203</v>
      </c>
      <c r="F1033">
        <f t="shared" si="19"/>
        <v>3</v>
      </c>
    </row>
    <row r="1034" spans="1:6">
      <c r="A1034" s="83">
        <v>43678</v>
      </c>
      <c r="B1034" t="s">
        <v>30</v>
      </c>
      <c r="C1034" t="s">
        <v>24</v>
      </c>
      <c r="D1034" t="s">
        <v>26</v>
      </c>
      <c r="E1034">
        <v>61</v>
      </c>
      <c r="F1034">
        <f t="shared" si="19"/>
        <v>5</v>
      </c>
    </row>
    <row r="1035" spans="1:6">
      <c r="A1035" s="83">
        <v>43678</v>
      </c>
      <c r="B1035" t="s">
        <v>30</v>
      </c>
      <c r="C1035" t="s">
        <v>24</v>
      </c>
      <c r="D1035" t="s">
        <v>22</v>
      </c>
      <c r="E1035">
        <v>113</v>
      </c>
      <c r="F1035">
        <f t="shared" si="19"/>
        <v>7</v>
      </c>
    </row>
    <row r="1036" spans="1:6">
      <c r="A1036" s="83">
        <v>43709</v>
      </c>
      <c r="B1036" t="s">
        <v>30</v>
      </c>
      <c r="C1036" t="s">
        <v>21</v>
      </c>
      <c r="D1036" t="s">
        <v>26</v>
      </c>
      <c r="E1036">
        <v>333</v>
      </c>
      <c r="F1036">
        <f t="shared" si="19"/>
        <v>5</v>
      </c>
    </row>
    <row r="1037" spans="1:6">
      <c r="A1037" s="83">
        <v>43709</v>
      </c>
      <c r="B1037" t="s">
        <v>30</v>
      </c>
      <c r="C1037" t="s">
        <v>21</v>
      </c>
      <c r="D1037" t="s">
        <v>26</v>
      </c>
      <c r="E1037">
        <v>203</v>
      </c>
      <c r="F1037">
        <f t="shared" si="19"/>
        <v>5</v>
      </c>
    </row>
    <row r="1038" spans="1:6">
      <c r="A1038" s="83">
        <v>43709</v>
      </c>
      <c r="B1038" t="s">
        <v>30</v>
      </c>
      <c r="C1038" t="s">
        <v>24</v>
      </c>
      <c r="D1038" t="s">
        <v>22</v>
      </c>
      <c r="E1038">
        <v>70</v>
      </c>
      <c r="F1038">
        <f t="shared" si="19"/>
        <v>7</v>
      </c>
    </row>
    <row r="1039" spans="1:6">
      <c r="A1039" s="83">
        <v>43709</v>
      </c>
      <c r="B1039" t="s">
        <v>30</v>
      </c>
      <c r="C1039" t="s">
        <v>24</v>
      </c>
      <c r="D1039" t="s">
        <v>23</v>
      </c>
      <c r="E1039">
        <v>113</v>
      </c>
      <c r="F1039">
        <f t="shared" si="19"/>
        <v>3</v>
      </c>
    </row>
    <row r="1040" spans="1:6">
      <c r="A1040" s="83">
        <v>43739</v>
      </c>
      <c r="B1040" t="s">
        <v>30</v>
      </c>
      <c r="C1040" t="s">
        <v>21</v>
      </c>
      <c r="D1040" t="s">
        <v>23</v>
      </c>
      <c r="E1040">
        <v>228</v>
      </c>
      <c r="F1040">
        <f t="shared" si="19"/>
        <v>3</v>
      </c>
    </row>
    <row r="1041" spans="1:6">
      <c r="A1041" s="83">
        <v>43739</v>
      </c>
      <c r="B1041" t="s">
        <v>30</v>
      </c>
      <c r="C1041" t="s">
        <v>21</v>
      </c>
      <c r="D1041" t="s">
        <v>22</v>
      </c>
      <c r="E1041">
        <v>225</v>
      </c>
      <c r="F1041">
        <f t="shared" si="19"/>
        <v>7</v>
      </c>
    </row>
    <row r="1042" spans="1:6">
      <c r="A1042" s="83">
        <v>43739</v>
      </c>
      <c r="B1042" t="s">
        <v>30</v>
      </c>
      <c r="C1042" t="s">
        <v>24</v>
      </c>
      <c r="D1042" t="s">
        <v>23</v>
      </c>
      <c r="E1042">
        <v>61</v>
      </c>
      <c r="F1042">
        <f t="shared" si="19"/>
        <v>3</v>
      </c>
    </row>
    <row r="1043" spans="1:6">
      <c r="A1043" s="83">
        <v>43739</v>
      </c>
      <c r="B1043" t="s">
        <v>30</v>
      </c>
      <c r="C1043" t="s">
        <v>24</v>
      </c>
      <c r="D1043" t="s">
        <v>23</v>
      </c>
      <c r="E1043">
        <v>124</v>
      </c>
      <c r="F1043">
        <f t="shared" si="19"/>
        <v>3</v>
      </c>
    </row>
    <row r="1044" spans="1:6">
      <c r="A1044" s="83">
        <v>43770</v>
      </c>
      <c r="B1044" t="s">
        <v>30</v>
      </c>
      <c r="C1044" t="s">
        <v>21</v>
      </c>
      <c r="D1044" t="s">
        <v>26</v>
      </c>
      <c r="E1044">
        <v>280</v>
      </c>
      <c r="F1044">
        <f t="shared" si="19"/>
        <v>5</v>
      </c>
    </row>
    <row r="1045" spans="1:6">
      <c r="A1045" s="83">
        <v>43770</v>
      </c>
      <c r="B1045" t="s">
        <v>30</v>
      </c>
      <c r="C1045" t="s">
        <v>21</v>
      </c>
      <c r="D1045" t="s">
        <v>22</v>
      </c>
      <c r="E1045">
        <v>248</v>
      </c>
      <c r="F1045">
        <f t="shared" si="19"/>
        <v>7</v>
      </c>
    </row>
    <row r="1046" spans="1:6">
      <c r="A1046" s="83">
        <v>43770</v>
      </c>
      <c r="B1046" t="s">
        <v>30</v>
      </c>
      <c r="C1046" t="s">
        <v>24</v>
      </c>
      <c r="D1046" t="s">
        <v>26</v>
      </c>
      <c r="E1046">
        <v>53</v>
      </c>
      <c r="F1046">
        <f t="shared" si="19"/>
        <v>5</v>
      </c>
    </row>
    <row r="1047" spans="1:6">
      <c r="A1047" s="83">
        <v>43770</v>
      </c>
      <c r="B1047" t="s">
        <v>30</v>
      </c>
      <c r="C1047" t="s">
        <v>24</v>
      </c>
      <c r="D1047" t="s">
        <v>23</v>
      </c>
      <c r="E1047">
        <v>124</v>
      </c>
      <c r="F1047">
        <f t="shared" si="19"/>
        <v>3</v>
      </c>
    </row>
    <row r="1048" spans="1:6">
      <c r="A1048" s="83">
        <v>43800</v>
      </c>
      <c r="B1048" t="s">
        <v>30</v>
      </c>
      <c r="C1048" t="s">
        <v>21</v>
      </c>
      <c r="D1048" t="s">
        <v>22</v>
      </c>
      <c r="E1048">
        <v>263</v>
      </c>
      <c r="F1048">
        <f t="shared" si="19"/>
        <v>7</v>
      </c>
    </row>
    <row r="1049" spans="1:6">
      <c r="A1049" s="83">
        <v>43800</v>
      </c>
      <c r="B1049" t="s">
        <v>30</v>
      </c>
      <c r="C1049" t="s">
        <v>21</v>
      </c>
      <c r="D1049" t="s">
        <v>22</v>
      </c>
      <c r="E1049">
        <v>338</v>
      </c>
      <c r="F1049">
        <f t="shared" si="19"/>
        <v>7</v>
      </c>
    </row>
    <row r="1050" spans="1:6">
      <c r="A1050" s="83">
        <v>43800</v>
      </c>
      <c r="B1050" t="s">
        <v>30</v>
      </c>
      <c r="C1050" t="s">
        <v>24</v>
      </c>
      <c r="D1050" t="s">
        <v>23</v>
      </c>
      <c r="E1050">
        <v>61</v>
      </c>
      <c r="F1050">
        <f t="shared" si="19"/>
        <v>3</v>
      </c>
    </row>
    <row r="1051" spans="1:6">
      <c r="A1051" s="83">
        <v>43800</v>
      </c>
      <c r="B1051" t="s">
        <v>30</v>
      </c>
      <c r="C1051" t="s">
        <v>24</v>
      </c>
      <c r="D1051" t="s">
        <v>22</v>
      </c>
      <c r="E1051">
        <v>158</v>
      </c>
      <c r="F1051">
        <f t="shared" si="19"/>
        <v>7</v>
      </c>
    </row>
    <row r="1052" spans="1:6">
      <c r="A1052" s="83">
        <v>43405</v>
      </c>
      <c r="B1052" t="s">
        <v>30</v>
      </c>
      <c r="C1052" t="s">
        <v>24</v>
      </c>
      <c r="D1052" t="s">
        <v>26</v>
      </c>
      <c r="E1052">
        <v>123</v>
      </c>
      <c r="F1052">
        <f t="shared" si="19"/>
        <v>5</v>
      </c>
    </row>
    <row r="1053" spans="1:6">
      <c r="A1053" s="83">
        <v>43405</v>
      </c>
      <c r="B1053" t="s">
        <v>30</v>
      </c>
      <c r="C1053" t="s">
        <v>24</v>
      </c>
      <c r="D1053" t="s">
        <v>26</v>
      </c>
      <c r="E1053">
        <v>113</v>
      </c>
      <c r="F1053">
        <f t="shared" si="19"/>
        <v>5</v>
      </c>
    </row>
    <row r="1054" spans="1:6">
      <c r="A1054" s="83">
        <v>43435</v>
      </c>
      <c r="B1054" t="s">
        <v>30</v>
      </c>
      <c r="C1054" t="s">
        <v>24</v>
      </c>
      <c r="D1054" t="s">
        <v>26</v>
      </c>
      <c r="E1054">
        <v>175</v>
      </c>
      <c r="F1054">
        <f t="shared" si="19"/>
        <v>5</v>
      </c>
    </row>
    <row r="1055" spans="1:6">
      <c r="A1055" s="83">
        <v>43435</v>
      </c>
      <c r="B1055" t="s">
        <v>30</v>
      </c>
      <c r="C1055" t="s">
        <v>24</v>
      </c>
      <c r="D1055" t="s">
        <v>22</v>
      </c>
      <c r="E1055">
        <v>113</v>
      </c>
      <c r="F1055">
        <f t="shared" si="19"/>
        <v>7</v>
      </c>
    </row>
    <row r="1056" spans="1:6">
      <c r="A1056" s="83">
        <v>43466</v>
      </c>
      <c r="B1056" t="s">
        <v>30</v>
      </c>
      <c r="C1056" t="s">
        <v>24</v>
      </c>
      <c r="D1056" t="s">
        <v>26</v>
      </c>
      <c r="E1056">
        <v>140</v>
      </c>
      <c r="F1056">
        <f t="shared" si="19"/>
        <v>5</v>
      </c>
    </row>
    <row r="1057" spans="1:6">
      <c r="A1057" s="83">
        <v>43466</v>
      </c>
      <c r="B1057" t="s">
        <v>30</v>
      </c>
      <c r="C1057" t="s">
        <v>24</v>
      </c>
      <c r="D1057" t="s">
        <v>22</v>
      </c>
      <c r="E1057">
        <v>124</v>
      </c>
      <c r="F1057">
        <f t="shared" si="19"/>
        <v>7</v>
      </c>
    </row>
    <row r="1058" spans="1:6">
      <c r="A1058" s="83">
        <v>43497</v>
      </c>
      <c r="B1058" t="s">
        <v>30</v>
      </c>
      <c r="C1058" t="s">
        <v>21</v>
      </c>
      <c r="D1058" t="s">
        <v>23</v>
      </c>
      <c r="E1058">
        <v>291</v>
      </c>
      <c r="F1058">
        <f t="shared" si="19"/>
        <v>3</v>
      </c>
    </row>
    <row r="1059" spans="1:6">
      <c r="A1059" s="83">
        <v>43497</v>
      </c>
      <c r="B1059" t="s">
        <v>30</v>
      </c>
      <c r="C1059" t="s">
        <v>21</v>
      </c>
      <c r="D1059" t="s">
        <v>22</v>
      </c>
      <c r="E1059">
        <v>356</v>
      </c>
      <c r="F1059">
        <f t="shared" si="19"/>
        <v>7</v>
      </c>
    </row>
    <row r="1060" spans="1:6">
      <c r="A1060" s="83">
        <v>43497</v>
      </c>
      <c r="B1060" t="s">
        <v>30</v>
      </c>
      <c r="C1060" t="s">
        <v>24</v>
      </c>
      <c r="D1060" t="s">
        <v>22</v>
      </c>
      <c r="E1060">
        <v>123</v>
      </c>
      <c r="F1060">
        <f t="shared" si="19"/>
        <v>7</v>
      </c>
    </row>
    <row r="1061" spans="1:6">
      <c r="A1061" s="83">
        <v>43497</v>
      </c>
      <c r="B1061" t="s">
        <v>30</v>
      </c>
      <c r="C1061" t="s">
        <v>24</v>
      </c>
      <c r="D1061" t="s">
        <v>26</v>
      </c>
      <c r="E1061">
        <v>113</v>
      </c>
      <c r="F1061">
        <f t="shared" si="19"/>
        <v>5</v>
      </c>
    </row>
    <row r="1062" spans="1:6">
      <c r="A1062" s="83">
        <v>43525</v>
      </c>
      <c r="B1062" t="s">
        <v>30</v>
      </c>
      <c r="C1062" t="s">
        <v>21</v>
      </c>
      <c r="D1062" t="s">
        <v>26</v>
      </c>
      <c r="E1062">
        <v>277</v>
      </c>
      <c r="F1062">
        <f t="shared" si="19"/>
        <v>5</v>
      </c>
    </row>
    <row r="1063" spans="1:6">
      <c r="A1063" s="83">
        <v>43525</v>
      </c>
      <c r="B1063" t="s">
        <v>30</v>
      </c>
      <c r="C1063" t="s">
        <v>21</v>
      </c>
      <c r="D1063" t="s">
        <v>26</v>
      </c>
      <c r="E1063">
        <v>716</v>
      </c>
      <c r="F1063">
        <f t="shared" si="19"/>
        <v>5</v>
      </c>
    </row>
    <row r="1064" spans="1:6">
      <c r="A1064" s="83">
        <v>43525</v>
      </c>
      <c r="B1064" t="s">
        <v>30</v>
      </c>
      <c r="C1064" t="s">
        <v>24</v>
      </c>
      <c r="D1064" t="s">
        <v>26</v>
      </c>
      <c r="E1064">
        <v>131</v>
      </c>
      <c r="F1064">
        <f t="shared" si="19"/>
        <v>5</v>
      </c>
    </row>
    <row r="1065" spans="1:6">
      <c r="A1065" s="83">
        <v>43525</v>
      </c>
      <c r="B1065" t="s">
        <v>30</v>
      </c>
      <c r="C1065" t="s">
        <v>24</v>
      </c>
      <c r="D1065" t="s">
        <v>22</v>
      </c>
      <c r="E1065">
        <v>124</v>
      </c>
      <c r="F1065">
        <f t="shared" si="19"/>
        <v>7</v>
      </c>
    </row>
    <row r="1066" spans="1:6">
      <c r="A1066" s="83">
        <v>43556</v>
      </c>
      <c r="B1066" t="s">
        <v>30</v>
      </c>
      <c r="C1066" t="s">
        <v>21</v>
      </c>
      <c r="D1066" t="s">
        <v>23</v>
      </c>
      <c r="E1066">
        <v>263</v>
      </c>
      <c r="F1066">
        <f t="shared" si="19"/>
        <v>3</v>
      </c>
    </row>
    <row r="1067" spans="1:6">
      <c r="A1067" s="83">
        <v>43556</v>
      </c>
      <c r="B1067" t="s">
        <v>30</v>
      </c>
      <c r="C1067" t="s">
        <v>21</v>
      </c>
      <c r="D1067" t="s">
        <v>26</v>
      </c>
      <c r="E1067">
        <v>1325</v>
      </c>
      <c r="F1067">
        <f t="shared" si="19"/>
        <v>5</v>
      </c>
    </row>
    <row r="1068" spans="1:6">
      <c r="A1068" s="83">
        <v>43556</v>
      </c>
      <c r="B1068" t="s">
        <v>30</v>
      </c>
      <c r="C1068" t="s">
        <v>24</v>
      </c>
      <c r="D1068" t="s">
        <v>22</v>
      </c>
      <c r="E1068">
        <v>123</v>
      </c>
      <c r="F1068">
        <f t="shared" si="19"/>
        <v>7</v>
      </c>
    </row>
    <row r="1069" spans="1:6">
      <c r="A1069" s="83">
        <v>43556</v>
      </c>
      <c r="B1069" t="s">
        <v>30</v>
      </c>
      <c r="C1069" t="s">
        <v>24</v>
      </c>
      <c r="D1069" t="s">
        <v>26</v>
      </c>
      <c r="E1069">
        <v>158</v>
      </c>
      <c r="F1069">
        <f t="shared" si="19"/>
        <v>5</v>
      </c>
    </row>
    <row r="1070" spans="1:6">
      <c r="A1070" s="83">
        <v>43586</v>
      </c>
      <c r="B1070" t="s">
        <v>30</v>
      </c>
      <c r="C1070" t="s">
        <v>21</v>
      </c>
      <c r="D1070" t="s">
        <v>26</v>
      </c>
      <c r="E1070">
        <v>224</v>
      </c>
      <c r="F1070">
        <f t="shared" si="19"/>
        <v>5</v>
      </c>
    </row>
    <row r="1071" spans="1:6">
      <c r="A1071" s="83">
        <v>43586</v>
      </c>
      <c r="B1071" t="s">
        <v>30</v>
      </c>
      <c r="C1071" t="s">
        <v>21</v>
      </c>
      <c r="D1071" t="s">
        <v>22</v>
      </c>
      <c r="E1071">
        <v>1285</v>
      </c>
      <c r="F1071">
        <f t="shared" si="19"/>
        <v>7</v>
      </c>
    </row>
    <row r="1072" spans="1:6">
      <c r="A1072" s="83">
        <v>43586</v>
      </c>
      <c r="B1072" t="s">
        <v>30</v>
      </c>
      <c r="C1072" t="s">
        <v>24</v>
      </c>
      <c r="D1072" t="s">
        <v>26</v>
      </c>
      <c r="E1072">
        <v>175</v>
      </c>
      <c r="F1072">
        <f t="shared" si="19"/>
        <v>5</v>
      </c>
    </row>
    <row r="1073" spans="1:6">
      <c r="A1073" s="83">
        <v>43586</v>
      </c>
      <c r="B1073" t="s">
        <v>30</v>
      </c>
      <c r="C1073" t="s">
        <v>24</v>
      </c>
      <c r="D1073" t="s">
        <v>22</v>
      </c>
      <c r="E1073">
        <v>124</v>
      </c>
      <c r="F1073">
        <f t="shared" si="19"/>
        <v>7</v>
      </c>
    </row>
    <row r="1074" spans="1:6">
      <c r="A1074" s="83">
        <v>43617</v>
      </c>
      <c r="B1074" t="s">
        <v>30</v>
      </c>
      <c r="C1074" t="s">
        <v>21</v>
      </c>
      <c r="D1074" t="s">
        <v>26</v>
      </c>
      <c r="E1074">
        <v>249</v>
      </c>
      <c r="F1074">
        <f t="shared" si="19"/>
        <v>5</v>
      </c>
    </row>
    <row r="1075" spans="1:6">
      <c r="A1075" s="83">
        <v>43617</v>
      </c>
      <c r="B1075" t="s">
        <v>30</v>
      </c>
      <c r="C1075" t="s">
        <v>21</v>
      </c>
      <c r="D1075" t="s">
        <v>26</v>
      </c>
      <c r="E1075">
        <v>1615</v>
      </c>
      <c r="F1075">
        <f t="shared" si="19"/>
        <v>5</v>
      </c>
    </row>
    <row r="1076" spans="1:6">
      <c r="A1076" s="83">
        <v>43617</v>
      </c>
      <c r="B1076" t="s">
        <v>30</v>
      </c>
      <c r="C1076" t="s">
        <v>24</v>
      </c>
      <c r="D1076" t="s">
        <v>26</v>
      </c>
      <c r="E1076">
        <v>158</v>
      </c>
      <c r="F1076">
        <f t="shared" si="19"/>
        <v>5</v>
      </c>
    </row>
    <row r="1077" spans="1:6">
      <c r="A1077" s="83">
        <v>43617</v>
      </c>
      <c r="B1077" t="s">
        <v>30</v>
      </c>
      <c r="C1077" t="s">
        <v>24</v>
      </c>
      <c r="D1077" t="s">
        <v>22</v>
      </c>
      <c r="E1077">
        <v>146</v>
      </c>
      <c r="F1077">
        <f t="shared" si="19"/>
        <v>7</v>
      </c>
    </row>
    <row r="1078" spans="1:6">
      <c r="A1078" s="83">
        <v>43647</v>
      </c>
      <c r="B1078" t="s">
        <v>30</v>
      </c>
      <c r="C1078" t="s">
        <v>21</v>
      </c>
      <c r="D1078" t="s">
        <v>26</v>
      </c>
      <c r="E1078">
        <v>249</v>
      </c>
      <c r="F1078">
        <f t="shared" si="19"/>
        <v>5</v>
      </c>
    </row>
    <row r="1079" spans="1:6">
      <c r="A1079" s="83">
        <v>43647</v>
      </c>
      <c r="B1079" t="s">
        <v>30</v>
      </c>
      <c r="C1079" t="s">
        <v>21</v>
      </c>
      <c r="D1079" t="s">
        <v>23</v>
      </c>
      <c r="E1079">
        <v>1258</v>
      </c>
      <c r="F1079">
        <f t="shared" si="19"/>
        <v>3</v>
      </c>
    </row>
    <row r="1080" spans="1:6">
      <c r="A1080" s="83">
        <v>43647</v>
      </c>
      <c r="B1080" t="s">
        <v>30</v>
      </c>
      <c r="C1080" t="s">
        <v>24</v>
      </c>
      <c r="D1080" t="s">
        <v>23</v>
      </c>
      <c r="E1080">
        <v>175</v>
      </c>
      <c r="F1080">
        <f t="shared" si="19"/>
        <v>3</v>
      </c>
    </row>
    <row r="1081" spans="1:6">
      <c r="A1081" s="83">
        <v>43647</v>
      </c>
      <c r="B1081" t="s">
        <v>30</v>
      </c>
      <c r="C1081" t="s">
        <v>24</v>
      </c>
      <c r="D1081" t="s">
        <v>22</v>
      </c>
      <c r="E1081">
        <v>146</v>
      </c>
      <c r="F1081">
        <f t="shared" si="19"/>
        <v>7</v>
      </c>
    </row>
    <row r="1082" spans="1:6">
      <c r="A1082" s="83">
        <v>43678</v>
      </c>
      <c r="B1082" t="s">
        <v>30</v>
      </c>
      <c r="C1082" t="s">
        <v>21</v>
      </c>
      <c r="D1082" t="s">
        <v>26</v>
      </c>
      <c r="E1082">
        <v>238</v>
      </c>
      <c r="F1082">
        <f t="shared" si="19"/>
        <v>5</v>
      </c>
    </row>
    <row r="1083" spans="1:6">
      <c r="A1083" s="83">
        <v>43678</v>
      </c>
      <c r="B1083" t="s">
        <v>30</v>
      </c>
      <c r="C1083" t="s">
        <v>21</v>
      </c>
      <c r="D1083" t="s">
        <v>23</v>
      </c>
      <c r="E1083">
        <v>1873</v>
      </c>
      <c r="F1083">
        <f t="shared" si="19"/>
        <v>3</v>
      </c>
    </row>
    <row r="1084" spans="1:6">
      <c r="A1084" s="83">
        <v>43678</v>
      </c>
      <c r="B1084" t="s">
        <v>30</v>
      </c>
      <c r="C1084" t="s">
        <v>24</v>
      </c>
      <c r="D1084" t="s">
        <v>22</v>
      </c>
      <c r="E1084">
        <v>228</v>
      </c>
      <c r="F1084">
        <f t="shared" si="19"/>
        <v>7</v>
      </c>
    </row>
    <row r="1085" spans="1:6">
      <c r="A1085" s="83">
        <v>43678</v>
      </c>
      <c r="B1085" t="s">
        <v>30</v>
      </c>
      <c r="C1085" t="s">
        <v>24</v>
      </c>
      <c r="D1085" t="s">
        <v>22</v>
      </c>
      <c r="E1085">
        <v>124</v>
      </c>
      <c r="F1085">
        <f t="shared" si="19"/>
        <v>7</v>
      </c>
    </row>
    <row r="1086" spans="1:6">
      <c r="A1086" s="83">
        <v>43709</v>
      </c>
      <c r="B1086" t="s">
        <v>30</v>
      </c>
      <c r="C1086" t="s">
        <v>21</v>
      </c>
      <c r="D1086" t="s">
        <v>26</v>
      </c>
      <c r="E1086">
        <v>224</v>
      </c>
      <c r="F1086">
        <f t="shared" si="19"/>
        <v>5</v>
      </c>
    </row>
    <row r="1087" spans="1:6">
      <c r="A1087" s="83">
        <v>43709</v>
      </c>
      <c r="B1087" t="s">
        <v>30</v>
      </c>
      <c r="C1087" t="s">
        <v>21</v>
      </c>
      <c r="D1087" t="s">
        <v>23</v>
      </c>
      <c r="E1087">
        <v>2687</v>
      </c>
      <c r="F1087">
        <f t="shared" si="19"/>
        <v>3</v>
      </c>
    </row>
    <row r="1088" spans="1:6">
      <c r="A1088" s="83">
        <v>43709</v>
      </c>
      <c r="B1088" t="s">
        <v>30</v>
      </c>
      <c r="C1088" t="s">
        <v>24</v>
      </c>
      <c r="D1088" t="s">
        <v>23</v>
      </c>
      <c r="E1088">
        <v>254</v>
      </c>
      <c r="F1088">
        <f t="shared" si="19"/>
        <v>3</v>
      </c>
    </row>
    <row r="1089" spans="1:6">
      <c r="A1089" s="83">
        <v>43709</v>
      </c>
      <c r="B1089" t="s">
        <v>30</v>
      </c>
      <c r="C1089" t="s">
        <v>24</v>
      </c>
      <c r="D1089" t="s">
        <v>23</v>
      </c>
      <c r="E1089">
        <v>101</v>
      </c>
      <c r="F1089">
        <f t="shared" si="19"/>
        <v>3</v>
      </c>
    </row>
    <row r="1090" spans="1:6">
      <c r="A1090" s="83">
        <v>43739</v>
      </c>
      <c r="B1090" t="s">
        <v>30</v>
      </c>
      <c r="C1090" t="s">
        <v>21</v>
      </c>
      <c r="D1090" t="s">
        <v>26</v>
      </c>
      <c r="E1090">
        <v>354</v>
      </c>
      <c r="F1090">
        <f t="shared" si="19"/>
        <v>5</v>
      </c>
    </row>
    <row r="1091" spans="1:6">
      <c r="A1091" s="83">
        <v>43739</v>
      </c>
      <c r="B1091" t="s">
        <v>30</v>
      </c>
      <c r="C1091" t="s">
        <v>21</v>
      </c>
      <c r="D1091" t="s">
        <v>22</v>
      </c>
      <c r="E1091">
        <v>3392</v>
      </c>
      <c r="F1091">
        <f t="shared" ref="F1091:F1154" si="20">LEN(D1091)</f>
        <v>7</v>
      </c>
    </row>
    <row r="1092" spans="1:6">
      <c r="A1092" s="83">
        <v>43739</v>
      </c>
      <c r="B1092" t="s">
        <v>30</v>
      </c>
      <c r="C1092" t="s">
        <v>24</v>
      </c>
      <c r="D1092" t="s">
        <v>26</v>
      </c>
      <c r="E1092">
        <v>123</v>
      </c>
      <c r="F1092">
        <f t="shared" si="20"/>
        <v>5</v>
      </c>
    </row>
    <row r="1093" spans="1:6">
      <c r="A1093" s="83">
        <v>43739</v>
      </c>
      <c r="B1093" t="s">
        <v>30</v>
      </c>
      <c r="C1093" t="s">
        <v>24</v>
      </c>
      <c r="D1093" t="s">
        <v>22</v>
      </c>
      <c r="E1093">
        <v>90</v>
      </c>
      <c r="F1093">
        <f t="shared" si="20"/>
        <v>7</v>
      </c>
    </row>
    <row r="1094" spans="1:6">
      <c r="A1094" s="83">
        <v>43770</v>
      </c>
      <c r="B1094" t="s">
        <v>30</v>
      </c>
      <c r="C1094" t="s">
        <v>21</v>
      </c>
      <c r="D1094" t="s">
        <v>26</v>
      </c>
      <c r="E1094">
        <v>553</v>
      </c>
      <c r="F1094">
        <f t="shared" si="20"/>
        <v>5</v>
      </c>
    </row>
    <row r="1095" spans="1:6">
      <c r="A1095" s="83">
        <v>43770</v>
      </c>
      <c r="B1095" t="s">
        <v>30</v>
      </c>
      <c r="C1095" t="s">
        <v>21</v>
      </c>
      <c r="D1095" t="s">
        <v>22</v>
      </c>
      <c r="E1095">
        <v>2112</v>
      </c>
      <c r="F1095">
        <f t="shared" si="20"/>
        <v>7</v>
      </c>
    </row>
    <row r="1096" spans="1:6">
      <c r="A1096" s="83">
        <v>43770</v>
      </c>
      <c r="B1096" t="s">
        <v>30</v>
      </c>
      <c r="C1096" t="s">
        <v>24</v>
      </c>
      <c r="D1096" t="s">
        <v>23</v>
      </c>
      <c r="E1096">
        <v>114</v>
      </c>
      <c r="F1096">
        <f t="shared" si="20"/>
        <v>3</v>
      </c>
    </row>
    <row r="1097" spans="1:6">
      <c r="A1097" s="83">
        <v>43770</v>
      </c>
      <c r="B1097" t="s">
        <v>30</v>
      </c>
      <c r="C1097" t="s">
        <v>24</v>
      </c>
      <c r="D1097" t="s">
        <v>26</v>
      </c>
      <c r="E1097">
        <v>101</v>
      </c>
      <c r="F1097">
        <f t="shared" si="20"/>
        <v>5</v>
      </c>
    </row>
    <row r="1098" spans="1:6">
      <c r="A1098" s="83">
        <v>43800</v>
      </c>
      <c r="B1098" t="s">
        <v>30</v>
      </c>
      <c r="C1098" t="s">
        <v>21</v>
      </c>
      <c r="D1098" t="s">
        <v>22</v>
      </c>
      <c r="E1098">
        <v>580</v>
      </c>
      <c r="F1098">
        <f t="shared" si="20"/>
        <v>7</v>
      </c>
    </row>
    <row r="1099" spans="1:6">
      <c r="A1099" s="83">
        <v>43800</v>
      </c>
      <c r="B1099" t="s">
        <v>30</v>
      </c>
      <c r="C1099" t="s">
        <v>21</v>
      </c>
      <c r="D1099" t="s">
        <v>23</v>
      </c>
      <c r="E1099">
        <v>2282</v>
      </c>
      <c r="F1099">
        <f t="shared" si="20"/>
        <v>3</v>
      </c>
    </row>
    <row r="1100" spans="1:6">
      <c r="A1100" s="83">
        <v>43800</v>
      </c>
      <c r="B1100" t="s">
        <v>30</v>
      </c>
      <c r="C1100" t="s">
        <v>24</v>
      </c>
      <c r="D1100" t="s">
        <v>22</v>
      </c>
      <c r="E1100">
        <v>96</v>
      </c>
      <c r="F1100">
        <f t="shared" si="20"/>
        <v>7</v>
      </c>
    </row>
    <row r="1101" spans="1:6">
      <c r="A1101" s="83">
        <v>43800</v>
      </c>
      <c r="B1101" t="s">
        <v>30</v>
      </c>
      <c r="C1101" t="s">
        <v>24</v>
      </c>
      <c r="D1101" t="s">
        <v>22</v>
      </c>
      <c r="E1101">
        <v>68</v>
      </c>
      <c r="F1101">
        <f t="shared" si="20"/>
        <v>7</v>
      </c>
    </row>
    <row r="1102" spans="1:6">
      <c r="A1102" s="83">
        <v>43405</v>
      </c>
      <c r="B1102" t="s">
        <v>30</v>
      </c>
      <c r="C1102" t="s">
        <v>24</v>
      </c>
      <c r="D1102" t="s">
        <v>22</v>
      </c>
      <c r="E1102">
        <v>140</v>
      </c>
      <c r="F1102">
        <f t="shared" si="20"/>
        <v>7</v>
      </c>
    </row>
    <row r="1103" spans="1:6">
      <c r="A1103" s="83">
        <v>43405</v>
      </c>
      <c r="B1103" t="s">
        <v>30</v>
      </c>
      <c r="C1103" t="s">
        <v>24</v>
      </c>
      <c r="D1103" t="s">
        <v>23</v>
      </c>
      <c r="E1103">
        <v>79</v>
      </c>
      <c r="F1103">
        <f t="shared" si="20"/>
        <v>3</v>
      </c>
    </row>
    <row r="1104" spans="1:6">
      <c r="A1104" s="83">
        <v>43435</v>
      </c>
      <c r="B1104" t="s">
        <v>30</v>
      </c>
      <c r="C1104" t="s">
        <v>24</v>
      </c>
      <c r="D1104" t="s">
        <v>22</v>
      </c>
      <c r="E1104">
        <v>140</v>
      </c>
      <c r="F1104">
        <f t="shared" si="20"/>
        <v>7</v>
      </c>
    </row>
    <row r="1105" spans="1:6">
      <c r="A1105" s="83">
        <v>43435</v>
      </c>
      <c r="B1105" t="s">
        <v>30</v>
      </c>
      <c r="C1105" t="s">
        <v>24</v>
      </c>
      <c r="D1105" t="s">
        <v>26</v>
      </c>
      <c r="E1105">
        <v>113</v>
      </c>
      <c r="F1105">
        <f t="shared" si="20"/>
        <v>5</v>
      </c>
    </row>
    <row r="1106" spans="1:6">
      <c r="A1106" s="83">
        <v>43466</v>
      </c>
      <c r="B1106" t="s">
        <v>30</v>
      </c>
      <c r="C1106" t="s">
        <v>24</v>
      </c>
      <c r="D1106" t="s">
        <v>22</v>
      </c>
      <c r="E1106">
        <v>131</v>
      </c>
      <c r="F1106">
        <f t="shared" si="20"/>
        <v>7</v>
      </c>
    </row>
    <row r="1107" spans="1:6">
      <c r="A1107" s="83">
        <v>43466</v>
      </c>
      <c r="B1107" t="s">
        <v>30</v>
      </c>
      <c r="C1107" t="s">
        <v>24</v>
      </c>
      <c r="D1107" t="s">
        <v>23</v>
      </c>
      <c r="E1107">
        <v>158</v>
      </c>
      <c r="F1107">
        <f t="shared" si="20"/>
        <v>3</v>
      </c>
    </row>
    <row r="1108" spans="1:6">
      <c r="A1108" s="83">
        <v>43497</v>
      </c>
      <c r="B1108" t="s">
        <v>30</v>
      </c>
      <c r="C1108" t="s">
        <v>21</v>
      </c>
      <c r="D1108" t="s">
        <v>26</v>
      </c>
      <c r="E1108">
        <v>668</v>
      </c>
      <c r="F1108">
        <f t="shared" si="20"/>
        <v>5</v>
      </c>
    </row>
    <row r="1109" spans="1:6">
      <c r="A1109" s="83">
        <v>43497</v>
      </c>
      <c r="B1109" t="s">
        <v>30</v>
      </c>
      <c r="C1109" t="s">
        <v>21</v>
      </c>
      <c r="D1109" t="s">
        <v>23</v>
      </c>
      <c r="E1109">
        <v>630</v>
      </c>
      <c r="F1109">
        <f t="shared" si="20"/>
        <v>3</v>
      </c>
    </row>
    <row r="1110" spans="1:6">
      <c r="A1110" s="83">
        <v>43497</v>
      </c>
      <c r="B1110" t="s">
        <v>30</v>
      </c>
      <c r="C1110" t="s">
        <v>24</v>
      </c>
      <c r="D1110" t="s">
        <v>26</v>
      </c>
      <c r="E1110">
        <v>131</v>
      </c>
      <c r="F1110">
        <f t="shared" si="20"/>
        <v>5</v>
      </c>
    </row>
    <row r="1111" spans="1:6">
      <c r="A1111" s="83">
        <v>43497</v>
      </c>
      <c r="B1111" t="s">
        <v>30</v>
      </c>
      <c r="C1111" t="s">
        <v>24</v>
      </c>
      <c r="D1111" t="s">
        <v>22</v>
      </c>
      <c r="E1111">
        <v>124</v>
      </c>
      <c r="F1111">
        <f t="shared" si="20"/>
        <v>7</v>
      </c>
    </row>
    <row r="1112" spans="1:6">
      <c r="A1112" s="83">
        <v>43525</v>
      </c>
      <c r="B1112" t="s">
        <v>30</v>
      </c>
      <c r="C1112" t="s">
        <v>21</v>
      </c>
      <c r="D1112" t="s">
        <v>23</v>
      </c>
      <c r="E1112">
        <v>525</v>
      </c>
      <c r="F1112">
        <f t="shared" si="20"/>
        <v>3</v>
      </c>
    </row>
    <row r="1113" spans="1:6">
      <c r="A1113" s="83">
        <v>43525</v>
      </c>
      <c r="B1113" t="s">
        <v>30</v>
      </c>
      <c r="C1113" t="s">
        <v>21</v>
      </c>
      <c r="D1113" t="s">
        <v>23</v>
      </c>
      <c r="E1113">
        <v>408</v>
      </c>
      <c r="F1113">
        <f t="shared" si="20"/>
        <v>3</v>
      </c>
    </row>
    <row r="1114" spans="1:6">
      <c r="A1114" s="83">
        <v>43525</v>
      </c>
      <c r="B1114" t="s">
        <v>30</v>
      </c>
      <c r="C1114" t="s">
        <v>24</v>
      </c>
      <c r="D1114" t="s">
        <v>22</v>
      </c>
      <c r="E1114">
        <v>140</v>
      </c>
      <c r="F1114">
        <f t="shared" si="20"/>
        <v>7</v>
      </c>
    </row>
    <row r="1115" spans="1:6">
      <c r="A1115" s="83">
        <v>43525</v>
      </c>
      <c r="B1115" t="s">
        <v>30</v>
      </c>
      <c r="C1115" t="s">
        <v>24</v>
      </c>
      <c r="D1115" t="s">
        <v>23</v>
      </c>
      <c r="E1115">
        <v>146</v>
      </c>
      <c r="F1115">
        <f t="shared" si="20"/>
        <v>3</v>
      </c>
    </row>
    <row r="1116" spans="1:6">
      <c r="A1116" s="83">
        <v>43556</v>
      </c>
      <c r="B1116" t="s">
        <v>30</v>
      </c>
      <c r="C1116" t="s">
        <v>21</v>
      </c>
      <c r="D1116" t="s">
        <v>26</v>
      </c>
      <c r="E1116">
        <v>664</v>
      </c>
      <c r="F1116">
        <f t="shared" si="20"/>
        <v>5</v>
      </c>
    </row>
    <row r="1117" spans="1:6">
      <c r="A1117" s="83">
        <v>43556</v>
      </c>
      <c r="B1117" t="s">
        <v>30</v>
      </c>
      <c r="C1117" t="s">
        <v>21</v>
      </c>
      <c r="D1117" t="s">
        <v>26</v>
      </c>
      <c r="E1117">
        <v>430</v>
      </c>
      <c r="F1117">
        <f t="shared" si="20"/>
        <v>5</v>
      </c>
    </row>
    <row r="1118" spans="1:6">
      <c r="A1118" s="83">
        <v>43556</v>
      </c>
      <c r="B1118" t="s">
        <v>30</v>
      </c>
      <c r="C1118" t="s">
        <v>24</v>
      </c>
      <c r="D1118" t="s">
        <v>26</v>
      </c>
      <c r="E1118">
        <v>123</v>
      </c>
      <c r="F1118">
        <f t="shared" si="20"/>
        <v>5</v>
      </c>
    </row>
    <row r="1119" spans="1:6">
      <c r="A1119" s="83">
        <v>43556</v>
      </c>
      <c r="B1119" t="s">
        <v>30</v>
      </c>
      <c r="C1119" t="s">
        <v>24</v>
      </c>
      <c r="D1119" t="s">
        <v>22</v>
      </c>
      <c r="E1119">
        <v>158</v>
      </c>
      <c r="F1119">
        <f t="shared" si="20"/>
        <v>7</v>
      </c>
    </row>
    <row r="1120" spans="1:6">
      <c r="A1120" s="83">
        <v>43586</v>
      </c>
      <c r="B1120" t="s">
        <v>30</v>
      </c>
      <c r="C1120" t="s">
        <v>21</v>
      </c>
      <c r="D1120" t="s">
        <v>26</v>
      </c>
      <c r="E1120">
        <v>751</v>
      </c>
      <c r="F1120">
        <f t="shared" si="20"/>
        <v>5</v>
      </c>
    </row>
    <row r="1121" spans="1:6">
      <c r="A1121" s="83">
        <v>43586</v>
      </c>
      <c r="B1121" t="s">
        <v>30</v>
      </c>
      <c r="C1121" t="s">
        <v>21</v>
      </c>
      <c r="D1121" t="s">
        <v>22</v>
      </c>
      <c r="E1121">
        <v>473</v>
      </c>
      <c r="F1121">
        <f t="shared" si="20"/>
        <v>7</v>
      </c>
    </row>
    <row r="1122" spans="1:6">
      <c r="A1122" s="83">
        <v>43586</v>
      </c>
      <c r="B1122" t="s">
        <v>30</v>
      </c>
      <c r="C1122" t="s">
        <v>24</v>
      </c>
      <c r="D1122" t="s">
        <v>23</v>
      </c>
      <c r="E1122">
        <v>149</v>
      </c>
      <c r="F1122">
        <f t="shared" si="20"/>
        <v>3</v>
      </c>
    </row>
    <row r="1123" spans="1:6">
      <c r="A1123" s="83">
        <v>43586</v>
      </c>
      <c r="B1123" t="s">
        <v>30</v>
      </c>
      <c r="C1123" t="s">
        <v>24</v>
      </c>
      <c r="D1123" t="s">
        <v>26</v>
      </c>
      <c r="E1123">
        <v>191</v>
      </c>
      <c r="F1123">
        <f t="shared" si="20"/>
        <v>5</v>
      </c>
    </row>
    <row r="1124" spans="1:6">
      <c r="A1124" s="83">
        <v>43617</v>
      </c>
      <c r="B1124" t="s">
        <v>30</v>
      </c>
      <c r="C1124" t="s">
        <v>21</v>
      </c>
      <c r="D1124" t="s">
        <v>23</v>
      </c>
      <c r="E1124">
        <v>1036</v>
      </c>
      <c r="F1124">
        <f t="shared" si="20"/>
        <v>3</v>
      </c>
    </row>
    <row r="1125" spans="1:6">
      <c r="A1125" s="83">
        <v>43617</v>
      </c>
      <c r="B1125" t="s">
        <v>30</v>
      </c>
      <c r="C1125" t="s">
        <v>21</v>
      </c>
      <c r="D1125" t="s">
        <v>23</v>
      </c>
      <c r="E1125">
        <v>473</v>
      </c>
      <c r="F1125">
        <f t="shared" si="20"/>
        <v>3</v>
      </c>
    </row>
    <row r="1126" spans="1:6">
      <c r="A1126" s="83">
        <v>43617</v>
      </c>
      <c r="B1126" t="s">
        <v>30</v>
      </c>
      <c r="C1126" t="s">
        <v>24</v>
      </c>
      <c r="D1126" t="s">
        <v>23</v>
      </c>
      <c r="E1126">
        <v>175</v>
      </c>
      <c r="F1126">
        <f t="shared" si="20"/>
        <v>3</v>
      </c>
    </row>
    <row r="1127" spans="1:6">
      <c r="A1127" s="83">
        <v>43617</v>
      </c>
      <c r="B1127" t="s">
        <v>30</v>
      </c>
      <c r="C1127" t="s">
        <v>24</v>
      </c>
      <c r="D1127" t="s">
        <v>23</v>
      </c>
      <c r="E1127">
        <v>101</v>
      </c>
      <c r="F1127">
        <f t="shared" si="20"/>
        <v>3</v>
      </c>
    </row>
    <row r="1128" spans="1:6">
      <c r="A1128" s="83">
        <v>43647</v>
      </c>
      <c r="B1128" t="s">
        <v>30</v>
      </c>
      <c r="C1128" t="s">
        <v>21</v>
      </c>
      <c r="D1128" t="s">
        <v>26</v>
      </c>
      <c r="E1128">
        <v>210</v>
      </c>
      <c r="F1128">
        <f t="shared" si="20"/>
        <v>5</v>
      </c>
    </row>
    <row r="1129" spans="1:6">
      <c r="A1129" s="83">
        <v>43647</v>
      </c>
      <c r="B1129" t="s">
        <v>30</v>
      </c>
      <c r="C1129" t="s">
        <v>21</v>
      </c>
      <c r="D1129" t="s">
        <v>23</v>
      </c>
      <c r="E1129">
        <v>540</v>
      </c>
      <c r="F1129">
        <f t="shared" si="20"/>
        <v>3</v>
      </c>
    </row>
    <row r="1130" spans="1:6">
      <c r="A1130" s="83">
        <v>43647</v>
      </c>
      <c r="B1130" t="s">
        <v>30</v>
      </c>
      <c r="C1130" t="s">
        <v>24</v>
      </c>
      <c r="D1130" t="s">
        <v>26</v>
      </c>
      <c r="E1130">
        <v>158</v>
      </c>
      <c r="F1130">
        <f t="shared" si="20"/>
        <v>5</v>
      </c>
    </row>
    <row r="1131" spans="1:6">
      <c r="A1131" s="83">
        <v>43647</v>
      </c>
      <c r="B1131" t="s">
        <v>30</v>
      </c>
      <c r="C1131" t="s">
        <v>24</v>
      </c>
      <c r="D1131" t="s">
        <v>26</v>
      </c>
      <c r="E1131">
        <v>113</v>
      </c>
      <c r="F1131">
        <f t="shared" si="20"/>
        <v>5</v>
      </c>
    </row>
    <row r="1132" spans="1:6">
      <c r="A1132" s="83">
        <v>43678</v>
      </c>
      <c r="B1132" t="s">
        <v>30</v>
      </c>
      <c r="C1132" t="s">
        <v>21</v>
      </c>
      <c r="D1132" t="s">
        <v>22</v>
      </c>
      <c r="E1132">
        <v>263</v>
      </c>
      <c r="F1132">
        <f t="shared" si="20"/>
        <v>7</v>
      </c>
    </row>
    <row r="1133" spans="1:6">
      <c r="A1133" s="83">
        <v>43678</v>
      </c>
      <c r="B1133" t="s">
        <v>30</v>
      </c>
      <c r="C1133" t="s">
        <v>21</v>
      </c>
      <c r="D1133" t="s">
        <v>26</v>
      </c>
      <c r="E1133">
        <v>470</v>
      </c>
      <c r="F1133">
        <f t="shared" si="20"/>
        <v>5</v>
      </c>
    </row>
    <row r="1134" spans="1:6">
      <c r="A1134" s="83">
        <v>43678</v>
      </c>
      <c r="B1134" t="s">
        <v>30</v>
      </c>
      <c r="C1134" t="s">
        <v>24</v>
      </c>
      <c r="D1134" t="s">
        <v>23</v>
      </c>
      <c r="E1134">
        <v>166</v>
      </c>
      <c r="F1134">
        <f t="shared" si="20"/>
        <v>3</v>
      </c>
    </row>
    <row r="1135" spans="1:6">
      <c r="A1135" s="83">
        <v>43678</v>
      </c>
      <c r="B1135" t="s">
        <v>30</v>
      </c>
      <c r="C1135" t="s">
        <v>24</v>
      </c>
      <c r="D1135" t="s">
        <v>23</v>
      </c>
      <c r="E1135">
        <v>135</v>
      </c>
      <c r="F1135">
        <f t="shared" si="20"/>
        <v>3</v>
      </c>
    </row>
    <row r="1136" spans="1:6">
      <c r="A1136" s="83">
        <v>43709</v>
      </c>
      <c r="B1136" t="s">
        <v>30</v>
      </c>
      <c r="C1136" t="s">
        <v>21</v>
      </c>
      <c r="D1136" t="s">
        <v>26</v>
      </c>
      <c r="E1136">
        <v>280</v>
      </c>
      <c r="F1136">
        <f t="shared" si="20"/>
        <v>5</v>
      </c>
    </row>
    <row r="1137" spans="1:6">
      <c r="A1137" s="83">
        <v>43709</v>
      </c>
      <c r="B1137" t="s">
        <v>30</v>
      </c>
      <c r="C1137" t="s">
        <v>21</v>
      </c>
      <c r="D1137" t="s">
        <v>23</v>
      </c>
      <c r="E1137">
        <v>506</v>
      </c>
      <c r="F1137">
        <f t="shared" si="20"/>
        <v>3</v>
      </c>
    </row>
    <row r="1138" spans="1:6">
      <c r="A1138" s="83">
        <v>43709</v>
      </c>
      <c r="B1138" t="s">
        <v>30</v>
      </c>
      <c r="C1138" t="s">
        <v>24</v>
      </c>
      <c r="D1138" t="s">
        <v>22</v>
      </c>
      <c r="E1138">
        <v>149</v>
      </c>
      <c r="F1138">
        <f t="shared" si="20"/>
        <v>7</v>
      </c>
    </row>
    <row r="1139" spans="1:6">
      <c r="A1139" s="83">
        <v>43709</v>
      </c>
      <c r="B1139" t="s">
        <v>30</v>
      </c>
      <c r="C1139" t="s">
        <v>24</v>
      </c>
      <c r="D1139" t="s">
        <v>22</v>
      </c>
      <c r="E1139">
        <v>124</v>
      </c>
      <c r="F1139">
        <f t="shared" si="20"/>
        <v>7</v>
      </c>
    </row>
    <row r="1140" spans="1:6">
      <c r="A1140" s="83">
        <v>43739</v>
      </c>
      <c r="B1140" t="s">
        <v>30</v>
      </c>
      <c r="C1140" t="s">
        <v>21</v>
      </c>
      <c r="D1140" t="s">
        <v>23</v>
      </c>
      <c r="E1140">
        <v>368</v>
      </c>
      <c r="F1140">
        <f t="shared" si="20"/>
        <v>3</v>
      </c>
    </row>
    <row r="1141" spans="1:6">
      <c r="A1141" s="83">
        <v>43739</v>
      </c>
      <c r="B1141" t="s">
        <v>30</v>
      </c>
      <c r="C1141" t="s">
        <v>21</v>
      </c>
      <c r="D1141" t="s">
        <v>26</v>
      </c>
      <c r="E1141">
        <v>582</v>
      </c>
      <c r="F1141">
        <f t="shared" si="20"/>
        <v>5</v>
      </c>
    </row>
    <row r="1142" spans="1:6">
      <c r="A1142" s="83">
        <v>43739</v>
      </c>
      <c r="B1142" t="s">
        <v>30</v>
      </c>
      <c r="C1142" t="s">
        <v>24</v>
      </c>
      <c r="D1142" t="s">
        <v>23</v>
      </c>
      <c r="E1142">
        <v>149</v>
      </c>
      <c r="F1142">
        <f t="shared" si="20"/>
        <v>3</v>
      </c>
    </row>
    <row r="1143" spans="1:6">
      <c r="A1143" s="83">
        <v>43739</v>
      </c>
      <c r="B1143" t="s">
        <v>30</v>
      </c>
      <c r="C1143" t="s">
        <v>24</v>
      </c>
      <c r="D1143" t="s">
        <v>22</v>
      </c>
      <c r="E1143">
        <v>146</v>
      </c>
      <c r="F1143">
        <f t="shared" si="20"/>
        <v>7</v>
      </c>
    </row>
    <row r="1144" spans="1:6">
      <c r="A1144" s="83">
        <v>43770</v>
      </c>
      <c r="B1144" t="s">
        <v>30</v>
      </c>
      <c r="C1144" t="s">
        <v>21</v>
      </c>
      <c r="D1144" t="s">
        <v>26</v>
      </c>
      <c r="E1144">
        <v>333</v>
      </c>
      <c r="F1144">
        <f t="shared" si="20"/>
        <v>5</v>
      </c>
    </row>
    <row r="1145" spans="1:6">
      <c r="A1145" s="83">
        <v>43770</v>
      </c>
      <c r="B1145" t="s">
        <v>30</v>
      </c>
      <c r="C1145" t="s">
        <v>21</v>
      </c>
      <c r="D1145" t="s">
        <v>23</v>
      </c>
      <c r="E1145">
        <v>585</v>
      </c>
      <c r="F1145">
        <f t="shared" si="20"/>
        <v>3</v>
      </c>
    </row>
    <row r="1146" spans="1:6">
      <c r="A1146" s="83">
        <v>43770</v>
      </c>
      <c r="B1146" t="s">
        <v>30</v>
      </c>
      <c r="C1146" t="s">
        <v>24</v>
      </c>
      <c r="D1146" t="s">
        <v>26</v>
      </c>
      <c r="E1146">
        <v>184</v>
      </c>
      <c r="F1146">
        <f t="shared" si="20"/>
        <v>5</v>
      </c>
    </row>
    <row r="1147" spans="1:6">
      <c r="A1147" s="83">
        <v>43770</v>
      </c>
      <c r="B1147" t="s">
        <v>30</v>
      </c>
      <c r="C1147" t="s">
        <v>24</v>
      </c>
      <c r="D1147" t="s">
        <v>22</v>
      </c>
      <c r="E1147">
        <v>124</v>
      </c>
      <c r="F1147">
        <f t="shared" si="20"/>
        <v>7</v>
      </c>
    </row>
    <row r="1148" spans="1:6">
      <c r="A1148" s="83">
        <v>43800</v>
      </c>
      <c r="B1148" t="s">
        <v>30</v>
      </c>
      <c r="C1148" t="s">
        <v>21</v>
      </c>
      <c r="D1148" t="s">
        <v>26</v>
      </c>
      <c r="E1148">
        <v>385</v>
      </c>
      <c r="F1148">
        <f t="shared" si="20"/>
        <v>5</v>
      </c>
    </row>
    <row r="1149" spans="1:6">
      <c r="A1149" s="83">
        <v>43800</v>
      </c>
      <c r="B1149" t="s">
        <v>30</v>
      </c>
      <c r="C1149" t="s">
        <v>21</v>
      </c>
      <c r="D1149" t="s">
        <v>22</v>
      </c>
      <c r="E1149">
        <v>514</v>
      </c>
      <c r="F1149">
        <f t="shared" si="20"/>
        <v>7</v>
      </c>
    </row>
    <row r="1150" spans="1:6">
      <c r="A1150" s="83">
        <v>43800</v>
      </c>
      <c r="B1150" t="s">
        <v>30</v>
      </c>
      <c r="C1150" t="s">
        <v>24</v>
      </c>
      <c r="D1150" t="s">
        <v>23</v>
      </c>
      <c r="E1150">
        <v>131</v>
      </c>
      <c r="F1150">
        <f t="shared" si="20"/>
        <v>3</v>
      </c>
    </row>
    <row r="1151" spans="1:6">
      <c r="A1151" s="83">
        <v>43800</v>
      </c>
      <c r="B1151" t="s">
        <v>30</v>
      </c>
      <c r="C1151" t="s">
        <v>24</v>
      </c>
      <c r="D1151" t="s">
        <v>26</v>
      </c>
      <c r="E1151">
        <v>146</v>
      </c>
      <c r="F1151">
        <f t="shared" si="20"/>
        <v>5</v>
      </c>
    </row>
    <row r="1152" spans="1:6">
      <c r="A1152" s="83">
        <v>43405</v>
      </c>
      <c r="B1152" t="s">
        <v>30</v>
      </c>
      <c r="C1152" t="s">
        <v>24</v>
      </c>
      <c r="D1152" t="s">
        <v>23</v>
      </c>
      <c r="E1152">
        <v>228</v>
      </c>
      <c r="F1152">
        <f t="shared" si="20"/>
        <v>3</v>
      </c>
    </row>
    <row r="1153" spans="1:6">
      <c r="A1153" s="83">
        <v>43405</v>
      </c>
      <c r="B1153" t="s">
        <v>30</v>
      </c>
      <c r="C1153" t="s">
        <v>24</v>
      </c>
      <c r="D1153" t="s">
        <v>26</v>
      </c>
      <c r="E1153">
        <v>110</v>
      </c>
      <c r="F1153">
        <f t="shared" si="20"/>
        <v>5</v>
      </c>
    </row>
    <row r="1154" spans="1:6">
      <c r="A1154" s="83">
        <v>43405</v>
      </c>
      <c r="B1154" t="s">
        <v>30</v>
      </c>
      <c r="C1154" t="s">
        <v>24</v>
      </c>
      <c r="D1154" t="s">
        <v>26</v>
      </c>
      <c r="E1154">
        <v>180</v>
      </c>
      <c r="F1154">
        <f t="shared" si="20"/>
        <v>5</v>
      </c>
    </row>
    <row r="1155" spans="1:6">
      <c r="A1155" s="83">
        <v>43435</v>
      </c>
      <c r="B1155" t="s">
        <v>30</v>
      </c>
      <c r="C1155" t="s">
        <v>24</v>
      </c>
      <c r="D1155" t="s">
        <v>22</v>
      </c>
      <c r="E1155">
        <v>254</v>
      </c>
      <c r="F1155">
        <f t="shared" ref="F1155:F1218" si="21">LEN(D1155)</f>
        <v>7</v>
      </c>
    </row>
    <row r="1156" spans="1:6">
      <c r="A1156" s="83">
        <v>43435</v>
      </c>
      <c r="B1156" t="s">
        <v>30</v>
      </c>
      <c r="C1156" t="s">
        <v>24</v>
      </c>
      <c r="D1156" t="s">
        <v>23</v>
      </c>
      <c r="E1156">
        <v>83</v>
      </c>
      <c r="F1156">
        <f t="shared" si="21"/>
        <v>3</v>
      </c>
    </row>
    <row r="1157" spans="1:6">
      <c r="A1157" s="83">
        <v>43435</v>
      </c>
      <c r="B1157" t="s">
        <v>30</v>
      </c>
      <c r="C1157" t="s">
        <v>24</v>
      </c>
      <c r="D1157" t="s">
        <v>26</v>
      </c>
      <c r="E1157">
        <v>225</v>
      </c>
      <c r="F1157">
        <f t="shared" si="21"/>
        <v>5</v>
      </c>
    </row>
    <row r="1158" spans="1:6">
      <c r="A1158" s="83">
        <v>43466</v>
      </c>
      <c r="B1158" t="s">
        <v>30</v>
      </c>
      <c r="C1158" t="s">
        <v>24</v>
      </c>
      <c r="D1158" t="s">
        <v>22</v>
      </c>
      <c r="E1158">
        <v>236</v>
      </c>
      <c r="F1158">
        <f t="shared" si="21"/>
        <v>7</v>
      </c>
    </row>
    <row r="1159" spans="1:6">
      <c r="A1159" s="83">
        <v>43466</v>
      </c>
      <c r="B1159" t="s">
        <v>30</v>
      </c>
      <c r="C1159" t="s">
        <v>24</v>
      </c>
      <c r="D1159" t="s">
        <v>23</v>
      </c>
      <c r="E1159">
        <v>220</v>
      </c>
      <c r="F1159">
        <f t="shared" si="21"/>
        <v>3</v>
      </c>
    </row>
    <row r="1160" spans="1:6">
      <c r="A1160" s="83">
        <v>43466</v>
      </c>
      <c r="B1160" t="s">
        <v>30</v>
      </c>
      <c r="C1160" t="s">
        <v>24</v>
      </c>
      <c r="D1160" t="s">
        <v>22</v>
      </c>
      <c r="E1160">
        <v>113</v>
      </c>
      <c r="F1160">
        <f t="shared" si="21"/>
        <v>7</v>
      </c>
    </row>
    <row r="1161" spans="1:6">
      <c r="A1161" s="83">
        <v>43497</v>
      </c>
      <c r="B1161" t="s">
        <v>30</v>
      </c>
      <c r="C1161" t="s">
        <v>21</v>
      </c>
      <c r="D1161" t="s">
        <v>23</v>
      </c>
      <c r="E1161">
        <v>1662</v>
      </c>
      <c r="F1161">
        <f t="shared" si="21"/>
        <v>3</v>
      </c>
    </row>
    <row r="1162" spans="1:6">
      <c r="A1162" s="83">
        <v>43497</v>
      </c>
      <c r="B1162" t="s">
        <v>30</v>
      </c>
      <c r="C1162" t="s">
        <v>21</v>
      </c>
      <c r="D1162" t="s">
        <v>23</v>
      </c>
      <c r="E1162">
        <v>1164</v>
      </c>
      <c r="F1162">
        <f t="shared" si="21"/>
        <v>3</v>
      </c>
    </row>
    <row r="1163" spans="1:6">
      <c r="A1163" s="83">
        <v>43497</v>
      </c>
      <c r="B1163" t="s">
        <v>30</v>
      </c>
      <c r="C1163" t="s">
        <v>21</v>
      </c>
      <c r="D1163" t="s">
        <v>22</v>
      </c>
      <c r="E1163">
        <v>306</v>
      </c>
      <c r="F1163">
        <f t="shared" si="21"/>
        <v>7</v>
      </c>
    </row>
    <row r="1164" spans="1:6">
      <c r="A1164" s="83">
        <v>43497</v>
      </c>
      <c r="B1164" t="s">
        <v>30</v>
      </c>
      <c r="C1164" t="s">
        <v>24</v>
      </c>
      <c r="D1164" t="s">
        <v>26</v>
      </c>
      <c r="E1164">
        <v>79</v>
      </c>
      <c r="F1164">
        <f t="shared" si="21"/>
        <v>5</v>
      </c>
    </row>
    <row r="1165" spans="1:6">
      <c r="A1165" s="83">
        <v>43497</v>
      </c>
      <c r="B1165" t="s">
        <v>30</v>
      </c>
      <c r="C1165" t="s">
        <v>24</v>
      </c>
      <c r="D1165" t="s">
        <v>23</v>
      </c>
      <c r="E1165">
        <v>96</v>
      </c>
      <c r="F1165">
        <f t="shared" si="21"/>
        <v>3</v>
      </c>
    </row>
    <row r="1166" spans="1:6">
      <c r="A1166" s="83">
        <v>43497</v>
      </c>
      <c r="B1166" t="s">
        <v>30</v>
      </c>
      <c r="C1166" t="s">
        <v>24</v>
      </c>
      <c r="D1166" t="s">
        <v>22</v>
      </c>
      <c r="E1166">
        <v>23</v>
      </c>
      <c r="F1166">
        <f t="shared" si="21"/>
        <v>7</v>
      </c>
    </row>
    <row r="1167" spans="1:6">
      <c r="A1167" s="83">
        <v>43525</v>
      </c>
      <c r="B1167" t="s">
        <v>30</v>
      </c>
      <c r="C1167" t="s">
        <v>21</v>
      </c>
      <c r="D1167" t="s">
        <v>26</v>
      </c>
      <c r="E1167">
        <v>1172</v>
      </c>
      <c r="F1167">
        <f t="shared" si="21"/>
        <v>5</v>
      </c>
    </row>
    <row r="1168" spans="1:6">
      <c r="A1168" s="83">
        <v>43525</v>
      </c>
      <c r="B1168" t="s">
        <v>30</v>
      </c>
      <c r="C1168" t="s">
        <v>21</v>
      </c>
      <c r="D1168" t="s">
        <v>22</v>
      </c>
      <c r="E1168">
        <v>1860</v>
      </c>
      <c r="F1168">
        <f t="shared" si="21"/>
        <v>7</v>
      </c>
    </row>
    <row r="1169" spans="1:6">
      <c r="A1169" s="83">
        <v>43525</v>
      </c>
      <c r="B1169" t="s">
        <v>30</v>
      </c>
      <c r="C1169" t="s">
        <v>21</v>
      </c>
      <c r="D1169" t="s">
        <v>23</v>
      </c>
      <c r="E1169">
        <v>338</v>
      </c>
      <c r="F1169">
        <f t="shared" si="21"/>
        <v>3</v>
      </c>
    </row>
    <row r="1170" spans="1:6">
      <c r="A1170" s="83">
        <v>43525</v>
      </c>
      <c r="B1170" t="s">
        <v>30</v>
      </c>
      <c r="C1170" t="s">
        <v>24</v>
      </c>
      <c r="D1170" t="s">
        <v>26</v>
      </c>
      <c r="E1170">
        <v>61</v>
      </c>
      <c r="F1170">
        <f t="shared" si="21"/>
        <v>5</v>
      </c>
    </row>
    <row r="1171" spans="1:6">
      <c r="A1171" s="83">
        <v>43525</v>
      </c>
      <c r="B1171" t="s">
        <v>30</v>
      </c>
      <c r="C1171" t="s">
        <v>24</v>
      </c>
      <c r="D1171" t="s">
        <v>22</v>
      </c>
      <c r="E1171">
        <v>83</v>
      </c>
      <c r="F1171">
        <f t="shared" si="21"/>
        <v>7</v>
      </c>
    </row>
    <row r="1172" spans="1:6">
      <c r="A1172" s="83">
        <v>43525</v>
      </c>
      <c r="B1172" t="s">
        <v>30</v>
      </c>
      <c r="C1172" t="s">
        <v>24</v>
      </c>
      <c r="D1172" t="s">
        <v>22</v>
      </c>
      <c r="E1172">
        <v>34</v>
      </c>
      <c r="F1172">
        <f t="shared" si="21"/>
        <v>7</v>
      </c>
    </row>
    <row r="1173" spans="1:6">
      <c r="A1173" s="83">
        <v>43556</v>
      </c>
      <c r="B1173" t="s">
        <v>30</v>
      </c>
      <c r="C1173" t="s">
        <v>21</v>
      </c>
      <c r="D1173" t="s">
        <v>26</v>
      </c>
      <c r="E1173">
        <v>1238</v>
      </c>
      <c r="F1173">
        <f t="shared" si="21"/>
        <v>5</v>
      </c>
    </row>
    <row r="1174" spans="1:6">
      <c r="A1174" s="83">
        <v>43556</v>
      </c>
      <c r="B1174" t="s">
        <v>30</v>
      </c>
      <c r="C1174" t="s">
        <v>21</v>
      </c>
      <c r="D1174" t="s">
        <v>22</v>
      </c>
      <c r="E1174">
        <v>1048</v>
      </c>
      <c r="F1174">
        <f t="shared" si="21"/>
        <v>7</v>
      </c>
    </row>
    <row r="1175" spans="1:6">
      <c r="A1175" s="83">
        <v>43556</v>
      </c>
      <c r="B1175" t="s">
        <v>30</v>
      </c>
      <c r="C1175" t="s">
        <v>21</v>
      </c>
      <c r="D1175" t="s">
        <v>23</v>
      </c>
      <c r="E1175">
        <v>261</v>
      </c>
      <c r="F1175">
        <f t="shared" si="21"/>
        <v>3</v>
      </c>
    </row>
    <row r="1176" spans="1:6">
      <c r="A1176" s="83">
        <v>43556</v>
      </c>
      <c r="B1176" t="s">
        <v>30</v>
      </c>
      <c r="C1176" t="s">
        <v>24</v>
      </c>
      <c r="D1176" t="s">
        <v>23</v>
      </c>
      <c r="E1176">
        <v>70</v>
      </c>
      <c r="F1176">
        <f t="shared" si="21"/>
        <v>3</v>
      </c>
    </row>
    <row r="1177" spans="1:6">
      <c r="A1177" s="83">
        <v>43556</v>
      </c>
      <c r="B1177" t="s">
        <v>30</v>
      </c>
      <c r="C1177" t="s">
        <v>24</v>
      </c>
      <c r="D1177" t="s">
        <v>26</v>
      </c>
      <c r="E1177">
        <v>83</v>
      </c>
      <c r="F1177">
        <f t="shared" si="21"/>
        <v>5</v>
      </c>
    </row>
    <row r="1178" spans="1:6">
      <c r="A1178" s="83">
        <v>43556</v>
      </c>
      <c r="B1178" t="s">
        <v>30</v>
      </c>
      <c r="C1178" t="s">
        <v>24</v>
      </c>
      <c r="D1178" t="s">
        <v>22</v>
      </c>
      <c r="E1178">
        <v>34</v>
      </c>
      <c r="F1178">
        <f t="shared" si="21"/>
        <v>7</v>
      </c>
    </row>
    <row r="1179" spans="1:6">
      <c r="A1179" s="83">
        <v>43586</v>
      </c>
      <c r="B1179" t="s">
        <v>30</v>
      </c>
      <c r="C1179" t="s">
        <v>21</v>
      </c>
      <c r="D1179" t="s">
        <v>23</v>
      </c>
      <c r="E1179">
        <v>1256</v>
      </c>
      <c r="F1179">
        <f t="shared" si="21"/>
        <v>3</v>
      </c>
    </row>
    <row r="1180" spans="1:6">
      <c r="A1180" s="83">
        <v>43586</v>
      </c>
      <c r="B1180" t="s">
        <v>30</v>
      </c>
      <c r="C1180" t="s">
        <v>21</v>
      </c>
      <c r="D1180" t="s">
        <v>23</v>
      </c>
      <c r="E1180">
        <v>1370</v>
      </c>
      <c r="F1180">
        <f t="shared" si="21"/>
        <v>3</v>
      </c>
    </row>
    <row r="1181" spans="1:6">
      <c r="A1181" s="83">
        <v>43586</v>
      </c>
      <c r="B1181" t="s">
        <v>30</v>
      </c>
      <c r="C1181" t="s">
        <v>21</v>
      </c>
      <c r="D1181" t="s">
        <v>26</v>
      </c>
      <c r="E1181">
        <v>315</v>
      </c>
      <c r="F1181">
        <f t="shared" si="21"/>
        <v>5</v>
      </c>
    </row>
    <row r="1182" spans="1:6">
      <c r="A1182" s="83">
        <v>43586</v>
      </c>
      <c r="B1182" t="s">
        <v>30</v>
      </c>
      <c r="C1182" t="s">
        <v>24</v>
      </c>
      <c r="D1182" t="s">
        <v>23</v>
      </c>
      <c r="E1182">
        <v>88</v>
      </c>
      <c r="F1182">
        <f t="shared" si="21"/>
        <v>3</v>
      </c>
    </row>
    <row r="1183" spans="1:6">
      <c r="A1183" s="83">
        <v>43586</v>
      </c>
      <c r="B1183" t="s">
        <v>30</v>
      </c>
      <c r="C1183" t="s">
        <v>24</v>
      </c>
      <c r="D1183" t="s">
        <v>23</v>
      </c>
      <c r="E1183">
        <v>83</v>
      </c>
      <c r="F1183">
        <f t="shared" si="21"/>
        <v>3</v>
      </c>
    </row>
    <row r="1184" spans="1:6">
      <c r="A1184" s="83">
        <v>43586</v>
      </c>
      <c r="B1184" t="s">
        <v>30</v>
      </c>
      <c r="C1184" t="s">
        <v>24</v>
      </c>
      <c r="D1184" t="s">
        <v>26</v>
      </c>
      <c r="E1184">
        <v>68</v>
      </c>
      <c r="F1184">
        <f t="shared" si="21"/>
        <v>5</v>
      </c>
    </row>
    <row r="1185" spans="1:6">
      <c r="A1185" s="83">
        <v>43617</v>
      </c>
      <c r="B1185" t="s">
        <v>30</v>
      </c>
      <c r="C1185" t="s">
        <v>21</v>
      </c>
      <c r="D1185" t="s">
        <v>23</v>
      </c>
      <c r="E1185">
        <v>1020</v>
      </c>
      <c r="F1185">
        <f t="shared" si="21"/>
        <v>3</v>
      </c>
    </row>
    <row r="1186" spans="1:6">
      <c r="A1186" s="83">
        <v>43617</v>
      </c>
      <c r="B1186" t="s">
        <v>30</v>
      </c>
      <c r="C1186" t="s">
        <v>21</v>
      </c>
      <c r="D1186" t="s">
        <v>23</v>
      </c>
      <c r="E1186">
        <v>1319</v>
      </c>
      <c r="F1186">
        <f t="shared" si="21"/>
        <v>3</v>
      </c>
    </row>
    <row r="1187" spans="1:6">
      <c r="A1187" s="83">
        <v>43617</v>
      </c>
      <c r="B1187" t="s">
        <v>30</v>
      </c>
      <c r="C1187" t="s">
        <v>21</v>
      </c>
      <c r="D1187" t="s">
        <v>22</v>
      </c>
      <c r="E1187">
        <v>306</v>
      </c>
      <c r="F1187">
        <f t="shared" si="21"/>
        <v>7</v>
      </c>
    </row>
    <row r="1188" spans="1:6">
      <c r="A1188" s="83">
        <v>43617</v>
      </c>
      <c r="B1188" t="s">
        <v>30</v>
      </c>
      <c r="C1188" t="s">
        <v>24</v>
      </c>
      <c r="D1188" t="s">
        <v>22</v>
      </c>
      <c r="E1188">
        <v>105</v>
      </c>
      <c r="F1188">
        <f t="shared" si="21"/>
        <v>7</v>
      </c>
    </row>
    <row r="1189" spans="1:6">
      <c r="A1189" s="83">
        <v>43617</v>
      </c>
      <c r="B1189" t="s">
        <v>30</v>
      </c>
      <c r="C1189" t="s">
        <v>24</v>
      </c>
      <c r="D1189" t="s">
        <v>23</v>
      </c>
      <c r="E1189">
        <v>83</v>
      </c>
      <c r="F1189">
        <f t="shared" si="21"/>
        <v>3</v>
      </c>
    </row>
    <row r="1190" spans="1:6">
      <c r="A1190" s="83">
        <v>43617</v>
      </c>
      <c r="B1190" t="s">
        <v>30</v>
      </c>
      <c r="C1190" t="s">
        <v>24</v>
      </c>
      <c r="D1190" t="s">
        <v>26</v>
      </c>
      <c r="E1190">
        <v>34</v>
      </c>
      <c r="F1190">
        <f t="shared" si="21"/>
        <v>5</v>
      </c>
    </row>
    <row r="1191" spans="1:6">
      <c r="A1191" s="83">
        <v>43647</v>
      </c>
      <c r="B1191" t="s">
        <v>30</v>
      </c>
      <c r="C1191" t="s">
        <v>21</v>
      </c>
      <c r="D1191" t="s">
        <v>26</v>
      </c>
      <c r="E1191">
        <v>1023</v>
      </c>
      <c r="F1191">
        <f t="shared" si="21"/>
        <v>5</v>
      </c>
    </row>
    <row r="1192" spans="1:6">
      <c r="A1192" s="83">
        <v>43647</v>
      </c>
      <c r="B1192" t="s">
        <v>30</v>
      </c>
      <c r="C1192" t="s">
        <v>21</v>
      </c>
      <c r="D1192" t="s">
        <v>26</v>
      </c>
      <c r="E1192">
        <v>1532</v>
      </c>
      <c r="F1192">
        <f t="shared" si="21"/>
        <v>5</v>
      </c>
    </row>
    <row r="1193" spans="1:6">
      <c r="A1193" s="83">
        <v>43647</v>
      </c>
      <c r="B1193" t="s">
        <v>30</v>
      </c>
      <c r="C1193" t="s">
        <v>21</v>
      </c>
      <c r="D1193" t="s">
        <v>26</v>
      </c>
      <c r="E1193">
        <v>351</v>
      </c>
      <c r="F1193">
        <f t="shared" si="21"/>
        <v>5</v>
      </c>
    </row>
    <row r="1194" spans="1:6">
      <c r="A1194" s="83">
        <v>43647</v>
      </c>
      <c r="B1194" t="s">
        <v>30</v>
      </c>
      <c r="C1194" t="s">
        <v>24</v>
      </c>
      <c r="D1194" t="s">
        <v>26</v>
      </c>
      <c r="E1194">
        <v>26</v>
      </c>
      <c r="F1194">
        <f t="shared" si="21"/>
        <v>5</v>
      </c>
    </row>
    <row r="1195" spans="1:6">
      <c r="A1195" s="83">
        <v>43647</v>
      </c>
      <c r="B1195" t="s">
        <v>30</v>
      </c>
      <c r="C1195" t="s">
        <v>24</v>
      </c>
      <c r="D1195" t="s">
        <v>22</v>
      </c>
      <c r="E1195">
        <v>83</v>
      </c>
      <c r="F1195">
        <f t="shared" si="21"/>
        <v>7</v>
      </c>
    </row>
    <row r="1196" spans="1:6">
      <c r="A1196" s="83">
        <v>43647</v>
      </c>
      <c r="B1196" t="s">
        <v>30</v>
      </c>
      <c r="C1196" t="s">
        <v>24</v>
      </c>
      <c r="D1196" t="s">
        <v>22</v>
      </c>
      <c r="E1196">
        <v>79</v>
      </c>
      <c r="F1196">
        <f t="shared" si="21"/>
        <v>7</v>
      </c>
    </row>
    <row r="1197" spans="1:6">
      <c r="A1197" s="83">
        <v>43678</v>
      </c>
      <c r="B1197" t="s">
        <v>30</v>
      </c>
      <c r="C1197" t="s">
        <v>21</v>
      </c>
      <c r="D1197" t="s">
        <v>22</v>
      </c>
      <c r="E1197">
        <v>954</v>
      </c>
      <c r="F1197">
        <f t="shared" si="21"/>
        <v>7</v>
      </c>
    </row>
    <row r="1198" spans="1:6">
      <c r="A1198" s="83">
        <v>43678</v>
      </c>
      <c r="B1198" t="s">
        <v>30</v>
      </c>
      <c r="C1198" t="s">
        <v>21</v>
      </c>
      <c r="D1198" t="s">
        <v>26</v>
      </c>
      <c r="E1198">
        <v>1560</v>
      </c>
      <c r="F1198">
        <f t="shared" si="21"/>
        <v>5</v>
      </c>
    </row>
    <row r="1199" spans="1:6">
      <c r="A1199" s="83">
        <v>43678</v>
      </c>
      <c r="B1199" t="s">
        <v>30</v>
      </c>
      <c r="C1199" t="s">
        <v>21</v>
      </c>
      <c r="D1199" t="s">
        <v>22</v>
      </c>
      <c r="E1199">
        <v>347</v>
      </c>
      <c r="F1199">
        <f t="shared" si="21"/>
        <v>7</v>
      </c>
    </row>
    <row r="1200" spans="1:6">
      <c r="A1200" s="83">
        <v>43678</v>
      </c>
      <c r="B1200" t="s">
        <v>30</v>
      </c>
      <c r="C1200" t="s">
        <v>24</v>
      </c>
      <c r="D1200" t="s">
        <v>26</v>
      </c>
      <c r="E1200">
        <v>26</v>
      </c>
      <c r="F1200">
        <f t="shared" si="21"/>
        <v>5</v>
      </c>
    </row>
    <row r="1201" spans="1:6">
      <c r="A1201" s="83">
        <v>43678</v>
      </c>
      <c r="B1201" t="s">
        <v>30</v>
      </c>
      <c r="C1201" t="s">
        <v>24</v>
      </c>
      <c r="D1201" t="s">
        <v>23</v>
      </c>
      <c r="E1201">
        <v>69</v>
      </c>
      <c r="F1201">
        <f t="shared" si="21"/>
        <v>3</v>
      </c>
    </row>
    <row r="1202" spans="1:6">
      <c r="A1202" s="83">
        <v>43678</v>
      </c>
      <c r="B1202" t="s">
        <v>30</v>
      </c>
      <c r="C1202" t="s">
        <v>24</v>
      </c>
      <c r="D1202" t="s">
        <v>22</v>
      </c>
      <c r="E1202">
        <v>113</v>
      </c>
      <c r="F1202">
        <f t="shared" si="21"/>
        <v>7</v>
      </c>
    </row>
    <row r="1203" spans="1:6">
      <c r="A1203" s="83">
        <v>43709</v>
      </c>
      <c r="B1203" t="s">
        <v>30</v>
      </c>
      <c r="C1203" t="s">
        <v>21</v>
      </c>
      <c r="D1203" t="s">
        <v>22</v>
      </c>
      <c r="E1203">
        <v>1185</v>
      </c>
      <c r="F1203">
        <f t="shared" si="21"/>
        <v>7</v>
      </c>
    </row>
    <row r="1204" spans="1:6">
      <c r="A1204" s="83">
        <v>43709</v>
      </c>
      <c r="B1204" t="s">
        <v>30</v>
      </c>
      <c r="C1204" t="s">
        <v>21</v>
      </c>
      <c r="D1204" t="s">
        <v>26</v>
      </c>
      <c r="E1204">
        <v>1496</v>
      </c>
      <c r="F1204">
        <f t="shared" si="21"/>
        <v>5</v>
      </c>
    </row>
    <row r="1205" spans="1:6">
      <c r="A1205" s="83">
        <v>43709</v>
      </c>
      <c r="B1205" t="s">
        <v>30</v>
      </c>
      <c r="C1205" t="s">
        <v>21</v>
      </c>
      <c r="D1205" t="s">
        <v>23</v>
      </c>
      <c r="E1205">
        <v>396</v>
      </c>
      <c r="F1205">
        <f t="shared" si="21"/>
        <v>3</v>
      </c>
    </row>
    <row r="1206" spans="1:6">
      <c r="A1206" s="83">
        <v>43709</v>
      </c>
      <c r="B1206" t="s">
        <v>30</v>
      </c>
      <c r="C1206" t="s">
        <v>24</v>
      </c>
      <c r="D1206" t="s">
        <v>26</v>
      </c>
      <c r="E1206">
        <v>44</v>
      </c>
      <c r="F1206">
        <f t="shared" si="21"/>
        <v>5</v>
      </c>
    </row>
    <row r="1207" spans="1:6">
      <c r="A1207" s="83">
        <v>43709</v>
      </c>
      <c r="B1207" t="s">
        <v>30</v>
      </c>
      <c r="C1207" t="s">
        <v>24</v>
      </c>
      <c r="D1207" t="s">
        <v>23</v>
      </c>
      <c r="E1207">
        <v>83</v>
      </c>
      <c r="F1207">
        <f t="shared" si="21"/>
        <v>3</v>
      </c>
    </row>
    <row r="1208" spans="1:6">
      <c r="A1208" s="83">
        <v>43709</v>
      </c>
      <c r="B1208" t="s">
        <v>30</v>
      </c>
      <c r="C1208" t="s">
        <v>24</v>
      </c>
      <c r="D1208" t="s">
        <v>26</v>
      </c>
      <c r="E1208">
        <v>124</v>
      </c>
      <c r="F1208">
        <f t="shared" si="21"/>
        <v>5</v>
      </c>
    </row>
    <row r="1209" spans="1:6">
      <c r="A1209" s="83">
        <v>43739</v>
      </c>
      <c r="B1209" t="s">
        <v>30</v>
      </c>
      <c r="C1209" t="s">
        <v>21</v>
      </c>
      <c r="D1209" t="s">
        <v>26</v>
      </c>
      <c r="E1209">
        <v>77</v>
      </c>
      <c r="F1209">
        <f t="shared" si="21"/>
        <v>5</v>
      </c>
    </row>
    <row r="1210" spans="1:6">
      <c r="A1210" s="83">
        <v>43739</v>
      </c>
      <c r="B1210" t="s">
        <v>30</v>
      </c>
      <c r="C1210" t="s">
        <v>21</v>
      </c>
      <c r="D1210" t="s">
        <v>26</v>
      </c>
      <c r="E1210">
        <v>2759</v>
      </c>
      <c r="F1210">
        <f t="shared" si="21"/>
        <v>5</v>
      </c>
    </row>
    <row r="1211" spans="1:6">
      <c r="A1211" s="83">
        <v>43739</v>
      </c>
      <c r="B1211" t="s">
        <v>30</v>
      </c>
      <c r="C1211" t="s">
        <v>21</v>
      </c>
      <c r="D1211" t="s">
        <v>26</v>
      </c>
      <c r="E1211">
        <v>360</v>
      </c>
      <c r="F1211">
        <f t="shared" si="21"/>
        <v>5</v>
      </c>
    </row>
    <row r="1212" spans="1:6">
      <c r="A1212" s="83">
        <v>43739</v>
      </c>
      <c r="B1212" t="s">
        <v>30</v>
      </c>
      <c r="C1212" t="s">
        <v>24</v>
      </c>
      <c r="D1212" t="s">
        <v>22</v>
      </c>
      <c r="E1212">
        <v>53</v>
      </c>
      <c r="F1212">
        <f t="shared" si="21"/>
        <v>7</v>
      </c>
    </row>
    <row r="1213" spans="1:6">
      <c r="A1213" s="83">
        <v>43739</v>
      </c>
      <c r="B1213" t="s">
        <v>30</v>
      </c>
      <c r="C1213" t="s">
        <v>24</v>
      </c>
      <c r="D1213" t="s">
        <v>26</v>
      </c>
      <c r="E1213">
        <v>96</v>
      </c>
      <c r="F1213">
        <f t="shared" si="21"/>
        <v>5</v>
      </c>
    </row>
    <row r="1214" spans="1:6">
      <c r="A1214" s="83">
        <v>43739</v>
      </c>
      <c r="B1214" t="s">
        <v>30</v>
      </c>
      <c r="C1214" t="s">
        <v>24</v>
      </c>
      <c r="D1214" t="s">
        <v>26</v>
      </c>
      <c r="E1214">
        <v>45</v>
      </c>
      <c r="F1214">
        <f t="shared" si="21"/>
        <v>5</v>
      </c>
    </row>
    <row r="1215" spans="1:6">
      <c r="A1215" s="83">
        <v>43770</v>
      </c>
      <c r="B1215" t="s">
        <v>30</v>
      </c>
      <c r="C1215" t="s">
        <v>21</v>
      </c>
      <c r="D1215" t="s">
        <v>26</v>
      </c>
      <c r="E1215">
        <v>133</v>
      </c>
      <c r="F1215">
        <f t="shared" si="21"/>
        <v>5</v>
      </c>
    </row>
    <row r="1216" spans="1:6">
      <c r="A1216" s="83">
        <v>43770</v>
      </c>
      <c r="B1216" t="s">
        <v>30</v>
      </c>
      <c r="C1216" t="s">
        <v>21</v>
      </c>
      <c r="D1216" t="s">
        <v>26</v>
      </c>
      <c r="E1216">
        <v>1379</v>
      </c>
      <c r="F1216">
        <f t="shared" si="21"/>
        <v>5</v>
      </c>
    </row>
    <row r="1217" spans="1:6">
      <c r="A1217" s="83">
        <v>43770</v>
      </c>
      <c r="B1217" t="s">
        <v>30</v>
      </c>
      <c r="C1217" t="s">
        <v>21</v>
      </c>
      <c r="D1217" t="s">
        <v>23</v>
      </c>
      <c r="E1217">
        <v>347</v>
      </c>
      <c r="F1217">
        <f t="shared" si="21"/>
        <v>3</v>
      </c>
    </row>
    <row r="1218" spans="1:6">
      <c r="A1218" s="83">
        <v>43770</v>
      </c>
      <c r="B1218" t="s">
        <v>30</v>
      </c>
      <c r="C1218" t="s">
        <v>24</v>
      </c>
      <c r="D1218" t="s">
        <v>26</v>
      </c>
      <c r="E1218">
        <v>18</v>
      </c>
      <c r="F1218">
        <f t="shared" si="21"/>
        <v>5</v>
      </c>
    </row>
    <row r="1219" spans="1:6">
      <c r="A1219" s="83">
        <v>43770</v>
      </c>
      <c r="B1219" t="s">
        <v>30</v>
      </c>
      <c r="C1219" t="s">
        <v>24</v>
      </c>
      <c r="D1219" t="s">
        <v>23</v>
      </c>
      <c r="E1219">
        <v>96</v>
      </c>
      <c r="F1219">
        <f t="shared" ref="F1219:F1282" si="22">LEN(D1219)</f>
        <v>3</v>
      </c>
    </row>
    <row r="1220" spans="1:6">
      <c r="A1220" s="83">
        <v>43770</v>
      </c>
      <c r="B1220" t="s">
        <v>30</v>
      </c>
      <c r="C1220" t="s">
        <v>24</v>
      </c>
      <c r="D1220" t="s">
        <v>26</v>
      </c>
      <c r="E1220">
        <v>56</v>
      </c>
      <c r="F1220">
        <f t="shared" si="22"/>
        <v>5</v>
      </c>
    </row>
    <row r="1221" spans="1:6">
      <c r="A1221" s="83">
        <v>43800</v>
      </c>
      <c r="B1221" t="s">
        <v>30</v>
      </c>
      <c r="C1221" t="s">
        <v>21</v>
      </c>
      <c r="D1221" t="s">
        <v>22</v>
      </c>
      <c r="E1221">
        <v>228</v>
      </c>
      <c r="F1221">
        <f t="shared" si="22"/>
        <v>7</v>
      </c>
    </row>
    <row r="1222" spans="1:6">
      <c r="A1222" s="83">
        <v>43800</v>
      </c>
      <c r="B1222" t="s">
        <v>30</v>
      </c>
      <c r="C1222" t="s">
        <v>21</v>
      </c>
      <c r="D1222" t="s">
        <v>23</v>
      </c>
      <c r="E1222">
        <v>1453</v>
      </c>
      <c r="F1222">
        <f t="shared" si="22"/>
        <v>3</v>
      </c>
    </row>
    <row r="1223" spans="1:6">
      <c r="A1223" s="83">
        <v>43800</v>
      </c>
      <c r="B1223" t="s">
        <v>30</v>
      </c>
      <c r="C1223" t="s">
        <v>21</v>
      </c>
      <c r="D1223" t="s">
        <v>23</v>
      </c>
      <c r="E1223">
        <v>293</v>
      </c>
      <c r="F1223">
        <f t="shared" si="22"/>
        <v>3</v>
      </c>
    </row>
    <row r="1224" spans="1:6">
      <c r="A1224" s="83">
        <v>43800</v>
      </c>
      <c r="B1224" t="s">
        <v>30</v>
      </c>
      <c r="C1224" t="s">
        <v>24</v>
      </c>
      <c r="D1224" t="s">
        <v>26</v>
      </c>
      <c r="E1224">
        <v>26</v>
      </c>
      <c r="F1224">
        <f t="shared" si="22"/>
        <v>5</v>
      </c>
    </row>
    <row r="1225" spans="1:6">
      <c r="A1225" s="83">
        <v>43800</v>
      </c>
      <c r="B1225" t="s">
        <v>30</v>
      </c>
      <c r="C1225" t="s">
        <v>24</v>
      </c>
      <c r="D1225" t="s">
        <v>23</v>
      </c>
      <c r="E1225">
        <v>124</v>
      </c>
      <c r="F1225">
        <f t="shared" si="22"/>
        <v>3</v>
      </c>
    </row>
    <row r="1226" spans="1:6">
      <c r="A1226" s="83">
        <v>43800</v>
      </c>
      <c r="B1226" t="s">
        <v>30</v>
      </c>
      <c r="C1226" t="s">
        <v>24</v>
      </c>
      <c r="D1226" t="s">
        <v>22</v>
      </c>
      <c r="E1226">
        <v>45</v>
      </c>
      <c r="F1226">
        <f t="shared" si="22"/>
        <v>7</v>
      </c>
    </row>
    <row r="1227" spans="1:6">
      <c r="A1227" s="83">
        <v>43405</v>
      </c>
      <c r="B1227" t="s">
        <v>30</v>
      </c>
      <c r="C1227" t="s">
        <v>24</v>
      </c>
      <c r="D1227" t="s">
        <v>26</v>
      </c>
      <c r="E1227">
        <v>534</v>
      </c>
      <c r="F1227">
        <f t="shared" si="22"/>
        <v>5</v>
      </c>
    </row>
    <row r="1228" spans="1:6">
      <c r="A1228" s="83">
        <v>43405</v>
      </c>
      <c r="B1228" t="s">
        <v>30</v>
      </c>
      <c r="C1228" t="s">
        <v>24</v>
      </c>
      <c r="D1228" t="s">
        <v>26</v>
      </c>
      <c r="E1228">
        <v>902</v>
      </c>
      <c r="F1228">
        <f t="shared" si="22"/>
        <v>5</v>
      </c>
    </row>
    <row r="1229" spans="1:6">
      <c r="A1229" s="83">
        <v>43435</v>
      </c>
      <c r="B1229" t="s">
        <v>30</v>
      </c>
      <c r="C1229" t="s">
        <v>24</v>
      </c>
      <c r="D1229" t="s">
        <v>22</v>
      </c>
      <c r="E1229">
        <v>534</v>
      </c>
      <c r="F1229">
        <f t="shared" si="22"/>
        <v>7</v>
      </c>
    </row>
    <row r="1230" spans="1:6">
      <c r="A1230" s="83">
        <v>43435</v>
      </c>
      <c r="B1230" t="s">
        <v>30</v>
      </c>
      <c r="C1230" t="s">
        <v>24</v>
      </c>
      <c r="D1230" t="s">
        <v>23</v>
      </c>
      <c r="E1230">
        <v>923</v>
      </c>
      <c r="F1230">
        <f t="shared" si="22"/>
        <v>3</v>
      </c>
    </row>
    <row r="1231" spans="1:6">
      <c r="A1231" s="83">
        <v>43466</v>
      </c>
      <c r="B1231" t="s">
        <v>30</v>
      </c>
      <c r="C1231" t="s">
        <v>24</v>
      </c>
      <c r="D1231" t="s">
        <v>26</v>
      </c>
      <c r="E1231">
        <v>588</v>
      </c>
      <c r="F1231">
        <f t="shared" si="22"/>
        <v>5</v>
      </c>
    </row>
    <row r="1232" spans="1:6">
      <c r="A1232" s="83">
        <v>43466</v>
      </c>
      <c r="B1232" t="s">
        <v>30</v>
      </c>
      <c r="C1232" t="s">
        <v>24</v>
      </c>
      <c r="D1232" t="s">
        <v>23</v>
      </c>
      <c r="E1232">
        <v>113</v>
      </c>
      <c r="F1232">
        <f t="shared" si="22"/>
        <v>3</v>
      </c>
    </row>
    <row r="1233" spans="1:6">
      <c r="A1233" s="83">
        <v>43497</v>
      </c>
      <c r="B1233" t="s">
        <v>30</v>
      </c>
      <c r="C1233" t="s">
        <v>21</v>
      </c>
      <c r="D1233" t="s">
        <v>26</v>
      </c>
      <c r="E1233">
        <v>1081</v>
      </c>
      <c r="F1233">
        <f t="shared" si="22"/>
        <v>5</v>
      </c>
    </row>
    <row r="1234" spans="1:6">
      <c r="A1234" s="83">
        <v>43497</v>
      </c>
      <c r="B1234" t="s">
        <v>30</v>
      </c>
      <c r="C1234" t="s">
        <v>21</v>
      </c>
      <c r="D1234" t="s">
        <v>23</v>
      </c>
      <c r="E1234">
        <v>1134</v>
      </c>
      <c r="F1234">
        <f t="shared" si="22"/>
        <v>3</v>
      </c>
    </row>
    <row r="1235" spans="1:6">
      <c r="A1235" s="83">
        <v>43497</v>
      </c>
      <c r="B1235" t="s">
        <v>30</v>
      </c>
      <c r="C1235" t="s">
        <v>24</v>
      </c>
      <c r="D1235" t="s">
        <v>22</v>
      </c>
      <c r="E1235">
        <v>587</v>
      </c>
      <c r="F1235">
        <f t="shared" si="22"/>
        <v>7</v>
      </c>
    </row>
    <row r="1236" spans="1:6">
      <c r="A1236" s="83">
        <v>43497</v>
      </c>
      <c r="B1236" t="s">
        <v>30</v>
      </c>
      <c r="C1236" t="s">
        <v>24</v>
      </c>
      <c r="D1236" t="s">
        <v>26</v>
      </c>
      <c r="E1236">
        <v>124</v>
      </c>
      <c r="F1236">
        <f t="shared" si="22"/>
        <v>5</v>
      </c>
    </row>
    <row r="1237" spans="1:6">
      <c r="A1237" s="83">
        <v>43525</v>
      </c>
      <c r="B1237" t="s">
        <v>30</v>
      </c>
      <c r="C1237" t="s">
        <v>21</v>
      </c>
      <c r="D1237" t="s">
        <v>23</v>
      </c>
      <c r="E1237">
        <v>1142</v>
      </c>
      <c r="F1237">
        <f t="shared" si="22"/>
        <v>3</v>
      </c>
    </row>
    <row r="1238" spans="1:6">
      <c r="A1238" s="83">
        <v>43525</v>
      </c>
      <c r="B1238" t="s">
        <v>30</v>
      </c>
      <c r="C1238" t="s">
        <v>21</v>
      </c>
      <c r="D1238" t="s">
        <v>26</v>
      </c>
      <c r="E1238">
        <v>1182</v>
      </c>
      <c r="F1238">
        <f t="shared" si="22"/>
        <v>5</v>
      </c>
    </row>
    <row r="1239" spans="1:6">
      <c r="A1239" s="83">
        <v>43525</v>
      </c>
      <c r="B1239" t="s">
        <v>30</v>
      </c>
      <c r="C1239" t="s">
        <v>24</v>
      </c>
      <c r="D1239" t="s">
        <v>23</v>
      </c>
      <c r="E1239">
        <v>681</v>
      </c>
      <c r="F1239">
        <f t="shared" si="22"/>
        <v>3</v>
      </c>
    </row>
    <row r="1240" spans="1:6">
      <c r="A1240" s="83">
        <v>43525</v>
      </c>
      <c r="B1240" t="s">
        <v>30</v>
      </c>
      <c r="C1240" t="s">
        <v>24</v>
      </c>
      <c r="D1240" t="s">
        <v>23</v>
      </c>
      <c r="E1240">
        <v>124</v>
      </c>
      <c r="F1240">
        <f t="shared" si="22"/>
        <v>3</v>
      </c>
    </row>
    <row r="1241" spans="1:6">
      <c r="A1241" s="83">
        <v>43556</v>
      </c>
      <c r="B1241" t="s">
        <v>30</v>
      </c>
      <c r="C1241" t="s">
        <v>21</v>
      </c>
      <c r="D1241" t="s">
        <v>26</v>
      </c>
      <c r="E1241">
        <v>1106</v>
      </c>
      <c r="F1241">
        <f t="shared" si="22"/>
        <v>5</v>
      </c>
    </row>
    <row r="1242" spans="1:6">
      <c r="A1242" s="83">
        <v>43556</v>
      </c>
      <c r="B1242" t="s">
        <v>30</v>
      </c>
      <c r="C1242" t="s">
        <v>21</v>
      </c>
      <c r="D1242" t="s">
        <v>22</v>
      </c>
      <c r="E1242">
        <v>786</v>
      </c>
      <c r="F1242">
        <f t="shared" si="22"/>
        <v>7</v>
      </c>
    </row>
    <row r="1243" spans="1:6">
      <c r="A1243" s="83">
        <v>43556</v>
      </c>
      <c r="B1243" t="s">
        <v>30</v>
      </c>
      <c r="C1243" t="s">
        <v>24</v>
      </c>
      <c r="D1243" t="s">
        <v>22</v>
      </c>
      <c r="E1243">
        <v>944</v>
      </c>
      <c r="F1243">
        <f t="shared" si="22"/>
        <v>7</v>
      </c>
    </row>
    <row r="1244" spans="1:6">
      <c r="A1244" s="83">
        <v>43556</v>
      </c>
      <c r="B1244" t="s">
        <v>30</v>
      </c>
      <c r="C1244" t="s">
        <v>24</v>
      </c>
      <c r="D1244" t="s">
        <v>26</v>
      </c>
      <c r="E1244">
        <v>169</v>
      </c>
      <c r="F1244">
        <f t="shared" si="22"/>
        <v>5</v>
      </c>
    </row>
    <row r="1245" spans="1:6">
      <c r="A1245" s="83">
        <v>43586</v>
      </c>
      <c r="B1245" t="s">
        <v>30</v>
      </c>
      <c r="C1245" t="s">
        <v>21</v>
      </c>
      <c r="D1245" t="s">
        <v>22</v>
      </c>
      <c r="E1245">
        <v>1560</v>
      </c>
      <c r="F1245">
        <f t="shared" si="22"/>
        <v>7</v>
      </c>
    </row>
    <row r="1246" spans="1:6">
      <c r="A1246" s="83">
        <v>43586</v>
      </c>
      <c r="B1246" t="s">
        <v>30</v>
      </c>
      <c r="C1246" t="s">
        <v>21</v>
      </c>
      <c r="D1246" t="s">
        <v>26</v>
      </c>
      <c r="E1246">
        <v>770</v>
      </c>
      <c r="F1246">
        <f t="shared" si="22"/>
        <v>5</v>
      </c>
    </row>
    <row r="1247" spans="1:6">
      <c r="A1247" s="83">
        <v>43586</v>
      </c>
      <c r="B1247" t="s">
        <v>30</v>
      </c>
      <c r="C1247" t="s">
        <v>24</v>
      </c>
      <c r="D1247" t="s">
        <v>23</v>
      </c>
      <c r="E1247">
        <v>774</v>
      </c>
      <c r="F1247">
        <f t="shared" si="22"/>
        <v>3</v>
      </c>
    </row>
    <row r="1248" spans="1:6">
      <c r="A1248" s="83">
        <v>43586</v>
      </c>
      <c r="B1248" t="s">
        <v>30</v>
      </c>
      <c r="C1248" t="s">
        <v>24</v>
      </c>
      <c r="D1248" t="s">
        <v>22</v>
      </c>
      <c r="E1248">
        <v>101</v>
      </c>
      <c r="F1248">
        <f t="shared" si="22"/>
        <v>7</v>
      </c>
    </row>
    <row r="1249" spans="1:6">
      <c r="A1249" s="83">
        <v>43617</v>
      </c>
      <c r="B1249" t="s">
        <v>30</v>
      </c>
      <c r="C1249" t="s">
        <v>21</v>
      </c>
      <c r="D1249" t="s">
        <v>26</v>
      </c>
      <c r="E1249">
        <v>1210</v>
      </c>
      <c r="F1249">
        <f t="shared" si="22"/>
        <v>5</v>
      </c>
    </row>
    <row r="1250" spans="1:6">
      <c r="A1250" s="83">
        <v>43617</v>
      </c>
      <c r="B1250" t="s">
        <v>30</v>
      </c>
      <c r="C1250" t="s">
        <v>21</v>
      </c>
      <c r="D1250" t="s">
        <v>22</v>
      </c>
      <c r="E1250">
        <v>834</v>
      </c>
      <c r="F1250">
        <f t="shared" si="22"/>
        <v>7</v>
      </c>
    </row>
    <row r="1251" spans="1:6">
      <c r="A1251" s="83">
        <v>43617</v>
      </c>
      <c r="B1251" t="s">
        <v>30</v>
      </c>
      <c r="C1251" t="s">
        <v>24</v>
      </c>
      <c r="D1251" t="s">
        <v>22</v>
      </c>
      <c r="E1251">
        <v>790</v>
      </c>
      <c r="F1251">
        <f t="shared" si="22"/>
        <v>7</v>
      </c>
    </row>
    <row r="1252" spans="1:6">
      <c r="A1252" s="83">
        <v>43617</v>
      </c>
      <c r="B1252" t="s">
        <v>30</v>
      </c>
      <c r="C1252" t="s">
        <v>24</v>
      </c>
      <c r="D1252" t="s">
        <v>22</v>
      </c>
      <c r="E1252">
        <v>124</v>
      </c>
      <c r="F1252">
        <f t="shared" si="22"/>
        <v>7</v>
      </c>
    </row>
    <row r="1253" spans="1:6">
      <c r="A1253" s="83">
        <v>43647</v>
      </c>
      <c r="B1253" t="s">
        <v>30</v>
      </c>
      <c r="C1253" t="s">
        <v>21</v>
      </c>
      <c r="D1253" t="s">
        <v>22</v>
      </c>
      <c r="E1253">
        <v>2414</v>
      </c>
      <c r="F1253">
        <f t="shared" si="22"/>
        <v>7</v>
      </c>
    </row>
    <row r="1254" spans="1:6">
      <c r="A1254" s="83">
        <v>43647</v>
      </c>
      <c r="B1254" t="s">
        <v>30</v>
      </c>
      <c r="C1254" t="s">
        <v>21</v>
      </c>
      <c r="D1254" t="s">
        <v>22</v>
      </c>
      <c r="E1254">
        <v>1061</v>
      </c>
      <c r="F1254">
        <f t="shared" si="22"/>
        <v>7</v>
      </c>
    </row>
    <row r="1255" spans="1:6">
      <c r="A1255" s="83">
        <v>43647</v>
      </c>
      <c r="B1255" t="s">
        <v>30</v>
      </c>
      <c r="C1255" t="s">
        <v>24</v>
      </c>
      <c r="D1255" t="s">
        <v>23</v>
      </c>
      <c r="E1255">
        <v>829</v>
      </c>
      <c r="F1255">
        <f t="shared" si="22"/>
        <v>3</v>
      </c>
    </row>
    <row r="1256" spans="1:6">
      <c r="A1256" s="83">
        <v>43647</v>
      </c>
      <c r="B1256" t="s">
        <v>30</v>
      </c>
      <c r="C1256" t="s">
        <v>24</v>
      </c>
      <c r="D1256" t="s">
        <v>23</v>
      </c>
      <c r="E1256">
        <v>124</v>
      </c>
      <c r="F1256">
        <f t="shared" si="22"/>
        <v>3</v>
      </c>
    </row>
    <row r="1257" spans="1:6">
      <c r="A1257" s="83">
        <v>43678</v>
      </c>
      <c r="B1257" t="s">
        <v>30</v>
      </c>
      <c r="C1257" t="s">
        <v>21</v>
      </c>
      <c r="D1257" t="s">
        <v>23</v>
      </c>
      <c r="E1257">
        <v>1351</v>
      </c>
      <c r="F1257">
        <f t="shared" si="22"/>
        <v>3</v>
      </c>
    </row>
    <row r="1258" spans="1:6">
      <c r="A1258" s="83">
        <v>43678</v>
      </c>
      <c r="B1258" t="s">
        <v>30</v>
      </c>
      <c r="C1258" t="s">
        <v>21</v>
      </c>
      <c r="D1258" t="s">
        <v>22</v>
      </c>
      <c r="E1258">
        <v>225</v>
      </c>
      <c r="F1258">
        <f t="shared" si="22"/>
        <v>7</v>
      </c>
    </row>
    <row r="1259" spans="1:6">
      <c r="A1259" s="83">
        <v>43678</v>
      </c>
      <c r="B1259" t="s">
        <v>30</v>
      </c>
      <c r="C1259" t="s">
        <v>24</v>
      </c>
      <c r="D1259" t="s">
        <v>26</v>
      </c>
      <c r="E1259">
        <v>761</v>
      </c>
      <c r="F1259">
        <f t="shared" si="22"/>
        <v>5</v>
      </c>
    </row>
    <row r="1260" spans="1:6">
      <c r="A1260" s="83">
        <v>43678</v>
      </c>
      <c r="B1260" t="s">
        <v>30</v>
      </c>
      <c r="C1260" t="s">
        <v>24</v>
      </c>
      <c r="D1260" t="s">
        <v>26</v>
      </c>
      <c r="E1260">
        <v>146</v>
      </c>
      <c r="F1260">
        <f t="shared" si="22"/>
        <v>5</v>
      </c>
    </row>
    <row r="1261" spans="1:6">
      <c r="A1261" s="83">
        <v>43709</v>
      </c>
      <c r="B1261" t="s">
        <v>30</v>
      </c>
      <c r="C1261" t="s">
        <v>21</v>
      </c>
      <c r="D1261" t="s">
        <v>26</v>
      </c>
      <c r="E1261">
        <v>2096</v>
      </c>
      <c r="F1261">
        <f t="shared" si="22"/>
        <v>5</v>
      </c>
    </row>
    <row r="1262" spans="1:6">
      <c r="A1262" s="83">
        <v>43709</v>
      </c>
      <c r="B1262" t="s">
        <v>30</v>
      </c>
      <c r="C1262" t="s">
        <v>21</v>
      </c>
      <c r="D1262" t="s">
        <v>22</v>
      </c>
      <c r="E1262">
        <v>293</v>
      </c>
      <c r="F1262">
        <f t="shared" si="22"/>
        <v>7</v>
      </c>
    </row>
    <row r="1263" spans="1:6">
      <c r="A1263" s="83">
        <v>43709</v>
      </c>
      <c r="B1263" t="s">
        <v>30</v>
      </c>
      <c r="C1263" t="s">
        <v>24</v>
      </c>
      <c r="D1263" t="s">
        <v>23</v>
      </c>
      <c r="E1263">
        <v>843</v>
      </c>
      <c r="F1263">
        <f t="shared" si="22"/>
        <v>3</v>
      </c>
    </row>
    <row r="1264" spans="1:6">
      <c r="A1264" s="83">
        <v>43709</v>
      </c>
      <c r="B1264" t="s">
        <v>30</v>
      </c>
      <c r="C1264" t="s">
        <v>24</v>
      </c>
      <c r="D1264" t="s">
        <v>26</v>
      </c>
      <c r="E1264">
        <v>124</v>
      </c>
      <c r="F1264">
        <f t="shared" si="22"/>
        <v>5</v>
      </c>
    </row>
    <row r="1265" spans="1:6">
      <c r="A1265" s="83">
        <v>43739</v>
      </c>
      <c r="B1265" t="s">
        <v>30</v>
      </c>
      <c r="C1265" t="s">
        <v>21</v>
      </c>
      <c r="D1265" t="s">
        <v>26</v>
      </c>
      <c r="E1265">
        <v>1826</v>
      </c>
      <c r="F1265">
        <f t="shared" si="22"/>
        <v>5</v>
      </c>
    </row>
    <row r="1266" spans="1:6">
      <c r="A1266" s="83">
        <v>43739</v>
      </c>
      <c r="B1266" t="s">
        <v>30</v>
      </c>
      <c r="C1266" t="s">
        <v>21</v>
      </c>
      <c r="D1266" t="s">
        <v>22</v>
      </c>
      <c r="E1266">
        <v>338</v>
      </c>
      <c r="F1266">
        <f t="shared" si="22"/>
        <v>7</v>
      </c>
    </row>
    <row r="1267" spans="1:6">
      <c r="A1267" s="83">
        <v>43739</v>
      </c>
      <c r="B1267" t="s">
        <v>30</v>
      </c>
      <c r="C1267" t="s">
        <v>24</v>
      </c>
      <c r="D1267" t="s">
        <v>26</v>
      </c>
      <c r="E1267">
        <v>788</v>
      </c>
      <c r="F1267">
        <f t="shared" si="22"/>
        <v>5</v>
      </c>
    </row>
    <row r="1268" spans="1:6">
      <c r="A1268" s="83">
        <v>43739</v>
      </c>
      <c r="B1268" t="s">
        <v>30</v>
      </c>
      <c r="C1268" t="s">
        <v>24</v>
      </c>
      <c r="D1268" t="s">
        <v>22</v>
      </c>
      <c r="E1268">
        <v>135</v>
      </c>
      <c r="F1268">
        <f t="shared" si="22"/>
        <v>7</v>
      </c>
    </row>
    <row r="1269" spans="1:6">
      <c r="A1269" s="83">
        <v>43770</v>
      </c>
      <c r="B1269" t="s">
        <v>30</v>
      </c>
      <c r="C1269" t="s">
        <v>21</v>
      </c>
      <c r="D1269" t="s">
        <v>26</v>
      </c>
      <c r="E1269">
        <v>1079</v>
      </c>
      <c r="F1269">
        <f t="shared" si="22"/>
        <v>5</v>
      </c>
    </row>
    <row r="1270" spans="1:6">
      <c r="A1270" s="83">
        <v>43770</v>
      </c>
      <c r="B1270" t="s">
        <v>30</v>
      </c>
      <c r="C1270" t="s">
        <v>21</v>
      </c>
      <c r="D1270" t="s">
        <v>22</v>
      </c>
      <c r="E1270">
        <v>411</v>
      </c>
      <c r="F1270">
        <f t="shared" si="22"/>
        <v>7</v>
      </c>
    </row>
    <row r="1271" spans="1:6">
      <c r="A1271" s="83">
        <v>43770</v>
      </c>
      <c r="B1271" t="s">
        <v>30</v>
      </c>
      <c r="C1271" t="s">
        <v>24</v>
      </c>
      <c r="D1271" t="s">
        <v>22</v>
      </c>
      <c r="E1271">
        <v>1025</v>
      </c>
      <c r="F1271">
        <f t="shared" si="22"/>
        <v>7</v>
      </c>
    </row>
    <row r="1272" spans="1:6">
      <c r="A1272" s="83">
        <v>43770</v>
      </c>
      <c r="B1272" t="s">
        <v>30</v>
      </c>
      <c r="C1272" t="s">
        <v>24</v>
      </c>
      <c r="D1272" t="s">
        <v>26</v>
      </c>
      <c r="E1272">
        <v>158</v>
      </c>
      <c r="F1272">
        <f t="shared" si="22"/>
        <v>5</v>
      </c>
    </row>
    <row r="1273" spans="1:6">
      <c r="A1273" s="83">
        <v>43800</v>
      </c>
      <c r="B1273" t="s">
        <v>30</v>
      </c>
      <c r="C1273" t="s">
        <v>21</v>
      </c>
      <c r="D1273" t="s">
        <v>26</v>
      </c>
      <c r="E1273">
        <v>1118</v>
      </c>
      <c r="F1273">
        <f t="shared" si="22"/>
        <v>5</v>
      </c>
    </row>
    <row r="1274" spans="1:6">
      <c r="A1274" s="83">
        <v>43800</v>
      </c>
      <c r="B1274" t="s">
        <v>30</v>
      </c>
      <c r="C1274" t="s">
        <v>21</v>
      </c>
      <c r="D1274" t="s">
        <v>22</v>
      </c>
      <c r="E1274">
        <v>338</v>
      </c>
      <c r="F1274">
        <f t="shared" si="22"/>
        <v>7</v>
      </c>
    </row>
    <row r="1275" spans="1:6">
      <c r="A1275" s="83">
        <v>43800</v>
      </c>
      <c r="B1275" t="s">
        <v>30</v>
      </c>
      <c r="C1275" t="s">
        <v>24</v>
      </c>
      <c r="D1275" t="s">
        <v>22</v>
      </c>
      <c r="E1275">
        <v>694</v>
      </c>
      <c r="F1275">
        <f t="shared" si="22"/>
        <v>7</v>
      </c>
    </row>
    <row r="1276" spans="1:6">
      <c r="A1276" s="83">
        <v>43800</v>
      </c>
      <c r="B1276" t="s">
        <v>30</v>
      </c>
      <c r="C1276" t="s">
        <v>24</v>
      </c>
      <c r="D1276" t="s">
        <v>26</v>
      </c>
      <c r="E1276">
        <v>180</v>
      </c>
      <c r="F1276">
        <f t="shared" si="22"/>
        <v>5</v>
      </c>
    </row>
    <row r="1277" spans="1:6">
      <c r="A1277" s="83">
        <v>43405</v>
      </c>
      <c r="B1277" t="s">
        <v>30</v>
      </c>
      <c r="C1277" t="s">
        <v>24</v>
      </c>
      <c r="D1277" t="s">
        <v>26</v>
      </c>
      <c r="E1277">
        <v>131</v>
      </c>
      <c r="F1277">
        <f t="shared" si="22"/>
        <v>5</v>
      </c>
    </row>
    <row r="1278" spans="1:6">
      <c r="A1278" s="83">
        <v>43405</v>
      </c>
      <c r="B1278" t="s">
        <v>30</v>
      </c>
      <c r="C1278" t="s">
        <v>24</v>
      </c>
      <c r="D1278" t="s">
        <v>26</v>
      </c>
      <c r="E1278">
        <v>214</v>
      </c>
      <c r="F1278">
        <f t="shared" si="22"/>
        <v>5</v>
      </c>
    </row>
    <row r="1279" spans="1:6">
      <c r="A1279" s="83">
        <v>43435</v>
      </c>
      <c r="B1279" t="s">
        <v>30</v>
      </c>
      <c r="C1279" t="s">
        <v>24</v>
      </c>
      <c r="D1279" t="s">
        <v>22</v>
      </c>
      <c r="E1279">
        <v>131</v>
      </c>
      <c r="F1279">
        <f t="shared" si="22"/>
        <v>7</v>
      </c>
    </row>
    <row r="1280" spans="1:6">
      <c r="A1280" s="83">
        <v>43435</v>
      </c>
      <c r="B1280" t="s">
        <v>30</v>
      </c>
      <c r="C1280" t="s">
        <v>24</v>
      </c>
      <c r="D1280" t="s">
        <v>22</v>
      </c>
      <c r="E1280">
        <v>270</v>
      </c>
      <c r="F1280">
        <f t="shared" si="22"/>
        <v>7</v>
      </c>
    </row>
    <row r="1281" spans="1:6">
      <c r="A1281" s="83">
        <v>43466</v>
      </c>
      <c r="B1281" t="s">
        <v>30</v>
      </c>
      <c r="C1281" t="s">
        <v>24</v>
      </c>
      <c r="D1281" t="s">
        <v>26</v>
      </c>
      <c r="E1281">
        <v>123</v>
      </c>
      <c r="F1281">
        <f t="shared" si="22"/>
        <v>5</v>
      </c>
    </row>
    <row r="1282" spans="1:6">
      <c r="A1282" s="83">
        <v>43466</v>
      </c>
      <c r="B1282" t="s">
        <v>30</v>
      </c>
      <c r="C1282" t="s">
        <v>24</v>
      </c>
      <c r="D1282" t="s">
        <v>26</v>
      </c>
      <c r="E1282">
        <v>293</v>
      </c>
      <c r="F1282">
        <f t="shared" si="22"/>
        <v>5</v>
      </c>
    </row>
    <row r="1283" spans="1:6">
      <c r="A1283" s="83">
        <v>43497</v>
      </c>
      <c r="B1283" t="s">
        <v>30</v>
      </c>
      <c r="C1283" t="s">
        <v>21</v>
      </c>
      <c r="D1283" t="s">
        <v>26</v>
      </c>
      <c r="E1283">
        <v>473</v>
      </c>
      <c r="F1283">
        <f t="shared" ref="F1283:F1346" si="23">LEN(D1283)</f>
        <v>5</v>
      </c>
    </row>
    <row r="1284" spans="1:6">
      <c r="A1284" s="83">
        <v>43497</v>
      </c>
      <c r="B1284" t="s">
        <v>30</v>
      </c>
      <c r="C1284" t="s">
        <v>21</v>
      </c>
      <c r="D1284" t="s">
        <v>22</v>
      </c>
      <c r="E1284">
        <v>653</v>
      </c>
      <c r="F1284">
        <f t="shared" si="23"/>
        <v>7</v>
      </c>
    </row>
    <row r="1285" spans="1:6">
      <c r="A1285" s="83">
        <v>43497</v>
      </c>
      <c r="B1285" t="s">
        <v>30</v>
      </c>
      <c r="C1285" t="s">
        <v>24</v>
      </c>
      <c r="D1285" t="s">
        <v>26</v>
      </c>
      <c r="E1285">
        <v>149</v>
      </c>
      <c r="F1285">
        <f t="shared" si="23"/>
        <v>5</v>
      </c>
    </row>
    <row r="1286" spans="1:6">
      <c r="A1286" s="83">
        <v>43497</v>
      </c>
      <c r="B1286" t="s">
        <v>30</v>
      </c>
      <c r="C1286" t="s">
        <v>24</v>
      </c>
      <c r="D1286" t="s">
        <v>22</v>
      </c>
      <c r="E1286">
        <v>146</v>
      </c>
      <c r="F1286">
        <f t="shared" si="23"/>
        <v>7</v>
      </c>
    </row>
    <row r="1287" spans="1:6">
      <c r="A1287" s="83">
        <v>43525</v>
      </c>
      <c r="B1287" t="s">
        <v>30</v>
      </c>
      <c r="C1287" t="s">
        <v>21</v>
      </c>
      <c r="D1287" t="s">
        <v>26</v>
      </c>
      <c r="E1287">
        <v>438</v>
      </c>
      <c r="F1287">
        <f t="shared" si="23"/>
        <v>5</v>
      </c>
    </row>
    <row r="1288" spans="1:6">
      <c r="A1288" s="83">
        <v>43525</v>
      </c>
      <c r="B1288" t="s">
        <v>30</v>
      </c>
      <c r="C1288" t="s">
        <v>21</v>
      </c>
      <c r="D1288" t="s">
        <v>22</v>
      </c>
      <c r="E1288">
        <v>653</v>
      </c>
      <c r="F1288">
        <f t="shared" si="23"/>
        <v>7</v>
      </c>
    </row>
    <row r="1289" spans="1:6">
      <c r="A1289" s="83">
        <v>43525</v>
      </c>
      <c r="B1289" t="s">
        <v>30</v>
      </c>
      <c r="C1289" t="s">
        <v>24</v>
      </c>
      <c r="D1289" t="s">
        <v>26</v>
      </c>
      <c r="E1289">
        <v>140</v>
      </c>
      <c r="F1289">
        <f t="shared" si="23"/>
        <v>5</v>
      </c>
    </row>
    <row r="1290" spans="1:6">
      <c r="A1290" s="83">
        <v>43525</v>
      </c>
      <c r="B1290" t="s">
        <v>30</v>
      </c>
      <c r="C1290" t="s">
        <v>24</v>
      </c>
      <c r="D1290" t="s">
        <v>23</v>
      </c>
      <c r="E1290">
        <v>101</v>
      </c>
      <c r="F1290">
        <f t="shared" si="23"/>
        <v>3</v>
      </c>
    </row>
    <row r="1291" spans="1:6">
      <c r="A1291" s="83">
        <v>43556</v>
      </c>
      <c r="B1291" t="s">
        <v>30</v>
      </c>
      <c r="C1291" t="s">
        <v>21</v>
      </c>
      <c r="D1291" t="s">
        <v>22</v>
      </c>
      <c r="E1291">
        <v>473</v>
      </c>
      <c r="F1291">
        <f t="shared" si="23"/>
        <v>7</v>
      </c>
    </row>
    <row r="1292" spans="1:6">
      <c r="A1292" s="83">
        <v>43556</v>
      </c>
      <c r="B1292" t="s">
        <v>30</v>
      </c>
      <c r="C1292" t="s">
        <v>21</v>
      </c>
      <c r="D1292" t="s">
        <v>22</v>
      </c>
      <c r="E1292">
        <v>698</v>
      </c>
      <c r="F1292">
        <f t="shared" si="23"/>
        <v>7</v>
      </c>
    </row>
    <row r="1293" spans="1:6">
      <c r="A1293" s="83">
        <v>43556</v>
      </c>
      <c r="B1293" t="s">
        <v>30</v>
      </c>
      <c r="C1293" t="s">
        <v>24</v>
      </c>
      <c r="D1293" t="s">
        <v>22</v>
      </c>
      <c r="E1293">
        <v>149</v>
      </c>
      <c r="F1293">
        <f t="shared" si="23"/>
        <v>7</v>
      </c>
    </row>
    <row r="1294" spans="1:6">
      <c r="A1294" s="83">
        <v>43556</v>
      </c>
      <c r="B1294" t="s">
        <v>30</v>
      </c>
      <c r="C1294" t="s">
        <v>24</v>
      </c>
      <c r="D1294" t="s">
        <v>26</v>
      </c>
      <c r="E1294">
        <v>79</v>
      </c>
      <c r="F1294">
        <f t="shared" si="23"/>
        <v>5</v>
      </c>
    </row>
    <row r="1295" spans="1:6">
      <c r="A1295" s="83">
        <v>43586</v>
      </c>
      <c r="B1295" t="s">
        <v>30</v>
      </c>
      <c r="C1295" t="s">
        <v>21</v>
      </c>
      <c r="D1295" t="s">
        <v>22</v>
      </c>
      <c r="E1295">
        <v>578</v>
      </c>
      <c r="F1295">
        <f t="shared" si="23"/>
        <v>7</v>
      </c>
    </row>
    <row r="1296" spans="1:6">
      <c r="A1296" s="83">
        <v>43586</v>
      </c>
      <c r="B1296" t="s">
        <v>30</v>
      </c>
      <c r="C1296" t="s">
        <v>21</v>
      </c>
      <c r="D1296" t="s">
        <v>23</v>
      </c>
      <c r="E1296">
        <v>673</v>
      </c>
      <c r="F1296">
        <f t="shared" si="23"/>
        <v>3</v>
      </c>
    </row>
    <row r="1297" spans="1:6">
      <c r="A1297" s="83">
        <v>43586</v>
      </c>
      <c r="B1297" t="s">
        <v>30</v>
      </c>
      <c r="C1297" t="s">
        <v>24</v>
      </c>
      <c r="D1297" t="s">
        <v>26</v>
      </c>
      <c r="E1297">
        <v>158</v>
      </c>
      <c r="F1297">
        <f t="shared" si="23"/>
        <v>5</v>
      </c>
    </row>
    <row r="1298" spans="1:6">
      <c r="A1298" s="83">
        <v>43586</v>
      </c>
      <c r="B1298" t="s">
        <v>30</v>
      </c>
      <c r="C1298" t="s">
        <v>24</v>
      </c>
      <c r="D1298" t="s">
        <v>23</v>
      </c>
      <c r="E1298">
        <v>68</v>
      </c>
      <c r="F1298">
        <f t="shared" si="23"/>
        <v>3</v>
      </c>
    </row>
    <row r="1299" spans="1:6">
      <c r="A1299" s="83">
        <v>43617</v>
      </c>
      <c r="B1299" t="s">
        <v>30</v>
      </c>
      <c r="C1299" t="s">
        <v>21</v>
      </c>
      <c r="D1299" t="s">
        <v>26</v>
      </c>
      <c r="E1299">
        <v>489</v>
      </c>
      <c r="F1299">
        <f t="shared" si="23"/>
        <v>5</v>
      </c>
    </row>
    <row r="1300" spans="1:6">
      <c r="A1300" s="83">
        <v>43617</v>
      </c>
      <c r="B1300" t="s">
        <v>30</v>
      </c>
      <c r="C1300" t="s">
        <v>21</v>
      </c>
      <c r="D1300" t="s">
        <v>26</v>
      </c>
      <c r="E1300">
        <v>848</v>
      </c>
      <c r="F1300">
        <f t="shared" si="23"/>
        <v>5</v>
      </c>
    </row>
    <row r="1301" spans="1:6">
      <c r="A1301" s="83">
        <v>43617</v>
      </c>
      <c r="B1301" t="s">
        <v>30</v>
      </c>
      <c r="C1301" t="s">
        <v>24</v>
      </c>
      <c r="D1301" t="s">
        <v>23</v>
      </c>
      <c r="E1301">
        <v>140</v>
      </c>
      <c r="F1301">
        <f t="shared" si="23"/>
        <v>3</v>
      </c>
    </row>
    <row r="1302" spans="1:6">
      <c r="A1302" s="83">
        <v>43617</v>
      </c>
      <c r="B1302" t="s">
        <v>30</v>
      </c>
      <c r="C1302" t="s">
        <v>24</v>
      </c>
      <c r="D1302" t="s">
        <v>23</v>
      </c>
      <c r="E1302">
        <v>135</v>
      </c>
      <c r="F1302">
        <f t="shared" si="23"/>
        <v>3</v>
      </c>
    </row>
    <row r="1303" spans="1:6">
      <c r="A1303" s="83">
        <v>43647</v>
      </c>
      <c r="B1303" t="s">
        <v>30</v>
      </c>
      <c r="C1303" t="s">
        <v>21</v>
      </c>
      <c r="D1303" t="s">
        <v>26</v>
      </c>
      <c r="E1303">
        <v>648</v>
      </c>
      <c r="F1303">
        <f t="shared" si="23"/>
        <v>5</v>
      </c>
    </row>
    <row r="1304" spans="1:6">
      <c r="A1304" s="83">
        <v>43647</v>
      </c>
      <c r="B1304" t="s">
        <v>30</v>
      </c>
      <c r="C1304" t="s">
        <v>21</v>
      </c>
      <c r="D1304" t="s">
        <v>26</v>
      </c>
      <c r="E1304">
        <v>917</v>
      </c>
      <c r="F1304">
        <f t="shared" si="23"/>
        <v>5</v>
      </c>
    </row>
    <row r="1305" spans="1:6">
      <c r="A1305" s="83">
        <v>43647</v>
      </c>
      <c r="B1305" t="s">
        <v>30</v>
      </c>
      <c r="C1305" t="s">
        <v>24</v>
      </c>
      <c r="D1305" t="s">
        <v>23</v>
      </c>
      <c r="E1305">
        <v>158</v>
      </c>
      <c r="F1305">
        <f t="shared" si="23"/>
        <v>3</v>
      </c>
    </row>
    <row r="1306" spans="1:6">
      <c r="A1306" s="83">
        <v>43647</v>
      </c>
      <c r="B1306" t="s">
        <v>30</v>
      </c>
      <c r="C1306" t="s">
        <v>24</v>
      </c>
      <c r="D1306" t="s">
        <v>23</v>
      </c>
      <c r="E1306">
        <v>158</v>
      </c>
      <c r="F1306">
        <f t="shared" si="23"/>
        <v>3</v>
      </c>
    </row>
    <row r="1307" spans="1:6">
      <c r="A1307" s="83">
        <v>43678</v>
      </c>
      <c r="B1307" t="s">
        <v>30</v>
      </c>
      <c r="C1307" t="s">
        <v>21</v>
      </c>
      <c r="D1307" t="s">
        <v>26</v>
      </c>
      <c r="E1307">
        <v>560</v>
      </c>
      <c r="F1307">
        <f t="shared" si="23"/>
        <v>5</v>
      </c>
    </row>
    <row r="1308" spans="1:6">
      <c r="A1308" s="83">
        <v>43678</v>
      </c>
      <c r="B1308" t="s">
        <v>30</v>
      </c>
      <c r="C1308" t="s">
        <v>21</v>
      </c>
      <c r="D1308" t="s">
        <v>26</v>
      </c>
      <c r="E1308">
        <v>836</v>
      </c>
      <c r="F1308">
        <f t="shared" si="23"/>
        <v>5</v>
      </c>
    </row>
    <row r="1309" spans="1:6">
      <c r="A1309" s="83">
        <v>43678</v>
      </c>
      <c r="B1309" t="s">
        <v>30</v>
      </c>
      <c r="C1309" t="s">
        <v>24</v>
      </c>
      <c r="D1309" t="s">
        <v>22</v>
      </c>
      <c r="E1309">
        <v>131</v>
      </c>
      <c r="F1309">
        <f t="shared" si="23"/>
        <v>7</v>
      </c>
    </row>
    <row r="1310" spans="1:6">
      <c r="A1310" s="83">
        <v>43678</v>
      </c>
      <c r="B1310" t="s">
        <v>30</v>
      </c>
      <c r="C1310" t="s">
        <v>24</v>
      </c>
      <c r="D1310" t="s">
        <v>26</v>
      </c>
      <c r="E1310">
        <v>146</v>
      </c>
      <c r="F1310">
        <f t="shared" si="23"/>
        <v>5</v>
      </c>
    </row>
    <row r="1311" spans="1:6">
      <c r="A1311" s="83">
        <v>43709</v>
      </c>
      <c r="B1311" t="s">
        <v>30</v>
      </c>
      <c r="C1311" t="s">
        <v>21</v>
      </c>
      <c r="D1311" t="s">
        <v>26</v>
      </c>
      <c r="E1311">
        <v>631</v>
      </c>
      <c r="F1311">
        <f t="shared" si="23"/>
        <v>5</v>
      </c>
    </row>
    <row r="1312" spans="1:6">
      <c r="A1312" s="83">
        <v>43709</v>
      </c>
      <c r="B1312" t="s">
        <v>30</v>
      </c>
      <c r="C1312" t="s">
        <v>21</v>
      </c>
      <c r="D1312" t="s">
        <v>26</v>
      </c>
      <c r="E1312">
        <v>844</v>
      </c>
      <c r="F1312">
        <f t="shared" si="23"/>
        <v>5</v>
      </c>
    </row>
    <row r="1313" spans="1:6">
      <c r="A1313" s="83">
        <v>43709</v>
      </c>
      <c r="B1313" t="s">
        <v>30</v>
      </c>
      <c r="C1313" t="s">
        <v>24</v>
      </c>
      <c r="D1313" t="s">
        <v>22</v>
      </c>
      <c r="E1313">
        <v>114</v>
      </c>
      <c r="F1313">
        <f t="shared" si="23"/>
        <v>7</v>
      </c>
    </row>
    <row r="1314" spans="1:6">
      <c r="A1314" s="83">
        <v>43709</v>
      </c>
      <c r="B1314" t="s">
        <v>30</v>
      </c>
      <c r="C1314" t="s">
        <v>24</v>
      </c>
      <c r="D1314" t="s">
        <v>26</v>
      </c>
      <c r="E1314">
        <v>180</v>
      </c>
      <c r="F1314">
        <f t="shared" si="23"/>
        <v>5</v>
      </c>
    </row>
    <row r="1315" spans="1:6">
      <c r="A1315" s="83">
        <v>43739</v>
      </c>
      <c r="B1315" t="s">
        <v>30</v>
      </c>
      <c r="C1315" t="s">
        <v>21</v>
      </c>
      <c r="D1315" t="s">
        <v>22</v>
      </c>
      <c r="E1315">
        <v>637</v>
      </c>
      <c r="F1315">
        <f t="shared" si="23"/>
        <v>7</v>
      </c>
    </row>
    <row r="1316" spans="1:6">
      <c r="A1316" s="83">
        <v>43739</v>
      </c>
      <c r="B1316" t="s">
        <v>30</v>
      </c>
      <c r="C1316" t="s">
        <v>21</v>
      </c>
      <c r="D1316" t="s">
        <v>26</v>
      </c>
      <c r="E1316">
        <v>907</v>
      </c>
      <c r="F1316">
        <f t="shared" si="23"/>
        <v>5</v>
      </c>
    </row>
    <row r="1317" spans="1:6">
      <c r="A1317" s="83">
        <v>43739</v>
      </c>
      <c r="B1317" t="s">
        <v>30</v>
      </c>
      <c r="C1317" t="s">
        <v>24</v>
      </c>
      <c r="D1317" t="s">
        <v>23</v>
      </c>
      <c r="E1317">
        <v>131</v>
      </c>
      <c r="F1317">
        <f t="shared" si="23"/>
        <v>3</v>
      </c>
    </row>
    <row r="1318" spans="1:6">
      <c r="A1318" s="83">
        <v>43739</v>
      </c>
      <c r="B1318" t="s">
        <v>30</v>
      </c>
      <c r="C1318" t="s">
        <v>24</v>
      </c>
      <c r="D1318" t="s">
        <v>26</v>
      </c>
      <c r="E1318">
        <v>169</v>
      </c>
      <c r="F1318">
        <f t="shared" si="23"/>
        <v>5</v>
      </c>
    </row>
    <row r="1319" spans="1:6">
      <c r="A1319" s="83">
        <v>43770</v>
      </c>
      <c r="B1319" t="s">
        <v>30</v>
      </c>
      <c r="C1319" t="s">
        <v>21</v>
      </c>
      <c r="D1319" t="s">
        <v>22</v>
      </c>
      <c r="E1319">
        <v>581</v>
      </c>
      <c r="F1319">
        <f t="shared" si="23"/>
        <v>7</v>
      </c>
    </row>
    <row r="1320" spans="1:6">
      <c r="A1320" s="83">
        <v>43770</v>
      </c>
      <c r="B1320" t="s">
        <v>30</v>
      </c>
      <c r="C1320" t="s">
        <v>21</v>
      </c>
      <c r="D1320" t="s">
        <v>26</v>
      </c>
      <c r="E1320">
        <v>675</v>
      </c>
      <c r="F1320">
        <f t="shared" si="23"/>
        <v>5</v>
      </c>
    </row>
    <row r="1321" spans="1:6">
      <c r="A1321" s="83">
        <v>43770</v>
      </c>
      <c r="B1321" t="s">
        <v>30</v>
      </c>
      <c r="C1321" t="s">
        <v>24</v>
      </c>
      <c r="D1321" t="s">
        <v>26</v>
      </c>
      <c r="E1321">
        <v>123</v>
      </c>
      <c r="F1321">
        <f t="shared" si="23"/>
        <v>5</v>
      </c>
    </row>
    <row r="1322" spans="1:6">
      <c r="A1322" s="83">
        <v>43770</v>
      </c>
      <c r="B1322" t="s">
        <v>30</v>
      </c>
      <c r="C1322" t="s">
        <v>24</v>
      </c>
      <c r="D1322" t="s">
        <v>22</v>
      </c>
      <c r="E1322">
        <v>180</v>
      </c>
      <c r="F1322">
        <f t="shared" si="23"/>
        <v>7</v>
      </c>
    </row>
    <row r="1323" spans="1:6">
      <c r="A1323" s="83">
        <v>43800</v>
      </c>
      <c r="B1323" t="s">
        <v>30</v>
      </c>
      <c r="C1323" t="s">
        <v>21</v>
      </c>
      <c r="D1323" t="s">
        <v>22</v>
      </c>
      <c r="E1323">
        <v>533</v>
      </c>
      <c r="F1323">
        <f t="shared" si="23"/>
        <v>7</v>
      </c>
    </row>
    <row r="1324" spans="1:6">
      <c r="A1324" s="83">
        <v>43800</v>
      </c>
      <c r="B1324" t="s">
        <v>30</v>
      </c>
      <c r="C1324" t="s">
        <v>21</v>
      </c>
      <c r="D1324" t="s">
        <v>26</v>
      </c>
      <c r="E1324">
        <v>808</v>
      </c>
      <c r="F1324">
        <f t="shared" si="23"/>
        <v>5</v>
      </c>
    </row>
    <row r="1325" spans="1:6">
      <c r="A1325" s="83">
        <v>43800</v>
      </c>
      <c r="B1325" t="s">
        <v>30</v>
      </c>
      <c r="C1325" t="s">
        <v>24</v>
      </c>
      <c r="D1325" t="s">
        <v>26</v>
      </c>
      <c r="E1325">
        <v>131</v>
      </c>
      <c r="F1325">
        <f t="shared" si="23"/>
        <v>5</v>
      </c>
    </row>
    <row r="1326" spans="1:6">
      <c r="A1326" s="83">
        <v>43800</v>
      </c>
      <c r="B1326" t="s">
        <v>30</v>
      </c>
      <c r="C1326" t="s">
        <v>24</v>
      </c>
      <c r="D1326" t="s">
        <v>23</v>
      </c>
      <c r="E1326">
        <v>180</v>
      </c>
      <c r="F1326">
        <f t="shared" si="23"/>
        <v>3</v>
      </c>
    </row>
    <row r="1327" spans="1:6">
      <c r="A1327" s="83">
        <v>43525</v>
      </c>
      <c r="B1327" t="s">
        <v>31</v>
      </c>
      <c r="C1327" t="s">
        <v>21</v>
      </c>
      <c r="D1327" t="s">
        <v>26</v>
      </c>
      <c r="E1327">
        <v>70</v>
      </c>
      <c r="F1327">
        <f t="shared" si="23"/>
        <v>5</v>
      </c>
    </row>
    <row r="1328" spans="1:6">
      <c r="A1328" s="83">
        <v>43525</v>
      </c>
      <c r="B1328" t="s">
        <v>31</v>
      </c>
      <c r="C1328" t="s">
        <v>21</v>
      </c>
      <c r="D1328" t="s">
        <v>26</v>
      </c>
      <c r="E1328">
        <v>338</v>
      </c>
      <c r="F1328">
        <f t="shared" si="23"/>
        <v>5</v>
      </c>
    </row>
    <row r="1329" spans="1:6">
      <c r="A1329" s="83">
        <v>43525</v>
      </c>
      <c r="B1329" t="s">
        <v>31</v>
      </c>
      <c r="C1329" t="s">
        <v>24</v>
      </c>
      <c r="D1329" t="s">
        <v>22</v>
      </c>
      <c r="E1329">
        <v>158</v>
      </c>
      <c r="F1329">
        <f t="shared" si="23"/>
        <v>7</v>
      </c>
    </row>
    <row r="1330" spans="1:6">
      <c r="A1330" s="83">
        <v>43525</v>
      </c>
      <c r="B1330" t="s">
        <v>31</v>
      </c>
      <c r="C1330" t="s">
        <v>24</v>
      </c>
      <c r="D1330" t="s">
        <v>26</v>
      </c>
      <c r="E1330">
        <v>79</v>
      </c>
      <c r="F1330">
        <f t="shared" si="23"/>
        <v>5</v>
      </c>
    </row>
    <row r="1331" spans="1:6">
      <c r="A1331" s="83">
        <v>43556</v>
      </c>
      <c r="B1331" t="s">
        <v>31</v>
      </c>
      <c r="C1331" t="s">
        <v>21</v>
      </c>
      <c r="D1331" t="s">
        <v>22</v>
      </c>
      <c r="E1331">
        <v>88</v>
      </c>
      <c r="F1331">
        <f t="shared" si="23"/>
        <v>7</v>
      </c>
    </row>
    <row r="1332" spans="1:6">
      <c r="A1332" s="83">
        <v>43556</v>
      </c>
      <c r="B1332" t="s">
        <v>31</v>
      </c>
      <c r="C1332" t="s">
        <v>21</v>
      </c>
      <c r="D1332" t="s">
        <v>26</v>
      </c>
      <c r="E1332">
        <v>450</v>
      </c>
      <c r="F1332">
        <f t="shared" si="23"/>
        <v>5</v>
      </c>
    </row>
    <row r="1333" spans="1:6">
      <c r="A1333" s="83">
        <v>43556</v>
      </c>
      <c r="B1333" t="s">
        <v>31</v>
      </c>
      <c r="C1333" t="s">
        <v>24</v>
      </c>
      <c r="D1333" t="s">
        <v>26</v>
      </c>
      <c r="E1333">
        <v>149</v>
      </c>
      <c r="F1333">
        <f t="shared" si="23"/>
        <v>5</v>
      </c>
    </row>
    <row r="1334" spans="1:6">
      <c r="A1334" s="83">
        <v>43556</v>
      </c>
      <c r="B1334" t="s">
        <v>31</v>
      </c>
      <c r="C1334" t="s">
        <v>24</v>
      </c>
      <c r="D1334" t="s">
        <v>26</v>
      </c>
      <c r="E1334">
        <v>113</v>
      </c>
      <c r="F1334">
        <f t="shared" si="23"/>
        <v>5</v>
      </c>
    </row>
    <row r="1335" spans="1:6">
      <c r="A1335" s="83">
        <v>43586</v>
      </c>
      <c r="B1335" t="s">
        <v>31</v>
      </c>
      <c r="C1335" t="s">
        <v>21</v>
      </c>
      <c r="D1335" t="s">
        <v>22</v>
      </c>
      <c r="E1335">
        <v>105</v>
      </c>
      <c r="F1335">
        <f t="shared" si="23"/>
        <v>7</v>
      </c>
    </row>
    <row r="1336" spans="1:6">
      <c r="A1336" s="83">
        <v>43586</v>
      </c>
      <c r="B1336" t="s">
        <v>31</v>
      </c>
      <c r="C1336" t="s">
        <v>21</v>
      </c>
      <c r="D1336" t="s">
        <v>26</v>
      </c>
      <c r="E1336">
        <v>530</v>
      </c>
      <c r="F1336">
        <f t="shared" si="23"/>
        <v>5</v>
      </c>
    </row>
    <row r="1337" spans="1:6">
      <c r="A1337" s="83">
        <v>43586</v>
      </c>
      <c r="B1337" t="s">
        <v>31</v>
      </c>
      <c r="C1337" t="s">
        <v>24</v>
      </c>
      <c r="D1337" t="s">
        <v>26</v>
      </c>
      <c r="E1337">
        <v>158</v>
      </c>
      <c r="F1337">
        <f t="shared" si="23"/>
        <v>5</v>
      </c>
    </row>
    <row r="1338" spans="1:6">
      <c r="A1338" s="83">
        <v>43586</v>
      </c>
      <c r="B1338" t="s">
        <v>31</v>
      </c>
      <c r="C1338" t="s">
        <v>24</v>
      </c>
      <c r="D1338" t="s">
        <v>26</v>
      </c>
      <c r="E1338">
        <v>90</v>
      </c>
      <c r="F1338">
        <f t="shared" si="23"/>
        <v>5</v>
      </c>
    </row>
    <row r="1339" spans="1:6">
      <c r="A1339" s="83">
        <v>43617</v>
      </c>
      <c r="B1339" t="s">
        <v>31</v>
      </c>
      <c r="C1339" t="s">
        <v>21</v>
      </c>
      <c r="D1339" t="s">
        <v>26</v>
      </c>
      <c r="E1339">
        <v>315</v>
      </c>
      <c r="F1339">
        <f t="shared" si="23"/>
        <v>5</v>
      </c>
    </row>
    <row r="1340" spans="1:6">
      <c r="A1340" s="83">
        <v>43617</v>
      </c>
      <c r="B1340" t="s">
        <v>31</v>
      </c>
      <c r="C1340" t="s">
        <v>21</v>
      </c>
      <c r="D1340" t="s">
        <v>22</v>
      </c>
      <c r="E1340">
        <v>1521</v>
      </c>
      <c r="F1340">
        <f t="shared" si="23"/>
        <v>7</v>
      </c>
    </row>
    <row r="1341" spans="1:6">
      <c r="A1341" s="83">
        <v>43617</v>
      </c>
      <c r="B1341" t="s">
        <v>31</v>
      </c>
      <c r="C1341" t="s">
        <v>24</v>
      </c>
      <c r="D1341" t="s">
        <v>26</v>
      </c>
      <c r="E1341">
        <v>420</v>
      </c>
      <c r="F1341">
        <f t="shared" si="23"/>
        <v>5</v>
      </c>
    </row>
    <row r="1342" spans="1:6">
      <c r="A1342" s="83">
        <v>43617</v>
      </c>
      <c r="B1342" t="s">
        <v>31</v>
      </c>
      <c r="C1342" t="s">
        <v>24</v>
      </c>
      <c r="D1342" t="s">
        <v>22</v>
      </c>
      <c r="E1342">
        <v>557</v>
      </c>
      <c r="F1342">
        <f t="shared" si="23"/>
        <v>7</v>
      </c>
    </row>
    <row r="1343" spans="1:6">
      <c r="A1343" s="83">
        <v>43647</v>
      </c>
      <c r="B1343" t="s">
        <v>31</v>
      </c>
      <c r="C1343" t="s">
        <v>21</v>
      </c>
      <c r="D1343" t="s">
        <v>26</v>
      </c>
      <c r="E1343">
        <v>420</v>
      </c>
      <c r="F1343">
        <f t="shared" si="23"/>
        <v>5</v>
      </c>
    </row>
    <row r="1344" spans="1:6">
      <c r="A1344" s="83">
        <v>43647</v>
      </c>
      <c r="B1344" t="s">
        <v>31</v>
      </c>
      <c r="C1344" t="s">
        <v>21</v>
      </c>
      <c r="D1344" t="s">
        <v>26</v>
      </c>
      <c r="E1344">
        <v>270</v>
      </c>
      <c r="F1344">
        <f t="shared" si="23"/>
        <v>5</v>
      </c>
    </row>
    <row r="1345" spans="1:6">
      <c r="A1345" s="83">
        <v>43647</v>
      </c>
      <c r="B1345" t="s">
        <v>31</v>
      </c>
      <c r="C1345" t="s">
        <v>24</v>
      </c>
      <c r="D1345" t="s">
        <v>23</v>
      </c>
      <c r="E1345">
        <v>434</v>
      </c>
      <c r="F1345">
        <f t="shared" si="23"/>
        <v>3</v>
      </c>
    </row>
    <row r="1346" spans="1:6">
      <c r="A1346" s="83">
        <v>43647</v>
      </c>
      <c r="B1346" t="s">
        <v>31</v>
      </c>
      <c r="C1346" t="s">
        <v>24</v>
      </c>
      <c r="D1346" t="s">
        <v>26</v>
      </c>
      <c r="E1346">
        <v>338</v>
      </c>
      <c r="F1346">
        <f t="shared" si="23"/>
        <v>5</v>
      </c>
    </row>
    <row r="1347" spans="1:6">
      <c r="A1347" s="83">
        <v>43678</v>
      </c>
      <c r="B1347" t="s">
        <v>31</v>
      </c>
      <c r="C1347" t="s">
        <v>21</v>
      </c>
      <c r="D1347" t="s">
        <v>22</v>
      </c>
      <c r="E1347">
        <v>473</v>
      </c>
      <c r="F1347">
        <f t="shared" ref="F1347:F1410" si="24">LEN(D1347)</f>
        <v>7</v>
      </c>
    </row>
    <row r="1348" spans="1:6">
      <c r="A1348" s="83">
        <v>43678</v>
      </c>
      <c r="B1348" t="s">
        <v>31</v>
      </c>
      <c r="C1348" t="s">
        <v>21</v>
      </c>
      <c r="D1348" t="s">
        <v>26</v>
      </c>
      <c r="E1348">
        <v>270</v>
      </c>
      <c r="F1348">
        <f t="shared" si="24"/>
        <v>5</v>
      </c>
    </row>
    <row r="1349" spans="1:6">
      <c r="A1349" s="83">
        <v>43678</v>
      </c>
      <c r="B1349" t="s">
        <v>31</v>
      </c>
      <c r="C1349" t="s">
        <v>24</v>
      </c>
      <c r="D1349" t="s">
        <v>23</v>
      </c>
      <c r="E1349">
        <v>535</v>
      </c>
      <c r="F1349">
        <f t="shared" si="24"/>
        <v>3</v>
      </c>
    </row>
    <row r="1350" spans="1:6">
      <c r="A1350" s="83">
        <v>43678</v>
      </c>
      <c r="B1350" t="s">
        <v>31</v>
      </c>
      <c r="C1350" t="s">
        <v>24</v>
      </c>
      <c r="D1350" t="s">
        <v>23</v>
      </c>
      <c r="E1350">
        <v>722</v>
      </c>
      <c r="F1350">
        <f t="shared" si="24"/>
        <v>3</v>
      </c>
    </row>
    <row r="1351" spans="1:6">
      <c r="A1351" s="83">
        <v>43709</v>
      </c>
      <c r="B1351" t="s">
        <v>31</v>
      </c>
      <c r="C1351" t="s">
        <v>21</v>
      </c>
      <c r="D1351" t="s">
        <v>26</v>
      </c>
      <c r="E1351">
        <v>420</v>
      </c>
      <c r="F1351">
        <f t="shared" si="24"/>
        <v>5</v>
      </c>
    </row>
    <row r="1352" spans="1:6">
      <c r="A1352" s="83">
        <v>43709</v>
      </c>
      <c r="B1352" t="s">
        <v>31</v>
      </c>
      <c r="C1352" t="s">
        <v>21</v>
      </c>
      <c r="D1352" t="s">
        <v>23</v>
      </c>
      <c r="E1352">
        <v>338</v>
      </c>
      <c r="F1352">
        <f t="shared" si="24"/>
        <v>3</v>
      </c>
    </row>
    <row r="1353" spans="1:6">
      <c r="A1353" s="83">
        <v>43709</v>
      </c>
      <c r="B1353" t="s">
        <v>31</v>
      </c>
      <c r="C1353" t="s">
        <v>24</v>
      </c>
      <c r="D1353" t="s">
        <v>23</v>
      </c>
      <c r="E1353">
        <v>560</v>
      </c>
      <c r="F1353">
        <f t="shared" si="24"/>
        <v>3</v>
      </c>
    </row>
    <row r="1354" spans="1:6">
      <c r="A1354" s="83">
        <v>43709</v>
      </c>
      <c r="B1354" t="s">
        <v>31</v>
      </c>
      <c r="C1354" t="s">
        <v>24</v>
      </c>
      <c r="D1354" t="s">
        <v>22</v>
      </c>
      <c r="E1354">
        <v>921</v>
      </c>
      <c r="F1354">
        <f t="shared" si="24"/>
        <v>7</v>
      </c>
    </row>
    <row r="1355" spans="1:6">
      <c r="A1355" s="83">
        <v>43739</v>
      </c>
      <c r="B1355" t="s">
        <v>31</v>
      </c>
      <c r="C1355" t="s">
        <v>21</v>
      </c>
      <c r="D1355" t="s">
        <v>22</v>
      </c>
      <c r="E1355">
        <v>456</v>
      </c>
      <c r="F1355">
        <f t="shared" si="24"/>
        <v>7</v>
      </c>
    </row>
    <row r="1356" spans="1:6">
      <c r="A1356" s="83">
        <v>43739</v>
      </c>
      <c r="B1356" t="s">
        <v>31</v>
      </c>
      <c r="C1356" t="s">
        <v>21</v>
      </c>
      <c r="D1356" t="s">
        <v>26</v>
      </c>
      <c r="E1356">
        <v>405</v>
      </c>
      <c r="F1356">
        <f t="shared" si="24"/>
        <v>5</v>
      </c>
    </row>
    <row r="1357" spans="1:6">
      <c r="A1357" s="83">
        <v>43739</v>
      </c>
      <c r="B1357" t="s">
        <v>31</v>
      </c>
      <c r="C1357" t="s">
        <v>24</v>
      </c>
      <c r="D1357" t="s">
        <v>26</v>
      </c>
      <c r="E1357">
        <v>713</v>
      </c>
      <c r="F1357">
        <f t="shared" si="24"/>
        <v>5</v>
      </c>
    </row>
    <row r="1358" spans="1:6">
      <c r="A1358" s="83">
        <v>43739</v>
      </c>
      <c r="B1358" t="s">
        <v>31</v>
      </c>
      <c r="C1358" t="s">
        <v>24</v>
      </c>
      <c r="D1358" t="s">
        <v>22</v>
      </c>
      <c r="E1358">
        <v>1019</v>
      </c>
      <c r="F1358">
        <f t="shared" si="24"/>
        <v>7</v>
      </c>
    </row>
    <row r="1359" spans="1:6">
      <c r="A1359" s="83">
        <v>43770</v>
      </c>
      <c r="B1359" t="s">
        <v>31</v>
      </c>
      <c r="C1359" t="s">
        <v>21</v>
      </c>
      <c r="D1359" t="s">
        <v>26</v>
      </c>
      <c r="E1359">
        <v>473</v>
      </c>
      <c r="F1359">
        <f t="shared" si="24"/>
        <v>5</v>
      </c>
    </row>
    <row r="1360" spans="1:6">
      <c r="A1360" s="83">
        <v>43770</v>
      </c>
      <c r="B1360" t="s">
        <v>31</v>
      </c>
      <c r="C1360" t="s">
        <v>21</v>
      </c>
      <c r="D1360" t="s">
        <v>26</v>
      </c>
      <c r="E1360">
        <v>338</v>
      </c>
      <c r="F1360">
        <f t="shared" si="24"/>
        <v>5</v>
      </c>
    </row>
    <row r="1361" spans="1:6">
      <c r="A1361" s="83">
        <v>43770</v>
      </c>
      <c r="B1361" t="s">
        <v>31</v>
      </c>
      <c r="C1361" t="s">
        <v>24</v>
      </c>
      <c r="D1361" t="s">
        <v>26</v>
      </c>
      <c r="E1361">
        <v>764</v>
      </c>
      <c r="F1361">
        <f t="shared" si="24"/>
        <v>5</v>
      </c>
    </row>
    <row r="1362" spans="1:6">
      <c r="A1362" s="83">
        <v>43770</v>
      </c>
      <c r="B1362" t="s">
        <v>31</v>
      </c>
      <c r="C1362" t="s">
        <v>24</v>
      </c>
      <c r="D1362" t="s">
        <v>22</v>
      </c>
      <c r="E1362">
        <v>371</v>
      </c>
      <c r="F1362">
        <f t="shared" si="24"/>
        <v>7</v>
      </c>
    </row>
    <row r="1363" spans="1:6">
      <c r="A1363" s="83">
        <v>43800</v>
      </c>
      <c r="B1363" t="s">
        <v>31</v>
      </c>
      <c r="C1363" t="s">
        <v>21</v>
      </c>
      <c r="D1363" t="s">
        <v>22</v>
      </c>
      <c r="E1363">
        <v>473</v>
      </c>
      <c r="F1363">
        <f t="shared" si="24"/>
        <v>7</v>
      </c>
    </row>
    <row r="1364" spans="1:6">
      <c r="A1364" s="83">
        <v>43800</v>
      </c>
      <c r="B1364" t="s">
        <v>31</v>
      </c>
      <c r="C1364" t="s">
        <v>21</v>
      </c>
      <c r="D1364" t="s">
        <v>22</v>
      </c>
      <c r="E1364">
        <v>405</v>
      </c>
      <c r="F1364">
        <f t="shared" si="24"/>
        <v>7</v>
      </c>
    </row>
    <row r="1365" spans="1:6">
      <c r="A1365" s="83">
        <v>43800</v>
      </c>
      <c r="B1365" t="s">
        <v>31</v>
      </c>
      <c r="C1365" t="s">
        <v>24</v>
      </c>
      <c r="D1365" t="s">
        <v>26</v>
      </c>
      <c r="E1365">
        <v>663</v>
      </c>
      <c r="F1365">
        <f t="shared" si="24"/>
        <v>5</v>
      </c>
    </row>
    <row r="1366" spans="1:6">
      <c r="A1366" s="83">
        <v>43800</v>
      </c>
      <c r="B1366" t="s">
        <v>31</v>
      </c>
      <c r="C1366" t="s">
        <v>24</v>
      </c>
      <c r="D1366" t="s">
        <v>26</v>
      </c>
      <c r="E1366">
        <v>459</v>
      </c>
      <c r="F1366">
        <f t="shared" si="24"/>
        <v>5</v>
      </c>
    </row>
    <row r="1367" spans="1:6">
      <c r="A1367" s="83">
        <v>43009</v>
      </c>
      <c r="B1367" t="s">
        <v>31</v>
      </c>
      <c r="C1367" t="s">
        <v>24</v>
      </c>
      <c r="D1367" t="s">
        <v>22</v>
      </c>
      <c r="E1367">
        <v>61</v>
      </c>
      <c r="F1367">
        <f t="shared" si="24"/>
        <v>7</v>
      </c>
    </row>
    <row r="1368" spans="1:6">
      <c r="A1368" s="83">
        <v>43009</v>
      </c>
      <c r="B1368" t="s">
        <v>31</v>
      </c>
      <c r="C1368" t="s">
        <v>24</v>
      </c>
      <c r="D1368" t="s">
        <v>22</v>
      </c>
      <c r="E1368">
        <v>1006</v>
      </c>
      <c r="F1368">
        <f t="shared" si="24"/>
        <v>7</v>
      </c>
    </row>
    <row r="1369" spans="1:6">
      <c r="A1369" s="83">
        <v>43040</v>
      </c>
      <c r="B1369" t="s">
        <v>31</v>
      </c>
      <c r="C1369" t="s">
        <v>24</v>
      </c>
      <c r="D1369" t="s">
        <v>22</v>
      </c>
      <c r="E1369">
        <v>833</v>
      </c>
      <c r="F1369">
        <f t="shared" si="24"/>
        <v>7</v>
      </c>
    </row>
    <row r="1370" spans="1:6">
      <c r="A1370" s="83">
        <v>43040</v>
      </c>
      <c r="B1370" t="s">
        <v>31</v>
      </c>
      <c r="C1370" t="s">
        <v>24</v>
      </c>
      <c r="D1370" t="s">
        <v>22</v>
      </c>
      <c r="E1370">
        <v>393</v>
      </c>
      <c r="F1370">
        <f t="shared" si="24"/>
        <v>7</v>
      </c>
    </row>
    <row r="1371" spans="1:6">
      <c r="A1371" s="83">
        <v>43070</v>
      </c>
      <c r="B1371" t="s">
        <v>31</v>
      </c>
      <c r="C1371" t="s">
        <v>24</v>
      </c>
      <c r="D1371" t="s">
        <v>26</v>
      </c>
      <c r="E1371">
        <v>1006</v>
      </c>
      <c r="F1371">
        <f t="shared" si="24"/>
        <v>5</v>
      </c>
    </row>
    <row r="1372" spans="1:6">
      <c r="A1372" s="83">
        <v>43070</v>
      </c>
      <c r="B1372" t="s">
        <v>31</v>
      </c>
      <c r="C1372" t="s">
        <v>24</v>
      </c>
      <c r="D1372" t="s">
        <v>23</v>
      </c>
      <c r="E1372">
        <v>1315</v>
      </c>
      <c r="F1372">
        <f t="shared" si="24"/>
        <v>3</v>
      </c>
    </row>
    <row r="1373" spans="1:6">
      <c r="A1373" s="83">
        <v>43101</v>
      </c>
      <c r="B1373" t="s">
        <v>31</v>
      </c>
      <c r="C1373" t="s">
        <v>21</v>
      </c>
      <c r="D1373" t="s">
        <v>22</v>
      </c>
      <c r="E1373">
        <v>56</v>
      </c>
      <c r="F1373">
        <f t="shared" si="24"/>
        <v>7</v>
      </c>
    </row>
    <row r="1374" spans="1:6">
      <c r="A1374" s="83">
        <v>43101</v>
      </c>
      <c r="B1374" t="s">
        <v>31</v>
      </c>
      <c r="C1374" t="s">
        <v>21</v>
      </c>
      <c r="D1374" t="s">
        <v>26</v>
      </c>
      <c r="E1374">
        <v>185</v>
      </c>
      <c r="F1374">
        <f t="shared" si="24"/>
        <v>5</v>
      </c>
    </row>
    <row r="1375" spans="1:6">
      <c r="A1375" s="83">
        <v>43101</v>
      </c>
      <c r="B1375" t="s">
        <v>31</v>
      </c>
      <c r="C1375" t="s">
        <v>24</v>
      </c>
      <c r="D1375" t="s">
        <v>23</v>
      </c>
      <c r="E1375">
        <v>930</v>
      </c>
      <c r="F1375">
        <f t="shared" si="24"/>
        <v>3</v>
      </c>
    </row>
    <row r="1376" spans="1:6">
      <c r="A1376" s="83">
        <v>43101</v>
      </c>
      <c r="B1376" t="s">
        <v>31</v>
      </c>
      <c r="C1376" t="s">
        <v>24</v>
      </c>
      <c r="D1376" t="s">
        <v>23</v>
      </c>
      <c r="E1376">
        <v>1980</v>
      </c>
      <c r="F1376">
        <f t="shared" si="24"/>
        <v>3</v>
      </c>
    </row>
    <row r="1377" spans="1:6">
      <c r="A1377" s="83">
        <v>43132</v>
      </c>
      <c r="B1377" t="s">
        <v>31</v>
      </c>
      <c r="C1377" t="s">
        <v>21</v>
      </c>
      <c r="D1377" t="s">
        <v>26</v>
      </c>
      <c r="E1377">
        <v>63</v>
      </c>
      <c r="F1377">
        <f t="shared" si="24"/>
        <v>5</v>
      </c>
    </row>
    <row r="1378" spans="1:6">
      <c r="A1378" s="83">
        <v>43132</v>
      </c>
      <c r="B1378" t="s">
        <v>31</v>
      </c>
      <c r="C1378" t="s">
        <v>21</v>
      </c>
      <c r="D1378" t="s">
        <v>26</v>
      </c>
      <c r="E1378">
        <v>171</v>
      </c>
      <c r="F1378">
        <f t="shared" si="24"/>
        <v>5</v>
      </c>
    </row>
    <row r="1379" spans="1:6">
      <c r="A1379" s="83">
        <v>43132</v>
      </c>
      <c r="B1379" t="s">
        <v>31</v>
      </c>
      <c r="C1379" t="s">
        <v>24</v>
      </c>
      <c r="D1379" t="s">
        <v>26</v>
      </c>
      <c r="E1379">
        <v>1203</v>
      </c>
      <c r="F1379">
        <f t="shared" si="24"/>
        <v>5</v>
      </c>
    </row>
    <row r="1380" spans="1:6">
      <c r="A1380" s="83">
        <v>43132</v>
      </c>
      <c r="B1380" t="s">
        <v>31</v>
      </c>
      <c r="C1380" t="s">
        <v>24</v>
      </c>
      <c r="D1380" t="s">
        <v>23</v>
      </c>
      <c r="E1380">
        <v>1854</v>
      </c>
      <c r="F1380">
        <f t="shared" si="24"/>
        <v>3</v>
      </c>
    </row>
    <row r="1381" spans="1:6">
      <c r="A1381" s="83">
        <v>43160</v>
      </c>
      <c r="B1381" t="s">
        <v>31</v>
      </c>
      <c r="C1381" t="s">
        <v>21</v>
      </c>
      <c r="D1381" t="s">
        <v>26</v>
      </c>
      <c r="E1381">
        <v>56</v>
      </c>
      <c r="F1381">
        <f t="shared" si="24"/>
        <v>5</v>
      </c>
    </row>
    <row r="1382" spans="1:6">
      <c r="A1382" s="83">
        <v>43160</v>
      </c>
      <c r="B1382" t="s">
        <v>31</v>
      </c>
      <c r="C1382" t="s">
        <v>21</v>
      </c>
      <c r="D1382" t="s">
        <v>26</v>
      </c>
      <c r="E1382">
        <v>252</v>
      </c>
      <c r="F1382">
        <f t="shared" si="24"/>
        <v>5</v>
      </c>
    </row>
    <row r="1383" spans="1:6">
      <c r="A1383" s="83">
        <v>43160</v>
      </c>
      <c r="B1383" t="s">
        <v>31</v>
      </c>
      <c r="C1383" t="s">
        <v>24</v>
      </c>
      <c r="D1383" t="s">
        <v>26</v>
      </c>
      <c r="E1383">
        <v>1130</v>
      </c>
      <c r="F1383">
        <f t="shared" si="24"/>
        <v>5</v>
      </c>
    </row>
    <row r="1384" spans="1:6">
      <c r="A1384" s="83">
        <v>43160</v>
      </c>
      <c r="B1384" t="s">
        <v>31</v>
      </c>
      <c r="C1384" t="s">
        <v>24</v>
      </c>
      <c r="D1384" t="s">
        <v>26</v>
      </c>
      <c r="E1384">
        <v>1621</v>
      </c>
      <c r="F1384">
        <f t="shared" si="24"/>
        <v>5</v>
      </c>
    </row>
    <row r="1385" spans="1:6">
      <c r="A1385" s="83">
        <v>43191</v>
      </c>
      <c r="B1385" t="s">
        <v>31</v>
      </c>
      <c r="C1385" t="s">
        <v>21</v>
      </c>
      <c r="D1385" t="s">
        <v>22</v>
      </c>
      <c r="E1385">
        <v>63</v>
      </c>
      <c r="F1385">
        <f t="shared" si="24"/>
        <v>7</v>
      </c>
    </row>
    <row r="1386" spans="1:6">
      <c r="A1386" s="83">
        <v>43191</v>
      </c>
      <c r="B1386" t="s">
        <v>31</v>
      </c>
      <c r="C1386" t="s">
        <v>21</v>
      </c>
      <c r="D1386" t="s">
        <v>23</v>
      </c>
      <c r="E1386">
        <v>72</v>
      </c>
      <c r="F1386">
        <f t="shared" si="24"/>
        <v>3</v>
      </c>
    </row>
    <row r="1387" spans="1:6">
      <c r="A1387" s="83">
        <v>43191</v>
      </c>
      <c r="B1387" t="s">
        <v>31</v>
      </c>
      <c r="C1387" t="s">
        <v>24</v>
      </c>
      <c r="D1387" t="s">
        <v>26</v>
      </c>
      <c r="E1387">
        <v>1006</v>
      </c>
      <c r="F1387">
        <f t="shared" si="24"/>
        <v>5</v>
      </c>
    </row>
    <row r="1388" spans="1:6">
      <c r="A1388" s="83">
        <v>43191</v>
      </c>
      <c r="B1388" t="s">
        <v>31</v>
      </c>
      <c r="C1388" t="s">
        <v>24</v>
      </c>
      <c r="D1388" t="s">
        <v>26</v>
      </c>
      <c r="E1388">
        <v>2370</v>
      </c>
      <c r="F1388">
        <f t="shared" si="24"/>
        <v>5</v>
      </c>
    </row>
    <row r="1389" spans="1:6">
      <c r="A1389" s="83">
        <v>43221</v>
      </c>
      <c r="B1389" t="s">
        <v>31</v>
      </c>
      <c r="C1389" t="s">
        <v>21</v>
      </c>
      <c r="D1389" t="s">
        <v>23</v>
      </c>
      <c r="E1389">
        <v>39</v>
      </c>
      <c r="F1389">
        <f t="shared" si="24"/>
        <v>3</v>
      </c>
    </row>
    <row r="1390" spans="1:6">
      <c r="A1390" s="83">
        <v>43221</v>
      </c>
      <c r="B1390" t="s">
        <v>31</v>
      </c>
      <c r="C1390" t="s">
        <v>21</v>
      </c>
      <c r="D1390" t="s">
        <v>23</v>
      </c>
      <c r="E1390">
        <v>50</v>
      </c>
      <c r="F1390">
        <f t="shared" si="24"/>
        <v>3</v>
      </c>
    </row>
    <row r="1391" spans="1:6">
      <c r="A1391" s="83">
        <v>43221</v>
      </c>
      <c r="B1391" t="s">
        <v>31</v>
      </c>
      <c r="C1391" t="s">
        <v>24</v>
      </c>
      <c r="D1391" t="s">
        <v>26</v>
      </c>
      <c r="E1391">
        <v>1470</v>
      </c>
      <c r="F1391">
        <f t="shared" si="24"/>
        <v>5</v>
      </c>
    </row>
    <row r="1392" spans="1:6">
      <c r="A1392" s="83">
        <v>43221</v>
      </c>
      <c r="B1392" t="s">
        <v>31</v>
      </c>
      <c r="C1392" t="s">
        <v>24</v>
      </c>
      <c r="D1392" t="s">
        <v>26</v>
      </c>
      <c r="E1392">
        <v>1431</v>
      </c>
      <c r="F1392">
        <f t="shared" si="24"/>
        <v>5</v>
      </c>
    </row>
    <row r="1393" spans="1:6">
      <c r="A1393" s="83">
        <v>43252</v>
      </c>
      <c r="B1393" t="s">
        <v>31</v>
      </c>
      <c r="C1393" t="s">
        <v>21</v>
      </c>
      <c r="D1393" t="s">
        <v>22</v>
      </c>
      <c r="E1393">
        <v>56</v>
      </c>
      <c r="F1393">
        <f t="shared" si="24"/>
        <v>7</v>
      </c>
    </row>
    <row r="1394" spans="1:6">
      <c r="A1394" s="83">
        <v>43252</v>
      </c>
      <c r="B1394" t="s">
        <v>31</v>
      </c>
      <c r="C1394" t="s">
        <v>21</v>
      </c>
      <c r="D1394" t="s">
        <v>22</v>
      </c>
      <c r="E1394">
        <v>32</v>
      </c>
      <c r="F1394">
        <f t="shared" si="24"/>
        <v>7</v>
      </c>
    </row>
    <row r="1395" spans="1:6">
      <c r="A1395" s="83">
        <v>43252</v>
      </c>
      <c r="B1395" t="s">
        <v>31</v>
      </c>
      <c r="C1395" t="s">
        <v>24</v>
      </c>
      <c r="D1395" t="s">
        <v>26</v>
      </c>
      <c r="E1395">
        <v>1188</v>
      </c>
      <c r="F1395">
        <f t="shared" si="24"/>
        <v>5</v>
      </c>
    </row>
    <row r="1396" spans="1:6">
      <c r="A1396" s="83">
        <v>43252</v>
      </c>
      <c r="B1396" t="s">
        <v>31</v>
      </c>
      <c r="C1396" t="s">
        <v>24</v>
      </c>
      <c r="D1396" t="s">
        <v>23</v>
      </c>
      <c r="E1396">
        <v>2134</v>
      </c>
      <c r="F1396">
        <f t="shared" si="24"/>
        <v>3</v>
      </c>
    </row>
    <row r="1397" spans="1:6">
      <c r="A1397" s="83">
        <v>43282</v>
      </c>
      <c r="B1397" t="s">
        <v>31</v>
      </c>
      <c r="C1397" t="s">
        <v>21</v>
      </c>
      <c r="D1397" t="s">
        <v>23</v>
      </c>
      <c r="E1397">
        <v>81</v>
      </c>
      <c r="F1397">
        <f t="shared" si="24"/>
        <v>3</v>
      </c>
    </row>
    <row r="1398" spans="1:6">
      <c r="A1398" s="83">
        <v>43282</v>
      </c>
      <c r="B1398" t="s">
        <v>31</v>
      </c>
      <c r="C1398" t="s">
        <v>21</v>
      </c>
      <c r="D1398" t="s">
        <v>26</v>
      </c>
      <c r="E1398">
        <v>50</v>
      </c>
      <c r="F1398">
        <f t="shared" si="24"/>
        <v>5</v>
      </c>
    </row>
    <row r="1399" spans="1:6">
      <c r="A1399" s="83">
        <v>43282</v>
      </c>
      <c r="B1399" t="s">
        <v>31</v>
      </c>
      <c r="C1399" t="s">
        <v>24</v>
      </c>
      <c r="D1399" t="s">
        <v>26</v>
      </c>
      <c r="E1399">
        <v>1079</v>
      </c>
      <c r="F1399">
        <f t="shared" si="24"/>
        <v>5</v>
      </c>
    </row>
    <row r="1400" spans="1:6">
      <c r="A1400" s="83">
        <v>43282</v>
      </c>
      <c r="B1400" t="s">
        <v>31</v>
      </c>
      <c r="C1400" t="s">
        <v>24</v>
      </c>
      <c r="D1400" t="s">
        <v>22</v>
      </c>
      <c r="E1400">
        <v>2892</v>
      </c>
      <c r="F1400">
        <f t="shared" si="24"/>
        <v>7</v>
      </c>
    </row>
    <row r="1401" spans="1:6">
      <c r="A1401" s="83">
        <v>43313</v>
      </c>
      <c r="B1401" t="s">
        <v>31</v>
      </c>
      <c r="C1401" t="s">
        <v>21</v>
      </c>
      <c r="D1401" t="s">
        <v>26</v>
      </c>
      <c r="E1401">
        <v>56</v>
      </c>
      <c r="F1401">
        <f t="shared" si="24"/>
        <v>5</v>
      </c>
    </row>
    <row r="1402" spans="1:6">
      <c r="A1402" s="83">
        <v>43313</v>
      </c>
      <c r="B1402" t="s">
        <v>31</v>
      </c>
      <c r="C1402" t="s">
        <v>21</v>
      </c>
      <c r="D1402" t="s">
        <v>23</v>
      </c>
      <c r="E1402">
        <v>50</v>
      </c>
      <c r="F1402">
        <f t="shared" si="24"/>
        <v>3</v>
      </c>
    </row>
    <row r="1403" spans="1:6">
      <c r="A1403" s="83">
        <v>43313</v>
      </c>
      <c r="B1403" t="s">
        <v>31</v>
      </c>
      <c r="C1403" t="s">
        <v>24</v>
      </c>
      <c r="D1403" t="s">
        <v>26</v>
      </c>
      <c r="E1403">
        <v>1041</v>
      </c>
      <c r="F1403">
        <f t="shared" si="24"/>
        <v>5</v>
      </c>
    </row>
    <row r="1404" spans="1:6">
      <c r="A1404" s="83">
        <v>43313</v>
      </c>
      <c r="B1404" t="s">
        <v>31</v>
      </c>
      <c r="C1404" t="s">
        <v>24</v>
      </c>
      <c r="D1404" t="s">
        <v>22</v>
      </c>
      <c r="E1404">
        <v>1741</v>
      </c>
      <c r="F1404">
        <f t="shared" si="24"/>
        <v>7</v>
      </c>
    </row>
    <row r="1405" spans="1:6">
      <c r="A1405" s="83">
        <v>43344</v>
      </c>
      <c r="B1405" t="s">
        <v>31</v>
      </c>
      <c r="C1405" t="s">
        <v>21</v>
      </c>
      <c r="D1405" t="s">
        <v>22</v>
      </c>
      <c r="E1405">
        <v>56</v>
      </c>
      <c r="F1405">
        <f t="shared" si="24"/>
        <v>7</v>
      </c>
    </row>
    <row r="1406" spans="1:6">
      <c r="A1406" s="83">
        <v>43344</v>
      </c>
      <c r="B1406" t="s">
        <v>31</v>
      </c>
      <c r="C1406" t="s">
        <v>21</v>
      </c>
      <c r="D1406" t="s">
        <v>26</v>
      </c>
      <c r="E1406">
        <v>50</v>
      </c>
      <c r="F1406">
        <f t="shared" si="24"/>
        <v>5</v>
      </c>
    </row>
    <row r="1407" spans="1:6">
      <c r="A1407" s="83">
        <v>43344</v>
      </c>
      <c r="B1407" t="s">
        <v>31</v>
      </c>
      <c r="C1407" t="s">
        <v>24</v>
      </c>
      <c r="D1407" t="s">
        <v>23</v>
      </c>
      <c r="E1407">
        <v>1131</v>
      </c>
      <c r="F1407">
        <f t="shared" si="24"/>
        <v>3</v>
      </c>
    </row>
    <row r="1408" spans="1:6">
      <c r="A1408" s="83">
        <v>43344</v>
      </c>
      <c r="B1408" t="s">
        <v>31</v>
      </c>
      <c r="C1408" t="s">
        <v>24</v>
      </c>
      <c r="D1408" t="s">
        <v>23</v>
      </c>
      <c r="E1408">
        <v>3376</v>
      </c>
      <c r="F1408">
        <f t="shared" si="24"/>
        <v>3</v>
      </c>
    </row>
    <row r="1409" spans="1:6">
      <c r="A1409" s="83">
        <v>43374</v>
      </c>
      <c r="B1409" t="s">
        <v>31</v>
      </c>
      <c r="C1409" t="s">
        <v>21</v>
      </c>
      <c r="D1409" t="s">
        <v>23</v>
      </c>
      <c r="E1409">
        <v>39</v>
      </c>
      <c r="F1409">
        <f t="shared" si="24"/>
        <v>3</v>
      </c>
    </row>
    <row r="1410" spans="1:6">
      <c r="A1410" s="83">
        <v>43374</v>
      </c>
      <c r="B1410" t="s">
        <v>31</v>
      </c>
      <c r="C1410" t="s">
        <v>21</v>
      </c>
      <c r="D1410" t="s">
        <v>23</v>
      </c>
      <c r="E1410">
        <v>72</v>
      </c>
      <c r="F1410">
        <f t="shared" si="24"/>
        <v>3</v>
      </c>
    </row>
    <row r="1411" spans="1:6">
      <c r="A1411" s="83">
        <v>43374</v>
      </c>
      <c r="B1411" t="s">
        <v>31</v>
      </c>
      <c r="C1411" t="s">
        <v>24</v>
      </c>
      <c r="D1411" t="s">
        <v>23</v>
      </c>
      <c r="E1411">
        <v>908</v>
      </c>
      <c r="F1411">
        <f t="shared" ref="F1411:F1474" si="25">LEN(D1411)</f>
        <v>3</v>
      </c>
    </row>
    <row r="1412" spans="1:6">
      <c r="A1412" s="83">
        <v>43374</v>
      </c>
      <c r="B1412" t="s">
        <v>31</v>
      </c>
      <c r="C1412" t="s">
        <v>24</v>
      </c>
      <c r="D1412" t="s">
        <v>26</v>
      </c>
      <c r="E1412">
        <v>2797</v>
      </c>
      <c r="F1412">
        <f t="shared" si="25"/>
        <v>5</v>
      </c>
    </row>
    <row r="1413" spans="1:6">
      <c r="A1413" s="83">
        <v>43405</v>
      </c>
      <c r="B1413" t="s">
        <v>31</v>
      </c>
      <c r="C1413" t="s">
        <v>21</v>
      </c>
      <c r="D1413" t="s">
        <v>26</v>
      </c>
      <c r="E1413">
        <v>56</v>
      </c>
      <c r="F1413">
        <f t="shared" si="25"/>
        <v>5</v>
      </c>
    </row>
    <row r="1414" spans="1:6">
      <c r="A1414" s="83">
        <v>43405</v>
      </c>
      <c r="B1414" t="s">
        <v>31</v>
      </c>
      <c r="C1414" t="s">
        <v>21</v>
      </c>
      <c r="D1414" t="s">
        <v>26</v>
      </c>
      <c r="E1414">
        <v>50</v>
      </c>
      <c r="F1414">
        <f t="shared" si="25"/>
        <v>5</v>
      </c>
    </row>
    <row r="1415" spans="1:6">
      <c r="A1415" s="83">
        <v>43405</v>
      </c>
      <c r="B1415" t="s">
        <v>31</v>
      </c>
      <c r="C1415" t="s">
        <v>24</v>
      </c>
      <c r="D1415" t="s">
        <v>26</v>
      </c>
      <c r="E1415">
        <v>747</v>
      </c>
      <c r="F1415">
        <f t="shared" si="25"/>
        <v>5</v>
      </c>
    </row>
    <row r="1416" spans="1:6">
      <c r="A1416" s="83">
        <v>43405</v>
      </c>
      <c r="B1416" t="s">
        <v>31</v>
      </c>
      <c r="C1416" t="s">
        <v>24</v>
      </c>
      <c r="D1416" t="s">
        <v>23</v>
      </c>
      <c r="E1416">
        <v>1603</v>
      </c>
      <c r="F1416">
        <f t="shared" si="25"/>
        <v>3</v>
      </c>
    </row>
    <row r="1417" spans="1:6">
      <c r="A1417" s="83">
        <v>43435</v>
      </c>
      <c r="B1417" t="s">
        <v>31</v>
      </c>
      <c r="C1417" t="s">
        <v>21</v>
      </c>
      <c r="D1417" t="s">
        <v>22</v>
      </c>
      <c r="E1417">
        <v>63</v>
      </c>
      <c r="F1417">
        <f t="shared" si="25"/>
        <v>7</v>
      </c>
    </row>
    <row r="1418" spans="1:6">
      <c r="A1418" s="83">
        <v>43435</v>
      </c>
      <c r="B1418" t="s">
        <v>31</v>
      </c>
      <c r="C1418" t="s">
        <v>21</v>
      </c>
      <c r="D1418" t="s">
        <v>23</v>
      </c>
      <c r="E1418">
        <v>72</v>
      </c>
      <c r="F1418">
        <f t="shared" si="25"/>
        <v>3</v>
      </c>
    </row>
    <row r="1419" spans="1:6">
      <c r="A1419" s="83">
        <v>43435</v>
      </c>
      <c r="B1419" t="s">
        <v>31</v>
      </c>
      <c r="C1419" t="s">
        <v>24</v>
      </c>
      <c r="D1419" t="s">
        <v>22</v>
      </c>
      <c r="E1419">
        <v>933</v>
      </c>
      <c r="F1419">
        <f t="shared" si="25"/>
        <v>7</v>
      </c>
    </row>
    <row r="1420" spans="1:6">
      <c r="A1420" s="83">
        <v>43435</v>
      </c>
      <c r="B1420" t="s">
        <v>31</v>
      </c>
      <c r="C1420" t="s">
        <v>24</v>
      </c>
      <c r="D1420" t="s">
        <v>23</v>
      </c>
      <c r="E1420">
        <v>1900</v>
      </c>
      <c r="F1420">
        <f t="shared" si="25"/>
        <v>3</v>
      </c>
    </row>
    <row r="1421" spans="1:6">
      <c r="A1421" s="83">
        <v>43466</v>
      </c>
      <c r="B1421" t="s">
        <v>31</v>
      </c>
      <c r="C1421" t="s">
        <v>21</v>
      </c>
      <c r="D1421" t="s">
        <v>26</v>
      </c>
      <c r="E1421">
        <v>56</v>
      </c>
      <c r="F1421">
        <f t="shared" si="25"/>
        <v>5</v>
      </c>
    </row>
    <row r="1422" spans="1:6">
      <c r="A1422" s="83">
        <v>43466</v>
      </c>
      <c r="B1422" t="s">
        <v>31</v>
      </c>
      <c r="C1422" t="s">
        <v>21</v>
      </c>
      <c r="D1422" t="s">
        <v>26</v>
      </c>
      <c r="E1422">
        <v>72</v>
      </c>
      <c r="F1422">
        <f t="shared" si="25"/>
        <v>5</v>
      </c>
    </row>
    <row r="1423" spans="1:6">
      <c r="A1423" s="83">
        <v>43466</v>
      </c>
      <c r="B1423" t="s">
        <v>31</v>
      </c>
      <c r="C1423" t="s">
        <v>24</v>
      </c>
      <c r="D1423" t="s">
        <v>23</v>
      </c>
      <c r="E1423">
        <v>1129</v>
      </c>
      <c r="F1423">
        <f t="shared" si="25"/>
        <v>3</v>
      </c>
    </row>
    <row r="1424" spans="1:6">
      <c r="A1424" s="83">
        <v>43466</v>
      </c>
      <c r="B1424" t="s">
        <v>31</v>
      </c>
      <c r="C1424" t="s">
        <v>24</v>
      </c>
      <c r="D1424" t="s">
        <v>26</v>
      </c>
      <c r="E1424">
        <v>912</v>
      </c>
      <c r="F1424">
        <f t="shared" si="25"/>
        <v>5</v>
      </c>
    </row>
    <row r="1425" spans="1:6">
      <c r="A1425" s="83">
        <v>43497</v>
      </c>
      <c r="B1425" t="s">
        <v>31</v>
      </c>
      <c r="C1425" t="s">
        <v>21</v>
      </c>
      <c r="D1425" t="s">
        <v>26</v>
      </c>
      <c r="E1425">
        <v>56</v>
      </c>
      <c r="F1425">
        <f t="shared" si="25"/>
        <v>5</v>
      </c>
    </row>
    <row r="1426" spans="1:6">
      <c r="A1426" s="83">
        <v>43497</v>
      </c>
      <c r="B1426" t="s">
        <v>31</v>
      </c>
      <c r="C1426" t="s">
        <v>21</v>
      </c>
      <c r="D1426" t="s">
        <v>22</v>
      </c>
      <c r="E1426">
        <v>81</v>
      </c>
      <c r="F1426">
        <f t="shared" si="25"/>
        <v>7</v>
      </c>
    </row>
    <row r="1427" spans="1:6">
      <c r="A1427" s="83">
        <v>43497</v>
      </c>
      <c r="B1427" t="s">
        <v>31</v>
      </c>
      <c r="C1427" t="s">
        <v>24</v>
      </c>
      <c r="D1427" t="s">
        <v>26</v>
      </c>
      <c r="E1427">
        <v>1131</v>
      </c>
      <c r="F1427">
        <f t="shared" si="25"/>
        <v>5</v>
      </c>
    </row>
    <row r="1428" spans="1:6">
      <c r="A1428" s="83">
        <v>43497</v>
      </c>
      <c r="B1428" t="s">
        <v>31</v>
      </c>
      <c r="C1428" t="s">
        <v>24</v>
      </c>
      <c r="D1428" t="s">
        <v>26</v>
      </c>
      <c r="E1428">
        <v>3002</v>
      </c>
      <c r="F1428">
        <f t="shared" si="25"/>
        <v>5</v>
      </c>
    </row>
    <row r="1429" spans="1:6">
      <c r="A1429" s="83">
        <v>43525</v>
      </c>
      <c r="B1429" t="s">
        <v>31</v>
      </c>
      <c r="C1429" t="s">
        <v>21</v>
      </c>
      <c r="D1429" t="s">
        <v>23</v>
      </c>
      <c r="E1429">
        <v>56</v>
      </c>
      <c r="F1429">
        <f t="shared" si="25"/>
        <v>3</v>
      </c>
    </row>
    <row r="1430" spans="1:6">
      <c r="A1430" s="83">
        <v>43525</v>
      </c>
      <c r="B1430" t="s">
        <v>31</v>
      </c>
      <c r="C1430" t="s">
        <v>21</v>
      </c>
      <c r="D1430" t="s">
        <v>26</v>
      </c>
      <c r="E1430">
        <v>72</v>
      </c>
      <c r="F1430">
        <f t="shared" si="25"/>
        <v>5</v>
      </c>
    </row>
    <row r="1431" spans="1:6">
      <c r="A1431" s="83">
        <v>43525</v>
      </c>
      <c r="B1431" t="s">
        <v>31</v>
      </c>
      <c r="C1431" t="s">
        <v>24</v>
      </c>
      <c r="D1431" t="s">
        <v>22</v>
      </c>
      <c r="E1431">
        <v>44</v>
      </c>
      <c r="F1431">
        <f t="shared" si="25"/>
        <v>7</v>
      </c>
    </row>
    <row r="1432" spans="1:6">
      <c r="A1432" s="83">
        <v>43525</v>
      </c>
      <c r="B1432" t="s">
        <v>31</v>
      </c>
      <c r="C1432" t="s">
        <v>24</v>
      </c>
      <c r="D1432" t="s">
        <v>23</v>
      </c>
      <c r="E1432">
        <v>3157</v>
      </c>
      <c r="F1432">
        <f t="shared" si="25"/>
        <v>3</v>
      </c>
    </row>
    <row r="1433" spans="1:6">
      <c r="A1433" s="83">
        <v>43556</v>
      </c>
      <c r="B1433" t="s">
        <v>31</v>
      </c>
      <c r="C1433" t="s">
        <v>21</v>
      </c>
      <c r="D1433" t="s">
        <v>22</v>
      </c>
      <c r="E1433">
        <v>39</v>
      </c>
      <c r="F1433">
        <f t="shared" si="25"/>
        <v>7</v>
      </c>
    </row>
    <row r="1434" spans="1:6">
      <c r="A1434" s="83">
        <v>43556</v>
      </c>
      <c r="B1434" t="s">
        <v>31</v>
      </c>
      <c r="C1434" t="s">
        <v>21</v>
      </c>
      <c r="D1434" t="s">
        <v>22</v>
      </c>
      <c r="E1434">
        <v>72</v>
      </c>
      <c r="F1434">
        <f t="shared" si="25"/>
        <v>7</v>
      </c>
    </row>
    <row r="1435" spans="1:6">
      <c r="A1435" s="83">
        <v>43556</v>
      </c>
      <c r="B1435" t="s">
        <v>31</v>
      </c>
      <c r="C1435" t="s">
        <v>24</v>
      </c>
      <c r="D1435" t="s">
        <v>22</v>
      </c>
      <c r="E1435">
        <v>61</v>
      </c>
      <c r="F1435">
        <f t="shared" si="25"/>
        <v>7</v>
      </c>
    </row>
    <row r="1436" spans="1:6">
      <c r="A1436" s="83">
        <v>43556</v>
      </c>
      <c r="B1436" t="s">
        <v>31</v>
      </c>
      <c r="C1436" t="s">
        <v>24</v>
      </c>
      <c r="D1436" t="s">
        <v>22</v>
      </c>
      <c r="E1436">
        <v>2829</v>
      </c>
      <c r="F1436">
        <f t="shared" si="25"/>
        <v>7</v>
      </c>
    </row>
    <row r="1437" spans="1:6">
      <c r="A1437" s="83">
        <v>43586</v>
      </c>
      <c r="B1437" t="s">
        <v>31</v>
      </c>
      <c r="C1437" t="s">
        <v>21</v>
      </c>
      <c r="D1437" t="s">
        <v>22</v>
      </c>
      <c r="E1437">
        <v>39</v>
      </c>
      <c r="F1437">
        <f t="shared" si="25"/>
        <v>7</v>
      </c>
    </row>
    <row r="1438" spans="1:6">
      <c r="A1438" s="83">
        <v>43586</v>
      </c>
      <c r="B1438" t="s">
        <v>31</v>
      </c>
      <c r="C1438" t="s">
        <v>21</v>
      </c>
      <c r="D1438" t="s">
        <v>26</v>
      </c>
      <c r="E1438">
        <v>50</v>
      </c>
      <c r="F1438">
        <f t="shared" si="25"/>
        <v>5</v>
      </c>
    </row>
    <row r="1439" spans="1:6">
      <c r="A1439" s="83">
        <v>43586</v>
      </c>
      <c r="B1439" t="s">
        <v>31</v>
      </c>
      <c r="C1439" t="s">
        <v>24</v>
      </c>
      <c r="D1439" t="s">
        <v>22</v>
      </c>
      <c r="E1439">
        <v>158</v>
      </c>
      <c r="F1439">
        <f t="shared" si="25"/>
        <v>7</v>
      </c>
    </row>
    <row r="1440" spans="1:6">
      <c r="A1440" s="83">
        <v>43586</v>
      </c>
      <c r="B1440" t="s">
        <v>31</v>
      </c>
      <c r="C1440" t="s">
        <v>24</v>
      </c>
      <c r="D1440" t="s">
        <v>26</v>
      </c>
      <c r="E1440">
        <v>2460</v>
      </c>
      <c r="F1440">
        <f t="shared" si="25"/>
        <v>5</v>
      </c>
    </row>
    <row r="1441" spans="1:6">
      <c r="A1441" s="83">
        <v>43617</v>
      </c>
      <c r="B1441" t="s">
        <v>31</v>
      </c>
      <c r="C1441" t="s">
        <v>21</v>
      </c>
      <c r="D1441" t="s">
        <v>26</v>
      </c>
      <c r="E1441">
        <v>39</v>
      </c>
      <c r="F1441">
        <f t="shared" si="25"/>
        <v>5</v>
      </c>
    </row>
    <row r="1442" spans="1:6">
      <c r="A1442" s="83">
        <v>43617</v>
      </c>
      <c r="B1442" t="s">
        <v>31</v>
      </c>
      <c r="C1442" t="s">
        <v>21</v>
      </c>
      <c r="D1442" t="s">
        <v>23</v>
      </c>
      <c r="E1442">
        <v>50</v>
      </c>
      <c r="F1442">
        <f t="shared" si="25"/>
        <v>3</v>
      </c>
    </row>
    <row r="1443" spans="1:6">
      <c r="A1443" s="83">
        <v>43617</v>
      </c>
      <c r="B1443" t="s">
        <v>31</v>
      </c>
      <c r="C1443" t="s">
        <v>24</v>
      </c>
      <c r="D1443" t="s">
        <v>23</v>
      </c>
      <c r="E1443">
        <v>333</v>
      </c>
      <c r="F1443">
        <f t="shared" si="25"/>
        <v>3</v>
      </c>
    </row>
    <row r="1444" spans="1:6">
      <c r="A1444" s="83">
        <v>43617</v>
      </c>
      <c r="B1444" t="s">
        <v>31</v>
      </c>
      <c r="C1444" t="s">
        <v>24</v>
      </c>
      <c r="D1444" t="s">
        <v>23</v>
      </c>
      <c r="E1444">
        <v>2981</v>
      </c>
      <c r="F1444">
        <f t="shared" si="25"/>
        <v>3</v>
      </c>
    </row>
    <row r="1445" spans="1:6">
      <c r="A1445" s="83">
        <v>43647</v>
      </c>
      <c r="B1445" t="s">
        <v>31</v>
      </c>
      <c r="C1445" t="s">
        <v>21</v>
      </c>
      <c r="D1445" t="s">
        <v>23</v>
      </c>
      <c r="E1445">
        <v>63</v>
      </c>
      <c r="F1445">
        <f t="shared" si="25"/>
        <v>3</v>
      </c>
    </row>
    <row r="1446" spans="1:6">
      <c r="A1446" s="83">
        <v>43647</v>
      </c>
      <c r="B1446" t="s">
        <v>31</v>
      </c>
      <c r="C1446" t="s">
        <v>21</v>
      </c>
      <c r="D1446" t="s">
        <v>22</v>
      </c>
      <c r="E1446">
        <v>72</v>
      </c>
      <c r="F1446">
        <f t="shared" si="25"/>
        <v>7</v>
      </c>
    </row>
    <row r="1447" spans="1:6">
      <c r="A1447" s="83">
        <v>43647</v>
      </c>
      <c r="B1447" t="s">
        <v>31</v>
      </c>
      <c r="C1447" t="s">
        <v>24</v>
      </c>
      <c r="D1447" t="s">
        <v>22</v>
      </c>
      <c r="E1447">
        <v>298</v>
      </c>
      <c r="F1447">
        <f t="shared" si="25"/>
        <v>7</v>
      </c>
    </row>
    <row r="1448" spans="1:6">
      <c r="A1448" s="83">
        <v>43647</v>
      </c>
      <c r="B1448" t="s">
        <v>31</v>
      </c>
      <c r="C1448" t="s">
        <v>24</v>
      </c>
      <c r="D1448" t="s">
        <v>26</v>
      </c>
      <c r="E1448">
        <v>1716</v>
      </c>
      <c r="F1448">
        <f t="shared" si="25"/>
        <v>5</v>
      </c>
    </row>
    <row r="1449" spans="1:6">
      <c r="A1449" s="83">
        <v>43678</v>
      </c>
      <c r="B1449" t="s">
        <v>31</v>
      </c>
      <c r="C1449" t="s">
        <v>21</v>
      </c>
      <c r="D1449" t="s">
        <v>23</v>
      </c>
      <c r="E1449">
        <v>56</v>
      </c>
      <c r="F1449">
        <f t="shared" si="25"/>
        <v>3</v>
      </c>
    </row>
    <row r="1450" spans="1:6">
      <c r="A1450" s="83">
        <v>43678</v>
      </c>
      <c r="B1450" t="s">
        <v>31</v>
      </c>
      <c r="C1450" t="s">
        <v>21</v>
      </c>
      <c r="D1450" t="s">
        <v>26</v>
      </c>
      <c r="E1450">
        <v>72</v>
      </c>
      <c r="F1450">
        <f t="shared" si="25"/>
        <v>5</v>
      </c>
    </row>
    <row r="1451" spans="1:6">
      <c r="A1451" s="83">
        <v>43678</v>
      </c>
      <c r="B1451" t="s">
        <v>31</v>
      </c>
      <c r="C1451" t="s">
        <v>24</v>
      </c>
      <c r="D1451" t="s">
        <v>22</v>
      </c>
      <c r="E1451">
        <v>459</v>
      </c>
      <c r="F1451">
        <f t="shared" si="25"/>
        <v>7</v>
      </c>
    </row>
    <row r="1452" spans="1:6">
      <c r="A1452" s="83">
        <v>43678</v>
      </c>
      <c r="B1452" t="s">
        <v>31</v>
      </c>
      <c r="C1452" t="s">
        <v>24</v>
      </c>
      <c r="D1452" t="s">
        <v>22</v>
      </c>
      <c r="E1452">
        <v>1291</v>
      </c>
      <c r="F1452">
        <f t="shared" si="25"/>
        <v>7</v>
      </c>
    </row>
    <row r="1453" spans="1:6">
      <c r="A1453" s="83">
        <v>43709</v>
      </c>
      <c r="B1453" t="s">
        <v>31</v>
      </c>
      <c r="C1453" t="s">
        <v>21</v>
      </c>
      <c r="D1453" t="s">
        <v>23</v>
      </c>
      <c r="E1453">
        <v>56</v>
      </c>
      <c r="F1453">
        <f t="shared" si="25"/>
        <v>3</v>
      </c>
    </row>
    <row r="1454" spans="1:6">
      <c r="A1454" s="83">
        <v>43709</v>
      </c>
      <c r="B1454" t="s">
        <v>31</v>
      </c>
      <c r="C1454" t="s">
        <v>21</v>
      </c>
      <c r="D1454" t="s">
        <v>26</v>
      </c>
      <c r="E1454">
        <v>72</v>
      </c>
      <c r="F1454">
        <f t="shared" si="25"/>
        <v>5</v>
      </c>
    </row>
    <row r="1455" spans="1:6">
      <c r="A1455" s="83">
        <v>43709</v>
      </c>
      <c r="B1455" t="s">
        <v>31</v>
      </c>
      <c r="C1455" t="s">
        <v>24</v>
      </c>
      <c r="D1455" t="s">
        <v>23</v>
      </c>
      <c r="E1455">
        <v>536</v>
      </c>
      <c r="F1455">
        <f t="shared" si="25"/>
        <v>3</v>
      </c>
    </row>
    <row r="1456" spans="1:6">
      <c r="A1456" s="83">
        <v>43709</v>
      </c>
      <c r="B1456" t="s">
        <v>31</v>
      </c>
      <c r="C1456" t="s">
        <v>24</v>
      </c>
      <c r="D1456" t="s">
        <v>23</v>
      </c>
      <c r="E1456">
        <v>955</v>
      </c>
      <c r="F1456">
        <f t="shared" si="25"/>
        <v>3</v>
      </c>
    </row>
    <row r="1457" spans="1:6">
      <c r="A1457" s="83">
        <v>43739</v>
      </c>
      <c r="B1457" t="s">
        <v>31</v>
      </c>
      <c r="C1457" t="s">
        <v>21</v>
      </c>
      <c r="D1457" t="s">
        <v>22</v>
      </c>
      <c r="E1457">
        <v>81</v>
      </c>
      <c r="F1457">
        <f t="shared" si="25"/>
        <v>7</v>
      </c>
    </row>
    <row r="1458" spans="1:6">
      <c r="A1458" s="83">
        <v>43739</v>
      </c>
      <c r="B1458" t="s">
        <v>31</v>
      </c>
      <c r="C1458" t="s">
        <v>21</v>
      </c>
      <c r="D1458" t="s">
        <v>23</v>
      </c>
      <c r="E1458">
        <v>104</v>
      </c>
      <c r="F1458">
        <f t="shared" si="25"/>
        <v>3</v>
      </c>
    </row>
    <row r="1459" spans="1:6">
      <c r="A1459" s="83">
        <v>43739</v>
      </c>
      <c r="B1459" t="s">
        <v>31</v>
      </c>
      <c r="C1459" t="s">
        <v>24</v>
      </c>
      <c r="D1459" t="s">
        <v>23</v>
      </c>
      <c r="E1459">
        <v>731</v>
      </c>
      <c r="F1459">
        <f t="shared" si="25"/>
        <v>3</v>
      </c>
    </row>
    <row r="1460" spans="1:6">
      <c r="A1460" s="83">
        <v>43739</v>
      </c>
      <c r="B1460" t="s">
        <v>31</v>
      </c>
      <c r="C1460" t="s">
        <v>24</v>
      </c>
      <c r="D1460" t="s">
        <v>22</v>
      </c>
      <c r="E1460">
        <v>765</v>
      </c>
      <c r="F1460">
        <f t="shared" si="25"/>
        <v>7</v>
      </c>
    </row>
    <row r="1461" spans="1:6">
      <c r="A1461" s="83">
        <v>43770</v>
      </c>
      <c r="B1461" t="s">
        <v>31</v>
      </c>
      <c r="C1461" t="s">
        <v>21</v>
      </c>
      <c r="D1461" t="s">
        <v>22</v>
      </c>
      <c r="E1461">
        <v>95</v>
      </c>
      <c r="F1461">
        <f t="shared" si="25"/>
        <v>7</v>
      </c>
    </row>
    <row r="1462" spans="1:6">
      <c r="A1462" s="83">
        <v>43770</v>
      </c>
      <c r="B1462" t="s">
        <v>31</v>
      </c>
      <c r="C1462" t="s">
        <v>21</v>
      </c>
      <c r="D1462" t="s">
        <v>23</v>
      </c>
      <c r="E1462">
        <v>104</v>
      </c>
      <c r="F1462">
        <f t="shared" si="25"/>
        <v>3</v>
      </c>
    </row>
    <row r="1463" spans="1:6">
      <c r="A1463" s="83">
        <v>43770</v>
      </c>
      <c r="B1463" t="s">
        <v>31</v>
      </c>
      <c r="C1463" t="s">
        <v>24</v>
      </c>
      <c r="D1463" t="s">
        <v>26</v>
      </c>
      <c r="E1463">
        <v>399</v>
      </c>
      <c r="F1463">
        <f t="shared" si="25"/>
        <v>5</v>
      </c>
    </row>
    <row r="1464" spans="1:6">
      <c r="A1464" s="83">
        <v>43770</v>
      </c>
      <c r="B1464" t="s">
        <v>31</v>
      </c>
      <c r="C1464" t="s">
        <v>24</v>
      </c>
      <c r="D1464" t="s">
        <v>23</v>
      </c>
      <c r="E1464">
        <v>667</v>
      </c>
      <c r="F1464">
        <f t="shared" si="25"/>
        <v>3</v>
      </c>
    </row>
    <row r="1465" spans="1:6">
      <c r="A1465" s="83">
        <v>43800</v>
      </c>
      <c r="B1465" t="s">
        <v>31</v>
      </c>
      <c r="C1465" t="s">
        <v>21</v>
      </c>
      <c r="D1465" t="s">
        <v>26</v>
      </c>
      <c r="E1465">
        <v>133</v>
      </c>
      <c r="F1465">
        <f t="shared" si="25"/>
        <v>5</v>
      </c>
    </row>
    <row r="1466" spans="1:6">
      <c r="A1466" s="83">
        <v>43800</v>
      </c>
      <c r="B1466" t="s">
        <v>31</v>
      </c>
      <c r="C1466" t="s">
        <v>21</v>
      </c>
      <c r="D1466" t="s">
        <v>26</v>
      </c>
      <c r="E1466">
        <v>122</v>
      </c>
      <c r="F1466">
        <f t="shared" si="25"/>
        <v>5</v>
      </c>
    </row>
    <row r="1467" spans="1:6">
      <c r="A1467" s="83">
        <v>43800</v>
      </c>
      <c r="B1467" t="s">
        <v>31</v>
      </c>
      <c r="C1467" t="s">
        <v>24</v>
      </c>
      <c r="D1467" t="s">
        <v>23</v>
      </c>
      <c r="E1467">
        <v>175</v>
      </c>
      <c r="F1467">
        <f t="shared" si="25"/>
        <v>3</v>
      </c>
    </row>
    <row r="1468" spans="1:6">
      <c r="A1468" s="83">
        <v>43800</v>
      </c>
      <c r="B1468" t="s">
        <v>31</v>
      </c>
      <c r="C1468" t="s">
        <v>24</v>
      </c>
      <c r="D1468" t="s">
        <v>22</v>
      </c>
      <c r="E1468">
        <v>56</v>
      </c>
      <c r="F1468">
        <f t="shared" si="25"/>
        <v>7</v>
      </c>
    </row>
    <row r="1469" spans="1:6">
      <c r="A1469" s="83">
        <v>43009</v>
      </c>
      <c r="B1469" t="s">
        <v>31</v>
      </c>
      <c r="C1469" t="s">
        <v>24</v>
      </c>
      <c r="D1469" t="s">
        <v>22</v>
      </c>
      <c r="E1469">
        <v>315</v>
      </c>
      <c r="F1469">
        <f t="shared" si="25"/>
        <v>7</v>
      </c>
    </row>
    <row r="1470" spans="1:6">
      <c r="A1470" s="83">
        <v>43009</v>
      </c>
      <c r="B1470" t="s">
        <v>31</v>
      </c>
      <c r="C1470" t="s">
        <v>24</v>
      </c>
      <c r="D1470" t="s">
        <v>23</v>
      </c>
      <c r="E1470">
        <v>426</v>
      </c>
      <c r="F1470">
        <f t="shared" si="25"/>
        <v>3</v>
      </c>
    </row>
    <row r="1471" spans="1:6">
      <c r="A1471" s="83">
        <v>43040</v>
      </c>
      <c r="B1471" t="s">
        <v>31</v>
      </c>
      <c r="C1471" t="s">
        <v>24</v>
      </c>
      <c r="D1471" t="s">
        <v>23</v>
      </c>
      <c r="E1471">
        <v>289</v>
      </c>
      <c r="F1471">
        <f t="shared" si="25"/>
        <v>3</v>
      </c>
    </row>
    <row r="1472" spans="1:6">
      <c r="A1472" s="83">
        <v>43040</v>
      </c>
      <c r="B1472" t="s">
        <v>31</v>
      </c>
      <c r="C1472" t="s">
        <v>24</v>
      </c>
      <c r="D1472" t="s">
        <v>22</v>
      </c>
      <c r="E1472">
        <v>371</v>
      </c>
      <c r="F1472">
        <f t="shared" si="25"/>
        <v>7</v>
      </c>
    </row>
    <row r="1473" spans="1:6">
      <c r="A1473" s="83">
        <v>43070</v>
      </c>
      <c r="B1473" t="s">
        <v>31</v>
      </c>
      <c r="C1473" t="s">
        <v>24</v>
      </c>
      <c r="D1473" t="s">
        <v>22</v>
      </c>
      <c r="E1473">
        <v>341</v>
      </c>
      <c r="F1473">
        <f t="shared" si="25"/>
        <v>7</v>
      </c>
    </row>
    <row r="1474" spans="1:6">
      <c r="A1474" s="83">
        <v>43070</v>
      </c>
      <c r="B1474" t="s">
        <v>31</v>
      </c>
      <c r="C1474" t="s">
        <v>24</v>
      </c>
      <c r="D1474" t="s">
        <v>26</v>
      </c>
      <c r="E1474">
        <v>338</v>
      </c>
      <c r="F1474">
        <f t="shared" si="25"/>
        <v>5</v>
      </c>
    </row>
    <row r="1475" spans="1:6">
      <c r="A1475" s="83">
        <v>43101</v>
      </c>
      <c r="B1475" t="s">
        <v>31</v>
      </c>
      <c r="C1475" t="s">
        <v>21</v>
      </c>
      <c r="D1475" t="s">
        <v>23</v>
      </c>
      <c r="E1475">
        <v>105</v>
      </c>
      <c r="F1475">
        <f t="shared" ref="F1475:F1538" si="26">LEN(D1475)</f>
        <v>3</v>
      </c>
    </row>
    <row r="1476" spans="1:6">
      <c r="A1476" s="83">
        <v>43101</v>
      </c>
      <c r="B1476" t="s">
        <v>31</v>
      </c>
      <c r="C1476" t="s">
        <v>21</v>
      </c>
      <c r="D1476" t="s">
        <v>23</v>
      </c>
      <c r="E1476">
        <v>270</v>
      </c>
      <c r="F1476">
        <f t="shared" si="26"/>
        <v>3</v>
      </c>
    </row>
    <row r="1477" spans="1:6">
      <c r="A1477" s="83">
        <v>43101</v>
      </c>
      <c r="B1477" t="s">
        <v>31</v>
      </c>
      <c r="C1477" t="s">
        <v>24</v>
      </c>
      <c r="D1477" t="s">
        <v>22</v>
      </c>
      <c r="E1477">
        <v>289</v>
      </c>
      <c r="F1477">
        <f t="shared" si="26"/>
        <v>7</v>
      </c>
    </row>
    <row r="1478" spans="1:6">
      <c r="A1478" s="83">
        <v>43101</v>
      </c>
      <c r="B1478" t="s">
        <v>31</v>
      </c>
      <c r="C1478" t="s">
        <v>24</v>
      </c>
      <c r="D1478" t="s">
        <v>22</v>
      </c>
      <c r="E1478">
        <v>338</v>
      </c>
      <c r="F1478">
        <f t="shared" si="26"/>
        <v>7</v>
      </c>
    </row>
    <row r="1479" spans="1:6">
      <c r="A1479" s="83">
        <v>43132</v>
      </c>
      <c r="B1479" t="s">
        <v>31</v>
      </c>
      <c r="C1479" t="s">
        <v>21</v>
      </c>
      <c r="D1479" t="s">
        <v>22</v>
      </c>
      <c r="E1479">
        <v>105</v>
      </c>
      <c r="F1479">
        <f t="shared" si="26"/>
        <v>7</v>
      </c>
    </row>
    <row r="1480" spans="1:6">
      <c r="A1480" s="83">
        <v>43132</v>
      </c>
      <c r="B1480" t="s">
        <v>31</v>
      </c>
      <c r="C1480" t="s">
        <v>21</v>
      </c>
      <c r="D1480" t="s">
        <v>26</v>
      </c>
      <c r="E1480">
        <v>270</v>
      </c>
      <c r="F1480">
        <f t="shared" si="26"/>
        <v>5</v>
      </c>
    </row>
    <row r="1481" spans="1:6">
      <c r="A1481" s="83">
        <v>43132</v>
      </c>
      <c r="B1481" t="s">
        <v>31</v>
      </c>
      <c r="C1481" t="s">
        <v>24</v>
      </c>
      <c r="D1481" t="s">
        <v>26</v>
      </c>
      <c r="E1481">
        <v>341</v>
      </c>
      <c r="F1481">
        <f t="shared" si="26"/>
        <v>5</v>
      </c>
    </row>
    <row r="1482" spans="1:6">
      <c r="A1482" s="83">
        <v>43132</v>
      </c>
      <c r="B1482" t="s">
        <v>31</v>
      </c>
      <c r="C1482" t="s">
        <v>24</v>
      </c>
      <c r="D1482" t="s">
        <v>26</v>
      </c>
      <c r="E1482">
        <v>371</v>
      </c>
      <c r="F1482">
        <f t="shared" si="26"/>
        <v>5</v>
      </c>
    </row>
    <row r="1483" spans="1:6">
      <c r="A1483" s="83">
        <v>43160</v>
      </c>
      <c r="B1483" t="s">
        <v>31</v>
      </c>
      <c r="C1483" t="s">
        <v>21</v>
      </c>
      <c r="D1483" t="s">
        <v>26</v>
      </c>
      <c r="E1483">
        <v>105</v>
      </c>
      <c r="F1483">
        <f t="shared" si="26"/>
        <v>5</v>
      </c>
    </row>
    <row r="1484" spans="1:6">
      <c r="A1484" s="83">
        <v>43160</v>
      </c>
      <c r="B1484" t="s">
        <v>31</v>
      </c>
      <c r="C1484" t="s">
        <v>21</v>
      </c>
      <c r="D1484" t="s">
        <v>26</v>
      </c>
      <c r="E1484">
        <v>270</v>
      </c>
      <c r="F1484">
        <f t="shared" si="26"/>
        <v>5</v>
      </c>
    </row>
    <row r="1485" spans="1:6">
      <c r="A1485" s="83">
        <v>43160</v>
      </c>
      <c r="B1485" t="s">
        <v>31</v>
      </c>
      <c r="C1485" t="s">
        <v>24</v>
      </c>
      <c r="D1485" t="s">
        <v>26</v>
      </c>
      <c r="E1485">
        <v>408</v>
      </c>
      <c r="F1485">
        <f t="shared" si="26"/>
        <v>5</v>
      </c>
    </row>
    <row r="1486" spans="1:6">
      <c r="A1486" s="83">
        <v>43160</v>
      </c>
      <c r="B1486" t="s">
        <v>31</v>
      </c>
      <c r="C1486" t="s">
        <v>24</v>
      </c>
      <c r="D1486" t="s">
        <v>23</v>
      </c>
      <c r="E1486">
        <v>371</v>
      </c>
      <c r="F1486">
        <f t="shared" si="26"/>
        <v>3</v>
      </c>
    </row>
    <row r="1487" spans="1:6">
      <c r="A1487" s="83">
        <v>43191</v>
      </c>
      <c r="B1487" t="s">
        <v>31</v>
      </c>
      <c r="C1487" t="s">
        <v>21</v>
      </c>
      <c r="D1487" t="s">
        <v>23</v>
      </c>
      <c r="E1487">
        <v>210</v>
      </c>
      <c r="F1487">
        <f t="shared" si="26"/>
        <v>3</v>
      </c>
    </row>
    <row r="1488" spans="1:6">
      <c r="A1488" s="83">
        <v>43191</v>
      </c>
      <c r="B1488" t="s">
        <v>31</v>
      </c>
      <c r="C1488" t="s">
        <v>21</v>
      </c>
      <c r="D1488" t="s">
        <v>23</v>
      </c>
      <c r="E1488">
        <v>270</v>
      </c>
      <c r="F1488">
        <f t="shared" si="26"/>
        <v>3</v>
      </c>
    </row>
    <row r="1489" spans="1:6">
      <c r="A1489" s="83">
        <v>43191</v>
      </c>
      <c r="B1489" t="s">
        <v>31</v>
      </c>
      <c r="C1489" t="s">
        <v>24</v>
      </c>
      <c r="D1489" t="s">
        <v>22</v>
      </c>
      <c r="E1489">
        <v>341</v>
      </c>
      <c r="F1489">
        <f t="shared" si="26"/>
        <v>7</v>
      </c>
    </row>
    <row r="1490" spans="1:6">
      <c r="A1490" s="83">
        <v>43191</v>
      </c>
      <c r="B1490" t="s">
        <v>31</v>
      </c>
      <c r="C1490" t="s">
        <v>24</v>
      </c>
      <c r="D1490" t="s">
        <v>26</v>
      </c>
      <c r="E1490">
        <v>459</v>
      </c>
      <c r="F1490">
        <f t="shared" si="26"/>
        <v>5</v>
      </c>
    </row>
    <row r="1491" spans="1:6">
      <c r="A1491" s="83">
        <v>43221</v>
      </c>
      <c r="B1491" t="s">
        <v>31</v>
      </c>
      <c r="C1491" t="s">
        <v>21</v>
      </c>
      <c r="D1491" t="s">
        <v>23</v>
      </c>
      <c r="E1491">
        <v>210</v>
      </c>
      <c r="F1491">
        <f t="shared" si="26"/>
        <v>3</v>
      </c>
    </row>
    <row r="1492" spans="1:6">
      <c r="A1492" s="83">
        <v>43221</v>
      </c>
      <c r="B1492" t="s">
        <v>31</v>
      </c>
      <c r="C1492" t="s">
        <v>21</v>
      </c>
      <c r="D1492" t="s">
        <v>22</v>
      </c>
      <c r="E1492">
        <v>203</v>
      </c>
      <c r="F1492">
        <f t="shared" si="26"/>
        <v>7</v>
      </c>
    </row>
    <row r="1493" spans="1:6">
      <c r="A1493" s="83">
        <v>43221</v>
      </c>
      <c r="B1493" t="s">
        <v>31</v>
      </c>
      <c r="C1493" t="s">
        <v>24</v>
      </c>
      <c r="D1493" t="s">
        <v>23</v>
      </c>
      <c r="E1493">
        <v>210</v>
      </c>
      <c r="F1493">
        <f t="shared" si="26"/>
        <v>3</v>
      </c>
    </row>
    <row r="1494" spans="1:6">
      <c r="A1494" s="83">
        <v>43221</v>
      </c>
      <c r="B1494" t="s">
        <v>31</v>
      </c>
      <c r="C1494" t="s">
        <v>24</v>
      </c>
      <c r="D1494" t="s">
        <v>26</v>
      </c>
      <c r="E1494">
        <v>525</v>
      </c>
      <c r="F1494">
        <f t="shared" si="26"/>
        <v>5</v>
      </c>
    </row>
    <row r="1495" spans="1:6">
      <c r="A1495" s="83">
        <v>43252</v>
      </c>
      <c r="B1495" t="s">
        <v>31</v>
      </c>
      <c r="C1495" t="s">
        <v>21</v>
      </c>
      <c r="D1495" t="s">
        <v>22</v>
      </c>
      <c r="E1495">
        <v>263</v>
      </c>
      <c r="F1495">
        <f t="shared" si="26"/>
        <v>7</v>
      </c>
    </row>
    <row r="1496" spans="1:6">
      <c r="A1496" s="83">
        <v>43252</v>
      </c>
      <c r="B1496" t="s">
        <v>31</v>
      </c>
      <c r="C1496" t="s">
        <v>21</v>
      </c>
      <c r="D1496" t="s">
        <v>22</v>
      </c>
      <c r="E1496">
        <v>203</v>
      </c>
      <c r="F1496">
        <f t="shared" si="26"/>
        <v>7</v>
      </c>
    </row>
    <row r="1497" spans="1:6">
      <c r="A1497" s="83">
        <v>43252</v>
      </c>
      <c r="B1497" t="s">
        <v>31</v>
      </c>
      <c r="C1497" t="s">
        <v>24</v>
      </c>
      <c r="D1497" t="s">
        <v>26</v>
      </c>
      <c r="E1497">
        <v>210</v>
      </c>
      <c r="F1497">
        <f t="shared" si="26"/>
        <v>5</v>
      </c>
    </row>
    <row r="1498" spans="1:6">
      <c r="A1498" s="83">
        <v>43252</v>
      </c>
      <c r="B1498" t="s">
        <v>31</v>
      </c>
      <c r="C1498" t="s">
        <v>24</v>
      </c>
      <c r="D1498" t="s">
        <v>26</v>
      </c>
      <c r="E1498">
        <v>622</v>
      </c>
      <c r="F1498">
        <f t="shared" si="26"/>
        <v>5</v>
      </c>
    </row>
    <row r="1499" spans="1:6">
      <c r="A1499" s="83">
        <v>43282</v>
      </c>
      <c r="B1499" t="s">
        <v>31</v>
      </c>
      <c r="C1499" t="s">
        <v>21</v>
      </c>
      <c r="D1499" t="s">
        <v>22</v>
      </c>
      <c r="E1499">
        <v>315</v>
      </c>
      <c r="F1499">
        <f t="shared" si="26"/>
        <v>7</v>
      </c>
    </row>
    <row r="1500" spans="1:6">
      <c r="A1500" s="83">
        <v>43282</v>
      </c>
      <c r="B1500" t="s">
        <v>31</v>
      </c>
      <c r="C1500" t="s">
        <v>21</v>
      </c>
      <c r="D1500" t="s">
        <v>26</v>
      </c>
      <c r="E1500">
        <v>270</v>
      </c>
      <c r="F1500">
        <f t="shared" si="26"/>
        <v>5</v>
      </c>
    </row>
    <row r="1501" spans="1:6">
      <c r="A1501" s="83">
        <v>43282</v>
      </c>
      <c r="B1501" t="s">
        <v>31</v>
      </c>
      <c r="C1501" t="s">
        <v>24</v>
      </c>
      <c r="D1501" t="s">
        <v>26</v>
      </c>
      <c r="E1501">
        <v>184</v>
      </c>
      <c r="F1501">
        <f t="shared" si="26"/>
        <v>5</v>
      </c>
    </row>
    <row r="1502" spans="1:6">
      <c r="A1502" s="83">
        <v>43282</v>
      </c>
      <c r="B1502" t="s">
        <v>31</v>
      </c>
      <c r="C1502" t="s">
        <v>24</v>
      </c>
      <c r="D1502" t="s">
        <v>23</v>
      </c>
      <c r="E1502">
        <v>826</v>
      </c>
      <c r="F1502">
        <f t="shared" si="26"/>
        <v>3</v>
      </c>
    </row>
    <row r="1503" spans="1:6">
      <c r="A1503" s="83">
        <v>43313</v>
      </c>
      <c r="B1503" t="s">
        <v>31</v>
      </c>
      <c r="C1503" t="s">
        <v>21</v>
      </c>
      <c r="D1503" t="s">
        <v>26</v>
      </c>
      <c r="E1503">
        <v>263</v>
      </c>
      <c r="F1503">
        <f t="shared" si="26"/>
        <v>5</v>
      </c>
    </row>
    <row r="1504" spans="1:6">
      <c r="A1504" s="83">
        <v>43313</v>
      </c>
      <c r="B1504" t="s">
        <v>31</v>
      </c>
      <c r="C1504" t="s">
        <v>21</v>
      </c>
      <c r="D1504" t="s">
        <v>26</v>
      </c>
      <c r="E1504">
        <v>203</v>
      </c>
      <c r="F1504">
        <f t="shared" si="26"/>
        <v>5</v>
      </c>
    </row>
    <row r="1505" spans="1:6">
      <c r="A1505" s="83">
        <v>43313</v>
      </c>
      <c r="B1505" t="s">
        <v>31</v>
      </c>
      <c r="C1505" t="s">
        <v>24</v>
      </c>
      <c r="D1505" t="s">
        <v>26</v>
      </c>
      <c r="E1505">
        <v>184</v>
      </c>
      <c r="F1505">
        <f t="shared" si="26"/>
        <v>5</v>
      </c>
    </row>
    <row r="1506" spans="1:6">
      <c r="A1506" s="83">
        <v>43313</v>
      </c>
      <c r="B1506" t="s">
        <v>31</v>
      </c>
      <c r="C1506" t="s">
        <v>24</v>
      </c>
      <c r="D1506" t="s">
        <v>26</v>
      </c>
      <c r="E1506">
        <v>688</v>
      </c>
      <c r="F1506">
        <f t="shared" si="26"/>
        <v>5</v>
      </c>
    </row>
    <row r="1507" spans="1:6">
      <c r="A1507" s="83">
        <v>43344</v>
      </c>
      <c r="B1507" t="s">
        <v>31</v>
      </c>
      <c r="C1507" t="s">
        <v>21</v>
      </c>
      <c r="D1507" t="s">
        <v>26</v>
      </c>
      <c r="E1507">
        <v>315</v>
      </c>
      <c r="F1507">
        <f t="shared" si="26"/>
        <v>5</v>
      </c>
    </row>
    <row r="1508" spans="1:6">
      <c r="A1508" s="83">
        <v>43344</v>
      </c>
      <c r="B1508" t="s">
        <v>31</v>
      </c>
      <c r="C1508" t="s">
        <v>21</v>
      </c>
      <c r="D1508" t="s">
        <v>26</v>
      </c>
      <c r="E1508">
        <v>338</v>
      </c>
      <c r="F1508">
        <f t="shared" si="26"/>
        <v>5</v>
      </c>
    </row>
    <row r="1509" spans="1:6">
      <c r="A1509" s="83">
        <v>43344</v>
      </c>
      <c r="B1509" t="s">
        <v>31</v>
      </c>
      <c r="C1509" t="s">
        <v>24</v>
      </c>
      <c r="D1509" t="s">
        <v>23</v>
      </c>
      <c r="E1509">
        <v>210</v>
      </c>
      <c r="F1509">
        <f t="shared" si="26"/>
        <v>3</v>
      </c>
    </row>
    <row r="1510" spans="1:6">
      <c r="A1510" s="83">
        <v>43344</v>
      </c>
      <c r="B1510" t="s">
        <v>31</v>
      </c>
      <c r="C1510" t="s">
        <v>24</v>
      </c>
      <c r="D1510" t="s">
        <v>23</v>
      </c>
      <c r="E1510">
        <v>590</v>
      </c>
      <c r="F1510">
        <f t="shared" si="26"/>
        <v>3</v>
      </c>
    </row>
    <row r="1511" spans="1:6">
      <c r="A1511" s="83">
        <v>43374</v>
      </c>
      <c r="B1511" t="s">
        <v>31</v>
      </c>
      <c r="C1511" t="s">
        <v>21</v>
      </c>
      <c r="D1511" t="s">
        <v>23</v>
      </c>
      <c r="E1511">
        <v>263</v>
      </c>
      <c r="F1511">
        <f t="shared" si="26"/>
        <v>3</v>
      </c>
    </row>
    <row r="1512" spans="1:6">
      <c r="A1512" s="83">
        <v>43374</v>
      </c>
      <c r="B1512" t="s">
        <v>31</v>
      </c>
      <c r="C1512" t="s">
        <v>21</v>
      </c>
      <c r="D1512" t="s">
        <v>22</v>
      </c>
      <c r="E1512">
        <v>405</v>
      </c>
      <c r="F1512">
        <f t="shared" si="26"/>
        <v>7</v>
      </c>
    </row>
    <row r="1513" spans="1:6">
      <c r="A1513" s="83">
        <v>43374</v>
      </c>
      <c r="B1513" t="s">
        <v>31</v>
      </c>
      <c r="C1513" t="s">
        <v>24</v>
      </c>
      <c r="D1513" t="s">
        <v>22</v>
      </c>
      <c r="E1513">
        <v>210</v>
      </c>
      <c r="F1513">
        <f t="shared" si="26"/>
        <v>7</v>
      </c>
    </row>
    <row r="1514" spans="1:6">
      <c r="A1514" s="83">
        <v>43374</v>
      </c>
      <c r="B1514" t="s">
        <v>31</v>
      </c>
      <c r="C1514" t="s">
        <v>24</v>
      </c>
      <c r="D1514" t="s">
        <v>23</v>
      </c>
      <c r="E1514">
        <v>656</v>
      </c>
      <c r="F1514">
        <f t="shared" si="26"/>
        <v>3</v>
      </c>
    </row>
    <row r="1515" spans="1:6">
      <c r="A1515" s="83">
        <v>43405</v>
      </c>
      <c r="B1515" t="s">
        <v>31</v>
      </c>
      <c r="C1515" t="s">
        <v>21</v>
      </c>
      <c r="D1515" t="s">
        <v>26</v>
      </c>
      <c r="E1515">
        <v>210</v>
      </c>
      <c r="F1515">
        <f t="shared" si="26"/>
        <v>5</v>
      </c>
    </row>
    <row r="1516" spans="1:6">
      <c r="A1516" s="83">
        <v>43405</v>
      </c>
      <c r="B1516" t="s">
        <v>31</v>
      </c>
      <c r="C1516" t="s">
        <v>21</v>
      </c>
      <c r="D1516" t="s">
        <v>26</v>
      </c>
      <c r="E1516">
        <v>408</v>
      </c>
      <c r="F1516">
        <f t="shared" si="26"/>
        <v>5</v>
      </c>
    </row>
    <row r="1517" spans="1:6">
      <c r="A1517" s="83">
        <v>43405</v>
      </c>
      <c r="B1517" t="s">
        <v>31</v>
      </c>
      <c r="C1517" t="s">
        <v>24</v>
      </c>
      <c r="D1517" t="s">
        <v>26</v>
      </c>
      <c r="E1517">
        <v>210</v>
      </c>
      <c r="F1517">
        <f t="shared" si="26"/>
        <v>5</v>
      </c>
    </row>
    <row r="1518" spans="1:6">
      <c r="A1518" s="83">
        <v>43405</v>
      </c>
      <c r="B1518" t="s">
        <v>31</v>
      </c>
      <c r="C1518" t="s">
        <v>24</v>
      </c>
      <c r="D1518" t="s">
        <v>23</v>
      </c>
      <c r="E1518">
        <v>623</v>
      </c>
      <c r="F1518">
        <f t="shared" si="26"/>
        <v>3</v>
      </c>
    </row>
    <row r="1519" spans="1:6">
      <c r="A1519" s="83">
        <v>43435</v>
      </c>
      <c r="B1519" t="s">
        <v>31</v>
      </c>
      <c r="C1519" t="s">
        <v>21</v>
      </c>
      <c r="D1519" t="s">
        <v>26</v>
      </c>
      <c r="E1519">
        <v>263</v>
      </c>
      <c r="F1519">
        <f t="shared" si="26"/>
        <v>5</v>
      </c>
    </row>
    <row r="1520" spans="1:6">
      <c r="A1520" s="83">
        <v>43435</v>
      </c>
      <c r="B1520" t="s">
        <v>31</v>
      </c>
      <c r="C1520" t="s">
        <v>21</v>
      </c>
      <c r="D1520" t="s">
        <v>23</v>
      </c>
      <c r="E1520">
        <v>706</v>
      </c>
      <c r="F1520">
        <f t="shared" si="26"/>
        <v>3</v>
      </c>
    </row>
    <row r="1521" spans="1:6">
      <c r="A1521" s="83">
        <v>43435</v>
      </c>
      <c r="B1521" t="s">
        <v>31</v>
      </c>
      <c r="C1521" t="s">
        <v>24</v>
      </c>
      <c r="D1521" t="s">
        <v>26</v>
      </c>
      <c r="E1521">
        <v>236</v>
      </c>
      <c r="F1521">
        <f t="shared" si="26"/>
        <v>5</v>
      </c>
    </row>
    <row r="1522" spans="1:6">
      <c r="A1522" s="83">
        <v>43435</v>
      </c>
      <c r="B1522" t="s">
        <v>31</v>
      </c>
      <c r="C1522" t="s">
        <v>24</v>
      </c>
      <c r="D1522" t="s">
        <v>22</v>
      </c>
      <c r="E1522">
        <v>859</v>
      </c>
      <c r="F1522">
        <f t="shared" si="26"/>
        <v>7</v>
      </c>
    </row>
    <row r="1523" spans="1:6">
      <c r="A1523" s="83">
        <v>43466</v>
      </c>
      <c r="B1523" t="s">
        <v>31</v>
      </c>
      <c r="C1523" t="s">
        <v>21</v>
      </c>
      <c r="D1523" t="s">
        <v>22</v>
      </c>
      <c r="E1523">
        <v>210</v>
      </c>
      <c r="F1523">
        <f t="shared" si="26"/>
        <v>7</v>
      </c>
    </row>
    <row r="1524" spans="1:6">
      <c r="A1524" s="83">
        <v>43466</v>
      </c>
      <c r="B1524" t="s">
        <v>31</v>
      </c>
      <c r="C1524" t="s">
        <v>21</v>
      </c>
      <c r="D1524" t="s">
        <v>23</v>
      </c>
      <c r="E1524">
        <v>468</v>
      </c>
      <c r="F1524">
        <f t="shared" si="26"/>
        <v>3</v>
      </c>
    </row>
    <row r="1525" spans="1:6">
      <c r="A1525" s="83">
        <v>43466</v>
      </c>
      <c r="B1525" t="s">
        <v>31</v>
      </c>
      <c r="C1525" t="s">
        <v>24</v>
      </c>
      <c r="D1525" t="s">
        <v>26</v>
      </c>
      <c r="E1525">
        <v>184</v>
      </c>
      <c r="F1525">
        <f t="shared" si="26"/>
        <v>5</v>
      </c>
    </row>
    <row r="1526" spans="1:6">
      <c r="A1526" s="83">
        <v>43466</v>
      </c>
      <c r="B1526" t="s">
        <v>31</v>
      </c>
      <c r="C1526" t="s">
        <v>24</v>
      </c>
      <c r="D1526" t="s">
        <v>23</v>
      </c>
      <c r="E1526">
        <v>786</v>
      </c>
      <c r="F1526">
        <f t="shared" si="26"/>
        <v>3</v>
      </c>
    </row>
    <row r="1527" spans="1:6">
      <c r="A1527" s="83">
        <v>43497</v>
      </c>
      <c r="B1527" t="s">
        <v>31</v>
      </c>
      <c r="C1527" t="s">
        <v>21</v>
      </c>
      <c r="D1527" t="s">
        <v>22</v>
      </c>
      <c r="E1527">
        <v>210</v>
      </c>
      <c r="F1527">
        <f t="shared" si="26"/>
        <v>7</v>
      </c>
    </row>
    <row r="1528" spans="1:6">
      <c r="A1528" s="83">
        <v>43497</v>
      </c>
      <c r="B1528" t="s">
        <v>31</v>
      </c>
      <c r="C1528" t="s">
        <v>21</v>
      </c>
      <c r="D1528" t="s">
        <v>23</v>
      </c>
      <c r="E1528">
        <v>540</v>
      </c>
      <c r="F1528">
        <f t="shared" si="26"/>
        <v>3</v>
      </c>
    </row>
    <row r="1529" spans="1:6">
      <c r="A1529" s="83">
        <v>43497</v>
      </c>
      <c r="B1529" t="s">
        <v>31</v>
      </c>
      <c r="C1529" t="s">
        <v>24</v>
      </c>
      <c r="D1529" t="s">
        <v>26</v>
      </c>
      <c r="E1529">
        <v>210</v>
      </c>
      <c r="F1529">
        <f t="shared" si="26"/>
        <v>5</v>
      </c>
    </row>
    <row r="1530" spans="1:6">
      <c r="A1530" s="83">
        <v>43497</v>
      </c>
      <c r="B1530" t="s">
        <v>31</v>
      </c>
      <c r="C1530" t="s">
        <v>24</v>
      </c>
      <c r="D1530" t="s">
        <v>23</v>
      </c>
      <c r="E1530">
        <v>858</v>
      </c>
      <c r="F1530">
        <f t="shared" si="26"/>
        <v>3</v>
      </c>
    </row>
    <row r="1531" spans="1:6">
      <c r="A1531" s="83">
        <v>43525</v>
      </c>
      <c r="B1531" t="s">
        <v>31</v>
      </c>
      <c r="C1531" t="s">
        <v>21</v>
      </c>
      <c r="D1531" t="s">
        <v>26</v>
      </c>
      <c r="E1531">
        <v>158</v>
      </c>
      <c r="F1531">
        <f t="shared" si="26"/>
        <v>5</v>
      </c>
    </row>
    <row r="1532" spans="1:6">
      <c r="A1532" s="83">
        <v>43525</v>
      </c>
      <c r="B1532" t="s">
        <v>31</v>
      </c>
      <c r="C1532" t="s">
        <v>21</v>
      </c>
      <c r="D1532" t="s">
        <v>26</v>
      </c>
      <c r="E1532">
        <v>473</v>
      </c>
      <c r="F1532">
        <f t="shared" si="26"/>
        <v>5</v>
      </c>
    </row>
    <row r="1533" spans="1:6">
      <c r="A1533" s="83">
        <v>43525</v>
      </c>
      <c r="B1533" t="s">
        <v>31</v>
      </c>
      <c r="C1533" t="s">
        <v>24</v>
      </c>
      <c r="D1533" t="s">
        <v>26</v>
      </c>
      <c r="E1533">
        <v>184</v>
      </c>
      <c r="F1533">
        <f t="shared" si="26"/>
        <v>5</v>
      </c>
    </row>
    <row r="1534" spans="1:6">
      <c r="A1534" s="83">
        <v>43525</v>
      </c>
      <c r="B1534" t="s">
        <v>31</v>
      </c>
      <c r="C1534" t="s">
        <v>24</v>
      </c>
      <c r="D1534" t="s">
        <v>23</v>
      </c>
      <c r="E1534">
        <v>1079</v>
      </c>
      <c r="F1534">
        <f t="shared" si="26"/>
        <v>3</v>
      </c>
    </row>
    <row r="1535" spans="1:6">
      <c r="A1535" s="83">
        <v>43556</v>
      </c>
      <c r="B1535" t="s">
        <v>31</v>
      </c>
      <c r="C1535" t="s">
        <v>21</v>
      </c>
      <c r="D1535" t="s">
        <v>23</v>
      </c>
      <c r="E1535">
        <v>263</v>
      </c>
      <c r="F1535">
        <f t="shared" si="26"/>
        <v>3</v>
      </c>
    </row>
    <row r="1536" spans="1:6">
      <c r="A1536" s="83">
        <v>43556</v>
      </c>
      <c r="B1536" t="s">
        <v>31</v>
      </c>
      <c r="C1536" t="s">
        <v>21</v>
      </c>
      <c r="D1536" t="s">
        <v>26</v>
      </c>
      <c r="E1536">
        <v>405</v>
      </c>
      <c r="F1536">
        <f t="shared" si="26"/>
        <v>5</v>
      </c>
    </row>
    <row r="1537" spans="1:6">
      <c r="A1537" s="83">
        <v>43556</v>
      </c>
      <c r="B1537" t="s">
        <v>31</v>
      </c>
      <c r="C1537" t="s">
        <v>24</v>
      </c>
      <c r="D1537" t="s">
        <v>23</v>
      </c>
      <c r="E1537">
        <v>158</v>
      </c>
      <c r="F1537">
        <f t="shared" si="26"/>
        <v>3</v>
      </c>
    </row>
    <row r="1538" spans="1:6">
      <c r="A1538" s="83">
        <v>43556</v>
      </c>
      <c r="B1538" t="s">
        <v>31</v>
      </c>
      <c r="C1538" t="s">
        <v>24</v>
      </c>
      <c r="D1538" t="s">
        <v>23</v>
      </c>
      <c r="E1538">
        <v>1208</v>
      </c>
      <c r="F1538">
        <f t="shared" si="26"/>
        <v>3</v>
      </c>
    </row>
    <row r="1539" spans="1:6">
      <c r="A1539" s="83">
        <v>43586</v>
      </c>
      <c r="B1539" t="s">
        <v>31</v>
      </c>
      <c r="C1539" t="s">
        <v>21</v>
      </c>
      <c r="D1539" t="s">
        <v>23</v>
      </c>
      <c r="E1539">
        <v>315</v>
      </c>
      <c r="F1539">
        <f t="shared" ref="F1539:F1602" si="27">LEN(D1539)</f>
        <v>3</v>
      </c>
    </row>
    <row r="1540" spans="1:6">
      <c r="A1540" s="83">
        <v>43586</v>
      </c>
      <c r="B1540" t="s">
        <v>31</v>
      </c>
      <c r="C1540" t="s">
        <v>21</v>
      </c>
      <c r="D1540" t="s">
        <v>26</v>
      </c>
      <c r="E1540">
        <v>405</v>
      </c>
      <c r="F1540">
        <f t="shared" si="27"/>
        <v>5</v>
      </c>
    </row>
    <row r="1541" spans="1:6">
      <c r="A1541" s="83">
        <v>43586</v>
      </c>
      <c r="B1541" t="s">
        <v>31</v>
      </c>
      <c r="C1541" t="s">
        <v>24</v>
      </c>
      <c r="D1541" t="s">
        <v>22</v>
      </c>
      <c r="E1541">
        <v>184</v>
      </c>
      <c r="F1541">
        <f t="shared" si="27"/>
        <v>7</v>
      </c>
    </row>
    <row r="1542" spans="1:6">
      <c r="A1542" s="83">
        <v>43586</v>
      </c>
      <c r="B1542" t="s">
        <v>31</v>
      </c>
      <c r="C1542" t="s">
        <v>24</v>
      </c>
      <c r="D1542" t="s">
        <v>26</v>
      </c>
      <c r="E1542">
        <v>590</v>
      </c>
      <c r="F1542">
        <f t="shared" si="27"/>
        <v>5</v>
      </c>
    </row>
    <row r="1543" spans="1:6">
      <c r="A1543" s="83">
        <v>43617</v>
      </c>
      <c r="B1543" t="s">
        <v>31</v>
      </c>
      <c r="C1543" t="s">
        <v>21</v>
      </c>
      <c r="D1543" t="s">
        <v>23</v>
      </c>
      <c r="E1543">
        <v>368</v>
      </c>
      <c r="F1543">
        <f t="shared" si="27"/>
        <v>3</v>
      </c>
    </row>
    <row r="1544" spans="1:6">
      <c r="A1544" s="83">
        <v>43617</v>
      </c>
      <c r="B1544" t="s">
        <v>31</v>
      </c>
      <c r="C1544" t="s">
        <v>21</v>
      </c>
      <c r="D1544" t="s">
        <v>26</v>
      </c>
      <c r="E1544">
        <v>405</v>
      </c>
      <c r="F1544">
        <f t="shared" si="27"/>
        <v>5</v>
      </c>
    </row>
    <row r="1545" spans="1:6">
      <c r="A1545" s="83">
        <v>43617</v>
      </c>
      <c r="B1545" t="s">
        <v>31</v>
      </c>
      <c r="C1545" t="s">
        <v>24</v>
      </c>
      <c r="D1545" t="s">
        <v>23</v>
      </c>
      <c r="E1545">
        <v>158</v>
      </c>
      <c r="F1545">
        <f t="shared" si="27"/>
        <v>3</v>
      </c>
    </row>
    <row r="1546" spans="1:6">
      <c r="A1546" s="83">
        <v>43617</v>
      </c>
      <c r="B1546" t="s">
        <v>31</v>
      </c>
      <c r="C1546" t="s">
        <v>24</v>
      </c>
      <c r="D1546" t="s">
        <v>26</v>
      </c>
      <c r="E1546">
        <v>557</v>
      </c>
      <c r="F1546">
        <f t="shared" si="27"/>
        <v>5</v>
      </c>
    </row>
    <row r="1547" spans="1:6">
      <c r="A1547" s="83">
        <v>43647</v>
      </c>
      <c r="B1547" t="s">
        <v>31</v>
      </c>
      <c r="C1547" t="s">
        <v>21</v>
      </c>
      <c r="D1547" t="s">
        <v>26</v>
      </c>
      <c r="E1547">
        <v>210</v>
      </c>
      <c r="F1547">
        <f t="shared" si="27"/>
        <v>5</v>
      </c>
    </row>
    <row r="1548" spans="1:6">
      <c r="A1548" s="83">
        <v>43647</v>
      </c>
      <c r="B1548" t="s">
        <v>31</v>
      </c>
      <c r="C1548" t="s">
        <v>21</v>
      </c>
      <c r="D1548" t="s">
        <v>26</v>
      </c>
      <c r="E1548">
        <v>464</v>
      </c>
      <c r="F1548">
        <f t="shared" si="27"/>
        <v>5</v>
      </c>
    </row>
    <row r="1549" spans="1:6">
      <c r="A1549" s="83">
        <v>43647</v>
      </c>
      <c r="B1549" t="s">
        <v>31</v>
      </c>
      <c r="C1549" t="s">
        <v>24</v>
      </c>
      <c r="D1549" t="s">
        <v>26</v>
      </c>
      <c r="E1549">
        <v>158</v>
      </c>
      <c r="F1549">
        <f t="shared" si="27"/>
        <v>5</v>
      </c>
    </row>
    <row r="1550" spans="1:6">
      <c r="A1550" s="83">
        <v>43647</v>
      </c>
      <c r="B1550" t="s">
        <v>31</v>
      </c>
      <c r="C1550" t="s">
        <v>24</v>
      </c>
      <c r="D1550" t="s">
        <v>26</v>
      </c>
      <c r="E1550">
        <v>459</v>
      </c>
      <c r="F1550">
        <f t="shared" si="27"/>
        <v>5</v>
      </c>
    </row>
    <row r="1551" spans="1:6">
      <c r="A1551" s="83">
        <v>43678</v>
      </c>
      <c r="B1551" t="s">
        <v>31</v>
      </c>
      <c r="C1551" t="s">
        <v>21</v>
      </c>
      <c r="D1551" t="s">
        <v>23</v>
      </c>
      <c r="E1551">
        <v>158</v>
      </c>
      <c r="F1551">
        <f t="shared" si="27"/>
        <v>3</v>
      </c>
    </row>
    <row r="1552" spans="1:6">
      <c r="A1552" s="83">
        <v>43678</v>
      </c>
      <c r="B1552" t="s">
        <v>31</v>
      </c>
      <c r="C1552" t="s">
        <v>21</v>
      </c>
      <c r="D1552" t="s">
        <v>26</v>
      </c>
      <c r="E1552">
        <v>338</v>
      </c>
      <c r="F1552">
        <f t="shared" si="27"/>
        <v>5</v>
      </c>
    </row>
    <row r="1553" spans="1:6">
      <c r="A1553" s="83">
        <v>43678</v>
      </c>
      <c r="B1553" t="s">
        <v>31</v>
      </c>
      <c r="C1553" t="s">
        <v>24</v>
      </c>
      <c r="D1553" t="s">
        <v>22</v>
      </c>
      <c r="E1553">
        <v>131</v>
      </c>
      <c r="F1553">
        <f t="shared" si="27"/>
        <v>7</v>
      </c>
    </row>
    <row r="1554" spans="1:6">
      <c r="A1554" s="83">
        <v>43678</v>
      </c>
      <c r="B1554" t="s">
        <v>31</v>
      </c>
      <c r="C1554" t="s">
        <v>24</v>
      </c>
      <c r="D1554" t="s">
        <v>23</v>
      </c>
      <c r="E1554">
        <v>459</v>
      </c>
      <c r="F1554">
        <f t="shared" si="27"/>
        <v>3</v>
      </c>
    </row>
    <row r="1555" spans="1:6">
      <c r="A1555" s="83">
        <v>43709</v>
      </c>
      <c r="B1555" t="s">
        <v>31</v>
      </c>
      <c r="C1555" t="s">
        <v>21</v>
      </c>
      <c r="D1555" t="s">
        <v>26</v>
      </c>
      <c r="E1555">
        <v>210</v>
      </c>
      <c r="F1555">
        <f t="shared" si="27"/>
        <v>5</v>
      </c>
    </row>
    <row r="1556" spans="1:6">
      <c r="A1556" s="83">
        <v>43709</v>
      </c>
      <c r="B1556" t="s">
        <v>31</v>
      </c>
      <c r="C1556" t="s">
        <v>21</v>
      </c>
      <c r="D1556" t="s">
        <v>26</v>
      </c>
      <c r="E1556">
        <v>529</v>
      </c>
      <c r="F1556">
        <f t="shared" si="27"/>
        <v>5</v>
      </c>
    </row>
    <row r="1557" spans="1:6">
      <c r="A1557" s="83">
        <v>43709</v>
      </c>
      <c r="B1557" t="s">
        <v>31</v>
      </c>
      <c r="C1557" t="s">
        <v>24</v>
      </c>
      <c r="D1557" t="s">
        <v>23</v>
      </c>
      <c r="E1557">
        <v>158</v>
      </c>
      <c r="F1557">
        <f t="shared" si="27"/>
        <v>3</v>
      </c>
    </row>
    <row r="1558" spans="1:6">
      <c r="A1558" s="83">
        <v>43709</v>
      </c>
      <c r="B1558" t="s">
        <v>31</v>
      </c>
      <c r="C1558" t="s">
        <v>24</v>
      </c>
      <c r="D1558" t="s">
        <v>23</v>
      </c>
      <c r="E1558">
        <v>426</v>
      </c>
      <c r="F1558">
        <f t="shared" si="27"/>
        <v>3</v>
      </c>
    </row>
    <row r="1559" spans="1:6">
      <c r="A1559" s="83">
        <v>43739</v>
      </c>
      <c r="B1559" t="s">
        <v>31</v>
      </c>
      <c r="C1559" t="s">
        <v>21</v>
      </c>
      <c r="D1559" t="s">
        <v>23</v>
      </c>
      <c r="E1559">
        <v>263</v>
      </c>
      <c r="F1559">
        <f t="shared" si="27"/>
        <v>3</v>
      </c>
    </row>
    <row r="1560" spans="1:6">
      <c r="A1560" s="83">
        <v>43739</v>
      </c>
      <c r="B1560" t="s">
        <v>31</v>
      </c>
      <c r="C1560" t="s">
        <v>21</v>
      </c>
      <c r="D1560" t="s">
        <v>22</v>
      </c>
      <c r="E1560">
        <v>727</v>
      </c>
      <c r="F1560">
        <f t="shared" si="27"/>
        <v>7</v>
      </c>
    </row>
    <row r="1561" spans="1:6">
      <c r="A1561" s="83">
        <v>43739</v>
      </c>
      <c r="B1561" t="s">
        <v>31</v>
      </c>
      <c r="C1561" t="s">
        <v>24</v>
      </c>
      <c r="D1561" t="s">
        <v>22</v>
      </c>
      <c r="E1561">
        <v>184</v>
      </c>
      <c r="F1561">
        <f t="shared" si="27"/>
        <v>7</v>
      </c>
    </row>
    <row r="1562" spans="1:6">
      <c r="A1562" s="83">
        <v>43739</v>
      </c>
      <c r="B1562" t="s">
        <v>31</v>
      </c>
      <c r="C1562" t="s">
        <v>24</v>
      </c>
      <c r="D1562" t="s">
        <v>23</v>
      </c>
      <c r="E1562">
        <v>426</v>
      </c>
      <c r="F1562">
        <f t="shared" si="27"/>
        <v>3</v>
      </c>
    </row>
    <row r="1563" spans="1:6">
      <c r="A1563" s="83">
        <v>43770</v>
      </c>
      <c r="B1563" t="s">
        <v>31</v>
      </c>
      <c r="C1563" t="s">
        <v>21</v>
      </c>
      <c r="D1563" t="s">
        <v>26</v>
      </c>
      <c r="E1563">
        <v>210</v>
      </c>
      <c r="F1563">
        <f t="shared" si="27"/>
        <v>5</v>
      </c>
    </row>
    <row r="1564" spans="1:6">
      <c r="A1564" s="83">
        <v>43770</v>
      </c>
      <c r="B1564" t="s">
        <v>31</v>
      </c>
      <c r="C1564" t="s">
        <v>21</v>
      </c>
      <c r="D1564" t="s">
        <v>23</v>
      </c>
      <c r="E1564">
        <v>768</v>
      </c>
      <c r="F1564">
        <f t="shared" si="27"/>
        <v>3</v>
      </c>
    </row>
    <row r="1565" spans="1:6">
      <c r="A1565" s="83">
        <v>43770</v>
      </c>
      <c r="B1565" t="s">
        <v>31</v>
      </c>
      <c r="C1565" t="s">
        <v>24</v>
      </c>
      <c r="D1565" t="s">
        <v>26</v>
      </c>
      <c r="E1565">
        <v>184</v>
      </c>
      <c r="F1565">
        <f t="shared" si="27"/>
        <v>5</v>
      </c>
    </row>
    <row r="1566" spans="1:6">
      <c r="A1566" s="83">
        <v>43770</v>
      </c>
      <c r="B1566" t="s">
        <v>31</v>
      </c>
      <c r="C1566" t="s">
        <v>24</v>
      </c>
      <c r="D1566" t="s">
        <v>22</v>
      </c>
      <c r="E1566">
        <v>459</v>
      </c>
      <c r="F1566">
        <f t="shared" si="27"/>
        <v>7</v>
      </c>
    </row>
    <row r="1567" spans="1:6">
      <c r="A1567" s="83">
        <v>43800</v>
      </c>
      <c r="B1567" t="s">
        <v>31</v>
      </c>
      <c r="C1567" t="s">
        <v>21</v>
      </c>
      <c r="D1567" t="s">
        <v>22</v>
      </c>
      <c r="E1567">
        <v>263</v>
      </c>
      <c r="F1567">
        <f t="shared" si="27"/>
        <v>7</v>
      </c>
    </row>
    <row r="1568" spans="1:6">
      <c r="A1568" s="83">
        <v>43800</v>
      </c>
      <c r="B1568" t="s">
        <v>31</v>
      </c>
      <c r="C1568" t="s">
        <v>21</v>
      </c>
      <c r="D1568" t="s">
        <v>26</v>
      </c>
      <c r="E1568">
        <v>338</v>
      </c>
      <c r="F1568">
        <f t="shared" si="27"/>
        <v>5</v>
      </c>
    </row>
    <row r="1569" spans="1:6">
      <c r="A1569" s="83">
        <v>43800</v>
      </c>
      <c r="B1569" t="s">
        <v>31</v>
      </c>
      <c r="C1569" t="s">
        <v>24</v>
      </c>
      <c r="D1569" t="s">
        <v>26</v>
      </c>
      <c r="E1569">
        <v>368</v>
      </c>
      <c r="F1569">
        <f t="shared" si="27"/>
        <v>5</v>
      </c>
    </row>
    <row r="1570" spans="1:6">
      <c r="A1570" s="83">
        <v>43800</v>
      </c>
      <c r="B1570" t="s">
        <v>31</v>
      </c>
      <c r="C1570" t="s">
        <v>24</v>
      </c>
      <c r="D1570" t="s">
        <v>23</v>
      </c>
      <c r="E1570">
        <v>426</v>
      </c>
      <c r="F1570">
        <f t="shared" si="27"/>
        <v>3</v>
      </c>
    </row>
    <row r="1571" spans="1:6">
      <c r="A1571" s="83">
        <v>43221</v>
      </c>
      <c r="B1571" t="s">
        <v>31</v>
      </c>
      <c r="C1571" t="s">
        <v>21</v>
      </c>
      <c r="D1571" t="s">
        <v>26</v>
      </c>
      <c r="E1571">
        <v>413</v>
      </c>
      <c r="F1571">
        <f t="shared" si="27"/>
        <v>5</v>
      </c>
    </row>
    <row r="1572" spans="1:6">
      <c r="A1572" s="83">
        <v>43221</v>
      </c>
      <c r="B1572" t="s">
        <v>31</v>
      </c>
      <c r="C1572" t="s">
        <v>21</v>
      </c>
      <c r="D1572" t="s">
        <v>23</v>
      </c>
      <c r="E1572">
        <v>68</v>
      </c>
      <c r="F1572">
        <f t="shared" si="27"/>
        <v>3</v>
      </c>
    </row>
    <row r="1573" spans="1:6">
      <c r="A1573" s="83">
        <v>43221</v>
      </c>
      <c r="B1573" t="s">
        <v>31</v>
      </c>
      <c r="C1573" t="s">
        <v>24</v>
      </c>
      <c r="D1573" t="s">
        <v>23</v>
      </c>
      <c r="E1573">
        <v>210</v>
      </c>
      <c r="F1573">
        <f t="shared" si="27"/>
        <v>3</v>
      </c>
    </row>
    <row r="1574" spans="1:6">
      <c r="A1574" s="83">
        <v>43221</v>
      </c>
      <c r="B1574" t="s">
        <v>31</v>
      </c>
      <c r="C1574" t="s">
        <v>24</v>
      </c>
      <c r="D1574" t="s">
        <v>26</v>
      </c>
      <c r="E1574">
        <v>400</v>
      </c>
      <c r="F1574">
        <f t="shared" si="27"/>
        <v>5</v>
      </c>
    </row>
    <row r="1575" spans="1:6">
      <c r="A1575" s="83">
        <v>43221</v>
      </c>
      <c r="B1575" t="s">
        <v>31</v>
      </c>
      <c r="C1575" t="s">
        <v>24</v>
      </c>
      <c r="D1575" t="s">
        <v>22</v>
      </c>
      <c r="E1575">
        <v>304</v>
      </c>
      <c r="F1575">
        <f t="shared" si="27"/>
        <v>7</v>
      </c>
    </row>
    <row r="1576" spans="1:6">
      <c r="A1576" s="83">
        <v>43252</v>
      </c>
      <c r="B1576" t="s">
        <v>31</v>
      </c>
      <c r="C1576" t="s">
        <v>21</v>
      </c>
      <c r="D1576" t="s">
        <v>22</v>
      </c>
      <c r="E1576">
        <v>53</v>
      </c>
      <c r="F1576">
        <f t="shared" si="27"/>
        <v>7</v>
      </c>
    </row>
    <row r="1577" spans="1:6">
      <c r="A1577" s="83">
        <v>43252</v>
      </c>
      <c r="B1577" t="s">
        <v>31</v>
      </c>
      <c r="C1577" t="s">
        <v>21</v>
      </c>
      <c r="D1577" t="s">
        <v>26</v>
      </c>
      <c r="E1577">
        <v>413</v>
      </c>
      <c r="F1577">
        <f t="shared" si="27"/>
        <v>5</v>
      </c>
    </row>
    <row r="1578" spans="1:6">
      <c r="A1578" s="83">
        <v>43252</v>
      </c>
      <c r="B1578" t="s">
        <v>31</v>
      </c>
      <c r="C1578" t="s">
        <v>21</v>
      </c>
      <c r="D1578" t="s">
        <v>26</v>
      </c>
      <c r="E1578">
        <v>540</v>
      </c>
      <c r="F1578">
        <f t="shared" si="27"/>
        <v>5</v>
      </c>
    </row>
    <row r="1579" spans="1:6">
      <c r="A1579" s="83">
        <v>43252</v>
      </c>
      <c r="B1579" t="s">
        <v>31</v>
      </c>
      <c r="C1579" t="s">
        <v>24</v>
      </c>
      <c r="D1579" t="s">
        <v>26</v>
      </c>
      <c r="E1579">
        <v>210</v>
      </c>
      <c r="F1579">
        <f t="shared" si="27"/>
        <v>5</v>
      </c>
    </row>
    <row r="1580" spans="1:6">
      <c r="A1580" s="83">
        <v>43252</v>
      </c>
      <c r="B1580" t="s">
        <v>31</v>
      </c>
      <c r="C1580" t="s">
        <v>24</v>
      </c>
      <c r="D1580" t="s">
        <v>22</v>
      </c>
      <c r="E1580">
        <v>289</v>
      </c>
      <c r="F1580">
        <f t="shared" si="27"/>
        <v>7</v>
      </c>
    </row>
    <row r="1581" spans="1:6">
      <c r="A1581" s="83">
        <v>43252</v>
      </c>
      <c r="B1581" t="s">
        <v>31</v>
      </c>
      <c r="C1581" t="s">
        <v>24</v>
      </c>
      <c r="D1581" t="s">
        <v>23</v>
      </c>
      <c r="E1581">
        <v>338</v>
      </c>
      <c r="F1581">
        <f t="shared" si="27"/>
        <v>3</v>
      </c>
    </row>
    <row r="1582" spans="1:6">
      <c r="A1582" s="83">
        <v>43282</v>
      </c>
      <c r="B1582" t="s">
        <v>31</v>
      </c>
      <c r="C1582" t="s">
        <v>21</v>
      </c>
      <c r="D1582" t="s">
        <v>26</v>
      </c>
      <c r="E1582">
        <v>53</v>
      </c>
      <c r="F1582">
        <f t="shared" si="27"/>
        <v>5</v>
      </c>
    </row>
    <row r="1583" spans="1:6">
      <c r="A1583" s="83">
        <v>43282</v>
      </c>
      <c r="B1583" t="s">
        <v>31</v>
      </c>
      <c r="C1583" t="s">
        <v>21</v>
      </c>
      <c r="D1583" t="s">
        <v>26</v>
      </c>
      <c r="E1583">
        <v>413</v>
      </c>
      <c r="F1583">
        <f t="shared" si="27"/>
        <v>5</v>
      </c>
    </row>
    <row r="1584" spans="1:6">
      <c r="A1584" s="83">
        <v>43282</v>
      </c>
      <c r="B1584" t="s">
        <v>31</v>
      </c>
      <c r="C1584" t="s">
        <v>21</v>
      </c>
      <c r="D1584" t="s">
        <v>22</v>
      </c>
      <c r="E1584">
        <v>657</v>
      </c>
      <c r="F1584">
        <f t="shared" si="27"/>
        <v>7</v>
      </c>
    </row>
    <row r="1585" spans="1:6">
      <c r="A1585" s="83">
        <v>43282</v>
      </c>
      <c r="B1585" t="s">
        <v>31</v>
      </c>
      <c r="C1585" t="s">
        <v>24</v>
      </c>
      <c r="D1585" t="s">
        <v>26</v>
      </c>
      <c r="E1585">
        <v>236</v>
      </c>
      <c r="F1585">
        <f t="shared" si="27"/>
        <v>5</v>
      </c>
    </row>
    <row r="1586" spans="1:6">
      <c r="A1586" s="83">
        <v>43282</v>
      </c>
      <c r="B1586" t="s">
        <v>31</v>
      </c>
      <c r="C1586" t="s">
        <v>24</v>
      </c>
      <c r="D1586" t="s">
        <v>22</v>
      </c>
      <c r="E1586">
        <v>330</v>
      </c>
      <c r="F1586">
        <f t="shared" si="27"/>
        <v>7</v>
      </c>
    </row>
    <row r="1587" spans="1:6">
      <c r="A1587" s="83">
        <v>43282</v>
      </c>
      <c r="B1587" t="s">
        <v>31</v>
      </c>
      <c r="C1587" t="s">
        <v>24</v>
      </c>
      <c r="D1587" t="s">
        <v>23</v>
      </c>
      <c r="E1587">
        <v>426</v>
      </c>
      <c r="F1587">
        <f t="shared" si="27"/>
        <v>3</v>
      </c>
    </row>
    <row r="1588" spans="1:6">
      <c r="A1588" s="83">
        <v>43313</v>
      </c>
      <c r="B1588" t="s">
        <v>31</v>
      </c>
      <c r="C1588" t="s">
        <v>21</v>
      </c>
      <c r="D1588" t="s">
        <v>22</v>
      </c>
      <c r="E1588">
        <v>53</v>
      </c>
      <c r="F1588">
        <f t="shared" si="27"/>
        <v>7</v>
      </c>
    </row>
    <row r="1589" spans="1:6">
      <c r="A1589" s="83">
        <v>43313</v>
      </c>
      <c r="B1589" t="s">
        <v>31</v>
      </c>
      <c r="C1589" t="s">
        <v>21</v>
      </c>
      <c r="D1589" t="s">
        <v>22</v>
      </c>
      <c r="E1589">
        <v>330</v>
      </c>
      <c r="F1589">
        <f t="shared" si="27"/>
        <v>7</v>
      </c>
    </row>
    <row r="1590" spans="1:6">
      <c r="A1590" s="83">
        <v>43313</v>
      </c>
      <c r="B1590" t="s">
        <v>31</v>
      </c>
      <c r="C1590" t="s">
        <v>21</v>
      </c>
      <c r="D1590" t="s">
        <v>23</v>
      </c>
      <c r="E1590">
        <v>639</v>
      </c>
      <c r="F1590">
        <f t="shared" si="27"/>
        <v>3</v>
      </c>
    </row>
    <row r="1591" spans="1:6">
      <c r="A1591" s="83">
        <v>43313</v>
      </c>
      <c r="B1591" t="s">
        <v>31</v>
      </c>
      <c r="C1591" t="s">
        <v>24</v>
      </c>
      <c r="D1591" t="s">
        <v>26</v>
      </c>
      <c r="E1591">
        <v>236</v>
      </c>
      <c r="F1591">
        <f t="shared" si="27"/>
        <v>5</v>
      </c>
    </row>
    <row r="1592" spans="1:6">
      <c r="A1592" s="83">
        <v>43313</v>
      </c>
      <c r="B1592" t="s">
        <v>31</v>
      </c>
      <c r="C1592" t="s">
        <v>24</v>
      </c>
      <c r="D1592" t="s">
        <v>23</v>
      </c>
      <c r="E1592">
        <v>165</v>
      </c>
      <c r="F1592">
        <f t="shared" si="27"/>
        <v>3</v>
      </c>
    </row>
    <row r="1593" spans="1:6">
      <c r="A1593" s="83">
        <v>43313</v>
      </c>
      <c r="B1593" t="s">
        <v>31</v>
      </c>
      <c r="C1593" t="s">
        <v>24</v>
      </c>
      <c r="D1593" t="s">
        <v>26</v>
      </c>
      <c r="E1593">
        <v>338</v>
      </c>
      <c r="F1593">
        <f t="shared" si="27"/>
        <v>5</v>
      </c>
    </row>
    <row r="1594" spans="1:6">
      <c r="A1594" s="83">
        <v>43344</v>
      </c>
      <c r="B1594" t="s">
        <v>31</v>
      </c>
      <c r="C1594" t="s">
        <v>21</v>
      </c>
      <c r="D1594" t="s">
        <v>23</v>
      </c>
      <c r="E1594">
        <v>165</v>
      </c>
      <c r="F1594">
        <f t="shared" si="27"/>
        <v>3</v>
      </c>
    </row>
    <row r="1595" spans="1:6">
      <c r="A1595" s="83">
        <v>43344</v>
      </c>
      <c r="B1595" t="s">
        <v>31</v>
      </c>
      <c r="C1595" t="s">
        <v>21</v>
      </c>
      <c r="D1595" t="s">
        <v>26</v>
      </c>
      <c r="E1595">
        <v>597</v>
      </c>
      <c r="F1595">
        <f t="shared" si="27"/>
        <v>5</v>
      </c>
    </row>
    <row r="1596" spans="1:6">
      <c r="A1596" s="83">
        <v>43344</v>
      </c>
      <c r="B1596" t="s">
        <v>31</v>
      </c>
      <c r="C1596" t="s">
        <v>24</v>
      </c>
      <c r="D1596" t="s">
        <v>22</v>
      </c>
      <c r="E1596">
        <v>289</v>
      </c>
      <c r="F1596">
        <f t="shared" si="27"/>
        <v>7</v>
      </c>
    </row>
    <row r="1597" spans="1:6">
      <c r="A1597" s="83">
        <v>43344</v>
      </c>
      <c r="B1597" t="s">
        <v>31</v>
      </c>
      <c r="C1597" t="s">
        <v>24</v>
      </c>
      <c r="D1597" t="s">
        <v>26</v>
      </c>
      <c r="E1597">
        <v>289</v>
      </c>
      <c r="F1597">
        <f t="shared" si="27"/>
        <v>5</v>
      </c>
    </row>
    <row r="1598" spans="1:6">
      <c r="A1598" s="83">
        <v>43344</v>
      </c>
      <c r="B1598" t="s">
        <v>31</v>
      </c>
      <c r="C1598" t="s">
        <v>24</v>
      </c>
      <c r="D1598" t="s">
        <v>23</v>
      </c>
      <c r="E1598">
        <v>371</v>
      </c>
      <c r="F1598">
        <f t="shared" si="27"/>
        <v>3</v>
      </c>
    </row>
    <row r="1599" spans="1:6">
      <c r="A1599" s="83">
        <v>43374</v>
      </c>
      <c r="B1599" t="s">
        <v>31</v>
      </c>
      <c r="C1599" t="s">
        <v>21</v>
      </c>
      <c r="D1599" t="s">
        <v>23</v>
      </c>
      <c r="E1599">
        <v>330</v>
      </c>
      <c r="F1599">
        <f t="shared" si="27"/>
        <v>3</v>
      </c>
    </row>
    <row r="1600" spans="1:6">
      <c r="A1600" s="83">
        <v>43374</v>
      </c>
      <c r="B1600" t="s">
        <v>31</v>
      </c>
      <c r="C1600" t="s">
        <v>21</v>
      </c>
      <c r="D1600" t="s">
        <v>26</v>
      </c>
      <c r="E1600">
        <v>777</v>
      </c>
      <c r="F1600">
        <f t="shared" si="27"/>
        <v>5</v>
      </c>
    </row>
    <row r="1601" spans="1:6">
      <c r="A1601" s="83">
        <v>43374</v>
      </c>
      <c r="B1601" t="s">
        <v>31</v>
      </c>
      <c r="C1601" t="s">
        <v>24</v>
      </c>
      <c r="D1601" t="s">
        <v>23</v>
      </c>
      <c r="E1601">
        <v>315</v>
      </c>
      <c r="F1601">
        <f t="shared" si="27"/>
        <v>3</v>
      </c>
    </row>
    <row r="1602" spans="1:6">
      <c r="A1602" s="83">
        <v>43374</v>
      </c>
      <c r="B1602" t="s">
        <v>31</v>
      </c>
      <c r="C1602" t="s">
        <v>24</v>
      </c>
      <c r="D1602" t="s">
        <v>23</v>
      </c>
      <c r="E1602">
        <v>206</v>
      </c>
      <c r="F1602">
        <f t="shared" si="27"/>
        <v>3</v>
      </c>
    </row>
    <row r="1603" spans="1:6">
      <c r="A1603" s="83">
        <v>43374</v>
      </c>
      <c r="B1603" t="s">
        <v>31</v>
      </c>
      <c r="C1603" t="s">
        <v>24</v>
      </c>
      <c r="D1603" t="s">
        <v>23</v>
      </c>
      <c r="E1603">
        <v>304</v>
      </c>
      <c r="F1603">
        <f t="shared" ref="F1603:F1666" si="28">LEN(D1603)</f>
        <v>3</v>
      </c>
    </row>
    <row r="1604" spans="1:6">
      <c r="A1604" s="83">
        <v>43405</v>
      </c>
      <c r="B1604" t="s">
        <v>31</v>
      </c>
      <c r="C1604" t="s">
        <v>21</v>
      </c>
      <c r="D1604" t="s">
        <v>26</v>
      </c>
      <c r="E1604">
        <v>413</v>
      </c>
      <c r="F1604">
        <f t="shared" si="28"/>
        <v>5</v>
      </c>
    </row>
    <row r="1605" spans="1:6">
      <c r="A1605" s="83">
        <v>43405</v>
      </c>
      <c r="B1605" t="s">
        <v>31</v>
      </c>
      <c r="C1605" t="s">
        <v>21</v>
      </c>
      <c r="D1605" t="s">
        <v>22</v>
      </c>
      <c r="E1605">
        <v>405</v>
      </c>
      <c r="F1605">
        <f t="shared" si="28"/>
        <v>7</v>
      </c>
    </row>
    <row r="1606" spans="1:6">
      <c r="A1606" s="83">
        <v>43405</v>
      </c>
      <c r="B1606" t="s">
        <v>31</v>
      </c>
      <c r="C1606" t="s">
        <v>24</v>
      </c>
      <c r="D1606" t="s">
        <v>23</v>
      </c>
      <c r="E1606">
        <v>263</v>
      </c>
      <c r="F1606">
        <f t="shared" si="28"/>
        <v>3</v>
      </c>
    </row>
    <row r="1607" spans="1:6">
      <c r="A1607" s="83">
        <v>43405</v>
      </c>
      <c r="B1607" t="s">
        <v>31</v>
      </c>
      <c r="C1607" t="s">
        <v>24</v>
      </c>
      <c r="D1607" t="s">
        <v>23</v>
      </c>
      <c r="E1607">
        <v>124</v>
      </c>
      <c r="F1607">
        <f t="shared" si="28"/>
        <v>3</v>
      </c>
    </row>
    <row r="1608" spans="1:6">
      <c r="A1608" s="83">
        <v>43405</v>
      </c>
      <c r="B1608" t="s">
        <v>31</v>
      </c>
      <c r="C1608" t="s">
        <v>24</v>
      </c>
      <c r="D1608" t="s">
        <v>23</v>
      </c>
      <c r="E1608">
        <v>270</v>
      </c>
      <c r="F1608">
        <f t="shared" si="28"/>
        <v>3</v>
      </c>
    </row>
    <row r="1609" spans="1:6">
      <c r="A1609" s="83">
        <v>43435</v>
      </c>
      <c r="B1609" t="s">
        <v>31</v>
      </c>
      <c r="C1609" t="s">
        <v>21</v>
      </c>
      <c r="D1609" t="s">
        <v>26</v>
      </c>
      <c r="E1609">
        <v>53</v>
      </c>
      <c r="F1609">
        <f t="shared" si="28"/>
        <v>5</v>
      </c>
    </row>
    <row r="1610" spans="1:6">
      <c r="A1610" s="83">
        <v>43435</v>
      </c>
      <c r="B1610" t="s">
        <v>31</v>
      </c>
      <c r="C1610" t="s">
        <v>21</v>
      </c>
      <c r="D1610" t="s">
        <v>23</v>
      </c>
      <c r="E1610">
        <v>413</v>
      </c>
      <c r="F1610">
        <f t="shared" si="28"/>
        <v>3</v>
      </c>
    </row>
    <row r="1611" spans="1:6">
      <c r="A1611" s="83">
        <v>43435</v>
      </c>
      <c r="B1611" t="s">
        <v>31</v>
      </c>
      <c r="C1611" t="s">
        <v>21</v>
      </c>
      <c r="D1611" t="s">
        <v>26</v>
      </c>
      <c r="E1611">
        <v>615</v>
      </c>
      <c r="F1611">
        <f t="shared" si="28"/>
        <v>5</v>
      </c>
    </row>
    <row r="1612" spans="1:6">
      <c r="A1612" s="83">
        <v>43435</v>
      </c>
      <c r="B1612" t="s">
        <v>31</v>
      </c>
      <c r="C1612" t="s">
        <v>24</v>
      </c>
      <c r="D1612" t="s">
        <v>22</v>
      </c>
      <c r="E1612">
        <v>263</v>
      </c>
      <c r="F1612">
        <f t="shared" si="28"/>
        <v>7</v>
      </c>
    </row>
    <row r="1613" spans="1:6">
      <c r="A1613" s="83">
        <v>43435</v>
      </c>
      <c r="B1613" t="s">
        <v>31</v>
      </c>
      <c r="C1613" t="s">
        <v>24</v>
      </c>
      <c r="D1613" t="s">
        <v>26</v>
      </c>
      <c r="E1613">
        <v>124</v>
      </c>
      <c r="F1613">
        <f t="shared" si="28"/>
        <v>5</v>
      </c>
    </row>
    <row r="1614" spans="1:6">
      <c r="A1614" s="83">
        <v>43435</v>
      </c>
      <c r="B1614" t="s">
        <v>31</v>
      </c>
      <c r="C1614" t="s">
        <v>24</v>
      </c>
      <c r="D1614" t="s">
        <v>26</v>
      </c>
      <c r="E1614">
        <v>270</v>
      </c>
      <c r="F1614">
        <f t="shared" si="28"/>
        <v>5</v>
      </c>
    </row>
    <row r="1615" spans="1:6">
      <c r="A1615" s="83">
        <v>43466</v>
      </c>
      <c r="B1615" t="s">
        <v>31</v>
      </c>
      <c r="C1615" t="s">
        <v>21</v>
      </c>
      <c r="D1615" t="s">
        <v>22</v>
      </c>
      <c r="E1615">
        <v>655</v>
      </c>
      <c r="F1615">
        <f t="shared" si="28"/>
        <v>7</v>
      </c>
    </row>
    <row r="1616" spans="1:6">
      <c r="A1616" s="83">
        <v>43466</v>
      </c>
      <c r="B1616" t="s">
        <v>31</v>
      </c>
      <c r="C1616" t="s">
        <v>21</v>
      </c>
      <c r="D1616" t="s">
        <v>26</v>
      </c>
      <c r="E1616">
        <v>1180</v>
      </c>
      <c r="F1616">
        <f t="shared" si="28"/>
        <v>5</v>
      </c>
    </row>
    <row r="1617" spans="1:6">
      <c r="A1617" s="83">
        <v>43466</v>
      </c>
      <c r="B1617" t="s">
        <v>31</v>
      </c>
      <c r="C1617" t="s">
        <v>24</v>
      </c>
      <c r="D1617" t="s">
        <v>26</v>
      </c>
      <c r="E1617">
        <v>289</v>
      </c>
      <c r="F1617">
        <f t="shared" si="28"/>
        <v>5</v>
      </c>
    </row>
    <row r="1618" spans="1:6">
      <c r="A1618" s="83">
        <v>43466</v>
      </c>
      <c r="B1618" t="s">
        <v>31</v>
      </c>
      <c r="C1618" t="s">
        <v>24</v>
      </c>
      <c r="D1618" t="s">
        <v>23</v>
      </c>
      <c r="E1618">
        <v>206</v>
      </c>
      <c r="F1618">
        <f t="shared" si="28"/>
        <v>3</v>
      </c>
    </row>
    <row r="1619" spans="1:6">
      <c r="A1619" s="83">
        <v>43466</v>
      </c>
      <c r="B1619" t="s">
        <v>31</v>
      </c>
      <c r="C1619" t="s">
        <v>24</v>
      </c>
      <c r="D1619" t="s">
        <v>26</v>
      </c>
      <c r="E1619">
        <v>304</v>
      </c>
      <c r="F1619">
        <f t="shared" si="28"/>
        <v>5</v>
      </c>
    </row>
    <row r="1620" spans="1:6">
      <c r="A1620" s="83">
        <v>43497</v>
      </c>
      <c r="B1620" t="s">
        <v>31</v>
      </c>
      <c r="C1620" t="s">
        <v>21</v>
      </c>
      <c r="D1620" t="s">
        <v>23</v>
      </c>
      <c r="E1620">
        <v>165</v>
      </c>
      <c r="F1620">
        <f t="shared" si="28"/>
        <v>3</v>
      </c>
    </row>
    <row r="1621" spans="1:6">
      <c r="A1621" s="83">
        <v>43497</v>
      </c>
      <c r="B1621" t="s">
        <v>31</v>
      </c>
      <c r="C1621" t="s">
        <v>21</v>
      </c>
      <c r="D1621" t="s">
        <v>22</v>
      </c>
      <c r="E1621">
        <v>158</v>
      </c>
      <c r="F1621">
        <f t="shared" si="28"/>
        <v>7</v>
      </c>
    </row>
    <row r="1622" spans="1:6">
      <c r="A1622" s="83">
        <v>43497</v>
      </c>
      <c r="B1622" t="s">
        <v>31</v>
      </c>
      <c r="C1622" t="s">
        <v>24</v>
      </c>
      <c r="D1622" t="s">
        <v>26</v>
      </c>
      <c r="E1622">
        <v>96</v>
      </c>
      <c r="F1622">
        <f t="shared" si="28"/>
        <v>5</v>
      </c>
    </row>
    <row r="1623" spans="1:6">
      <c r="A1623" s="83">
        <v>43497</v>
      </c>
      <c r="B1623" t="s">
        <v>31</v>
      </c>
      <c r="C1623" t="s">
        <v>24</v>
      </c>
      <c r="D1623" t="s">
        <v>22</v>
      </c>
      <c r="E1623">
        <v>83</v>
      </c>
      <c r="F1623">
        <f t="shared" si="28"/>
        <v>7</v>
      </c>
    </row>
    <row r="1624" spans="1:6">
      <c r="A1624" s="83">
        <v>43497</v>
      </c>
      <c r="B1624" t="s">
        <v>31</v>
      </c>
      <c r="C1624" t="s">
        <v>24</v>
      </c>
      <c r="D1624" t="s">
        <v>26</v>
      </c>
      <c r="E1624">
        <v>113</v>
      </c>
      <c r="F1624">
        <f t="shared" si="28"/>
        <v>5</v>
      </c>
    </row>
    <row r="1625" spans="1:6">
      <c r="A1625" s="83">
        <v>43525</v>
      </c>
      <c r="B1625" t="s">
        <v>31</v>
      </c>
      <c r="C1625" t="s">
        <v>21</v>
      </c>
      <c r="D1625" t="s">
        <v>22</v>
      </c>
      <c r="E1625">
        <v>18</v>
      </c>
      <c r="F1625">
        <f t="shared" si="28"/>
        <v>7</v>
      </c>
    </row>
    <row r="1626" spans="1:6">
      <c r="A1626" s="83">
        <v>43525</v>
      </c>
      <c r="B1626" t="s">
        <v>31</v>
      </c>
      <c r="C1626" t="s">
        <v>21</v>
      </c>
      <c r="D1626" t="s">
        <v>22</v>
      </c>
      <c r="E1626">
        <v>165</v>
      </c>
      <c r="F1626">
        <f t="shared" si="28"/>
        <v>7</v>
      </c>
    </row>
    <row r="1627" spans="1:6">
      <c r="A1627" s="83">
        <v>43525</v>
      </c>
      <c r="B1627" t="s">
        <v>31</v>
      </c>
      <c r="C1627" t="s">
        <v>21</v>
      </c>
      <c r="D1627" t="s">
        <v>26</v>
      </c>
      <c r="E1627">
        <v>180</v>
      </c>
      <c r="F1627">
        <f t="shared" si="28"/>
        <v>5</v>
      </c>
    </row>
    <row r="1628" spans="1:6">
      <c r="A1628" s="83">
        <v>43525</v>
      </c>
      <c r="B1628" t="s">
        <v>31</v>
      </c>
      <c r="C1628" t="s">
        <v>24</v>
      </c>
      <c r="D1628" t="s">
        <v>23</v>
      </c>
      <c r="E1628">
        <v>53</v>
      </c>
      <c r="F1628">
        <f t="shared" si="28"/>
        <v>3</v>
      </c>
    </row>
    <row r="1629" spans="1:6">
      <c r="A1629" s="83">
        <v>43525</v>
      </c>
      <c r="B1629" t="s">
        <v>31</v>
      </c>
      <c r="C1629" t="s">
        <v>24</v>
      </c>
      <c r="D1629" t="s">
        <v>22</v>
      </c>
      <c r="E1629">
        <v>83</v>
      </c>
      <c r="F1629">
        <f t="shared" si="28"/>
        <v>7</v>
      </c>
    </row>
    <row r="1630" spans="1:6">
      <c r="A1630" s="83">
        <v>43525</v>
      </c>
      <c r="B1630" t="s">
        <v>31</v>
      </c>
      <c r="C1630" t="s">
        <v>24</v>
      </c>
      <c r="D1630" t="s">
        <v>26</v>
      </c>
      <c r="E1630">
        <v>79</v>
      </c>
      <c r="F1630">
        <f t="shared" si="28"/>
        <v>5</v>
      </c>
    </row>
    <row r="1631" spans="1:6">
      <c r="A1631" s="83">
        <v>43556</v>
      </c>
      <c r="B1631" t="s">
        <v>31</v>
      </c>
      <c r="C1631" t="s">
        <v>21</v>
      </c>
      <c r="D1631" t="s">
        <v>23</v>
      </c>
      <c r="E1631">
        <v>18</v>
      </c>
      <c r="F1631">
        <f t="shared" si="28"/>
        <v>3</v>
      </c>
    </row>
    <row r="1632" spans="1:6">
      <c r="A1632" s="83">
        <v>43556</v>
      </c>
      <c r="B1632" t="s">
        <v>31</v>
      </c>
      <c r="C1632" t="s">
        <v>21</v>
      </c>
      <c r="D1632" t="s">
        <v>23</v>
      </c>
      <c r="E1632">
        <v>55</v>
      </c>
      <c r="F1632">
        <f t="shared" si="28"/>
        <v>3</v>
      </c>
    </row>
    <row r="1633" spans="1:6">
      <c r="A1633" s="83">
        <v>43556</v>
      </c>
      <c r="B1633" t="s">
        <v>31</v>
      </c>
      <c r="C1633" t="s">
        <v>21</v>
      </c>
      <c r="D1633" t="s">
        <v>22</v>
      </c>
      <c r="E1633">
        <v>180</v>
      </c>
      <c r="F1633">
        <f t="shared" si="28"/>
        <v>7</v>
      </c>
    </row>
    <row r="1634" spans="1:6">
      <c r="A1634" s="83">
        <v>43556</v>
      </c>
      <c r="B1634" t="s">
        <v>31</v>
      </c>
      <c r="C1634" t="s">
        <v>24</v>
      </c>
      <c r="D1634" t="s">
        <v>22</v>
      </c>
      <c r="E1634">
        <v>70</v>
      </c>
      <c r="F1634">
        <f t="shared" si="28"/>
        <v>7</v>
      </c>
    </row>
    <row r="1635" spans="1:6">
      <c r="A1635" s="83">
        <v>43556</v>
      </c>
      <c r="B1635" t="s">
        <v>31</v>
      </c>
      <c r="C1635" t="s">
        <v>24</v>
      </c>
      <c r="D1635" t="s">
        <v>26</v>
      </c>
      <c r="E1635">
        <v>96</v>
      </c>
      <c r="F1635">
        <f t="shared" si="28"/>
        <v>5</v>
      </c>
    </row>
    <row r="1636" spans="1:6">
      <c r="A1636" s="83">
        <v>43556</v>
      </c>
      <c r="B1636" t="s">
        <v>31</v>
      </c>
      <c r="C1636" t="s">
        <v>24</v>
      </c>
      <c r="D1636" t="s">
        <v>26</v>
      </c>
      <c r="E1636">
        <v>113</v>
      </c>
      <c r="F1636">
        <f t="shared" si="28"/>
        <v>5</v>
      </c>
    </row>
    <row r="1637" spans="1:6">
      <c r="A1637" s="83">
        <v>43586</v>
      </c>
      <c r="B1637" t="s">
        <v>31</v>
      </c>
      <c r="C1637" t="s">
        <v>21</v>
      </c>
      <c r="D1637" t="s">
        <v>26</v>
      </c>
      <c r="E1637">
        <v>18</v>
      </c>
      <c r="F1637">
        <f t="shared" si="28"/>
        <v>5</v>
      </c>
    </row>
    <row r="1638" spans="1:6">
      <c r="A1638" s="83">
        <v>43586</v>
      </c>
      <c r="B1638" t="s">
        <v>31</v>
      </c>
      <c r="C1638" t="s">
        <v>21</v>
      </c>
      <c r="D1638" t="s">
        <v>26</v>
      </c>
      <c r="E1638">
        <v>83</v>
      </c>
      <c r="F1638">
        <f t="shared" si="28"/>
        <v>5</v>
      </c>
    </row>
    <row r="1639" spans="1:6">
      <c r="A1639" s="83">
        <v>43586</v>
      </c>
      <c r="B1639" t="s">
        <v>31</v>
      </c>
      <c r="C1639" t="s">
        <v>21</v>
      </c>
      <c r="D1639" t="s">
        <v>26</v>
      </c>
      <c r="E1639">
        <v>225</v>
      </c>
      <c r="F1639">
        <f t="shared" si="28"/>
        <v>5</v>
      </c>
    </row>
    <row r="1640" spans="1:6">
      <c r="A1640" s="83">
        <v>43586</v>
      </c>
      <c r="B1640" t="s">
        <v>31</v>
      </c>
      <c r="C1640" t="s">
        <v>24</v>
      </c>
      <c r="D1640" t="s">
        <v>26</v>
      </c>
      <c r="E1640">
        <v>96</v>
      </c>
      <c r="F1640">
        <f t="shared" si="28"/>
        <v>5</v>
      </c>
    </row>
    <row r="1641" spans="1:6">
      <c r="A1641" s="83">
        <v>43586</v>
      </c>
      <c r="B1641" t="s">
        <v>31</v>
      </c>
      <c r="C1641" t="s">
        <v>24</v>
      </c>
      <c r="D1641" t="s">
        <v>26</v>
      </c>
      <c r="E1641">
        <v>110</v>
      </c>
      <c r="F1641">
        <f t="shared" si="28"/>
        <v>5</v>
      </c>
    </row>
    <row r="1642" spans="1:6">
      <c r="A1642" s="83">
        <v>43586</v>
      </c>
      <c r="B1642" t="s">
        <v>31</v>
      </c>
      <c r="C1642" t="s">
        <v>24</v>
      </c>
      <c r="D1642" t="s">
        <v>26</v>
      </c>
      <c r="E1642">
        <v>135</v>
      </c>
      <c r="F1642">
        <f t="shared" si="28"/>
        <v>5</v>
      </c>
    </row>
    <row r="1643" spans="1:6">
      <c r="A1643" s="83">
        <v>43617</v>
      </c>
      <c r="B1643" t="s">
        <v>31</v>
      </c>
      <c r="C1643" t="s">
        <v>21</v>
      </c>
      <c r="D1643" t="s">
        <v>26</v>
      </c>
      <c r="E1643">
        <v>18</v>
      </c>
      <c r="F1643">
        <f t="shared" si="28"/>
        <v>5</v>
      </c>
    </row>
    <row r="1644" spans="1:6">
      <c r="A1644" s="83">
        <v>43617</v>
      </c>
      <c r="B1644" t="s">
        <v>31</v>
      </c>
      <c r="C1644" t="s">
        <v>21</v>
      </c>
      <c r="D1644" t="s">
        <v>26</v>
      </c>
      <c r="E1644">
        <v>203</v>
      </c>
      <c r="F1644">
        <f t="shared" si="28"/>
        <v>5</v>
      </c>
    </row>
    <row r="1645" spans="1:6">
      <c r="A1645" s="83">
        <v>43617</v>
      </c>
      <c r="B1645" t="s">
        <v>31</v>
      </c>
      <c r="C1645" t="s">
        <v>24</v>
      </c>
      <c r="D1645" t="s">
        <v>26</v>
      </c>
      <c r="E1645">
        <v>105</v>
      </c>
      <c r="F1645">
        <f t="shared" si="28"/>
        <v>5</v>
      </c>
    </row>
    <row r="1646" spans="1:6">
      <c r="A1646" s="83">
        <v>43617</v>
      </c>
      <c r="B1646" t="s">
        <v>31</v>
      </c>
      <c r="C1646" t="s">
        <v>24</v>
      </c>
      <c r="D1646" t="s">
        <v>23</v>
      </c>
      <c r="E1646">
        <v>138</v>
      </c>
      <c r="F1646">
        <f t="shared" si="28"/>
        <v>3</v>
      </c>
    </row>
    <row r="1647" spans="1:6">
      <c r="A1647" s="83">
        <v>43617</v>
      </c>
      <c r="B1647" t="s">
        <v>31</v>
      </c>
      <c r="C1647" t="s">
        <v>24</v>
      </c>
      <c r="D1647" t="s">
        <v>23</v>
      </c>
      <c r="E1647">
        <v>158</v>
      </c>
      <c r="F1647">
        <f t="shared" si="28"/>
        <v>3</v>
      </c>
    </row>
    <row r="1648" spans="1:6">
      <c r="A1648" s="83">
        <v>43647</v>
      </c>
      <c r="B1648" t="s">
        <v>31</v>
      </c>
      <c r="C1648" t="s">
        <v>21</v>
      </c>
      <c r="D1648" t="s">
        <v>26</v>
      </c>
      <c r="E1648">
        <v>18</v>
      </c>
      <c r="F1648">
        <f t="shared" si="28"/>
        <v>5</v>
      </c>
    </row>
    <row r="1649" spans="1:6">
      <c r="A1649" s="83">
        <v>43647</v>
      </c>
      <c r="B1649" t="s">
        <v>31</v>
      </c>
      <c r="C1649" t="s">
        <v>21</v>
      </c>
      <c r="D1649" t="s">
        <v>22</v>
      </c>
      <c r="E1649">
        <v>28</v>
      </c>
      <c r="F1649">
        <f t="shared" si="28"/>
        <v>7</v>
      </c>
    </row>
    <row r="1650" spans="1:6">
      <c r="A1650" s="83">
        <v>43647</v>
      </c>
      <c r="B1650" t="s">
        <v>31</v>
      </c>
      <c r="C1650" t="s">
        <v>21</v>
      </c>
      <c r="D1650" t="s">
        <v>23</v>
      </c>
      <c r="E1650">
        <v>248</v>
      </c>
      <c r="F1650">
        <f t="shared" si="28"/>
        <v>3</v>
      </c>
    </row>
    <row r="1651" spans="1:6">
      <c r="A1651" s="83">
        <v>43647</v>
      </c>
      <c r="B1651" t="s">
        <v>31</v>
      </c>
      <c r="C1651" t="s">
        <v>24</v>
      </c>
      <c r="D1651" t="s">
        <v>23</v>
      </c>
      <c r="E1651">
        <v>114</v>
      </c>
      <c r="F1651">
        <f t="shared" si="28"/>
        <v>3</v>
      </c>
    </row>
    <row r="1652" spans="1:6">
      <c r="A1652" s="83">
        <v>43647</v>
      </c>
      <c r="B1652" t="s">
        <v>31</v>
      </c>
      <c r="C1652" t="s">
        <v>24</v>
      </c>
      <c r="D1652" t="s">
        <v>26</v>
      </c>
      <c r="E1652">
        <v>110</v>
      </c>
      <c r="F1652">
        <f t="shared" si="28"/>
        <v>5</v>
      </c>
    </row>
    <row r="1653" spans="1:6">
      <c r="A1653" s="83">
        <v>43647</v>
      </c>
      <c r="B1653" t="s">
        <v>31</v>
      </c>
      <c r="C1653" t="s">
        <v>24</v>
      </c>
      <c r="D1653" t="s">
        <v>26</v>
      </c>
      <c r="E1653">
        <v>135</v>
      </c>
      <c r="F1653">
        <f t="shared" si="28"/>
        <v>5</v>
      </c>
    </row>
    <row r="1654" spans="1:6">
      <c r="A1654" s="83">
        <v>43678</v>
      </c>
      <c r="B1654" t="s">
        <v>31</v>
      </c>
      <c r="C1654" t="s">
        <v>21</v>
      </c>
      <c r="D1654" t="s">
        <v>23</v>
      </c>
      <c r="E1654">
        <v>18</v>
      </c>
      <c r="F1654">
        <f t="shared" si="28"/>
        <v>3</v>
      </c>
    </row>
    <row r="1655" spans="1:6">
      <c r="A1655" s="83">
        <v>43678</v>
      </c>
      <c r="B1655" t="s">
        <v>31</v>
      </c>
      <c r="C1655" t="s">
        <v>21</v>
      </c>
      <c r="D1655" t="s">
        <v>23</v>
      </c>
      <c r="E1655">
        <v>248</v>
      </c>
      <c r="F1655">
        <f t="shared" si="28"/>
        <v>3</v>
      </c>
    </row>
    <row r="1656" spans="1:6">
      <c r="A1656" s="83">
        <v>43678</v>
      </c>
      <c r="B1656" t="s">
        <v>31</v>
      </c>
      <c r="C1656" t="s">
        <v>24</v>
      </c>
      <c r="D1656" t="s">
        <v>23</v>
      </c>
      <c r="E1656">
        <v>105</v>
      </c>
      <c r="F1656">
        <f t="shared" si="28"/>
        <v>3</v>
      </c>
    </row>
    <row r="1657" spans="1:6">
      <c r="A1657" s="83">
        <v>43678</v>
      </c>
      <c r="B1657" t="s">
        <v>31</v>
      </c>
      <c r="C1657" t="s">
        <v>24</v>
      </c>
      <c r="D1657" t="s">
        <v>23</v>
      </c>
      <c r="E1657">
        <v>96</v>
      </c>
      <c r="F1657">
        <f t="shared" si="28"/>
        <v>3</v>
      </c>
    </row>
    <row r="1658" spans="1:6">
      <c r="A1658" s="83">
        <v>43678</v>
      </c>
      <c r="B1658" t="s">
        <v>31</v>
      </c>
      <c r="C1658" t="s">
        <v>24</v>
      </c>
      <c r="D1658" t="s">
        <v>22</v>
      </c>
      <c r="E1658">
        <v>124</v>
      </c>
      <c r="F1658">
        <f t="shared" si="28"/>
        <v>7</v>
      </c>
    </row>
    <row r="1659" spans="1:6">
      <c r="A1659" s="83">
        <v>43709</v>
      </c>
      <c r="B1659" t="s">
        <v>31</v>
      </c>
      <c r="C1659" t="s">
        <v>21</v>
      </c>
      <c r="D1659" t="s">
        <v>22</v>
      </c>
      <c r="E1659">
        <v>270</v>
      </c>
      <c r="F1659">
        <f t="shared" si="28"/>
        <v>7</v>
      </c>
    </row>
    <row r="1660" spans="1:6">
      <c r="A1660" s="83">
        <v>43709</v>
      </c>
      <c r="B1660" t="s">
        <v>31</v>
      </c>
      <c r="C1660" t="s">
        <v>24</v>
      </c>
      <c r="D1660" t="s">
        <v>26</v>
      </c>
      <c r="E1660">
        <v>79</v>
      </c>
      <c r="F1660">
        <f t="shared" si="28"/>
        <v>5</v>
      </c>
    </row>
    <row r="1661" spans="1:6">
      <c r="A1661" s="83">
        <v>43709</v>
      </c>
      <c r="B1661" t="s">
        <v>31</v>
      </c>
      <c r="C1661" t="s">
        <v>24</v>
      </c>
      <c r="D1661" t="s">
        <v>22</v>
      </c>
      <c r="E1661">
        <v>69</v>
      </c>
      <c r="F1661">
        <f t="shared" si="28"/>
        <v>7</v>
      </c>
    </row>
    <row r="1662" spans="1:6">
      <c r="A1662" s="83">
        <v>43709</v>
      </c>
      <c r="B1662" t="s">
        <v>31</v>
      </c>
      <c r="C1662" t="s">
        <v>24</v>
      </c>
      <c r="D1662" t="s">
        <v>23</v>
      </c>
      <c r="E1662">
        <v>113</v>
      </c>
      <c r="F1662">
        <f t="shared" si="28"/>
        <v>3</v>
      </c>
    </row>
    <row r="1663" spans="1:6">
      <c r="A1663" s="83">
        <v>43739</v>
      </c>
      <c r="B1663" t="s">
        <v>31</v>
      </c>
      <c r="C1663" t="s">
        <v>21</v>
      </c>
      <c r="D1663" t="s">
        <v>22</v>
      </c>
      <c r="E1663">
        <v>248</v>
      </c>
      <c r="F1663">
        <f t="shared" si="28"/>
        <v>7</v>
      </c>
    </row>
    <row r="1664" spans="1:6">
      <c r="A1664" s="83">
        <v>43739</v>
      </c>
      <c r="B1664" t="s">
        <v>31</v>
      </c>
      <c r="C1664" t="s">
        <v>24</v>
      </c>
      <c r="D1664" t="s">
        <v>22</v>
      </c>
      <c r="E1664">
        <v>70</v>
      </c>
      <c r="F1664">
        <f t="shared" si="28"/>
        <v>7</v>
      </c>
    </row>
    <row r="1665" spans="1:6">
      <c r="A1665" s="83">
        <v>43739</v>
      </c>
      <c r="B1665" t="s">
        <v>31</v>
      </c>
      <c r="C1665" t="s">
        <v>24</v>
      </c>
      <c r="D1665" t="s">
        <v>22</v>
      </c>
      <c r="E1665">
        <v>83</v>
      </c>
      <c r="F1665">
        <f t="shared" si="28"/>
        <v>7</v>
      </c>
    </row>
    <row r="1666" spans="1:6">
      <c r="A1666" s="83">
        <v>43739</v>
      </c>
      <c r="B1666" t="s">
        <v>31</v>
      </c>
      <c r="C1666" t="s">
        <v>24</v>
      </c>
      <c r="D1666" t="s">
        <v>23</v>
      </c>
      <c r="E1666">
        <v>124</v>
      </c>
      <c r="F1666">
        <f t="shared" si="28"/>
        <v>3</v>
      </c>
    </row>
    <row r="1667" spans="1:6">
      <c r="A1667" s="83">
        <v>43770</v>
      </c>
      <c r="B1667" t="s">
        <v>31</v>
      </c>
      <c r="C1667" t="s">
        <v>21</v>
      </c>
      <c r="D1667" t="s">
        <v>26</v>
      </c>
      <c r="E1667">
        <v>225</v>
      </c>
      <c r="F1667">
        <f t="shared" ref="F1667:F1730" si="29">LEN(D1667)</f>
        <v>5</v>
      </c>
    </row>
    <row r="1668" spans="1:6">
      <c r="A1668" s="83">
        <v>43770</v>
      </c>
      <c r="B1668" t="s">
        <v>31</v>
      </c>
      <c r="C1668" t="s">
        <v>24</v>
      </c>
      <c r="D1668" t="s">
        <v>26</v>
      </c>
      <c r="E1668">
        <v>79</v>
      </c>
      <c r="F1668">
        <f t="shared" si="29"/>
        <v>5</v>
      </c>
    </row>
    <row r="1669" spans="1:6">
      <c r="A1669" s="83">
        <v>43770</v>
      </c>
      <c r="B1669" t="s">
        <v>31</v>
      </c>
      <c r="C1669" t="s">
        <v>24</v>
      </c>
      <c r="D1669" t="s">
        <v>23</v>
      </c>
      <c r="E1669">
        <v>83</v>
      </c>
      <c r="F1669">
        <f t="shared" si="29"/>
        <v>3</v>
      </c>
    </row>
    <row r="1670" spans="1:6">
      <c r="A1670" s="83">
        <v>43770</v>
      </c>
      <c r="B1670" t="s">
        <v>31</v>
      </c>
      <c r="C1670" t="s">
        <v>24</v>
      </c>
      <c r="D1670" t="s">
        <v>26</v>
      </c>
      <c r="E1670">
        <v>135</v>
      </c>
      <c r="F1670">
        <f t="shared" si="29"/>
        <v>5</v>
      </c>
    </row>
    <row r="1671" spans="1:6">
      <c r="A1671" s="83">
        <v>43800</v>
      </c>
      <c r="B1671" t="s">
        <v>31</v>
      </c>
      <c r="C1671" t="s">
        <v>21</v>
      </c>
      <c r="D1671" t="s">
        <v>22</v>
      </c>
      <c r="E1671">
        <v>203</v>
      </c>
      <c r="F1671">
        <f t="shared" si="29"/>
        <v>7</v>
      </c>
    </row>
    <row r="1672" spans="1:6">
      <c r="A1672" s="83">
        <v>43800</v>
      </c>
      <c r="B1672" t="s">
        <v>31</v>
      </c>
      <c r="C1672" t="s">
        <v>24</v>
      </c>
      <c r="D1672" t="s">
        <v>23</v>
      </c>
      <c r="E1672">
        <v>79</v>
      </c>
      <c r="F1672">
        <f t="shared" si="29"/>
        <v>3</v>
      </c>
    </row>
    <row r="1673" spans="1:6">
      <c r="A1673" s="83">
        <v>43800</v>
      </c>
      <c r="B1673" t="s">
        <v>31</v>
      </c>
      <c r="C1673" t="s">
        <v>24</v>
      </c>
      <c r="D1673" t="s">
        <v>22</v>
      </c>
      <c r="E1673">
        <v>96</v>
      </c>
      <c r="F1673">
        <f t="shared" si="29"/>
        <v>7</v>
      </c>
    </row>
    <row r="1674" spans="1:6">
      <c r="A1674" s="83">
        <v>43800</v>
      </c>
      <c r="B1674" t="s">
        <v>31</v>
      </c>
      <c r="C1674" t="s">
        <v>24</v>
      </c>
      <c r="D1674" t="s">
        <v>26</v>
      </c>
      <c r="E1674">
        <v>135</v>
      </c>
      <c r="F1674">
        <f t="shared" si="29"/>
        <v>5</v>
      </c>
    </row>
    <row r="1675" spans="1:6">
      <c r="A1675" s="83">
        <v>43009</v>
      </c>
      <c r="B1675" t="s">
        <v>31</v>
      </c>
      <c r="C1675" t="s">
        <v>24</v>
      </c>
      <c r="D1675" t="s">
        <v>26</v>
      </c>
      <c r="E1675">
        <v>413</v>
      </c>
      <c r="F1675">
        <f t="shared" si="29"/>
        <v>5</v>
      </c>
    </row>
    <row r="1676" spans="1:6">
      <c r="A1676" s="83">
        <v>43009</v>
      </c>
      <c r="B1676" t="s">
        <v>31</v>
      </c>
      <c r="C1676" t="s">
        <v>24</v>
      </c>
      <c r="D1676" t="s">
        <v>26</v>
      </c>
      <c r="E1676">
        <v>1271</v>
      </c>
      <c r="F1676">
        <f t="shared" si="29"/>
        <v>5</v>
      </c>
    </row>
    <row r="1677" spans="1:6">
      <c r="A1677" s="83">
        <v>43040</v>
      </c>
      <c r="B1677" t="s">
        <v>31</v>
      </c>
      <c r="C1677" t="s">
        <v>24</v>
      </c>
      <c r="D1677" t="s">
        <v>26</v>
      </c>
      <c r="E1677">
        <v>413</v>
      </c>
      <c r="F1677">
        <f t="shared" si="29"/>
        <v>5</v>
      </c>
    </row>
    <row r="1678" spans="1:6">
      <c r="A1678" s="83">
        <v>43040</v>
      </c>
      <c r="B1678" t="s">
        <v>31</v>
      </c>
      <c r="C1678" t="s">
        <v>24</v>
      </c>
      <c r="D1678" t="s">
        <v>23</v>
      </c>
      <c r="E1678">
        <v>1272</v>
      </c>
      <c r="F1678">
        <f t="shared" si="29"/>
        <v>3</v>
      </c>
    </row>
    <row r="1679" spans="1:6">
      <c r="A1679" s="83">
        <v>43070</v>
      </c>
      <c r="B1679" t="s">
        <v>31</v>
      </c>
      <c r="C1679" t="s">
        <v>24</v>
      </c>
      <c r="D1679" t="s">
        <v>22</v>
      </c>
      <c r="E1679">
        <v>441</v>
      </c>
      <c r="F1679">
        <f t="shared" si="29"/>
        <v>7</v>
      </c>
    </row>
    <row r="1680" spans="1:6">
      <c r="A1680" s="83">
        <v>43070</v>
      </c>
      <c r="B1680" t="s">
        <v>31</v>
      </c>
      <c r="C1680" t="s">
        <v>24</v>
      </c>
      <c r="D1680" t="s">
        <v>23</v>
      </c>
      <c r="E1680">
        <v>1399</v>
      </c>
      <c r="F1680">
        <f t="shared" si="29"/>
        <v>3</v>
      </c>
    </row>
    <row r="1681" spans="1:6">
      <c r="A1681" s="83">
        <v>43101</v>
      </c>
      <c r="B1681" t="s">
        <v>31</v>
      </c>
      <c r="C1681" t="s">
        <v>21</v>
      </c>
      <c r="D1681" t="s">
        <v>26</v>
      </c>
      <c r="E1681">
        <v>1418</v>
      </c>
      <c r="F1681">
        <f t="shared" si="29"/>
        <v>5</v>
      </c>
    </row>
    <row r="1682" spans="1:6">
      <c r="A1682" s="83">
        <v>43101</v>
      </c>
      <c r="B1682" t="s">
        <v>31</v>
      </c>
      <c r="C1682" t="s">
        <v>21</v>
      </c>
      <c r="D1682" t="s">
        <v>23</v>
      </c>
      <c r="E1682">
        <v>836</v>
      </c>
      <c r="F1682">
        <f t="shared" si="29"/>
        <v>3</v>
      </c>
    </row>
    <row r="1683" spans="1:6">
      <c r="A1683" s="83">
        <v>43101</v>
      </c>
      <c r="B1683" t="s">
        <v>31</v>
      </c>
      <c r="C1683" t="s">
        <v>24</v>
      </c>
      <c r="D1683" t="s">
        <v>26</v>
      </c>
      <c r="E1683">
        <v>561</v>
      </c>
      <c r="F1683">
        <f t="shared" si="29"/>
        <v>5</v>
      </c>
    </row>
    <row r="1684" spans="1:6">
      <c r="A1684" s="83">
        <v>43101</v>
      </c>
      <c r="B1684" t="s">
        <v>31</v>
      </c>
      <c r="C1684" t="s">
        <v>24</v>
      </c>
      <c r="D1684" t="s">
        <v>26</v>
      </c>
      <c r="E1684">
        <v>1399</v>
      </c>
      <c r="F1684">
        <f t="shared" si="29"/>
        <v>5</v>
      </c>
    </row>
    <row r="1685" spans="1:6">
      <c r="A1685" s="83">
        <v>43132</v>
      </c>
      <c r="B1685" t="s">
        <v>31</v>
      </c>
      <c r="C1685" t="s">
        <v>21</v>
      </c>
      <c r="D1685" t="s">
        <v>23</v>
      </c>
      <c r="E1685">
        <v>1129</v>
      </c>
      <c r="F1685">
        <f t="shared" si="29"/>
        <v>3</v>
      </c>
    </row>
    <row r="1686" spans="1:6">
      <c r="A1686" s="83">
        <v>43132</v>
      </c>
      <c r="B1686" t="s">
        <v>31</v>
      </c>
      <c r="C1686" t="s">
        <v>21</v>
      </c>
      <c r="D1686" t="s">
        <v>26</v>
      </c>
      <c r="E1686">
        <v>886</v>
      </c>
      <c r="F1686">
        <f t="shared" si="29"/>
        <v>5</v>
      </c>
    </row>
    <row r="1687" spans="1:6">
      <c r="A1687" s="83">
        <v>43132</v>
      </c>
      <c r="B1687" t="s">
        <v>31</v>
      </c>
      <c r="C1687" t="s">
        <v>24</v>
      </c>
      <c r="D1687" t="s">
        <v>26</v>
      </c>
      <c r="E1687">
        <v>521</v>
      </c>
      <c r="F1687">
        <f t="shared" si="29"/>
        <v>5</v>
      </c>
    </row>
    <row r="1688" spans="1:6">
      <c r="A1688" s="83">
        <v>43132</v>
      </c>
      <c r="B1688" t="s">
        <v>31</v>
      </c>
      <c r="C1688" t="s">
        <v>24</v>
      </c>
      <c r="D1688" t="s">
        <v>23</v>
      </c>
      <c r="E1688">
        <v>1567</v>
      </c>
      <c r="F1688">
        <f t="shared" si="29"/>
        <v>3</v>
      </c>
    </row>
    <row r="1689" spans="1:6">
      <c r="A1689" s="83">
        <v>43160</v>
      </c>
      <c r="B1689" t="s">
        <v>31</v>
      </c>
      <c r="C1689" t="s">
        <v>21</v>
      </c>
      <c r="D1689" t="s">
        <v>26</v>
      </c>
      <c r="E1689">
        <v>1451</v>
      </c>
      <c r="F1689">
        <f t="shared" si="29"/>
        <v>5</v>
      </c>
    </row>
    <row r="1690" spans="1:6">
      <c r="A1690" s="83">
        <v>43160</v>
      </c>
      <c r="B1690" t="s">
        <v>31</v>
      </c>
      <c r="C1690" t="s">
        <v>21</v>
      </c>
      <c r="D1690" t="s">
        <v>22</v>
      </c>
      <c r="E1690">
        <v>1092</v>
      </c>
      <c r="F1690">
        <f t="shared" si="29"/>
        <v>7</v>
      </c>
    </row>
    <row r="1691" spans="1:6">
      <c r="A1691" s="83">
        <v>43160</v>
      </c>
      <c r="B1691" t="s">
        <v>31</v>
      </c>
      <c r="C1691" t="s">
        <v>24</v>
      </c>
      <c r="D1691" t="s">
        <v>23</v>
      </c>
      <c r="E1691">
        <v>601</v>
      </c>
      <c r="F1691">
        <f t="shared" si="29"/>
        <v>3</v>
      </c>
    </row>
    <row r="1692" spans="1:6">
      <c r="A1692" s="83">
        <v>43160</v>
      </c>
      <c r="B1692" t="s">
        <v>31</v>
      </c>
      <c r="C1692" t="s">
        <v>24</v>
      </c>
      <c r="D1692" t="s">
        <v>23</v>
      </c>
      <c r="E1692">
        <v>2180</v>
      </c>
      <c r="F1692">
        <f t="shared" si="29"/>
        <v>3</v>
      </c>
    </row>
    <row r="1693" spans="1:6">
      <c r="A1693" s="83">
        <v>43191</v>
      </c>
      <c r="B1693" t="s">
        <v>31</v>
      </c>
      <c r="C1693" t="s">
        <v>21</v>
      </c>
      <c r="D1693" t="s">
        <v>26</v>
      </c>
      <c r="E1693">
        <v>814</v>
      </c>
      <c r="F1693">
        <f t="shared" si="29"/>
        <v>5</v>
      </c>
    </row>
    <row r="1694" spans="1:6">
      <c r="A1694" s="83">
        <v>43191</v>
      </c>
      <c r="B1694" t="s">
        <v>31</v>
      </c>
      <c r="C1694" t="s">
        <v>21</v>
      </c>
      <c r="D1694" t="s">
        <v>23</v>
      </c>
      <c r="E1694">
        <v>270</v>
      </c>
      <c r="F1694">
        <f t="shared" si="29"/>
        <v>3</v>
      </c>
    </row>
    <row r="1695" spans="1:6">
      <c r="A1695" s="83">
        <v>43191</v>
      </c>
      <c r="B1695" t="s">
        <v>31</v>
      </c>
      <c r="C1695" t="s">
        <v>24</v>
      </c>
      <c r="D1695" t="s">
        <v>23</v>
      </c>
      <c r="E1695">
        <v>521</v>
      </c>
      <c r="F1695">
        <f t="shared" si="29"/>
        <v>3</v>
      </c>
    </row>
    <row r="1696" spans="1:6">
      <c r="A1696" s="83">
        <v>43191</v>
      </c>
      <c r="B1696" t="s">
        <v>31</v>
      </c>
      <c r="C1696" t="s">
        <v>24</v>
      </c>
      <c r="D1696" t="s">
        <v>23</v>
      </c>
      <c r="E1696">
        <v>1782</v>
      </c>
      <c r="F1696">
        <f t="shared" si="29"/>
        <v>3</v>
      </c>
    </row>
    <row r="1697" spans="1:6">
      <c r="A1697" s="83">
        <v>43221</v>
      </c>
      <c r="B1697" t="s">
        <v>31</v>
      </c>
      <c r="C1697" t="s">
        <v>21</v>
      </c>
      <c r="D1697" t="s">
        <v>26</v>
      </c>
      <c r="E1697">
        <v>716</v>
      </c>
      <c r="F1697">
        <f t="shared" si="29"/>
        <v>5</v>
      </c>
    </row>
    <row r="1698" spans="1:6">
      <c r="A1698" s="83">
        <v>43221</v>
      </c>
      <c r="B1698" t="s">
        <v>31</v>
      </c>
      <c r="C1698" t="s">
        <v>21</v>
      </c>
      <c r="D1698" t="s">
        <v>22</v>
      </c>
      <c r="E1698">
        <v>270</v>
      </c>
      <c r="F1698">
        <f t="shared" si="29"/>
        <v>7</v>
      </c>
    </row>
    <row r="1699" spans="1:6">
      <c r="A1699" s="83">
        <v>43221</v>
      </c>
      <c r="B1699" t="s">
        <v>31</v>
      </c>
      <c r="C1699" t="s">
        <v>24</v>
      </c>
      <c r="D1699" t="s">
        <v>26</v>
      </c>
      <c r="E1699">
        <v>440</v>
      </c>
      <c r="F1699">
        <f t="shared" si="29"/>
        <v>5</v>
      </c>
    </row>
    <row r="1700" spans="1:6">
      <c r="A1700" s="83">
        <v>43221</v>
      </c>
      <c r="B1700" t="s">
        <v>31</v>
      </c>
      <c r="C1700" t="s">
        <v>24</v>
      </c>
      <c r="D1700" t="s">
        <v>22</v>
      </c>
      <c r="E1700">
        <v>1817</v>
      </c>
      <c r="F1700">
        <f t="shared" si="29"/>
        <v>7</v>
      </c>
    </row>
    <row r="1701" spans="1:6">
      <c r="A1701" s="83">
        <v>43252</v>
      </c>
      <c r="B1701" t="s">
        <v>31</v>
      </c>
      <c r="C1701" t="s">
        <v>21</v>
      </c>
      <c r="D1701" t="s">
        <v>26</v>
      </c>
      <c r="E1701">
        <v>717</v>
      </c>
      <c r="F1701">
        <f t="shared" si="29"/>
        <v>5</v>
      </c>
    </row>
    <row r="1702" spans="1:6">
      <c r="A1702" s="83">
        <v>43252</v>
      </c>
      <c r="B1702" t="s">
        <v>31</v>
      </c>
      <c r="C1702" t="s">
        <v>21</v>
      </c>
      <c r="D1702" t="s">
        <v>26</v>
      </c>
      <c r="E1702">
        <v>338</v>
      </c>
      <c r="F1702">
        <f t="shared" si="29"/>
        <v>5</v>
      </c>
    </row>
    <row r="1703" spans="1:6">
      <c r="A1703" s="83">
        <v>43252</v>
      </c>
      <c r="B1703" t="s">
        <v>31</v>
      </c>
      <c r="C1703" t="s">
        <v>24</v>
      </c>
      <c r="D1703" t="s">
        <v>26</v>
      </c>
      <c r="E1703">
        <v>441</v>
      </c>
      <c r="F1703">
        <f t="shared" si="29"/>
        <v>5</v>
      </c>
    </row>
    <row r="1704" spans="1:6">
      <c r="A1704" s="83">
        <v>43252</v>
      </c>
      <c r="B1704" t="s">
        <v>31</v>
      </c>
      <c r="C1704" t="s">
        <v>24</v>
      </c>
      <c r="D1704" t="s">
        <v>23</v>
      </c>
      <c r="E1704">
        <v>1916</v>
      </c>
      <c r="F1704">
        <f t="shared" si="29"/>
        <v>3</v>
      </c>
    </row>
    <row r="1705" spans="1:6">
      <c r="A1705" s="83">
        <v>43282</v>
      </c>
      <c r="B1705" t="s">
        <v>31</v>
      </c>
      <c r="C1705" t="s">
        <v>21</v>
      </c>
      <c r="D1705" t="s">
        <v>23</v>
      </c>
      <c r="E1705">
        <v>570</v>
      </c>
      <c r="F1705">
        <f t="shared" si="29"/>
        <v>3</v>
      </c>
    </row>
    <row r="1706" spans="1:6">
      <c r="A1706" s="83">
        <v>43282</v>
      </c>
      <c r="B1706" t="s">
        <v>31</v>
      </c>
      <c r="C1706" t="s">
        <v>21</v>
      </c>
      <c r="D1706" t="s">
        <v>22</v>
      </c>
      <c r="E1706">
        <v>338</v>
      </c>
      <c r="F1706">
        <f t="shared" si="29"/>
        <v>7</v>
      </c>
    </row>
    <row r="1707" spans="1:6">
      <c r="A1707" s="83">
        <v>43282</v>
      </c>
      <c r="B1707" t="s">
        <v>31</v>
      </c>
      <c r="C1707" t="s">
        <v>24</v>
      </c>
      <c r="D1707" t="s">
        <v>23</v>
      </c>
      <c r="E1707">
        <v>441</v>
      </c>
      <c r="F1707">
        <f t="shared" si="29"/>
        <v>3</v>
      </c>
    </row>
    <row r="1708" spans="1:6">
      <c r="A1708" s="83">
        <v>43282</v>
      </c>
      <c r="B1708" t="s">
        <v>31</v>
      </c>
      <c r="C1708" t="s">
        <v>24</v>
      </c>
      <c r="D1708" t="s">
        <v>26</v>
      </c>
      <c r="E1708">
        <v>1758</v>
      </c>
      <c r="F1708">
        <f t="shared" si="29"/>
        <v>5</v>
      </c>
    </row>
    <row r="1709" spans="1:6">
      <c r="A1709" s="83">
        <v>43313</v>
      </c>
      <c r="B1709" t="s">
        <v>31</v>
      </c>
      <c r="C1709" t="s">
        <v>21</v>
      </c>
      <c r="D1709" t="s">
        <v>26</v>
      </c>
      <c r="E1709">
        <v>813</v>
      </c>
      <c r="F1709">
        <f t="shared" si="29"/>
        <v>5</v>
      </c>
    </row>
    <row r="1710" spans="1:6">
      <c r="A1710" s="83">
        <v>43313</v>
      </c>
      <c r="B1710" t="s">
        <v>31</v>
      </c>
      <c r="C1710" t="s">
        <v>21</v>
      </c>
      <c r="D1710" t="s">
        <v>26</v>
      </c>
      <c r="E1710">
        <v>203</v>
      </c>
      <c r="F1710">
        <f t="shared" si="29"/>
        <v>5</v>
      </c>
    </row>
    <row r="1711" spans="1:6">
      <c r="A1711" s="83">
        <v>43313</v>
      </c>
      <c r="B1711" t="s">
        <v>31</v>
      </c>
      <c r="C1711" t="s">
        <v>24</v>
      </c>
      <c r="D1711" t="s">
        <v>26</v>
      </c>
      <c r="E1711">
        <v>440</v>
      </c>
      <c r="F1711">
        <f t="shared" si="29"/>
        <v>5</v>
      </c>
    </row>
    <row r="1712" spans="1:6">
      <c r="A1712" s="83">
        <v>43313</v>
      </c>
      <c r="B1712" t="s">
        <v>31</v>
      </c>
      <c r="C1712" t="s">
        <v>24</v>
      </c>
      <c r="D1712" t="s">
        <v>23</v>
      </c>
      <c r="E1712">
        <v>1943</v>
      </c>
      <c r="F1712">
        <f t="shared" si="29"/>
        <v>3</v>
      </c>
    </row>
    <row r="1713" spans="1:6">
      <c r="A1713" s="83">
        <v>43344</v>
      </c>
      <c r="B1713" t="s">
        <v>31</v>
      </c>
      <c r="C1713" t="s">
        <v>21</v>
      </c>
      <c r="D1713" t="s">
        <v>26</v>
      </c>
      <c r="E1713">
        <v>1062</v>
      </c>
      <c r="F1713">
        <f t="shared" si="29"/>
        <v>5</v>
      </c>
    </row>
    <row r="1714" spans="1:6">
      <c r="A1714" s="83">
        <v>43344</v>
      </c>
      <c r="B1714" t="s">
        <v>31</v>
      </c>
      <c r="C1714" t="s">
        <v>21</v>
      </c>
      <c r="D1714" t="s">
        <v>22</v>
      </c>
      <c r="E1714">
        <v>338</v>
      </c>
      <c r="F1714">
        <f t="shared" si="29"/>
        <v>7</v>
      </c>
    </row>
    <row r="1715" spans="1:6">
      <c r="A1715" s="83">
        <v>43344</v>
      </c>
      <c r="B1715" t="s">
        <v>31</v>
      </c>
      <c r="C1715" t="s">
        <v>24</v>
      </c>
      <c r="D1715" t="s">
        <v>22</v>
      </c>
      <c r="E1715">
        <v>289</v>
      </c>
      <c r="F1715">
        <f t="shared" si="29"/>
        <v>7</v>
      </c>
    </row>
    <row r="1716" spans="1:6">
      <c r="A1716" s="83">
        <v>43344</v>
      </c>
      <c r="B1716" t="s">
        <v>31</v>
      </c>
      <c r="C1716" t="s">
        <v>24</v>
      </c>
      <c r="D1716" t="s">
        <v>22</v>
      </c>
      <c r="E1716">
        <v>1813</v>
      </c>
      <c r="F1716">
        <f t="shared" si="29"/>
        <v>7</v>
      </c>
    </row>
    <row r="1717" spans="1:6">
      <c r="A1717" s="83">
        <v>43374</v>
      </c>
      <c r="B1717" t="s">
        <v>31</v>
      </c>
      <c r="C1717" t="s">
        <v>21</v>
      </c>
      <c r="D1717" t="s">
        <v>22</v>
      </c>
      <c r="E1717">
        <v>979</v>
      </c>
      <c r="F1717">
        <f t="shared" si="29"/>
        <v>7</v>
      </c>
    </row>
    <row r="1718" spans="1:6">
      <c r="A1718" s="83">
        <v>43374</v>
      </c>
      <c r="B1718" t="s">
        <v>31</v>
      </c>
      <c r="C1718" t="s">
        <v>21</v>
      </c>
      <c r="D1718" t="s">
        <v>26</v>
      </c>
      <c r="E1718">
        <v>270</v>
      </c>
      <c r="F1718">
        <f t="shared" si="29"/>
        <v>5</v>
      </c>
    </row>
    <row r="1719" spans="1:6">
      <c r="A1719" s="83">
        <v>43374</v>
      </c>
      <c r="B1719" t="s">
        <v>31</v>
      </c>
      <c r="C1719" t="s">
        <v>24</v>
      </c>
      <c r="D1719" t="s">
        <v>23</v>
      </c>
      <c r="E1719">
        <v>330</v>
      </c>
      <c r="F1719">
        <f t="shared" si="29"/>
        <v>3</v>
      </c>
    </row>
    <row r="1720" spans="1:6">
      <c r="A1720" s="83">
        <v>43374</v>
      </c>
      <c r="B1720" t="s">
        <v>31</v>
      </c>
      <c r="C1720" t="s">
        <v>24</v>
      </c>
      <c r="D1720" t="s">
        <v>26</v>
      </c>
      <c r="E1720">
        <v>2287</v>
      </c>
      <c r="F1720">
        <f t="shared" si="29"/>
        <v>5</v>
      </c>
    </row>
    <row r="1721" spans="1:6">
      <c r="A1721" s="83">
        <v>43405</v>
      </c>
      <c r="B1721" t="s">
        <v>31</v>
      </c>
      <c r="C1721" t="s">
        <v>21</v>
      </c>
      <c r="D1721" t="s">
        <v>22</v>
      </c>
      <c r="E1721">
        <v>972</v>
      </c>
      <c r="F1721">
        <f t="shared" si="29"/>
        <v>7</v>
      </c>
    </row>
    <row r="1722" spans="1:6">
      <c r="A1722" s="83">
        <v>43405</v>
      </c>
      <c r="B1722" t="s">
        <v>31</v>
      </c>
      <c r="C1722" t="s">
        <v>21</v>
      </c>
      <c r="D1722" t="s">
        <v>26</v>
      </c>
      <c r="E1722">
        <v>270</v>
      </c>
      <c r="F1722">
        <f t="shared" si="29"/>
        <v>5</v>
      </c>
    </row>
    <row r="1723" spans="1:6">
      <c r="A1723" s="83">
        <v>43405</v>
      </c>
      <c r="B1723" t="s">
        <v>31</v>
      </c>
      <c r="C1723" t="s">
        <v>24</v>
      </c>
      <c r="D1723" t="s">
        <v>22</v>
      </c>
      <c r="E1723">
        <v>413</v>
      </c>
      <c r="F1723">
        <f t="shared" si="29"/>
        <v>7</v>
      </c>
    </row>
    <row r="1724" spans="1:6">
      <c r="A1724" s="83">
        <v>43405</v>
      </c>
      <c r="B1724" t="s">
        <v>31</v>
      </c>
      <c r="C1724" t="s">
        <v>24</v>
      </c>
      <c r="D1724" t="s">
        <v>23</v>
      </c>
      <c r="E1724">
        <v>1600</v>
      </c>
      <c r="F1724">
        <f t="shared" si="29"/>
        <v>3</v>
      </c>
    </row>
    <row r="1725" spans="1:6">
      <c r="A1725" s="83">
        <v>43435</v>
      </c>
      <c r="B1725" t="s">
        <v>31</v>
      </c>
      <c r="C1725" t="s">
        <v>21</v>
      </c>
      <c r="D1725" t="s">
        <v>22</v>
      </c>
      <c r="E1725">
        <v>658</v>
      </c>
      <c r="F1725">
        <f t="shared" si="29"/>
        <v>7</v>
      </c>
    </row>
    <row r="1726" spans="1:6">
      <c r="A1726" s="83">
        <v>43435</v>
      </c>
      <c r="B1726" t="s">
        <v>31</v>
      </c>
      <c r="C1726" t="s">
        <v>21</v>
      </c>
      <c r="D1726" t="s">
        <v>26</v>
      </c>
      <c r="E1726">
        <v>270</v>
      </c>
      <c r="F1726">
        <f t="shared" si="29"/>
        <v>5</v>
      </c>
    </row>
    <row r="1727" spans="1:6">
      <c r="A1727" s="83">
        <v>43435</v>
      </c>
      <c r="B1727" t="s">
        <v>31</v>
      </c>
      <c r="C1727" t="s">
        <v>24</v>
      </c>
      <c r="D1727" t="s">
        <v>26</v>
      </c>
      <c r="E1727">
        <v>124</v>
      </c>
      <c r="F1727">
        <f t="shared" si="29"/>
        <v>5</v>
      </c>
    </row>
    <row r="1728" spans="1:6">
      <c r="A1728" s="83">
        <v>43435</v>
      </c>
      <c r="B1728" t="s">
        <v>31</v>
      </c>
      <c r="C1728" t="s">
        <v>24</v>
      </c>
      <c r="D1728" t="s">
        <v>23</v>
      </c>
      <c r="E1728">
        <v>2068</v>
      </c>
      <c r="F1728">
        <f t="shared" si="29"/>
        <v>3</v>
      </c>
    </row>
    <row r="1729" spans="1:6">
      <c r="A1729" s="83">
        <v>43466</v>
      </c>
      <c r="B1729" t="s">
        <v>31</v>
      </c>
      <c r="C1729" t="s">
        <v>21</v>
      </c>
      <c r="D1729" t="s">
        <v>22</v>
      </c>
      <c r="E1729">
        <v>782</v>
      </c>
      <c r="F1729">
        <f t="shared" si="29"/>
        <v>7</v>
      </c>
    </row>
    <row r="1730" spans="1:6">
      <c r="A1730" s="83">
        <v>43466</v>
      </c>
      <c r="B1730" t="s">
        <v>31</v>
      </c>
      <c r="C1730" t="s">
        <v>21</v>
      </c>
      <c r="D1730" t="s">
        <v>26</v>
      </c>
      <c r="E1730">
        <v>270</v>
      </c>
      <c r="F1730">
        <f t="shared" si="29"/>
        <v>5</v>
      </c>
    </row>
    <row r="1731" spans="1:6">
      <c r="A1731" s="83">
        <v>43466</v>
      </c>
      <c r="B1731" t="s">
        <v>31</v>
      </c>
      <c r="C1731" t="s">
        <v>24</v>
      </c>
      <c r="D1731" t="s">
        <v>22</v>
      </c>
      <c r="E1731">
        <v>441</v>
      </c>
      <c r="F1731">
        <f t="shared" ref="F1731:F1794" si="30">LEN(D1731)</f>
        <v>7</v>
      </c>
    </row>
    <row r="1732" spans="1:6">
      <c r="A1732" s="83">
        <v>43466</v>
      </c>
      <c r="B1732" t="s">
        <v>31</v>
      </c>
      <c r="C1732" t="s">
        <v>24</v>
      </c>
      <c r="D1732" t="s">
        <v>26</v>
      </c>
      <c r="E1732">
        <v>2443</v>
      </c>
      <c r="F1732">
        <f t="shared" si="30"/>
        <v>5</v>
      </c>
    </row>
    <row r="1733" spans="1:6">
      <c r="A1733" s="83">
        <v>43497</v>
      </c>
      <c r="B1733" t="s">
        <v>31</v>
      </c>
      <c r="C1733" t="s">
        <v>21</v>
      </c>
      <c r="D1733" t="s">
        <v>23</v>
      </c>
      <c r="E1733">
        <v>1039</v>
      </c>
      <c r="F1733">
        <f t="shared" si="30"/>
        <v>3</v>
      </c>
    </row>
    <row r="1734" spans="1:6">
      <c r="A1734" s="83">
        <v>43497</v>
      </c>
      <c r="B1734" t="s">
        <v>31</v>
      </c>
      <c r="C1734" t="s">
        <v>21</v>
      </c>
      <c r="D1734" t="s">
        <v>26</v>
      </c>
      <c r="E1734">
        <v>270</v>
      </c>
      <c r="F1734">
        <f t="shared" si="30"/>
        <v>5</v>
      </c>
    </row>
    <row r="1735" spans="1:6">
      <c r="A1735" s="83">
        <v>43497</v>
      </c>
      <c r="B1735" t="s">
        <v>31</v>
      </c>
      <c r="C1735" t="s">
        <v>24</v>
      </c>
      <c r="D1735" t="s">
        <v>23</v>
      </c>
      <c r="E1735">
        <v>371</v>
      </c>
      <c r="F1735">
        <f t="shared" si="30"/>
        <v>3</v>
      </c>
    </row>
    <row r="1736" spans="1:6">
      <c r="A1736" s="83">
        <v>43497</v>
      </c>
      <c r="B1736" t="s">
        <v>31</v>
      </c>
      <c r="C1736" t="s">
        <v>24</v>
      </c>
      <c r="D1736" t="s">
        <v>23</v>
      </c>
      <c r="E1736">
        <v>2517</v>
      </c>
      <c r="F1736">
        <f t="shared" si="30"/>
        <v>3</v>
      </c>
    </row>
    <row r="1737" spans="1:6">
      <c r="A1737" s="83">
        <v>43525</v>
      </c>
      <c r="B1737" t="s">
        <v>31</v>
      </c>
      <c r="C1737" t="s">
        <v>21</v>
      </c>
      <c r="D1737" t="s">
        <v>22</v>
      </c>
      <c r="E1737">
        <v>1050</v>
      </c>
      <c r="F1737">
        <f t="shared" si="30"/>
        <v>7</v>
      </c>
    </row>
    <row r="1738" spans="1:6">
      <c r="A1738" s="83">
        <v>43525</v>
      </c>
      <c r="B1738" t="s">
        <v>31</v>
      </c>
      <c r="C1738" t="s">
        <v>21</v>
      </c>
      <c r="D1738" t="s">
        <v>26</v>
      </c>
      <c r="E1738">
        <v>270</v>
      </c>
      <c r="F1738">
        <f t="shared" si="30"/>
        <v>5</v>
      </c>
    </row>
    <row r="1739" spans="1:6">
      <c r="A1739" s="83">
        <v>43525</v>
      </c>
      <c r="B1739" t="s">
        <v>31</v>
      </c>
      <c r="C1739" t="s">
        <v>24</v>
      </c>
      <c r="D1739" t="s">
        <v>23</v>
      </c>
      <c r="E1739">
        <v>855</v>
      </c>
      <c r="F1739">
        <f t="shared" si="30"/>
        <v>3</v>
      </c>
    </row>
    <row r="1740" spans="1:6">
      <c r="A1740" s="83">
        <v>43525</v>
      </c>
      <c r="B1740" t="s">
        <v>31</v>
      </c>
      <c r="C1740" t="s">
        <v>24</v>
      </c>
      <c r="D1740" t="s">
        <v>22</v>
      </c>
      <c r="E1740">
        <v>338</v>
      </c>
      <c r="F1740">
        <f t="shared" si="30"/>
        <v>7</v>
      </c>
    </row>
    <row r="1741" spans="1:6">
      <c r="A1741" s="83">
        <v>43556</v>
      </c>
      <c r="B1741" t="s">
        <v>31</v>
      </c>
      <c r="C1741" t="s">
        <v>21</v>
      </c>
      <c r="D1741" t="s">
        <v>22</v>
      </c>
      <c r="E1741">
        <v>892</v>
      </c>
      <c r="F1741">
        <f t="shared" si="30"/>
        <v>7</v>
      </c>
    </row>
    <row r="1742" spans="1:6">
      <c r="A1742" s="83">
        <v>43556</v>
      </c>
      <c r="B1742" t="s">
        <v>31</v>
      </c>
      <c r="C1742" t="s">
        <v>21</v>
      </c>
      <c r="D1742" t="s">
        <v>23</v>
      </c>
      <c r="E1742">
        <v>470</v>
      </c>
      <c r="F1742">
        <f t="shared" si="30"/>
        <v>3</v>
      </c>
    </row>
    <row r="1743" spans="1:6">
      <c r="A1743" s="83">
        <v>43556</v>
      </c>
      <c r="B1743" t="s">
        <v>31</v>
      </c>
      <c r="C1743" t="s">
        <v>24</v>
      </c>
      <c r="D1743" t="s">
        <v>23</v>
      </c>
      <c r="E1743">
        <v>1318</v>
      </c>
      <c r="F1743">
        <f t="shared" si="30"/>
        <v>3</v>
      </c>
    </row>
    <row r="1744" spans="1:6">
      <c r="A1744" s="83">
        <v>43556</v>
      </c>
      <c r="B1744" t="s">
        <v>31</v>
      </c>
      <c r="C1744" t="s">
        <v>24</v>
      </c>
      <c r="D1744" t="s">
        <v>22</v>
      </c>
      <c r="E1744">
        <v>371</v>
      </c>
      <c r="F1744">
        <f t="shared" si="30"/>
        <v>7</v>
      </c>
    </row>
    <row r="1745" spans="1:6">
      <c r="A1745" s="83">
        <v>43586</v>
      </c>
      <c r="B1745" t="s">
        <v>31</v>
      </c>
      <c r="C1745" t="s">
        <v>21</v>
      </c>
      <c r="D1745" t="s">
        <v>22</v>
      </c>
      <c r="E1745">
        <v>1257</v>
      </c>
      <c r="F1745">
        <f t="shared" si="30"/>
        <v>7</v>
      </c>
    </row>
    <row r="1746" spans="1:6">
      <c r="A1746" s="83">
        <v>43586</v>
      </c>
      <c r="B1746" t="s">
        <v>31</v>
      </c>
      <c r="C1746" t="s">
        <v>21</v>
      </c>
      <c r="D1746" t="s">
        <v>23</v>
      </c>
      <c r="E1746">
        <v>611</v>
      </c>
      <c r="F1746">
        <f t="shared" si="30"/>
        <v>3</v>
      </c>
    </row>
    <row r="1747" spans="1:6">
      <c r="A1747" s="83">
        <v>43586</v>
      </c>
      <c r="B1747" t="s">
        <v>31</v>
      </c>
      <c r="C1747" t="s">
        <v>24</v>
      </c>
      <c r="D1747" t="s">
        <v>26</v>
      </c>
      <c r="E1747">
        <v>206</v>
      </c>
      <c r="F1747">
        <f t="shared" si="30"/>
        <v>5</v>
      </c>
    </row>
    <row r="1748" spans="1:6">
      <c r="A1748" s="83">
        <v>43586</v>
      </c>
      <c r="B1748" t="s">
        <v>31</v>
      </c>
      <c r="C1748" t="s">
        <v>24</v>
      </c>
      <c r="D1748" t="s">
        <v>23</v>
      </c>
      <c r="E1748">
        <v>371</v>
      </c>
      <c r="F1748">
        <f t="shared" si="30"/>
        <v>3</v>
      </c>
    </row>
    <row r="1749" spans="1:6">
      <c r="A1749" s="83">
        <v>43617</v>
      </c>
      <c r="B1749" t="s">
        <v>31</v>
      </c>
      <c r="C1749" t="s">
        <v>21</v>
      </c>
      <c r="D1749" t="s">
        <v>23</v>
      </c>
      <c r="E1749">
        <v>1055</v>
      </c>
      <c r="F1749">
        <f t="shared" si="30"/>
        <v>3</v>
      </c>
    </row>
    <row r="1750" spans="1:6">
      <c r="A1750" s="83">
        <v>43617</v>
      </c>
      <c r="B1750" t="s">
        <v>31</v>
      </c>
      <c r="C1750" t="s">
        <v>21</v>
      </c>
      <c r="D1750" t="s">
        <v>26</v>
      </c>
      <c r="E1750">
        <v>678</v>
      </c>
      <c r="F1750">
        <f t="shared" si="30"/>
        <v>5</v>
      </c>
    </row>
    <row r="1751" spans="1:6">
      <c r="A1751" s="83">
        <v>43617</v>
      </c>
      <c r="B1751" t="s">
        <v>31</v>
      </c>
      <c r="C1751" t="s">
        <v>24</v>
      </c>
      <c r="D1751" t="s">
        <v>22</v>
      </c>
      <c r="E1751">
        <v>83</v>
      </c>
      <c r="F1751">
        <f t="shared" si="30"/>
        <v>7</v>
      </c>
    </row>
    <row r="1752" spans="1:6">
      <c r="A1752" s="83">
        <v>43617</v>
      </c>
      <c r="B1752" t="s">
        <v>31</v>
      </c>
      <c r="C1752" t="s">
        <v>24</v>
      </c>
      <c r="D1752" t="s">
        <v>22</v>
      </c>
      <c r="E1752">
        <v>492</v>
      </c>
      <c r="F1752">
        <f t="shared" si="30"/>
        <v>7</v>
      </c>
    </row>
    <row r="1753" spans="1:6">
      <c r="A1753" s="83">
        <v>43647</v>
      </c>
      <c r="B1753" t="s">
        <v>31</v>
      </c>
      <c r="C1753" t="s">
        <v>21</v>
      </c>
      <c r="D1753" t="s">
        <v>23</v>
      </c>
      <c r="E1753">
        <v>1529</v>
      </c>
      <c r="F1753">
        <f t="shared" si="30"/>
        <v>3</v>
      </c>
    </row>
    <row r="1754" spans="1:6">
      <c r="A1754" s="83">
        <v>43647</v>
      </c>
      <c r="B1754" t="s">
        <v>31</v>
      </c>
      <c r="C1754" t="s">
        <v>21</v>
      </c>
      <c r="D1754" t="s">
        <v>22</v>
      </c>
      <c r="E1754">
        <v>203</v>
      </c>
      <c r="F1754">
        <f t="shared" si="30"/>
        <v>7</v>
      </c>
    </row>
    <row r="1755" spans="1:6">
      <c r="A1755" s="83">
        <v>43647</v>
      </c>
      <c r="B1755" t="s">
        <v>31</v>
      </c>
      <c r="C1755" t="s">
        <v>24</v>
      </c>
      <c r="D1755" t="s">
        <v>23</v>
      </c>
      <c r="E1755">
        <v>83</v>
      </c>
      <c r="F1755">
        <f t="shared" si="30"/>
        <v>3</v>
      </c>
    </row>
    <row r="1756" spans="1:6">
      <c r="A1756" s="83">
        <v>43647</v>
      </c>
      <c r="B1756" t="s">
        <v>31</v>
      </c>
      <c r="C1756" t="s">
        <v>24</v>
      </c>
      <c r="D1756" t="s">
        <v>23</v>
      </c>
      <c r="E1756">
        <v>304</v>
      </c>
      <c r="F1756">
        <f t="shared" si="30"/>
        <v>3</v>
      </c>
    </row>
    <row r="1757" spans="1:6">
      <c r="A1757" s="83">
        <v>43678</v>
      </c>
      <c r="B1757" t="s">
        <v>31</v>
      </c>
      <c r="C1757" t="s">
        <v>21</v>
      </c>
      <c r="D1757" t="s">
        <v>23</v>
      </c>
      <c r="E1757">
        <v>980</v>
      </c>
      <c r="F1757">
        <f t="shared" si="30"/>
        <v>3</v>
      </c>
    </row>
    <row r="1758" spans="1:6">
      <c r="A1758" s="83">
        <v>43678</v>
      </c>
      <c r="B1758" t="s">
        <v>31</v>
      </c>
      <c r="C1758" t="s">
        <v>21</v>
      </c>
      <c r="D1758" t="s">
        <v>26</v>
      </c>
      <c r="E1758">
        <v>203</v>
      </c>
      <c r="F1758">
        <f t="shared" si="30"/>
        <v>5</v>
      </c>
    </row>
    <row r="1759" spans="1:6">
      <c r="A1759" s="83">
        <v>43678</v>
      </c>
      <c r="B1759" t="s">
        <v>31</v>
      </c>
      <c r="C1759" t="s">
        <v>24</v>
      </c>
      <c r="D1759" t="s">
        <v>23</v>
      </c>
      <c r="E1759">
        <v>83</v>
      </c>
      <c r="F1759">
        <f t="shared" si="30"/>
        <v>3</v>
      </c>
    </row>
    <row r="1760" spans="1:6">
      <c r="A1760" s="83">
        <v>43678</v>
      </c>
      <c r="B1760" t="s">
        <v>31</v>
      </c>
      <c r="C1760" t="s">
        <v>24</v>
      </c>
      <c r="D1760" t="s">
        <v>26</v>
      </c>
      <c r="E1760">
        <v>371</v>
      </c>
      <c r="F1760">
        <f t="shared" si="30"/>
        <v>5</v>
      </c>
    </row>
    <row r="1761" spans="1:6">
      <c r="A1761" s="83">
        <v>43709</v>
      </c>
      <c r="B1761" t="s">
        <v>31</v>
      </c>
      <c r="C1761" t="s">
        <v>21</v>
      </c>
      <c r="D1761" t="s">
        <v>22</v>
      </c>
      <c r="E1761">
        <v>948</v>
      </c>
      <c r="F1761">
        <f t="shared" si="30"/>
        <v>7</v>
      </c>
    </row>
    <row r="1762" spans="1:6">
      <c r="A1762" s="83">
        <v>43709</v>
      </c>
      <c r="B1762" t="s">
        <v>31</v>
      </c>
      <c r="C1762" t="s">
        <v>21</v>
      </c>
      <c r="D1762" t="s">
        <v>23</v>
      </c>
      <c r="E1762">
        <v>338</v>
      </c>
      <c r="F1762">
        <f t="shared" si="30"/>
        <v>3</v>
      </c>
    </row>
    <row r="1763" spans="1:6">
      <c r="A1763" s="83">
        <v>43709</v>
      </c>
      <c r="B1763" t="s">
        <v>31</v>
      </c>
      <c r="C1763" t="s">
        <v>24</v>
      </c>
      <c r="D1763" t="s">
        <v>22</v>
      </c>
      <c r="E1763">
        <v>83</v>
      </c>
      <c r="F1763">
        <f t="shared" si="30"/>
        <v>7</v>
      </c>
    </row>
    <row r="1764" spans="1:6">
      <c r="A1764" s="83">
        <v>43709</v>
      </c>
      <c r="B1764" t="s">
        <v>31</v>
      </c>
      <c r="C1764" t="s">
        <v>24</v>
      </c>
      <c r="D1764" t="s">
        <v>23</v>
      </c>
      <c r="E1764">
        <v>371</v>
      </c>
      <c r="F1764">
        <f t="shared" si="30"/>
        <v>3</v>
      </c>
    </row>
    <row r="1765" spans="1:6">
      <c r="A1765" s="83">
        <v>43739</v>
      </c>
      <c r="B1765" t="s">
        <v>31</v>
      </c>
      <c r="C1765" t="s">
        <v>21</v>
      </c>
      <c r="D1765" t="s">
        <v>22</v>
      </c>
      <c r="E1765">
        <v>989</v>
      </c>
      <c r="F1765">
        <f t="shared" si="30"/>
        <v>7</v>
      </c>
    </row>
    <row r="1766" spans="1:6">
      <c r="A1766" s="83">
        <v>43739</v>
      </c>
      <c r="B1766" t="s">
        <v>31</v>
      </c>
      <c r="C1766" t="s">
        <v>21</v>
      </c>
      <c r="D1766" t="s">
        <v>26</v>
      </c>
      <c r="E1766">
        <v>405</v>
      </c>
      <c r="F1766">
        <f t="shared" si="30"/>
        <v>5</v>
      </c>
    </row>
    <row r="1767" spans="1:6">
      <c r="A1767" s="83">
        <v>43739</v>
      </c>
      <c r="B1767" t="s">
        <v>31</v>
      </c>
      <c r="C1767" t="s">
        <v>24</v>
      </c>
      <c r="D1767" t="s">
        <v>22</v>
      </c>
      <c r="E1767">
        <v>83</v>
      </c>
      <c r="F1767">
        <f t="shared" si="30"/>
        <v>7</v>
      </c>
    </row>
    <row r="1768" spans="1:6">
      <c r="A1768" s="83">
        <v>43739</v>
      </c>
      <c r="B1768" t="s">
        <v>31</v>
      </c>
      <c r="C1768" t="s">
        <v>24</v>
      </c>
      <c r="D1768" t="s">
        <v>22</v>
      </c>
      <c r="E1768">
        <v>426</v>
      </c>
      <c r="F1768">
        <f t="shared" si="30"/>
        <v>7</v>
      </c>
    </row>
    <row r="1769" spans="1:6">
      <c r="A1769" s="83">
        <v>43770</v>
      </c>
      <c r="B1769" t="s">
        <v>31</v>
      </c>
      <c r="C1769" t="s">
        <v>21</v>
      </c>
      <c r="D1769" t="s">
        <v>22</v>
      </c>
      <c r="E1769">
        <v>897</v>
      </c>
      <c r="F1769">
        <f t="shared" si="30"/>
        <v>7</v>
      </c>
    </row>
    <row r="1770" spans="1:6">
      <c r="A1770" s="83">
        <v>43770</v>
      </c>
      <c r="B1770" t="s">
        <v>31</v>
      </c>
      <c r="C1770" t="s">
        <v>21</v>
      </c>
      <c r="D1770" t="s">
        <v>23</v>
      </c>
      <c r="E1770">
        <v>405</v>
      </c>
      <c r="F1770">
        <f t="shared" si="30"/>
        <v>3</v>
      </c>
    </row>
    <row r="1771" spans="1:6">
      <c r="A1771" s="83">
        <v>43770</v>
      </c>
      <c r="B1771" t="s">
        <v>31</v>
      </c>
      <c r="C1771" t="s">
        <v>24</v>
      </c>
      <c r="D1771" t="s">
        <v>26</v>
      </c>
      <c r="E1771">
        <v>83</v>
      </c>
      <c r="F1771">
        <f t="shared" si="30"/>
        <v>5</v>
      </c>
    </row>
    <row r="1772" spans="1:6">
      <c r="A1772" s="83">
        <v>43770</v>
      </c>
      <c r="B1772" t="s">
        <v>31</v>
      </c>
      <c r="C1772" t="s">
        <v>24</v>
      </c>
      <c r="D1772" t="s">
        <v>26</v>
      </c>
      <c r="E1772">
        <v>371</v>
      </c>
      <c r="F1772">
        <f t="shared" si="30"/>
        <v>5</v>
      </c>
    </row>
    <row r="1773" spans="1:6">
      <c r="A1773" s="83">
        <v>43800</v>
      </c>
      <c r="B1773" t="s">
        <v>31</v>
      </c>
      <c r="C1773" t="s">
        <v>21</v>
      </c>
      <c r="D1773" t="s">
        <v>26</v>
      </c>
      <c r="E1773">
        <v>1051</v>
      </c>
      <c r="F1773">
        <f t="shared" si="30"/>
        <v>5</v>
      </c>
    </row>
    <row r="1774" spans="1:6">
      <c r="A1774" s="83">
        <v>43800</v>
      </c>
      <c r="B1774" t="s">
        <v>31</v>
      </c>
      <c r="C1774" t="s">
        <v>21</v>
      </c>
      <c r="D1774" t="s">
        <v>22</v>
      </c>
      <c r="E1774">
        <v>531</v>
      </c>
      <c r="F1774">
        <f t="shared" si="30"/>
        <v>7</v>
      </c>
    </row>
    <row r="1775" spans="1:6">
      <c r="A1775" s="83">
        <v>43800</v>
      </c>
      <c r="B1775" t="s">
        <v>31</v>
      </c>
      <c r="C1775" t="s">
        <v>24</v>
      </c>
      <c r="D1775" t="s">
        <v>26</v>
      </c>
      <c r="E1775">
        <v>124</v>
      </c>
      <c r="F1775">
        <f t="shared" si="30"/>
        <v>5</v>
      </c>
    </row>
    <row r="1776" spans="1:6">
      <c r="A1776" s="83">
        <v>43800</v>
      </c>
      <c r="B1776" t="s">
        <v>31</v>
      </c>
      <c r="C1776" t="s">
        <v>24</v>
      </c>
      <c r="D1776" t="s">
        <v>26</v>
      </c>
      <c r="E1776">
        <v>405</v>
      </c>
      <c r="F1776">
        <f t="shared" si="30"/>
        <v>5</v>
      </c>
    </row>
    <row r="1777" spans="1:6">
      <c r="A1777" s="83">
        <v>43009</v>
      </c>
      <c r="B1777" t="s">
        <v>31</v>
      </c>
      <c r="C1777" t="s">
        <v>24</v>
      </c>
      <c r="D1777" t="s">
        <v>23</v>
      </c>
      <c r="E1777">
        <v>420</v>
      </c>
      <c r="F1777">
        <f t="shared" si="30"/>
        <v>3</v>
      </c>
    </row>
    <row r="1778" spans="1:6">
      <c r="A1778" s="83">
        <v>43009</v>
      </c>
      <c r="B1778" t="s">
        <v>31</v>
      </c>
      <c r="C1778" t="s">
        <v>24</v>
      </c>
      <c r="D1778" t="s">
        <v>23</v>
      </c>
      <c r="E1778">
        <v>491</v>
      </c>
      <c r="F1778">
        <f t="shared" si="30"/>
        <v>3</v>
      </c>
    </row>
    <row r="1779" spans="1:6">
      <c r="A1779" s="83">
        <v>43040</v>
      </c>
      <c r="B1779" t="s">
        <v>31</v>
      </c>
      <c r="C1779" t="s">
        <v>24</v>
      </c>
      <c r="D1779" t="s">
        <v>22</v>
      </c>
      <c r="E1779">
        <v>368</v>
      </c>
      <c r="F1779">
        <f t="shared" si="30"/>
        <v>7</v>
      </c>
    </row>
    <row r="1780" spans="1:6">
      <c r="A1780" s="83">
        <v>43040</v>
      </c>
      <c r="B1780" t="s">
        <v>31</v>
      </c>
      <c r="C1780" t="s">
        <v>24</v>
      </c>
      <c r="D1780" t="s">
        <v>26</v>
      </c>
      <c r="E1780">
        <v>524</v>
      </c>
      <c r="F1780">
        <f t="shared" si="30"/>
        <v>5</v>
      </c>
    </row>
    <row r="1781" spans="1:6">
      <c r="A1781" s="83">
        <v>43070</v>
      </c>
      <c r="B1781" t="s">
        <v>31</v>
      </c>
      <c r="C1781" t="s">
        <v>24</v>
      </c>
      <c r="D1781" t="s">
        <v>23</v>
      </c>
      <c r="E1781">
        <v>394</v>
      </c>
      <c r="F1781">
        <f t="shared" si="30"/>
        <v>3</v>
      </c>
    </row>
    <row r="1782" spans="1:6">
      <c r="A1782" s="83">
        <v>43070</v>
      </c>
      <c r="B1782" t="s">
        <v>31</v>
      </c>
      <c r="C1782" t="s">
        <v>24</v>
      </c>
      <c r="D1782" t="s">
        <v>23</v>
      </c>
      <c r="E1782">
        <v>525</v>
      </c>
      <c r="F1782">
        <f t="shared" si="30"/>
        <v>3</v>
      </c>
    </row>
    <row r="1783" spans="1:6">
      <c r="A1783" s="83">
        <v>43101</v>
      </c>
      <c r="B1783" t="s">
        <v>31</v>
      </c>
      <c r="C1783" t="s">
        <v>21</v>
      </c>
      <c r="D1783" t="s">
        <v>23</v>
      </c>
      <c r="E1783">
        <v>315</v>
      </c>
      <c r="F1783">
        <f t="shared" si="30"/>
        <v>3</v>
      </c>
    </row>
    <row r="1784" spans="1:6">
      <c r="A1784" s="83">
        <v>43101</v>
      </c>
      <c r="B1784" t="s">
        <v>31</v>
      </c>
      <c r="C1784" t="s">
        <v>21</v>
      </c>
      <c r="D1784" t="s">
        <v>26</v>
      </c>
      <c r="E1784">
        <v>405</v>
      </c>
      <c r="F1784">
        <f t="shared" si="30"/>
        <v>5</v>
      </c>
    </row>
    <row r="1785" spans="1:6">
      <c r="A1785" s="83">
        <v>43101</v>
      </c>
      <c r="B1785" t="s">
        <v>31</v>
      </c>
      <c r="C1785" t="s">
        <v>24</v>
      </c>
      <c r="D1785" t="s">
        <v>23</v>
      </c>
      <c r="E1785">
        <v>394</v>
      </c>
      <c r="F1785">
        <f t="shared" si="30"/>
        <v>3</v>
      </c>
    </row>
    <row r="1786" spans="1:6">
      <c r="A1786" s="83">
        <v>43101</v>
      </c>
      <c r="B1786" t="s">
        <v>31</v>
      </c>
      <c r="C1786" t="s">
        <v>24</v>
      </c>
      <c r="D1786" t="s">
        <v>26</v>
      </c>
      <c r="E1786">
        <v>557</v>
      </c>
      <c r="F1786">
        <f t="shared" si="30"/>
        <v>5</v>
      </c>
    </row>
    <row r="1787" spans="1:6">
      <c r="A1787" s="83">
        <v>43132</v>
      </c>
      <c r="B1787" t="s">
        <v>31</v>
      </c>
      <c r="C1787" t="s">
        <v>21</v>
      </c>
      <c r="D1787" t="s">
        <v>22</v>
      </c>
      <c r="E1787">
        <v>368</v>
      </c>
      <c r="F1787">
        <f t="shared" si="30"/>
        <v>7</v>
      </c>
    </row>
    <row r="1788" spans="1:6">
      <c r="A1788" s="83">
        <v>43132</v>
      </c>
      <c r="B1788" t="s">
        <v>31</v>
      </c>
      <c r="C1788" t="s">
        <v>21</v>
      </c>
      <c r="D1788" t="s">
        <v>23</v>
      </c>
      <c r="E1788">
        <v>473</v>
      </c>
      <c r="F1788">
        <f t="shared" si="30"/>
        <v>3</v>
      </c>
    </row>
    <row r="1789" spans="1:6">
      <c r="A1789" s="83">
        <v>43132</v>
      </c>
      <c r="B1789" t="s">
        <v>31</v>
      </c>
      <c r="C1789" t="s">
        <v>24</v>
      </c>
      <c r="D1789" t="s">
        <v>23</v>
      </c>
      <c r="E1789">
        <v>368</v>
      </c>
      <c r="F1789">
        <f t="shared" si="30"/>
        <v>3</v>
      </c>
    </row>
    <row r="1790" spans="1:6">
      <c r="A1790" s="83">
        <v>43132</v>
      </c>
      <c r="B1790" t="s">
        <v>31</v>
      </c>
      <c r="C1790" t="s">
        <v>24</v>
      </c>
      <c r="D1790" t="s">
        <v>23</v>
      </c>
      <c r="E1790">
        <v>524</v>
      </c>
      <c r="F1790">
        <f t="shared" si="30"/>
        <v>3</v>
      </c>
    </row>
    <row r="1791" spans="1:6">
      <c r="A1791" s="83">
        <v>43160</v>
      </c>
      <c r="B1791" t="s">
        <v>31</v>
      </c>
      <c r="C1791" t="s">
        <v>21</v>
      </c>
      <c r="D1791" t="s">
        <v>23</v>
      </c>
      <c r="E1791">
        <v>368</v>
      </c>
      <c r="F1791">
        <f t="shared" si="30"/>
        <v>3</v>
      </c>
    </row>
    <row r="1792" spans="1:6">
      <c r="A1792" s="83">
        <v>43160</v>
      </c>
      <c r="B1792" t="s">
        <v>31</v>
      </c>
      <c r="C1792" t="s">
        <v>21</v>
      </c>
      <c r="D1792" t="s">
        <v>22</v>
      </c>
      <c r="E1792">
        <v>411</v>
      </c>
      <c r="F1792">
        <f t="shared" si="30"/>
        <v>7</v>
      </c>
    </row>
    <row r="1793" spans="1:6">
      <c r="A1793" s="83">
        <v>43160</v>
      </c>
      <c r="B1793" t="s">
        <v>31</v>
      </c>
      <c r="C1793" t="s">
        <v>24</v>
      </c>
      <c r="D1793" t="s">
        <v>26</v>
      </c>
      <c r="E1793">
        <v>433</v>
      </c>
      <c r="F1793">
        <f t="shared" si="30"/>
        <v>5</v>
      </c>
    </row>
    <row r="1794" spans="1:6">
      <c r="A1794" s="83">
        <v>43160</v>
      </c>
      <c r="B1794" t="s">
        <v>31</v>
      </c>
      <c r="C1794" t="s">
        <v>24</v>
      </c>
      <c r="D1794" t="s">
        <v>22</v>
      </c>
      <c r="E1794">
        <v>524</v>
      </c>
      <c r="F1794">
        <f t="shared" si="30"/>
        <v>7</v>
      </c>
    </row>
    <row r="1795" spans="1:6">
      <c r="A1795" s="83">
        <v>43191</v>
      </c>
      <c r="B1795" t="s">
        <v>31</v>
      </c>
      <c r="C1795" t="s">
        <v>21</v>
      </c>
      <c r="D1795" t="s">
        <v>22</v>
      </c>
      <c r="E1795">
        <v>263</v>
      </c>
      <c r="F1795">
        <f t="shared" ref="F1795:F1858" si="31">LEN(D1795)</f>
        <v>7</v>
      </c>
    </row>
    <row r="1796" spans="1:6">
      <c r="A1796" s="83">
        <v>43191</v>
      </c>
      <c r="B1796" t="s">
        <v>31</v>
      </c>
      <c r="C1796" t="s">
        <v>21</v>
      </c>
      <c r="D1796" t="s">
        <v>26</v>
      </c>
      <c r="E1796">
        <v>405</v>
      </c>
      <c r="F1796">
        <f t="shared" si="31"/>
        <v>5</v>
      </c>
    </row>
    <row r="1797" spans="1:6">
      <c r="A1797" s="83">
        <v>43191</v>
      </c>
      <c r="B1797" t="s">
        <v>31</v>
      </c>
      <c r="C1797" t="s">
        <v>24</v>
      </c>
      <c r="D1797" t="s">
        <v>23</v>
      </c>
      <c r="E1797">
        <v>408</v>
      </c>
      <c r="F1797">
        <f t="shared" si="31"/>
        <v>3</v>
      </c>
    </row>
    <row r="1798" spans="1:6">
      <c r="A1798" s="83">
        <v>43191</v>
      </c>
      <c r="B1798" t="s">
        <v>31</v>
      </c>
      <c r="C1798" t="s">
        <v>24</v>
      </c>
      <c r="D1798" t="s">
        <v>26</v>
      </c>
      <c r="E1798">
        <v>492</v>
      </c>
      <c r="F1798">
        <f t="shared" si="31"/>
        <v>5</v>
      </c>
    </row>
    <row r="1799" spans="1:6">
      <c r="A1799" s="83">
        <v>43221</v>
      </c>
      <c r="B1799" t="s">
        <v>31</v>
      </c>
      <c r="C1799" t="s">
        <v>21</v>
      </c>
      <c r="D1799" t="s">
        <v>23</v>
      </c>
      <c r="E1799">
        <v>158</v>
      </c>
      <c r="F1799">
        <f t="shared" si="31"/>
        <v>3</v>
      </c>
    </row>
    <row r="1800" spans="1:6">
      <c r="A1800" s="83">
        <v>43221</v>
      </c>
      <c r="B1800" t="s">
        <v>31</v>
      </c>
      <c r="C1800" t="s">
        <v>21</v>
      </c>
      <c r="D1800" t="s">
        <v>26</v>
      </c>
      <c r="E1800">
        <v>270</v>
      </c>
      <c r="F1800">
        <f t="shared" si="31"/>
        <v>5</v>
      </c>
    </row>
    <row r="1801" spans="1:6">
      <c r="A1801" s="83">
        <v>43221</v>
      </c>
      <c r="B1801" t="s">
        <v>31</v>
      </c>
      <c r="C1801" t="s">
        <v>24</v>
      </c>
      <c r="D1801" t="s">
        <v>26</v>
      </c>
      <c r="E1801">
        <v>433</v>
      </c>
      <c r="F1801">
        <f t="shared" si="31"/>
        <v>5</v>
      </c>
    </row>
    <row r="1802" spans="1:6">
      <c r="A1802" s="83">
        <v>43221</v>
      </c>
      <c r="B1802" t="s">
        <v>31</v>
      </c>
      <c r="C1802" t="s">
        <v>24</v>
      </c>
      <c r="D1802" t="s">
        <v>23</v>
      </c>
      <c r="E1802">
        <v>492</v>
      </c>
      <c r="F1802">
        <f t="shared" si="31"/>
        <v>3</v>
      </c>
    </row>
    <row r="1803" spans="1:6">
      <c r="A1803" s="83">
        <v>43252</v>
      </c>
      <c r="B1803" t="s">
        <v>31</v>
      </c>
      <c r="C1803" t="s">
        <v>21</v>
      </c>
      <c r="D1803" t="s">
        <v>26</v>
      </c>
      <c r="E1803">
        <v>315</v>
      </c>
      <c r="F1803">
        <f t="shared" si="31"/>
        <v>5</v>
      </c>
    </row>
    <row r="1804" spans="1:6">
      <c r="A1804" s="83">
        <v>43252</v>
      </c>
      <c r="B1804" t="s">
        <v>31</v>
      </c>
      <c r="C1804" t="s">
        <v>21</v>
      </c>
      <c r="D1804" t="s">
        <v>22</v>
      </c>
      <c r="E1804">
        <v>270</v>
      </c>
      <c r="F1804">
        <f t="shared" si="31"/>
        <v>7</v>
      </c>
    </row>
    <row r="1805" spans="1:6">
      <c r="A1805" s="83">
        <v>43252</v>
      </c>
      <c r="B1805" t="s">
        <v>31</v>
      </c>
      <c r="C1805" t="s">
        <v>24</v>
      </c>
      <c r="D1805" t="s">
        <v>22</v>
      </c>
      <c r="E1805">
        <v>459</v>
      </c>
      <c r="F1805">
        <f t="shared" si="31"/>
        <v>7</v>
      </c>
    </row>
    <row r="1806" spans="1:6">
      <c r="A1806" s="83">
        <v>43252</v>
      </c>
      <c r="B1806" t="s">
        <v>31</v>
      </c>
      <c r="C1806" t="s">
        <v>24</v>
      </c>
      <c r="D1806" t="s">
        <v>26</v>
      </c>
      <c r="E1806">
        <v>524</v>
      </c>
      <c r="F1806">
        <f t="shared" si="31"/>
        <v>5</v>
      </c>
    </row>
    <row r="1807" spans="1:6">
      <c r="A1807" s="83">
        <v>43282</v>
      </c>
      <c r="B1807" t="s">
        <v>31</v>
      </c>
      <c r="C1807" t="s">
        <v>21</v>
      </c>
      <c r="D1807" t="s">
        <v>23</v>
      </c>
      <c r="E1807">
        <v>420</v>
      </c>
      <c r="F1807">
        <f t="shared" si="31"/>
        <v>3</v>
      </c>
    </row>
    <row r="1808" spans="1:6">
      <c r="A1808" s="83">
        <v>43282</v>
      </c>
      <c r="B1808" t="s">
        <v>31</v>
      </c>
      <c r="C1808" t="s">
        <v>21</v>
      </c>
      <c r="D1808" t="s">
        <v>26</v>
      </c>
      <c r="E1808">
        <v>338</v>
      </c>
      <c r="F1808">
        <f t="shared" si="31"/>
        <v>5</v>
      </c>
    </row>
    <row r="1809" spans="1:6">
      <c r="A1809" s="83">
        <v>43282</v>
      </c>
      <c r="B1809" t="s">
        <v>31</v>
      </c>
      <c r="C1809" t="s">
        <v>24</v>
      </c>
      <c r="D1809" t="s">
        <v>23</v>
      </c>
      <c r="E1809">
        <v>407</v>
      </c>
      <c r="F1809">
        <f t="shared" si="31"/>
        <v>3</v>
      </c>
    </row>
    <row r="1810" spans="1:6">
      <c r="A1810" s="83">
        <v>43282</v>
      </c>
      <c r="B1810" t="s">
        <v>31</v>
      </c>
      <c r="C1810" t="s">
        <v>24</v>
      </c>
      <c r="D1810" t="s">
        <v>23</v>
      </c>
      <c r="E1810">
        <v>459</v>
      </c>
      <c r="F1810">
        <f t="shared" si="31"/>
        <v>3</v>
      </c>
    </row>
    <row r="1811" spans="1:6">
      <c r="A1811" s="83">
        <v>43313</v>
      </c>
      <c r="B1811" t="s">
        <v>31</v>
      </c>
      <c r="C1811" t="s">
        <v>21</v>
      </c>
      <c r="D1811" t="s">
        <v>26</v>
      </c>
      <c r="E1811">
        <v>420</v>
      </c>
      <c r="F1811">
        <f t="shared" si="31"/>
        <v>5</v>
      </c>
    </row>
    <row r="1812" spans="1:6">
      <c r="A1812" s="83">
        <v>43313</v>
      </c>
      <c r="B1812" t="s">
        <v>31</v>
      </c>
      <c r="C1812" t="s">
        <v>21</v>
      </c>
      <c r="D1812" t="s">
        <v>23</v>
      </c>
      <c r="E1812">
        <v>270</v>
      </c>
      <c r="F1812">
        <f t="shared" si="31"/>
        <v>3</v>
      </c>
    </row>
    <row r="1813" spans="1:6">
      <c r="A1813" s="83">
        <v>43313</v>
      </c>
      <c r="B1813" t="s">
        <v>31</v>
      </c>
      <c r="C1813" t="s">
        <v>24</v>
      </c>
      <c r="D1813" t="s">
        <v>23</v>
      </c>
      <c r="E1813">
        <v>459</v>
      </c>
      <c r="F1813">
        <f t="shared" si="31"/>
        <v>3</v>
      </c>
    </row>
    <row r="1814" spans="1:6">
      <c r="A1814" s="83">
        <v>43313</v>
      </c>
      <c r="B1814" t="s">
        <v>31</v>
      </c>
      <c r="C1814" t="s">
        <v>24</v>
      </c>
      <c r="D1814" t="s">
        <v>26</v>
      </c>
      <c r="E1814">
        <v>557</v>
      </c>
      <c r="F1814">
        <f t="shared" si="31"/>
        <v>5</v>
      </c>
    </row>
    <row r="1815" spans="1:6">
      <c r="A1815" s="83">
        <v>43344</v>
      </c>
      <c r="B1815" t="s">
        <v>31</v>
      </c>
      <c r="C1815" t="s">
        <v>21</v>
      </c>
      <c r="D1815" t="s">
        <v>22</v>
      </c>
      <c r="E1815">
        <v>158</v>
      </c>
      <c r="F1815">
        <f t="shared" si="31"/>
        <v>7</v>
      </c>
    </row>
    <row r="1816" spans="1:6">
      <c r="A1816" s="83">
        <v>43344</v>
      </c>
      <c r="B1816" t="s">
        <v>31</v>
      </c>
      <c r="C1816" t="s">
        <v>21</v>
      </c>
      <c r="D1816" t="s">
        <v>22</v>
      </c>
      <c r="E1816">
        <v>473</v>
      </c>
      <c r="F1816">
        <f t="shared" si="31"/>
        <v>7</v>
      </c>
    </row>
    <row r="1817" spans="1:6">
      <c r="A1817" s="83">
        <v>43344</v>
      </c>
      <c r="B1817" t="s">
        <v>31</v>
      </c>
      <c r="C1817" t="s">
        <v>24</v>
      </c>
      <c r="D1817" t="s">
        <v>22</v>
      </c>
      <c r="E1817">
        <v>394</v>
      </c>
      <c r="F1817">
        <f t="shared" si="31"/>
        <v>7</v>
      </c>
    </row>
    <row r="1818" spans="1:6">
      <c r="A1818" s="83">
        <v>43344</v>
      </c>
      <c r="B1818" t="s">
        <v>31</v>
      </c>
      <c r="C1818" t="s">
        <v>24</v>
      </c>
      <c r="D1818" t="s">
        <v>22</v>
      </c>
      <c r="E1818">
        <v>655</v>
      </c>
      <c r="F1818">
        <f t="shared" si="31"/>
        <v>7</v>
      </c>
    </row>
    <row r="1819" spans="1:6">
      <c r="A1819" s="83">
        <v>43374</v>
      </c>
      <c r="B1819" t="s">
        <v>31</v>
      </c>
      <c r="C1819" t="s">
        <v>21</v>
      </c>
      <c r="D1819" t="s">
        <v>26</v>
      </c>
      <c r="E1819">
        <v>210</v>
      </c>
      <c r="F1819">
        <f t="shared" si="31"/>
        <v>5</v>
      </c>
    </row>
    <row r="1820" spans="1:6">
      <c r="A1820" s="83">
        <v>43374</v>
      </c>
      <c r="B1820" t="s">
        <v>31</v>
      </c>
      <c r="C1820" t="s">
        <v>21</v>
      </c>
      <c r="D1820" t="s">
        <v>22</v>
      </c>
      <c r="E1820">
        <v>472</v>
      </c>
      <c r="F1820">
        <f t="shared" si="31"/>
        <v>7</v>
      </c>
    </row>
    <row r="1821" spans="1:6">
      <c r="A1821" s="83">
        <v>43374</v>
      </c>
      <c r="B1821" t="s">
        <v>31</v>
      </c>
      <c r="C1821" t="s">
        <v>24</v>
      </c>
      <c r="D1821" t="s">
        <v>22</v>
      </c>
      <c r="E1821">
        <v>341</v>
      </c>
      <c r="F1821">
        <f t="shared" si="31"/>
        <v>7</v>
      </c>
    </row>
    <row r="1822" spans="1:6">
      <c r="A1822" s="83">
        <v>43374</v>
      </c>
      <c r="B1822" t="s">
        <v>31</v>
      </c>
      <c r="C1822" t="s">
        <v>24</v>
      </c>
      <c r="D1822" t="s">
        <v>26</v>
      </c>
      <c r="E1822">
        <v>590</v>
      </c>
      <c r="F1822">
        <f t="shared" si="31"/>
        <v>5</v>
      </c>
    </row>
    <row r="1823" spans="1:6">
      <c r="A1823" s="83">
        <v>43405</v>
      </c>
      <c r="B1823" t="s">
        <v>31</v>
      </c>
      <c r="C1823" t="s">
        <v>21</v>
      </c>
      <c r="D1823" t="s">
        <v>26</v>
      </c>
      <c r="E1823">
        <v>263</v>
      </c>
      <c r="F1823">
        <f t="shared" si="31"/>
        <v>5</v>
      </c>
    </row>
    <row r="1824" spans="1:6">
      <c r="A1824" s="83">
        <v>43405</v>
      </c>
      <c r="B1824" t="s">
        <v>31</v>
      </c>
      <c r="C1824" t="s">
        <v>21</v>
      </c>
      <c r="D1824" t="s">
        <v>22</v>
      </c>
      <c r="E1824">
        <v>696</v>
      </c>
      <c r="F1824">
        <f t="shared" si="31"/>
        <v>7</v>
      </c>
    </row>
    <row r="1825" spans="1:6">
      <c r="A1825" s="83">
        <v>43405</v>
      </c>
      <c r="B1825" t="s">
        <v>31</v>
      </c>
      <c r="C1825" t="s">
        <v>24</v>
      </c>
      <c r="D1825" t="s">
        <v>26</v>
      </c>
      <c r="E1825">
        <v>394</v>
      </c>
      <c r="F1825">
        <f t="shared" si="31"/>
        <v>5</v>
      </c>
    </row>
    <row r="1826" spans="1:6">
      <c r="A1826" s="83">
        <v>43405</v>
      </c>
      <c r="B1826" t="s">
        <v>31</v>
      </c>
      <c r="C1826" t="s">
        <v>24</v>
      </c>
      <c r="D1826" t="s">
        <v>23</v>
      </c>
      <c r="E1826">
        <v>623</v>
      </c>
      <c r="F1826">
        <f t="shared" si="31"/>
        <v>3</v>
      </c>
    </row>
    <row r="1827" spans="1:6">
      <c r="A1827" s="83">
        <v>43435</v>
      </c>
      <c r="B1827" t="s">
        <v>31</v>
      </c>
      <c r="C1827" t="s">
        <v>21</v>
      </c>
      <c r="D1827" t="s">
        <v>26</v>
      </c>
      <c r="E1827">
        <v>368</v>
      </c>
      <c r="F1827">
        <f t="shared" si="31"/>
        <v>5</v>
      </c>
    </row>
    <row r="1828" spans="1:6">
      <c r="A1828" s="83">
        <v>43435</v>
      </c>
      <c r="B1828" t="s">
        <v>31</v>
      </c>
      <c r="C1828" t="s">
        <v>21</v>
      </c>
      <c r="D1828" t="s">
        <v>26</v>
      </c>
      <c r="E1828">
        <v>862</v>
      </c>
      <c r="F1828">
        <f t="shared" si="31"/>
        <v>5</v>
      </c>
    </row>
    <row r="1829" spans="1:6">
      <c r="A1829" s="83">
        <v>43435</v>
      </c>
      <c r="B1829" t="s">
        <v>31</v>
      </c>
      <c r="C1829" t="s">
        <v>24</v>
      </c>
      <c r="D1829" t="s">
        <v>23</v>
      </c>
      <c r="E1829">
        <v>368</v>
      </c>
      <c r="F1829">
        <f t="shared" si="31"/>
        <v>3</v>
      </c>
    </row>
    <row r="1830" spans="1:6">
      <c r="A1830" s="83">
        <v>43435</v>
      </c>
      <c r="B1830" t="s">
        <v>31</v>
      </c>
      <c r="C1830" t="s">
        <v>24</v>
      </c>
      <c r="D1830" t="s">
        <v>26</v>
      </c>
      <c r="E1830">
        <v>557</v>
      </c>
      <c r="F1830">
        <f t="shared" si="31"/>
        <v>5</v>
      </c>
    </row>
    <row r="1831" spans="1:6">
      <c r="A1831" s="83">
        <v>43466</v>
      </c>
      <c r="B1831" t="s">
        <v>31</v>
      </c>
      <c r="C1831" t="s">
        <v>21</v>
      </c>
      <c r="D1831" t="s">
        <v>22</v>
      </c>
      <c r="E1831">
        <v>420</v>
      </c>
      <c r="F1831">
        <f t="shared" si="31"/>
        <v>7</v>
      </c>
    </row>
    <row r="1832" spans="1:6">
      <c r="A1832" s="83">
        <v>43466</v>
      </c>
      <c r="B1832" t="s">
        <v>31</v>
      </c>
      <c r="C1832" t="s">
        <v>21</v>
      </c>
      <c r="D1832" t="s">
        <v>23</v>
      </c>
      <c r="E1832">
        <v>952</v>
      </c>
      <c r="F1832">
        <f t="shared" si="31"/>
        <v>3</v>
      </c>
    </row>
    <row r="1833" spans="1:6">
      <c r="A1833" s="83">
        <v>43466</v>
      </c>
      <c r="B1833" t="s">
        <v>31</v>
      </c>
      <c r="C1833" t="s">
        <v>24</v>
      </c>
      <c r="D1833" t="s">
        <v>22</v>
      </c>
      <c r="E1833">
        <v>394</v>
      </c>
      <c r="F1833">
        <f t="shared" si="31"/>
        <v>7</v>
      </c>
    </row>
    <row r="1834" spans="1:6">
      <c r="A1834" s="83">
        <v>43466</v>
      </c>
      <c r="B1834" t="s">
        <v>31</v>
      </c>
      <c r="C1834" t="s">
        <v>24</v>
      </c>
      <c r="D1834" t="s">
        <v>26</v>
      </c>
      <c r="E1834">
        <v>557</v>
      </c>
      <c r="F1834">
        <f t="shared" si="31"/>
        <v>5</v>
      </c>
    </row>
    <row r="1835" spans="1:6">
      <c r="A1835" s="83">
        <v>43497</v>
      </c>
      <c r="B1835" t="s">
        <v>31</v>
      </c>
      <c r="C1835" t="s">
        <v>21</v>
      </c>
      <c r="D1835" t="s">
        <v>22</v>
      </c>
      <c r="E1835">
        <v>368</v>
      </c>
      <c r="F1835">
        <f t="shared" si="31"/>
        <v>7</v>
      </c>
    </row>
    <row r="1836" spans="1:6">
      <c r="A1836" s="83">
        <v>43497</v>
      </c>
      <c r="B1836" t="s">
        <v>31</v>
      </c>
      <c r="C1836" t="s">
        <v>21</v>
      </c>
      <c r="D1836" t="s">
        <v>26</v>
      </c>
      <c r="E1836">
        <v>270</v>
      </c>
      <c r="F1836">
        <f t="shared" si="31"/>
        <v>5</v>
      </c>
    </row>
    <row r="1837" spans="1:6">
      <c r="A1837" s="83">
        <v>43497</v>
      </c>
      <c r="B1837" t="s">
        <v>31</v>
      </c>
      <c r="C1837" t="s">
        <v>24</v>
      </c>
      <c r="D1837" t="s">
        <v>26</v>
      </c>
      <c r="E1837">
        <v>368</v>
      </c>
      <c r="F1837">
        <f t="shared" si="31"/>
        <v>5</v>
      </c>
    </row>
    <row r="1838" spans="1:6">
      <c r="A1838" s="83">
        <v>43497</v>
      </c>
      <c r="B1838" t="s">
        <v>31</v>
      </c>
      <c r="C1838" t="s">
        <v>24</v>
      </c>
      <c r="D1838" t="s">
        <v>22</v>
      </c>
      <c r="E1838">
        <v>688</v>
      </c>
      <c r="F1838">
        <f t="shared" si="31"/>
        <v>7</v>
      </c>
    </row>
    <row r="1839" spans="1:6">
      <c r="A1839" s="83">
        <v>43525</v>
      </c>
      <c r="B1839" t="s">
        <v>31</v>
      </c>
      <c r="C1839" t="s">
        <v>21</v>
      </c>
      <c r="D1839" t="s">
        <v>26</v>
      </c>
      <c r="E1839">
        <v>315</v>
      </c>
      <c r="F1839">
        <f t="shared" si="31"/>
        <v>5</v>
      </c>
    </row>
    <row r="1840" spans="1:6">
      <c r="A1840" s="83">
        <v>43525</v>
      </c>
      <c r="B1840" t="s">
        <v>31</v>
      </c>
      <c r="C1840" t="s">
        <v>21</v>
      </c>
      <c r="D1840" t="s">
        <v>26</v>
      </c>
      <c r="E1840">
        <v>203</v>
      </c>
      <c r="F1840">
        <f t="shared" si="31"/>
        <v>5</v>
      </c>
    </row>
    <row r="1841" spans="1:6">
      <c r="A1841" s="83">
        <v>43525</v>
      </c>
      <c r="B1841" t="s">
        <v>31</v>
      </c>
      <c r="C1841" t="s">
        <v>24</v>
      </c>
      <c r="D1841" t="s">
        <v>23</v>
      </c>
      <c r="E1841">
        <v>484</v>
      </c>
      <c r="F1841">
        <f t="shared" si="31"/>
        <v>3</v>
      </c>
    </row>
    <row r="1842" spans="1:6">
      <c r="A1842" s="83">
        <v>43525</v>
      </c>
      <c r="B1842" t="s">
        <v>31</v>
      </c>
      <c r="C1842" t="s">
        <v>24</v>
      </c>
      <c r="D1842" t="s">
        <v>26</v>
      </c>
      <c r="E1842">
        <v>492</v>
      </c>
      <c r="F1842">
        <f t="shared" si="31"/>
        <v>5</v>
      </c>
    </row>
    <row r="1843" spans="1:6">
      <c r="A1843" s="83">
        <v>43556</v>
      </c>
      <c r="B1843" t="s">
        <v>31</v>
      </c>
      <c r="C1843" t="s">
        <v>21</v>
      </c>
      <c r="D1843" t="s">
        <v>22</v>
      </c>
      <c r="E1843">
        <v>315</v>
      </c>
      <c r="F1843">
        <f t="shared" si="31"/>
        <v>7</v>
      </c>
    </row>
    <row r="1844" spans="1:6">
      <c r="A1844" s="83">
        <v>43556</v>
      </c>
      <c r="B1844" t="s">
        <v>31</v>
      </c>
      <c r="C1844" t="s">
        <v>21</v>
      </c>
      <c r="D1844" t="s">
        <v>22</v>
      </c>
      <c r="E1844">
        <v>270</v>
      </c>
      <c r="F1844">
        <f t="shared" si="31"/>
        <v>7</v>
      </c>
    </row>
    <row r="1845" spans="1:6">
      <c r="A1845" s="83">
        <v>43556</v>
      </c>
      <c r="B1845" t="s">
        <v>31</v>
      </c>
      <c r="C1845" t="s">
        <v>24</v>
      </c>
      <c r="D1845" t="s">
        <v>23</v>
      </c>
      <c r="E1845">
        <v>612</v>
      </c>
      <c r="F1845">
        <f t="shared" si="31"/>
        <v>3</v>
      </c>
    </row>
    <row r="1846" spans="1:6">
      <c r="A1846" s="83">
        <v>43556</v>
      </c>
      <c r="B1846" t="s">
        <v>31</v>
      </c>
      <c r="C1846" t="s">
        <v>24</v>
      </c>
      <c r="D1846" t="s">
        <v>23</v>
      </c>
      <c r="E1846">
        <v>426</v>
      </c>
      <c r="F1846">
        <f t="shared" si="31"/>
        <v>3</v>
      </c>
    </row>
    <row r="1847" spans="1:6">
      <c r="A1847" s="83">
        <v>43586</v>
      </c>
      <c r="B1847" t="s">
        <v>31</v>
      </c>
      <c r="C1847" t="s">
        <v>21</v>
      </c>
      <c r="D1847" t="s">
        <v>26</v>
      </c>
      <c r="E1847">
        <v>315</v>
      </c>
      <c r="F1847">
        <f t="shared" si="31"/>
        <v>5</v>
      </c>
    </row>
    <row r="1848" spans="1:6">
      <c r="A1848" s="83">
        <v>43586</v>
      </c>
      <c r="B1848" t="s">
        <v>31</v>
      </c>
      <c r="C1848" t="s">
        <v>21</v>
      </c>
      <c r="D1848" t="s">
        <v>23</v>
      </c>
      <c r="E1848">
        <v>270</v>
      </c>
      <c r="F1848">
        <f t="shared" si="31"/>
        <v>3</v>
      </c>
    </row>
    <row r="1849" spans="1:6">
      <c r="A1849" s="83">
        <v>43586</v>
      </c>
      <c r="B1849" t="s">
        <v>31</v>
      </c>
      <c r="C1849" t="s">
        <v>24</v>
      </c>
      <c r="D1849" t="s">
        <v>26</v>
      </c>
      <c r="E1849">
        <v>663</v>
      </c>
      <c r="F1849">
        <f t="shared" si="31"/>
        <v>5</v>
      </c>
    </row>
    <row r="1850" spans="1:6">
      <c r="A1850" s="83">
        <v>43586</v>
      </c>
      <c r="B1850" t="s">
        <v>31</v>
      </c>
      <c r="C1850" t="s">
        <v>24</v>
      </c>
      <c r="D1850" t="s">
        <v>22</v>
      </c>
      <c r="E1850">
        <v>236</v>
      </c>
      <c r="F1850">
        <f t="shared" si="31"/>
        <v>7</v>
      </c>
    </row>
    <row r="1851" spans="1:6">
      <c r="A1851" s="83">
        <v>43617</v>
      </c>
      <c r="B1851" t="s">
        <v>31</v>
      </c>
      <c r="C1851" t="s">
        <v>21</v>
      </c>
      <c r="D1851" t="s">
        <v>23</v>
      </c>
      <c r="E1851">
        <v>315</v>
      </c>
      <c r="F1851">
        <f t="shared" si="31"/>
        <v>3</v>
      </c>
    </row>
    <row r="1852" spans="1:6">
      <c r="A1852" s="83">
        <v>43617</v>
      </c>
      <c r="B1852" t="s">
        <v>31</v>
      </c>
      <c r="C1852" t="s">
        <v>21</v>
      </c>
      <c r="D1852" t="s">
        <v>26</v>
      </c>
      <c r="E1852">
        <v>270</v>
      </c>
      <c r="F1852">
        <f t="shared" si="31"/>
        <v>5</v>
      </c>
    </row>
    <row r="1853" spans="1:6">
      <c r="A1853" s="83">
        <v>43617</v>
      </c>
      <c r="B1853" t="s">
        <v>31</v>
      </c>
      <c r="C1853" t="s">
        <v>24</v>
      </c>
      <c r="D1853" t="s">
        <v>22</v>
      </c>
      <c r="E1853">
        <v>341</v>
      </c>
      <c r="F1853">
        <f t="shared" si="31"/>
        <v>7</v>
      </c>
    </row>
    <row r="1854" spans="1:6">
      <c r="A1854" s="83">
        <v>43617</v>
      </c>
      <c r="B1854" t="s">
        <v>31</v>
      </c>
      <c r="C1854" t="s">
        <v>24</v>
      </c>
      <c r="D1854" t="s">
        <v>26</v>
      </c>
      <c r="E1854">
        <v>338</v>
      </c>
      <c r="F1854">
        <f t="shared" si="31"/>
        <v>5</v>
      </c>
    </row>
    <row r="1855" spans="1:6">
      <c r="A1855" s="83">
        <v>43647</v>
      </c>
      <c r="B1855" t="s">
        <v>31</v>
      </c>
      <c r="C1855" t="s">
        <v>21</v>
      </c>
      <c r="D1855" t="s">
        <v>22</v>
      </c>
      <c r="E1855">
        <v>315</v>
      </c>
      <c r="F1855">
        <f t="shared" si="31"/>
        <v>7</v>
      </c>
    </row>
    <row r="1856" spans="1:6">
      <c r="A1856" s="83">
        <v>43647</v>
      </c>
      <c r="B1856" t="s">
        <v>31</v>
      </c>
      <c r="C1856" t="s">
        <v>21</v>
      </c>
      <c r="D1856" t="s">
        <v>26</v>
      </c>
      <c r="E1856">
        <v>203</v>
      </c>
      <c r="F1856">
        <f t="shared" si="31"/>
        <v>5</v>
      </c>
    </row>
    <row r="1857" spans="1:6">
      <c r="A1857" s="83">
        <v>43647</v>
      </c>
      <c r="B1857" t="s">
        <v>31</v>
      </c>
      <c r="C1857" t="s">
        <v>24</v>
      </c>
      <c r="D1857" t="s">
        <v>26</v>
      </c>
      <c r="E1857">
        <v>236</v>
      </c>
      <c r="F1857">
        <f t="shared" si="31"/>
        <v>5</v>
      </c>
    </row>
    <row r="1858" spans="1:6">
      <c r="A1858" s="83">
        <v>43647</v>
      </c>
      <c r="B1858" t="s">
        <v>31</v>
      </c>
      <c r="C1858" t="s">
        <v>24</v>
      </c>
      <c r="D1858" t="s">
        <v>26</v>
      </c>
      <c r="E1858">
        <v>459</v>
      </c>
      <c r="F1858">
        <f t="shared" si="31"/>
        <v>5</v>
      </c>
    </row>
    <row r="1859" spans="1:6">
      <c r="A1859" s="83">
        <v>43678</v>
      </c>
      <c r="B1859" t="s">
        <v>31</v>
      </c>
      <c r="C1859" t="s">
        <v>21</v>
      </c>
      <c r="D1859" t="s">
        <v>22</v>
      </c>
      <c r="E1859">
        <v>210</v>
      </c>
      <c r="F1859">
        <f t="shared" ref="F1859:F1922" si="32">LEN(D1859)</f>
        <v>7</v>
      </c>
    </row>
    <row r="1860" spans="1:6">
      <c r="A1860" s="83">
        <v>43678</v>
      </c>
      <c r="B1860" t="s">
        <v>31</v>
      </c>
      <c r="C1860" t="s">
        <v>21</v>
      </c>
      <c r="D1860" t="s">
        <v>22</v>
      </c>
      <c r="E1860">
        <v>203</v>
      </c>
      <c r="F1860">
        <f t="shared" si="32"/>
        <v>7</v>
      </c>
    </row>
    <row r="1861" spans="1:6">
      <c r="A1861" s="83">
        <v>43678</v>
      </c>
      <c r="B1861" t="s">
        <v>31</v>
      </c>
      <c r="C1861" t="s">
        <v>24</v>
      </c>
      <c r="D1861" t="s">
        <v>26</v>
      </c>
      <c r="E1861">
        <v>184</v>
      </c>
      <c r="F1861">
        <f t="shared" si="32"/>
        <v>5</v>
      </c>
    </row>
    <row r="1862" spans="1:6">
      <c r="A1862" s="83">
        <v>43678</v>
      </c>
      <c r="B1862" t="s">
        <v>31</v>
      </c>
      <c r="C1862" t="s">
        <v>24</v>
      </c>
      <c r="D1862" t="s">
        <v>26</v>
      </c>
      <c r="E1862">
        <v>371</v>
      </c>
      <c r="F1862">
        <f t="shared" si="32"/>
        <v>5</v>
      </c>
    </row>
    <row r="1863" spans="1:6">
      <c r="A1863" s="83">
        <v>43709</v>
      </c>
      <c r="B1863" t="s">
        <v>31</v>
      </c>
      <c r="C1863" t="s">
        <v>21</v>
      </c>
      <c r="D1863" t="s">
        <v>26</v>
      </c>
      <c r="E1863">
        <v>315</v>
      </c>
      <c r="F1863">
        <f t="shared" si="32"/>
        <v>5</v>
      </c>
    </row>
    <row r="1864" spans="1:6">
      <c r="A1864" s="83">
        <v>43709</v>
      </c>
      <c r="B1864" t="s">
        <v>31</v>
      </c>
      <c r="C1864" t="s">
        <v>21</v>
      </c>
      <c r="D1864" t="s">
        <v>26</v>
      </c>
      <c r="E1864">
        <v>203</v>
      </c>
      <c r="F1864">
        <f t="shared" si="32"/>
        <v>5</v>
      </c>
    </row>
    <row r="1865" spans="1:6">
      <c r="A1865" s="83">
        <v>43709</v>
      </c>
      <c r="B1865" t="s">
        <v>31</v>
      </c>
      <c r="C1865" t="s">
        <v>24</v>
      </c>
      <c r="D1865" t="s">
        <v>22</v>
      </c>
      <c r="E1865">
        <v>158</v>
      </c>
      <c r="F1865">
        <f t="shared" si="32"/>
        <v>7</v>
      </c>
    </row>
    <row r="1866" spans="1:6">
      <c r="A1866" s="83">
        <v>43709</v>
      </c>
      <c r="B1866" t="s">
        <v>31</v>
      </c>
      <c r="C1866" t="s">
        <v>24</v>
      </c>
      <c r="D1866" t="s">
        <v>26</v>
      </c>
      <c r="E1866">
        <v>426</v>
      </c>
      <c r="F1866">
        <f t="shared" si="32"/>
        <v>5</v>
      </c>
    </row>
    <row r="1867" spans="1:6">
      <c r="A1867" s="83">
        <v>43739</v>
      </c>
      <c r="B1867" t="s">
        <v>31</v>
      </c>
      <c r="C1867" t="s">
        <v>21</v>
      </c>
      <c r="D1867" t="s">
        <v>26</v>
      </c>
      <c r="E1867">
        <v>525</v>
      </c>
      <c r="F1867">
        <f t="shared" si="32"/>
        <v>5</v>
      </c>
    </row>
    <row r="1868" spans="1:6">
      <c r="A1868" s="83">
        <v>43739</v>
      </c>
      <c r="B1868" t="s">
        <v>31</v>
      </c>
      <c r="C1868" t="s">
        <v>21</v>
      </c>
      <c r="D1868" t="s">
        <v>23</v>
      </c>
      <c r="E1868">
        <v>203</v>
      </c>
      <c r="F1868">
        <f t="shared" si="32"/>
        <v>3</v>
      </c>
    </row>
    <row r="1869" spans="1:6">
      <c r="A1869" s="83">
        <v>43739</v>
      </c>
      <c r="B1869" t="s">
        <v>31</v>
      </c>
      <c r="C1869" t="s">
        <v>24</v>
      </c>
      <c r="D1869" t="s">
        <v>23</v>
      </c>
      <c r="E1869">
        <v>315</v>
      </c>
      <c r="F1869">
        <f t="shared" si="32"/>
        <v>3</v>
      </c>
    </row>
    <row r="1870" spans="1:6">
      <c r="A1870" s="83">
        <v>43739</v>
      </c>
      <c r="B1870" t="s">
        <v>31</v>
      </c>
      <c r="C1870" t="s">
        <v>24</v>
      </c>
      <c r="D1870" t="s">
        <v>23</v>
      </c>
      <c r="E1870">
        <v>459</v>
      </c>
      <c r="F1870">
        <f t="shared" si="32"/>
        <v>3</v>
      </c>
    </row>
    <row r="1871" spans="1:6">
      <c r="A1871" s="83">
        <v>43770</v>
      </c>
      <c r="B1871" t="s">
        <v>31</v>
      </c>
      <c r="C1871" t="s">
        <v>21</v>
      </c>
      <c r="D1871" t="s">
        <v>26</v>
      </c>
      <c r="E1871">
        <v>525</v>
      </c>
      <c r="F1871">
        <f t="shared" si="32"/>
        <v>5</v>
      </c>
    </row>
    <row r="1872" spans="1:6">
      <c r="A1872" s="83">
        <v>43770</v>
      </c>
      <c r="B1872" t="s">
        <v>31</v>
      </c>
      <c r="C1872" t="s">
        <v>21</v>
      </c>
      <c r="D1872" t="s">
        <v>22</v>
      </c>
      <c r="E1872">
        <v>203</v>
      </c>
      <c r="F1872">
        <f t="shared" si="32"/>
        <v>7</v>
      </c>
    </row>
    <row r="1873" spans="1:6">
      <c r="A1873" s="83">
        <v>43770</v>
      </c>
      <c r="B1873" t="s">
        <v>31</v>
      </c>
      <c r="C1873" t="s">
        <v>24</v>
      </c>
      <c r="D1873" t="s">
        <v>23</v>
      </c>
      <c r="E1873">
        <v>368</v>
      </c>
      <c r="F1873">
        <f t="shared" si="32"/>
        <v>3</v>
      </c>
    </row>
    <row r="1874" spans="1:6">
      <c r="A1874" s="83">
        <v>43770</v>
      </c>
      <c r="B1874" t="s">
        <v>31</v>
      </c>
      <c r="C1874" t="s">
        <v>24</v>
      </c>
      <c r="D1874" t="s">
        <v>23</v>
      </c>
      <c r="E1874">
        <v>557</v>
      </c>
      <c r="F1874">
        <f t="shared" si="32"/>
        <v>3</v>
      </c>
    </row>
    <row r="1875" spans="1:6">
      <c r="A1875" s="83">
        <v>43800</v>
      </c>
      <c r="B1875" t="s">
        <v>31</v>
      </c>
      <c r="C1875" t="s">
        <v>21</v>
      </c>
      <c r="D1875" t="s">
        <v>26</v>
      </c>
      <c r="E1875">
        <v>158</v>
      </c>
      <c r="F1875">
        <f t="shared" si="32"/>
        <v>5</v>
      </c>
    </row>
    <row r="1876" spans="1:6">
      <c r="A1876" s="83">
        <v>43800</v>
      </c>
      <c r="B1876" t="s">
        <v>31</v>
      </c>
      <c r="C1876" t="s">
        <v>21</v>
      </c>
      <c r="D1876" t="s">
        <v>26</v>
      </c>
      <c r="E1876">
        <v>203</v>
      </c>
      <c r="F1876">
        <f t="shared" si="32"/>
        <v>5</v>
      </c>
    </row>
    <row r="1877" spans="1:6">
      <c r="A1877" s="83">
        <v>43800</v>
      </c>
      <c r="B1877" t="s">
        <v>31</v>
      </c>
      <c r="C1877" t="s">
        <v>24</v>
      </c>
      <c r="D1877" t="s">
        <v>26</v>
      </c>
      <c r="E1877">
        <v>341</v>
      </c>
      <c r="F1877">
        <f t="shared" si="32"/>
        <v>5</v>
      </c>
    </row>
    <row r="1878" spans="1:6">
      <c r="A1878" s="83">
        <v>43800</v>
      </c>
      <c r="B1878" t="s">
        <v>31</v>
      </c>
      <c r="C1878" t="s">
        <v>24</v>
      </c>
      <c r="D1878" t="s">
        <v>23</v>
      </c>
      <c r="E1878">
        <v>304</v>
      </c>
      <c r="F1878">
        <f t="shared" si="32"/>
        <v>3</v>
      </c>
    </row>
    <row r="1879" spans="1:6">
      <c r="A1879" s="83">
        <v>43525</v>
      </c>
      <c r="B1879" t="s">
        <v>32</v>
      </c>
      <c r="C1879" t="s">
        <v>21</v>
      </c>
      <c r="D1879" t="s">
        <v>22</v>
      </c>
      <c r="E1879">
        <v>11</v>
      </c>
      <c r="F1879">
        <f t="shared" si="32"/>
        <v>7</v>
      </c>
    </row>
    <row r="1880" spans="1:6">
      <c r="A1880" s="83">
        <v>43525</v>
      </c>
      <c r="B1880" t="s">
        <v>32</v>
      </c>
      <c r="C1880" t="s">
        <v>21</v>
      </c>
      <c r="D1880" t="s">
        <v>22</v>
      </c>
      <c r="E1880">
        <v>32</v>
      </c>
      <c r="F1880">
        <f t="shared" si="32"/>
        <v>7</v>
      </c>
    </row>
    <row r="1881" spans="1:6">
      <c r="A1881" s="83">
        <v>43525</v>
      </c>
      <c r="B1881" t="s">
        <v>32</v>
      </c>
      <c r="C1881" t="s">
        <v>24</v>
      </c>
      <c r="D1881" t="s">
        <v>23</v>
      </c>
      <c r="E1881">
        <v>35</v>
      </c>
      <c r="F1881">
        <f t="shared" si="32"/>
        <v>3</v>
      </c>
    </row>
    <row r="1882" spans="1:6">
      <c r="A1882" s="83">
        <v>43525</v>
      </c>
      <c r="B1882" t="s">
        <v>32</v>
      </c>
      <c r="C1882" t="s">
        <v>24</v>
      </c>
      <c r="D1882" t="s">
        <v>23</v>
      </c>
      <c r="E1882">
        <v>34</v>
      </c>
      <c r="F1882">
        <f t="shared" si="32"/>
        <v>3</v>
      </c>
    </row>
    <row r="1883" spans="1:6">
      <c r="A1883" s="83">
        <v>43556</v>
      </c>
      <c r="B1883" t="s">
        <v>32</v>
      </c>
      <c r="C1883" t="s">
        <v>21</v>
      </c>
      <c r="D1883" t="s">
        <v>23</v>
      </c>
      <c r="E1883">
        <v>11</v>
      </c>
      <c r="F1883">
        <f t="shared" si="32"/>
        <v>3</v>
      </c>
    </row>
    <row r="1884" spans="1:6">
      <c r="A1884" s="83">
        <v>43556</v>
      </c>
      <c r="B1884" t="s">
        <v>32</v>
      </c>
      <c r="C1884" t="s">
        <v>21</v>
      </c>
      <c r="D1884" t="s">
        <v>22</v>
      </c>
      <c r="E1884">
        <v>32</v>
      </c>
      <c r="F1884">
        <f t="shared" si="32"/>
        <v>7</v>
      </c>
    </row>
    <row r="1885" spans="1:6">
      <c r="A1885" s="83">
        <v>43556</v>
      </c>
      <c r="B1885" t="s">
        <v>32</v>
      </c>
      <c r="C1885" t="s">
        <v>24</v>
      </c>
      <c r="D1885" t="s">
        <v>26</v>
      </c>
      <c r="E1885">
        <v>26</v>
      </c>
      <c r="F1885">
        <f t="shared" si="32"/>
        <v>5</v>
      </c>
    </row>
    <row r="1886" spans="1:6">
      <c r="A1886" s="83">
        <v>43556</v>
      </c>
      <c r="B1886" t="s">
        <v>32</v>
      </c>
      <c r="C1886" t="s">
        <v>24</v>
      </c>
      <c r="D1886" t="s">
        <v>23</v>
      </c>
      <c r="E1886">
        <v>34</v>
      </c>
      <c r="F1886">
        <f t="shared" si="32"/>
        <v>3</v>
      </c>
    </row>
    <row r="1887" spans="1:6">
      <c r="A1887" s="83">
        <v>43586</v>
      </c>
      <c r="B1887" t="s">
        <v>32</v>
      </c>
      <c r="C1887" t="s">
        <v>21</v>
      </c>
      <c r="D1887" t="s">
        <v>26</v>
      </c>
      <c r="E1887">
        <v>14</v>
      </c>
      <c r="F1887">
        <f t="shared" si="32"/>
        <v>5</v>
      </c>
    </row>
    <row r="1888" spans="1:6">
      <c r="A1888" s="83">
        <v>43586</v>
      </c>
      <c r="B1888" t="s">
        <v>32</v>
      </c>
      <c r="C1888" t="s">
        <v>21</v>
      </c>
      <c r="D1888" t="s">
        <v>26</v>
      </c>
      <c r="E1888">
        <v>36</v>
      </c>
      <c r="F1888">
        <f t="shared" si="32"/>
        <v>5</v>
      </c>
    </row>
    <row r="1889" spans="1:6">
      <c r="A1889" s="83">
        <v>43586</v>
      </c>
      <c r="B1889" t="s">
        <v>32</v>
      </c>
      <c r="C1889" t="s">
        <v>24</v>
      </c>
      <c r="D1889" t="s">
        <v>26</v>
      </c>
      <c r="E1889">
        <v>35</v>
      </c>
      <c r="F1889">
        <f t="shared" si="32"/>
        <v>5</v>
      </c>
    </row>
    <row r="1890" spans="1:6">
      <c r="A1890" s="83">
        <v>43586</v>
      </c>
      <c r="B1890" t="s">
        <v>32</v>
      </c>
      <c r="C1890" t="s">
        <v>24</v>
      </c>
      <c r="D1890" t="s">
        <v>22</v>
      </c>
      <c r="E1890">
        <v>34</v>
      </c>
      <c r="F1890">
        <f t="shared" si="32"/>
        <v>7</v>
      </c>
    </row>
    <row r="1891" spans="1:6">
      <c r="A1891" s="83">
        <v>43617</v>
      </c>
      <c r="B1891" t="s">
        <v>32</v>
      </c>
      <c r="C1891" t="s">
        <v>21</v>
      </c>
      <c r="D1891" t="s">
        <v>26</v>
      </c>
      <c r="E1891">
        <v>35</v>
      </c>
      <c r="F1891">
        <f t="shared" si="32"/>
        <v>5</v>
      </c>
    </row>
    <row r="1892" spans="1:6">
      <c r="A1892" s="83">
        <v>43617</v>
      </c>
      <c r="B1892" t="s">
        <v>32</v>
      </c>
      <c r="C1892" t="s">
        <v>21</v>
      </c>
      <c r="D1892" t="s">
        <v>22</v>
      </c>
      <c r="E1892">
        <v>203</v>
      </c>
      <c r="F1892">
        <f t="shared" si="32"/>
        <v>7</v>
      </c>
    </row>
    <row r="1893" spans="1:6">
      <c r="A1893" s="83">
        <v>43617</v>
      </c>
      <c r="B1893" t="s">
        <v>32</v>
      </c>
      <c r="C1893" t="s">
        <v>24</v>
      </c>
      <c r="D1893" t="s">
        <v>26</v>
      </c>
      <c r="E1893">
        <v>105</v>
      </c>
      <c r="F1893">
        <f t="shared" si="32"/>
        <v>5</v>
      </c>
    </row>
    <row r="1894" spans="1:6">
      <c r="A1894" s="83">
        <v>43617</v>
      </c>
      <c r="B1894" t="s">
        <v>32</v>
      </c>
      <c r="C1894" t="s">
        <v>24</v>
      </c>
      <c r="D1894" t="s">
        <v>26</v>
      </c>
      <c r="E1894">
        <v>101</v>
      </c>
      <c r="F1894">
        <f t="shared" si="32"/>
        <v>5</v>
      </c>
    </row>
    <row r="1895" spans="1:6">
      <c r="A1895" s="83">
        <v>43647</v>
      </c>
      <c r="B1895" t="s">
        <v>32</v>
      </c>
      <c r="C1895" t="s">
        <v>21</v>
      </c>
      <c r="D1895" t="s">
        <v>26</v>
      </c>
      <c r="E1895">
        <v>42</v>
      </c>
      <c r="F1895">
        <f t="shared" si="32"/>
        <v>5</v>
      </c>
    </row>
    <row r="1896" spans="1:6">
      <c r="A1896" s="83">
        <v>43647</v>
      </c>
      <c r="B1896" t="s">
        <v>32</v>
      </c>
      <c r="C1896" t="s">
        <v>21</v>
      </c>
      <c r="D1896" t="s">
        <v>22</v>
      </c>
      <c r="E1896">
        <v>239</v>
      </c>
      <c r="F1896">
        <f t="shared" si="32"/>
        <v>7</v>
      </c>
    </row>
    <row r="1897" spans="1:6">
      <c r="A1897" s="83">
        <v>43647</v>
      </c>
      <c r="B1897" t="s">
        <v>32</v>
      </c>
      <c r="C1897" t="s">
        <v>24</v>
      </c>
      <c r="D1897" t="s">
        <v>26</v>
      </c>
      <c r="E1897">
        <v>88</v>
      </c>
      <c r="F1897">
        <f t="shared" si="32"/>
        <v>5</v>
      </c>
    </row>
    <row r="1898" spans="1:6">
      <c r="A1898" s="83">
        <v>43647</v>
      </c>
      <c r="B1898" t="s">
        <v>32</v>
      </c>
      <c r="C1898" t="s">
        <v>24</v>
      </c>
      <c r="D1898" t="s">
        <v>26</v>
      </c>
      <c r="E1898">
        <v>101</v>
      </c>
      <c r="F1898">
        <f t="shared" si="32"/>
        <v>5</v>
      </c>
    </row>
    <row r="1899" spans="1:6">
      <c r="A1899" s="83">
        <v>43678</v>
      </c>
      <c r="B1899" t="s">
        <v>32</v>
      </c>
      <c r="C1899" t="s">
        <v>21</v>
      </c>
      <c r="D1899" t="s">
        <v>22</v>
      </c>
      <c r="E1899">
        <v>46</v>
      </c>
      <c r="F1899">
        <f t="shared" si="32"/>
        <v>7</v>
      </c>
    </row>
    <row r="1900" spans="1:6">
      <c r="A1900" s="83">
        <v>43678</v>
      </c>
      <c r="B1900" t="s">
        <v>32</v>
      </c>
      <c r="C1900" t="s">
        <v>21</v>
      </c>
      <c r="D1900" t="s">
        <v>23</v>
      </c>
      <c r="E1900">
        <v>392</v>
      </c>
      <c r="F1900">
        <f t="shared" si="32"/>
        <v>3</v>
      </c>
    </row>
    <row r="1901" spans="1:6">
      <c r="A1901" s="83">
        <v>43678</v>
      </c>
      <c r="B1901" t="s">
        <v>32</v>
      </c>
      <c r="C1901" t="s">
        <v>24</v>
      </c>
      <c r="D1901" t="s">
        <v>22</v>
      </c>
      <c r="E1901">
        <v>70</v>
      </c>
      <c r="F1901">
        <f t="shared" si="32"/>
        <v>7</v>
      </c>
    </row>
    <row r="1902" spans="1:6">
      <c r="A1902" s="83">
        <v>43678</v>
      </c>
      <c r="B1902" t="s">
        <v>32</v>
      </c>
      <c r="C1902" t="s">
        <v>24</v>
      </c>
      <c r="D1902" t="s">
        <v>22</v>
      </c>
      <c r="E1902">
        <v>101</v>
      </c>
      <c r="F1902">
        <f t="shared" si="32"/>
        <v>7</v>
      </c>
    </row>
    <row r="1903" spans="1:6">
      <c r="A1903" s="83">
        <v>43709</v>
      </c>
      <c r="B1903" t="s">
        <v>32</v>
      </c>
      <c r="C1903" t="s">
        <v>21</v>
      </c>
      <c r="D1903" t="s">
        <v>23</v>
      </c>
      <c r="E1903">
        <v>46</v>
      </c>
      <c r="F1903">
        <f t="shared" si="32"/>
        <v>3</v>
      </c>
    </row>
    <row r="1904" spans="1:6">
      <c r="A1904" s="83">
        <v>43709</v>
      </c>
      <c r="B1904" t="s">
        <v>32</v>
      </c>
      <c r="C1904" t="s">
        <v>21</v>
      </c>
      <c r="D1904" t="s">
        <v>26</v>
      </c>
      <c r="E1904">
        <v>428</v>
      </c>
      <c r="F1904">
        <f t="shared" si="32"/>
        <v>5</v>
      </c>
    </row>
    <row r="1905" spans="1:6">
      <c r="A1905" s="83">
        <v>43709</v>
      </c>
      <c r="B1905" t="s">
        <v>32</v>
      </c>
      <c r="C1905" t="s">
        <v>24</v>
      </c>
      <c r="D1905" t="s">
        <v>23</v>
      </c>
      <c r="E1905">
        <v>70</v>
      </c>
      <c r="F1905">
        <f t="shared" si="32"/>
        <v>3</v>
      </c>
    </row>
    <row r="1906" spans="1:6">
      <c r="A1906" s="83">
        <v>43709</v>
      </c>
      <c r="B1906" t="s">
        <v>32</v>
      </c>
      <c r="C1906" t="s">
        <v>24</v>
      </c>
      <c r="D1906" t="s">
        <v>26</v>
      </c>
      <c r="E1906">
        <v>90</v>
      </c>
      <c r="F1906">
        <f t="shared" si="32"/>
        <v>5</v>
      </c>
    </row>
    <row r="1907" spans="1:6">
      <c r="A1907" s="83">
        <v>43739</v>
      </c>
      <c r="B1907" t="s">
        <v>32</v>
      </c>
      <c r="C1907" t="s">
        <v>21</v>
      </c>
      <c r="D1907" t="s">
        <v>22</v>
      </c>
      <c r="E1907">
        <v>46</v>
      </c>
      <c r="F1907">
        <f t="shared" si="32"/>
        <v>7</v>
      </c>
    </row>
    <row r="1908" spans="1:6">
      <c r="A1908" s="83">
        <v>43739</v>
      </c>
      <c r="B1908" t="s">
        <v>32</v>
      </c>
      <c r="C1908" t="s">
        <v>21</v>
      </c>
      <c r="D1908" t="s">
        <v>22</v>
      </c>
      <c r="E1908">
        <v>464</v>
      </c>
      <c r="F1908">
        <f t="shared" si="32"/>
        <v>7</v>
      </c>
    </row>
    <row r="1909" spans="1:6">
      <c r="A1909" s="83">
        <v>43739</v>
      </c>
      <c r="B1909" t="s">
        <v>32</v>
      </c>
      <c r="C1909" t="s">
        <v>24</v>
      </c>
      <c r="D1909" t="s">
        <v>23</v>
      </c>
      <c r="E1909">
        <v>44</v>
      </c>
      <c r="F1909">
        <f t="shared" si="32"/>
        <v>3</v>
      </c>
    </row>
    <row r="1910" spans="1:6">
      <c r="A1910" s="83">
        <v>43739</v>
      </c>
      <c r="B1910" t="s">
        <v>32</v>
      </c>
      <c r="C1910" t="s">
        <v>24</v>
      </c>
      <c r="D1910" t="s">
        <v>22</v>
      </c>
      <c r="E1910">
        <v>68</v>
      </c>
      <c r="F1910">
        <f t="shared" si="32"/>
        <v>7</v>
      </c>
    </row>
    <row r="1911" spans="1:6">
      <c r="A1911" s="83">
        <v>43770</v>
      </c>
      <c r="B1911" t="s">
        <v>32</v>
      </c>
      <c r="C1911" t="s">
        <v>21</v>
      </c>
      <c r="D1911" t="s">
        <v>26</v>
      </c>
      <c r="E1911">
        <v>42</v>
      </c>
      <c r="F1911">
        <f t="shared" si="32"/>
        <v>5</v>
      </c>
    </row>
    <row r="1912" spans="1:6">
      <c r="A1912" s="83">
        <v>43770</v>
      </c>
      <c r="B1912" t="s">
        <v>32</v>
      </c>
      <c r="C1912" t="s">
        <v>21</v>
      </c>
      <c r="D1912" t="s">
        <v>22</v>
      </c>
      <c r="E1912">
        <v>707</v>
      </c>
      <c r="F1912">
        <f t="shared" si="32"/>
        <v>7</v>
      </c>
    </row>
    <row r="1913" spans="1:6">
      <c r="A1913" s="83">
        <v>43770</v>
      </c>
      <c r="B1913" t="s">
        <v>32</v>
      </c>
      <c r="C1913" t="s">
        <v>24</v>
      </c>
      <c r="D1913" t="s">
        <v>22</v>
      </c>
      <c r="E1913">
        <v>35</v>
      </c>
      <c r="F1913">
        <f t="shared" si="32"/>
        <v>7</v>
      </c>
    </row>
    <row r="1914" spans="1:6">
      <c r="A1914" s="83">
        <v>43770</v>
      </c>
      <c r="B1914" t="s">
        <v>32</v>
      </c>
      <c r="C1914" t="s">
        <v>24</v>
      </c>
      <c r="D1914" t="s">
        <v>22</v>
      </c>
      <c r="E1914">
        <v>113</v>
      </c>
      <c r="F1914">
        <f t="shared" si="32"/>
        <v>7</v>
      </c>
    </row>
    <row r="1915" spans="1:6">
      <c r="A1915" s="83">
        <v>43800</v>
      </c>
      <c r="B1915" t="s">
        <v>32</v>
      </c>
      <c r="C1915" t="s">
        <v>21</v>
      </c>
      <c r="D1915" t="s">
        <v>26</v>
      </c>
      <c r="E1915">
        <v>46</v>
      </c>
      <c r="F1915">
        <f t="shared" si="32"/>
        <v>5</v>
      </c>
    </row>
    <row r="1916" spans="1:6">
      <c r="A1916" s="83">
        <v>43800</v>
      </c>
      <c r="B1916" t="s">
        <v>32</v>
      </c>
      <c r="C1916" t="s">
        <v>21</v>
      </c>
      <c r="D1916" t="s">
        <v>23</v>
      </c>
      <c r="E1916">
        <v>450</v>
      </c>
      <c r="F1916">
        <f t="shared" si="32"/>
        <v>3</v>
      </c>
    </row>
    <row r="1917" spans="1:6">
      <c r="A1917" s="83">
        <v>43800</v>
      </c>
      <c r="B1917" t="s">
        <v>32</v>
      </c>
      <c r="C1917" t="s">
        <v>24</v>
      </c>
      <c r="D1917" t="s">
        <v>23</v>
      </c>
      <c r="E1917">
        <v>35</v>
      </c>
      <c r="F1917">
        <f t="shared" si="32"/>
        <v>3</v>
      </c>
    </row>
    <row r="1918" spans="1:6">
      <c r="A1918" s="83">
        <v>43800</v>
      </c>
      <c r="B1918" t="s">
        <v>32</v>
      </c>
      <c r="C1918" t="s">
        <v>24</v>
      </c>
      <c r="D1918" t="s">
        <v>26</v>
      </c>
      <c r="E1918">
        <v>124</v>
      </c>
      <c r="F1918">
        <f t="shared" si="32"/>
        <v>5</v>
      </c>
    </row>
    <row r="1919" spans="1:6">
      <c r="A1919" s="83">
        <v>42856</v>
      </c>
      <c r="B1919" t="s">
        <v>32</v>
      </c>
      <c r="C1919" t="s">
        <v>21</v>
      </c>
      <c r="D1919" t="s">
        <v>26</v>
      </c>
      <c r="E1919">
        <v>406</v>
      </c>
      <c r="F1919">
        <f t="shared" si="32"/>
        <v>5</v>
      </c>
    </row>
    <row r="1920" spans="1:6">
      <c r="A1920" s="83">
        <v>42856</v>
      </c>
      <c r="B1920" t="s">
        <v>32</v>
      </c>
      <c r="C1920" t="s">
        <v>21</v>
      </c>
      <c r="D1920" t="s">
        <v>22</v>
      </c>
      <c r="E1920">
        <v>360</v>
      </c>
      <c r="F1920">
        <f t="shared" si="32"/>
        <v>7</v>
      </c>
    </row>
    <row r="1921" spans="1:6">
      <c r="A1921" s="83">
        <v>42856</v>
      </c>
      <c r="B1921" t="s">
        <v>32</v>
      </c>
      <c r="C1921" t="s">
        <v>24</v>
      </c>
      <c r="D1921" t="s">
        <v>26</v>
      </c>
      <c r="E1921">
        <v>53</v>
      </c>
      <c r="F1921">
        <f t="shared" si="32"/>
        <v>5</v>
      </c>
    </row>
    <row r="1922" spans="1:6">
      <c r="A1922" s="83">
        <v>42856</v>
      </c>
      <c r="B1922" t="s">
        <v>32</v>
      </c>
      <c r="C1922" t="s">
        <v>24</v>
      </c>
      <c r="D1922" t="s">
        <v>26</v>
      </c>
      <c r="E1922">
        <v>90</v>
      </c>
      <c r="F1922">
        <f t="shared" si="32"/>
        <v>5</v>
      </c>
    </row>
    <row r="1923" spans="1:6">
      <c r="A1923" s="83">
        <v>42887</v>
      </c>
      <c r="B1923" t="s">
        <v>32</v>
      </c>
      <c r="C1923" t="s">
        <v>21</v>
      </c>
      <c r="D1923" t="s">
        <v>23</v>
      </c>
      <c r="E1923">
        <v>469</v>
      </c>
      <c r="F1923">
        <f t="shared" ref="F1923:F1986" si="33">LEN(D1923)</f>
        <v>3</v>
      </c>
    </row>
    <row r="1924" spans="1:6">
      <c r="A1924" s="83">
        <v>42887</v>
      </c>
      <c r="B1924" t="s">
        <v>32</v>
      </c>
      <c r="C1924" t="s">
        <v>21</v>
      </c>
      <c r="D1924" t="s">
        <v>22</v>
      </c>
      <c r="E1924">
        <v>149</v>
      </c>
      <c r="F1924">
        <f t="shared" si="33"/>
        <v>7</v>
      </c>
    </row>
    <row r="1925" spans="1:6">
      <c r="A1925" s="83">
        <v>42887</v>
      </c>
      <c r="B1925" t="s">
        <v>32</v>
      </c>
      <c r="C1925" t="s">
        <v>24</v>
      </c>
      <c r="D1925" t="s">
        <v>23</v>
      </c>
      <c r="E1925">
        <v>26</v>
      </c>
      <c r="F1925">
        <f t="shared" si="33"/>
        <v>3</v>
      </c>
    </row>
    <row r="1926" spans="1:6">
      <c r="A1926" s="83">
        <v>42887</v>
      </c>
      <c r="B1926" t="s">
        <v>32</v>
      </c>
      <c r="C1926" t="s">
        <v>24</v>
      </c>
      <c r="D1926" t="s">
        <v>26</v>
      </c>
      <c r="E1926">
        <v>56</v>
      </c>
      <c r="F1926">
        <f t="shared" si="33"/>
        <v>5</v>
      </c>
    </row>
    <row r="1927" spans="1:6">
      <c r="A1927" s="83">
        <v>42917</v>
      </c>
      <c r="B1927" t="s">
        <v>32</v>
      </c>
      <c r="C1927" t="s">
        <v>21</v>
      </c>
      <c r="D1927" t="s">
        <v>26</v>
      </c>
      <c r="E1927">
        <v>410</v>
      </c>
      <c r="F1927">
        <f t="shared" si="33"/>
        <v>5</v>
      </c>
    </row>
    <row r="1928" spans="1:6">
      <c r="A1928" s="83">
        <v>42917</v>
      </c>
      <c r="B1928" t="s">
        <v>32</v>
      </c>
      <c r="C1928" t="s">
        <v>21</v>
      </c>
      <c r="D1928" t="s">
        <v>22</v>
      </c>
      <c r="E1928">
        <v>378</v>
      </c>
      <c r="F1928">
        <f t="shared" si="33"/>
        <v>7</v>
      </c>
    </row>
    <row r="1929" spans="1:6">
      <c r="A1929" s="83">
        <v>42917</v>
      </c>
      <c r="B1929" t="s">
        <v>32</v>
      </c>
      <c r="C1929" t="s">
        <v>24</v>
      </c>
      <c r="D1929" t="s">
        <v>23</v>
      </c>
      <c r="E1929">
        <v>35</v>
      </c>
      <c r="F1929">
        <f t="shared" si="33"/>
        <v>3</v>
      </c>
    </row>
    <row r="1930" spans="1:6">
      <c r="A1930" s="83">
        <v>42917</v>
      </c>
      <c r="B1930" t="s">
        <v>32</v>
      </c>
      <c r="C1930" t="s">
        <v>24</v>
      </c>
      <c r="D1930" t="s">
        <v>26</v>
      </c>
      <c r="E1930">
        <v>56</v>
      </c>
      <c r="F1930">
        <f t="shared" si="33"/>
        <v>5</v>
      </c>
    </row>
    <row r="1931" spans="1:6">
      <c r="A1931" s="83">
        <v>42948</v>
      </c>
      <c r="B1931" t="s">
        <v>32</v>
      </c>
      <c r="C1931" t="s">
        <v>21</v>
      </c>
      <c r="D1931" t="s">
        <v>23</v>
      </c>
      <c r="E1931">
        <v>529</v>
      </c>
      <c r="F1931">
        <f t="shared" si="33"/>
        <v>3</v>
      </c>
    </row>
    <row r="1932" spans="1:6">
      <c r="A1932" s="83">
        <v>42948</v>
      </c>
      <c r="B1932" t="s">
        <v>32</v>
      </c>
      <c r="C1932" t="s">
        <v>21</v>
      </c>
      <c r="D1932" t="s">
        <v>23</v>
      </c>
      <c r="E1932">
        <v>716</v>
      </c>
      <c r="F1932">
        <f t="shared" si="33"/>
        <v>3</v>
      </c>
    </row>
    <row r="1933" spans="1:6">
      <c r="A1933" s="83">
        <v>42948</v>
      </c>
      <c r="B1933" t="s">
        <v>32</v>
      </c>
      <c r="C1933" t="s">
        <v>24</v>
      </c>
      <c r="D1933" t="s">
        <v>23</v>
      </c>
      <c r="E1933">
        <v>26</v>
      </c>
      <c r="F1933">
        <f t="shared" si="33"/>
        <v>3</v>
      </c>
    </row>
    <row r="1934" spans="1:6">
      <c r="A1934" s="83">
        <v>42948</v>
      </c>
      <c r="B1934" t="s">
        <v>32</v>
      </c>
      <c r="C1934" t="s">
        <v>24</v>
      </c>
      <c r="D1934" t="s">
        <v>23</v>
      </c>
      <c r="E1934">
        <v>45</v>
      </c>
      <c r="F1934">
        <f t="shared" si="33"/>
        <v>3</v>
      </c>
    </row>
    <row r="1935" spans="1:6">
      <c r="A1935" s="83">
        <v>42979</v>
      </c>
      <c r="B1935" t="s">
        <v>32</v>
      </c>
      <c r="C1935" t="s">
        <v>21</v>
      </c>
      <c r="D1935" t="s">
        <v>22</v>
      </c>
      <c r="E1935">
        <v>483</v>
      </c>
      <c r="F1935">
        <f t="shared" si="33"/>
        <v>7</v>
      </c>
    </row>
    <row r="1936" spans="1:6">
      <c r="A1936" s="83">
        <v>42979</v>
      </c>
      <c r="B1936" t="s">
        <v>32</v>
      </c>
      <c r="C1936" t="s">
        <v>21</v>
      </c>
      <c r="D1936" t="s">
        <v>26</v>
      </c>
      <c r="E1936">
        <v>275</v>
      </c>
      <c r="F1936">
        <f t="shared" si="33"/>
        <v>5</v>
      </c>
    </row>
    <row r="1937" spans="1:6">
      <c r="A1937" s="83">
        <v>42979</v>
      </c>
      <c r="B1937" t="s">
        <v>32</v>
      </c>
      <c r="C1937" t="s">
        <v>24</v>
      </c>
      <c r="D1937" t="s">
        <v>22</v>
      </c>
      <c r="E1937">
        <v>18</v>
      </c>
      <c r="F1937">
        <f t="shared" si="33"/>
        <v>7</v>
      </c>
    </row>
    <row r="1938" spans="1:6">
      <c r="A1938" s="83">
        <v>42979</v>
      </c>
      <c r="B1938" t="s">
        <v>32</v>
      </c>
      <c r="C1938" t="s">
        <v>24</v>
      </c>
      <c r="D1938" t="s">
        <v>26</v>
      </c>
      <c r="E1938">
        <v>45</v>
      </c>
      <c r="F1938">
        <f t="shared" si="33"/>
        <v>5</v>
      </c>
    </row>
    <row r="1939" spans="1:6">
      <c r="A1939" s="83">
        <v>43009</v>
      </c>
      <c r="B1939" t="s">
        <v>32</v>
      </c>
      <c r="C1939" t="s">
        <v>21</v>
      </c>
      <c r="D1939" t="s">
        <v>26</v>
      </c>
      <c r="E1939">
        <v>525</v>
      </c>
      <c r="F1939">
        <f t="shared" si="33"/>
        <v>5</v>
      </c>
    </row>
    <row r="1940" spans="1:6">
      <c r="A1940" s="83">
        <v>43009</v>
      </c>
      <c r="B1940" t="s">
        <v>32</v>
      </c>
      <c r="C1940" t="s">
        <v>21</v>
      </c>
      <c r="D1940" t="s">
        <v>22</v>
      </c>
      <c r="E1940">
        <v>679</v>
      </c>
      <c r="F1940">
        <f t="shared" si="33"/>
        <v>7</v>
      </c>
    </row>
    <row r="1941" spans="1:6">
      <c r="A1941" s="83">
        <v>43009</v>
      </c>
      <c r="B1941" t="s">
        <v>32</v>
      </c>
      <c r="C1941" t="s">
        <v>24</v>
      </c>
      <c r="D1941" t="s">
        <v>26</v>
      </c>
      <c r="E1941">
        <v>35</v>
      </c>
      <c r="F1941">
        <f t="shared" si="33"/>
        <v>5</v>
      </c>
    </row>
    <row r="1942" spans="1:6">
      <c r="A1942" s="83">
        <v>43009</v>
      </c>
      <c r="B1942" t="s">
        <v>32</v>
      </c>
      <c r="C1942" t="s">
        <v>24</v>
      </c>
      <c r="D1942" t="s">
        <v>23</v>
      </c>
      <c r="E1942">
        <v>34</v>
      </c>
      <c r="F1942">
        <f t="shared" si="33"/>
        <v>3</v>
      </c>
    </row>
    <row r="1943" spans="1:6">
      <c r="A1943" s="83">
        <v>43040</v>
      </c>
      <c r="B1943" t="s">
        <v>32</v>
      </c>
      <c r="C1943" t="s">
        <v>21</v>
      </c>
      <c r="D1943" t="s">
        <v>26</v>
      </c>
      <c r="E1943">
        <v>546</v>
      </c>
      <c r="F1943">
        <f t="shared" si="33"/>
        <v>5</v>
      </c>
    </row>
    <row r="1944" spans="1:6">
      <c r="A1944" s="83">
        <v>43040</v>
      </c>
      <c r="B1944" t="s">
        <v>32</v>
      </c>
      <c r="C1944" t="s">
        <v>21</v>
      </c>
      <c r="D1944" t="s">
        <v>26</v>
      </c>
      <c r="E1944">
        <v>1153</v>
      </c>
      <c r="F1944">
        <f t="shared" si="33"/>
        <v>5</v>
      </c>
    </row>
    <row r="1945" spans="1:6">
      <c r="A1945" s="83">
        <v>43040</v>
      </c>
      <c r="B1945" t="s">
        <v>32</v>
      </c>
      <c r="C1945" t="s">
        <v>24</v>
      </c>
      <c r="D1945" t="s">
        <v>22</v>
      </c>
      <c r="E1945">
        <v>18</v>
      </c>
      <c r="F1945">
        <f t="shared" si="33"/>
        <v>7</v>
      </c>
    </row>
    <row r="1946" spans="1:6">
      <c r="A1946" s="83">
        <v>43040</v>
      </c>
      <c r="B1946" t="s">
        <v>32</v>
      </c>
      <c r="C1946" t="s">
        <v>24</v>
      </c>
      <c r="D1946" t="s">
        <v>22</v>
      </c>
      <c r="E1946">
        <v>34</v>
      </c>
      <c r="F1946">
        <f t="shared" si="33"/>
        <v>7</v>
      </c>
    </row>
    <row r="1947" spans="1:6">
      <c r="A1947" s="83">
        <v>43070</v>
      </c>
      <c r="B1947" t="s">
        <v>32</v>
      </c>
      <c r="C1947" t="s">
        <v>21</v>
      </c>
      <c r="D1947" t="s">
        <v>23</v>
      </c>
      <c r="E1947">
        <v>454</v>
      </c>
      <c r="F1947">
        <f t="shared" si="33"/>
        <v>3</v>
      </c>
    </row>
    <row r="1948" spans="1:6">
      <c r="A1948" s="83">
        <v>43070</v>
      </c>
      <c r="B1948" t="s">
        <v>32</v>
      </c>
      <c r="C1948" t="s">
        <v>21</v>
      </c>
      <c r="D1948" t="s">
        <v>26</v>
      </c>
      <c r="E1948">
        <v>1281</v>
      </c>
      <c r="F1948">
        <f t="shared" si="33"/>
        <v>5</v>
      </c>
    </row>
    <row r="1949" spans="1:6">
      <c r="A1949" s="83">
        <v>43070</v>
      </c>
      <c r="B1949" t="s">
        <v>32</v>
      </c>
      <c r="C1949" t="s">
        <v>24</v>
      </c>
      <c r="D1949" t="s">
        <v>26</v>
      </c>
      <c r="E1949">
        <v>18</v>
      </c>
      <c r="F1949">
        <f t="shared" si="33"/>
        <v>5</v>
      </c>
    </row>
    <row r="1950" spans="1:6">
      <c r="A1950" s="83">
        <v>43070</v>
      </c>
      <c r="B1950" t="s">
        <v>32</v>
      </c>
      <c r="C1950" t="s">
        <v>24</v>
      </c>
      <c r="D1950" t="s">
        <v>26</v>
      </c>
      <c r="E1950">
        <v>56</v>
      </c>
      <c r="F1950">
        <f t="shared" si="33"/>
        <v>5</v>
      </c>
    </row>
    <row r="1951" spans="1:6">
      <c r="A1951" s="83">
        <v>43101</v>
      </c>
      <c r="B1951" t="s">
        <v>32</v>
      </c>
      <c r="C1951" t="s">
        <v>21</v>
      </c>
      <c r="D1951" t="s">
        <v>26</v>
      </c>
      <c r="E1951">
        <v>481</v>
      </c>
      <c r="F1951">
        <f t="shared" si="33"/>
        <v>5</v>
      </c>
    </row>
    <row r="1952" spans="1:6">
      <c r="A1952" s="83">
        <v>43101</v>
      </c>
      <c r="B1952" t="s">
        <v>32</v>
      </c>
      <c r="C1952" t="s">
        <v>21</v>
      </c>
      <c r="D1952" t="s">
        <v>22</v>
      </c>
      <c r="E1952">
        <v>1068</v>
      </c>
      <c r="F1952">
        <f t="shared" si="33"/>
        <v>7</v>
      </c>
    </row>
    <row r="1953" spans="1:6">
      <c r="A1953" s="83">
        <v>43101</v>
      </c>
      <c r="B1953" t="s">
        <v>32</v>
      </c>
      <c r="C1953" t="s">
        <v>24</v>
      </c>
      <c r="D1953" t="s">
        <v>22</v>
      </c>
      <c r="E1953">
        <v>18</v>
      </c>
      <c r="F1953">
        <f t="shared" si="33"/>
        <v>7</v>
      </c>
    </row>
    <row r="1954" spans="1:6">
      <c r="A1954" s="83">
        <v>43101</v>
      </c>
      <c r="B1954" t="s">
        <v>32</v>
      </c>
      <c r="C1954" t="s">
        <v>24</v>
      </c>
      <c r="D1954" t="s">
        <v>26</v>
      </c>
      <c r="E1954">
        <v>45</v>
      </c>
      <c r="F1954">
        <f t="shared" si="33"/>
        <v>5</v>
      </c>
    </row>
    <row r="1955" spans="1:6">
      <c r="A1955" s="83">
        <v>43132</v>
      </c>
      <c r="B1955" t="s">
        <v>32</v>
      </c>
      <c r="C1955" t="s">
        <v>21</v>
      </c>
      <c r="D1955" t="s">
        <v>26</v>
      </c>
      <c r="E1955">
        <v>511</v>
      </c>
      <c r="F1955">
        <f t="shared" si="33"/>
        <v>5</v>
      </c>
    </row>
    <row r="1956" spans="1:6">
      <c r="A1956" s="83">
        <v>43132</v>
      </c>
      <c r="B1956" t="s">
        <v>32</v>
      </c>
      <c r="C1956" t="s">
        <v>21</v>
      </c>
      <c r="D1956" t="s">
        <v>22</v>
      </c>
      <c r="E1956">
        <v>1480</v>
      </c>
      <c r="F1956">
        <f t="shared" si="33"/>
        <v>7</v>
      </c>
    </row>
    <row r="1957" spans="1:6">
      <c r="A1957" s="83">
        <v>43132</v>
      </c>
      <c r="B1957" t="s">
        <v>32</v>
      </c>
      <c r="C1957" t="s">
        <v>24</v>
      </c>
      <c r="D1957" t="s">
        <v>26</v>
      </c>
      <c r="E1957">
        <v>26</v>
      </c>
      <c r="F1957">
        <f t="shared" si="33"/>
        <v>5</v>
      </c>
    </row>
    <row r="1958" spans="1:6">
      <c r="A1958" s="83">
        <v>43132</v>
      </c>
      <c r="B1958" t="s">
        <v>32</v>
      </c>
      <c r="C1958" t="s">
        <v>24</v>
      </c>
      <c r="D1958" t="s">
        <v>26</v>
      </c>
      <c r="E1958">
        <v>56</v>
      </c>
      <c r="F1958">
        <f t="shared" si="33"/>
        <v>5</v>
      </c>
    </row>
    <row r="1959" spans="1:6">
      <c r="A1959" s="83">
        <v>43160</v>
      </c>
      <c r="B1959" t="s">
        <v>32</v>
      </c>
      <c r="C1959" t="s">
        <v>21</v>
      </c>
      <c r="D1959" t="s">
        <v>22</v>
      </c>
      <c r="E1959">
        <v>637</v>
      </c>
      <c r="F1959">
        <f t="shared" si="33"/>
        <v>7</v>
      </c>
    </row>
    <row r="1960" spans="1:6">
      <c r="A1960" s="83">
        <v>43160</v>
      </c>
      <c r="B1960" t="s">
        <v>32</v>
      </c>
      <c r="C1960" t="s">
        <v>21</v>
      </c>
      <c r="D1960" t="s">
        <v>23</v>
      </c>
      <c r="E1960">
        <v>911</v>
      </c>
      <c r="F1960">
        <f t="shared" si="33"/>
        <v>3</v>
      </c>
    </row>
    <row r="1961" spans="1:6">
      <c r="A1961" s="83">
        <v>43160</v>
      </c>
      <c r="B1961" t="s">
        <v>32</v>
      </c>
      <c r="C1961" t="s">
        <v>24</v>
      </c>
      <c r="D1961" t="s">
        <v>23</v>
      </c>
      <c r="E1961">
        <v>26</v>
      </c>
      <c r="F1961">
        <f t="shared" si="33"/>
        <v>3</v>
      </c>
    </row>
    <row r="1962" spans="1:6">
      <c r="A1962" s="83">
        <v>43160</v>
      </c>
      <c r="B1962" t="s">
        <v>32</v>
      </c>
      <c r="C1962" t="s">
        <v>24</v>
      </c>
      <c r="D1962" t="s">
        <v>22</v>
      </c>
      <c r="E1962">
        <v>56</v>
      </c>
      <c r="F1962">
        <f t="shared" si="33"/>
        <v>7</v>
      </c>
    </row>
    <row r="1963" spans="1:6">
      <c r="A1963" s="83">
        <v>43191</v>
      </c>
      <c r="B1963" t="s">
        <v>32</v>
      </c>
      <c r="C1963" t="s">
        <v>21</v>
      </c>
      <c r="D1963" t="s">
        <v>26</v>
      </c>
      <c r="E1963">
        <v>569</v>
      </c>
      <c r="F1963">
        <f t="shared" si="33"/>
        <v>5</v>
      </c>
    </row>
    <row r="1964" spans="1:6">
      <c r="A1964" s="83">
        <v>43191</v>
      </c>
      <c r="B1964" t="s">
        <v>32</v>
      </c>
      <c r="C1964" t="s">
        <v>21</v>
      </c>
      <c r="D1964" t="s">
        <v>23</v>
      </c>
      <c r="E1964">
        <v>1204</v>
      </c>
      <c r="F1964">
        <f t="shared" si="33"/>
        <v>3</v>
      </c>
    </row>
    <row r="1965" spans="1:6">
      <c r="A1965" s="83">
        <v>43191</v>
      </c>
      <c r="B1965" t="s">
        <v>32</v>
      </c>
      <c r="C1965" t="s">
        <v>24</v>
      </c>
      <c r="D1965" t="s">
        <v>26</v>
      </c>
      <c r="E1965">
        <v>35</v>
      </c>
      <c r="F1965">
        <f t="shared" si="33"/>
        <v>5</v>
      </c>
    </row>
    <row r="1966" spans="1:6">
      <c r="A1966" s="83">
        <v>43191</v>
      </c>
      <c r="B1966" t="s">
        <v>32</v>
      </c>
      <c r="C1966" t="s">
        <v>24</v>
      </c>
      <c r="D1966" t="s">
        <v>26</v>
      </c>
      <c r="E1966">
        <v>56</v>
      </c>
      <c r="F1966">
        <f t="shared" si="33"/>
        <v>5</v>
      </c>
    </row>
    <row r="1967" spans="1:6">
      <c r="A1967" s="83">
        <v>43221</v>
      </c>
      <c r="B1967" t="s">
        <v>32</v>
      </c>
      <c r="C1967" t="s">
        <v>21</v>
      </c>
      <c r="D1967" t="s">
        <v>26</v>
      </c>
      <c r="E1967">
        <v>778</v>
      </c>
      <c r="F1967">
        <f t="shared" si="33"/>
        <v>5</v>
      </c>
    </row>
    <row r="1968" spans="1:6">
      <c r="A1968" s="83">
        <v>43221</v>
      </c>
      <c r="B1968" t="s">
        <v>32</v>
      </c>
      <c r="C1968" t="s">
        <v>21</v>
      </c>
      <c r="D1968" t="s">
        <v>22</v>
      </c>
      <c r="E1968">
        <v>1785</v>
      </c>
      <c r="F1968">
        <f t="shared" si="33"/>
        <v>7</v>
      </c>
    </row>
    <row r="1969" spans="1:6">
      <c r="A1969" s="83">
        <v>43221</v>
      </c>
      <c r="B1969" t="s">
        <v>32</v>
      </c>
      <c r="C1969" t="s">
        <v>24</v>
      </c>
      <c r="D1969" t="s">
        <v>23</v>
      </c>
      <c r="E1969">
        <v>35</v>
      </c>
      <c r="F1969">
        <f t="shared" si="33"/>
        <v>3</v>
      </c>
    </row>
    <row r="1970" spans="1:6">
      <c r="A1970" s="83">
        <v>43221</v>
      </c>
      <c r="B1970" t="s">
        <v>32</v>
      </c>
      <c r="C1970" t="s">
        <v>24</v>
      </c>
      <c r="D1970" t="s">
        <v>23</v>
      </c>
      <c r="E1970">
        <v>68</v>
      </c>
      <c r="F1970">
        <f t="shared" si="33"/>
        <v>3</v>
      </c>
    </row>
    <row r="1971" spans="1:6">
      <c r="A1971" s="83">
        <v>43252</v>
      </c>
      <c r="B1971" t="s">
        <v>32</v>
      </c>
      <c r="C1971" t="s">
        <v>21</v>
      </c>
      <c r="D1971" t="s">
        <v>23</v>
      </c>
      <c r="E1971">
        <v>737</v>
      </c>
      <c r="F1971">
        <f t="shared" si="33"/>
        <v>3</v>
      </c>
    </row>
    <row r="1972" spans="1:6">
      <c r="A1972" s="83">
        <v>43252</v>
      </c>
      <c r="B1972" t="s">
        <v>32</v>
      </c>
      <c r="C1972" t="s">
        <v>21</v>
      </c>
      <c r="D1972" t="s">
        <v>26</v>
      </c>
      <c r="E1972">
        <v>947</v>
      </c>
      <c r="F1972">
        <f t="shared" si="33"/>
        <v>5</v>
      </c>
    </row>
    <row r="1973" spans="1:6">
      <c r="A1973" s="83">
        <v>43252</v>
      </c>
      <c r="B1973" t="s">
        <v>32</v>
      </c>
      <c r="C1973" t="s">
        <v>24</v>
      </c>
      <c r="D1973" t="s">
        <v>23</v>
      </c>
      <c r="E1973">
        <v>44</v>
      </c>
      <c r="F1973">
        <f t="shared" si="33"/>
        <v>3</v>
      </c>
    </row>
    <row r="1974" spans="1:6">
      <c r="A1974" s="83">
        <v>43252</v>
      </c>
      <c r="B1974" t="s">
        <v>32</v>
      </c>
      <c r="C1974" t="s">
        <v>24</v>
      </c>
      <c r="D1974" t="s">
        <v>23</v>
      </c>
      <c r="E1974">
        <v>68</v>
      </c>
      <c r="F1974">
        <f t="shared" si="33"/>
        <v>3</v>
      </c>
    </row>
    <row r="1975" spans="1:6">
      <c r="A1975" s="83">
        <v>43282</v>
      </c>
      <c r="B1975" t="s">
        <v>32</v>
      </c>
      <c r="C1975" t="s">
        <v>21</v>
      </c>
      <c r="D1975" t="s">
        <v>22</v>
      </c>
      <c r="E1975">
        <v>650</v>
      </c>
      <c r="F1975">
        <f t="shared" si="33"/>
        <v>7</v>
      </c>
    </row>
    <row r="1976" spans="1:6">
      <c r="A1976" s="83">
        <v>43282</v>
      </c>
      <c r="B1976" t="s">
        <v>32</v>
      </c>
      <c r="C1976" t="s">
        <v>21</v>
      </c>
      <c r="D1976" t="s">
        <v>23</v>
      </c>
      <c r="E1976">
        <v>1220</v>
      </c>
      <c r="F1976">
        <f t="shared" si="33"/>
        <v>3</v>
      </c>
    </row>
    <row r="1977" spans="1:6">
      <c r="A1977" s="83">
        <v>43282</v>
      </c>
      <c r="B1977" t="s">
        <v>32</v>
      </c>
      <c r="C1977" t="s">
        <v>24</v>
      </c>
      <c r="D1977" t="s">
        <v>26</v>
      </c>
      <c r="E1977">
        <v>44</v>
      </c>
      <c r="F1977">
        <f t="shared" si="33"/>
        <v>5</v>
      </c>
    </row>
    <row r="1978" spans="1:6">
      <c r="A1978" s="83">
        <v>43282</v>
      </c>
      <c r="B1978" t="s">
        <v>32</v>
      </c>
      <c r="C1978" t="s">
        <v>24</v>
      </c>
      <c r="D1978" t="s">
        <v>22</v>
      </c>
      <c r="E1978">
        <v>68</v>
      </c>
      <c r="F1978">
        <f t="shared" si="33"/>
        <v>7</v>
      </c>
    </row>
    <row r="1979" spans="1:6">
      <c r="A1979" s="83">
        <v>43313</v>
      </c>
      <c r="B1979" t="s">
        <v>32</v>
      </c>
      <c r="C1979" t="s">
        <v>21</v>
      </c>
      <c r="D1979" t="s">
        <v>26</v>
      </c>
      <c r="E1979">
        <v>936</v>
      </c>
      <c r="F1979">
        <f t="shared" si="33"/>
        <v>5</v>
      </c>
    </row>
    <row r="1980" spans="1:6">
      <c r="A1980" s="83">
        <v>43313</v>
      </c>
      <c r="B1980" t="s">
        <v>32</v>
      </c>
      <c r="C1980" t="s">
        <v>21</v>
      </c>
      <c r="D1980" t="s">
        <v>22</v>
      </c>
      <c r="E1980">
        <v>1787</v>
      </c>
      <c r="F1980">
        <f t="shared" si="33"/>
        <v>7</v>
      </c>
    </row>
    <row r="1981" spans="1:6">
      <c r="A1981" s="83">
        <v>43313</v>
      </c>
      <c r="B1981" t="s">
        <v>32</v>
      </c>
      <c r="C1981" t="s">
        <v>24</v>
      </c>
      <c r="D1981" t="s">
        <v>26</v>
      </c>
      <c r="E1981">
        <v>44</v>
      </c>
      <c r="F1981">
        <f t="shared" si="33"/>
        <v>5</v>
      </c>
    </row>
    <row r="1982" spans="1:6">
      <c r="A1982" s="83">
        <v>43313</v>
      </c>
      <c r="B1982" t="s">
        <v>32</v>
      </c>
      <c r="C1982" t="s">
        <v>24</v>
      </c>
      <c r="D1982" t="s">
        <v>22</v>
      </c>
      <c r="E1982">
        <v>56</v>
      </c>
      <c r="F1982">
        <f t="shared" si="33"/>
        <v>7</v>
      </c>
    </row>
    <row r="1983" spans="1:6">
      <c r="A1983" s="83">
        <v>43344</v>
      </c>
      <c r="B1983" t="s">
        <v>32</v>
      </c>
      <c r="C1983" t="s">
        <v>21</v>
      </c>
      <c r="D1983" t="s">
        <v>26</v>
      </c>
      <c r="E1983">
        <v>727</v>
      </c>
      <c r="F1983">
        <f t="shared" si="33"/>
        <v>5</v>
      </c>
    </row>
    <row r="1984" spans="1:6">
      <c r="A1984" s="83">
        <v>43344</v>
      </c>
      <c r="B1984" t="s">
        <v>32</v>
      </c>
      <c r="C1984" t="s">
        <v>21</v>
      </c>
      <c r="D1984" t="s">
        <v>22</v>
      </c>
      <c r="E1984">
        <v>1016</v>
      </c>
      <c r="F1984">
        <f t="shared" si="33"/>
        <v>7</v>
      </c>
    </row>
    <row r="1985" spans="1:6">
      <c r="A1985" s="83">
        <v>43344</v>
      </c>
      <c r="B1985" t="s">
        <v>32</v>
      </c>
      <c r="C1985" t="s">
        <v>24</v>
      </c>
      <c r="D1985" t="s">
        <v>26</v>
      </c>
      <c r="E1985">
        <v>44</v>
      </c>
      <c r="F1985">
        <f t="shared" si="33"/>
        <v>5</v>
      </c>
    </row>
    <row r="1986" spans="1:6">
      <c r="A1986" s="83">
        <v>43344</v>
      </c>
      <c r="B1986" t="s">
        <v>32</v>
      </c>
      <c r="C1986" t="s">
        <v>24</v>
      </c>
      <c r="D1986" t="s">
        <v>23</v>
      </c>
      <c r="E1986">
        <v>68</v>
      </c>
      <c r="F1986">
        <f t="shared" si="33"/>
        <v>3</v>
      </c>
    </row>
    <row r="1987" spans="1:6">
      <c r="A1987" s="83">
        <v>43374</v>
      </c>
      <c r="B1987" t="s">
        <v>32</v>
      </c>
      <c r="C1987" t="s">
        <v>21</v>
      </c>
      <c r="D1987" t="s">
        <v>22</v>
      </c>
      <c r="E1987">
        <v>694</v>
      </c>
      <c r="F1987">
        <f t="shared" ref="F1987:F2050" si="34">LEN(D1987)</f>
        <v>7</v>
      </c>
    </row>
    <row r="1988" spans="1:6">
      <c r="A1988" s="83">
        <v>43374</v>
      </c>
      <c r="B1988" t="s">
        <v>32</v>
      </c>
      <c r="C1988" t="s">
        <v>21</v>
      </c>
      <c r="D1988" t="s">
        <v>26</v>
      </c>
      <c r="E1988">
        <v>1051</v>
      </c>
      <c r="F1988">
        <f t="shared" si="34"/>
        <v>5</v>
      </c>
    </row>
    <row r="1989" spans="1:6">
      <c r="A1989" s="83">
        <v>43374</v>
      </c>
      <c r="B1989" t="s">
        <v>32</v>
      </c>
      <c r="C1989" t="s">
        <v>24</v>
      </c>
      <c r="D1989" t="s">
        <v>23</v>
      </c>
      <c r="E1989">
        <v>44</v>
      </c>
      <c r="F1989">
        <f t="shared" si="34"/>
        <v>3</v>
      </c>
    </row>
    <row r="1990" spans="1:6">
      <c r="A1990" s="83">
        <v>43374</v>
      </c>
      <c r="B1990" t="s">
        <v>32</v>
      </c>
      <c r="C1990" t="s">
        <v>24</v>
      </c>
      <c r="D1990" t="s">
        <v>23</v>
      </c>
      <c r="E1990">
        <v>68</v>
      </c>
      <c r="F1990">
        <f t="shared" si="34"/>
        <v>3</v>
      </c>
    </row>
    <row r="1991" spans="1:6">
      <c r="A1991" s="83">
        <v>43405</v>
      </c>
      <c r="B1991" t="s">
        <v>32</v>
      </c>
      <c r="C1991" t="s">
        <v>21</v>
      </c>
      <c r="D1991" t="s">
        <v>22</v>
      </c>
      <c r="E1991">
        <v>642</v>
      </c>
      <c r="F1991">
        <f t="shared" si="34"/>
        <v>7</v>
      </c>
    </row>
    <row r="1992" spans="1:6">
      <c r="A1992" s="83">
        <v>43405</v>
      </c>
      <c r="B1992" t="s">
        <v>32</v>
      </c>
      <c r="C1992" t="s">
        <v>21</v>
      </c>
      <c r="D1992" t="s">
        <v>22</v>
      </c>
      <c r="E1992">
        <v>586</v>
      </c>
      <c r="F1992">
        <f t="shared" si="34"/>
        <v>7</v>
      </c>
    </row>
    <row r="1993" spans="1:6">
      <c r="A1993" s="83">
        <v>43405</v>
      </c>
      <c r="B1993" t="s">
        <v>32</v>
      </c>
      <c r="C1993" t="s">
        <v>24</v>
      </c>
      <c r="D1993" t="s">
        <v>26</v>
      </c>
      <c r="E1993">
        <v>53</v>
      </c>
      <c r="F1993">
        <f t="shared" si="34"/>
        <v>5</v>
      </c>
    </row>
    <row r="1994" spans="1:6">
      <c r="A1994" s="83">
        <v>43405</v>
      </c>
      <c r="B1994" t="s">
        <v>32</v>
      </c>
      <c r="C1994" t="s">
        <v>24</v>
      </c>
      <c r="D1994" t="s">
        <v>26</v>
      </c>
      <c r="E1994">
        <v>90</v>
      </c>
      <c r="F1994">
        <f t="shared" si="34"/>
        <v>5</v>
      </c>
    </row>
    <row r="1995" spans="1:6">
      <c r="A1995" s="83">
        <v>43435</v>
      </c>
      <c r="B1995" t="s">
        <v>32</v>
      </c>
      <c r="C1995" t="s">
        <v>21</v>
      </c>
      <c r="D1995" t="s">
        <v>22</v>
      </c>
      <c r="E1995">
        <v>739</v>
      </c>
      <c r="F1995">
        <f t="shared" si="34"/>
        <v>7</v>
      </c>
    </row>
    <row r="1996" spans="1:6">
      <c r="A1996" s="83">
        <v>43435</v>
      </c>
      <c r="B1996" t="s">
        <v>32</v>
      </c>
      <c r="C1996" t="s">
        <v>21</v>
      </c>
      <c r="D1996" t="s">
        <v>22</v>
      </c>
      <c r="E1996">
        <v>1976</v>
      </c>
      <c r="F1996">
        <f t="shared" si="34"/>
        <v>7</v>
      </c>
    </row>
    <row r="1997" spans="1:6">
      <c r="A1997" s="83">
        <v>43435</v>
      </c>
      <c r="B1997" t="s">
        <v>32</v>
      </c>
      <c r="C1997" t="s">
        <v>24</v>
      </c>
      <c r="D1997" t="s">
        <v>26</v>
      </c>
      <c r="E1997">
        <v>44</v>
      </c>
      <c r="F1997">
        <f t="shared" si="34"/>
        <v>5</v>
      </c>
    </row>
    <row r="1998" spans="1:6">
      <c r="A1998" s="83">
        <v>43435</v>
      </c>
      <c r="B1998" t="s">
        <v>32</v>
      </c>
      <c r="C1998" t="s">
        <v>24</v>
      </c>
      <c r="D1998" t="s">
        <v>22</v>
      </c>
      <c r="E1998">
        <v>79</v>
      </c>
      <c r="F1998">
        <f t="shared" si="34"/>
        <v>7</v>
      </c>
    </row>
    <row r="1999" spans="1:6">
      <c r="A1999" s="83">
        <v>43466</v>
      </c>
      <c r="B1999" t="s">
        <v>32</v>
      </c>
      <c r="C1999" t="s">
        <v>21</v>
      </c>
      <c r="D1999" t="s">
        <v>26</v>
      </c>
      <c r="E1999">
        <v>644</v>
      </c>
      <c r="F1999">
        <f t="shared" si="34"/>
        <v>5</v>
      </c>
    </row>
    <row r="2000" spans="1:6">
      <c r="A2000" s="83">
        <v>43466</v>
      </c>
      <c r="B2000" t="s">
        <v>32</v>
      </c>
      <c r="C2000" t="s">
        <v>21</v>
      </c>
      <c r="D2000" t="s">
        <v>23</v>
      </c>
      <c r="E2000">
        <v>1630</v>
      </c>
      <c r="F2000">
        <f t="shared" si="34"/>
        <v>3</v>
      </c>
    </row>
    <row r="2001" spans="1:6">
      <c r="A2001" s="83">
        <v>43466</v>
      </c>
      <c r="B2001" t="s">
        <v>32</v>
      </c>
      <c r="C2001" t="s">
        <v>24</v>
      </c>
      <c r="D2001" t="s">
        <v>23</v>
      </c>
      <c r="E2001">
        <v>44</v>
      </c>
      <c r="F2001">
        <f t="shared" si="34"/>
        <v>3</v>
      </c>
    </row>
    <row r="2002" spans="1:6">
      <c r="A2002" s="83">
        <v>43466</v>
      </c>
      <c r="B2002" t="s">
        <v>32</v>
      </c>
      <c r="C2002" t="s">
        <v>24</v>
      </c>
      <c r="D2002" t="s">
        <v>23</v>
      </c>
      <c r="E2002">
        <v>79</v>
      </c>
      <c r="F2002">
        <f t="shared" si="34"/>
        <v>3</v>
      </c>
    </row>
    <row r="2003" spans="1:6">
      <c r="A2003" s="83">
        <v>43497</v>
      </c>
      <c r="B2003" t="s">
        <v>32</v>
      </c>
      <c r="C2003" t="s">
        <v>21</v>
      </c>
      <c r="D2003" t="s">
        <v>23</v>
      </c>
      <c r="E2003">
        <v>511</v>
      </c>
      <c r="F2003">
        <f t="shared" si="34"/>
        <v>3</v>
      </c>
    </row>
    <row r="2004" spans="1:6">
      <c r="A2004" s="83">
        <v>43497</v>
      </c>
      <c r="B2004" t="s">
        <v>32</v>
      </c>
      <c r="C2004" t="s">
        <v>21</v>
      </c>
      <c r="D2004" t="s">
        <v>22</v>
      </c>
      <c r="E2004">
        <v>1431</v>
      </c>
      <c r="F2004">
        <f t="shared" si="34"/>
        <v>7</v>
      </c>
    </row>
    <row r="2005" spans="1:6">
      <c r="A2005" s="83">
        <v>43497</v>
      </c>
      <c r="B2005" t="s">
        <v>32</v>
      </c>
      <c r="C2005" t="s">
        <v>24</v>
      </c>
      <c r="D2005" t="s">
        <v>26</v>
      </c>
      <c r="E2005">
        <v>53</v>
      </c>
      <c r="F2005">
        <f t="shared" si="34"/>
        <v>5</v>
      </c>
    </row>
    <row r="2006" spans="1:6">
      <c r="A2006" s="83">
        <v>43497</v>
      </c>
      <c r="B2006" t="s">
        <v>32</v>
      </c>
      <c r="C2006" t="s">
        <v>24</v>
      </c>
      <c r="D2006" t="s">
        <v>22</v>
      </c>
      <c r="E2006">
        <v>79</v>
      </c>
      <c r="F2006">
        <f t="shared" si="34"/>
        <v>7</v>
      </c>
    </row>
    <row r="2007" spans="1:6">
      <c r="A2007" s="83">
        <v>43525</v>
      </c>
      <c r="B2007" t="s">
        <v>32</v>
      </c>
      <c r="C2007" t="s">
        <v>21</v>
      </c>
      <c r="D2007" t="s">
        <v>23</v>
      </c>
      <c r="E2007">
        <v>590</v>
      </c>
      <c r="F2007">
        <f t="shared" si="34"/>
        <v>3</v>
      </c>
    </row>
    <row r="2008" spans="1:6">
      <c r="A2008" s="83">
        <v>43525</v>
      </c>
      <c r="B2008" t="s">
        <v>32</v>
      </c>
      <c r="C2008" t="s">
        <v>21</v>
      </c>
      <c r="D2008" t="s">
        <v>23</v>
      </c>
      <c r="E2008">
        <v>1549</v>
      </c>
      <c r="F2008">
        <f t="shared" si="34"/>
        <v>3</v>
      </c>
    </row>
    <row r="2009" spans="1:6">
      <c r="A2009" s="83">
        <v>43525</v>
      </c>
      <c r="B2009" t="s">
        <v>32</v>
      </c>
      <c r="C2009" t="s">
        <v>24</v>
      </c>
      <c r="D2009" t="s">
        <v>23</v>
      </c>
      <c r="E2009">
        <v>44</v>
      </c>
      <c r="F2009">
        <f t="shared" si="34"/>
        <v>3</v>
      </c>
    </row>
    <row r="2010" spans="1:6">
      <c r="A2010" s="83">
        <v>43525</v>
      </c>
      <c r="B2010" t="s">
        <v>32</v>
      </c>
      <c r="C2010" t="s">
        <v>24</v>
      </c>
      <c r="D2010" t="s">
        <v>26</v>
      </c>
      <c r="E2010">
        <v>56</v>
      </c>
      <c r="F2010">
        <f t="shared" si="34"/>
        <v>5</v>
      </c>
    </row>
    <row r="2011" spans="1:6">
      <c r="A2011" s="83">
        <v>43556</v>
      </c>
      <c r="B2011" t="s">
        <v>32</v>
      </c>
      <c r="C2011" t="s">
        <v>21</v>
      </c>
      <c r="D2011" t="s">
        <v>22</v>
      </c>
      <c r="E2011">
        <v>700</v>
      </c>
      <c r="F2011">
        <f t="shared" si="34"/>
        <v>7</v>
      </c>
    </row>
    <row r="2012" spans="1:6">
      <c r="A2012" s="83">
        <v>43556</v>
      </c>
      <c r="B2012" t="s">
        <v>32</v>
      </c>
      <c r="C2012" t="s">
        <v>21</v>
      </c>
      <c r="D2012" t="s">
        <v>26</v>
      </c>
      <c r="E2012">
        <v>1850</v>
      </c>
      <c r="F2012">
        <f t="shared" si="34"/>
        <v>5</v>
      </c>
    </row>
    <row r="2013" spans="1:6">
      <c r="A2013" s="83">
        <v>43556</v>
      </c>
      <c r="B2013" t="s">
        <v>32</v>
      </c>
      <c r="C2013" t="s">
        <v>24</v>
      </c>
      <c r="D2013" t="s">
        <v>23</v>
      </c>
      <c r="E2013">
        <v>44</v>
      </c>
      <c r="F2013">
        <f t="shared" si="34"/>
        <v>3</v>
      </c>
    </row>
    <row r="2014" spans="1:6">
      <c r="A2014" s="83">
        <v>43556</v>
      </c>
      <c r="B2014" t="s">
        <v>32</v>
      </c>
      <c r="C2014" t="s">
        <v>24</v>
      </c>
      <c r="D2014" t="s">
        <v>26</v>
      </c>
      <c r="E2014">
        <v>68</v>
      </c>
      <c r="F2014">
        <f t="shared" si="34"/>
        <v>5</v>
      </c>
    </row>
    <row r="2015" spans="1:6">
      <c r="A2015" s="83">
        <v>43586</v>
      </c>
      <c r="B2015" t="s">
        <v>32</v>
      </c>
      <c r="C2015" t="s">
        <v>21</v>
      </c>
      <c r="D2015" t="s">
        <v>23</v>
      </c>
      <c r="E2015">
        <v>715</v>
      </c>
      <c r="F2015">
        <f t="shared" si="34"/>
        <v>3</v>
      </c>
    </row>
    <row r="2016" spans="1:6">
      <c r="A2016" s="83">
        <v>43586</v>
      </c>
      <c r="B2016" t="s">
        <v>32</v>
      </c>
      <c r="C2016" t="s">
        <v>21</v>
      </c>
      <c r="D2016" t="s">
        <v>26</v>
      </c>
      <c r="E2016">
        <v>1137</v>
      </c>
      <c r="F2016">
        <f t="shared" si="34"/>
        <v>5</v>
      </c>
    </row>
    <row r="2017" spans="1:6">
      <c r="A2017" s="83">
        <v>43586</v>
      </c>
      <c r="B2017" t="s">
        <v>32</v>
      </c>
      <c r="C2017" t="s">
        <v>24</v>
      </c>
      <c r="D2017" t="s">
        <v>26</v>
      </c>
      <c r="E2017">
        <v>53</v>
      </c>
      <c r="F2017">
        <f t="shared" si="34"/>
        <v>5</v>
      </c>
    </row>
    <row r="2018" spans="1:6">
      <c r="A2018" s="83">
        <v>43586</v>
      </c>
      <c r="B2018" t="s">
        <v>32</v>
      </c>
      <c r="C2018" t="s">
        <v>24</v>
      </c>
      <c r="D2018" t="s">
        <v>22</v>
      </c>
      <c r="E2018">
        <v>68</v>
      </c>
      <c r="F2018">
        <f t="shared" si="34"/>
        <v>7</v>
      </c>
    </row>
    <row r="2019" spans="1:6">
      <c r="A2019" s="83">
        <v>43617</v>
      </c>
      <c r="B2019" t="s">
        <v>32</v>
      </c>
      <c r="C2019" t="s">
        <v>21</v>
      </c>
      <c r="D2019" t="s">
        <v>26</v>
      </c>
      <c r="E2019">
        <v>32</v>
      </c>
      <c r="F2019">
        <f t="shared" si="34"/>
        <v>5</v>
      </c>
    </row>
    <row r="2020" spans="1:6">
      <c r="A2020" s="83">
        <v>43617</v>
      </c>
      <c r="B2020" t="s">
        <v>32</v>
      </c>
      <c r="C2020" t="s">
        <v>21</v>
      </c>
      <c r="D2020" t="s">
        <v>23</v>
      </c>
      <c r="E2020">
        <v>835</v>
      </c>
      <c r="F2020">
        <f t="shared" si="34"/>
        <v>3</v>
      </c>
    </row>
    <row r="2021" spans="1:6">
      <c r="A2021" s="83">
        <v>43617</v>
      </c>
      <c r="B2021" t="s">
        <v>32</v>
      </c>
      <c r="C2021" t="s">
        <v>24</v>
      </c>
      <c r="D2021" t="s">
        <v>26</v>
      </c>
      <c r="E2021">
        <v>44</v>
      </c>
      <c r="F2021">
        <f t="shared" si="34"/>
        <v>5</v>
      </c>
    </row>
    <row r="2022" spans="1:6">
      <c r="A2022" s="83">
        <v>43617</v>
      </c>
      <c r="B2022" t="s">
        <v>32</v>
      </c>
      <c r="C2022" t="s">
        <v>24</v>
      </c>
      <c r="D2022" t="s">
        <v>26</v>
      </c>
      <c r="E2022">
        <v>56</v>
      </c>
      <c r="F2022">
        <f t="shared" si="34"/>
        <v>5</v>
      </c>
    </row>
    <row r="2023" spans="1:6">
      <c r="A2023" s="83">
        <v>43647</v>
      </c>
      <c r="B2023" t="s">
        <v>32</v>
      </c>
      <c r="C2023" t="s">
        <v>21</v>
      </c>
      <c r="D2023" t="s">
        <v>23</v>
      </c>
      <c r="E2023">
        <v>46</v>
      </c>
      <c r="F2023">
        <f t="shared" si="34"/>
        <v>3</v>
      </c>
    </row>
    <row r="2024" spans="1:6">
      <c r="A2024" s="83">
        <v>43647</v>
      </c>
      <c r="B2024" t="s">
        <v>32</v>
      </c>
      <c r="C2024" t="s">
        <v>21</v>
      </c>
      <c r="D2024" t="s">
        <v>23</v>
      </c>
      <c r="E2024">
        <v>590</v>
      </c>
      <c r="F2024">
        <f t="shared" si="34"/>
        <v>3</v>
      </c>
    </row>
    <row r="2025" spans="1:6">
      <c r="A2025" s="83">
        <v>43647</v>
      </c>
      <c r="B2025" t="s">
        <v>32</v>
      </c>
      <c r="C2025" t="s">
        <v>24</v>
      </c>
      <c r="D2025" t="s">
        <v>22</v>
      </c>
      <c r="E2025">
        <v>44</v>
      </c>
      <c r="F2025">
        <f t="shared" si="34"/>
        <v>7</v>
      </c>
    </row>
    <row r="2026" spans="1:6">
      <c r="A2026" s="83">
        <v>43647</v>
      </c>
      <c r="B2026" t="s">
        <v>32</v>
      </c>
      <c r="C2026" t="s">
        <v>24</v>
      </c>
      <c r="D2026" t="s">
        <v>23</v>
      </c>
      <c r="E2026">
        <v>56</v>
      </c>
      <c r="F2026">
        <f t="shared" si="34"/>
        <v>3</v>
      </c>
    </row>
    <row r="2027" spans="1:6">
      <c r="A2027" s="83">
        <v>43678</v>
      </c>
      <c r="B2027" t="s">
        <v>32</v>
      </c>
      <c r="C2027" t="s">
        <v>21</v>
      </c>
      <c r="D2027" t="s">
        <v>22</v>
      </c>
      <c r="E2027">
        <v>105</v>
      </c>
      <c r="F2027">
        <f t="shared" si="34"/>
        <v>7</v>
      </c>
    </row>
    <row r="2028" spans="1:6">
      <c r="A2028" s="83">
        <v>43678</v>
      </c>
      <c r="B2028" t="s">
        <v>32</v>
      </c>
      <c r="C2028" t="s">
        <v>21</v>
      </c>
      <c r="D2028" t="s">
        <v>22</v>
      </c>
      <c r="E2028">
        <v>531</v>
      </c>
      <c r="F2028">
        <f t="shared" si="34"/>
        <v>7</v>
      </c>
    </row>
    <row r="2029" spans="1:6">
      <c r="A2029" s="83">
        <v>43678</v>
      </c>
      <c r="B2029" t="s">
        <v>32</v>
      </c>
      <c r="C2029" t="s">
        <v>24</v>
      </c>
      <c r="D2029" t="s">
        <v>26</v>
      </c>
      <c r="E2029">
        <v>44</v>
      </c>
      <c r="F2029">
        <f t="shared" si="34"/>
        <v>5</v>
      </c>
    </row>
    <row r="2030" spans="1:6">
      <c r="A2030" s="83">
        <v>43678</v>
      </c>
      <c r="B2030" t="s">
        <v>32</v>
      </c>
      <c r="C2030" t="s">
        <v>24</v>
      </c>
      <c r="D2030" t="s">
        <v>23</v>
      </c>
      <c r="E2030">
        <v>68</v>
      </c>
      <c r="F2030">
        <f t="shared" si="34"/>
        <v>3</v>
      </c>
    </row>
    <row r="2031" spans="1:6">
      <c r="A2031" s="83">
        <v>43709</v>
      </c>
      <c r="B2031" t="s">
        <v>32</v>
      </c>
      <c r="C2031" t="s">
        <v>21</v>
      </c>
      <c r="D2031" t="s">
        <v>23</v>
      </c>
      <c r="E2031">
        <v>228</v>
      </c>
      <c r="F2031">
        <f t="shared" si="34"/>
        <v>3</v>
      </c>
    </row>
    <row r="2032" spans="1:6">
      <c r="A2032" s="83">
        <v>43709</v>
      </c>
      <c r="B2032" t="s">
        <v>32</v>
      </c>
      <c r="C2032" t="s">
        <v>21</v>
      </c>
      <c r="D2032" t="s">
        <v>22</v>
      </c>
      <c r="E2032">
        <v>455</v>
      </c>
      <c r="F2032">
        <f t="shared" si="34"/>
        <v>7</v>
      </c>
    </row>
    <row r="2033" spans="1:6">
      <c r="A2033" s="83">
        <v>43709</v>
      </c>
      <c r="B2033" t="s">
        <v>32</v>
      </c>
      <c r="C2033" t="s">
        <v>24</v>
      </c>
      <c r="D2033" t="s">
        <v>23</v>
      </c>
      <c r="E2033">
        <v>44</v>
      </c>
      <c r="F2033">
        <f t="shared" si="34"/>
        <v>3</v>
      </c>
    </row>
    <row r="2034" spans="1:6">
      <c r="A2034" s="83">
        <v>43709</v>
      </c>
      <c r="B2034" t="s">
        <v>32</v>
      </c>
      <c r="C2034" t="s">
        <v>24</v>
      </c>
      <c r="D2034" t="s">
        <v>22</v>
      </c>
      <c r="E2034">
        <v>68</v>
      </c>
      <c r="F2034">
        <f t="shared" si="34"/>
        <v>7</v>
      </c>
    </row>
    <row r="2035" spans="1:6">
      <c r="A2035" s="83">
        <v>43739</v>
      </c>
      <c r="B2035" t="s">
        <v>32</v>
      </c>
      <c r="C2035" t="s">
        <v>21</v>
      </c>
      <c r="D2035" t="s">
        <v>26</v>
      </c>
      <c r="E2035">
        <v>193</v>
      </c>
      <c r="F2035">
        <f t="shared" si="34"/>
        <v>5</v>
      </c>
    </row>
    <row r="2036" spans="1:6">
      <c r="A2036" s="83">
        <v>43739</v>
      </c>
      <c r="B2036" t="s">
        <v>32</v>
      </c>
      <c r="C2036" t="s">
        <v>21</v>
      </c>
      <c r="D2036" t="s">
        <v>22</v>
      </c>
      <c r="E2036">
        <v>36</v>
      </c>
      <c r="F2036">
        <f t="shared" si="34"/>
        <v>7</v>
      </c>
    </row>
    <row r="2037" spans="1:6">
      <c r="A2037" s="83">
        <v>43739</v>
      </c>
      <c r="B2037" t="s">
        <v>32</v>
      </c>
      <c r="C2037" t="s">
        <v>24</v>
      </c>
      <c r="D2037" t="s">
        <v>22</v>
      </c>
      <c r="E2037">
        <v>26</v>
      </c>
      <c r="F2037">
        <f t="shared" si="34"/>
        <v>7</v>
      </c>
    </row>
    <row r="2038" spans="1:6">
      <c r="A2038" s="83">
        <v>43739</v>
      </c>
      <c r="B2038" t="s">
        <v>32</v>
      </c>
      <c r="C2038" t="s">
        <v>24</v>
      </c>
      <c r="D2038" t="s">
        <v>23</v>
      </c>
      <c r="E2038">
        <v>34</v>
      </c>
      <c r="F2038">
        <f t="shared" si="34"/>
        <v>3</v>
      </c>
    </row>
    <row r="2039" spans="1:6">
      <c r="A2039" s="83">
        <v>43770</v>
      </c>
      <c r="B2039" t="s">
        <v>32</v>
      </c>
      <c r="C2039" t="s">
        <v>21</v>
      </c>
      <c r="D2039" t="s">
        <v>26</v>
      </c>
      <c r="E2039">
        <v>319</v>
      </c>
      <c r="F2039">
        <f t="shared" si="34"/>
        <v>5</v>
      </c>
    </row>
    <row r="2040" spans="1:6">
      <c r="A2040" s="83">
        <v>43770</v>
      </c>
      <c r="B2040" t="s">
        <v>32</v>
      </c>
      <c r="C2040" t="s">
        <v>21</v>
      </c>
      <c r="D2040" t="s">
        <v>22</v>
      </c>
      <c r="E2040">
        <v>45</v>
      </c>
      <c r="F2040">
        <f t="shared" si="34"/>
        <v>7</v>
      </c>
    </row>
    <row r="2041" spans="1:6">
      <c r="A2041" s="83">
        <v>43770</v>
      </c>
      <c r="B2041" t="s">
        <v>32</v>
      </c>
      <c r="C2041" t="s">
        <v>24</v>
      </c>
      <c r="D2041" t="s">
        <v>26</v>
      </c>
      <c r="E2041">
        <v>35</v>
      </c>
      <c r="F2041">
        <f t="shared" si="34"/>
        <v>5</v>
      </c>
    </row>
    <row r="2042" spans="1:6">
      <c r="A2042" s="83">
        <v>43770</v>
      </c>
      <c r="B2042" t="s">
        <v>32</v>
      </c>
      <c r="C2042" t="s">
        <v>24</v>
      </c>
      <c r="D2042" t="s">
        <v>22</v>
      </c>
      <c r="E2042">
        <v>56</v>
      </c>
      <c r="F2042">
        <f t="shared" si="34"/>
        <v>7</v>
      </c>
    </row>
    <row r="2043" spans="1:6">
      <c r="A2043" s="83">
        <v>43800</v>
      </c>
      <c r="B2043" t="s">
        <v>32</v>
      </c>
      <c r="C2043" t="s">
        <v>21</v>
      </c>
      <c r="D2043" t="s">
        <v>22</v>
      </c>
      <c r="E2043">
        <v>364</v>
      </c>
      <c r="F2043">
        <f t="shared" si="34"/>
        <v>7</v>
      </c>
    </row>
    <row r="2044" spans="1:6">
      <c r="A2044" s="83">
        <v>43800</v>
      </c>
      <c r="B2044" t="s">
        <v>32</v>
      </c>
      <c r="C2044" t="s">
        <v>21</v>
      </c>
      <c r="D2044" t="s">
        <v>26</v>
      </c>
      <c r="E2044">
        <v>59</v>
      </c>
      <c r="F2044">
        <f t="shared" si="34"/>
        <v>5</v>
      </c>
    </row>
    <row r="2045" spans="1:6">
      <c r="A2045" s="83">
        <v>43800</v>
      </c>
      <c r="B2045" t="s">
        <v>32</v>
      </c>
      <c r="C2045" t="s">
        <v>24</v>
      </c>
      <c r="D2045" t="s">
        <v>23</v>
      </c>
      <c r="E2045">
        <v>26</v>
      </c>
      <c r="F2045">
        <f t="shared" si="34"/>
        <v>3</v>
      </c>
    </row>
    <row r="2046" spans="1:6">
      <c r="A2046" s="83">
        <v>43800</v>
      </c>
      <c r="B2046" t="s">
        <v>32</v>
      </c>
      <c r="C2046" t="s">
        <v>24</v>
      </c>
      <c r="D2046" t="s">
        <v>23</v>
      </c>
      <c r="E2046">
        <v>68</v>
      </c>
      <c r="F2046">
        <f t="shared" si="34"/>
        <v>3</v>
      </c>
    </row>
    <row r="2047" spans="1:6">
      <c r="A2047" s="83">
        <v>42736</v>
      </c>
      <c r="B2047" t="s">
        <v>32</v>
      </c>
      <c r="C2047" t="s">
        <v>21</v>
      </c>
      <c r="D2047" t="s">
        <v>26</v>
      </c>
      <c r="E2047">
        <v>63</v>
      </c>
      <c r="F2047">
        <f t="shared" si="34"/>
        <v>5</v>
      </c>
    </row>
    <row r="2048" spans="1:6">
      <c r="A2048" s="83">
        <v>42736</v>
      </c>
      <c r="B2048" t="s">
        <v>32</v>
      </c>
      <c r="C2048" t="s">
        <v>21</v>
      </c>
      <c r="D2048" t="s">
        <v>26</v>
      </c>
      <c r="E2048">
        <v>113</v>
      </c>
      <c r="F2048">
        <f t="shared" si="34"/>
        <v>5</v>
      </c>
    </row>
    <row r="2049" spans="1:6">
      <c r="A2049" s="83">
        <v>42736</v>
      </c>
      <c r="B2049" t="s">
        <v>32</v>
      </c>
      <c r="C2049" t="s">
        <v>24</v>
      </c>
      <c r="D2049" t="s">
        <v>22</v>
      </c>
      <c r="E2049">
        <v>61</v>
      </c>
      <c r="F2049">
        <f t="shared" si="34"/>
        <v>7</v>
      </c>
    </row>
    <row r="2050" spans="1:6">
      <c r="A2050" s="83">
        <v>42736</v>
      </c>
      <c r="B2050" t="s">
        <v>32</v>
      </c>
      <c r="C2050" t="s">
        <v>24</v>
      </c>
      <c r="D2050" t="s">
        <v>23</v>
      </c>
      <c r="E2050">
        <v>110</v>
      </c>
      <c r="F2050">
        <f t="shared" si="34"/>
        <v>3</v>
      </c>
    </row>
    <row r="2051" spans="1:6">
      <c r="A2051" s="83">
        <v>42736</v>
      </c>
      <c r="B2051" t="s">
        <v>32</v>
      </c>
      <c r="C2051" t="s">
        <v>24</v>
      </c>
      <c r="D2051" t="s">
        <v>26</v>
      </c>
      <c r="E2051">
        <v>68</v>
      </c>
      <c r="F2051">
        <f t="shared" ref="F2051:F2114" si="35">LEN(D2051)</f>
        <v>5</v>
      </c>
    </row>
    <row r="2052" spans="1:6">
      <c r="A2052" s="83">
        <v>42767</v>
      </c>
      <c r="B2052" t="s">
        <v>32</v>
      </c>
      <c r="C2052" t="s">
        <v>21</v>
      </c>
      <c r="D2052" t="s">
        <v>26</v>
      </c>
      <c r="E2052">
        <v>70</v>
      </c>
      <c r="F2052">
        <f t="shared" si="35"/>
        <v>5</v>
      </c>
    </row>
    <row r="2053" spans="1:6">
      <c r="A2053" s="83">
        <v>42767</v>
      </c>
      <c r="B2053" t="s">
        <v>32</v>
      </c>
      <c r="C2053" t="s">
        <v>21</v>
      </c>
      <c r="D2053" t="s">
        <v>23</v>
      </c>
      <c r="E2053">
        <v>99</v>
      </c>
      <c r="F2053">
        <f t="shared" si="35"/>
        <v>3</v>
      </c>
    </row>
    <row r="2054" spans="1:6">
      <c r="A2054" s="83">
        <v>42767</v>
      </c>
      <c r="B2054" t="s">
        <v>32</v>
      </c>
      <c r="C2054" t="s">
        <v>24</v>
      </c>
      <c r="D2054" t="s">
        <v>26</v>
      </c>
      <c r="E2054">
        <v>88</v>
      </c>
      <c r="F2054">
        <f t="shared" si="35"/>
        <v>5</v>
      </c>
    </row>
    <row r="2055" spans="1:6">
      <c r="A2055" s="83">
        <v>42767</v>
      </c>
      <c r="B2055" t="s">
        <v>32</v>
      </c>
      <c r="C2055" t="s">
        <v>24</v>
      </c>
      <c r="D2055" t="s">
        <v>26</v>
      </c>
      <c r="E2055">
        <v>179</v>
      </c>
      <c r="F2055">
        <f t="shared" si="35"/>
        <v>5</v>
      </c>
    </row>
    <row r="2056" spans="1:6">
      <c r="A2056" s="83">
        <v>42767</v>
      </c>
      <c r="B2056" t="s">
        <v>32</v>
      </c>
      <c r="C2056" t="s">
        <v>24</v>
      </c>
      <c r="D2056" t="s">
        <v>23</v>
      </c>
      <c r="E2056">
        <v>90</v>
      </c>
      <c r="F2056">
        <f t="shared" si="35"/>
        <v>3</v>
      </c>
    </row>
    <row r="2057" spans="1:6">
      <c r="A2057" s="83">
        <v>42795</v>
      </c>
      <c r="B2057" t="s">
        <v>32</v>
      </c>
      <c r="C2057" t="s">
        <v>21</v>
      </c>
      <c r="D2057" t="s">
        <v>26</v>
      </c>
      <c r="E2057">
        <v>77</v>
      </c>
      <c r="F2057">
        <f t="shared" si="35"/>
        <v>5</v>
      </c>
    </row>
    <row r="2058" spans="1:6">
      <c r="A2058" s="83">
        <v>42795</v>
      </c>
      <c r="B2058" t="s">
        <v>32</v>
      </c>
      <c r="C2058" t="s">
        <v>21</v>
      </c>
      <c r="D2058" t="s">
        <v>22</v>
      </c>
      <c r="E2058">
        <v>90</v>
      </c>
      <c r="F2058">
        <f t="shared" si="35"/>
        <v>7</v>
      </c>
    </row>
    <row r="2059" spans="1:6">
      <c r="A2059" s="83">
        <v>42795</v>
      </c>
      <c r="B2059" t="s">
        <v>32</v>
      </c>
      <c r="C2059" t="s">
        <v>24</v>
      </c>
      <c r="D2059" t="s">
        <v>23</v>
      </c>
      <c r="E2059">
        <v>210</v>
      </c>
      <c r="F2059">
        <f t="shared" si="35"/>
        <v>3</v>
      </c>
    </row>
    <row r="2060" spans="1:6">
      <c r="A2060" s="83">
        <v>42795</v>
      </c>
      <c r="B2060" t="s">
        <v>32</v>
      </c>
      <c r="C2060" t="s">
        <v>24</v>
      </c>
      <c r="D2060" t="s">
        <v>26</v>
      </c>
      <c r="E2060">
        <v>179</v>
      </c>
      <c r="F2060">
        <f t="shared" si="35"/>
        <v>5</v>
      </c>
    </row>
    <row r="2061" spans="1:6">
      <c r="A2061" s="83">
        <v>42795</v>
      </c>
      <c r="B2061" t="s">
        <v>32</v>
      </c>
      <c r="C2061" t="s">
        <v>24</v>
      </c>
      <c r="D2061" t="s">
        <v>22</v>
      </c>
      <c r="E2061">
        <v>113</v>
      </c>
      <c r="F2061">
        <f t="shared" si="35"/>
        <v>7</v>
      </c>
    </row>
    <row r="2062" spans="1:6">
      <c r="A2062" s="83">
        <v>42826</v>
      </c>
      <c r="B2062" t="s">
        <v>32</v>
      </c>
      <c r="C2062" t="s">
        <v>21</v>
      </c>
      <c r="D2062" t="s">
        <v>26</v>
      </c>
      <c r="E2062">
        <v>70</v>
      </c>
      <c r="F2062">
        <f t="shared" si="35"/>
        <v>5</v>
      </c>
    </row>
    <row r="2063" spans="1:6">
      <c r="A2063" s="83">
        <v>42826</v>
      </c>
      <c r="B2063" t="s">
        <v>32</v>
      </c>
      <c r="C2063" t="s">
        <v>21</v>
      </c>
      <c r="D2063" t="s">
        <v>26</v>
      </c>
      <c r="E2063">
        <v>59</v>
      </c>
      <c r="F2063">
        <f t="shared" si="35"/>
        <v>5</v>
      </c>
    </row>
    <row r="2064" spans="1:6">
      <c r="A2064" s="83">
        <v>42826</v>
      </c>
      <c r="B2064" t="s">
        <v>32</v>
      </c>
      <c r="C2064" t="s">
        <v>24</v>
      </c>
      <c r="D2064" t="s">
        <v>22</v>
      </c>
      <c r="E2064">
        <v>442</v>
      </c>
      <c r="F2064">
        <f t="shared" si="35"/>
        <v>7</v>
      </c>
    </row>
    <row r="2065" spans="1:6">
      <c r="A2065" s="83">
        <v>42826</v>
      </c>
      <c r="B2065" t="s">
        <v>32</v>
      </c>
      <c r="C2065" t="s">
        <v>24</v>
      </c>
      <c r="D2065" t="s">
        <v>23</v>
      </c>
      <c r="E2065">
        <v>193</v>
      </c>
      <c r="F2065">
        <f t="shared" si="35"/>
        <v>3</v>
      </c>
    </row>
    <row r="2066" spans="1:6">
      <c r="A2066" s="83">
        <v>42826</v>
      </c>
      <c r="B2066" t="s">
        <v>32</v>
      </c>
      <c r="C2066" t="s">
        <v>24</v>
      </c>
      <c r="D2066" t="s">
        <v>23</v>
      </c>
      <c r="E2066">
        <v>79</v>
      </c>
      <c r="F2066">
        <f t="shared" si="35"/>
        <v>3</v>
      </c>
    </row>
    <row r="2067" spans="1:6">
      <c r="A2067" s="83">
        <v>42856</v>
      </c>
      <c r="B2067" t="s">
        <v>32</v>
      </c>
      <c r="C2067" t="s">
        <v>21</v>
      </c>
      <c r="D2067" t="s">
        <v>22</v>
      </c>
      <c r="E2067">
        <v>53</v>
      </c>
      <c r="F2067">
        <f t="shared" si="35"/>
        <v>7</v>
      </c>
    </row>
    <row r="2068" spans="1:6">
      <c r="A2068" s="83">
        <v>42856</v>
      </c>
      <c r="B2068" t="s">
        <v>32</v>
      </c>
      <c r="C2068" t="s">
        <v>21</v>
      </c>
      <c r="D2068" t="s">
        <v>26</v>
      </c>
      <c r="E2068">
        <v>81</v>
      </c>
      <c r="F2068">
        <f t="shared" si="35"/>
        <v>5</v>
      </c>
    </row>
    <row r="2069" spans="1:6">
      <c r="A2069" s="83">
        <v>42856</v>
      </c>
      <c r="B2069" t="s">
        <v>32</v>
      </c>
      <c r="C2069" t="s">
        <v>24</v>
      </c>
      <c r="D2069" t="s">
        <v>22</v>
      </c>
      <c r="E2069">
        <v>385</v>
      </c>
      <c r="F2069">
        <f t="shared" si="35"/>
        <v>7</v>
      </c>
    </row>
    <row r="2070" spans="1:6">
      <c r="A2070" s="83">
        <v>42856</v>
      </c>
      <c r="B2070" t="s">
        <v>32</v>
      </c>
      <c r="C2070" t="s">
        <v>24</v>
      </c>
      <c r="D2070" t="s">
        <v>26</v>
      </c>
      <c r="E2070">
        <v>371</v>
      </c>
      <c r="F2070">
        <f t="shared" si="35"/>
        <v>5</v>
      </c>
    </row>
    <row r="2071" spans="1:6">
      <c r="A2071" s="83">
        <v>42856</v>
      </c>
      <c r="B2071" t="s">
        <v>32</v>
      </c>
      <c r="C2071" t="s">
        <v>24</v>
      </c>
      <c r="D2071" t="s">
        <v>23</v>
      </c>
      <c r="E2071">
        <v>90</v>
      </c>
      <c r="F2071">
        <f t="shared" si="35"/>
        <v>3</v>
      </c>
    </row>
    <row r="2072" spans="1:6">
      <c r="A2072" s="83">
        <v>42887</v>
      </c>
      <c r="B2072" t="s">
        <v>32</v>
      </c>
      <c r="C2072" t="s">
        <v>21</v>
      </c>
      <c r="D2072" t="s">
        <v>22</v>
      </c>
      <c r="E2072">
        <v>46</v>
      </c>
      <c r="F2072">
        <f t="shared" si="35"/>
        <v>7</v>
      </c>
    </row>
    <row r="2073" spans="1:6">
      <c r="A2073" s="83">
        <v>42887</v>
      </c>
      <c r="B2073" t="s">
        <v>32</v>
      </c>
      <c r="C2073" t="s">
        <v>21</v>
      </c>
      <c r="D2073" t="s">
        <v>23</v>
      </c>
      <c r="E2073">
        <v>45</v>
      </c>
      <c r="F2073">
        <f t="shared" si="35"/>
        <v>3</v>
      </c>
    </row>
    <row r="2074" spans="1:6">
      <c r="A2074" s="83">
        <v>42887</v>
      </c>
      <c r="B2074" t="s">
        <v>32</v>
      </c>
      <c r="C2074" t="s">
        <v>24</v>
      </c>
      <c r="D2074" t="s">
        <v>26</v>
      </c>
      <c r="E2074">
        <v>620</v>
      </c>
      <c r="F2074">
        <f t="shared" si="35"/>
        <v>5</v>
      </c>
    </row>
    <row r="2075" spans="1:6">
      <c r="A2075" s="83">
        <v>42887</v>
      </c>
      <c r="B2075" t="s">
        <v>32</v>
      </c>
      <c r="C2075" t="s">
        <v>24</v>
      </c>
      <c r="D2075" t="s">
        <v>22</v>
      </c>
      <c r="E2075">
        <v>428</v>
      </c>
      <c r="F2075">
        <f t="shared" si="35"/>
        <v>7</v>
      </c>
    </row>
    <row r="2076" spans="1:6">
      <c r="A2076" s="83">
        <v>42887</v>
      </c>
      <c r="B2076" t="s">
        <v>32</v>
      </c>
      <c r="C2076" t="s">
        <v>24</v>
      </c>
      <c r="D2076" t="s">
        <v>23</v>
      </c>
      <c r="E2076">
        <v>45</v>
      </c>
      <c r="F2076">
        <f t="shared" si="35"/>
        <v>3</v>
      </c>
    </row>
    <row r="2077" spans="1:6">
      <c r="A2077" s="83">
        <v>42917</v>
      </c>
      <c r="B2077" t="s">
        <v>32</v>
      </c>
      <c r="C2077" t="s">
        <v>21</v>
      </c>
      <c r="D2077" t="s">
        <v>23</v>
      </c>
      <c r="E2077">
        <v>53</v>
      </c>
      <c r="F2077">
        <f t="shared" si="35"/>
        <v>3</v>
      </c>
    </row>
    <row r="2078" spans="1:6">
      <c r="A2078" s="83">
        <v>42917</v>
      </c>
      <c r="B2078" t="s">
        <v>32</v>
      </c>
      <c r="C2078" t="s">
        <v>21</v>
      </c>
      <c r="D2078" t="s">
        <v>23</v>
      </c>
      <c r="E2078">
        <v>72</v>
      </c>
      <c r="F2078">
        <f t="shared" si="35"/>
        <v>3</v>
      </c>
    </row>
    <row r="2079" spans="1:6">
      <c r="A2079" s="83">
        <v>42917</v>
      </c>
      <c r="B2079" t="s">
        <v>32</v>
      </c>
      <c r="C2079" t="s">
        <v>21</v>
      </c>
      <c r="D2079" t="s">
        <v>23</v>
      </c>
      <c r="E2079">
        <v>32</v>
      </c>
      <c r="F2079">
        <f t="shared" si="35"/>
        <v>3</v>
      </c>
    </row>
    <row r="2080" spans="1:6">
      <c r="A2080" s="83">
        <v>42917</v>
      </c>
      <c r="B2080" t="s">
        <v>32</v>
      </c>
      <c r="C2080" t="s">
        <v>24</v>
      </c>
      <c r="D2080" t="s">
        <v>23</v>
      </c>
      <c r="E2080">
        <v>705</v>
      </c>
      <c r="F2080">
        <f t="shared" si="35"/>
        <v>3</v>
      </c>
    </row>
    <row r="2081" spans="1:6">
      <c r="A2081" s="83">
        <v>42917</v>
      </c>
      <c r="B2081" t="s">
        <v>32</v>
      </c>
      <c r="C2081" t="s">
        <v>24</v>
      </c>
      <c r="D2081" t="s">
        <v>23</v>
      </c>
      <c r="E2081">
        <v>694</v>
      </c>
      <c r="F2081">
        <f t="shared" si="35"/>
        <v>3</v>
      </c>
    </row>
    <row r="2082" spans="1:6">
      <c r="A2082" s="83">
        <v>42917</v>
      </c>
      <c r="B2082" t="s">
        <v>32</v>
      </c>
      <c r="C2082" t="s">
        <v>24</v>
      </c>
      <c r="D2082" t="s">
        <v>23</v>
      </c>
      <c r="E2082">
        <v>79</v>
      </c>
      <c r="F2082">
        <f t="shared" si="35"/>
        <v>3</v>
      </c>
    </row>
    <row r="2083" spans="1:6">
      <c r="A2083" s="83">
        <v>42948</v>
      </c>
      <c r="B2083" t="s">
        <v>32</v>
      </c>
      <c r="C2083" t="s">
        <v>21</v>
      </c>
      <c r="D2083" t="s">
        <v>26</v>
      </c>
      <c r="E2083">
        <v>53</v>
      </c>
      <c r="F2083">
        <f t="shared" si="35"/>
        <v>5</v>
      </c>
    </row>
    <row r="2084" spans="1:6">
      <c r="A2084" s="83">
        <v>42948</v>
      </c>
      <c r="B2084" t="s">
        <v>32</v>
      </c>
      <c r="C2084" t="s">
        <v>21</v>
      </c>
      <c r="D2084" t="s">
        <v>23</v>
      </c>
      <c r="E2084">
        <v>39</v>
      </c>
      <c r="F2084">
        <f t="shared" si="35"/>
        <v>3</v>
      </c>
    </row>
    <row r="2085" spans="1:6">
      <c r="A2085" s="83">
        <v>42948</v>
      </c>
      <c r="B2085" t="s">
        <v>32</v>
      </c>
      <c r="C2085" t="s">
        <v>21</v>
      </c>
      <c r="D2085" t="s">
        <v>22</v>
      </c>
      <c r="E2085">
        <v>81</v>
      </c>
      <c r="F2085">
        <f t="shared" si="35"/>
        <v>7</v>
      </c>
    </row>
    <row r="2086" spans="1:6">
      <c r="A2086" s="83">
        <v>42948</v>
      </c>
      <c r="B2086" t="s">
        <v>32</v>
      </c>
      <c r="C2086" t="s">
        <v>24</v>
      </c>
      <c r="D2086" t="s">
        <v>23</v>
      </c>
      <c r="E2086">
        <v>939</v>
      </c>
      <c r="F2086">
        <f t="shared" si="35"/>
        <v>3</v>
      </c>
    </row>
    <row r="2087" spans="1:6">
      <c r="A2087" s="83">
        <v>42948</v>
      </c>
      <c r="B2087" t="s">
        <v>32</v>
      </c>
      <c r="C2087" t="s">
        <v>24</v>
      </c>
      <c r="D2087" t="s">
        <v>26</v>
      </c>
      <c r="E2087">
        <v>761</v>
      </c>
      <c r="F2087">
        <f t="shared" si="35"/>
        <v>5</v>
      </c>
    </row>
    <row r="2088" spans="1:6">
      <c r="A2088" s="83">
        <v>42948</v>
      </c>
      <c r="B2088" t="s">
        <v>32</v>
      </c>
      <c r="C2088" t="s">
        <v>24</v>
      </c>
      <c r="D2088" t="s">
        <v>23</v>
      </c>
      <c r="E2088">
        <v>56</v>
      </c>
      <c r="F2088">
        <f t="shared" si="35"/>
        <v>3</v>
      </c>
    </row>
    <row r="2089" spans="1:6">
      <c r="A2089" s="83">
        <v>42979</v>
      </c>
      <c r="B2089" t="s">
        <v>32</v>
      </c>
      <c r="C2089" t="s">
        <v>21</v>
      </c>
      <c r="D2089" t="s">
        <v>26</v>
      </c>
      <c r="E2089">
        <v>63</v>
      </c>
      <c r="F2089">
        <f t="shared" si="35"/>
        <v>5</v>
      </c>
    </row>
    <row r="2090" spans="1:6">
      <c r="A2090" s="83">
        <v>42979</v>
      </c>
      <c r="B2090" t="s">
        <v>32</v>
      </c>
      <c r="C2090" t="s">
        <v>21</v>
      </c>
      <c r="D2090" t="s">
        <v>26</v>
      </c>
      <c r="E2090">
        <v>66</v>
      </c>
      <c r="F2090">
        <f t="shared" si="35"/>
        <v>5</v>
      </c>
    </row>
    <row r="2091" spans="1:6">
      <c r="A2091" s="83">
        <v>42979</v>
      </c>
      <c r="B2091" t="s">
        <v>32</v>
      </c>
      <c r="C2091" t="s">
        <v>21</v>
      </c>
      <c r="D2091" t="s">
        <v>23</v>
      </c>
      <c r="E2091">
        <v>99</v>
      </c>
      <c r="F2091">
        <f t="shared" si="35"/>
        <v>3</v>
      </c>
    </row>
    <row r="2092" spans="1:6">
      <c r="A2092" s="83">
        <v>42979</v>
      </c>
      <c r="B2092" t="s">
        <v>32</v>
      </c>
      <c r="C2092" t="s">
        <v>24</v>
      </c>
      <c r="D2092" t="s">
        <v>23</v>
      </c>
      <c r="E2092">
        <v>544</v>
      </c>
      <c r="F2092">
        <f t="shared" si="35"/>
        <v>3</v>
      </c>
    </row>
    <row r="2093" spans="1:6">
      <c r="A2093" s="83">
        <v>42979</v>
      </c>
      <c r="B2093" t="s">
        <v>32</v>
      </c>
      <c r="C2093" t="s">
        <v>24</v>
      </c>
      <c r="D2093" t="s">
        <v>26</v>
      </c>
      <c r="E2093">
        <v>804</v>
      </c>
      <c r="F2093">
        <f t="shared" si="35"/>
        <v>5</v>
      </c>
    </row>
    <row r="2094" spans="1:6">
      <c r="A2094" s="83">
        <v>42979</v>
      </c>
      <c r="B2094" t="s">
        <v>32</v>
      </c>
      <c r="C2094" t="s">
        <v>24</v>
      </c>
      <c r="D2094" t="s">
        <v>23</v>
      </c>
      <c r="E2094">
        <v>34</v>
      </c>
      <c r="F2094">
        <f t="shared" si="35"/>
        <v>3</v>
      </c>
    </row>
    <row r="2095" spans="1:6">
      <c r="A2095" s="83">
        <v>43009</v>
      </c>
      <c r="B2095" t="s">
        <v>32</v>
      </c>
      <c r="C2095" t="s">
        <v>21</v>
      </c>
      <c r="D2095" t="s">
        <v>26</v>
      </c>
      <c r="E2095">
        <v>53</v>
      </c>
      <c r="F2095">
        <f t="shared" si="35"/>
        <v>5</v>
      </c>
    </row>
    <row r="2096" spans="1:6">
      <c r="A2096" s="83">
        <v>43009</v>
      </c>
      <c r="B2096" t="s">
        <v>32</v>
      </c>
      <c r="C2096" t="s">
        <v>21</v>
      </c>
      <c r="D2096" t="s">
        <v>22</v>
      </c>
      <c r="E2096">
        <v>44</v>
      </c>
      <c r="F2096">
        <f t="shared" si="35"/>
        <v>7</v>
      </c>
    </row>
    <row r="2097" spans="1:6">
      <c r="A2097" s="83">
        <v>43009</v>
      </c>
      <c r="B2097" t="s">
        <v>32</v>
      </c>
      <c r="C2097" t="s">
        <v>21</v>
      </c>
      <c r="D2097" t="s">
        <v>22</v>
      </c>
      <c r="E2097">
        <v>81</v>
      </c>
      <c r="F2097">
        <f t="shared" si="35"/>
        <v>7</v>
      </c>
    </row>
    <row r="2098" spans="1:6">
      <c r="A2098" s="83">
        <v>43009</v>
      </c>
      <c r="B2098" t="s">
        <v>32</v>
      </c>
      <c r="C2098" t="s">
        <v>24</v>
      </c>
      <c r="D2098" t="s">
        <v>23</v>
      </c>
      <c r="E2098">
        <v>228</v>
      </c>
      <c r="F2098">
        <f t="shared" si="35"/>
        <v>3</v>
      </c>
    </row>
    <row r="2099" spans="1:6">
      <c r="A2099" s="83">
        <v>43009</v>
      </c>
      <c r="B2099" t="s">
        <v>32</v>
      </c>
      <c r="C2099" t="s">
        <v>24</v>
      </c>
      <c r="D2099" t="s">
        <v>26</v>
      </c>
      <c r="E2099">
        <v>1215</v>
      </c>
      <c r="F2099">
        <f t="shared" si="35"/>
        <v>5</v>
      </c>
    </row>
    <row r="2100" spans="1:6">
      <c r="A2100" s="83">
        <v>43009</v>
      </c>
      <c r="B2100" t="s">
        <v>32</v>
      </c>
      <c r="C2100" t="s">
        <v>24</v>
      </c>
      <c r="D2100" t="s">
        <v>26</v>
      </c>
      <c r="E2100">
        <v>34</v>
      </c>
      <c r="F2100">
        <f t="shared" si="35"/>
        <v>5</v>
      </c>
    </row>
    <row r="2101" spans="1:6">
      <c r="A2101" s="83">
        <v>43040</v>
      </c>
      <c r="B2101" t="s">
        <v>32</v>
      </c>
      <c r="C2101" t="s">
        <v>21</v>
      </c>
      <c r="D2101" t="s">
        <v>23</v>
      </c>
      <c r="E2101">
        <v>60</v>
      </c>
      <c r="F2101">
        <f t="shared" si="35"/>
        <v>3</v>
      </c>
    </row>
    <row r="2102" spans="1:6">
      <c r="A2102" s="83">
        <v>43040</v>
      </c>
      <c r="B2102" t="s">
        <v>32</v>
      </c>
      <c r="C2102" t="s">
        <v>21</v>
      </c>
      <c r="D2102" t="s">
        <v>26</v>
      </c>
      <c r="E2102">
        <v>28</v>
      </c>
      <c r="F2102">
        <f t="shared" si="35"/>
        <v>5</v>
      </c>
    </row>
    <row r="2103" spans="1:6">
      <c r="A2103" s="83">
        <v>43040</v>
      </c>
      <c r="B2103" t="s">
        <v>32</v>
      </c>
      <c r="C2103" t="s">
        <v>21</v>
      </c>
      <c r="D2103" t="s">
        <v>22</v>
      </c>
      <c r="E2103">
        <v>90</v>
      </c>
      <c r="F2103">
        <f t="shared" si="35"/>
        <v>7</v>
      </c>
    </row>
    <row r="2104" spans="1:6">
      <c r="A2104" s="83">
        <v>43040</v>
      </c>
      <c r="B2104" t="s">
        <v>32</v>
      </c>
      <c r="C2104" t="s">
        <v>24</v>
      </c>
      <c r="D2104" t="s">
        <v>23</v>
      </c>
      <c r="E2104">
        <v>570</v>
      </c>
      <c r="F2104">
        <f t="shared" si="35"/>
        <v>3</v>
      </c>
    </row>
    <row r="2105" spans="1:6">
      <c r="A2105" s="83">
        <v>43040</v>
      </c>
      <c r="B2105" t="s">
        <v>32</v>
      </c>
      <c r="C2105" t="s">
        <v>24</v>
      </c>
      <c r="D2105" t="s">
        <v>26</v>
      </c>
      <c r="E2105">
        <v>801</v>
      </c>
      <c r="F2105">
        <f t="shared" si="35"/>
        <v>5</v>
      </c>
    </row>
    <row r="2106" spans="1:6">
      <c r="A2106" s="83">
        <v>43040</v>
      </c>
      <c r="B2106" t="s">
        <v>32</v>
      </c>
      <c r="C2106" t="s">
        <v>24</v>
      </c>
      <c r="D2106" t="s">
        <v>26</v>
      </c>
      <c r="E2106">
        <v>56</v>
      </c>
      <c r="F2106">
        <f t="shared" si="35"/>
        <v>5</v>
      </c>
    </row>
    <row r="2107" spans="1:6">
      <c r="A2107" s="83">
        <v>43070</v>
      </c>
      <c r="B2107" t="s">
        <v>32</v>
      </c>
      <c r="C2107" t="s">
        <v>21</v>
      </c>
      <c r="D2107" t="s">
        <v>26</v>
      </c>
      <c r="E2107">
        <v>77</v>
      </c>
      <c r="F2107">
        <f t="shared" si="35"/>
        <v>5</v>
      </c>
    </row>
    <row r="2108" spans="1:6">
      <c r="A2108" s="83">
        <v>43070</v>
      </c>
      <c r="B2108" t="s">
        <v>32</v>
      </c>
      <c r="C2108" t="s">
        <v>21</v>
      </c>
      <c r="D2108" t="s">
        <v>22</v>
      </c>
      <c r="E2108">
        <v>28</v>
      </c>
      <c r="F2108">
        <f t="shared" si="35"/>
        <v>7</v>
      </c>
    </row>
    <row r="2109" spans="1:6">
      <c r="A2109" s="83">
        <v>43070</v>
      </c>
      <c r="B2109" t="s">
        <v>32</v>
      </c>
      <c r="C2109" t="s">
        <v>21</v>
      </c>
      <c r="D2109" t="s">
        <v>23</v>
      </c>
      <c r="E2109">
        <v>99</v>
      </c>
      <c r="F2109">
        <f t="shared" si="35"/>
        <v>3</v>
      </c>
    </row>
    <row r="2110" spans="1:6">
      <c r="A2110" s="83">
        <v>43070</v>
      </c>
      <c r="B2110" t="s">
        <v>32</v>
      </c>
      <c r="C2110" t="s">
        <v>24</v>
      </c>
      <c r="D2110" t="s">
        <v>23</v>
      </c>
      <c r="E2110">
        <v>1049</v>
      </c>
      <c r="F2110">
        <f t="shared" si="35"/>
        <v>3</v>
      </c>
    </row>
    <row r="2111" spans="1:6">
      <c r="A2111" s="83">
        <v>43070</v>
      </c>
      <c r="B2111" t="s">
        <v>32</v>
      </c>
      <c r="C2111" t="s">
        <v>24</v>
      </c>
      <c r="D2111" t="s">
        <v>22</v>
      </c>
      <c r="E2111">
        <v>1115</v>
      </c>
      <c r="F2111">
        <f t="shared" si="35"/>
        <v>7</v>
      </c>
    </row>
    <row r="2112" spans="1:6">
      <c r="A2112" s="83">
        <v>43070</v>
      </c>
      <c r="B2112" t="s">
        <v>32</v>
      </c>
      <c r="C2112" t="s">
        <v>24</v>
      </c>
      <c r="D2112" t="s">
        <v>26</v>
      </c>
      <c r="E2112">
        <v>68</v>
      </c>
      <c r="F2112">
        <f t="shared" si="35"/>
        <v>5</v>
      </c>
    </row>
    <row r="2113" spans="1:6">
      <c r="A2113" s="83">
        <v>43101</v>
      </c>
      <c r="B2113" t="s">
        <v>32</v>
      </c>
      <c r="C2113" t="s">
        <v>21</v>
      </c>
      <c r="D2113" t="s">
        <v>23</v>
      </c>
      <c r="E2113">
        <v>60</v>
      </c>
      <c r="F2113">
        <f t="shared" si="35"/>
        <v>3</v>
      </c>
    </row>
    <row r="2114" spans="1:6">
      <c r="A2114" s="83">
        <v>43101</v>
      </c>
      <c r="B2114" t="s">
        <v>32</v>
      </c>
      <c r="C2114" t="s">
        <v>21</v>
      </c>
      <c r="D2114" t="s">
        <v>26</v>
      </c>
      <c r="E2114">
        <v>44</v>
      </c>
      <c r="F2114">
        <f t="shared" si="35"/>
        <v>5</v>
      </c>
    </row>
    <row r="2115" spans="1:6">
      <c r="A2115" s="83">
        <v>43101</v>
      </c>
      <c r="B2115" t="s">
        <v>32</v>
      </c>
      <c r="C2115" t="s">
        <v>21</v>
      </c>
      <c r="D2115" t="s">
        <v>26</v>
      </c>
      <c r="E2115">
        <v>99</v>
      </c>
      <c r="F2115">
        <f t="shared" ref="F2115:F2178" si="36">LEN(D2115)</f>
        <v>5</v>
      </c>
    </row>
    <row r="2116" spans="1:6">
      <c r="A2116" s="83">
        <v>43101</v>
      </c>
      <c r="B2116" t="s">
        <v>32</v>
      </c>
      <c r="C2116" t="s">
        <v>24</v>
      </c>
      <c r="D2116" t="s">
        <v>23</v>
      </c>
      <c r="E2116">
        <v>416</v>
      </c>
      <c r="F2116">
        <f t="shared" si="36"/>
        <v>3</v>
      </c>
    </row>
    <row r="2117" spans="1:6">
      <c r="A2117" s="83">
        <v>43101</v>
      </c>
      <c r="B2117" t="s">
        <v>32</v>
      </c>
      <c r="C2117" t="s">
        <v>24</v>
      </c>
      <c r="D2117" t="s">
        <v>26</v>
      </c>
      <c r="E2117">
        <v>1204</v>
      </c>
      <c r="F2117">
        <f t="shared" si="36"/>
        <v>5</v>
      </c>
    </row>
    <row r="2118" spans="1:6">
      <c r="A2118" s="83">
        <v>43101</v>
      </c>
      <c r="B2118" t="s">
        <v>32</v>
      </c>
      <c r="C2118" t="s">
        <v>24</v>
      </c>
      <c r="D2118" t="s">
        <v>23</v>
      </c>
      <c r="E2118">
        <v>68</v>
      </c>
      <c r="F2118">
        <f t="shared" si="36"/>
        <v>3</v>
      </c>
    </row>
    <row r="2119" spans="1:6">
      <c r="A2119" s="83">
        <v>43132</v>
      </c>
      <c r="B2119" t="s">
        <v>32</v>
      </c>
      <c r="C2119" t="s">
        <v>21</v>
      </c>
      <c r="D2119" t="s">
        <v>23</v>
      </c>
      <c r="E2119">
        <v>63</v>
      </c>
      <c r="F2119">
        <f t="shared" si="36"/>
        <v>3</v>
      </c>
    </row>
    <row r="2120" spans="1:6">
      <c r="A2120" s="83">
        <v>43132</v>
      </c>
      <c r="B2120" t="s">
        <v>32</v>
      </c>
      <c r="C2120" t="s">
        <v>21</v>
      </c>
      <c r="D2120" t="s">
        <v>23</v>
      </c>
      <c r="E2120">
        <v>55</v>
      </c>
      <c r="F2120">
        <f t="shared" si="36"/>
        <v>3</v>
      </c>
    </row>
    <row r="2121" spans="1:6">
      <c r="A2121" s="83">
        <v>43132</v>
      </c>
      <c r="B2121" t="s">
        <v>32</v>
      </c>
      <c r="C2121" t="s">
        <v>21</v>
      </c>
      <c r="D2121" t="s">
        <v>23</v>
      </c>
      <c r="E2121">
        <v>104</v>
      </c>
      <c r="F2121">
        <f t="shared" si="36"/>
        <v>3</v>
      </c>
    </row>
    <row r="2122" spans="1:6">
      <c r="A2122" s="83">
        <v>43132</v>
      </c>
      <c r="B2122" t="s">
        <v>32</v>
      </c>
      <c r="C2122" t="s">
        <v>24</v>
      </c>
      <c r="D2122" t="s">
        <v>22</v>
      </c>
      <c r="E2122">
        <v>1359</v>
      </c>
      <c r="F2122">
        <f t="shared" si="36"/>
        <v>7</v>
      </c>
    </row>
    <row r="2123" spans="1:6">
      <c r="A2123" s="83">
        <v>43132</v>
      </c>
      <c r="B2123" t="s">
        <v>32</v>
      </c>
      <c r="C2123" t="s">
        <v>24</v>
      </c>
      <c r="D2123" t="s">
        <v>26</v>
      </c>
      <c r="E2123">
        <v>1387</v>
      </c>
      <c r="F2123">
        <f t="shared" si="36"/>
        <v>5</v>
      </c>
    </row>
    <row r="2124" spans="1:6">
      <c r="A2124" s="83">
        <v>43132</v>
      </c>
      <c r="B2124" t="s">
        <v>32</v>
      </c>
      <c r="C2124" t="s">
        <v>24</v>
      </c>
      <c r="D2124" t="s">
        <v>23</v>
      </c>
      <c r="E2124">
        <v>79</v>
      </c>
      <c r="F2124">
        <f t="shared" si="36"/>
        <v>3</v>
      </c>
    </row>
    <row r="2125" spans="1:6">
      <c r="A2125" s="83">
        <v>43160</v>
      </c>
      <c r="B2125" t="s">
        <v>32</v>
      </c>
      <c r="C2125" t="s">
        <v>21</v>
      </c>
      <c r="D2125" t="s">
        <v>23</v>
      </c>
      <c r="E2125">
        <v>53</v>
      </c>
      <c r="F2125">
        <f t="shared" si="36"/>
        <v>3</v>
      </c>
    </row>
    <row r="2126" spans="1:6">
      <c r="A2126" s="83">
        <v>43160</v>
      </c>
      <c r="B2126" t="s">
        <v>32</v>
      </c>
      <c r="C2126" t="s">
        <v>21</v>
      </c>
      <c r="D2126" t="s">
        <v>23</v>
      </c>
      <c r="E2126">
        <v>55</v>
      </c>
      <c r="F2126">
        <f t="shared" si="36"/>
        <v>3</v>
      </c>
    </row>
    <row r="2127" spans="1:6">
      <c r="A2127" s="83">
        <v>43160</v>
      </c>
      <c r="B2127" t="s">
        <v>32</v>
      </c>
      <c r="C2127" t="s">
        <v>21</v>
      </c>
      <c r="D2127" t="s">
        <v>23</v>
      </c>
      <c r="E2127">
        <v>113</v>
      </c>
      <c r="F2127">
        <f t="shared" si="36"/>
        <v>3</v>
      </c>
    </row>
    <row r="2128" spans="1:6">
      <c r="A2128" s="83">
        <v>43160</v>
      </c>
      <c r="B2128" t="s">
        <v>32</v>
      </c>
      <c r="C2128" t="s">
        <v>24</v>
      </c>
      <c r="D2128" t="s">
        <v>22</v>
      </c>
      <c r="E2128">
        <v>2066</v>
      </c>
      <c r="F2128">
        <f t="shared" si="36"/>
        <v>7</v>
      </c>
    </row>
    <row r="2129" spans="1:6">
      <c r="A2129" s="83">
        <v>43160</v>
      </c>
      <c r="B2129" t="s">
        <v>32</v>
      </c>
      <c r="C2129" t="s">
        <v>24</v>
      </c>
      <c r="D2129" t="s">
        <v>26</v>
      </c>
      <c r="E2129">
        <v>1400</v>
      </c>
      <c r="F2129">
        <f t="shared" si="36"/>
        <v>5</v>
      </c>
    </row>
    <row r="2130" spans="1:6">
      <c r="A2130" s="83">
        <v>43160</v>
      </c>
      <c r="B2130" t="s">
        <v>32</v>
      </c>
      <c r="C2130" t="s">
        <v>24</v>
      </c>
      <c r="D2130" t="s">
        <v>26</v>
      </c>
      <c r="E2130">
        <v>90</v>
      </c>
      <c r="F2130">
        <f t="shared" si="36"/>
        <v>5</v>
      </c>
    </row>
    <row r="2131" spans="1:6">
      <c r="A2131" s="83">
        <v>43191</v>
      </c>
      <c r="B2131" t="s">
        <v>32</v>
      </c>
      <c r="C2131" t="s">
        <v>21</v>
      </c>
      <c r="D2131" t="s">
        <v>22</v>
      </c>
      <c r="E2131">
        <v>46</v>
      </c>
      <c r="F2131">
        <f t="shared" si="36"/>
        <v>7</v>
      </c>
    </row>
    <row r="2132" spans="1:6">
      <c r="A2132" s="83">
        <v>43191</v>
      </c>
      <c r="B2132" t="s">
        <v>32</v>
      </c>
      <c r="C2132" t="s">
        <v>21</v>
      </c>
      <c r="D2132" t="s">
        <v>22</v>
      </c>
      <c r="E2132">
        <v>66</v>
      </c>
      <c r="F2132">
        <f t="shared" si="36"/>
        <v>7</v>
      </c>
    </row>
    <row r="2133" spans="1:6">
      <c r="A2133" s="83">
        <v>43191</v>
      </c>
      <c r="B2133" t="s">
        <v>32</v>
      </c>
      <c r="C2133" t="s">
        <v>21</v>
      </c>
      <c r="D2133" t="s">
        <v>23</v>
      </c>
      <c r="E2133">
        <v>126</v>
      </c>
      <c r="F2133">
        <f t="shared" si="36"/>
        <v>3</v>
      </c>
    </row>
    <row r="2134" spans="1:6">
      <c r="A2134" s="83">
        <v>43191</v>
      </c>
      <c r="B2134" t="s">
        <v>32</v>
      </c>
      <c r="C2134" t="s">
        <v>24</v>
      </c>
      <c r="D2134" t="s">
        <v>22</v>
      </c>
      <c r="E2134">
        <v>1916</v>
      </c>
      <c r="F2134">
        <f t="shared" si="36"/>
        <v>7</v>
      </c>
    </row>
    <row r="2135" spans="1:6">
      <c r="A2135" s="83">
        <v>43191</v>
      </c>
      <c r="B2135" t="s">
        <v>32</v>
      </c>
      <c r="C2135" t="s">
        <v>24</v>
      </c>
      <c r="D2135" t="s">
        <v>26</v>
      </c>
      <c r="E2135">
        <v>1519</v>
      </c>
      <c r="F2135">
        <f t="shared" si="36"/>
        <v>5</v>
      </c>
    </row>
    <row r="2136" spans="1:6">
      <c r="A2136" s="83">
        <v>43191</v>
      </c>
      <c r="B2136" t="s">
        <v>32</v>
      </c>
      <c r="C2136" t="s">
        <v>24</v>
      </c>
      <c r="D2136" t="s">
        <v>26</v>
      </c>
      <c r="E2136">
        <v>113</v>
      </c>
      <c r="F2136">
        <f t="shared" si="36"/>
        <v>5</v>
      </c>
    </row>
    <row r="2137" spans="1:6">
      <c r="A2137" s="83">
        <v>43221</v>
      </c>
      <c r="B2137" t="s">
        <v>32</v>
      </c>
      <c r="C2137" t="s">
        <v>21</v>
      </c>
      <c r="D2137" t="s">
        <v>23</v>
      </c>
      <c r="E2137">
        <v>46</v>
      </c>
      <c r="F2137">
        <f t="shared" si="36"/>
        <v>3</v>
      </c>
    </row>
    <row r="2138" spans="1:6">
      <c r="A2138" s="83">
        <v>43221</v>
      </c>
      <c r="B2138" t="s">
        <v>32</v>
      </c>
      <c r="C2138" t="s">
        <v>21</v>
      </c>
      <c r="D2138" t="s">
        <v>22</v>
      </c>
      <c r="E2138">
        <v>72</v>
      </c>
      <c r="F2138">
        <f t="shared" si="36"/>
        <v>7</v>
      </c>
    </row>
    <row r="2139" spans="1:6">
      <c r="A2139" s="83">
        <v>43221</v>
      </c>
      <c r="B2139" t="s">
        <v>32</v>
      </c>
      <c r="C2139" t="s">
        <v>21</v>
      </c>
      <c r="D2139" t="s">
        <v>23</v>
      </c>
      <c r="E2139">
        <v>113</v>
      </c>
      <c r="F2139">
        <f t="shared" si="36"/>
        <v>3</v>
      </c>
    </row>
    <row r="2140" spans="1:6">
      <c r="A2140" s="83">
        <v>43221</v>
      </c>
      <c r="B2140" t="s">
        <v>32</v>
      </c>
      <c r="C2140" t="s">
        <v>24</v>
      </c>
      <c r="D2140" t="s">
        <v>23</v>
      </c>
      <c r="E2140">
        <v>1672</v>
      </c>
      <c r="F2140">
        <f t="shared" si="36"/>
        <v>3</v>
      </c>
    </row>
    <row r="2141" spans="1:6">
      <c r="A2141" s="83">
        <v>43221</v>
      </c>
      <c r="B2141" t="s">
        <v>32</v>
      </c>
      <c r="C2141" t="s">
        <v>24</v>
      </c>
      <c r="D2141" t="s">
        <v>22</v>
      </c>
      <c r="E2141">
        <v>1424</v>
      </c>
      <c r="F2141">
        <f t="shared" si="36"/>
        <v>7</v>
      </c>
    </row>
    <row r="2142" spans="1:6">
      <c r="A2142" s="83">
        <v>43221</v>
      </c>
      <c r="B2142" t="s">
        <v>32</v>
      </c>
      <c r="C2142" t="s">
        <v>24</v>
      </c>
      <c r="D2142" t="s">
        <v>26</v>
      </c>
      <c r="E2142">
        <v>90</v>
      </c>
      <c r="F2142">
        <f t="shared" si="36"/>
        <v>5</v>
      </c>
    </row>
    <row r="2143" spans="1:6">
      <c r="A2143" s="83">
        <v>43252</v>
      </c>
      <c r="B2143" t="s">
        <v>32</v>
      </c>
      <c r="C2143" t="s">
        <v>21</v>
      </c>
      <c r="D2143" t="s">
        <v>23</v>
      </c>
      <c r="E2143">
        <v>53</v>
      </c>
      <c r="F2143">
        <f t="shared" si="36"/>
        <v>3</v>
      </c>
    </row>
    <row r="2144" spans="1:6">
      <c r="A2144" s="83">
        <v>43252</v>
      </c>
      <c r="B2144" t="s">
        <v>32</v>
      </c>
      <c r="C2144" t="s">
        <v>21</v>
      </c>
      <c r="D2144" t="s">
        <v>23</v>
      </c>
      <c r="E2144">
        <v>94</v>
      </c>
      <c r="F2144">
        <f t="shared" si="36"/>
        <v>3</v>
      </c>
    </row>
    <row r="2145" spans="1:6">
      <c r="A2145" s="83">
        <v>43252</v>
      </c>
      <c r="B2145" t="s">
        <v>32</v>
      </c>
      <c r="C2145" t="s">
        <v>21</v>
      </c>
      <c r="D2145" t="s">
        <v>22</v>
      </c>
      <c r="E2145">
        <v>104</v>
      </c>
      <c r="F2145">
        <f t="shared" si="36"/>
        <v>7</v>
      </c>
    </row>
    <row r="2146" spans="1:6">
      <c r="A2146" s="83">
        <v>43252</v>
      </c>
      <c r="B2146" t="s">
        <v>32</v>
      </c>
      <c r="C2146" t="s">
        <v>24</v>
      </c>
      <c r="D2146" t="s">
        <v>26</v>
      </c>
      <c r="E2146">
        <v>2443</v>
      </c>
      <c r="F2146">
        <f t="shared" si="36"/>
        <v>5</v>
      </c>
    </row>
    <row r="2147" spans="1:6">
      <c r="A2147" s="83">
        <v>43252</v>
      </c>
      <c r="B2147" t="s">
        <v>32</v>
      </c>
      <c r="C2147" t="s">
        <v>24</v>
      </c>
      <c r="D2147" t="s">
        <v>23</v>
      </c>
      <c r="E2147">
        <v>1554</v>
      </c>
      <c r="F2147">
        <f t="shared" si="36"/>
        <v>3</v>
      </c>
    </row>
    <row r="2148" spans="1:6">
      <c r="A2148" s="83">
        <v>43252</v>
      </c>
      <c r="B2148" t="s">
        <v>32</v>
      </c>
      <c r="C2148" t="s">
        <v>24</v>
      </c>
      <c r="D2148" t="s">
        <v>23</v>
      </c>
      <c r="E2148">
        <v>79</v>
      </c>
      <c r="F2148">
        <f t="shared" si="36"/>
        <v>3</v>
      </c>
    </row>
    <row r="2149" spans="1:6">
      <c r="A2149" s="83">
        <v>43282</v>
      </c>
      <c r="B2149" t="s">
        <v>32</v>
      </c>
      <c r="C2149" t="s">
        <v>21</v>
      </c>
      <c r="D2149" t="s">
        <v>22</v>
      </c>
      <c r="E2149">
        <v>60</v>
      </c>
      <c r="F2149">
        <f t="shared" si="36"/>
        <v>7</v>
      </c>
    </row>
    <row r="2150" spans="1:6">
      <c r="A2150" s="83">
        <v>43282</v>
      </c>
      <c r="B2150" t="s">
        <v>32</v>
      </c>
      <c r="C2150" t="s">
        <v>21</v>
      </c>
      <c r="D2150" t="s">
        <v>26</v>
      </c>
      <c r="E2150">
        <v>72</v>
      </c>
      <c r="F2150">
        <f t="shared" si="36"/>
        <v>5</v>
      </c>
    </row>
    <row r="2151" spans="1:6">
      <c r="A2151" s="83">
        <v>43282</v>
      </c>
      <c r="B2151" t="s">
        <v>32</v>
      </c>
      <c r="C2151" t="s">
        <v>21</v>
      </c>
      <c r="D2151" t="s">
        <v>23</v>
      </c>
      <c r="E2151">
        <v>99</v>
      </c>
      <c r="F2151">
        <f t="shared" si="36"/>
        <v>3</v>
      </c>
    </row>
    <row r="2152" spans="1:6">
      <c r="A2152" s="83">
        <v>43282</v>
      </c>
      <c r="B2152" t="s">
        <v>32</v>
      </c>
      <c r="C2152" t="s">
        <v>24</v>
      </c>
      <c r="D2152" t="s">
        <v>26</v>
      </c>
      <c r="E2152">
        <v>1483</v>
      </c>
      <c r="F2152">
        <f t="shared" si="36"/>
        <v>5</v>
      </c>
    </row>
    <row r="2153" spans="1:6">
      <c r="A2153" s="83">
        <v>43282</v>
      </c>
      <c r="B2153" t="s">
        <v>32</v>
      </c>
      <c r="C2153" t="s">
        <v>24</v>
      </c>
      <c r="D2153" t="s">
        <v>26</v>
      </c>
      <c r="E2153">
        <v>1567</v>
      </c>
      <c r="F2153">
        <f t="shared" si="36"/>
        <v>5</v>
      </c>
    </row>
    <row r="2154" spans="1:6">
      <c r="A2154" s="83">
        <v>43282</v>
      </c>
      <c r="B2154" t="s">
        <v>32</v>
      </c>
      <c r="C2154" t="s">
        <v>24</v>
      </c>
      <c r="D2154" t="s">
        <v>26</v>
      </c>
      <c r="E2154">
        <v>56</v>
      </c>
      <c r="F2154">
        <f t="shared" si="36"/>
        <v>5</v>
      </c>
    </row>
    <row r="2155" spans="1:6">
      <c r="A2155" s="83">
        <v>43313</v>
      </c>
      <c r="B2155" t="s">
        <v>32</v>
      </c>
      <c r="C2155" t="s">
        <v>21</v>
      </c>
      <c r="D2155" t="s">
        <v>23</v>
      </c>
      <c r="E2155">
        <v>42</v>
      </c>
      <c r="F2155">
        <f t="shared" si="36"/>
        <v>3</v>
      </c>
    </row>
    <row r="2156" spans="1:6">
      <c r="A2156" s="83">
        <v>43313</v>
      </c>
      <c r="B2156" t="s">
        <v>32</v>
      </c>
      <c r="C2156" t="s">
        <v>21</v>
      </c>
      <c r="D2156" t="s">
        <v>26</v>
      </c>
      <c r="E2156">
        <v>66</v>
      </c>
      <c r="F2156">
        <f t="shared" si="36"/>
        <v>5</v>
      </c>
    </row>
    <row r="2157" spans="1:6">
      <c r="A2157" s="83">
        <v>43313</v>
      </c>
      <c r="B2157" t="s">
        <v>32</v>
      </c>
      <c r="C2157" t="s">
        <v>21</v>
      </c>
      <c r="D2157" t="s">
        <v>23</v>
      </c>
      <c r="E2157">
        <v>126</v>
      </c>
      <c r="F2157">
        <f t="shared" si="36"/>
        <v>3</v>
      </c>
    </row>
    <row r="2158" spans="1:6">
      <c r="A2158" s="83">
        <v>43313</v>
      </c>
      <c r="B2158" t="s">
        <v>32</v>
      </c>
      <c r="C2158" t="s">
        <v>24</v>
      </c>
      <c r="D2158" t="s">
        <v>26</v>
      </c>
      <c r="E2158">
        <v>2207</v>
      </c>
      <c r="F2158">
        <f t="shared" si="36"/>
        <v>5</v>
      </c>
    </row>
    <row r="2159" spans="1:6">
      <c r="A2159" s="83">
        <v>43313</v>
      </c>
      <c r="B2159" t="s">
        <v>32</v>
      </c>
      <c r="C2159" t="s">
        <v>24</v>
      </c>
      <c r="D2159" t="s">
        <v>23</v>
      </c>
      <c r="E2159">
        <v>1477</v>
      </c>
      <c r="F2159">
        <f t="shared" si="36"/>
        <v>3</v>
      </c>
    </row>
    <row r="2160" spans="1:6">
      <c r="A2160" s="83">
        <v>43313</v>
      </c>
      <c r="B2160" t="s">
        <v>32</v>
      </c>
      <c r="C2160" t="s">
        <v>24</v>
      </c>
      <c r="D2160" t="s">
        <v>23</v>
      </c>
      <c r="E2160">
        <v>68</v>
      </c>
      <c r="F2160">
        <f t="shared" si="36"/>
        <v>3</v>
      </c>
    </row>
    <row r="2161" spans="1:6">
      <c r="A2161" s="83">
        <v>43344</v>
      </c>
      <c r="B2161" t="s">
        <v>32</v>
      </c>
      <c r="C2161" t="s">
        <v>21</v>
      </c>
      <c r="D2161" t="s">
        <v>23</v>
      </c>
      <c r="E2161">
        <v>60</v>
      </c>
      <c r="F2161">
        <f t="shared" si="36"/>
        <v>3</v>
      </c>
    </row>
    <row r="2162" spans="1:6">
      <c r="A2162" s="83">
        <v>43344</v>
      </c>
      <c r="B2162" t="s">
        <v>32</v>
      </c>
      <c r="C2162" t="s">
        <v>21</v>
      </c>
      <c r="D2162" t="s">
        <v>26</v>
      </c>
      <c r="E2162">
        <v>44</v>
      </c>
      <c r="F2162">
        <f t="shared" si="36"/>
        <v>5</v>
      </c>
    </row>
    <row r="2163" spans="1:6">
      <c r="A2163" s="83">
        <v>43344</v>
      </c>
      <c r="B2163" t="s">
        <v>32</v>
      </c>
      <c r="C2163" t="s">
        <v>21</v>
      </c>
      <c r="D2163" t="s">
        <v>22</v>
      </c>
      <c r="E2163">
        <v>126</v>
      </c>
      <c r="F2163">
        <f t="shared" si="36"/>
        <v>7</v>
      </c>
    </row>
    <row r="2164" spans="1:6">
      <c r="A2164" s="83">
        <v>43344</v>
      </c>
      <c r="B2164" t="s">
        <v>32</v>
      </c>
      <c r="C2164" t="s">
        <v>24</v>
      </c>
      <c r="D2164" t="s">
        <v>22</v>
      </c>
      <c r="E2164">
        <v>2999</v>
      </c>
      <c r="F2164">
        <f t="shared" si="36"/>
        <v>7</v>
      </c>
    </row>
    <row r="2165" spans="1:6">
      <c r="A2165" s="83">
        <v>43344</v>
      </c>
      <c r="B2165" t="s">
        <v>32</v>
      </c>
      <c r="C2165" t="s">
        <v>24</v>
      </c>
      <c r="D2165" t="s">
        <v>26</v>
      </c>
      <c r="E2165">
        <v>1609</v>
      </c>
      <c r="F2165">
        <f t="shared" si="36"/>
        <v>5</v>
      </c>
    </row>
    <row r="2166" spans="1:6">
      <c r="A2166" s="83">
        <v>43344</v>
      </c>
      <c r="B2166" t="s">
        <v>32</v>
      </c>
      <c r="C2166" t="s">
        <v>24</v>
      </c>
      <c r="D2166" t="s">
        <v>26</v>
      </c>
      <c r="E2166">
        <v>68</v>
      </c>
      <c r="F2166">
        <f t="shared" si="36"/>
        <v>5</v>
      </c>
    </row>
    <row r="2167" spans="1:6">
      <c r="A2167" s="83">
        <v>43374</v>
      </c>
      <c r="B2167" t="s">
        <v>32</v>
      </c>
      <c r="C2167" t="s">
        <v>21</v>
      </c>
      <c r="D2167" t="s">
        <v>23</v>
      </c>
      <c r="E2167">
        <v>70</v>
      </c>
      <c r="F2167">
        <f t="shared" si="36"/>
        <v>3</v>
      </c>
    </row>
    <row r="2168" spans="1:6">
      <c r="A2168" s="83">
        <v>43374</v>
      </c>
      <c r="B2168" t="s">
        <v>32</v>
      </c>
      <c r="C2168" t="s">
        <v>21</v>
      </c>
      <c r="D2168" t="s">
        <v>23</v>
      </c>
      <c r="E2168">
        <v>55</v>
      </c>
      <c r="F2168">
        <f t="shared" si="36"/>
        <v>3</v>
      </c>
    </row>
    <row r="2169" spans="1:6">
      <c r="A2169" s="83">
        <v>43374</v>
      </c>
      <c r="B2169" t="s">
        <v>32</v>
      </c>
      <c r="C2169" t="s">
        <v>21</v>
      </c>
      <c r="D2169" t="s">
        <v>22</v>
      </c>
      <c r="E2169">
        <v>122</v>
      </c>
      <c r="F2169">
        <f t="shared" si="36"/>
        <v>7</v>
      </c>
    </row>
    <row r="2170" spans="1:6">
      <c r="A2170" s="83">
        <v>43374</v>
      </c>
      <c r="B2170" t="s">
        <v>32</v>
      </c>
      <c r="C2170" t="s">
        <v>24</v>
      </c>
      <c r="D2170" t="s">
        <v>22</v>
      </c>
      <c r="E2170">
        <v>1810</v>
      </c>
      <c r="F2170">
        <f t="shared" si="36"/>
        <v>7</v>
      </c>
    </row>
    <row r="2171" spans="1:6">
      <c r="A2171" s="83">
        <v>43374</v>
      </c>
      <c r="B2171" t="s">
        <v>32</v>
      </c>
      <c r="C2171" t="s">
        <v>24</v>
      </c>
      <c r="D2171" t="s">
        <v>23</v>
      </c>
      <c r="E2171">
        <v>1681</v>
      </c>
      <c r="F2171">
        <f t="shared" si="36"/>
        <v>3</v>
      </c>
    </row>
    <row r="2172" spans="1:6">
      <c r="A2172" s="83">
        <v>43374</v>
      </c>
      <c r="B2172" t="s">
        <v>32</v>
      </c>
      <c r="C2172" t="s">
        <v>24</v>
      </c>
      <c r="D2172" t="s">
        <v>23</v>
      </c>
      <c r="E2172">
        <v>79</v>
      </c>
      <c r="F2172">
        <f t="shared" si="36"/>
        <v>3</v>
      </c>
    </row>
    <row r="2173" spans="1:6">
      <c r="A2173" s="83">
        <v>43405</v>
      </c>
      <c r="B2173" t="s">
        <v>32</v>
      </c>
      <c r="C2173" t="s">
        <v>21</v>
      </c>
      <c r="D2173" t="s">
        <v>26</v>
      </c>
      <c r="E2173">
        <v>81</v>
      </c>
      <c r="F2173">
        <f t="shared" si="36"/>
        <v>5</v>
      </c>
    </row>
    <row r="2174" spans="1:6">
      <c r="A2174" s="83">
        <v>43405</v>
      </c>
      <c r="B2174" t="s">
        <v>32</v>
      </c>
      <c r="C2174" t="s">
        <v>21</v>
      </c>
      <c r="D2174" t="s">
        <v>23</v>
      </c>
      <c r="E2174">
        <v>55</v>
      </c>
      <c r="F2174">
        <f t="shared" si="36"/>
        <v>3</v>
      </c>
    </row>
    <row r="2175" spans="1:6">
      <c r="A2175" s="83">
        <v>43405</v>
      </c>
      <c r="B2175" t="s">
        <v>32</v>
      </c>
      <c r="C2175" t="s">
        <v>21</v>
      </c>
      <c r="D2175" t="s">
        <v>23</v>
      </c>
      <c r="E2175">
        <v>113</v>
      </c>
      <c r="F2175">
        <f t="shared" si="36"/>
        <v>3</v>
      </c>
    </row>
    <row r="2176" spans="1:6">
      <c r="A2176" s="83">
        <v>43405</v>
      </c>
      <c r="B2176" t="s">
        <v>32</v>
      </c>
      <c r="C2176" t="s">
        <v>24</v>
      </c>
      <c r="D2176" t="s">
        <v>26</v>
      </c>
      <c r="E2176">
        <v>3490</v>
      </c>
      <c r="F2176">
        <f t="shared" si="36"/>
        <v>5</v>
      </c>
    </row>
    <row r="2177" spans="1:6">
      <c r="A2177" s="83">
        <v>43405</v>
      </c>
      <c r="B2177" t="s">
        <v>32</v>
      </c>
      <c r="C2177" t="s">
        <v>24</v>
      </c>
      <c r="D2177" t="s">
        <v>26</v>
      </c>
      <c r="E2177">
        <v>1975</v>
      </c>
      <c r="F2177">
        <f t="shared" si="36"/>
        <v>5</v>
      </c>
    </row>
    <row r="2178" spans="1:6">
      <c r="A2178" s="83">
        <v>43405</v>
      </c>
      <c r="B2178" t="s">
        <v>32</v>
      </c>
      <c r="C2178" t="s">
        <v>24</v>
      </c>
      <c r="D2178" t="s">
        <v>23</v>
      </c>
      <c r="E2178">
        <v>90</v>
      </c>
      <c r="F2178">
        <f t="shared" si="36"/>
        <v>3</v>
      </c>
    </row>
    <row r="2179" spans="1:6">
      <c r="A2179" s="83">
        <v>43435</v>
      </c>
      <c r="B2179" t="s">
        <v>32</v>
      </c>
      <c r="C2179" t="s">
        <v>21</v>
      </c>
      <c r="D2179" t="s">
        <v>22</v>
      </c>
      <c r="E2179">
        <v>70</v>
      </c>
      <c r="F2179">
        <f t="shared" ref="F2179:F2242" si="37">LEN(D2179)</f>
        <v>7</v>
      </c>
    </row>
    <row r="2180" spans="1:6">
      <c r="A2180" s="83">
        <v>43435</v>
      </c>
      <c r="B2180" t="s">
        <v>32</v>
      </c>
      <c r="C2180" t="s">
        <v>21</v>
      </c>
      <c r="D2180" t="s">
        <v>23</v>
      </c>
      <c r="E2180">
        <v>66</v>
      </c>
      <c r="F2180">
        <f t="shared" si="37"/>
        <v>3</v>
      </c>
    </row>
    <row r="2181" spans="1:6">
      <c r="A2181" s="83">
        <v>43435</v>
      </c>
      <c r="B2181" t="s">
        <v>32</v>
      </c>
      <c r="C2181" t="s">
        <v>21</v>
      </c>
      <c r="D2181" t="s">
        <v>22</v>
      </c>
      <c r="E2181">
        <v>126</v>
      </c>
      <c r="F2181">
        <f t="shared" si="37"/>
        <v>7</v>
      </c>
    </row>
    <row r="2182" spans="1:6">
      <c r="A2182" s="83">
        <v>43435</v>
      </c>
      <c r="B2182" t="s">
        <v>32</v>
      </c>
      <c r="C2182" t="s">
        <v>24</v>
      </c>
      <c r="D2182" t="s">
        <v>23</v>
      </c>
      <c r="E2182">
        <v>2875</v>
      </c>
      <c r="F2182">
        <f t="shared" si="37"/>
        <v>3</v>
      </c>
    </row>
    <row r="2183" spans="1:6">
      <c r="A2183" s="83">
        <v>43435</v>
      </c>
      <c r="B2183" t="s">
        <v>32</v>
      </c>
      <c r="C2183" t="s">
        <v>24</v>
      </c>
      <c r="D2183" t="s">
        <v>23</v>
      </c>
      <c r="E2183">
        <v>1874</v>
      </c>
      <c r="F2183">
        <f t="shared" si="37"/>
        <v>3</v>
      </c>
    </row>
    <row r="2184" spans="1:6">
      <c r="A2184" s="83">
        <v>43435</v>
      </c>
      <c r="B2184" t="s">
        <v>32</v>
      </c>
      <c r="C2184" t="s">
        <v>24</v>
      </c>
      <c r="D2184" t="s">
        <v>26</v>
      </c>
      <c r="E2184">
        <v>90</v>
      </c>
      <c r="F2184">
        <f t="shared" si="37"/>
        <v>5</v>
      </c>
    </row>
    <row r="2185" spans="1:6">
      <c r="A2185" s="83">
        <v>43466</v>
      </c>
      <c r="B2185" t="s">
        <v>32</v>
      </c>
      <c r="C2185" t="s">
        <v>21</v>
      </c>
      <c r="D2185" t="s">
        <v>23</v>
      </c>
      <c r="E2185">
        <v>63</v>
      </c>
      <c r="F2185">
        <f t="shared" si="37"/>
        <v>3</v>
      </c>
    </row>
    <row r="2186" spans="1:6">
      <c r="A2186" s="83">
        <v>43466</v>
      </c>
      <c r="B2186" t="s">
        <v>32</v>
      </c>
      <c r="C2186" t="s">
        <v>21</v>
      </c>
      <c r="D2186" t="s">
        <v>26</v>
      </c>
      <c r="E2186">
        <v>72</v>
      </c>
      <c r="F2186">
        <f t="shared" si="37"/>
        <v>5</v>
      </c>
    </row>
    <row r="2187" spans="1:6">
      <c r="A2187" s="83">
        <v>43466</v>
      </c>
      <c r="B2187" t="s">
        <v>32</v>
      </c>
      <c r="C2187" t="s">
        <v>21</v>
      </c>
      <c r="D2187" t="s">
        <v>23</v>
      </c>
      <c r="E2187">
        <v>113</v>
      </c>
      <c r="F2187">
        <f t="shared" si="37"/>
        <v>3</v>
      </c>
    </row>
    <row r="2188" spans="1:6">
      <c r="A2188" s="83">
        <v>43466</v>
      </c>
      <c r="B2188" t="s">
        <v>32</v>
      </c>
      <c r="C2188" t="s">
        <v>24</v>
      </c>
      <c r="D2188" t="s">
        <v>26</v>
      </c>
      <c r="E2188">
        <v>1601</v>
      </c>
      <c r="F2188">
        <f t="shared" si="37"/>
        <v>5</v>
      </c>
    </row>
    <row r="2189" spans="1:6">
      <c r="A2189" s="83">
        <v>43466</v>
      </c>
      <c r="B2189" t="s">
        <v>32</v>
      </c>
      <c r="C2189" t="s">
        <v>24</v>
      </c>
      <c r="D2189" t="s">
        <v>22</v>
      </c>
      <c r="E2189">
        <v>2290</v>
      </c>
      <c r="F2189">
        <f t="shared" si="37"/>
        <v>7</v>
      </c>
    </row>
    <row r="2190" spans="1:6">
      <c r="A2190" s="83">
        <v>43466</v>
      </c>
      <c r="B2190" t="s">
        <v>32</v>
      </c>
      <c r="C2190" t="s">
        <v>24</v>
      </c>
      <c r="D2190" t="s">
        <v>23</v>
      </c>
      <c r="E2190">
        <v>90</v>
      </c>
      <c r="F2190">
        <f t="shared" si="37"/>
        <v>3</v>
      </c>
    </row>
    <row r="2191" spans="1:6">
      <c r="A2191" s="83">
        <v>43497</v>
      </c>
      <c r="B2191" t="s">
        <v>32</v>
      </c>
      <c r="C2191" t="s">
        <v>21</v>
      </c>
      <c r="D2191" t="s">
        <v>26</v>
      </c>
      <c r="E2191">
        <v>60</v>
      </c>
      <c r="F2191">
        <f t="shared" si="37"/>
        <v>5</v>
      </c>
    </row>
    <row r="2192" spans="1:6">
      <c r="A2192" s="83">
        <v>43497</v>
      </c>
      <c r="B2192" t="s">
        <v>32</v>
      </c>
      <c r="C2192" t="s">
        <v>21</v>
      </c>
      <c r="D2192" t="s">
        <v>26</v>
      </c>
      <c r="E2192">
        <v>72</v>
      </c>
      <c r="F2192">
        <f t="shared" si="37"/>
        <v>5</v>
      </c>
    </row>
    <row r="2193" spans="1:6">
      <c r="A2193" s="83">
        <v>43497</v>
      </c>
      <c r="B2193" t="s">
        <v>32</v>
      </c>
      <c r="C2193" t="s">
        <v>21</v>
      </c>
      <c r="D2193" t="s">
        <v>23</v>
      </c>
      <c r="E2193">
        <v>126</v>
      </c>
      <c r="F2193">
        <f t="shared" si="37"/>
        <v>3</v>
      </c>
    </row>
    <row r="2194" spans="1:6">
      <c r="A2194" s="83">
        <v>43497</v>
      </c>
      <c r="B2194" t="s">
        <v>32</v>
      </c>
      <c r="C2194" t="s">
        <v>24</v>
      </c>
      <c r="D2194" t="s">
        <v>22</v>
      </c>
      <c r="E2194">
        <v>1979</v>
      </c>
      <c r="F2194">
        <f t="shared" si="37"/>
        <v>7</v>
      </c>
    </row>
    <row r="2195" spans="1:6">
      <c r="A2195" s="83">
        <v>43497</v>
      </c>
      <c r="B2195" t="s">
        <v>32</v>
      </c>
      <c r="C2195" t="s">
        <v>24</v>
      </c>
      <c r="D2195" t="s">
        <v>22</v>
      </c>
      <c r="E2195">
        <v>2166</v>
      </c>
      <c r="F2195">
        <f t="shared" si="37"/>
        <v>7</v>
      </c>
    </row>
    <row r="2196" spans="1:6">
      <c r="A2196" s="83">
        <v>43497</v>
      </c>
      <c r="B2196" t="s">
        <v>32</v>
      </c>
      <c r="C2196" t="s">
        <v>24</v>
      </c>
      <c r="D2196" t="s">
        <v>23</v>
      </c>
      <c r="E2196">
        <v>101</v>
      </c>
      <c r="F2196">
        <f t="shared" si="37"/>
        <v>3</v>
      </c>
    </row>
    <row r="2197" spans="1:6">
      <c r="A2197" s="83">
        <v>43525</v>
      </c>
      <c r="B2197" t="s">
        <v>32</v>
      </c>
      <c r="C2197" t="s">
        <v>21</v>
      </c>
      <c r="D2197" t="s">
        <v>23</v>
      </c>
      <c r="E2197">
        <v>63</v>
      </c>
      <c r="F2197">
        <f t="shared" si="37"/>
        <v>3</v>
      </c>
    </row>
    <row r="2198" spans="1:6">
      <c r="A2198" s="83">
        <v>43525</v>
      </c>
      <c r="B2198" t="s">
        <v>32</v>
      </c>
      <c r="C2198" t="s">
        <v>21</v>
      </c>
      <c r="D2198" t="s">
        <v>26</v>
      </c>
      <c r="E2198">
        <v>72</v>
      </c>
      <c r="F2198">
        <f t="shared" si="37"/>
        <v>5</v>
      </c>
    </row>
    <row r="2199" spans="1:6">
      <c r="A2199" s="83">
        <v>43525</v>
      </c>
      <c r="B2199" t="s">
        <v>32</v>
      </c>
      <c r="C2199" t="s">
        <v>21</v>
      </c>
      <c r="D2199" t="s">
        <v>22</v>
      </c>
      <c r="E2199">
        <v>149</v>
      </c>
      <c r="F2199">
        <f t="shared" si="37"/>
        <v>7</v>
      </c>
    </row>
    <row r="2200" spans="1:6">
      <c r="A2200" s="83">
        <v>43525</v>
      </c>
      <c r="B2200" t="s">
        <v>32</v>
      </c>
      <c r="C2200" t="s">
        <v>24</v>
      </c>
      <c r="D2200" t="s">
        <v>26</v>
      </c>
      <c r="E2200">
        <v>950</v>
      </c>
      <c r="F2200">
        <f t="shared" si="37"/>
        <v>5</v>
      </c>
    </row>
    <row r="2201" spans="1:6">
      <c r="A2201" s="83">
        <v>43525</v>
      </c>
      <c r="B2201" t="s">
        <v>32</v>
      </c>
      <c r="C2201" t="s">
        <v>24</v>
      </c>
      <c r="D2201" t="s">
        <v>26</v>
      </c>
      <c r="E2201">
        <v>1976</v>
      </c>
      <c r="F2201">
        <f t="shared" si="37"/>
        <v>5</v>
      </c>
    </row>
    <row r="2202" spans="1:6">
      <c r="A2202" s="83">
        <v>43525</v>
      </c>
      <c r="B2202" t="s">
        <v>32</v>
      </c>
      <c r="C2202" t="s">
        <v>24</v>
      </c>
      <c r="D2202" t="s">
        <v>26</v>
      </c>
      <c r="E2202">
        <v>101</v>
      </c>
      <c r="F2202">
        <f t="shared" si="37"/>
        <v>5</v>
      </c>
    </row>
    <row r="2203" spans="1:6">
      <c r="A2203" s="83">
        <v>43556</v>
      </c>
      <c r="B2203" t="s">
        <v>32</v>
      </c>
      <c r="C2203" t="s">
        <v>21</v>
      </c>
      <c r="D2203" t="s">
        <v>26</v>
      </c>
      <c r="E2203">
        <v>70</v>
      </c>
      <c r="F2203">
        <f t="shared" si="37"/>
        <v>5</v>
      </c>
    </row>
    <row r="2204" spans="1:6">
      <c r="A2204" s="83">
        <v>43556</v>
      </c>
      <c r="B2204" t="s">
        <v>32</v>
      </c>
      <c r="C2204" t="s">
        <v>21</v>
      </c>
      <c r="D2204" t="s">
        <v>26</v>
      </c>
      <c r="E2204">
        <v>83</v>
      </c>
      <c r="F2204">
        <f t="shared" si="37"/>
        <v>5</v>
      </c>
    </row>
    <row r="2205" spans="1:6">
      <c r="A2205" s="83">
        <v>43556</v>
      </c>
      <c r="B2205" t="s">
        <v>32</v>
      </c>
      <c r="C2205" t="s">
        <v>21</v>
      </c>
      <c r="D2205" t="s">
        <v>22</v>
      </c>
      <c r="E2205">
        <v>126</v>
      </c>
      <c r="F2205">
        <f t="shared" si="37"/>
        <v>7</v>
      </c>
    </row>
    <row r="2206" spans="1:6">
      <c r="A2206" s="83">
        <v>43556</v>
      </c>
      <c r="B2206" t="s">
        <v>32</v>
      </c>
      <c r="C2206" t="s">
        <v>24</v>
      </c>
      <c r="D2206" t="s">
        <v>23</v>
      </c>
      <c r="E2206">
        <v>3135</v>
      </c>
      <c r="F2206">
        <f t="shared" si="37"/>
        <v>3</v>
      </c>
    </row>
    <row r="2207" spans="1:6">
      <c r="A2207" s="83">
        <v>43556</v>
      </c>
      <c r="B2207" t="s">
        <v>32</v>
      </c>
      <c r="C2207" t="s">
        <v>24</v>
      </c>
      <c r="D2207" t="s">
        <v>26</v>
      </c>
      <c r="E2207">
        <v>2812</v>
      </c>
      <c r="F2207">
        <f t="shared" si="37"/>
        <v>5</v>
      </c>
    </row>
    <row r="2208" spans="1:6">
      <c r="A2208" s="83">
        <v>43556</v>
      </c>
      <c r="B2208" t="s">
        <v>32</v>
      </c>
      <c r="C2208" t="s">
        <v>24</v>
      </c>
      <c r="D2208" t="s">
        <v>23</v>
      </c>
      <c r="E2208">
        <v>124</v>
      </c>
      <c r="F2208">
        <f t="shared" si="37"/>
        <v>3</v>
      </c>
    </row>
    <row r="2209" spans="1:6">
      <c r="A2209" s="83">
        <v>43586</v>
      </c>
      <c r="B2209" t="s">
        <v>32</v>
      </c>
      <c r="C2209" t="s">
        <v>21</v>
      </c>
      <c r="D2209" t="s">
        <v>23</v>
      </c>
      <c r="E2209">
        <v>70</v>
      </c>
      <c r="F2209">
        <f t="shared" si="37"/>
        <v>3</v>
      </c>
    </row>
    <row r="2210" spans="1:6">
      <c r="A2210" s="83">
        <v>43586</v>
      </c>
      <c r="B2210" t="s">
        <v>32</v>
      </c>
      <c r="C2210" t="s">
        <v>21</v>
      </c>
      <c r="D2210" t="s">
        <v>23</v>
      </c>
      <c r="E2210">
        <v>83</v>
      </c>
      <c r="F2210">
        <f t="shared" si="37"/>
        <v>3</v>
      </c>
    </row>
    <row r="2211" spans="1:6">
      <c r="A2211" s="83">
        <v>43586</v>
      </c>
      <c r="B2211" t="s">
        <v>32</v>
      </c>
      <c r="C2211" t="s">
        <v>21</v>
      </c>
      <c r="D2211" t="s">
        <v>22</v>
      </c>
      <c r="E2211">
        <v>27</v>
      </c>
      <c r="F2211">
        <f t="shared" si="37"/>
        <v>7</v>
      </c>
    </row>
    <row r="2212" spans="1:6">
      <c r="A2212" s="83">
        <v>43586</v>
      </c>
      <c r="B2212" t="s">
        <v>32</v>
      </c>
      <c r="C2212" t="s">
        <v>24</v>
      </c>
      <c r="D2212" t="s">
        <v>26</v>
      </c>
      <c r="E2212">
        <v>3296</v>
      </c>
      <c r="F2212">
        <f t="shared" si="37"/>
        <v>5</v>
      </c>
    </row>
    <row r="2213" spans="1:6">
      <c r="A2213" s="83">
        <v>43586</v>
      </c>
      <c r="B2213" t="s">
        <v>32</v>
      </c>
      <c r="C2213" t="s">
        <v>24</v>
      </c>
      <c r="D2213" t="s">
        <v>22</v>
      </c>
      <c r="E2213">
        <v>2265</v>
      </c>
      <c r="F2213">
        <f t="shared" si="37"/>
        <v>7</v>
      </c>
    </row>
    <row r="2214" spans="1:6">
      <c r="A2214" s="83">
        <v>43586</v>
      </c>
      <c r="B2214" t="s">
        <v>32</v>
      </c>
      <c r="C2214" t="s">
        <v>24</v>
      </c>
      <c r="D2214" t="s">
        <v>22</v>
      </c>
      <c r="E2214">
        <v>135</v>
      </c>
      <c r="F2214">
        <f t="shared" si="37"/>
        <v>7</v>
      </c>
    </row>
    <row r="2215" spans="1:6">
      <c r="A2215" s="83">
        <v>43617</v>
      </c>
      <c r="B2215" t="s">
        <v>32</v>
      </c>
      <c r="C2215" t="s">
        <v>21</v>
      </c>
      <c r="D2215" t="s">
        <v>23</v>
      </c>
      <c r="E2215">
        <v>77</v>
      </c>
      <c r="F2215">
        <f t="shared" si="37"/>
        <v>3</v>
      </c>
    </row>
    <row r="2216" spans="1:6">
      <c r="A2216" s="83">
        <v>43617</v>
      </c>
      <c r="B2216" t="s">
        <v>32</v>
      </c>
      <c r="C2216" t="s">
        <v>21</v>
      </c>
      <c r="D2216" t="s">
        <v>22</v>
      </c>
      <c r="E2216">
        <v>99</v>
      </c>
      <c r="F2216">
        <f t="shared" si="37"/>
        <v>7</v>
      </c>
    </row>
    <row r="2217" spans="1:6">
      <c r="A2217" s="83">
        <v>43617</v>
      </c>
      <c r="B2217" t="s">
        <v>32</v>
      </c>
      <c r="C2217" t="s">
        <v>21</v>
      </c>
      <c r="D2217" t="s">
        <v>23</v>
      </c>
      <c r="E2217">
        <v>23</v>
      </c>
      <c r="F2217">
        <f t="shared" si="37"/>
        <v>3</v>
      </c>
    </row>
    <row r="2218" spans="1:6">
      <c r="A2218" s="83">
        <v>43617</v>
      </c>
      <c r="B2218" t="s">
        <v>32</v>
      </c>
      <c r="C2218" t="s">
        <v>24</v>
      </c>
      <c r="D2218" t="s">
        <v>22</v>
      </c>
      <c r="E2218">
        <v>2914</v>
      </c>
      <c r="F2218">
        <f t="shared" si="37"/>
        <v>7</v>
      </c>
    </row>
    <row r="2219" spans="1:6">
      <c r="A2219" s="83">
        <v>43617</v>
      </c>
      <c r="B2219" t="s">
        <v>32</v>
      </c>
      <c r="C2219" t="s">
        <v>24</v>
      </c>
      <c r="D2219" t="s">
        <v>22</v>
      </c>
      <c r="E2219">
        <v>2110</v>
      </c>
      <c r="F2219">
        <f t="shared" si="37"/>
        <v>7</v>
      </c>
    </row>
    <row r="2220" spans="1:6">
      <c r="A2220" s="83">
        <v>43617</v>
      </c>
      <c r="B2220" t="s">
        <v>32</v>
      </c>
      <c r="C2220" t="s">
        <v>24</v>
      </c>
      <c r="D2220" t="s">
        <v>26</v>
      </c>
      <c r="E2220">
        <v>113</v>
      </c>
      <c r="F2220">
        <f t="shared" si="37"/>
        <v>5</v>
      </c>
    </row>
    <row r="2221" spans="1:6">
      <c r="A2221" s="83">
        <v>43647</v>
      </c>
      <c r="B2221" t="s">
        <v>32</v>
      </c>
      <c r="C2221" t="s">
        <v>21</v>
      </c>
      <c r="D2221" t="s">
        <v>23</v>
      </c>
      <c r="E2221">
        <v>77</v>
      </c>
      <c r="F2221">
        <f t="shared" si="37"/>
        <v>3</v>
      </c>
    </row>
    <row r="2222" spans="1:6">
      <c r="A2222" s="83">
        <v>43647</v>
      </c>
      <c r="B2222" t="s">
        <v>32</v>
      </c>
      <c r="C2222" t="s">
        <v>21</v>
      </c>
      <c r="D2222" t="s">
        <v>23</v>
      </c>
      <c r="E2222">
        <v>110</v>
      </c>
      <c r="F2222">
        <f t="shared" si="37"/>
        <v>3</v>
      </c>
    </row>
    <row r="2223" spans="1:6">
      <c r="A2223" s="83">
        <v>43647</v>
      </c>
      <c r="B2223" t="s">
        <v>32</v>
      </c>
      <c r="C2223" t="s">
        <v>21</v>
      </c>
      <c r="D2223" t="s">
        <v>26</v>
      </c>
      <c r="E2223">
        <v>27</v>
      </c>
      <c r="F2223">
        <f t="shared" si="37"/>
        <v>5</v>
      </c>
    </row>
    <row r="2224" spans="1:6">
      <c r="A2224" s="83">
        <v>43647</v>
      </c>
      <c r="B2224" t="s">
        <v>32</v>
      </c>
      <c r="C2224" t="s">
        <v>24</v>
      </c>
      <c r="D2224" t="s">
        <v>23</v>
      </c>
      <c r="E2224">
        <v>2560</v>
      </c>
      <c r="F2224">
        <f t="shared" si="37"/>
        <v>3</v>
      </c>
    </row>
    <row r="2225" spans="1:6">
      <c r="A2225" s="83">
        <v>43647</v>
      </c>
      <c r="B2225" t="s">
        <v>32</v>
      </c>
      <c r="C2225" t="s">
        <v>24</v>
      </c>
      <c r="D2225" t="s">
        <v>23</v>
      </c>
      <c r="E2225">
        <v>2058</v>
      </c>
      <c r="F2225">
        <f t="shared" si="37"/>
        <v>3</v>
      </c>
    </row>
    <row r="2226" spans="1:6">
      <c r="A2226" s="83">
        <v>43647</v>
      </c>
      <c r="B2226" t="s">
        <v>32</v>
      </c>
      <c r="C2226" t="s">
        <v>24</v>
      </c>
      <c r="D2226" t="s">
        <v>26</v>
      </c>
      <c r="E2226">
        <v>113</v>
      </c>
      <c r="F2226">
        <f t="shared" si="37"/>
        <v>5</v>
      </c>
    </row>
    <row r="2227" spans="1:6">
      <c r="A2227" s="83">
        <v>43678</v>
      </c>
      <c r="B2227" t="s">
        <v>32</v>
      </c>
      <c r="C2227" t="s">
        <v>21</v>
      </c>
      <c r="D2227" t="s">
        <v>26</v>
      </c>
      <c r="E2227">
        <v>88</v>
      </c>
      <c r="F2227">
        <f t="shared" si="37"/>
        <v>5</v>
      </c>
    </row>
    <row r="2228" spans="1:6">
      <c r="A2228" s="83">
        <v>43678</v>
      </c>
      <c r="B2228" t="s">
        <v>32</v>
      </c>
      <c r="C2228" t="s">
        <v>21</v>
      </c>
      <c r="D2228" t="s">
        <v>22</v>
      </c>
      <c r="E2228">
        <v>94</v>
      </c>
      <c r="F2228">
        <f t="shared" si="37"/>
        <v>7</v>
      </c>
    </row>
    <row r="2229" spans="1:6">
      <c r="A2229" s="83">
        <v>43678</v>
      </c>
      <c r="B2229" t="s">
        <v>32</v>
      </c>
      <c r="C2229" t="s">
        <v>21</v>
      </c>
      <c r="D2229" t="s">
        <v>26</v>
      </c>
      <c r="E2229">
        <v>23</v>
      </c>
      <c r="F2229">
        <f t="shared" si="37"/>
        <v>5</v>
      </c>
    </row>
    <row r="2230" spans="1:6">
      <c r="A2230" s="83">
        <v>43678</v>
      </c>
      <c r="B2230" t="s">
        <v>32</v>
      </c>
      <c r="C2230" t="s">
        <v>24</v>
      </c>
      <c r="D2230" t="s">
        <v>22</v>
      </c>
      <c r="E2230">
        <v>3105</v>
      </c>
      <c r="F2230">
        <f t="shared" si="37"/>
        <v>7</v>
      </c>
    </row>
    <row r="2231" spans="1:6">
      <c r="A2231" s="83">
        <v>43678</v>
      </c>
      <c r="B2231" t="s">
        <v>32</v>
      </c>
      <c r="C2231" t="s">
        <v>24</v>
      </c>
      <c r="D2231" t="s">
        <v>26</v>
      </c>
      <c r="E2231">
        <v>2170</v>
      </c>
      <c r="F2231">
        <f t="shared" si="37"/>
        <v>5</v>
      </c>
    </row>
    <row r="2232" spans="1:6">
      <c r="A2232" s="83">
        <v>43678</v>
      </c>
      <c r="B2232" t="s">
        <v>32</v>
      </c>
      <c r="C2232" t="s">
        <v>24</v>
      </c>
      <c r="D2232" t="s">
        <v>23</v>
      </c>
      <c r="E2232">
        <v>124</v>
      </c>
      <c r="F2232">
        <f t="shared" si="37"/>
        <v>3</v>
      </c>
    </row>
    <row r="2233" spans="1:6">
      <c r="A2233" s="83">
        <v>43709</v>
      </c>
      <c r="B2233" t="s">
        <v>32</v>
      </c>
      <c r="C2233" t="s">
        <v>21</v>
      </c>
      <c r="D2233" t="s">
        <v>26</v>
      </c>
      <c r="E2233">
        <v>88</v>
      </c>
      <c r="F2233">
        <f t="shared" si="37"/>
        <v>5</v>
      </c>
    </row>
    <row r="2234" spans="1:6">
      <c r="A2234" s="83">
        <v>43709</v>
      </c>
      <c r="B2234" t="s">
        <v>32</v>
      </c>
      <c r="C2234" t="s">
        <v>21</v>
      </c>
      <c r="D2234" t="s">
        <v>22</v>
      </c>
      <c r="E2234">
        <v>94</v>
      </c>
      <c r="F2234">
        <f t="shared" si="37"/>
        <v>7</v>
      </c>
    </row>
    <row r="2235" spans="1:6">
      <c r="A2235" s="83">
        <v>43709</v>
      </c>
      <c r="B2235" t="s">
        <v>32</v>
      </c>
      <c r="C2235" t="s">
        <v>21</v>
      </c>
      <c r="D2235" t="s">
        <v>23</v>
      </c>
      <c r="E2235">
        <v>23</v>
      </c>
      <c r="F2235">
        <f t="shared" si="37"/>
        <v>3</v>
      </c>
    </row>
    <row r="2236" spans="1:6">
      <c r="A2236" s="83">
        <v>43709</v>
      </c>
      <c r="B2236" t="s">
        <v>32</v>
      </c>
      <c r="C2236" t="s">
        <v>24</v>
      </c>
      <c r="D2236" t="s">
        <v>23</v>
      </c>
      <c r="E2236">
        <v>1786</v>
      </c>
      <c r="F2236">
        <f t="shared" si="37"/>
        <v>3</v>
      </c>
    </row>
    <row r="2237" spans="1:6">
      <c r="A2237" s="83">
        <v>43709</v>
      </c>
      <c r="B2237" t="s">
        <v>32</v>
      </c>
      <c r="C2237" t="s">
        <v>24</v>
      </c>
      <c r="D2237" t="s">
        <v>26</v>
      </c>
      <c r="E2237">
        <v>1849</v>
      </c>
      <c r="F2237">
        <f t="shared" si="37"/>
        <v>5</v>
      </c>
    </row>
    <row r="2238" spans="1:6">
      <c r="A2238" s="83">
        <v>43709</v>
      </c>
      <c r="B2238" t="s">
        <v>32</v>
      </c>
      <c r="C2238" t="s">
        <v>24</v>
      </c>
      <c r="D2238" t="s">
        <v>23</v>
      </c>
      <c r="E2238">
        <v>124</v>
      </c>
      <c r="F2238">
        <f t="shared" si="37"/>
        <v>3</v>
      </c>
    </row>
    <row r="2239" spans="1:6">
      <c r="A2239" s="83">
        <v>43739</v>
      </c>
      <c r="B2239" t="s">
        <v>32</v>
      </c>
      <c r="C2239" t="s">
        <v>21</v>
      </c>
      <c r="D2239" t="s">
        <v>22</v>
      </c>
      <c r="E2239">
        <v>88</v>
      </c>
      <c r="F2239">
        <f t="shared" si="37"/>
        <v>7</v>
      </c>
    </row>
    <row r="2240" spans="1:6">
      <c r="A2240" s="83">
        <v>43739</v>
      </c>
      <c r="B2240" t="s">
        <v>32</v>
      </c>
      <c r="C2240" t="s">
        <v>21</v>
      </c>
      <c r="D2240" t="s">
        <v>23</v>
      </c>
      <c r="E2240">
        <v>99</v>
      </c>
      <c r="F2240">
        <f t="shared" si="37"/>
        <v>3</v>
      </c>
    </row>
    <row r="2241" spans="1:6">
      <c r="A2241" s="83">
        <v>43739</v>
      </c>
      <c r="B2241" t="s">
        <v>32</v>
      </c>
      <c r="C2241" t="s">
        <v>21</v>
      </c>
      <c r="D2241" t="s">
        <v>26</v>
      </c>
      <c r="E2241">
        <v>18</v>
      </c>
      <c r="F2241">
        <f t="shared" si="37"/>
        <v>5</v>
      </c>
    </row>
    <row r="2242" spans="1:6">
      <c r="A2242" s="83">
        <v>43739</v>
      </c>
      <c r="B2242" t="s">
        <v>32</v>
      </c>
      <c r="C2242" t="s">
        <v>24</v>
      </c>
      <c r="D2242" t="s">
        <v>23</v>
      </c>
      <c r="E2242">
        <v>1337</v>
      </c>
      <c r="F2242">
        <f t="shared" si="37"/>
        <v>3</v>
      </c>
    </row>
    <row r="2243" spans="1:6">
      <c r="A2243" s="83">
        <v>43739</v>
      </c>
      <c r="B2243" t="s">
        <v>32</v>
      </c>
      <c r="C2243" t="s">
        <v>24</v>
      </c>
      <c r="D2243" t="s">
        <v>26</v>
      </c>
      <c r="E2243">
        <v>1518</v>
      </c>
      <c r="F2243">
        <f t="shared" ref="F2243:F2306" si="38">LEN(D2243)</f>
        <v>5</v>
      </c>
    </row>
    <row r="2244" spans="1:6">
      <c r="A2244" s="83">
        <v>43739</v>
      </c>
      <c r="B2244" t="s">
        <v>32</v>
      </c>
      <c r="C2244" t="s">
        <v>24</v>
      </c>
      <c r="D2244" t="s">
        <v>26</v>
      </c>
      <c r="E2244">
        <v>68</v>
      </c>
      <c r="F2244">
        <f t="shared" si="38"/>
        <v>5</v>
      </c>
    </row>
    <row r="2245" spans="1:6">
      <c r="A2245" s="83">
        <v>43770</v>
      </c>
      <c r="B2245" t="s">
        <v>32</v>
      </c>
      <c r="C2245" t="s">
        <v>21</v>
      </c>
      <c r="D2245" t="s">
        <v>22</v>
      </c>
      <c r="E2245">
        <v>95</v>
      </c>
      <c r="F2245">
        <f t="shared" si="38"/>
        <v>7</v>
      </c>
    </row>
    <row r="2246" spans="1:6">
      <c r="A2246" s="83">
        <v>43770</v>
      </c>
      <c r="B2246" t="s">
        <v>32</v>
      </c>
      <c r="C2246" t="s">
        <v>21</v>
      </c>
      <c r="D2246" t="s">
        <v>23</v>
      </c>
      <c r="E2246">
        <v>99</v>
      </c>
      <c r="F2246">
        <f t="shared" si="38"/>
        <v>3</v>
      </c>
    </row>
    <row r="2247" spans="1:6">
      <c r="A2247" s="83">
        <v>43770</v>
      </c>
      <c r="B2247" t="s">
        <v>32</v>
      </c>
      <c r="C2247" t="s">
        <v>21</v>
      </c>
      <c r="D2247" t="s">
        <v>23</v>
      </c>
      <c r="E2247">
        <v>18</v>
      </c>
      <c r="F2247">
        <f t="shared" si="38"/>
        <v>3</v>
      </c>
    </row>
    <row r="2248" spans="1:6">
      <c r="A2248" s="83">
        <v>43770</v>
      </c>
      <c r="B2248" t="s">
        <v>32</v>
      </c>
      <c r="C2248" t="s">
        <v>24</v>
      </c>
      <c r="D2248" t="s">
        <v>26</v>
      </c>
      <c r="E2248">
        <v>999</v>
      </c>
      <c r="F2248">
        <f t="shared" si="38"/>
        <v>5</v>
      </c>
    </row>
    <row r="2249" spans="1:6">
      <c r="A2249" s="83">
        <v>43770</v>
      </c>
      <c r="B2249" t="s">
        <v>32</v>
      </c>
      <c r="C2249" t="s">
        <v>24</v>
      </c>
      <c r="D2249" t="s">
        <v>22</v>
      </c>
      <c r="E2249">
        <v>1889</v>
      </c>
      <c r="F2249">
        <f t="shared" si="38"/>
        <v>7</v>
      </c>
    </row>
    <row r="2250" spans="1:6">
      <c r="A2250" s="83">
        <v>43770</v>
      </c>
      <c r="B2250" t="s">
        <v>32</v>
      </c>
      <c r="C2250" t="s">
        <v>24</v>
      </c>
      <c r="D2250" t="s">
        <v>26</v>
      </c>
      <c r="E2250">
        <v>90</v>
      </c>
      <c r="F2250">
        <f t="shared" si="38"/>
        <v>5</v>
      </c>
    </row>
    <row r="2251" spans="1:6">
      <c r="A2251" s="83">
        <v>43800</v>
      </c>
      <c r="B2251" t="s">
        <v>32</v>
      </c>
      <c r="C2251" t="s">
        <v>21</v>
      </c>
      <c r="D2251" t="s">
        <v>22</v>
      </c>
      <c r="E2251">
        <v>105</v>
      </c>
      <c r="F2251">
        <f t="shared" si="38"/>
        <v>7</v>
      </c>
    </row>
    <row r="2252" spans="1:6">
      <c r="A2252" s="83">
        <v>43800</v>
      </c>
      <c r="B2252" t="s">
        <v>32</v>
      </c>
      <c r="C2252" t="s">
        <v>21</v>
      </c>
      <c r="D2252" t="s">
        <v>26</v>
      </c>
      <c r="E2252">
        <v>55</v>
      </c>
      <c r="F2252">
        <f t="shared" si="38"/>
        <v>5</v>
      </c>
    </row>
    <row r="2253" spans="1:6">
      <c r="A2253" s="83">
        <v>43800</v>
      </c>
      <c r="B2253" t="s">
        <v>32</v>
      </c>
      <c r="C2253" t="s">
        <v>21</v>
      </c>
      <c r="D2253" t="s">
        <v>22</v>
      </c>
      <c r="E2253">
        <v>27</v>
      </c>
      <c r="F2253">
        <f t="shared" si="38"/>
        <v>7</v>
      </c>
    </row>
    <row r="2254" spans="1:6">
      <c r="A2254" s="83">
        <v>43800</v>
      </c>
      <c r="B2254" t="s">
        <v>32</v>
      </c>
      <c r="C2254" t="s">
        <v>24</v>
      </c>
      <c r="D2254" t="s">
        <v>22</v>
      </c>
      <c r="E2254">
        <v>799</v>
      </c>
      <c r="F2254">
        <f t="shared" si="38"/>
        <v>7</v>
      </c>
    </row>
    <row r="2255" spans="1:6">
      <c r="A2255" s="83">
        <v>43800</v>
      </c>
      <c r="B2255" t="s">
        <v>32</v>
      </c>
      <c r="C2255" t="s">
        <v>24</v>
      </c>
      <c r="D2255" t="s">
        <v>23</v>
      </c>
      <c r="E2255">
        <v>2160</v>
      </c>
      <c r="F2255">
        <f t="shared" si="38"/>
        <v>3</v>
      </c>
    </row>
    <row r="2256" spans="1:6">
      <c r="A2256" s="83">
        <v>43800</v>
      </c>
      <c r="B2256" t="s">
        <v>32</v>
      </c>
      <c r="C2256" t="s">
        <v>24</v>
      </c>
      <c r="D2256" t="s">
        <v>23</v>
      </c>
      <c r="E2256">
        <v>124</v>
      </c>
      <c r="F2256">
        <f t="shared" si="38"/>
        <v>3</v>
      </c>
    </row>
    <row r="2257" spans="1:6">
      <c r="A2257" s="83">
        <v>42736</v>
      </c>
      <c r="B2257" t="s">
        <v>32</v>
      </c>
      <c r="C2257" t="s">
        <v>21</v>
      </c>
      <c r="D2257" t="s">
        <v>22</v>
      </c>
      <c r="E2257">
        <v>175</v>
      </c>
      <c r="F2257">
        <f t="shared" si="38"/>
        <v>7</v>
      </c>
    </row>
    <row r="2258" spans="1:6">
      <c r="A2258" s="83">
        <v>42736</v>
      </c>
      <c r="B2258" t="s">
        <v>32</v>
      </c>
      <c r="C2258" t="s">
        <v>21</v>
      </c>
      <c r="D2258" t="s">
        <v>26</v>
      </c>
      <c r="E2258">
        <v>158</v>
      </c>
      <c r="F2258">
        <f t="shared" si="38"/>
        <v>5</v>
      </c>
    </row>
    <row r="2259" spans="1:6">
      <c r="A2259" s="83">
        <v>42736</v>
      </c>
      <c r="B2259" t="s">
        <v>32</v>
      </c>
      <c r="C2259" t="s">
        <v>24</v>
      </c>
      <c r="D2259" t="s">
        <v>23</v>
      </c>
      <c r="E2259">
        <v>53</v>
      </c>
      <c r="F2259">
        <f t="shared" si="38"/>
        <v>3</v>
      </c>
    </row>
    <row r="2260" spans="1:6">
      <c r="A2260" s="83">
        <v>42736</v>
      </c>
      <c r="B2260" t="s">
        <v>32</v>
      </c>
      <c r="C2260" t="s">
        <v>24</v>
      </c>
      <c r="D2260" t="s">
        <v>22</v>
      </c>
      <c r="E2260">
        <v>79</v>
      </c>
      <c r="F2260">
        <f t="shared" si="38"/>
        <v>7</v>
      </c>
    </row>
    <row r="2261" spans="1:6">
      <c r="A2261" s="83">
        <v>42767</v>
      </c>
      <c r="B2261" t="s">
        <v>32</v>
      </c>
      <c r="C2261" t="s">
        <v>21</v>
      </c>
      <c r="D2261" t="s">
        <v>23</v>
      </c>
      <c r="E2261">
        <v>175</v>
      </c>
      <c r="F2261">
        <f t="shared" si="38"/>
        <v>3</v>
      </c>
    </row>
    <row r="2262" spans="1:6">
      <c r="A2262" s="83">
        <v>42767</v>
      </c>
      <c r="B2262" t="s">
        <v>32</v>
      </c>
      <c r="C2262" t="s">
        <v>21</v>
      </c>
      <c r="D2262" t="s">
        <v>22</v>
      </c>
      <c r="E2262">
        <v>158</v>
      </c>
      <c r="F2262">
        <f t="shared" si="38"/>
        <v>7</v>
      </c>
    </row>
    <row r="2263" spans="1:6">
      <c r="A2263" s="83">
        <v>42767</v>
      </c>
      <c r="B2263" t="s">
        <v>32</v>
      </c>
      <c r="C2263" t="s">
        <v>24</v>
      </c>
      <c r="D2263" t="s">
        <v>26</v>
      </c>
      <c r="E2263">
        <v>61</v>
      </c>
      <c r="F2263">
        <f t="shared" si="38"/>
        <v>5</v>
      </c>
    </row>
    <row r="2264" spans="1:6">
      <c r="A2264" s="83">
        <v>42767</v>
      </c>
      <c r="B2264" t="s">
        <v>32</v>
      </c>
      <c r="C2264" t="s">
        <v>24</v>
      </c>
      <c r="D2264" t="s">
        <v>26</v>
      </c>
      <c r="E2264">
        <v>101</v>
      </c>
      <c r="F2264">
        <f t="shared" si="38"/>
        <v>5</v>
      </c>
    </row>
    <row r="2265" spans="1:6">
      <c r="A2265" s="83">
        <v>42795</v>
      </c>
      <c r="B2265" t="s">
        <v>32</v>
      </c>
      <c r="C2265" t="s">
        <v>21</v>
      </c>
      <c r="D2265" t="s">
        <v>22</v>
      </c>
      <c r="E2265">
        <v>140</v>
      </c>
      <c r="F2265">
        <f t="shared" si="38"/>
        <v>7</v>
      </c>
    </row>
    <row r="2266" spans="1:6">
      <c r="A2266" s="83">
        <v>42795</v>
      </c>
      <c r="B2266" t="s">
        <v>32</v>
      </c>
      <c r="C2266" t="s">
        <v>21</v>
      </c>
      <c r="D2266" t="s">
        <v>22</v>
      </c>
      <c r="E2266">
        <v>180</v>
      </c>
      <c r="F2266">
        <f t="shared" si="38"/>
        <v>7</v>
      </c>
    </row>
    <row r="2267" spans="1:6">
      <c r="A2267" s="83">
        <v>42795</v>
      </c>
      <c r="B2267" t="s">
        <v>32</v>
      </c>
      <c r="C2267" t="s">
        <v>24</v>
      </c>
      <c r="D2267" t="s">
        <v>26</v>
      </c>
      <c r="E2267">
        <v>114</v>
      </c>
      <c r="F2267">
        <f t="shared" si="38"/>
        <v>5</v>
      </c>
    </row>
    <row r="2268" spans="1:6">
      <c r="A2268" s="83">
        <v>42795</v>
      </c>
      <c r="B2268" t="s">
        <v>32</v>
      </c>
      <c r="C2268" t="s">
        <v>24</v>
      </c>
      <c r="D2268" t="s">
        <v>23</v>
      </c>
      <c r="E2268">
        <v>113</v>
      </c>
      <c r="F2268">
        <f t="shared" si="38"/>
        <v>3</v>
      </c>
    </row>
    <row r="2269" spans="1:6">
      <c r="A2269" s="83">
        <v>42826</v>
      </c>
      <c r="B2269" t="s">
        <v>32</v>
      </c>
      <c r="C2269" t="s">
        <v>21</v>
      </c>
      <c r="D2269" t="s">
        <v>26</v>
      </c>
      <c r="E2269">
        <v>158</v>
      </c>
      <c r="F2269">
        <f t="shared" si="38"/>
        <v>5</v>
      </c>
    </row>
    <row r="2270" spans="1:6">
      <c r="A2270" s="83">
        <v>42826</v>
      </c>
      <c r="B2270" t="s">
        <v>32</v>
      </c>
      <c r="C2270" t="s">
        <v>21</v>
      </c>
      <c r="D2270" t="s">
        <v>26</v>
      </c>
      <c r="E2270">
        <v>180</v>
      </c>
      <c r="F2270">
        <f t="shared" si="38"/>
        <v>5</v>
      </c>
    </row>
    <row r="2271" spans="1:6">
      <c r="A2271" s="83">
        <v>42826</v>
      </c>
      <c r="B2271" t="s">
        <v>32</v>
      </c>
      <c r="C2271" t="s">
        <v>24</v>
      </c>
      <c r="D2271" t="s">
        <v>22</v>
      </c>
      <c r="E2271">
        <v>123</v>
      </c>
      <c r="F2271">
        <f t="shared" si="38"/>
        <v>7</v>
      </c>
    </row>
    <row r="2272" spans="1:6">
      <c r="A2272" s="83">
        <v>42826</v>
      </c>
      <c r="B2272" t="s">
        <v>32</v>
      </c>
      <c r="C2272" t="s">
        <v>24</v>
      </c>
      <c r="D2272" t="s">
        <v>26</v>
      </c>
      <c r="E2272">
        <v>146</v>
      </c>
      <c r="F2272">
        <f t="shared" si="38"/>
        <v>5</v>
      </c>
    </row>
    <row r="2273" spans="1:6">
      <c r="A2273" s="83">
        <v>42856</v>
      </c>
      <c r="B2273" t="s">
        <v>32</v>
      </c>
      <c r="C2273" t="s">
        <v>21</v>
      </c>
      <c r="D2273" t="s">
        <v>22</v>
      </c>
      <c r="E2273">
        <v>158</v>
      </c>
      <c r="F2273">
        <f t="shared" si="38"/>
        <v>7</v>
      </c>
    </row>
    <row r="2274" spans="1:6">
      <c r="A2274" s="83">
        <v>42856</v>
      </c>
      <c r="B2274" t="s">
        <v>32</v>
      </c>
      <c r="C2274" t="s">
        <v>21</v>
      </c>
      <c r="D2274" t="s">
        <v>26</v>
      </c>
      <c r="E2274">
        <v>225</v>
      </c>
      <c r="F2274">
        <f t="shared" si="38"/>
        <v>5</v>
      </c>
    </row>
    <row r="2275" spans="1:6">
      <c r="A2275" s="83">
        <v>42856</v>
      </c>
      <c r="B2275" t="s">
        <v>32</v>
      </c>
      <c r="C2275" t="s">
        <v>24</v>
      </c>
      <c r="D2275" t="s">
        <v>22</v>
      </c>
      <c r="E2275">
        <v>114</v>
      </c>
      <c r="F2275">
        <f t="shared" si="38"/>
        <v>7</v>
      </c>
    </row>
    <row r="2276" spans="1:6">
      <c r="A2276" s="83">
        <v>42856</v>
      </c>
      <c r="B2276" t="s">
        <v>32</v>
      </c>
      <c r="C2276" t="s">
        <v>24</v>
      </c>
      <c r="D2276" t="s">
        <v>23</v>
      </c>
      <c r="E2276">
        <v>146</v>
      </c>
      <c r="F2276">
        <f t="shared" si="38"/>
        <v>3</v>
      </c>
    </row>
    <row r="2277" spans="1:6">
      <c r="A2277" s="83">
        <v>42887</v>
      </c>
      <c r="B2277" t="s">
        <v>32</v>
      </c>
      <c r="C2277" t="s">
        <v>21</v>
      </c>
      <c r="D2277" t="s">
        <v>22</v>
      </c>
      <c r="E2277">
        <v>158</v>
      </c>
      <c r="F2277">
        <f t="shared" si="38"/>
        <v>7</v>
      </c>
    </row>
    <row r="2278" spans="1:6">
      <c r="A2278" s="83">
        <v>42887</v>
      </c>
      <c r="B2278" t="s">
        <v>32</v>
      </c>
      <c r="C2278" t="s">
        <v>21</v>
      </c>
      <c r="D2278" t="s">
        <v>26</v>
      </c>
      <c r="E2278">
        <v>203</v>
      </c>
      <c r="F2278">
        <f t="shared" si="38"/>
        <v>5</v>
      </c>
    </row>
    <row r="2279" spans="1:6">
      <c r="A2279" s="83">
        <v>42887</v>
      </c>
      <c r="B2279" t="s">
        <v>32</v>
      </c>
      <c r="C2279" t="s">
        <v>24</v>
      </c>
      <c r="D2279" t="s">
        <v>23</v>
      </c>
      <c r="E2279">
        <v>166</v>
      </c>
      <c r="F2279">
        <f t="shared" si="38"/>
        <v>3</v>
      </c>
    </row>
    <row r="2280" spans="1:6">
      <c r="A2280" s="83">
        <v>42887</v>
      </c>
      <c r="B2280" t="s">
        <v>32</v>
      </c>
      <c r="C2280" t="s">
        <v>24</v>
      </c>
      <c r="D2280" t="s">
        <v>26</v>
      </c>
      <c r="E2280">
        <v>146</v>
      </c>
      <c r="F2280">
        <f t="shared" si="38"/>
        <v>5</v>
      </c>
    </row>
    <row r="2281" spans="1:6">
      <c r="A2281" s="83">
        <v>42917</v>
      </c>
      <c r="B2281" t="s">
        <v>32</v>
      </c>
      <c r="C2281" t="s">
        <v>21</v>
      </c>
      <c r="D2281" t="s">
        <v>26</v>
      </c>
      <c r="E2281">
        <v>175</v>
      </c>
      <c r="F2281">
        <f t="shared" si="38"/>
        <v>5</v>
      </c>
    </row>
    <row r="2282" spans="1:6">
      <c r="A2282" s="83">
        <v>42917</v>
      </c>
      <c r="B2282" t="s">
        <v>32</v>
      </c>
      <c r="C2282" t="s">
        <v>21</v>
      </c>
      <c r="D2282" t="s">
        <v>22</v>
      </c>
      <c r="E2282">
        <v>203</v>
      </c>
      <c r="F2282">
        <f t="shared" si="38"/>
        <v>7</v>
      </c>
    </row>
    <row r="2283" spans="1:6">
      <c r="A2283" s="83">
        <v>42917</v>
      </c>
      <c r="B2283" t="s">
        <v>32</v>
      </c>
      <c r="C2283" t="s">
        <v>24</v>
      </c>
      <c r="D2283" t="s">
        <v>22</v>
      </c>
      <c r="E2283">
        <v>210</v>
      </c>
      <c r="F2283">
        <f t="shared" si="38"/>
        <v>7</v>
      </c>
    </row>
    <row r="2284" spans="1:6">
      <c r="A2284" s="83">
        <v>42917</v>
      </c>
      <c r="B2284" t="s">
        <v>32</v>
      </c>
      <c r="C2284" t="s">
        <v>24</v>
      </c>
      <c r="D2284" t="s">
        <v>23</v>
      </c>
      <c r="E2284">
        <v>135</v>
      </c>
      <c r="F2284">
        <f t="shared" si="38"/>
        <v>3</v>
      </c>
    </row>
    <row r="2285" spans="1:6">
      <c r="A2285" s="83">
        <v>42948</v>
      </c>
      <c r="B2285" t="s">
        <v>32</v>
      </c>
      <c r="C2285" t="s">
        <v>21</v>
      </c>
      <c r="D2285" t="s">
        <v>23</v>
      </c>
      <c r="E2285">
        <v>193</v>
      </c>
      <c r="F2285">
        <f t="shared" si="38"/>
        <v>3</v>
      </c>
    </row>
    <row r="2286" spans="1:6">
      <c r="A2286" s="83">
        <v>42948</v>
      </c>
      <c r="B2286" t="s">
        <v>32</v>
      </c>
      <c r="C2286" t="s">
        <v>21</v>
      </c>
      <c r="D2286" t="s">
        <v>26</v>
      </c>
      <c r="E2286">
        <v>203</v>
      </c>
      <c r="F2286">
        <f t="shared" si="38"/>
        <v>5</v>
      </c>
    </row>
    <row r="2287" spans="1:6">
      <c r="A2287" s="83">
        <v>42948</v>
      </c>
      <c r="B2287" t="s">
        <v>32</v>
      </c>
      <c r="C2287" t="s">
        <v>24</v>
      </c>
      <c r="D2287" t="s">
        <v>26</v>
      </c>
      <c r="E2287">
        <v>333</v>
      </c>
      <c r="F2287">
        <f t="shared" si="38"/>
        <v>5</v>
      </c>
    </row>
    <row r="2288" spans="1:6">
      <c r="A2288" s="83">
        <v>42948</v>
      </c>
      <c r="B2288" t="s">
        <v>32</v>
      </c>
      <c r="C2288" t="s">
        <v>24</v>
      </c>
      <c r="D2288" t="s">
        <v>26</v>
      </c>
      <c r="E2288">
        <v>169</v>
      </c>
      <c r="F2288">
        <f t="shared" si="38"/>
        <v>5</v>
      </c>
    </row>
    <row r="2289" spans="1:6">
      <c r="A2289" s="83">
        <v>42979</v>
      </c>
      <c r="B2289" t="s">
        <v>32</v>
      </c>
      <c r="C2289" t="s">
        <v>21</v>
      </c>
      <c r="D2289" t="s">
        <v>22</v>
      </c>
      <c r="E2289">
        <v>210</v>
      </c>
      <c r="F2289">
        <f t="shared" si="38"/>
        <v>7</v>
      </c>
    </row>
    <row r="2290" spans="1:6">
      <c r="A2290" s="83">
        <v>42979</v>
      </c>
      <c r="B2290" t="s">
        <v>32</v>
      </c>
      <c r="C2290" t="s">
        <v>21</v>
      </c>
      <c r="D2290" t="s">
        <v>23</v>
      </c>
      <c r="E2290">
        <v>180</v>
      </c>
      <c r="F2290">
        <f t="shared" si="38"/>
        <v>3</v>
      </c>
    </row>
    <row r="2291" spans="1:6">
      <c r="A2291" s="83">
        <v>42979</v>
      </c>
      <c r="B2291" t="s">
        <v>32</v>
      </c>
      <c r="C2291" t="s">
        <v>24</v>
      </c>
      <c r="D2291" t="s">
        <v>26</v>
      </c>
      <c r="E2291">
        <v>450</v>
      </c>
      <c r="F2291">
        <f t="shared" si="38"/>
        <v>5</v>
      </c>
    </row>
    <row r="2292" spans="1:6">
      <c r="A2292" s="83">
        <v>42979</v>
      </c>
      <c r="B2292" t="s">
        <v>32</v>
      </c>
      <c r="C2292" t="s">
        <v>24</v>
      </c>
      <c r="D2292" t="s">
        <v>26</v>
      </c>
      <c r="E2292">
        <v>158</v>
      </c>
      <c r="F2292">
        <f t="shared" si="38"/>
        <v>5</v>
      </c>
    </row>
    <row r="2293" spans="1:6">
      <c r="A2293" s="83">
        <v>43009</v>
      </c>
      <c r="B2293" t="s">
        <v>32</v>
      </c>
      <c r="C2293" t="s">
        <v>21</v>
      </c>
      <c r="D2293" t="s">
        <v>23</v>
      </c>
      <c r="E2293">
        <v>193</v>
      </c>
      <c r="F2293">
        <f t="shared" si="38"/>
        <v>3</v>
      </c>
    </row>
    <row r="2294" spans="1:6">
      <c r="A2294" s="83">
        <v>43009</v>
      </c>
      <c r="B2294" t="s">
        <v>32</v>
      </c>
      <c r="C2294" t="s">
        <v>21</v>
      </c>
      <c r="D2294" t="s">
        <v>22</v>
      </c>
      <c r="E2294">
        <v>135</v>
      </c>
      <c r="F2294">
        <f t="shared" si="38"/>
        <v>7</v>
      </c>
    </row>
    <row r="2295" spans="1:6">
      <c r="A2295" s="83">
        <v>43009</v>
      </c>
      <c r="B2295" t="s">
        <v>32</v>
      </c>
      <c r="C2295" t="s">
        <v>24</v>
      </c>
      <c r="D2295" t="s">
        <v>26</v>
      </c>
      <c r="E2295">
        <v>569</v>
      </c>
      <c r="F2295">
        <f t="shared" si="38"/>
        <v>5</v>
      </c>
    </row>
    <row r="2296" spans="1:6">
      <c r="A2296" s="83">
        <v>43009</v>
      </c>
      <c r="B2296" t="s">
        <v>32</v>
      </c>
      <c r="C2296" t="s">
        <v>24</v>
      </c>
      <c r="D2296" t="s">
        <v>22</v>
      </c>
      <c r="E2296">
        <v>169</v>
      </c>
      <c r="F2296">
        <f t="shared" si="38"/>
        <v>7</v>
      </c>
    </row>
    <row r="2297" spans="1:6">
      <c r="A2297" s="83">
        <v>43040</v>
      </c>
      <c r="B2297" t="s">
        <v>32</v>
      </c>
      <c r="C2297" t="s">
        <v>21</v>
      </c>
      <c r="D2297" t="s">
        <v>22</v>
      </c>
      <c r="E2297">
        <v>210</v>
      </c>
      <c r="F2297">
        <f t="shared" si="38"/>
        <v>7</v>
      </c>
    </row>
    <row r="2298" spans="1:6">
      <c r="A2298" s="83">
        <v>43040</v>
      </c>
      <c r="B2298" t="s">
        <v>32</v>
      </c>
      <c r="C2298" t="s">
        <v>21</v>
      </c>
      <c r="D2298" t="s">
        <v>23</v>
      </c>
      <c r="E2298">
        <v>225</v>
      </c>
      <c r="F2298">
        <f t="shared" si="38"/>
        <v>3</v>
      </c>
    </row>
    <row r="2299" spans="1:6">
      <c r="A2299" s="83">
        <v>43040</v>
      </c>
      <c r="B2299" t="s">
        <v>32</v>
      </c>
      <c r="C2299" t="s">
        <v>24</v>
      </c>
      <c r="D2299" t="s">
        <v>22</v>
      </c>
      <c r="E2299">
        <v>620</v>
      </c>
      <c r="F2299">
        <f t="shared" si="38"/>
        <v>7</v>
      </c>
    </row>
    <row r="2300" spans="1:6">
      <c r="A2300" s="83">
        <v>43040</v>
      </c>
      <c r="B2300" t="s">
        <v>32</v>
      </c>
      <c r="C2300" t="s">
        <v>24</v>
      </c>
      <c r="D2300" t="s">
        <v>22</v>
      </c>
      <c r="E2300">
        <v>248</v>
      </c>
      <c r="F2300">
        <f t="shared" si="38"/>
        <v>7</v>
      </c>
    </row>
    <row r="2301" spans="1:6">
      <c r="A2301" s="83">
        <v>43070</v>
      </c>
      <c r="B2301" t="s">
        <v>32</v>
      </c>
      <c r="C2301" t="s">
        <v>21</v>
      </c>
      <c r="D2301" t="s">
        <v>23</v>
      </c>
      <c r="E2301">
        <v>210</v>
      </c>
      <c r="F2301">
        <f t="shared" si="38"/>
        <v>3</v>
      </c>
    </row>
    <row r="2302" spans="1:6">
      <c r="A2302" s="83">
        <v>43070</v>
      </c>
      <c r="B2302" t="s">
        <v>32</v>
      </c>
      <c r="C2302" t="s">
        <v>21</v>
      </c>
      <c r="D2302" t="s">
        <v>26</v>
      </c>
      <c r="E2302">
        <v>248</v>
      </c>
      <c r="F2302">
        <f t="shared" si="38"/>
        <v>5</v>
      </c>
    </row>
    <row r="2303" spans="1:6">
      <c r="A2303" s="83">
        <v>43070</v>
      </c>
      <c r="B2303" t="s">
        <v>32</v>
      </c>
      <c r="C2303" t="s">
        <v>24</v>
      </c>
      <c r="D2303" t="s">
        <v>22</v>
      </c>
      <c r="E2303">
        <v>808</v>
      </c>
      <c r="F2303">
        <f t="shared" si="38"/>
        <v>7</v>
      </c>
    </row>
    <row r="2304" spans="1:6">
      <c r="A2304" s="83">
        <v>43070</v>
      </c>
      <c r="B2304" t="s">
        <v>32</v>
      </c>
      <c r="C2304" t="s">
        <v>24</v>
      </c>
      <c r="D2304" t="s">
        <v>22</v>
      </c>
      <c r="E2304">
        <v>304</v>
      </c>
      <c r="F2304">
        <f t="shared" si="38"/>
        <v>7</v>
      </c>
    </row>
    <row r="2305" spans="1:6">
      <c r="A2305" s="83">
        <v>43101</v>
      </c>
      <c r="B2305" t="s">
        <v>32</v>
      </c>
      <c r="C2305" t="s">
        <v>21</v>
      </c>
      <c r="D2305" t="s">
        <v>26</v>
      </c>
      <c r="E2305">
        <v>193</v>
      </c>
      <c r="F2305">
        <f t="shared" si="38"/>
        <v>5</v>
      </c>
    </row>
    <row r="2306" spans="1:6">
      <c r="A2306" s="83">
        <v>43101</v>
      </c>
      <c r="B2306" t="s">
        <v>32</v>
      </c>
      <c r="C2306" t="s">
        <v>21</v>
      </c>
      <c r="D2306" t="s">
        <v>22</v>
      </c>
      <c r="E2306">
        <v>293</v>
      </c>
      <c r="F2306">
        <f t="shared" si="38"/>
        <v>7</v>
      </c>
    </row>
    <row r="2307" spans="1:6">
      <c r="A2307" s="83">
        <v>43101</v>
      </c>
      <c r="B2307" t="s">
        <v>32</v>
      </c>
      <c r="C2307" t="s">
        <v>24</v>
      </c>
      <c r="D2307" t="s">
        <v>22</v>
      </c>
      <c r="E2307">
        <v>840</v>
      </c>
      <c r="F2307">
        <f t="shared" ref="F2307:F2370" si="39">LEN(D2307)</f>
        <v>7</v>
      </c>
    </row>
    <row r="2308" spans="1:6">
      <c r="A2308" s="83">
        <v>43101</v>
      </c>
      <c r="B2308" t="s">
        <v>32</v>
      </c>
      <c r="C2308" t="s">
        <v>24</v>
      </c>
      <c r="D2308" t="s">
        <v>26</v>
      </c>
      <c r="E2308">
        <v>326</v>
      </c>
      <c r="F2308">
        <f t="shared" si="39"/>
        <v>5</v>
      </c>
    </row>
    <row r="2309" spans="1:6">
      <c r="A2309" s="83">
        <v>43132</v>
      </c>
      <c r="B2309" t="s">
        <v>32</v>
      </c>
      <c r="C2309" t="s">
        <v>21</v>
      </c>
      <c r="D2309" t="s">
        <v>22</v>
      </c>
      <c r="E2309">
        <v>175</v>
      </c>
      <c r="F2309">
        <f t="shared" si="39"/>
        <v>7</v>
      </c>
    </row>
    <row r="2310" spans="1:6">
      <c r="A2310" s="83">
        <v>43132</v>
      </c>
      <c r="B2310" t="s">
        <v>32</v>
      </c>
      <c r="C2310" t="s">
        <v>21</v>
      </c>
      <c r="D2310" t="s">
        <v>23</v>
      </c>
      <c r="E2310">
        <v>180</v>
      </c>
      <c r="F2310">
        <f t="shared" si="39"/>
        <v>3</v>
      </c>
    </row>
    <row r="2311" spans="1:6">
      <c r="A2311" s="83">
        <v>43132</v>
      </c>
      <c r="B2311" t="s">
        <v>32</v>
      </c>
      <c r="C2311" t="s">
        <v>24</v>
      </c>
      <c r="D2311" t="s">
        <v>23</v>
      </c>
      <c r="E2311">
        <v>998</v>
      </c>
      <c r="F2311">
        <f t="shared" si="39"/>
        <v>3</v>
      </c>
    </row>
    <row r="2312" spans="1:6">
      <c r="A2312" s="83">
        <v>43132</v>
      </c>
      <c r="B2312" t="s">
        <v>32</v>
      </c>
      <c r="C2312" t="s">
        <v>24</v>
      </c>
      <c r="D2312" t="s">
        <v>26</v>
      </c>
      <c r="E2312">
        <v>404</v>
      </c>
      <c r="F2312">
        <f t="shared" si="39"/>
        <v>5</v>
      </c>
    </row>
    <row r="2313" spans="1:6">
      <c r="A2313" s="83">
        <v>43160</v>
      </c>
      <c r="B2313" t="s">
        <v>32</v>
      </c>
      <c r="C2313" t="s">
        <v>21</v>
      </c>
      <c r="D2313" t="s">
        <v>22</v>
      </c>
      <c r="E2313">
        <v>193</v>
      </c>
      <c r="F2313">
        <f t="shared" si="39"/>
        <v>7</v>
      </c>
    </row>
    <row r="2314" spans="1:6">
      <c r="A2314" s="83">
        <v>43160</v>
      </c>
      <c r="B2314" t="s">
        <v>32</v>
      </c>
      <c r="C2314" t="s">
        <v>21</v>
      </c>
      <c r="D2314" t="s">
        <v>23</v>
      </c>
      <c r="E2314">
        <v>90</v>
      </c>
      <c r="F2314">
        <f t="shared" si="39"/>
        <v>3</v>
      </c>
    </row>
    <row r="2315" spans="1:6">
      <c r="A2315" s="83">
        <v>43160</v>
      </c>
      <c r="B2315" t="s">
        <v>32</v>
      </c>
      <c r="C2315" t="s">
        <v>24</v>
      </c>
      <c r="D2315" t="s">
        <v>26</v>
      </c>
      <c r="E2315">
        <v>823</v>
      </c>
      <c r="F2315">
        <f t="shared" si="39"/>
        <v>5</v>
      </c>
    </row>
    <row r="2316" spans="1:6">
      <c r="A2316" s="83">
        <v>43160</v>
      </c>
      <c r="B2316" t="s">
        <v>32</v>
      </c>
      <c r="C2316" t="s">
        <v>24</v>
      </c>
      <c r="D2316" t="s">
        <v>23</v>
      </c>
      <c r="E2316">
        <v>281</v>
      </c>
      <c r="F2316">
        <f t="shared" si="39"/>
        <v>3</v>
      </c>
    </row>
    <row r="2317" spans="1:6">
      <c r="A2317" s="83">
        <v>43191</v>
      </c>
      <c r="B2317" t="s">
        <v>32</v>
      </c>
      <c r="C2317" t="s">
        <v>21</v>
      </c>
      <c r="D2317" t="s">
        <v>23</v>
      </c>
      <c r="E2317">
        <v>210</v>
      </c>
      <c r="F2317">
        <f t="shared" si="39"/>
        <v>3</v>
      </c>
    </row>
    <row r="2318" spans="1:6">
      <c r="A2318" s="83">
        <v>43191</v>
      </c>
      <c r="B2318" t="s">
        <v>32</v>
      </c>
      <c r="C2318" t="s">
        <v>21</v>
      </c>
      <c r="D2318" t="s">
        <v>23</v>
      </c>
      <c r="E2318">
        <v>113</v>
      </c>
      <c r="F2318">
        <f t="shared" si="39"/>
        <v>3</v>
      </c>
    </row>
    <row r="2319" spans="1:6">
      <c r="A2319" s="83">
        <v>43191</v>
      </c>
      <c r="B2319" t="s">
        <v>32</v>
      </c>
      <c r="C2319" t="s">
        <v>24</v>
      </c>
      <c r="D2319" t="s">
        <v>22</v>
      </c>
      <c r="E2319">
        <v>956</v>
      </c>
      <c r="F2319">
        <f t="shared" si="39"/>
        <v>7</v>
      </c>
    </row>
    <row r="2320" spans="1:6">
      <c r="A2320" s="83">
        <v>43191</v>
      </c>
      <c r="B2320" t="s">
        <v>32</v>
      </c>
      <c r="C2320" t="s">
        <v>24</v>
      </c>
      <c r="D2320" t="s">
        <v>22</v>
      </c>
      <c r="E2320">
        <v>236</v>
      </c>
      <c r="F2320">
        <f t="shared" si="39"/>
        <v>7</v>
      </c>
    </row>
    <row r="2321" spans="1:6">
      <c r="A2321" s="83">
        <v>43221</v>
      </c>
      <c r="B2321" t="s">
        <v>32</v>
      </c>
      <c r="C2321" t="s">
        <v>21</v>
      </c>
      <c r="D2321" t="s">
        <v>22</v>
      </c>
      <c r="E2321">
        <v>175</v>
      </c>
      <c r="F2321">
        <f t="shared" si="39"/>
        <v>7</v>
      </c>
    </row>
    <row r="2322" spans="1:6">
      <c r="A2322" s="83">
        <v>43221</v>
      </c>
      <c r="B2322" t="s">
        <v>32</v>
      </c>
      <c r="C2322" t="s">
        <v>21</v>
      </c>
      <c r="D2322" t="s">
        <v>26</v>
      </c>
      <c r="E2322">
        <v>90</v>
      </c>
      <c r="F2322">
        <f t="shared" si="39"/>
        <v>5</v>
      </c>
    </row>
    <row r="2323" spans="1:6">
      <c r="A2323" s="83">
        <v>43221</v>
      </c>
      <c r="B2323" t="s">
        <v>32</v>
      </c>
      <c r="C2323" t="s">
        <v>24</v>
      </c>
      <c r="D2323" t="s">
        <v>22</v>
      </c>
      <c r="E2323">
        <v>899</v>
      </c>
      <c r="F2323">
        <f t="shared" si="39"/>
        <v>7</v>
      </c>
    </row>
    <row r="2324" spans="1:6">
      <c r="A2324" s="83">
        <v>43221</v>
      </c>
      <c r="B2324" t="s">
        <v>32</v>
      </c>
      <c r="C2324" t="s">
        <v>24</v>
      </c>
      <c r="D2324" t="s">
        <v>23</v>
      </c>
      <c r="E2324">
        <v>259</v>
      </c>
      <c r="F2324">
        <f t="shared" si="39"/>
        <v>3</v>
      </c>
    </row>
    <row r="2325" spans="1:6">
      <c r="A2325" s="83">
        <v>43252</v>
      </c>
      <c r="B2325" t="s">
        <v>32</v>
      </c>
      <c r="C2325" t="s">
        <v>21</v>
      </c>
      <c r="D2325" t="s">
        <v>23</v>
      </c>
      <c r="E2325">
        <v>140</v>
      </c>
      <c r="F2325">
        <f t="shared" si="39"/>
        <v>3</v>
      </c>
    </row>
    <row r="2326" spans="1:6">
      <c r="A2326" s="83">
        <v>43252</v>
      </c>
      <c r="B2326" t="s">
        <v>32</v>
      </c>
      <c r="C2326" t="s">
        <v>21</v>
      </c>
      <c r="D2326" t="s">
        <v>22</v>
      </c>
      <c r="E2326">
        <v>45</v>
      </c>
      <c r="F2326">
        <f t="shared" si="39"/>
        <v>7</v>
      </c>
    </row>
    <row r="2327" spans="1:6">
      <c r="A2327" s="83">
        <v>43252</v>
      </c>
      <c r="B2327" t="s">
        <v>32</v>
      </c>
      <c r="C2327" t="s">
        <v>24</v>
      </c>
      <c r="D2327" t="s">
        <v>22</v>
      </c>
      <c r="E2327">
        <v>980</v>
      </c>
      <c r="F2327">
        <f t="shared" si="39"/>
        <v>7</v>
      </c>
    </row>
    <row r="2328" spans="1:6">
      <c r="A2328" s="83">
        <v>43252</v>
      </c>
      <c r="B2328" t="s">
        <v>32</v>
      </c>
      <c r="C2328" t="s">
        <v>24</v>
      </c>
      <c r="D2328" t="s">
        <v>26</v>
      </c>
      <c r="E2328">
        <v>270</v>
      </c>
      <c r="F2328">
        <f t="shared" si="39"/>
        <v>5</v>
      </c>
    </row>
    <row r="2329" spans="1:6">
      <c r="A2329" s="83">
        <v>43282</v>
      </c>
      <c r="B2329" t="s">
        <v>32</v>
      </c>
      <c r="C2329" t="s">
        <v>21</v>
      </c>
      <c r="D2329" t="s">
        <v>26</v>
      </c>
      <c r="E2329">
        <v>140</v>
      </c>
      <c r="F2329">
        <f t="shared" si="39"/>
        <v>5</v>
      </c>
    </row>
    <row r="2330" spans="1:6">
      <c r="A2330" s="83">
        <v>43282</v>
      </c>
      <c r="B2330" t="s">
        <v>32</v>
      </c>
      <c r="C2330" t="s">
        <v>21</v>
      </c>
      <c r="D2330" t="s">
        <v>26</v>
      </c>
      <c r="E2330">
        <v>113</v>
      </c>
      <c r="F2330">
        <f t="shared" si="39"/>
        <v>5</v>
      </c>
    </row>
    <row r="2331" spans="1:6">
      <c r="A2331" s="83">
        <v>43282</v>
      </c>
      <c r="B2331" t="s">
        <v>32</v>
      </c>
      <c r="C2331" t="s">
        <v>24</v>
      </c>
      <c r="D2331" t="s">
        <v>22</v>
      </c>
      <c r="E2331">
        <v>922</v>
      </c>
      <c r="F2331">
        <f t="shared" si="39"/>
        <v>7</v>
      </c>
    </row>
    <row r="2332" spans="1:6">
      <c r="A2332" s="83">
        <v>43282</v>
      </c>
      <c r="B2332" t="s">
        <v>32</v>
      </c>
      <c r="C2332" t="s">
        <v>24</v>
      </c>
      <c r="D2332" t="s">
        <v>26</v>
      </c>
      <c r="E2332">
        <v>259</v>
      </c>
      <c r="F2332">
        <f t="shared" si="39"/>
        <v>5</v>
      </c>
    </row>
    <row r="2333" spans="1:6">
      <c r="A2333" s="83">
        <v>43313</v>
      </c>
      <c r="B2333" t="s">
        <v>32</v>
      </c>
      <c r="C2333" t="s">
        <v>21</v>
      </c>
      <c r="D2333" t="s">
        <v>22</v>
      </c>
      <c r="E2333">
        <v>88</v>
      </c>
      <c r="F2333">
        <f t="shared" si="39"/>
        <v>7</v>
      </c>
    </row>
    <row r="2334" spans="1:6">
      <c r="A2334" s="83">
        <v>43313</v>
      </c>
      <c r="B2334" t="s">
        <v>32</v>
      </c>
      <c r="C2334" t="s">
        <v>21</v>
      </c>
      <c r="D2334" t="s">
        <v>23</v>
      </c>
      <c r="E2334">
        <v>45</v>
      </c>
      <c r="F2334">
        <f t="shared" si="39"/>
        <v>3</v>
      </c>
    </row>
    <row r="2335" spans="1:6">
      <c r="A2335" s="83">
        <v>43313</v>
      </c>
      <c r="B2335" t="s">
        <v>32</v>
      </c>
      <c r="C2335" t="s">
        <v>24</v>
      </c>
      <c r="D2335" t="s">
        <v>22</v>
      </c>
      <c r="E2335">
        <v>1039</v>
      </c>
      <c r="F2335">
        <f t="shared" si="39"/>
        <v>7</v>
      </c>
    </row>
    <row r="2336" spans="1:6">
      <c r="A2336" s="83">
        <v>43313</v>
      </c>
      <c r="B2336" t="s">
        <v>32</v>
      </c>
      <c r="C2336" t="s">
        <v>24</v>
      </c>
      <c r="D2336" t="s">
        <v>22</v>
      </c>
      <c r="E2336">
        <v>293</v>
      </c>
      <c r="F2336">
        <f t="shared" si="39"/>
        <v>7</v>
      </c>
    </row>
    <row r="2337" spans="1:6">
      <c r="A2337" s="83">
        <v>43344</v>
      </c>
      <c r="B2337" t="s">
        <v>32</v>
      </c>
      <c r="C2337" t="s">
        <v>21</v>
      </c>
      <c r="D2337" t="s">
        <v>22</v>
      </c>
      <c r="E2337">
        <v>70</v>
      </c>
      <c r="F2337">
        <f t="shared" si="39"/>
        <v>7</v>
      </c>
    </row>
    <row r="2338" spans="1:6">
      <c r="A2338" s="83">
        <v>43344</v>
      </c>
      <c r="B2338" t="s">
        <v>32</v>
      </c>
      <c r="C2338" t="s">
        <v>21</v>
      </c>
      <c r="D2338" t="s">
        <v>22</v>
      </c>
      <c r="E2338">
        <v>68</v>
      </c>
      <c r="F2338">
        <f t="shared" si="39"/>
        <v>7</v>
      </c>
    </row>
    <row r="2339" spans="1:6">
      <c r="A2339" s="83">
        <v>43344</v>
      </c>
      <c r="B2339" t="s">
        <v>32</v>
      </c>
      <c r="C2339" t="s">
        <v>24</v>
      </c>
      <c r="D2339" t="s">
        <v>22</v>
      </c>
      <c r="E2339">
        <v>1111</v>
      </c>
      <c r="F2339">
        <f t="shared" si="39"/>
        <v>7</v>
      </c>
    </row>
    <row r="2340" spans="1:6">
      <c r="A2340" s="83">
        <v>43344</v>
      </c>
      <c r="B2340" t="s">
        <v>32</v>
      </c>
      <c r="C2340" t="s">
        <v>24</v>
      </c>
      <c r="D2340" t="s">
        <v>22</v>
      </c>
      <c r="E2340">
        <v>304</v>
      </c>
      <c r="F2340">
        <f t="shared" si="39"/>
        <v>7</v>
      </c>
    </row>
    <row r="2341" spans="1:6">
      <c r="A2341" s="83">
        <v>43374</v>
      </c>
      <c r="B2341" t="s">
        <v>32</v>
      </c>
      <c r="C2341" t="s">
        <v>21</v>
      </c>
      <c r="D2341" t="s">
        <v>26</v>
      </c>
      <c r="E2341">
        <v>70</v>
      </c>
      <c r="F2341">
        <f t="shared" si="39"/>
        <v>5</v>
      </c>
    </row>
    <row r="2342" spans="1:6">
      <c r="A2342" s="83">
        <v>43374</v>
      </c>
      <c r="B2342" t="s">
        <v>32</v>
      </c>
      <c r="C2342" t="s">
        <v>21</v>
      </c>
      <c r="D2342" t="s">
        <v>22</v>
      </c>
      <c r="E2342">
        <v>68</v>
      </c>
      <c r="F2342">
        <f t="shared" si="39"/>
        <v>7</v>
      </c>
    </row>
    <row r="2343" spans="1:6">
      <c r="A2343" s="83">
        <v>43374</v>
      </c>
      <c r="B2343" t="s">
        <v>32</v>
      </c>
      <c r="C2343" t="s">
        <v>24</v>
      </c>
      <c r="D2343" t="s">
        <v>26</v>
      </c>
      <c r="E2343">
        <v>1196</v>
      </c>
      <c r="F2343">
        <f t="shared" si="39"/>
        <v>5</v>
      </c>
    </row>
    <row r="2344" spans="1:6">
      <c r="A2344" s="83">
        <v>43374</v>
      </c>
      <c r="B2344" t="s">
        <v>32</v>
      </c>
      <c r="C2344" t="s">
        <v>24</v>
      </c>
      <c r="D2344" t="s">
        <v>23</v>
      </c>
      <c r="E2344">
        <v>326</v>
      </c>
      <c r="F2344">
        <f t="shared" si="39"/>
        <v>3</v>
      </c>
    </row>
    <row r="2345" spans="1:6">
      <c r="A2345" s="83">
        <v>43405</v>
      </c>
      <c r="B2345" t="s">
        <v>32</v>
      </c>
      <c r="C2345" t="s">
        <v>21</v>
      </c>
      <c r="D2345" t="s">
        <v>26</v>
      </c>
      <c r="E2345">
        <v>88</v>
      </c>
      <c r="F2345">
        <f t="shared" si="39"/>
        <v>5</v>
      </c>
    </row>
    <row r="2346" spans="1:6">
      <c r="A2346" s="83">
        <v>43405</v>
      </c>
      <c r="B2346" t="s">
        <v>32</v>
      </c>
      <c r="C2346" t="s">
        <v>21</v>
      </c>
      <c r="D2346" t="s">
        <v>23</v>
      </c>
      <c r="E2346">
        <v>90</v>
      </c>
      <c r="F2346">
        <f t="shared" si="39"/>
        <v>3</v>
      </c>
    </row>
    <row r="2347" spans="1:6">
      <c r="A2347" s="83">
        <v>43405</v>
      </c>
      <c r="B2347" t="s">
        <v>32</v>
      </c>
      <c r="C2347" t="s">
        <v>24</v>
      </c>
      <c r="D2347" t="s">
        <v>23</v>
      </c>
      <c r="E2347">
        <v>1456</v>
      </c>
      <c r="F2347">
        <f t="shared" si="39"/>
        <v>3</v>
      </c>
    </row>
    <row r="2348" spans="1:6">
      <c r="A2348" s="83">
        <v>43405</v>
      </c>
      <c r="B2348" t="s">
        <v>32</v>
      </c>
      <c r="C2348" t="s">
        <v>24</v>
      </c>
      <c r="D2348" t="s">
        <v>22</v>
      </c>
      <c r="E2348">
        <v>394</v>
      </c>
      <c r="F2348">
        <f t="shared" si="39"/>
        <v>7</v>
      </c>
    </row>
    <row r="2349" spans="1:6">
      <c r="A2349" s="83">
        <v>43435</v>
      </c>
      <c r="B2349" t="s">
        <v>32</v>
      </c>
      <c r="C2349" t="s">
        <v>21</v>
      </c>
      <c r="D2349" t="s">
        <v>23</v>
      </c>
      <c r="E2349">
        <v>123</v>
      </c>
      <c r="F2349">
        <f t="shared" si="39"/>
        <v>3</v>
      </c>
    </row>
    <row r="2350" spans="1:6">
      <c r="A2350" s="83">
        <v>43435</v>
      </c>
      <c r="B2350" t="s">
        <v>32</v>
      </c>
      <c r="C2350" t="s">
        <v>21</v>
      </c>
      <c r="D2350" t="s">
        <v>23</v>
      </c>
      <c r="E2350">
        <v>90</v>
      </c>
      <c r="F2350">
        <f t="shared" si="39"/>
        <v>3</v>
      </c>
    </row>
    <row r="2351" spans="1:6">
      <c r="A2351" s="83">
        <v>43435</v>
      </c>
      <c r="B2351" t="s">
        <v>32</v>
      </c>
      <c r="C2351" t="s">
        <v>24</v>
      </c>
      <c r="D2351" t="s">
        <v>23</v>
      </c>
      <c r="E2351">
        <v>1343</v>
      </c>
      <c r="F2351">
        <f t="shared" si="39"/>
        <v>3</v>
      </c>
    </row>
    <row r="2352" spans="1:6">
      <c r="A2352" s="83">
        <v>43435</v>
      </c>
      <c r="B2352" t="s">
        <v>32</v>
      </c>
      <c r="C2352" t="s">
        <v>24</v>
      </c>
      <c r="D2352" t="s">
        <v>26</v>
      </c>
      <c r="E2352">
        <v>404</v>
      </c>
      <c r="F2352">
        <f t="shared" si="39"/>
        <v>5</v>
      </c>
    </row>
    <row r="2353" spans="1:6">
      <c r="A2353" s="83">
        <v>43466</v>
      </c>
      <c r="B2353" t="s">
        <v>32</v>
      </c>
      <c r="C2353" t="s">
        <v>21</v>
      </c>
      <c r="D2353" t="s">
        <v>26</v>
      </c>
      <c r="E2353">
        <v>175</v>
      </c>
      <c r="F2353">
        <f t="shared" si="39"/>
        <v>5</v>
      </c>
    </row>
    <row r="2354" spans="1:6">
      <c r="A2354" s="83">
        <v>43466</v>
      </c>
      <c r="B2354" t="s">
        <v>32</v>
      </c>
      <c r="C2354" t="s">
        <v>21</v>
      </c>
      <c r="D2354" t="s">
        <v>22</v>
      </c>
      <c r="E2354">
        <v>113</v>
      </c>
      <c r="F2354">
        <f t="shared" si="39"/>
        <v>7</v>
      </c>
    </row>
    <row r="2355" spans="1:6">
      <c r="A2355" s="83">
        <v>43466</v>
      </c>
      <c r="B2355" t="s">
        <v>32</v>
      </c>
      <c r="C2355" t="s">
        <v>24</v>
      </c>
      <c r="D2355" t="s">
        <v>26</v>
      </c>
      <c r="E2355">
        <v>1310</v>
      </c>
      <c r="F2355">
        <f t="shared" si="39"/>
        <v>5</v>
      </c>
    </row>
    <row r="2356" spans="1:6">
      <c r="A2356" s="83">
        <v>43466</v>
      </c>
      <c r="B2356" t="s">
        <v>32</v>
      </c>
      <c r="C2356" t="s">
        <v>24</v>
      </c>
      <c r="D2356" t="s">
        <v>23</v>
      </c>
      <c r="E2356">
        <v>437</v>
      </c>
      <c r="F2356">
        <f t="shared" si="39"/>
        <v>3</v>
      </c>
    </row>
    <row r="2357" spans="1:6">
      <c r="A2357" s="83">
        <v>43497</v>
      </c>
      <c r="B2357" t="s">
        <v>32</v>
      </c>
      <c r="C2357" t="s">
        <v>21</v>
      </c>
      <c r="D2357" t="s">
        <v>23</v>
      </c>
      <c r="E2357">
        <v>158</v>
      </c>
      <c r="F2357">
        <f t="shared" si="39"/>
        <v>3</v>
      </c>
    </row>
    <row r="2358" spans="1:6">
      <c r="A2358" s="83">
        <v>43497</v>
      </c>
      <c r="B2358" t="s">
        <v>32</v>
      </c>
      <c r="C2358" t="s">
        <v>21</v>
      </c>
      <c r="D2358" t="s">
        <v>23</v>
      </c>
      <c r="E2358">
        <v>113</v>
      </c>
      <c r="F2358">
        <f t="shared" si="39"/>
        <v>3</v>
      </c>
    </row>
    <row r="2359" spans="1:6">
      <c r="A2359" s="83">
        <v>43497</v>
      </c>
      <c r="B2359" t="s">
        <v>32</v>
      </c>
      <c r="C2359" t="s">
        <v>24</v>
      </c>
      <c r="D2359" t="s">
        <v>22</v>
      </c>
      <c r="E2359">
        <v>1354</v>
      </c>
      <c r="F2359">
        <f t="shared" si="39"/>
        <v>7</v>
      </c>
    </row>
    <row r="2360" spans="1:6">
      <c r="A2360" s="83">
        <v>43497</v>
      </c>
      <c r="B2360" t="s">
        <v>32</v>
      </c>
      <c r="C2360" t="s">
        <v>24</v>
      </c>
      <c r="D2360" t="s">
        <v>26</v>
      </c>
      <c r="E2360">
        <v>525</v>
      </c>
      <c r="F2360">
        <f t="shared" si="39"/>
        <v>5</v>
      </c>
    </row>
    <row r="2361" spans="1:6">
      <c r="A2361" s="83">
        <v>43525</v>
      </c>
      <c r="B2361" t="s">
        <v>32</v>
      </c>
      <c r="C2361" t="s">
        <v>21</v>
      </c>
      <c r="D2361" t="s">
        <v>26</v>
      </c>
      <c r="E2361">
        <v>210</v>
      </c>
      <c r="F2361">
        <f t="shared" si="39"/>
        <v>5</v>
      </c>
    </row>
    <row r="2362" spans="1:6">
      <c r="A2362" s="83">
        <v>43525</v>
      </c>
      <c r="B2362" t="s">
        <v>32</v>
      </c>
      <c r="C2362" t="s">
        <v>21</v>
      </c>
      <c r="D2362" t="s">
        <v>26</v>
      </c>
      <c r="E2362">
        <v>135</v>
      </c>
      <c r="F2362">
        <f t="shared" si="39"/>
        <v>5</v>
      </c>
    </row>
    <row r="2363" spans="1:6">
      <c r="A2363" s="83">
        <v>43525</v>
      </c>
      <c r="B2363" t="s">
        <v>32</v>
      </c>
      <c r="C2363" t="s">
        <v>24</v>
      </c>
      <c r="D2363" t="s">
        <v>26</v>
      </c>
      <c r="E2363">
        <v>1062</v>
      </c>
      <c r="F2363">
        <f t="shared" si="39"/>
        <v>5</v>
      </c>
    </row>
    <row r="2364" spans="1:6">
      <c r="A2364" s="83">
        <v>43525</v>
      </c>
      <c r="B2364" t="s">
        <v>32</v>
      </c>
      <c r="C2364" t="s">
        <v>24</v>
      </c>
      <c r="D2364" t="s">
        <v>26</v>
      </c>
      <c r="E2364">
        <v>448</v>
      </c>
      <c r="F2364">
        <f t="shared" si="39"/>
        <v>5</v>
      </c>
    </row>
    <row r="2365" spans="1:6">
      <c r="A2365" s="83">
        <v>43556</v>
      </c>
      <c r="B2365" t="s">
        <v>32</v>
      </c>
      <c r="C2365" t="s">
        <v>21</v>
      </c>
      <c r="D2365" t="s">
        <v>26</v>
      </c>
      <c r="E2365">
        <v>123</v>
      </c>
      <c r="F2365">
        <f t="shared" si="39"/>
        <v>5</v>
      </c>
    </row>
    <row r="2366" spans="1:6">
      <c r="A2366" s="83">
        <v>43556</v>
      </c>
      <c r="B2366" t="s">
        <v>32</v>
      </c>
      <c r="C2366" t="s">
        <v>21</v>
      </c>
      <c r="D2366" t="s">
        <v>22</v>
      </c>
      <c r="E2366">
        <v>135</v>
      </c>
      <c r="F2366">
        <f t="shared" si="39"/>
        <v>7</v>
      </c>
    </row>
    <row r="2367" spans="1:6">
      <c r="A2367" s="83">
        <v>43556</v>
      </c>
      <c r="B2367" t="s">
        <v>32</v>
      </c>
      <c r="C2367" t="s">
        <v>24</v>
      </c>
      <c r="D2367" t="s">
        <v>26</v>
      </c>
      <c r="E2367">
        <v>890</v>
      </c>
      <c r="F2367">
        <f t="shared" si="39"/>
        <v>5</v>
      </c>
    </row>
    <row r="2368" spans="1:6">
      <c r="A2368" s="83">
        <v>43556</v>
      </c>
      <c r="B2368" t="s">
        <v>32</v>
      </c>
      <c r="C2368" t="s">
        <v>24</v>
      </c>
      <c r="D2368" t="s">
        <v>22</v>
      </c>
      <c r="E2368">
        <v>458</v>
      </c>
      <c r="F2368">
        <f t="shared" si="39"/>
        <v>7</v>
      </c>
    </row>
    <row r="2369" spans="1:6">
      <c r="A2369" s="83">
        <v>43586</v>
      </c>
      <c r="B2369" t="s">
        <v>32</v>
      </c>
      <c r="C2369" t="s">
        <v>21</v>
      </c>
      <c r="D2369" t="s">
        <v>23</v>
      </c>
      <c r="E2369">
        <v>105</v>
      </c>
      <c r="F2369">
        <f t="shared" si="39"/>
        <v>3</v>
      </c>
    </row>
    <row r="2370" spans="1:6">
      <c r="A2370" s="83">
        <v>43586</v>
      </c>
      <c r="B2370" t="s">
        <v>32</v>
      </c>
      <c r="C2370" t="s">
        <v>21</v>
      </c>
      <c r="D2370" t="s">
        <v>26</v>
      </c>
      <c r="E2370">
        <v>135</v>
      </c>
      <c r="F2370">
        <f t="shared" si="39"/>
        <v>5</v>
      </c>
    </row>
    <row r="2371" spans="1:6">
      <c r="A2371" s="83">
        <v>43586</v>
      </c>
      <c r="B2371" t="s">
        <v>32</v>
      </c>
      <c r="C2371" t="s">
        <v>24</v>
      </c>
      <c r="D2371" t="s">
        <v>23</v>
      </c>
      <c r="E2371">
        <v>856</v>
      </c>
      <c r="F2371">
        <f t="shared" ref="F2371:F2434" si="40">LEN(D2371)</f>
        <v>3</v>
      </c>
    </row>
    <row r="2372" spans="1:6">
      <c r="A2372" s="83">
        <v>43586</v>
      </c>
      <c r="B2372" t="s">
        <v>32</v>
      </c>
      <c r="C2372" t="s">
        <v>24</v>
      </c>
      <c r="D2372" t="s">
        <v>26</v>
      </c>
      <c r="E2372">
        <v>459</v>
      </c>
      <c r="F2372">
        <f t="shared" si="40"/>
        <v>5</v>
      </c>
    </row>
    <row r="2373" spans="1:6">
      <c r="A2373" s="83">
        <v>43617</v>
      </c>
      <c r="B2373" t="s">
        <v>32</v>
      </c>
      <c r="C2373" t="s">
        <v>21</v>
      </c>
      <c r="D2373" t="s">
        <v>26</v>
      </c>
      <c r="E2373">
        <v>88</v>
      </c>
      <c r="F2373">
        <f t="shared" si="40"/>
        <v>5</v>
      </c>
    </row>
    <row r="2374" spans="1:6">
      <c r="A2374" s="83">
        <v>43617</v>
      </c>
      <c r="B2374" t="s">
        <v>32</v>
      </c>
      <c r="C2374" t="s">
        <v>21</v>
      </c>
      <c r="D2374" t="s">
        <v>22</v>
      </c>
      <c r="E2374">
        <v>135</v>
      </c>
      <c r="F2374">
        <f t="shared" si="40"/>
        <v>7</v>
      </c>
    </row>
    <row r="2375" spans="1:6">
      <c r="A2375" s="83">
        <v>43617</v>
      </c>
      <c r="B2375" t="s">
        <v>32</v>
      </c>
      <c r="C2375" t="s">
        <v>24</v>
      </c>
      <c r="D2375" t="s">
        <v>23</v>
      </c>
      <c r="E2375">
        <v>655</v>
      </c>
      <c r="F2375">
        <f t="shared" si="40"/>
        <v>3</v>
      </c>
    </row>
    <row r="2376" spans="1:6">
      <c r="A2376" s="83">
        <v>43617</v>
      </c>
      <c r="B2376" t="s">
        <v>32</v>
      </c>
      <c r="C2376" t="s">
        <v>24</v>
      </c>
      <c r="D2376" t="s">
        <v>23</v>
      </c>
      <c r="E2376">
        <v>394</v>
      </c>
      <c r="F2376">
        <f t="shared" si="40"/>
        <v>3</v>
      </c>
    </row>
    <row r="2377" spans="1:6">
      <c r="A2377" s="83">
        <v>43647</v>
      </c>
      <c r="B2377" t="s">
        <v>32</v>
      </c>
      <c r="C2377" t="s">
        <v>21</v>
      </c>
      <c r="D2377" t="s">
        <v>22</v>
      </c>
      <c r="E2377">
        <v>140</v>
      </c>
      <c r="F2377">
        <f t="shared" si="40"/>
        <v>7</v>
      </c>
    </row>
    <row r="2378" spans="1:6">
      <c r="A2378" s="83">
        <v>43647</v>
      </c>
      <c r="B2378" t="s">
        <v>32</v>
      </c>
      <c r="C2378" t="s">
        <v>21</v>
      </c>
      <c r="D2378" t="s">
        <v>23</v>
      </c>
      <c r="E2378">
        <v>158</v>
      </c>
      <c r="F2378">
        <f t="shared" si="40"/>
        <v>3</v>
      </c>
    </row>
    <row r="2379" spans="1:6">
      <c r="A2379" s="83">
        <v>43647</v>
      </c>
      <c r="B2379" t="s">
        <v>32</v>
      </c>
      <c r="C2379" t="s">
        <v>24</v>
      </c>
      <c r="D2379" t="s">
        <v>22</v>
      </c>
      <c r="E2379">
        <v>637</v>
      </c>
      <c r="F2379">
        <f t="shared" si="40"/>
        <v>7</v>
      </c>
    </row>
    <row r="2380" spans="1:6">
      <c r="A2380" s="83">
        <v>43647</v>
      </c>
      <c r="B2380" t="s">
        <v>32</v>
      </c>
      <c r="C2380" t="s">
        <v>24</v>
      </c>
      <c r="D2380" t="s">
        <v>23</v>
      </c>
      <c r="E2380">
        <v>383</v>
      </c>
      <c r="F2380">
        <f t="shared" si="40"/>
        <v>3</v>
      </c>
    </row>
    <row r="2381" spans="1:6">
      <c r="A2381" s="83">
        <v>43678</v>
      </c>
      <c r="B2381" t="s">
        <v>32</v>
      </c>
      <c r="C2381" t="s">
        <v>21</v>
      </c>
      <c r="D2381" t="s">
        <v>22</v>
      </c>
      <c r="E2381">
        <v>88</v>
      </c>
      <c r="F2381">
        <f t="shared" si="40"/>
        <v>7</v>
      </c>
    </row>
    <row r="2382" spans="1:6">
      <c r="A2382" s="83">
        <v>43678</v>
      </c>
      <c r="B2382" t="s">
        <v>32</v>
      </c>
      <c r="C2382" t="s">
        <v>21</v>
      </c>
      <c r="D2382" t="s">
        <v>22</v>
      </c>
      <c r="E2382">
        <v>180</v>
      </c>
      <c r="F2382">
        <f t="shared" si="40"/>
        <v>7</v>
      </c>
    </row>
    <row r="2383" spans="1:6">
      <c r="A2383" s="83">
        <v>43678</v>
      </c>
      <c r="B2383" t="s">
        <v>32</v>
      </c>
      <c r="C2383" t="s">
        <v>24</v>
      </c>
      <c r="D2383" t="s">
        <v>22</v>
      </c>
      <c r="E2383">
        <v>595</v>
      </c>
      <c r="F2383">
        <f t="shared" si="40"/>
        <v>7</v>
      </c>
    </row>
    <row r="2384" spans="1:6">
      <c r="A2384" s="83">
        <v>43678</v>
      </c>
      <c r="B2384" t="s">
        <v>32</v>
      </c>
      <c r="C2384" t="s">
        <v>24</v>
      </c>
      <c r="D2384" t="s">
        <v>26</v>
      </c>
      <c r="E2384">
        <v>416</v>
      </c>
      <c r="F2384">
        <f t="shared" si="40"/>
        <v>5</v>
      </c>
    </row>
    <row r="2385" spans="1:6">
      <c r="A2385" s="83">
        <v>43709</v>
      </c>
      <c r="B2385" t="s">
        <v>32</v>
      </c>
      <c r="C2385" t="s">
        <v>21</v>
      </c>
      <c r="D2385" t="s">
        <v>22</v>
      </c>
      <c r="E2385">
        <v>88</v>
      </c>
      <c r="F2385">
        <f t="shared" si="40"/>
        <v>7</v>
      </c>
    </row>
    <row r="2386" spans="1:6">
      <c r="A2386" s="83">
        <v>43709</v>
      </c>
      <c r="B2386" t="s">
        <v>32</v>
      </c>
      <c r="C2386" t="s">
        <v>21</v>
      </c>
      <c r="D2386" t="s">
        <v>26</v>
      </c>
      <c r="E2386">
        <v>158</v>
      </c>
      <c r="F2386">
        <f t="shared" si="40"/>
        <v>5</v>
      </c>
    </row>
    <row r="2387" spans="1:6">
      <c r="A2387" s="83">
        <v>43709</v>
      </c>
      <c r="B2387" t="s">
        <v>32</v>
      </c>
      <c r="C2387" t="s">
        <v>24</v>
      </c>
      <c r="D2387" t="s">
        <v>23</v>
      </c>
      <c r="E2387">
        <v>502</v>
      </c>
      <c r="F2387">
        <f t="shared" si="40"/>
        <v>3</v>
      </c>
    </row>
    <row r="2388" spans="1:6">
      <c r="A2388" s="83">
        <v>43709</v>
      </c>
      <c r="B2388" t="s">
        <v>32</v>
      </c>
      <c r="C2388" t="s">
        <v>24</v>
      </c>
      <c r="D2388" t="s">
        <v>26</v>
      </c>
      <c r="E2388">
        <v>415</v>
      </c>
      <c r="F2388">
        <f t="shared" si="40"/>
        <v>5</v>
      </c>
    </row>
    <row r="2389" spans="1:6">
      <c r="A2389" s="83">
        <v>43739</v>
      </c>
      <c r="B2389" t="s">
        <v>32</v>
      </c>
      <c r="C2389" t="s">
        <v>21</v>
      </c>
      <c r="D2389" t="s">
        <v>26</v>
      </c>
      <c r="E2389">
        <v>88</v>
      </c>
      <c r="F2389">
        <f t="shared" si="40"/>
        <v>5</v>
      </c>
    </row>
    <row r="2390" spans="1:6">
      <c r="A2390" s="83">
        <v>43739</v>
      </c>
      <c r="B2390" t="s">
        <v>32</v>
      </c>
      <c r="C2390" t="s">
        <v>21</v>
      </c>
      <c r="D2390" t="s">
        <v>23</v>
      </c>
      <c r="E2390">
        <v>158</v>
      </c>
      <c r="F2390">
        <f t="shared" si="40"/>
        <v>3</v>
      </c>
    </row>
    <row r="2391" spans="1:6">
      <c r="A2391" s="83">
        <v>43739</v>
      </c>
      <c r="B2391" t="s">
        <v>32</v>
      </c>
      <c r="C2391" t="s">
        <v>24</v>
      </c>
      <c r="D2391" t="s">
        <v>22</v>
      </c>
      <c r="E2391">
        <v>306</v>
      </c>
      <c r="F2391">
        <f t="shared" si="40"/>
        <v>7</v>
      </c>
    </row>
    <row r="2392" spans="1:6">
      <c r="A2392" s="83">
        <v>43739</v>
      </c>
      <c r="B2392" t="s">
        <v>32</v>
      </c>
      <c r="C2392" t="s">
        <v>24</v>
      </c>
      <c r="D2392" t="s">
        <v>26</v>
      </c>
      <c r="E2392">
        <v>259</v>
      </c>
      <c r="F2392">
        <f t="shared" si="40"/>
        <v>5</v>
      </c>
    </row>
    <row r="2393" spans="1:6">
      <c r="A2393" s="83">
        <v>43770</v>
      </c>
      <c r="B2393" t="s">
        <v>32</v>
      </c>
      <c r="C2393" t="s">
        <v>21</v>
      </c>
      <c r="D2393" t="s">
        <v>22</v>
      </c>
      <c r="E2393">
        <v>88</v>
      </c>
      <c r="F2393">
        <f t="shared" si="40"/>
        <v>7</v>
      </c>
    </row>
    <row r="2394" spans="1:6">
      <c r="A2394" s="83">
        <v>43770</v>
      </c>
      <c r="B2394" t="s">
        <v>32</v>
      </c>
      <c r="C2394" t="s">
        <v>21</v>
      </c>
      <c r="D2394" t="s">
        <v>23</v>
      </c>
      <c r="E2394">
        <v>180</v>
      </c>
      <c r="F2394">
        <f t="shared" si="40"/>
        <v>3</v>
      </c>
    </row>
    <row r="2395" spans="1:6">
      <c r="A2395" s="83">
        <v>43770</v>
      </c>
      <c r="B2395" t="s">
        <v>32</v>
      </c>
      <c r="C2395" t="s">
        <v>24</v>
      </c>
      <c r="D2395" t="s">
        <v>26</v>
      </c>
      <c r="E2395">
        <v>359</v>
      </c>
      <c r="F2395">
        <f t="shared" si="40"/>
        <v>5</v>
      </c>
    </row>
    <row r="2396" spans="1:6">
      <c r="A2396" s="83">
        <v>43770</v>
      </c>
      <c r="B2396" t="s">
        <v>32</v>
      </c>
      <c r="C2396" t="s">
        <v>24</v>
      </c>
      <c r="D2396" t="s">
        <v>23</v>
      </c>
      <c r="E2396">
        <v>360</v>
      </c>
      <c r="F2396">
        <f t="shared" si="40"/>
        <v>3</v>
      </c>
    </row>
    <row r="2397" spans="1:6">
      <c r="A2397" s="83">
        <v>43800</v>
      </c>
      <c r="B2397" t="s">
        <v>32</v>
      </c>
      <c r="C2397" t="s">
        <v>21</v>
      </c>
      <c r="D2397" t="s">
        <v>26</v>
      </c>
      <c r="E2397">
        <v>105</v>
      </c>
      <c r="F2397">
        <f t="shared" si="40"/>
        <v>5</v>
      </c>
    </row>
    <row r="2398" spans="1:6">
      <c r="A2398" s="83">
        <v>43800</v>
      </c>
      <c r="B2398" t="s">
        <v>32</v>
      </c>
      <c r="C2398" t="s">
        <v>21</v>
      </c>
      <c r="D2398" t="s">
        <v>26</v>
      </c>
      <c r="E2398">
        <v>158</v>
      </c>
      <c r="F2398">
        <f t="shared" si="40"/>
        <v>5</v>
      </c>
    </row>
    <row r="2399" spans="1:6">
      <c r="A2399" s="83">
        <v>43800</v>
      </c>
      <c r="B2399" t="s">
        <v>32</v>
      </c>
      <c r="C2399" t="s">
        <v>24</v>
      </c>
      <c r="D2399" t="s">
        <v>26</v>
      </c>
      <c r="E2399">
        <v>298</v>
      </c>
      <c r="F2399">
        <f t="shared" si="40"/>
        <v>5</v>
      </c>
    </row>
    <row r="2400" spans="1:6">
      <c r="A2400" s="83">
        <v>43800</v>
      </c>
      <c r="B2400" t="s">
        <v>32</v>
      </c>
      <c r="C2400" t="s">
        <v>24</v>
      </c>
      <c r="D2400" t="s">
        <v>26</v>
      </c>
      <c r="E2400">
        <v>426</v>
      </c>
      <c r="F2400">
        <f t="shared" si="40"/>
        <v>5</v>
      </c>
    </row>
    <row r="2401" spans="1:6">
      <c r="A2401" s="83">
        <v>43221</v>
      </c>
      <c r="B2401" t="s">
        <v>32</v>
      </c>
      <c r="C2401" t="s">
        <v>21</v>
      </c>
      <c r="D2401" t="s">
        <v>22</v>
      </c>
      <c r="E2401">
        <v>28</v>
      </c>
      <c r="F2401">
        <f t="shared" si="40"/>
        <v>7</v>
      </c>
    </row>
    <row r="2402" spans="1:6">
      <c r="A2402" s="83">
        <v>43221</v>
      </c>
      <c r="B2402" t="s">
        <v>32</v>
      </c>
      <c r="C2402" t="s">
        <v>21</v>
      </c>
      <c r="D2402" t="s">
        <v>26</v>
      </c>
      <c r="E2402">
        <v>44</v>
      </c>
      <c r="F2402">
        <f t="shared" si="40"/>
        <v>5</v>
      </c>
    </row>
    <row r="2403" spans="1:6">
      <c r="A2403" s="83">
        <v>43221</v>
      </c>
      <c r="B2403" t="s">
        <v>32</v>
      </c>
      <c r="C2403" t="s">
        <v>21</v>
      </c>
      <c r="D2403" t="s">
        <v>22</v>
      </c>
      <c r="E2403">
        <v>36</v>
      </c>
      <c r="F2403">
        <f t="shared" si="40"/>
        <v>7</v>
      </c>
    </row>
    <row r="2404" spans="1:6">
      <c r="A2404" s="83">
        <v>43221</v>
      </c>
      <c r="B2404" t="s">
        <v>32</v>
      </c>
      <c r="C2404" t="s">
        <v>24</v>
      </c>
      <c r="D2404" t="s">
        <v>22</v>
      </c>
      <c r="E2404">
        <v>105</v>
      </c>
      <c r="F2404">
        <f t="shared" si="40"/>
        <v>7</v>
      </c>
    </row>
    <row r="2405" spans="1:6">
      <c r="A2405" s="83">
        <v>43221</v>
      </c>
      <c r="B2405" t="s">
        <v>32</v>
      </c>
      <c r="C2405" t="s">
        <v>24</v>
      </c>
      <c r="D2405" t="s">
        <v>22</v>
      </c>
      <c r="E2405">
        <v>179</v>
      </c>
      <c r="F2405">
        <f t="shared" si="40"/>
        <v>7</v>
      </c>
    </row>
    <row r="2406" spans="1:6">
      <c r="A2406" s="83">
        <v>43221</v>
      </c>
      <c r="B2406" t="s">
        <v>32</v>
      </c>
      <c r="C2406" t="s">
        <v>24</v>
      </c>
      <c r="D2406" t="s">
        <v>23</v>
      </c>
      <c r="E2406">
        <v>124</v>
      </c>
      <c r="F2406">
        <f t="shared" si="40"/>
        <v>3</v>
      </c>
    </row>
    <row r="2407" spans="1:6">
      <c r="A2407" s="83">
        <v>43252</v>
      </c>
      <c r="B2407" t="s">
        <v>32</v>
      </c>
      <c r="C2407" t="s">
        <v>21</v>
      </c>
      <c r="D2407" t="s">
        <v>26</v>
      </c>
      <c r="E2407">
        <v>28</v>
      </c>
      <c r="F2407">
        <f t="shared" si="40"/>
        <v>5</v>
      </c>
    </row>
    <row r="2408" spans="1:6">
      <c r="A2408" s="83">
        <v>43252</v>
      </c>
      <c r="B2408" t="s">
        <v>32</v>
      </c>
      <c r="C2408" t="s">
        <v>21</v>
      </c>
      <c r="D2408" t="s">
        <v>22</v>
      </c>
      <c r="E2408">
        <v>39</v>
      </c>
      <c r="F2408">
        <f t="shared" si="40"/>
        <v>7</v>
      </c>
    </row>
    <row r="2409" spans="1:6">
      <c r="A2409" s="83">
        <v>43252</v>
      </c>
      <c r="B2409" t="s">
        <v>32</v>
      </c>
      <c r="C2409" t="s">
        <v>21</v>
      </c>
      <c r="D2409" t="s">
        <v>22</v>
      </c>
      <c r="E2409">
        <v>41</v>
      </c>
      <c r="F2409">
        <f t="shared" si="40"/>
        <v>7</v>
      </c>
    </row>
    <row r="2410" spans="1:6">
      <c r="A2410" s="83">
        <v>43252</v>
      </c>
      <c r="B2410" t="s">
        <v>32</v>
      </c>
      <c r="C2410" t="s">
        <v>24</v>
      </c>
      <c r="D2410" t="s">
        <v>26</v>
      </c>
      <c r="E2410">
        <v>96</v>
      </c>
      <c r="F2410">
        <f t="shared" si="40"/>
        <v>5</v>
      </c>
    </row>
    <row r="2411" spans="1:6">
      <c r="A2411" s="83">
        <v>43252</v>
      </c>
      <c r="B2411" t="s">
        <v>32</v>
      </c>
      <c r="C2411" t="s">
        <v>24</v>
      </c>
      <c r="D2411" t="s">
        <v>23</v>
      </c>
      <c r="E2411">
        <v>165</v>
      </c>
      <c r="F2411">
        <f t="shared" si="40"/>
        <v>3</v>
      </c>
    </row>
    <row r="2412" spans="1:6">
      <c r="A2412" s="83">
        <v>43252</v>
      </c>
      <c r="B2412" t="s">
        <v>32</v>
      </c>
      <c r="C2412" t="s">
        <v>24</v>
      </c>
      <c r="D2412" t="s">
        <v>26</v>
      </c>
      <c r="E2412">
        <v>146</v>
      </c>
      <c r="F2412">
        <f t="shared" si="40"/>
        <v>5</v>
      </c>
    </row>
    <row r="2413" spans="1:6">
      <c r="A2413" s="83">
        <v>43282</v>
      </c>
      <c r="B2413" t="s">
        <v>32</v>
      </c>
      <c r="C2413" t="s">
        <v>21</v>
      </c>
      <c r="D2413" t="s">
        <v>23</v>
      </c>
      <c r="E2413">
        <v>28</v>
      </c>
      <c r="F2413">
        <f t="shared" si="40"/>
        <v>3</v>
      </c>
    </row>
    <row r="2414" spans="1:6">
      <c r="A2414" s="83">
        <v>43282</v>
      </c>
      <c r="B2414" t="s">
        <v>32</v>
      </c>
      <c r="C2414" t="s">
        <v>21</v>
      </c>
      <c r="D2414" t="s">
        <v>22</v>
      </c>
      <c r="E2414">
        <v>39</v>
      </c>
      <c r="F2414">
        <f t="shared" si="40"/>
        <v>7</v>
      </c>
    </row>
    <row r="2415" spans="1:6">
      <c r="A2415" s="83">
        <v>43282</v>
      </c>
      <c r="B2415" t="s">
        <v>32</v>
      </c>
      <c r="C2415" t="s">
        <v>21</v>
      </c>
      <c r="D2415" t="s">
        <v>23</v>
      </c>
      <c r="E2415">
        <v>32</v>
      </c>
      <c r="F2415">
        <f t="shared" si="40"/>
        <v>3</v>
      </c>
    </row>
    <row r="2416" spans="1:6">
      <c r="A2416" s="83">
        <v>43282</v>
      </c>
      <c r="B2416" t="s">
        <v>32</v>
      </c>
      <c r="C2416" t="s">
        <v>24</v>
      </c>
      <c r="D2416" t="s">
        <v>22</v>
      </c>
      <c r="E2416">
        <v>88</v>
      </c>
      <c r="F2416">
        <f t="shared" si="40"/>
        <v>7</v>
      </c>
    </row>
    <row r="2417" spans="1:6">
      <c r="A2417" s="83">
        <v>43282</v>
      </c>
      <c r="B2417" t="s">
        <v>32</v>
      </c>
      <c r="C2417" t="s">
        <v>24</v>
      </c>
      <c r="D2417" t="s">
        <v>22</v>
      </c>
      <c r="E2417">
        <v>124</v>
      </c>
      <c r="F2417">
        <f t="shared" si="40"/>
        <v>7</v>
      </c>
    </row>
    <row r="2418" spans="1:6">
      <c r="A2418" s="83">
        <v>43282</v>
      </c>
      <c r="B2418" t="s">
        <v>32</v>
      </c>
      <c r="C2418" t="s">
        <v>24</v>
      </c>
      <c r="D2418" t="s">
        <v>23</v>
      </c>
      <c r="E2418">
        <v>124</v>
      </c>
      <c r="F2418">
        <f t="shared" si="40"/>
        <v>3</v>
      </c>
    </row>
    <row r="2419" spans="1:6">
      <c r="A2419" s="83">
        <v>43313</v>
      </c>
      <c r="B2419" t="s">
        <v>32</v>
      </c>
      <c r="C2419" t="s">
        <v>21</v>
      </c>
      <c r="D2419" t="s">
        <v>23</v>
      </c>
      <c r="E2419">
        <v>32</v>
      </c>
      <c r="F2419">
        <f t="shared" si="40"/>
        <v>3</v>
      </c>
    </row>
    <row r="2420" spans="1:6">
      <c r="A2420" s="83">
        <v>43313</v>
      </c>
      <c r="B2420" t="s">
        <v>32</v>
      </c>
      <c r="C2420" t="s">
        <v>21</v>
      </c>
      <c r="D2420" t="s">
        <v>26</v>
      </c>
      <c r="E2420">
        <v>44</v>
      </c>
      <c r="F2420">
        <f t="shared" si="40"/>
        <v>5</v>
      </c>
    </row>
    <row r="2421" spans="1:6">
      <c r="A2421" s="83">
        <v>43313</v>
      </c>
      <c r="B2421" t="s">
        <v>32</v>
      </c>
      <c r="C2421" t="s">
        <v>21</v>
      </c>
      <c r="D2421" t="s">
        <v>22</v>
      </c>
      <c r="E2421">
        <v>23</v>
      </c>
      <c r="F2421">
        <f t="shared" si="40"/>
        <v>7</v>
      </c>
    </row>
    <row r="2422" spans="1:6">
      <c r="A2422" s="83">
        <v>43313</v>
      </c>
      <c r="B2422" t="s">
        <v>32</v>
      </c>
      <c r="C2422" t="s">
        <v>24</v>
      </c>
      <c r="D2422" t="s">
        <v>23</v>
      </c>
      <c r="E2422">
        <v>96</v>
      </c>
      <c r="F2422">
        <f t="shared" si="40"/>
        <v>3</v>
      </c>
    </row>
    <row r="2423" spans="1:6">
      <c r="A2423" s="83">
        <v>43313</v>
      </c>
      <c r="B2423" t="s">
        <v>32</v>
      </c>
      <c r="C2423" t="s">
        <v>24</v>
      </c>
      <c r="D2423" t="s">
        <v>26</v>
      </c>
      <c r="E2423">
        <v>110</v>
      </c>
      <c r="F2423">
        <f t="shared" si="40"/>
        <v>5</v>
      </c>
    </row>
    <row r="2424" spans="1:6">
      <c r="A2424" s="83">
        <v>43313</v>
      </c>
      <c r="B2424" t="s">
        <v>32</v>
      </c>
      <c r="C2424" t="s">
        <v>24</v>
      </c>
      <c r="D2424" t="s">
        <v>26</v>
      </c>
      <c r="E2424">
        <v>135</v>
      </c>
      <c r="F2424">
        <f t="shared" si="40"/>
        <v>5</v>
      </c>
    </row>
    <row r="2425" spans="1:6">
      <c r="A2425" s="83">
        <v>43344</v>
      </c>
      <c r="B2425" t="s">
        <v>32</v>
      </c>
      <c r="C2425" t="s">
        <v>21</v>
      </c>
      <c r="D2425" t="s">
        <v>22</v>
      </c>
      <c r="E2425">
        <v>28</v>
      </c>
      <c r="F2425">
        <f t="shared" si="40"/>
        <v>7</v>
      </c>
    </row>
    <row r="2426" spans="1:6">
      <c r="A2426" s="83">
        <v>43344</v>
      </c>
      <c r="B2426" t="s">
        <v>32</v>
      </c>
      <c r="C2426" t="s">
        <v>21</v>
      </c>
      <c r="D2426" t="s">
        <v>23</v>
      </c>
      <c r="E2426">
        <v>44</v>
      </c>
      <c r="F2426">
        <f t="shared" si="40"/>
        <v>3</v>
      </c>
    </row>
    <row r="2427" spans="1:6">
      <c r="A2427" s="83">
        <v>43344</v>
      </c>
      <c r="B2427" t="s">
        <v>32</v>
      </c>
      <c r="C2427" t="s">
        <v>21</v>
      </c>
      <c r="D2427" t="s">
        <v>22</v>
      </c>
      <c r="E2427">
        <v>23</v>
      </c>
      <c r="F2427">
        <f t="shared" si="40"/>
        <v>7</v>
      </c>
    </row>
    <row r="2428" spans="1:6">
      <c r="A2428" s="83">
        <v>43344</v>
      </c>
      <c r="B2428" t="s">
        <v>32</v>
      </c>
      <c r="C2428" t="s">
        <v>24</v>
      </c>
      <c r="D2428" t="s">
        <v>22</v>
      </c>
      <c r="E2428">
        <v>105</v>
      </c>
      <c r="F2428">
        <f t="shared" si="40"/>
        <v>7</v>
      </c>
    </row>
    <row r="2429" spans="1:6">
      <c r="A2429" s="83">
        <v>43344</v>
      </c>
      <c r="B2429" t="s">
        <v>32</v>
      </c>
      <c r="C2429" t="s">
        <v>24</v>
      </c>
      <c r="D2429" t="s">
        <v>26</v>
      </c>
      <c r="E2429">
        <v>124</v>
      </c>
      <c r="F2429">
        <f t="shared" si="40"/>
        <v>5</v>
      </c>
    </row>
    <row r="2430" spans="1:6">
      <c r="A2430" s="83">
        <v>43344</v>
      </c>
      <c r="B2430" t="s">
        <v>32</v>
      </c>
      <c r="C2430" t="s">
        <v>24</v>
      </c>
      <c r="D2430" t="s">
        <v>26</v>
      </c>
      <c r="E2430">
        <v>146</v>
      </c>
      <c r="F2430">
        <f t="shared" si="40"/>
        <v>5</v>
      </c>
    </row>
    <row r="2431" spans="1:6">
      <c r="A2431" s="83">
        <v>43374</v>
      </c>
      <c r="B2431" t="s">
        <v>32</v>
      </c>
      <c r="C2431" t="s">
        <v>21</v>
      </c>
      <c r="D2431" t="s">
        <v>22</v>
      </c>
      <c r="E2431">
        <v>28</v>
      </c>
      <c r="F2431">
        <f t="shared" si="40"/>
        <v>7</v>
      </c>
    </row>
    <row r="2432" spans="1:6">
      <c r="A2432" s="83">
        <v>43374</v>
      </c>
      <c r="B2432" t="s">
        <v>32</v>
      </c>
      <c r="C2432" t="s">
        <v>21</v>
      </c>
      <c r="D2432" t="s">
        <v>26</v>
      </c>
      <c r="E2432">
        <v>39</v>
      </c>
      <c r="F2432">
        <f t="shared" si="40"/>
        <v>5</v>
      </c>
    </row>
    <row r="2433" spans="1:6">
      <c r="A2433" s="83">
        <v>43374</v>
      </c>
      <c r="B2433" t="s">
        <v>32</v>
      </c>
      <c r="C2433" t="s">
        <v>21</v>
      </c>
      <c r="D2433" t="s">
        <v>26</v>
      </c>
      <c r="E2433">
        <v>23</v>
      </c>
      <c r="F2433">
        <f t="shared" si="40"/>
        <v>5</v>
      </c>
    </row>
    <row r="2434" spans="1:6">
      <c r="A2434" s="83">
        <v>43374</v>
      </c>
      <c r="B2434" t="s">
        <v>32</v>
      </c>
      <c r="C2434" t="s">
        <v>24</v>
      </c>
      <c r="D2434" t="s">
        <v>26</v>
      </c>
      <c r="E2434">
        <v>105</v>
      </c>
      <c r="F2434">
        <f t="shared" si="40"/>
        <v>5</v>
      </c>
    </row>
    <row r="2435" spans="1:6">
      <c r="A2435" s="83">
        <v>43374</v>
      </c>
      <c r="B2435" t="s">
        <v>32</v>
      </c>
      <c r="C2435" t="s">
        <v>24</v>
      </c>
      <c r="D2435" t="s">
        <v>26</v>
      </c>
      <c r="E2435">
        <v>124</v>
      </c>
      <c r="F2435">
        <f t="shared" ref="F2435:F2498" si="41">LEN(D2435)</f>
        <v>5</v>
      </c>
    </row>
    <row r="2436" spans="1:6">
      <c r="A2436" s="83">
        <v>43374</v>
      </c>
      <c r="B2436" t="s">
        <v>32</v>
      </c>
      <c r="C2436" t="s">
        <v>24</v>
      </c>
      <c r="D2436" t="s">
        <v>23</v>
      </c>
      <c r="E2436">
        <v>146</v>
      </c>
      <c r="F2436">
        <f t="shared" si="41"/>
        <v>3</v>
      </c>
    </row>
    <row r="2437" spans="1:6">
      <c r="A2437" s="83">
        <v>43405</v>
      </c>
      <c r="B2437" t="s">
        <v>32</v>
      </c>
      <c r="C2437" t="s">
        <v>21</v>
      </c>
      <c r="D2437" t="s">
        <v>26</v>
      </c>
      <c r="E2437">
        <v>32</v>
      </c>
      <c r="F2437">
        <f t="shared" si="41"/>
        <v>5</v>
      </c>
    </row>
    <row r="2438" spans="1:6">
      <c r="A2438" s="83">
        <v>43405</v>
      </c>
      <c r="B2438" t="s">
        <v>32</v>
      </c>
      <c r="C2438" t="s">
        <v>21</v>
      </c>
      <c r="D2438" t="s">
        <v>22</v>
      </c>
      <c r="E2438">
        <v>44</v>
      </c>
      <c r="F2438">
        <f t="shared" si="41"/>
        <v>7</v>
      </c>
    </row>
    <row r="2439" spans="1:6">
      <c r="A2439" s="83">
        <v>43405</v>
      </c>
      <c r="B2439" t="s">
        <v>32</v>
      </c>
      <c r="C2439" t="s">
        <v>21</v>
      </c>
      <c r="D2439" t="s">
        <v>23</v>
      </c>
      <c r="E2439">
        <v>23</v>
      </c>
      <c r="F2439">
        <f t="shared" si="41"/>
        <v>3</v>
      </c>
    </row>
    <row r="2440" spans="1:6">
      <c r="A2440" s="83">
        <v>43405</v>
      </c>
      <c r="B2440" t="s">
        <v>32</v>
      </c>
      <c r="C2440" t="s">
        <v>24</v>
      </c>
      <c r="D2440" t="s">
        <v>23</v>
      </c>
      <c r="E2440">
        <v>114</v>
      </c>
      <c r="F2440">
        <f t="shared" si="41"/>
        <v>3</v>
      </c>
    </row>
    <row r="2441" spans="1:6">
      <c r="A2441" s="83">
        <v>43405</v>
      </c>
      <c r="B2441" t="s">
        <v>32</v>
      </c>
      <c r="C2441" t="s">
        <v>24</v>
      </c>
      <c r="D2441" t="s">
        <v>22</v>
      </c>
      <c r="E2441">
        <v>151</v>
      </c>
      <c r="F2441">
        <f t="shared" si="41"/>
        <v>7</v>
      </c>
    </row>
    <row r="2442" spans="1:6">
      <c r="A2442" s="83">
        <v>43405</v>
      </c>
      <c r="B2442" t="s">
        <v>32</v>
      </c>
      <c r="C2442" t="s">
        <v>24</v>
      </c>
      <c r="D2442" t="s">
        <v>23</v>
      </c>
      <c r="E2442">
        <v>158</v>
      </c>
      <c r="F2442">
        <f t="shared" si="41"/>
        <v>3</v>
      </c>
    </row>
    <row r="2443" spans="1:6">
      <c r="A2443" s="83">
        <v>43435</v>
      </c>
      <c r="B2443" t="s">
        <v>32</v>
      </c>
      <c r="C2443" t="s">
        <v>21</v>
      </c>
      <c r="D2443" t="s">
        <v>23</v>
      </c>
      <c r="E2443">
        <v>28</v>
      </c>
      <c r="F2443">
        <f t="shared" si="41"/>
        <v>3</v>
      </c>
    </row>
    <row r="2444" spans="1:6">
      <c r="A2444" s="83">
        <v>43435</v>
      </c>
      <c r="B2444" t="s">
        <v>32</v>
      </c>
      <c r="C2444" t="s">
        <v>21</v>
      </c>
      <c r="D2444" t="s">
        <v>26</v>
      </c>
      <c r="E2444">
        <v>44</v>
      </c>
      <c r="F2444">
        <f t="shared" si="41"/>
        <v>5</v>
      </c>
    </row>
    <row r="2445" spans="1:6">
      <c r="A2445" s="83">
        <v>43435</v>
      </c>
      <c r="B2445" t="s">
        <v>32</v>
      </c>
      <c r="C2445" t="s">
        <v>21</v>
      </c>
      <c r="D2445" t="s">
        <v>26</v>
      </c>
      <c r="E2445">
        <v>27</v>
      </c>
      <c r="F2445">
        <f t="shared" si="41"/>
        <v>5</v>
      </c>
    </row>
    <row r="2446" spans="1:6">
      <c r="A2446" s="83">
        <v>43435</v>
      </c>
      <c r="B2446" t="s">
        <v>32</v>
      </c>
      <c r="C2446" t="s">
        <v>24</v>
      </c>
      <c r="D2446" t="s">
        <v>26</v>
      </c>
      <c r="E2446">
        <v>114</v>
      </c>
      <c r="F2446">
        <f t="shared" si="41"/>
        <v>5</v>
      </c>
    </row>
    <row r="2447" spans="1:6">
      <c r="A2447" s="83">
        <v>43435</v>
      </c>
      <c r="B2447" t="s">
        <v>32</v>
      </c>
      <c r="C2447" t="s">
        <v>24</v>
      </c>
      <c r="D2447" t="s">
        <v>23</v>
      </c>
      <c r="E2447">
        <v>124</v>
      </c>
      <c r="F2447">
        <f t="shared" si="41"/>
        <v>3</v>
      </c>
    </row>
    <row r="2448" spans="1:6">
      <c r="A2448" s="83">
        <v>43435</v>
      </c>
      <c r="B2448" t="s">
        <v>32</v>
      </c>
      <c r="C2448" t="s">
        <v>24</v>
      </c>
      <c r="D2448" t="s">
        <v>23</v>
      </c>
      <c r="E2448">
        <v>169</v>
      </c>
      <c r="F2448">
        <f t="shared" si="41"/>
        <v>3</v>
      </c>
    </row>
    <row r="2449" spans="1:6">
      <c r="A2449" s="83">
        <v>43466</v>
      </c>
      <c r="B2449" t="s">
        <v>32</v>
      </c>
      <c r="C2449" t="s">
        <v>21</v>
      </c>
      <c r="D2449" t="s">
        <v>23</v>
      </c>
      <c r="E2449">
        <v>28</v>
      </c>
      <c r="F2449">
        <f t="shared" si="41"/>
        <v>3</v>
      </c>
    </row>
    <row r="2450" spans="1:6">
      <c r="A2450" s="83">
        <v>43466</v>
      </c>
      <c r="B2450" t="s">
        <v>32</v>
      </c>
      <c r="C2450" t="s">
        <v>21</v>
      </c>
      <c r="D2450" t="s">
        <v>26</v>
      </c>
      <c r="E2450">
        <v>61</v>
      </c>
      <c r="F2450">
        <f t="shared" si="41"/>
        <v>5</v>
      </c>
    </row>
    <row r="2451" spans="1:6">
      <c r="A2451" s="83">
        <v>43466</v>
      </c>
      <c r="B2451" t="s">
        <v>32</v>
      </c>
      <c r="C2451" t="s">
        <v>21</v>
      </c>
      <c r="D2451" t="s">
        <v>22</v>
      </c>
      <c r="E2451">
        <v>27</v>
      </c>
      <c r="F2451">
        <f t="shared" si="41"/>
        <v>7</v>
      </c>
    </row>
    <row r="2452" spans="1:6">
      <c r="A2452" s="83">
        <v>43466</v>
      </c>
      <c r="B2452" t="s">
        <v>32</v>
      </c>
      <c r="C2452" t="s">
        <v>24</v>
      </c>
      <c r="D2452" t="s">
        <v>26</v>
      </c>
      <c r="E2452">
        <v>131</v>
      </c>
      <c r="F2452">
        <f t="shared" si="41"/>
        <v>5</v>
      </c>
    </row>
    <row r="2453" spans="1:6">
      <c r="A2453" s="83">
        <v>43466</v>
      </c>
      <c r="B2453" t="s">
        <v>32</v>
      </c>
      <c r="C2453" t="s">
        <v>24</v>
      </c>
      <c r="D2453" t="s">
        <v>22</v>
      </c>
      <c r="E2453">
        <v>138</v>
      </c>
      <c r="F2453">
        <f t="shared" si="41"/>
        <v>7</v>
      </c>
    </row>
    <row r="2454" spans="1:6">
      <c r="A2454" s="83">
        <v>43466</v>
      </c>
      <c r="B2454" t="s">
        <v>32</v>
      </c>
      <c r="C2454" t="s">
        <v>24</v>
      </c>
      <c r="D2454" t="s">
        <v>23</v>
      </c>
      <c r="E2454">
        <v>191</v>
      </c>
      <c r="F2454">
        <f t="shared" si="41"/>
        <v>3</v>
      </c>
    </row>
    <row r="2455" spans="1:6">
      <c r="A2455" s="83">
        <v>43497</v>
      </c>
      <c r="B2455" t="s">
        <v>32</v>
      </c>
      <c r="C2455" t="s">
        <v>21</v>
      </c>
      <c r="D2455" t="s">
        <v>26</v>
      </c>
      <c r="E2455">
        <v>11</v>
      </c>
      <c r="F2455">
        <f t="shared" si="41"/>
        <v>5</v>
      </c>
    </row>
    <row r="2456" spans="1:6">
      <c r="A2456" s="83">
        <v>43497</v>
      </c>
      <c r="B2456" t="s">
        <v>32</v>
      </c>
      <c r="C2456" t="s">
        <v>21</v>
      </c>
      <c r="D2456" t="s">
        <v>23</v>
      </c>
      <c r="E2456">
        <v>28</v>
      </c>
      <c r="F2456">
        <f t="shared" si="41"/>
        <v>3</v>
      </c>
    </row>
    <row r="2457" spans="1:6">
      <c r="A2457" s="83">
        <v>43497</v>
      </c>
      <c r="B2457" t="s">
        <v>32</v>
      </c>
      <c r="C2457" t="s">
        <v>21</v>
      </c>
      <c r="D2457" t="s">
        <v>26</v>
      </c>
      <c r="E2457">
        <v>14</v>
      </c>
      <c r="F2457">
        <f t="shared" si="41"/>
        <v>5</v>
      </c>
    </row>
    <row r="2458" spans="1:6">
      <c r="A2458" s="83">
        <v>43497</v>
      </c>
      <c r="B2458" t="s">
        <v>32</v>
      </c>
      <c r="C2458" t="s">
        <v>24</v>
      </c>
      <c r="D2458" t="s">
        <v>26</v>
      </c>
      <c r="E2458">
        <v>44</v>
      </c>
      <c r="F2458">
        <f t="shared" si="41"/>
        <v>5</v>
      </c>
    </row>
    <row r="2459" spans="1:6">
      <c r="A2459" s="83">
        <v>43497</v>
      </c>
      <c r="B2459" t="s">
        <v>32</v>
      </c>
      <c r="C2459" t="s">
        <v>24</v>
      </c>
      <c r="D2459" t="s">
        <v>23</v>
      </c>
      <c r="E2459">
        <v>55</v>
      </c>
      <c r="F2459">
        <f t="shared" si="41"/>
        <v>3</v>
      </c>
    </row>
    <row r="2460" spans="1:6">
      <c r="A2460" s="83">
        <v>43497</v>
      </c>
      <c r="B2460" t="s">
        <v>32</v>
      </c>
      <c r="C2460" t="s">
        <v>24</v>
      </c>
      <c r="D2460" t="s">
        <v>26</v>
      </c>
      <c r="E2460">
        <v>56</v>
      </c>
      <c r="F2460">
        <f t="shared" si="41"/>
        <v>5</v>
      </c>
    </row>
    <row r="2461" spans="1:6">
      <c r="A2461" s="83">
        <v>43525</v>
      </c>
      <c r="B2461" t="s">
        <v>32</v>
      </c>
      <c r="C2461" t="s">
        <v>21</v>
      </c>
      <c r="D2461" t="s">
        <v>26</v>
      </c>
      <c r="E2461">
        <v>11</v>
      </c>
      <c r="F2461">
        <f t="shared" si="41"/>
        <v>5</v>
      </c>
    </row>
    <row r="2462" spans="1:6">
      <c r="A2462" s="83">
        <v>43525</v>
      </c>
      <c r="B2462" t="s">
        <v>32</v>
      </c>
      <c r="C2462" t="s">
        <v>21</v>
      </c>
      <c r="D2462" t="s">
        <v>22</v>
      </c>
      <c r="E2462">
        <v>33</v>
      </c>
      <c r="F2462">
        <f t="shared" si="41"/>
        <v>7</v>
      </c>
    </row>
    <row r="2463" spans="1:6">
      <c r="A2463" s="83">
        <v>43525</v>
      </c>
      <c r="B2463" t="s">
        <v>32</v>
      </c>
      <c r="C2463" t="s">
        <v>21</v>
      </c>
      <c r="D2463" t="s">
        <v>23</v>
      </c>
      <c r="E2463">
        <v>9</v>
      </c>
      <c r="F2463">
        <f t="shared" si="41"/>
        <v>3</v>
      </c>
    </row>
    <row r="2464" spans="1:6">
      <c r="A2464" s="83">
        <v>43525</v>
      </c>
      <c r="B2464" t="s">
        <v>32</v>
      </c>
      <c r="C2464" t="s">
        <v>24</v>
      </c>
      <c r="D2464" t="s">
        <v>22</v>
      </c>
      <c r="E2464">
        <v>44</v>
      </c>
      <c r="F2464">
        <f t="shared" si="41"/>
        <v>7</v>
      </c>
    </row>
    <row r="2465" spans="1:6">
      <c r="A2465" s="83">
        <v>43525</v>
      </c>
      <c r="B2465" t="s">
        <v>32</v>
      </c>
      <c r="C2465" t="s">
        <v>24</v>
      </c>
      <c r="D2465" t="s">
        <v>23</v>
      </c>
      <c r="E2465">
        <v>41</v>
      </c>
      <c r="F2465">
        <f t="shared" si="41"/>
        <v>3</v>
      </c>
    </row>
    <row r="2466" spans="1:6">
      <c r="A2466" s="83">
        <v>43525</v>
      </c>
      <c r="B2466" t="s">
        <v>32</v>
      </c>
      <c r="C2466" t="s">
        <v>24</v>
      </c>
      <c r="D2466" t="s">
        <v>26</v>
      </c>
      <c r="E2466">
        <v>56</v>
      </c>
      <c r="F2466">
        <f t="shared" si="41"/>
        <v>5</v>
      </c>
    </row>
    <row r="2467" spans="1:6">
      <c r="A2467" s="83">
        <v>43556</v>
      </c>
      <c r="B2467" t="s">
        <v>32</v>
      </c>
      <c r="C2467" t="s">
        <v>21</v>
      </c>
      <c r="D2467" t="s">
        <v>26</v>
      </c>
      <c r="E2467">
        <v>11</v>
      </c>
      <c r="F2467">
        <f t="shared" si="41"/>
        <v>5</v>
      </c>
    </row>
    <row r="2468" spans="1:6">
      <c r="A2468" s="83">
        <v>43556</v>
      </c>
      <c r="B2468" t="s">
        <v>32</v>
      </c>
      <c r="C2468" t="s">
        <v>21</v>
      </c>
      <c r="D2468" t="s">
        <v>23</v>
      </c>
      <c r="E2468">
        <v>28</v>
      </c>
      <c r="F2468">
        <f t="shared" si="41"/>
        <v>3</v>
      </c>
    </row>
    <row r="2469" spans="1:6">
      <c r="A2469" s="83">
        <v>43556</v>
      </c>
      <c r="B2469" t="s">
        <v>32</v>
      </c>
      <c r="C2469" t="s">
        <v>21</v>
      </c>
      <c r="D2469" t="s">
        <v>26</v>
      </c>
      <c r="E2469">
        <v>14</v>
      </c>
      <c r="F2469">
        <f t="shared" si="41"/>
        <v>5</v>
      </c>
    </row>
    <row r="2470" spans="1:6">
      <c r="A2470" s="83">
        <v>43556</v>
      </c>
      <c r="B2470" t="s">
        <v>32</v>
      </c>
      <c r="C2470" t="s">
        <v>24</v>
      </c>
      <c r="D2470" t="s">
        <v>26</v>
      </c>
      <c r="E2470">
        <v>44</v>
      </c>
      <c r="F2470">
        <f t="shared" si="41"/>
        <v>5</v>
      </c>
    </row>
    <row r="2471" spans="1:6">
      <c r="A2471" s="83">
        <v>43556</v>
      </c>
      <c r="B2471" t="s">
        <v>32</v>
      </c>
      <c r="C2471" t="s">
        <v>24</v>
      </c>
      <c r="D2471" t="s">
        <v>22</v>
      </c>
      <c r="E2471">
        <v>55</v>
      </c>
      <c r="F2471">
        <f t="shared" si="41"/>
        <v>7</v>
      </c>
    </row>
    <row r="2472" spans="1:6">
      <c r="A2472" s="83">
        <v>43556</v>
      </c>
      <c r="B2472" t="s">
        <v>32</v>
      </c>
      <c r="C2472" t="s">
        <v>24</v>
      </c>
      <c r="D2472" t="s">
        <v>22</v>
      </c>
      <c r="E2472">
        <v>45</v>
      </c>
      <c r="F2472">
        <f t="shared" si="41"/>
        <v>7</v>
      </c>
    </row>
    <row r="2473" spans="1:6">
      <c r="A2473" s="83">
        <v>43586</v>
      </c>
      <c r="B2473" t="s">
        <v>32</v>
      </c>
      <c r="C2473" t="s">
        <v>21</v>
      </c>
      <c r="D2473" t="s">
        <v>22</v>
      </c>
      <c r="E2473">
        <v>11</v>
      </c>
      <c r="F2473">
        <f t="shared" si="41"/>
        <v>7</v>
      </c>
    </row>
    <row r="2474" spans="1:6">
      <c r="A2474" s="83">
        <v>43586</v>
      </c>
      <c r="B2474" t="s">
        <v>32</v>
      </c>
      <c r="C2474" t="s">
        <v>21</v>
      </c>
      <c r="D2474" t="s">
        <v>26</v>
      </c>
      <c r="E2474">
        <v>39</v>
      </c>
      <c r="F2474">
        <f t="shared" si="41"/>
        <v>5</v>
      </c>
    </row>
    <row r="2475" spans="1:6">
      <c r="A2475" s="83">
        <v>43586</v>
      </c>
      <c r="B2475" t="s">
        <v>32</v>
      </c>
      <c r="C2475" t="s">
        <v>21</v>
      </c>
      <c r="D2475" t="s">
        <v>26</v>
      </c>
      <c r="E2475">
        <v>9</v>
      </c>
      <c r="F2475">
        <f t="shared" si="41"/>
        <v>5</v>
      </c>
    </row>
    <row r="2476" spans="1:6">
      <c r="A2476" s="83">
        <v>43586</v>
      </c>
      <c r="B2476" t="s">
        <v>32</v>
      </c>
      <c r="C2476" t="s">
        <v>24</v>
      </c>
      <c r="D2476" t="s">
        <v>23</v>
      </c>
      <c r="E2476">
        <v>53</v>
      </c>
      <c r="F2476">
        <f t="shared" si="41"/>
        <v>3</v>
      </c>
    </row>
    <row r="2477" spans="1:6">
      <c r="A2477" s="83">
        <v>43586</v>
      </c>
      <c r="B2477" t="s">
        <v>32</v>
      </c>
      <c r="C2477" t="s">
        <v>24</v>
      </c>
      <c r="D2477" t="s">
        <v>22</v>
      </c>
      <c r="E2477">
        <v>41</v>
      </c>
      <c r="F2477">
        <f t="shared" si="41"/>
        <v>7</v>
      </c>
    </row>
    <row r="2478" spans="1:6">
      <c r="A2478" s="83">
        <v>43586</v>
      </c>
      <c r="B2478" t="s">
        <v>32</v>
      </c>
      <c r="C2478" t="s">
        <v>24</v>
      </c>
      <c r="D2478" t="s">
        <v>22</v>
      </c>
      <c r="E2478">
        <v>68</v>
      </c>
      <c r="F2478">
        <f t="shared" si="41"/>
        <v>7</v>
      </c>
    </row>
    <row r="2479" spans="1:6">
      <c r="A2479" s="83">
        <v>43617</v>
      </c>
      <c r="B2479" t="s">
        <v>32</v>
      </c>
      <c r="C2479" t="s">
        <v>21</v>
      </c>
      <c r="D2479" t="s">
        <v>23</v>
      </c>
      <c r="E2479">
        <v>7</v>
      </c>
      <c r="F2479">
        <f t="shared" si="41"/>
        <v>3</v>
      </c>
    </row>
    <row r="2480" spans="1:6">
      <c r="A2480" s="83">
        <v>43617</v>
      </c>
      <c r="B2480" t="s">
        <v>32</v>
      </c>
      <c r="C2480" t="s">
        <v>21</v>
      </c>
      <c r="D2480" t="s">
        <v>23</v>
      </c>
      <c r="E2480">
        <v>33</v>
      </c>
      <c r="F2480">
        <f t="shared" si="41"/>
        <v>3</v>
      </c>
    </row>
    <row r="2481" spans="1:6">
      <c r="A2481" s="83">
        <v>43617</v>
      </c>
      <c r="B2481" t="s">
        <v>32</v>
      </c>
      <c r="C2481" t="s">
        <v>21</v>
      </c>
      <c r="D2481" t="s">
        <v>22</v>
      </c>
      <c r="E2481">
        <v>9</v>
      </c>
      <c r="F2481">
        <f t="shared" si="41"/>
        <v>7</v>
      </c>
    </row>
    <row r="2482" spans="1:6">
      <c r="A2482" s="83">
        <v>43617</v>
      </c>
      <c r="B2482" t="s">
        <v>32</v>
      </c>
      <c r="C2482" t="s">
        <v>24</v>
      </c>
      <c r="D2482" t="s">
        <v>23</v>
      </c>
      <c r="E2482">
        <v>44</v>
      </c>
      <c r="F2482">
        <f t="shared" si="41"/>
        <v>3</v>
      </c>
    </row>
    <row r="2483" spans="1:6">
      <c r="A2483" s="83">
        <v>43617</v>
      </c>
      <c r="B2483" t="s">
        <v>32</v>
      </c>
      <c r="C2483" t="s">
        <v>24</v>
      </c>
      <c r="D2483" t="s">
        <v>22</v>
      </c>
      <c r="E2483">
        <v>41</v>
      </c>
      <c r="F2483">
        <f t="shared" si="41"/>
        <v>7</v>
      </c>
    </row>
    <row r="2484" spans="1:6">
      <c r="A2484" s="83">
        <v>43617</v>
      </c>
      <c r="B2484" t="s">
        <v>32</v>
      </c>
      <c r="C2484" t="s">
        <v>24</v>
      </c>
      <c r="D2484" t="s">
        <v>22</v>
      </c>
      <c r="E2484">
        <v>68</v>
      </c>
      <c r="F2484">
        <f t="shared" si="41"/>
        <v>7</v>
      </c>
    </row>
    <row r="2485" spans="1:6">
      <c r="A2485" s="83">
        <v>43647</v>
      </c>
      <c r="B2485" t="s">
        <v>32</v>
      </c>
      <c r="C2485" t="s">
        <v>21</v>
      </c>
      <c r="D2485" t="s">
        <v>26</v>
      </c>
      <c r="E2485">
        <v>11</v>
      </c>
      <c r="F2485">
        <f t="shared" si="41"/>
        <v>5</v>
      </c>
    </row>
    <row r="2486" spans="1:6">
      <c r="A2486" s="83">
        <v>43647</v>
      </c>
      <c r="B2486" t="s">
        <v>32</v>
      </c>
      <c r="C2486" t="s">
        <v>21</v>
      </c>
      <c r="D2486" t="s">
        <v>26</v>
      </c>
      <c r="E2486">
        <v>39</v>
      </c>
      <c r="F2486">
        <f t="shared" si="41"/>
        <v>5</v>
      </c>
    </row>
    <row r="2487" spans="1:6">
      <c r="A2487" s="83">
        <v>43647</v>
      </c>
      <c r="B2487" t="s">
        <v>32</v>
      </c>
      <c r="C2487" t="s">
        <v>21</v>
      </c>
      <c r="D2487" t="s">
        <v>26</v>
      </c>
      <c r="E2487">
        <v>14</v>
      </c>
      <c r="F2487">
        <f t="shared" si="41"/>
        <v>5</v>
      </c>
    </row>
    <row r="2488" spans="1:6">
      <c r="A2488" s="83">
        <v>43647</v>
      </c>
      <c r="B2488" t="s">
        <v>32</v>
      </c>
      <c r="C2488" t="s">
        <v>24</v>
      </c>
      <c r="D2488" t="s">
        <v>22</v>
      </c>
      <c r="E2488">
        <v>44</v>
      </c>
      <c r="F2488">
        <f t="shared" si="41"/>
        <v>7</v>
      </c>
    </row>
    <row r="2489" spans="1:6">
      <c r="A2489" s="83">
        <v>43647</v>
      </c>
      <c r="B2489" t="s">
        <v>32</v>
      </c>
      <c r="C2489" t="s">
        <v>24</v>
      </c>
      <c r="D2489" t="s">
        <v>26</v>
      </c>
      <c r="E2489">
        <v>41</v>
      </c>
      <c r="F2489">
        <f t="shared" si="41"/>
        <v>5</v>
      </c>
    </row>
    <row r="2490" spans="1:6">
      <c r="A2490" s="83">
        <v>43647</v>
      </c>
      <c r="B2490" t="s">
        <v>32</v>
      </c>
      <c r="C2490" t="s">
        <v>24</v>
      </c>
      <c r="D2490" t="s">
        <v>26</v>
      </c>
      <c r="E2490">
        <v>56</v>
      </c>
      <c r="F2490">
        <f t="shared" si="41"/>
        <v>5</v>
      </c>
    </row>
    <row r="2491" spans="1:6">
      <c r="A2491" s="83">
        <v>43678</v>
      </c>
      <c r="B2491" t="s">
        <v>32</v>
      </c>
      <c r="C2491" t="s">
        <v>21</v>
      </c>
      <c r="D2491" t="s">
        <v>22</v>
      </c>
      <c r="E2491">
        <v>7</v>
      </c>
      <c r="F2491">
        <f t="shared" si="41"/>
        <v>7</v>
      </c>
    </row>
    <row r="2492" spans="1:6">
      <c r="A2492" s="83">
        <v>43678</v>
      </c>
      <c r="B2492" t="s">
        <v>32</v>
      </c>
      <c r="C2492" t="s">
        <v>21</v>
      </c>
      <c r="D2492" t="s">
        <v>26</v>
      </c>
      <c r="E2492">
        <v>44</v>
      </c>
      <c r="F2492">
        <f t="shared" si="41"/>
        <v>5</v>
      </c>
    </row>
    <row r="2493" spans="1:6">
      <c r="A2493" s="83">
        <v>43678</v>
      </c>
      <c r="B2493" t="s">
        <v>32</v>
      </c>
      <c r="C2493" t="s">
        <v>21</v>
      </c>
      <c r="D2493" t="s">
        <v>22</v>
      </c>
      <c r="E2493">
        <v>9</v>
      </c>
      <c r="F2493">
        <f t="shared" si="41"/>
        <v>7</v>
      </c>
    </row>
    <row r="2494" spans="1:6">
      <c r="A2494" s="83">
        <v>43678</v>
      </c>
      <c r="B2494" t="s">
        <v>32</v>
      </c>
      <c r="C2494" t="s">
        <v>24</v>
      </c>
      <c r="D2494" t="s">
        <v>22</v>
      </c>
      <c r="E2494">
        <v>35</v>
      </c>
      <c r="F2494">
        <f t="shared" si="41"/>
        <v>7</v>
      </c>
    </row>
    <row r="2495" spans="1:6">
      <c r="A2495" s="83">
        <v>43678</v>
      </c>
      <c r="B2495" t="s">
        <v>32</v>
      </c>
      <c r="C2495" t="s">
        <v>24</v>
      </c>
      <c r="D2495" t="s">
        <v>26</v>
      </c>
      <c r="E2495">
        <v>41</v>
      </c>
      <c r="F2495">
        <f t="shared" si="41"/>
        <v>5</v>
      </c>
    </row>
    <row r="2496" spans="1:6">
      <c r="A2496" s="83">
        <v>43678</v>
      </c>
      <c r="B2496" t="s">
        <v>32</v>
      </c>
      <c r="C2496" t="s">
        <v>24</v>
      </c>
      <c r="D2496" t="s">
        <v>26</v>
      </c>
      <c r="E2496">
        <v>56</v>
      </c>
      <c r="F2496">
        <f t="shared" si="41"/>
        <v>5</v>
      </c>
    </row>
    <row r="2497" spans="1:6">
      <c r="A2497" s="83">
        <v>43709</v>
      </c>
      <c r="B2497" t="s">
        <v>32</v>
      </c>
      <c r="C2497" t="s">
        <v>21</v>
      </c>
      <c r="D2497" t="s">
        <v>23</v>
      </c>
      <c r="E2497">
        <v>11</v>
      </c>
      <c r="F2497">
        <f t="shared" si="41"/>
        <v>3</v>
      </c>
    </row>
    <row r="2498" spans="1:6">
      <c r="A2498" s="83">
        <v>43709</v>
      </c>
      <c r="B2498" t="s">
        <v>32</v>
      </c>
      <c r="C2498" t="s">
        <v>21</v>
      </c>
      <c r="D2498" t="s">
        <v>26</v>
      </c>
      <c r="E2498">
        <v>50</v>
      </c>
      <c r="F2498">
        <f t="shared" si="41"/>
        <v>5</v>
      </c>
    </row>
    <row r="2499" spans="1:6">
      <c r="A2499" s="83">
        <v>43709</v>
      </c>
      <c r="B2499" t="s">
        <v>32</v>
      </c>
      <c r="C2499" t="s">
        <v>21</v>
      </c>
      <c r="D2499" t="s">
        <v>26</v>
      </c>
      <c r="E2499">
        <v>14</v>
      </c>
      <c r="F2499">
        <f t="shared" ref="F2499:F2562" si="42">LEN(D2499)</f>
        <v>5</v>
      </c>
    </row>
    <row r="2500" spans="1:6">
      <c r="A2500" s="83">
        <v>43709</v>
      </c>
      <c r="B2500" t="s">
        <v>32</v>
      </c>
      <c r="C2500" t="s">
        <v>24</v>
      </c>
      <c r="D2500" t="s">
        <v>22</v>
      </c>
      <c r="E2500">
        <v>35</v>
      </c>
      <c r="F2500">
        <f t="shared" si="42"/>
        <v>7</v>
      </c>
    </row>
    <row r="2501" spans="1:6">
      <c r="A2501" s="83">
        <v>43709</v>
      </c>
      <c r="B2501" t="s">
        <v>32</v>
      </c>
      <c r="C2501" t="s">
        <v>24</v>
      </c>
      <c r="D2501" t="s">
        <v>22</v>
      </c>
      <c r="E2501">
        <v>41</v>
      </c>
      <c r="F2501">
        <f t="shared" si="42"/>
        <v>7</v>
      </c>
    </row>
    <row r="2502" spans="1:6">
      <c r="A2502" s="83">
        <v>43709</v>
      </c>
      <c r="B2502" t="s">
        <v>32</v>
      </c>
      <c r="C2502" t="s">
        <v>24</v>
      </c>
      <c r="D2502" t="s">
        <v>23</v>
      </c>
      <c r="E2502">
        <v>68</v>
      </c>
      <c r="F2502">
        <f t="shared" si="42"/>
        <v>3</v>
      </c>
    </row>
    <row r="2503" spans="1:6">
      <c r="A2503" s="83">
        <v>43739</v>
      </c>
      <c r="B2503" t="s">
        <v>32</v>
      </c>
      <c r="C2503" t="s">
        <v>21</v>
      </c>
      <c r="D2503" t="s">
        <v>23</v>
      </c>
      <c r="E2503">
        <v>7</v>
      </c>
      <c r="F2503">
        <f t="shared" si="42"/>
        <v>3</v>
      </c>
    </row>
    <row r="2504" spans="1:6">
      <c r="A2504" s="83">
        <v>43739</v>
      </c>
      <c r="B2504" t="s">
        <v>32</v>
      </c>
      <c r="C2504" t="s">
        <v>21</v>
      </c>
      <c r="D2504" t="s">
        <v>23</v>
      </c>
      <c r="E2504">
        <v>44</v>
      </c>
      <c r="F2504">
        <f t="shared" si="42"/>
        <v>3</v>
      </c>
    </row>
    <row r="2505" spans="1:6">
      <c r="A2505" s="83">
        <v>43739</v>
      </c>
      <c r="B2505" t="s">
        <v>32</v>
      </c>
      <c r="C2505" t="s">
        <v>21</v>
      </c>
      <c r="D2505" t="s">
        <v>22</v>
      </c>
      <c r="E2505">
        <v>9</v>
      </c>
      <c r="F2505">
        <f t="shared" si="42"/>
        <v>7</v>
      </c>
    </row>
    <row r="2506" spans="1:6">
      <c r="A2506" s="83">
        <v>43739</v>
      </c>
      <c r="B2506" t="s">
        <v>32</v>
      </c>
      <c r="C2506" t="s">
        <v>24</v>
      </c>
      <c r="D2506" t="s">
        <v>26</v>
      </c>
      <c r="E2506">
        <v>26</v>
      </c>
      <c r="F2506">
        <f t="shared" si="42"/>
        <v>5</v>
      </c>
    </row>
    <row r="2507" spans="1:6">
      <c r="A2507" s="83">
        <v>43739</v>
      </c>
      <c r="B2507" t="s">
        <v>32</v>
      </c>
      <c r="C2507" t="s">
        <v>24</v>
      </c>
      <c r="D2507" t="s">
        <v>23</v>
      </c>
      <c r="E2507">
        <v>28</v>
      </c>
      <c r="F2507">
        <f t="shared" si="42"/>
        <v>3</v>
      </c>
    </row>
    <row r="2508" spans="1:6">
      <c r="A2508" s="83">
        <v>43739</v>
      </c>
      <c r="B2508" t="s">
        <v>32</v>
      </c>
      <c r="C2508" t="s">
        <v>24</v>
      </c>
      <c r="D2508" t="s">
        <v>23</v>
      </c>
      <c r="E2508">
        <v>56</v>
      </c>
      <c r="F2508">
        <f t="shared" si="42"/>
        <v>3</v>
      </c>
    </row>
    <row r="2509" spans="1:6">
      <c r="A2509" s="83">
        <v>43770</v>
      </c>
      <c r="B2509" t="s">
        <v>32</v>
      </c>
      <c r="C2509" t="s">
        <v>21</v>
      </c>
      <c r="D2509" t="s">
        <v>23</v>
      </c>
      <c r="E2509">
        <v>7</v>
      </c>
      <c r="F2509">
        <f t="shared" si="42"/>
        <v>3</v>
      </c>
    </row>
    <row r="2510" spans="1:6">
      <c r="A2510" s="83">
        <v>43770</v>
      </c>
      <c r="B2510" t="s">
        <v>32</v>
      </c>
      <c r="C2510" t="s">
        <v>21</v>
      </c>
      <c r="D2510" t="s">
        <v>26</v>
      </c>
      <c r="E2510">
        <v>72</v>
      </c>
      <c r="F2510">
        <f t="shared" si="42"/>
        <v>5</v>
      </c>
    </row>
    <row r="2511" spans="1:6">
      <c r="A2511" s="83">
        <v>43770</v>
      </c>
      <c r="B2511" t="s">
        <v>32</v>
      </c>
      <c r="C2511" t="s">
        <v>21</v>
      </c>
      <c r="D2511" t="s">
        <v>22</v>
      </c>
      <c r="E2511">
        <v>18</v>
      </c>
      <c r="F2511">
        <f t="shared" si="42"/>
        <v>7</v>
      </c>
    </row>
    <row r="2512" spans="1:6">
      <c r="A2512" s="83">
        <v>43770</v>
      </c>
      <c r="B2512" t="s">
        <v>32</v>
      </c>
      <c r="C2512" t="s">
        <v>24</v>
      </c>
      <c r="D2512" t="s">
        <v>26</v>
      </c>
      <c r="E2512">
        <v>35</v>
      </c>
      <c r="F2512">
        <f t="shared" si="42"/>
        <v>5</v>
      </c>
    </row>
    <row r="2513" spans="1:6">
      <c r="A2513" s="83">
        <v>43770</v>
      </c>
      <c r="B2513" t="s">
        <v>32</v>
      </c>
      <c r="C2513" t="s">
        <v>24</v>
      </c>
      <c r="D2513" t="s">
        <v>26</v>
      </c>
      <c r="E2513">
        <v>41</v>
      </c>
      <c r="F2513">
        <f t="shared" si="42"/>
        <v>5</v>
      </c>
    </row>
    <row r="2514" spans="1:6">
      <c r="A2514" s="83">
        <v>43770</v>
      </c>
      <c r="B2514" t="s">
        <v>32</v>
      </c>
      <c r="C2514" t="s">
        <v>24</v>
      </c>
      <c r="D2514" t="s">
        <v>26</v>
      </c>
      <c r="E2514">
        <v>68</v>
      </c>
      <c r="F2514">
        <f t="shared" si="42"/>
        <v>5</v>
      </c>
    </row>
    <row r="2515" spans="1:6">
      <c r="A2515" s="83">
        <v>43800</v>
      </c>
      <c r="B2515" t="s">
        <v>32</v>
      </c>
      <c r="C2515" t="s">
        <v>21</v>
      </c>
      <c r="D2515" t="s">
        <v>22</v>
      </c>
      <c r="E2515">
        <v>11</v>
      </c>
      <c r="F2515">
        <f t="shared" si="42"/>
        <v>7</v>
      </c>
    </row>
    <row r="2516" spans="1:6">
      <c r="A2516" s="83">
        <v>43800</v>
      </c>
      <c r="B2516" t="s">
        <v>32</v>
      </c>
      <c r="C2516" t="s">
        <v>21</v>
      </c>
      <c r="D2516" t="s">
        <v>22</v>
      </c>
      <c r="E2516">
        <v>116</v>
      </c>
      <c r="F2516">
        <f t="shared" si="42"/>
        <v>7</v>
      </c>
    </row>
    <row r="2517" spans="1:6">
      <c r="A2517" s="83">
        <v>43800</v>
      </c>
      <c r="B2517" t="s">
        <v>32</v>
      </c>
      <c r="C2517" t="s">
        <v>21</v>
      </c>
      <c r="D2517" t="s">
        <v>26</v>
      </c>
      <c r="E2517">
        <v>23</v>
      </c>
      <c r="F2517">
        <f t="shared" si="42"/>
        <v>5</v>
      </c>
    </row>
    <row r="2518" spans="1:6">
      <c r="A2518" s="83">
        <v>43800</v>
      </c>
      <c r="B2518" t="s">
        <v>32</v>
      </c>
      <c r="C2518" t="s">
        <v>24</v>
      </c>
      <c r="D2518" t="s">
        <v>22</v>
      </c>
      <c r="E2518">
        <v>18</v>
      </c>
      <c r="F2518">
        <f t="shared" si="42"/>
        <v>7</v>
      </c>
    </row>
    <row r="2519" spans="1:6">
      <c r="A2519" s="83">
        <v>43800</v>
      </c>
      <c r="B2519" t="s">
        <v>32</v>
      </c>
      <c r="C2519" t="s">
        <v>24</v>
      </c>
      <c r="D2519" t="s">
        <v>22</v>
      </c>
      <c r="E2519">
        <v>55</v>
      </c>
      <c r="F2519">
        <f t="shared" si="42"/>
        <v>7</v>
      </c>
    </row>
    <row r="2520" spans="1:6">
      <c r="A2520" s="83">
        <v>43800</v>
      </c>
      <c r="B2520" t="s">
        <v>32</v>
      </c>
      <c r="C2520" t="s">
        <v>24</v>
      </c>
      <c r="D2520" t="s">
        <v>23</v>
      </c>
      <c r="E2520">
        <v>79</v>
      </c>
      <c r="F2520">
        <f t="shared" si="42"/>
        <v>3</v>
      </c>
    </row>
    <row r="2521" spans="1:6">
      <c r="A2521" s="83">
        <v>42736</v>
      </c>
      <c r="B2521" t="s">
        <v>32</v>
      </c>
      <c r="C2521" t="s">
        <v>21</v>
      </c>
      <c r="D2521" t="s">
        <v>26</v>
      </c>
      <c r="E2521">
        <v>17</v>
      </c>
      <c r="F2521">
        <f t="shared" si="42"/>
        <v>5</v>
      </c>
    </row>
    <row r="2522" spans="1:6">
      <c r="A2522" s="83">
        <v>42736</v>
      </c>
      <c r="B2522" t="s">
        <v>32</v>
      </c>
      <c r="C2522" t="s">
        <v>21</v>
      </c>
      <c r="D2522" t="s">
        <v>22</v>
      </c>
      <c r="E2522">
        <v>90</v>
      </c>
      <c r="F2522">
        <f t="shared" si="42"/>
        <v>7</v>
      </c>
    </row>
    <row r="2523" spans="1:6">
      <c r="A2523" s="83">
        <v>42736</v>
      </c>
      <c r="B2523" t="s">
        <v>32</v>
      </c>
      <c r="C2523" t="s">
        <v>24</v>
      </c>
      <c r="D2523" t="s">
        <v>22</v>
      </c>
      <c r="E2523">
        <v>69</v>
      </c>
      <c r="F2523">
        <f t="shared" si="42"/>
        <v>7</v>
      </c>
    </row>
    <row r="2524" spans="1:6">
      <c r="A2524" s="83">
        <v>42736</v>
      </c>
      <c r="B2524" t="s">
        <v>32</v>
      </c>
      <c r="C2524" t="s">
        <v>24</v>
      </c>
      <c r="D2524" t="s">
        <v>26</v>
      </c>
      <c r="E2524">
        <v>68</v>
      </c>
      <c r="F2524">
        <f t="shared" si="42"/>
        <v>5</v>
      </c>
    </row>
    <row r="2525" spans="1:6">
      <c r="A2525" s="83">
        <v>42767</v>
      </c>
      <c r="B2525" t="s">
        <v>32</v>
      </c>
      <c r="C2525" t="s">
        <v>21</v>
      </c>
      <c r="D2525" t="s">
        <v>22</v>
      </c>
      <c r="E2525">
        <v>28</v>
      </c>
      <c r="F2525">
        <f t="shared" si="42"/>
        <v>7</v>
      </c>
    </row>
    <row r="2526" spans="1:6">
      <c r="A2526" s="83">
        <v>42767</v>
      </c>
      <c r="B2526" t="s">
        <v>32</v>
      </c>
      <c r="C2526" t="s">
        <v>21</v>
      </c>
      <c r="D2526" t="s">
        <v>26</v>
      </c>
      <c r="E2526">
        <v>122</v>
      </c>
      <c r="F2526">
        <f t="shared" si="42"/>
        <v>5</v>
      </c>
    </row>
    <row r="2527" spans="1:6">
      <c r="A2527" s="83">
        <v>42767</v>
      </c>
      <c r="B2527" t="s">
        <v>32</v>
      </c>
      <c r="C2527" t="s">
        <v>24</v>
      </c>
      <c r="D2527" t="s">
        <v>26</v>
      </c>
      <c r="E2527">
        <v>83</v>
      </c>
      <c r="F2527">
        <f t="shared" si="42"/>
        <v>5</v>
      </c>
    </row>
    <row r="2528" spans="1:6">
      <c r="A2528" s="83">
        <v>42767</v>
      </c>
      <c r="B2528" t="s">
        <v>32</v>
      </c>
      <c r="C2528" t="s">
        <v>24</v>
      </c>
      <c r="D2528" t="s">
        <v>23</v>
      </c>
      <c r="E2528">
        <v>79</v>
      </c>
      <c r="F2528">
        <f t="shared" si="42"/>
        <v>3</v>
      </c>
    </row>
    <row r="2529" spans="1:6">
      <c r="A2529" s="83">
        <v>42795</v>
      </c>
      <c r="B2529" t="s">
        <v>32</v>
      </c>
      <c r="C2529" t="s">
        <v>21</v>
      </c>
      <c r="D2529" t="s">
        <v>26</v>
      </c>
      <c r="E2529">
        <v>55</v>
      </c>
      <c r="F2529">
        <f t="shared" si="42"/>
        <v>5</v>
      </c>
    </row>
    <row r="2530" spans="1:6">
      <c r="A2530" s="83">
        <v>42795</v>
      </c>
      <c r="B2530" t="s">
        <v>32</v>
      </c>
      <c r="C2530" t="s">
        <v>21</v>
      </c>
      <c r="D2530" t="s">
        <v>22</v>
      </c>
      <c r="E2530">
        <v>203</v>
      </c>
      <c r="F2530">
        <f t="shared" si="42"/>
        <v>7</v>
      </c>
    </row>
    <row r="2531" spans="1:6">
      <c r="A2531" s="83">
        <v>42795</v>
      </c>
      <c r="B2531" t="s">
        <v>32</v>
      </c>
      <c r="C2531" t="s">
        <v>24</v>
      </c>
      <c r="D2531" t="s">
        <v>22</v>
      </c>
      <c r="E2531">
        <v>138</v>
      </c>
      <c r="F2531">
        <f t="shared" si="42"/>
        <v>7</v>
      </c>
    </row>
    <row r="2532" spans="1:6">
      <c r="A2532" s="83">
        <v>42795</v>
      </c>
      <c r="B2532" t="s">
        <v>32</v>
      </c>
      <c r="C2532" t="s">
        <v>24</v>
      </c>
      <c r="D2532" t="s">
        <v>22</v>
      </c>
      <c r="E2532">
        <v>169</v>
      </c>
      <c r="F2532">
        <f t="shared" si="42"/>
        <v>7</v>
      </c>
    </row>
    <row r="2533" spans="1:6">
      <c r="A2533" s="83">
        <v>42826</v>
      </c>
      <c r="B2533" t="s">
        <v>32</v>
      </c>
      <c r="C2533" t="s">
        <v>21</v>
      </c>
      <c r="D2533" t="s">
        <v>26</v>
      </c>
      <c r="E2533">
        <v>110</v>
      </c>
      <c r="F2533">
        <f t="shared" si="42"/>
        <v>5</v>
      </c>
    </row>
    <row r="2534" spans="1:6">
      <c r="A2534" s="83">
        <v>42826</v>
      </c>
      <c r="B2534" t="s">
        <v>32</v>
      </c>
      <c r="C2534" t="s">
        <v>21</v>
      </c>
      <c r="D2534" t="s">
        <v>22</v>
      </c>
      <c r="E2534">
        <v>180</v>
      </c>
      <c r="F2534">
        <f t="shared" si="42"/>
        <v>7</v>
      </c>
    </row>
    <row r="2535" spans="1:6">
      <c r="A2535" s="83">
        <v>42826</v>
      </c>
      <c r="B2535" t="s">
        <v>32</v>
      </c>
      <c r="C2535" t="s">
        <v>24</v>
      </c>
      <c r="D2535" t="s">
        <v>26</v>
      </c>
      <c r="E2535">
        <v>206</v>
      </c>
      <c r="F2535">
        <f t="shared" si="42"/>
        <v>5</v>
      </c>
    </row>
    <row r="2536" spans="1:6">
      <c r="A2536" s="83">
        <v>42826</v>
      </c>
      <c r="B2536" t="s">
        <v>32</v>
      </c>
      <c r="C2536" t="s">
        <v>24</v>
      </c>
      <c r="D2536" t="s">
        <v>23</v>
      </c>
      <c r="E2536">
        <v>158</v>
      </c>
      <c r="F2536">
        <f t="shared" si="42"/>
        <v>3</v>
      </c>
    </row>
    <row r="2537" spans="1:6">
      <c r="A2537" s="83">
        <v>42856</v>
      </c>
      <c r="B2537" t="s">
        <v>32</v>
      </c>
      <c r="C2537" t="s">
        <v>21</v>
      </c>
      <c r="D2537" t="s">
        <v>23</v>
      </c>
      <c r="E2537">
        <v>154</v>
      </c>
      <c r="F2537">
        <f t="shared" si="42"/>
        <v>3</v>
      </c>
    </row>
    <row r="2538" spans="1:6">
      <c r="A2538" s="83">
        <v>42856</v>
      </c>
      <c r="B2538" t="s">
        <v>32</v>
      </c>
      <c r="C2538" t="s">
        <v>21</v>
      </c>
      <c r="D2538" t="s">
        <v>22</v>
      </c>
      <c r="E2538">
        <v>194</v>
      </c>
      <c r="F2538">
        <f t="shared" si="42"/>
        <v>7</v>
      </c>
    </row>
    <row r="2539" spans="1:6">
      <c r="A2539" s="83">
        <v>42856</v>
      </c>
      <c r="B2539" t="s">
        <v>32</v>
      </c>
      <c r="C2539" t="s">
        <v>24</v>
      </c>
      <c r="D2539" t="s">
        <v>23</v>
      </c>
      <c r="E2539">
        <v>193</v>
      </c>
      <c r="F2539">
        <f t="shared" si="42"/>
        <v>3</v>
      </c>
    </row>
    <row r="2540" spans="1:6">
      <c r="A2540" s="83">
        <v>42856</v>
      </c>
      <c r="B2540" t="s">
        <v>32</v>
      </c>
      <c r="C2540" t="s">
        <v>24</v>
      </c>
      <c r="D2540" t="s">
        <v>26</v>
      </c>
      <c r="E2540">
        <v>259</v>
      </c>
      <c r="F2540">
        <f t="shared" si="42"/>
        <v>5</v>
      </c>
    </row>
    <row r="2541" spans="1:6">
      <c r="A2541" s="83">
        <v>42887</v>
      </c>
      <c r="B2541" t="s">
        <v>32</v>
      </c>
      <c r="C2541" t="s">
        <v>21</v>
      </c>
      <c r="D2541" t="s">
        <v>23</v>
      </c>
      <c r="E2541">
        <v>149</v>
      </c>
      <c r="F2541">
        <f t="shared" si="42"/>
        <v>3</v>
      </c>
    </row>
    <row r="2542" spans="1:6">
      <c r="A2542" s="83">
        <v>42887</v>
      </c>
      <c r="B2542" t="s">
        <v>32</v>
      </c>
      <c r="C2542" t="s">
        <v>21</v>
      </c>
      <c r="D2542" t="s">
        <v>26</v>
      </c>
      <c r="E2542">
        <v>338</v>
      </c>
      <c r="F2542">
        <f t="shared" si="42"/>
        <v>5</v>
      </c>
    </row>
    <row r="2543" spans="1:6">
      <c r="A2543" s="83">
        <v>42887</v>
      </c>
      <c r="B2543" t="s">
        <v>32</v>
      </c>
      <c r="C2543" t="s">
        <v>24</v>
      </c>
      <c r="D2543" t="s">
        <v>22</v>
      </c>
      <c r="E2543">
        <v>220</v>
      </c>
      <c r="F2543">
        <f t="shared" si="42"/>
        <v>7</v>
      </c>
    </row>
    <row r="2544" spans="1:6">
      <c r="A2544" s="83">
        <v>42887</v>
      </c>
      <c r="B2544" t="s">
        <v>32</v>
      </c>
      <c r="C2544" t="s">
        <v>24</v>
      </c>
      <c r="D2544" t="s">
        <v>26</v>
      </c>
      <c r="E2544">
        <v>338</v>
      </c>
      <c r="F2544">
        <f t="shared" si="42"/>
        <v>5</v>
      </c>
    </row>
    <row r="2545" spans="1:6">
      <c r="A2545" s="83">
        <v>42917</v>
      </c>
      <c r="B2545" t="s">
        <v>32</v>
      </c>
      <c r="C2545" t="s">
        <v>21</v>
      </c>
      <c r="D2545" t="s">
        <v>26</v>
      </c>
      <c r="E2545">
        <v>204</v>
      </c>
      <c r="F2545">
        <f t="shared" si="42"/>
        <v>5</v>
      </c>
    </row>
    <row r="2546" spans="1:6">
      <c r="A2546" s="83">
        <v>42917</v>
      </c>
      <c r="B2546" t="s">
        <v>32</v>
      </c>
      <c r="C2546" t="s">
        <v>21</v>
      </c>
      <c r="D2546" t="s">
        <v>22</v>
      </c>
      <c r="E2546">
        <v>212</v>
      </c>
      <c r="F2546">
        <f t="shared" si="42"/>
        <v>7</v>
      </c>
    </row>
    <row r="2547" spans="1:6">
      <c r="A2547" s="83">
        <v>42917</v>
      </c>
      <c r="B2547" t="s">
        <v>32</v>
      </c>
      <c r="C2547" t="s">
        <v>24</v>
      </c>
      <c r="D2547" t="s">
        <v>22</v>
      </c>
      <c r="E2547">
        <v>206</v>
      </c>
      <c r="F2547">
        <f t="shared" si="42"/>
        <v>7</v>
      </c>
    </row>
    <row r="2548" spans="1:6">
      <c r="A2548" s="83">
        <v>42917</v>
      </c>
      <c r="B2548" t="s">
        <v>32</v>
      </c>
      <c r="C2548" t="s">
        <v>24</v>
      </c>
      <c r="D2548" t="s">
        <v>22</v>
      </c>
      <c r="E2548">
        <v>270</v>
      </c>
      <c r="F2548">
        <f t="shared" si="42"/>
        <v>7</v>
      </c>
    </row>
    <row r="2549" spans="1:6">
      <c r="A2549" s="83">
        <v>42948</v>
      </c>
      <c r="B2549" t="s">
        <v>32</v>
      </c>
      <c r="C2549" t="s">
        <v>21</v>
      </c>
      <c r="D2549" t="s">
        <v>26</v>
      </c>
      <c r="E2549">
        <v>286</v>
      </c>
      <c r="F2549">
        <f t="shared" si="42"/>
        <v>5</v>
      </c>
    </row>
    <row r="2550" spans="1:6">
      <c r="A2550" s="83">
        <v>42948</v>
      </c>
      <c r="B2550" t="s">
        <v>32</v>
      </c>
      <c r="C2550" t="s">
        <v>21</v>
      </c>
      <c r="D2550" t="s">
        <v>23</v>
      </c>
      <c r="E2550">
        <v>270</v>
      </c>
      <c r="F2550">
        <f t="shared" si="42"/>
        <v>3</v>
      </c>
    </row>
    <row r="2551" spans="1:6">
      <c r="A2551" s="83">
        <v>42948</v>
      </c>
      <c r="B2551" t="s">
        <v>32</v>
      </c>
      <c r="C2551" t="s">
        <v>24</v>
      </c>
      <c r="D2551" t="s">
        <v>26</v>
      </c>
      <c r="E2551">
        <v>193</v>
      </c>
      <c r="F2551">
        <f t="shared" si="42"/>
        <v>5</v>
      </c>
    </row>
    <row r="2552" spans="1:6">
      <c r="A2552" s="83">
        <v>42948</v>
      </c>
      <c r="B2552" t="s">
        <v>32</v>
      </c>
      <c r="C2552" t="s">
        <v>24</v>
      </c>
      <c r="D2552" t="s">
        <v>26</v>
      </c>
      <c r="E2552">
        <v>169</v>
      </c>
      <c r="F2552">
        <f t="shared" si="42"/>
        <v>5</v>
      </c>
    </row>
    <row r="2553" spans="1:6">
      <c r="A2553" s="83">
        <v>42979</v>
      </c>
      <c r="B2553" t="s">
        <v>32</v>
      </c>
      <c r="C2553" t="s">
        <v>21</v>
      </c>
      <c r="D2553" t="s">
        <v>26</v>
      </c>
      <c r="E2553">
        <v>292</v>
      </c>
      <c r="F2553">
        <f t="shared" si="42"/>
        <v>5</v>
      </c>
    </row>
    <row r="2554" spans="1:6">
      <c r="A2554" s="83">
        <v>42979</v>
      </c>
      <c r="B2554" t="s">
        <v>32</v>
      </c>
      <c r="C2554" t="s">
        <v>21</v>
      </c>
      <c r="D2554" t="s">
        <v>22</v>
      </c>
      <c r="E2554">
        <v>270</v>
      </c>
      <c r="F2554">
        <f t="shared" si="42"/>
        <v>7</v>
      </c>
    </row>
    <row r="2555" spans="1:6">
      <c r="A2555" s="83">
        <v>42979</v>
      </c>
      <c r="B2555" t="s">
        <v>32</v>
      </c>
      <c r="C2555" t="s">
        <v>24</v>
      </c>
      <c r="D2555" t="s">
        <v>23</v>
      </c>
      <c r="E2555">
        <v>151</v>
      </c>
      <c r="F2555">
        <f t="shared" si="42"/>
        <v>3</v>
      </c>
    </row>
    <row r="2556" spans="1:6">
      <c r="A2556" s="83">
        <v>42979</v>
      </c>
      <c r="B2556" t="s">
        <v>32</v>
      </c>
      <c r="C2556" t="s">
        <v>24</v>
      </c>
      <c r="D2556" t="s">
        <v>26</v>
      </c>
      <c r="E2556">
        <v>124</v>
      </c>
      <c r="F2556">
        <f t="shared" si="42"/>
        <v>5</v>
      </c>
    </row>
    <row r="2557" spans="1:6">
      <c r="A2557" s="83">
        <v>43009</v>
      </c>
      <c r="B2557" t="s">
        <v>32</v>
      </c>
      <c r="C2557" t="s">
        <v>21</v>
      </c>
      <c r="D2557" t="s">
        <v>26</v>
      </c>
      <c r="E2557">
        <v>347</v>
      </c>
      <c r="F2557">
        <f t="shared" si="42"/>
        <v>5</v>
      </c>
    </row>
    <row r="2558" spans="1:6">
      <c r="A2558" s="83">
        <v>43009</v>
      </c>
      <c r="B2558" t="s">
        <v>32</v>
      </c>
      <c r="C2558" t="s">
        <v>21</v>
      </c>
      <c r="D2558" t="s">
        <v>26</v>
      </c>
      <c r="E2558">
        <v>347</v>
      </c>
      <c r="F2558">
        <f t="shared" si="42"/>
        <v>5</v>
      </c>
    </row>
    <row r="2559" spans="1:6">
      <c r="A2559" s="83">
        <v>43009</v>
      </c>
      <c r="B2559" t="s">
        <v>32</v>
      </c>
      <c r="C2559" t="s">
        <v>24</v>
      </c>
      <c r="D2559" t="s">
        <v>26</v>
      </c>
      <c r="E2559">
        <v>179</v>
      </c>
      <c r="F2559">
        <f t="shared" si="42"/>
        <v>5</v>
      </c>
    </row>
    <row r="2560" spans="1:6">
      <c r="A2560" s="83">
        <v>43009</v>
      </c>
      <c r="B2560" t="s">
        <v>32</v>
      </c>
      <c r="C2560" t="s">
        <v>24</v>
      </c>
      <c r="D2560" t="s">
        <v>23</v>
      </c>
      <c r="E2560">
        <v>169</v>
      </c>
      <c r="F2560">
        <f t="shared" si="42"/>
        <v>3</v>
      </c>
    </row>
    <row r="2561" spans="1:6">
      <c r="A2561" s="83">
        <v>43040</v>
      </c>
      <c r="B2561" t="s">
        <v>32</v>
      </c>
      <c r="C2561" t="s">
        <v>21</v>
      </c>
      <c r="D2561" t="s">
        <v>26</v>
      </c>
      <c r="E2561">
        <v>275</v>
      </c>
      <c r="F2561">
        <f t="shared" si="42"/>
        <v>5</v>
      </c>
    </row>
    <row r="2562" spans="1:6">
      <c r="A2562" s="83">
        <v>43040</v>
      </c>
      <c r="B2562" t="s">
        <v>32</v>
      </c>
      <c r="C2562" t="s">
        <v>21</v>
      </c>
      <c r="D2562" t="s">
        <v>23</v>
      </c>
      <c r="E2562">
        <v>315</v>
      </c>
      <c r="F2562">
        <f t="shared" si="42"/>
        <v>3</v>
      </c>
    </row>
    <row r="2563" spans="1:6">
      <c r="A2563" s="83">
        <v>43040</v>
      </c>
      <c r="B2563" t="s">
        <v>32</v>
      </c>
      <c r="C2563" t="s">
        <v>24</v>
      </c>
      <c r="D2563" t="s">
        <v>23</v>
      </c>
      <c r="E2563">
        <v>330</v>
      </c>
      <c r="F2563">
        <f t="shared" ref="F2563:F2626" si="43">LEN(D2563)</f>
        <v>3</v>
      </c>
    </row>
    <row r="2564" spans="1:6">
      <c r="A2564" s="83">
        <v>43040</v>
      </c>
      <c r="B2564" t="s">
        <v>32</v>
      </c>
      <c r="C2564" t="s">
        <v>24</v>
      </c>
      <c r="D2564" t="s">
        <v>22</v>
      </c>
      <c r="E2564">
        <v>326</v>
      </c>
      <c r="F2564">
        <f t="shared" si="43"/>
        <v>7</v>
      </c>
    </row>
    <row r="2565" spans="1:6">
      <c r="A2565" s="83">
        <v>43070</v>
      </c>
      <c r="B2565" t="s">
        <v>32</v>
      </c>
      <c r="C2565" t="s">
        <v>21</v>
      </c>
      <c r="D2565" t="s">
        <v>22</v>
      </c>
      <c r="E2565">
        <v>292</v>
      </c>
      <c r="F2565">
        <f t="shared" si="43"/>
        <v>7</v>
      </c>
    </row>
    <row r="2566" spans="1:6">
      <c r="A2566" s="83">
        <v>43070</v>
      </c>
      <c r="B2566" t="s">
        <v>32</v>
      </c>
      <c r="C2566" t="s">
        <v>21</v>
      </c>
      <c r="D2566" t="s">
        <v>22</v>
      </c>
      <c r="E2566">
        <v>374</v>
      </c>
      <c r="F2566">
        <f t="shared" si="43"/>
        <v>7</v>
      </c>
    </row>
    <row r="2567" spans="1:6">
      <c r="A2567" s="83">
        <v>43070</v>
      </c>
      <c r="B2567" t="s">
        <v>32</v>
      </c>
      <c r="C2567" t="s">
        <v>24</v>
      </c>
      <c r="D2567" t="s">
        <v>26</v>
      </c>
      <c r="E2567">
        <v>414</v>
      </c>
      <c r="F2567">
        <f t="shared" si="43"/>
        <v>5</v>
      </c>
    </row>
    <row r="2568" spans="1:6">
      <c r="A2568" s="83">
        <v>43070</v>
      </c>
      <c r="B2568" t="s">
        <v>32</v>
      </c>
      <c r="C2568" t="s">
        <v>24</v>
      </c>
      <c r="D2568" t="s">
        <v>22</v>
      </c>
      <c r="E2568">
        <v>405</v>
      </c>
      <c r="F2568">
        <f t="shared" si="43"/>
        <v>7</v>
      </c>
    </row>
    <row r="2569" spans="1:6">
      <c r="A2569" s="83">
        <v>43101</v>
      </c>
      <c r="B2569" t="s">
        <v>32</v>
      </c>
      <c r="C2569" t="s">
        <v>21</v>
      </c>
      <c r="D2569" t="s">
        <v>23</v>
      </c>
      <c r="E2569">
        <v>303</v>
      </c>
      <c r="F2569">
        <f t="shared" si="43"/>
        <v>3</v>
      </c>
    </row>
    <row r="2570" spans="1:6">
      <c r="A2570" s="83">
        <v>43101</v>
      </c>
      <c r="B2570" t="s">
        <v>32</v>
      </c>
      <c r="C2570" t="s">
        <v>21</v>
      </c>
      <c r="D2570" t="s">
        <v>22</v>
      </c>
      <c r="E2570">
        <v>369</v>
      </c>
      <c r="F2570">
        <f t="shared" si="43"/>
        <v>7</v>
      </c>
    </row>
    <row r="2571" spans="1:6">
      <c r="A2571" s="83">
        <v>43101</v>
      </c>
      <c r="B2571" t="s">
        <v>32</v>
      </c>
      <c r="C2571" t="s">
        <v>24</v>
      </c>
      <c r="D2571" t="s">
        <v>22</v>
      </c>
      <c r="E2571">
        <v>400</v>
      </c>
      <c r="F2571">
        <f t="shared" si="43"/>
        <v>7</v>
      </c>
    </row>
    <row r="2572" spans="1:6">
      <c r="A2572" s="83">
        <v>43101</v>
      </c>
      <c r="B2572" t="s">
        <v>32</v>
      </c>
      <c r="C2572" t="s">
        <v>24</v>
      </c>
      <c r="D2572" t="s">
        <v>23</v>
      </c>
      <c r="E2572">
        <v>405</v>
      </c>
      <c r="F2572">
        <f t="shared" si="43"/>
        <v>3</v>
      </c>
    </row>
    <row r="2573" spans="1:6">
      <c r="A2573" s="83">
        <v>43132</v>
      </c>
      <c r="B2573" t="s">
        <v>32</v>
      </c>
      <c r="C2573" t="s">
        <v>21</v>
      </c>
      <c r="D2573" t="s">
        <v>26</v>
      </c>
      <c r="E2573">
        <v>374</v>
      </c>
      <c r="F2573">
        <f t="shared" si="43"/>
        <v>5</v>
      </c>
    </row>
    <row r="2574" spans="1:6">
      <c r="A2574" s="83">
        <v>43132</v>
      </c>
      <c r="B2574" t="s">
        <v>32</v>
      </c>
      <c r="C2574" t="s">
        <v>21</v>
      </c>
      <c r="D2574" t="s">
        <v>26</v>
      </c>
      <c r="E2574">
        <v>432</v>
      </c>
      <c r="F2574">
        <f t="shared" si="43"/>
        <v>5</v>
      </c>
    </row>
    <row r="2575" spans="1:6">
      <c r="A2575" s="83">
        <v>43132</v>
      </c>
      <c r="B2575" t="s">
        <v>32</v>
      </c>
      <c r="C2575" t="s">
        <v>24</v>
      </c>
      <c r="D2575" t="s">
        <v>23</v>
      </c>
      <c r="E2575">
        <v>508</v>
      </c>
      <c r="F2575">
        <f t="shared" si="43"/>
        <v>3</v>
      </c>
    </row>
    <row r="2576" spans="1:6">
      <c r="A2576" s="83">
        <v>43132</v>
      </c>
      <c r="B2576" t="s">
        <v>32</v>
      </c>
      <c r="C2576" t="s">
        <v>24</v>
      </c>
      <c r="D2576" t="s">
        <v>23</v>
      </c>
      <c r="E2576">
        <v>469</v>
      </c>
      <c r="F2576">
        <f t="shared" si="43"/>
        <v>3</v>
      </c>
    </row>
    <row r="2577" spans="1:6">
      <c r="A2577" s="83">
        <v>43160</v>
      </c>
      <c r="B2577" t="s">
        <v>32</v>
      </c>
      <c r="C2577" t="s">
        <v>21</v>
      </c>
      <c r="D2577" t="s">
        <v>26</v>
      </c>
      <c r="E2577">
        <v>358</v>
      </c>
      <c r="F2577">
        <f t="shared" si="43"/>
        <v>5</v>
      </c>
    </row>
    <row r="2578" spans="1:6">
      <c r="A2578" s="83">
        <v>43160</v>
      </c>
      <c r="B2578" t="s">
        <v>32</v>
      </c>
      <c r="C2578" t="s">
        <v>21</v>
      </c>
      <c r="D2578" t="s">
        <v>26</v>
      </c>
      <c r="E2578">
        <v>504</v>
      </c>
      <c r="F2578">
        <f t="shared" si="43"/>
        <v>5</v>
      </c>
    </row>
    <row r="2579" spans="1:6">
      <c r="A2579" s="83">
        <v>43160</v>
      </c>
      <c r="B2579" t="s">
        <v>32</v>
      </c>
      <c r="C2579" t="s">
        <v>24</v>
      </c>
      <c r="D2579" t="s">
        <v>23</v>
      </c>
      <c r="E2579">
        <v>275</v>
      </c>
      <c r="F2579">
        <f t="shared" si="43"/>
        <v>3</v>
      </c>
    </row>
    <row r="2580" spans="1:6">
      <c r="A2580" s="83">
        <v>43160</v>
      </c>
      <c r="B2580" t="s">
        <v>32</v>
      </c>
      <c r="C2580" t="s">
        <v>24</v>
      </c>
      <c r="D2580" t="s">
        <v>23</v>
      </c>
      <c r="E2580">
        <v>415</v>
      </c>
      <c r="F2580">
        <f t="shared" si="43"/>
        <v>3</v>
      </c>
    </row>
    <row r="2581" spans="1:6">
      <c r="A2581" s="83">
        <v>43191</v>
      </c>
      <c r="B2581" t="s">
        <v>32</v>
      </c>
      <c r="C2581" t="s">
        <v>21</v>
      </c>
      <c r="D2581" t="s">
        <v>23</v>
      </c>
      <c r="E2581">
        <v>385</v>
      </c>
      <c r="F2581">
        <f t="shared" si="43"/>
        <v>3</v>
      </c>
    </row>
    <row r="2582" spans="1:6">
      <c r="A2582" s="83">
        <v>43191</v>
      </c>
      <c r="B2582" t="s">
        <v>32</v>
      </c>
      <c r="C2582" t="s">
        <v>21</v>
      </c>
      <c r="D2582" t="s">
        <v>26</v>
      </c>
      <c r="E2582">
        <v>516</v>
      </c>
      <c r="F2582">
        <f t="shared" si="43"/>
        <v>5</v>
      </c>
    </row>
    <row r="2583" spans="1:6">
      <c r="A2583" s="83">
        <v>43191</v>
      </c>
      <c r="B2583" t="s">
        <v>32</v>
      </c>
      <c r="C2583" t="s">
        <v>24</v>
      </c>
      <c r="D2583" t="s">
        <v>22</v>
      </c>
      <c r="E2583">
        <v>330</v>
      </c>
      <c r="F2583">
        <f t="shared" si="43"/>
        <v>7</v>
      </c>
    </row>
    <row r="2584" spans="1:6">
      <c r="A2584" s="83">
        <v>43191</v>
      </c>
      <c r="B2584" t="s">
        <v>32</v>
      </c>
      <c r="C2584" t="s">
        <v>24</v>
      </c>
      <c r="D2584" t="s">
        <v>22</v>
      </c>
      <c r="E2584">
        <v>525</v>
      </c>
      <c r="F2584">
        <f t="shared" si="43"/>
        <v>7</v>
      </c>
    </row>
    <row r="2585" spans="1:6">
      <c r="A2585" s="83">
        <v>43221</v>
      </c>
      <c r="B2585" t="s">
        <v>32</v>
      </c>
      <c r="C2585" t="s">
        <v>21</v>
      </c>
      <c r="D2585" t="s">
        <v>26</v>
      </c>
      <c r="E2585">
        <v>429</v>
      </c>
      <c r="F2585">
        <f t="shared" si="43"/>
        <v>5</v>
      </c>
    </row>
    <row r="2586" spans="1:6">
      <c r="A2586" s="83">
        <v>43221</v>
      </c>
      <c r="B2586" t="s">
        <v>32</v>
      </c>
      <c r="C2586" t="s">
        <v>21</v>
      </c>
      <c r="D2586" t="s">
        <v>22</v>
      </c>
      <c r="E2586">
        <v>608</v>
      </c>
      <c r="F2586">
        <f t="shared" si="43"/>
        <v>7</v>
      </c>
    </row>
    <row r="2587" spans="1:6">
      <c r="A2587" s="83">
        <v>43221</v>
      </c>
      <c r="B2587" t="s">
        <v>32</v>
      </c>
      <c r="C2587" t="s">
        <v>24</v>
      </c>
      <c r="D2587" t="s">
        <v>26</v>
      </c>
      <c r="E2587">
        <v>385</v>
      </c>
      <c r="F2587">
        <f t="shared" si="43"/>
        <v>5</v>
      </c>
    </row>
    <row r="2588" spans="1:6">
      <c r="A2588" s="83">
        <v>43221</v>
      </c>
      <c r="B2588" t="s">
        <v>32</v>
      </c>
      <c r="C2588" t="s">
        <v>24</v>
      </c>
      <c r="D2588" t="s">
        <v>23</v>
      </c>
      <c r="E2588">
        <v>415</v>
      </c>
      <c r="F2588">
        <f t="shared" si="43"/>
        <v>3</v>
      </c>
    </row>
    <row r="2589" spans="1:6">
      <c r="A2589" s="83">
        <v>43252</v>
      </c>
      <c r="B2589" t="s">
        <v>32</v>
      </c>
      <c r="C2589" t="s">
        <v>21</v>
      </c>
      <c r="D2589" t="s">
        <v>26</v>
      </c>
      <c r="E2589">
        <v>495</v>
      </c>
      <c r="F2589">
        <f t="shared" si="43"/>
        <v>5</v>
      </c>
    </row>
    <row r="2590" spans="1:6">
      <c r="A2590" s="83">
        <v>43252</v>
      </c>
      <c r="B2590" t="s">
        <v>32</v>
      </c>
      <c r="C2590" t="s">
        <v>21</v>
      </c>
      <c r="D2590" t="s">
        <v>22</v>
      </c>
      <c r="E2590">
        <v>525</v>
      </c>
      <c r="F2590">
        <f t="shared" si="43"/>
        <v>7</v>
      </c>
    </row>
    <row r="2591" spans="1:6">
      <c r="A2591" s="83">
        <v>43252</v>
      </c>
      <c r="B2591" t="s">
        <v>32</v>
      </c>
      <c r="C2591" t="s">
        <v>24</v>
      </c>
      <c r="D2591" t="s">
        <v>22</v>
      </c>
      <c r="E2591">
        <v>427</v>
      </c>
      <c r="F2591">
        <f t="shared" si="43"/>
        <v>7</v>
      </c>
    </row>
    <row r="2592" spans="1:6">
      <c r="A2592" s="83">
        <v>43252</v>
      </c>
      <c r="B2592" t="s">
        <v>32</v>
      </c>
      <c r="C2592" t="s">
        <v>24</v>
      </c>
      <c r="D2592" t="s">
        <v>22</v>
      </c>
      <c r="E2592">
        <v>513</v>
      </c>
      <c r="F2592">
        <f t="shared" si="43"/>
        <v>7</v>
      </c>
    </row>
    <row r="2593" spans="1:6">
      <c r="A2593" s="83">
        <v>43282</v>
      </c>
      <c r="B2593" t="s">
        <v>32</v>
      </c>
      <c r="C2593" t="s">
        <v>21</v>
      </c>
      <c r="D2593" t="s">
        <v>26</v>
      </c>
      <c r="E2593">
        <v>581</v>
      </c>
      <c r="F2593">
        <f t="shared" si="43"/>
        <v>5</v>
      </c>
    </row>
    <row r="2594" spans="1:6">
      <c r="A2594" s="83">
        <v>43282</v>
      </c>
      <c r="B2594" t="s">
        <v>32</v>
      </c>
      <c r="C2594" t="s">
        <v>21</v>
      </c>
      <c r="D2594" t="s">
        <v>26</v>
      </c>
      <c r="E2594">
        <v>730</v>
      </c>
      <c r="F2594">
        <f t="shared" si="43"/>
        <v>5</v>
      </c>
    </row>
    <row r="2595" spans="1:6">
      <c r="A2595" s="83">
        <v>43282</v>
      </c>
      <c r="B2595" t="s">
        <v>32</v>
      </c>
      <c r="C2595" t="s">
        <v>24</v>
      </c>
      <c r="D2595" t="s">
        <v>23</v>
      </c>
      <c r="E2595">
        <v>303</v>
      </c>
      <c r="F2595">
        <f t="shared" si="43"/>
        <v>3</v>
      </c>
    </row>
    <row r="2596" spans="1:6">
      <c r="A2596" s="83">
        <v>43282</v>
      </c>
      <c r="B2596" t="s">
        <v>32</v>
      </c>
      <c r="C2596" t="s">
        <v>24</v>
      </c>
      <c r="D2596" t="s">
        <v>22</v>
      </c>
      <c r="E2596">
        <v>546</v>
      </c>
      <c r="F2596">
        <f t="shared" si="43"/>
        <v>7</v>
      </c>
    </row>
    <row r="2597" spans="1:6">
      <c r="A2597" s="83">
        <v>43313</v>
      </c>
      <c r="B2597" t="s">
        <v>32</v>
      </c>
      <c r="C2597" t="s">
        <v>21</v>
      </c>
      <c r="D2597" t="s">
        <v>22</v>
      </c>
      <c r="E2597">
        <v>618</v>
      </c>
      <c r="F2597">
        <f t="shared" si="43"/>
        <v>7</v>
      </c>
    </row>
    <row r="2598" spans="1:6">
      <c r="A2598" s="83">
        <v>43313</v>
      </c>
      <c r="B2598" t="s">
        <v>32</v>
      </c>
      <c r="C2598" t="s">
        <v>21</v>
      </c>
      <c r="D2598" t="s">
        <v>22</v>
      </c>
      <c r="E2598">
        <v>594</v>
      </c>
      <c r="F2598">
        <f t="shared" si="43"/>
        <v>7</v>
      </c>
    </row>
    <row r="2599" spans="1:6">
      <c r="A2599" s="83">
        <v>43313</v>
      </c>
      <c r="B2599" t="s">
        <v>32</v>
      </c>
      <c r="C2599" t="s">
        <v>24</v>
      </c>
      <c r="D2599" t="s">
        <v>22</v>
      </c>
      <c r="E2599">
        <v>303</v>
      </c>
      <c r="F2599">
        <f t="shared" si="43"/>
        <v>7</v>
      </c>
    </row>
    <row r="2600" spans="1:6">
      <c r="A2600" s="83">
        <v>43313</v>
      </c>
      <c r="B2600" t="s">
        <v>32</v>
      </c>
      <c r="C2600" t="s">
        <v>24</v>
      </c>
      <c r="D2600" t="s">
        <v>26</v>
      </c>
      <c r="E2600">
        <v>689</v>
      </c>
      <c r="F2600">
        <f t="shared" si="43"/>
        <v>5</v>
      </c>
    </row>
    <row r="2601" spans="1:6">
      <c r="A2601" s="83">
        <v>43344</v>
      </c>
      <c r="B2601" t="s">
        <v>32</v>
      </c>
      <c r="C2601" t="s">
        <v>21</v>
      </c>
      <c r="D2601" t="s">
        <v>23</v>
      </c>
      <c r="E2601">
        <v>666</v>
      </c>
      <c r="F2601">
        <f t="shared" si="43"/>
        <v>3</v>
      </c>
    </row>
    <row r="2602" spans="1:6">
      <c r="A2602" s="83">
        <v>43344</v>
      </c>
      <c r="B2602" t="s">
        <v>32</v>
      </c>
      <c r="C2602" t="s">
        <v>21</v>
      </c>
      <c r="D2602" t="s">
        <v>23</v>
      </c>
      <c r="E2602">
        <v>613</v>
      </c>
      <c r="F2602">
        <f t="shared" si="43"/>
        <v>3</v>
      </c>
    </row>
    <row r="2603" spans="1:6">
      <c r="A2603" s="83">
        <v>43344</v>
      </c>
      <c r="B2603" t="s">
        <v>32</v>
      </c>
      <c r="C2603" t="s">
        <v>24</v>
      </c>
      <c r="D2603" t="s">
        <v>26</v>
      </c>
      <c r="E2603">
        <v>330</v>
      </c>
      <c r="F2603">
        <f t="shared" si="43"/>
        <v>5</v>
      </c>
    </row>
    <row r="2604" spans="1:6">
      <c r="A2604" s="83">
        <v>43344</v>
      </c>
      <c r="B2604" t="s">
        <v>32</v>
      </c>
      <c r="C2604" t="s">
        <v>24</v>
      </c>
      <c r="D2604" t="s">
        <v>26</v>
      </c>
      <c r="E2604">
        <v>732</v>
      </c>
      <c r="F2604">
        <f t="shared" si="43"/>
        <v>5</v>
      </c>
    </row>
    <row r="2605" spans="1:6">
      <c r="A2605" s="83">
        <v>43374</v>
      </c>
      <c r="B2605" t="s">
        <v>32</v>
      </c>
      <c r="C2605" t="s">
        <v>21</v>
      </c>
      <c r="D2605" t="s">
        <v>23</v>
      </c>
      <c r="E2605">
        <v>734</v>
      </c>
      <c r="F2605">
        <f t="shared" si="43"/>
        <v>3</v>
      </c>
    </row>
    <row r="2606" spans="1:6">
      <c r="A2606" s="83">
        <v>43374</v>
      </c>
      <c r="B2606" t="s">
        <v>32</v>
      </c>
      <c r="C2606" t="s">
        <v>21</v>
      </c>
      <c r="D2606" t="s">
        <v>22</v>
      </c>
      <c r="E2606">
        <v>709</v>
      </c>
      <c r="F2606">
        <f t="shared" si="43"/>
        <v>7</v>
      </c>
    </row>
    <row r="2607" spans="1:6">
      <c r="A2607" s="83">
        <v>43374</v>
      </c>
      <c r="B2607" t="s">
        <v>32</v>
      </c>
      <c r="C2607" t="s">
        <v>24</v>
      </c>
      <c r="D2607" t="s">
        <v>22</v>
      </c>
      <c r="E2607">
        <v>358</v>
      </c>
      <c r="F2607">
        <f t="shared" si="43"/>
        <v>7</v>
      </c>
    </row>
    <row r="2608" spans="1:6">
      <c r="A2608" s="83">
        <v>43374</v>
      </c>
      <c r="B2608" t="s">
        <v>32</v>
      </c>
      <c r="C2608" t="s">
        <v>24</v>
      </c>
      <c r="D2608" t="s">
        <v>22</v>
      </c>
      <c r="E2608">
        <v>776</v>
      </c>
      <c r="F2608">
        <f t="shared" si="43"/>
        <v>7</v>
      </c>
    </row>
    <row r="2609" spans="1:6">
      <c r="A2609" s="83">
        <v>43405</v>
      </c>
      <c r="B2609" t="s">
        <v>32</v>
      </c>
      <c r="C2609" t="s">
        <v>21</v>
      </c>
      <c r="D2609" t="s">
        <v>23</v>
      </c>
      <c r="E2609">
        <v>658</v>
      </c>
      <c r="F2609">
        <f t="shared" si="43"/>
        <v>3</v>
      </c>
    </row>
    <row r="2610" spans="1:6">
      <c r="A2610" s="83">
        <v>43405</v>
      </c>
      <c r="B2610" t="s">
        <v>32</v>
      </c>
      <c r="C2610" t="s">
        <v>21</v>
      </c>
      <c r="D2610" t="s">
        <v>26</v>
      </c>
      <c r="E2610">
        <v>563</v>
      </c>
      <c r="F2610">
        <f t="shared" si="43"/>
        <v>5</v>
      </c>
    </row>
    <row r="2611" spans="1:6">
      <c r="A2611" s="83">
        <v>43405</v>
      </c>
      <c r="B2611" t="s">
        <v>32</v>
      </c>
      <c r="C2611" t="s">
        <v>24</v>
      </c>
      <c r="D2611" t="s">
        <v>26</v>
      </c>
      <c r="E2611">
        <v>427</v>
      </c>
      <c r="F2611">
        <f t="shared" si="43"/>
        <v>5</v>
      </c>
    </row>
    <row r="2612" spans="1:6">
      <c r="A2612" s="83">
        <v>43405</v>
      </c>
      <c r="B2612" t="s">
        <v>32</v>
      </c>
      <c r="C2612" t="s">
        <v>24</v>
      </c>
      <c r="D2612" t="s">
        <v>23</v>
      </c>
      <c r="E2612">
        <v>923</v>
      </c>
      <c r="F2612">
        <f t="shared" si="43"/>
        <v>3</v>
      </c>
    </row>
    <row r="2613" spans="1:6">
      <c r="A2613" s="83">
        <v>43435</v>
      </c>
      <c r="B2613" t="s">
        <v>32</v>
      </c>
      <c r="C2613" t="s">
        <v>21</v>
      </c>
      <c r="D2613" t="s">
        <v>23</v>
      </c>
      <c r="E2613">
        <v>659</v>
      </c>
      <c r="F2613">
        <f t="shared" si="43"/>
        <v>3</v>
      </c>
    </row>
    <row r="2614" spans="1:6">
      <c r="A2614" s="83">
        <v>43435</v>
      </c>
      <c r="B2614" t="s">
        <v>32</v>
      </c>
      <c r="C2614" t="s">
        <v>21</v>
      </c>
      <c r="D2614" t="s">
        <v>26</v>
      </c>
      <c r="E2614">
        <v>770</v>
      </c>
      <c r="F2614">
        <f t="shared" si="43"/>
        <v>5</v>
      </c>
    </row>
    <row r="2615" spans="1:6">
      <c r="A2615" s="83">
        <v>43435</v>
      </c>
      <c r="B2615" t="s">
        <v>32</v>
      </c>
      <c r="C2615" t="s">
        <v>24</v>
      </c>
      <c r="D2615" t="s">
        <v>22</v>
      </c>
      <c r="E2615">
        <v>507</v>
      </c>
      <c r="F2615">
        <f t="shared" si="43"/>
        <v>7</v>
      </c>
    </row>
    <row r="2616" spans="1:6">
      <c r="A2616" s="83">
        <v>43435</v>
      </c>
      <c r="B2616" t="s">
        <v>32</v>
      </c>
      <c r="C2616" t="s">
        <v>24</v>
      </c>
      <c r="D2616" t="s">
        <v>22</v>
      </c>
      <c r="E2616">
        <v>836</v>
      </c>
      <c r="F2616">
        <f t="shared" si="43"/>
        <v>7</v>
      </c>
    </row>
    <row r="2617" spans="1:6">
      <c r="A2617" s="83">
        <v>43466</v>
      </c>
      <c r="B2617" t="s">
        <v>32</v>
      </c>
      <c r="C2617" t="s">
        <v>21</v>
      </c>
      <c r="D2617" t="s">
        <v>23</v>
      </c>
      <c r="E2617">
        <v>770</v>
      </c>
      <c r="F2617">
        <f t="shared" si="43"/>
        <v>3</v>
      </c>
    </row>
    <row r="2618" spans="1:6">
      <c r="A2618" s="83">
        <v>43466</v>
      </c>
      <c r="B2618" t="s">
        <v>32</v>
      </c>
      <c r="C2618" t="s">
        <v>21</v>
      </c>
      <c r="D2618" t="s">
        <v>22</v>
      </c>
      <c r="E2618">
        <v>735</v>
      </c>
      <c r="F2618">
        <f t="shared" si="43"/>
        <v>7</v>
      </c>
    </row>
    <row r="2619" spans="1:6">
      <c r="A2619" s="83">
        <v>43466</v>
      </c>
      <c r="B2619" t="s">
        <v>32</v>
      </c>
      <c r="C2619" t="s">
        <v>24</v>
      </c>
      <c r="D2619" t="s">
        <v>23</v>
      </c>
      <c r="E2619">
        <v>681</v>
      </c>
      <c r="F2619">
        <f t="shared" si="43"/>
        <v>3</v>
      </c>
    </row>
    <row r="2620" spans="1:6">
      <c r="A2620" s="83">
        <v>43466</v>
      </c>
      <c r="B2620" t="s">
        <v>32</v>
      </c>
      <c r="C2620" t="s">
        <v>24</v>
      </c>
      <c r="D2620" t="s">
        <v>23</v>
      </c>
      <c r="E2620">
        <v>848</v>
      </c>
      <c r="F2620">
        <f t="shared" si="43"/>
        <v>3</v>
      </c>
    </row>
    <row r="2621" spans="1:6">
      <c r="A2621" s="83">
        <v>43497</v>
      </c>
      <c r="B2621" t="s">
        <v>32</v>
      </c>
      <c r="C2621" t="s">
        <v>21</v>
      </c>
      <c r="D2621" t="s">
        <v>26</v>
      </c>
      <c r="E2621">
        <v>633</v>
      </c>
      <c r="F2621">
        <f t="shared" si="43"/>
        <v>5</v>
      </c>
    </row>
    <row r="2622" spans="1:6">
      <c r="A2622" s="83">
        <v>43497</v>
      </c>
      <c r="B2622" t="s">
        <v>32</v>
      </c>
      <c r="C2622" t="s">
        <v>21</v>
      </c>
      <c r="D2622" t="s">
        <v>26</v>
      </c>
      <c r="E2622">
        <v>774</v>
      </c>
      <c r="F2622">
        <f t="shared" si="43"/>
        <v>5</v>
      </c>
    </row>
    <row r="2623" spans="1:6">
      <c r="A2623" s="83">
        <v>43497</v>
      </c>
      <c r="B2623" t="s">
        <v>32</v>
      </c>
      <c r="C2623" t="s">
        <v>24</v>
      </c>
      <c r="D2623" t="s">
        <v>22</v>
      </c>
      <c r="E2623">
        <v>615</v>
      </c>
      <c r="F2623">
        <f t="shared" si="43"/>
        <v>7</v>
      </c>
    </row>
    <row r="2624" spans="1:6">
      <c r="A2624" s="83">
        <v>43497</v>
      </c>
      <c r="B2624" t="s">
        <v>32</v>
      </c>
      <c r="C2624" t="s">
        <v>24</v>
      </c>
      <c r="D2624" t="s">
        <v>22</v>
      </c>
      <c r="E2624">
        <v>976</v>
      </c>
      <c r="F2624">
        <f t="shared" si="43"/>
        <v>7</v>
      </c>
    </row>
    <row r="2625" spans="1:6">
      <c r="A2625" s="83">
        <v>43525</v>
      </c>
      <c r="B2625" t="s">
        <v>32</v>
      </c>
      <c r="C2625" t="s">
        <v>21</v>
      </c>
      <c r="D2625" t="s">
        <v>22</v>
      </c>
      <c r="E2625">
        <v>699</v>
      </c>
      <c r="F2625">
        <f t="shared" si="43"/>
        <v>7</v>
      </c>
    </row>
    <row r="2626" spans="1:6">
      <c r="A2626" s="83">
        <v>43525</v>
      </c>
      <c r="B2626" t="s">
        <v>32</v>
      </c>
      <c r="C2626" t="s">
        <v>21</v>
      </c>
      <c r="D2626" t="s">
        <v>26</v>
      </c>
      <c r="E2626">
        <v>825</v>
      </c>
      <c r="F2626">
        <f t="shared" si="43"/>
        <v>5</v>
      </c>
    </row>
    <row r="2627" spans="1:6">
      <c r="A2627" s="83">
        <v>43525</v>
      </c>
      <c r="B2627" t="s">
        <v>32</v>
      </c>
      <c r="C2627" t="s">
        <v>24</v>
      </c>
      <c r="D2627" t="s">
        <v>23</v>
      </c>
      <c r="E2627">
        <v>534</v>
      </c>
      <c r="F2627">
        <f t="shared" ref="F2627:F2690" si="44">LEN(D2627)</f>
        <v>3</v>
      </c>
    </row>
    <row r="2628" spans="1:6">
      <c r="A2628" s="83">
        <v>43525</v>
      </c>
      <c r="B2628" t="s">
        <v>32</v>
      </c>
      <c r="C2628" t="s">
        <v>24</v>
      </c>
      <c r="D2628" t="s">
        <v>23</v>
      </c>
      <c r="E2628">
        <v>1156</v>
      </c>
      <c r="F2628">
        <f t="shared" si="44"/>
        <v>3</v>
      </c>
    </row>
    <row r="2629" spans="1:6">
      <c r="A2629" s="83">
        <v>43556</v>
      </c>
      <c r="B2629" t="s">
        <v>32</v>
      </c>
      <c r="C2629" t="s">
        <v>21</v>
      </c>
      <c r="D2629" t="s">
        <v>26</v>
      </c>
      <c r="E2629">
        <v>671</v>
      </c>
      <c r="F2629">
        <f t="shared" si="44"/>
        <v>5</v>
      </c>
    </row>
    <row r="2630" spans="1:6">
      <c r="A2630" s="83">
        <v>43556</v>
      </c>
      <c r="B2630" t="s">
        <v>32</v>
      </c>
      <c r="C2630" t="s">
        <v>21</v>
      </c>
      <c r="D2630" t="s">
        <v>26</v>
      </c>
      <c r="E2630">
        <v>885</v>
      </c>
      <c r="F2630">
        <f t="shared" si="44"/>
        <v>5</v>
      </c>
    </row>
    <row r="2631" spans="1:6">
      <c r="A2631" s="83">
        <v>43556</v>
      </c>
      <c r="B2631" t="s">
        <v>32</v>
      </c>
      <c r="C2631" t="s">
        <v>24</v>
      </c>
      <c r="D2631" t="s">
        <v>26</v>
      </c>
      <c r="E2631">
        <v>774</v>
      </c>
      <c r="F2631">
        <f t="shared" si="44"/>
        <v>5</v>
      </c>
    </row>
    <row r="2632" spans="1:6">
      <c r="A2632" s="83">
        <v>43556</v>
      </c>
      <c r="B2632" t="s">
        <v>32</v>
      </c>
      <c r="C2632" t="s">
        <v>24</v>
      </c>
      <c r="D2632" t="s">
        <v>26</v>
      </c>
      <c r="E2632">
        <v>1543</v>
      </c>
      <c r="F2632">
        <f t="shared" si="44"/>
        <v>5</v>
      </c>
    </row>
    <row r="2633" spans="1:6">
      <c r="A2633" s="83">
        <v>43586</v>
      </c>
      <c r="B2633" t="s">
        <v>32</v>
      </c>
      <c r="C2633" t="s">
        <v>21</v>
      </c>
      <c r="D2633" t="s">
        <v>23</v>
      </c>
      <c r="E2633">
        <v>684</v>
      </c>
      <c r="F2633">
        <f t="shared" si="44"/>
        <v>3</v>
      </c>
    </row>
    <row r="2634" spans="1:6">
      <c r="A2634" s="83">
        <v>43586</v>
      </c>
      <c r="B2634" t="s">
        <v>32</v>
      </c>
      <c r="C2634" t="s">
        <v>21</v>
      </c>
      <c r="D2634" t="s">
        <v>26</v>
      </c>
      <c r="E2634">
        <v>1069</v>
      </c>
      <c r="F2634">
        <f t="shared" si="44"/>
        <v>5</v>
      </c>
    </row>
    <row r="2635" spans="1:6">
      <c r="A2635" s="83">
        <v>43586</v>
      </c>
      <c r="B2635" t="s">
        <v>32</v>
      </c>
      <c r="C2635" t="s">
        <v>24</v>
      </c>
      <c r="D2635" t="s">
        <v>23</v>
      </c>
      <c r="E2635">
        <v>614</v>
      </c>
      <c r="F2635">
        <f t="shared" si="44"/>
        <v>3</v>
      </c>
    </row>
    <row r="2636" spans="1:6">
      <c r="A2636" s="83">
        <v>43586</v>
      </c>
      <c r="B2636" t="s">
        <v>32</v>
      </c>
      <c r="C2636" t="s">
        <v>24</v>
      </c>
      <c r="D2636" t="s">
        <v>23</v>
      </c>
      <c r="E2636">
        <v>1862</v>
      </c>
      <c r="F2636">
        <f t="shared" si="44"/>
        <v>3</v>
      </c>
    </row>
    <row r="2637" spans="1:6">
      <c r="A2637" s="83">
        <v>43617</v>
      </c>
      <c r="B2637" t="s">
        <v>32</v>
      </c>
      <c r="C2637" t="s">
        <v>21</v>
      </c>
      <c r="D2637" t="s">
        <v>23</v>
      </c>
      <c r="E2637">
        <v>451</v>
      </c>
      <c r="F2637">
        <f t="shared" si="44"/>
        <v>3</v>
      </c>
    </row>
    <row r="2638" spans="1:6">
      <c r="A2638" s="83">
        <v>43617</v>
      </c>
      <c r="B2638" t="s">
        <v>32</v>
      </c>
      <c r="C2638" t="s">
        <v>21</v>
      </c>
      <c r="D2638" t="s">
        <v>22</v>
      </c>
      <c r="E2638">
        <v>789</v>
      </c>
      <c r="F2638">
        <f t="shared" si="44"/>
        <v>7</v>
      </c>
    </row>
    <row r="2639" spans="1:6">
      <c r="A2639" s="83">
        <v>43617</v>
      </c>
      <c r="B2639" t="s">
        <v>32</v>
      </c>
      <c r="C2639" t="s">
        <v>24</v>
      </c>
      <c r="D2639" t="s">
        <v>22</v>
      </c>
      <c r="E2639">
        <v>520</v>
      </c>
      <c r="F2639">
        <f t="shared" si="44"/>
        <v>7</v>
      </c>
    </row>
    <row r="2640" spans="1:6">
      <c r="A2640" s="83">
        <v>43617</v>
      </c>
      <c r="B2640" t="s">
        <v>32</v>
      </c>
      <c r="C2640" t="s">
        <v>24</v>
      </c>
      <c r="D2640" t="s">
        <v>22</v>
      </c>
      <c r="E2640">
        <v>1655</v>
      </c>
      <c r="F2640">
        <f t="shared" si="44"/>
        <v>7</v>
      </c>
    </row>
    <row r="2641" spans="1:6">
      <c r="A2641" s="83">
        <v>43647</v>
      </c>
      <c r="B2641" t="s">
        <v>32</v>
      </c>
      <c r="C2641" t="s">
        <v>21</v>
      </c>
      <c r="D2641" t="s">
        <v>23</v>
      </c>
      <c r="E2641">
        <v>506</v>
      </c>
      <c r="F2641">
        <f t="shared" si="44"/>
        <v>3</v>
      </c>
    </row>
    <row r="2642" spans="1:6">
      <c r="A2642" s="83">
        <v>43647</v>
      </c>
      <c r="B2642" t="s">
        <v>32</v>
      </c>
      <c r="C2642" t="s">
        <v>21</v>
      </c>
      <c r="D2642" t="s">
        <v>22</v>
      </c>
      <c r="E2642">
        <v>678</v>
      </c>
      <c r="F2642">
        <f t="shared" si="44"/>
        <v>7</v>
      </c>
    </row>
    <row r="2643" spans="1:6">
      <c r="A2643" s="83">
        <v>43647</v>
      </c>
      <c r="B2643" t="s">
        <v>32</v>
      </c>
      <c r="C2643" t="s">
        <v>24</v>
      </c>
      <c r="D2643" t="s">
        <v>26</v>
      </c>
      <c r="E2643">
        <v>494</v>
      </c>
      <c r="F2643">
        <f t="shared" si="44"/>
        <v>5</v>
      </c>
    </row>
    <row r="2644" spans="1:6">
      <c r="A2644" s="83">
        <v>43647</v>
      </c>
      <c r="B2644" t="s">
        <v>32</v>
      </c>
      <c r="C2644" t="s">
        <v>24</v>
      </c>
      <c r="D2644" t="s">
        <v>23</v>
      </c>
      <c r="E2644">
        <v>1681</v>
      </c>
      <c r="F2644">
        <f t="shared" si="44"/>
        <v>3</v>
      </c>
    </row>
    <row r="2645" spans="1:6">
      <c r="A2645" s="83">
        <v>43678</v>
      </c>
      <c r="B2645" t="s">
        <v>32</v>
      </c>
      <c r="C2645" t="s">
        <v>21</v>
      </c>
      <c r="D2645" t="s">
        <v>22</v>
      </c>
      <c r="E2645">
        <v>694</v>
      </c>
      <c r="F2645">
        <f t="shared" si="44"/>
        <v>7</v>
      </c>
    </row>
    <row r="2646" spans="1:6">
      <c r="A2646" s="83">
        <v>43678</v>
      </c>
      <c r="B2646" t="s">
        <v>32</v>
      </c>
      <c r="C2646" t="s">
        <v>21</v>
      </c>
      <c r="D2646" t="s">
        <v>22</v>
      </c>
      <c r="E2646">
        <v>912</v>
      </c>
      <c r="F2646">
        <f t="shared" si="44"/>
        <v>7</v>
      </c>
    </row>
    <row r="2647" spans="1:6">
      <c r="A2647" s="83">
        <v>43678</v>
      </c>
      <c r="B2647" t="s">
        <v>32</v>
      </c>
      <c r="C2647" t="s">
        <v>24</v>
      </c>
      <c r="D2647" t="s">
        <v>23</v>
      </c>
      <c r="E2647">
        <v>494</v>
      </c>
      <c r="F2647">
        <f t="shared" si="44"/>
        <v>3</v>
      </c>
    </row>
    <row r="2648" spans="1:6">
      <c r="A2648" s="83">
        <v>43678</v>
      </c>
      <c r="B2648" t="s">
        <v>32</v>
      </c>
      <c r="C2648" t="s">
        <v>24</v>
      </c>
      <c r="D2648" t="s">
        <v>23</v>
      </c>
      <c r="E2648">
        <v>1906</v>
      </c>
      <c r="F2648">
        <f t="shared" si="44"/>
        <v>3</v>
      </c>
    </row>
    <row r="2649" spans="1:6">
      <c r="A2649" s="83">
        <v>43709</v>
      </c>
      <c r="B2649" t="s">
        <v>32</v>
      </c>
      <c r="C2649" t="s">
        <v>21</v>
      </c>
      <c r="D2649" t="s">
        <v>26</v>
      </c>
      <c r="E2649">
        <v>633</v>
      </c>
      <c r="F2649">
        <f t="shared" si="44"/>
        <v>5</v>
      </c>
    </row>
    <row r="2650" spans="1:6">
      <c r="A2650" s="83">
        <v>43709</v>
      </c>
      <c r="B2650" t="s">
        <v>32</v>
      </c>
      <c r="C2650" t="s">
        <v>21</v>
      </c>
      <c r="D2650" t="s">
        <v>26</v>
      </c>
      <c r="E2650">
        <v>743</v>
      </c>
      <c r="F2650">
        <f t="shared" si="44"/>
        <v>5</v>
      </c>
    </row>
    <row r="2651" spans="1:6">
      <c r="A2651" s="83">
        <v>43709</v>
      </c>
      <c r="B2651" t="s">
        <v>32</v>
      </c>
      <c r="C2651" t="s">
        <v>24</v>
      </c>
      <c r="D2651" t="s">
        <v>23</v>
      </c>
      <c r="E2651">
        <v>587</v>
      </c>
      <c r="F2651">
        <f t="shared" si="44"/>
        <v>3</v>
      </c>
    </row>
    <row r="2652" spans="1:6">
      <c r="A2652" s="83">
        <v>43709</v>
      </c>
      <c r="B2652" t="s">
        <v>32</v>
      </c>
      <c r="C2652" t="s">
        <v>24</v>
      </c>
      <c r="D2652" t="s">
        <v>23</v>
      </c>
      <c r="E2652">
        <v>2211</v>
      </c>
      <c r="F2652">
        <f t="shared" si="44"/>
        <v>3</v>
      </c>
    </row>
    <row r="2653" spans="1:6">
      <c r="A2653" s="83">
        <v>43739</v>
      </c>
      <c r="B2653" t="s">
        <v>32</v>
      </c>
      <c r="C2653" t="s">
        <v>21</v>
      </c>
      <c r="D2653" t="s">
        <v>22</v>
      </c>
      <c r="E2653">
        <v>66</v>
      </c>
      <c r="F2653">
        <f t="shared" si="44"/>
        <v>7</v>
      </c>
    </row>
    <row r="2654" spans="1:6">
      <c r="A2654" s="83">
        <v>43739</v>
      </c>
      <c r="B2654" t="s">
        <v>32</v>
      </c>
      <c r="C2654" t="s">
        <v>21</v>
      </c>
      <c r="D2654" t="s">
        <v>23</v>
      </c>
      <c r="E2654">
        <v>45</v>
      </c>
      <c r="F2654">
        <f t="shared" si="44"/>
        <v>3</v>
      </c>
    </row>
    <row r="2655" spans="1:6">
      <c r="A2655" s="83">
        <v>43739</v>
      </c>
      <c r="B2655" t="s">
        <v>32</v>
      </c>
      <c r="C2655" t="s">
        <v>24</v>
      </c>
      <c r="D2655" t="s">
        <v>22</v>
      </c>
      <c r="E2655">
        <v>508</v>
      </c>
      <c r="F2655">
        <f t="shared" si="44"/>
        <v>7</v>
      </c>
    </row>
    <row r="2656" spans="1:6">
      <c r="A2656" s="83">
        <v>43739</v>
      </c>
      <c r="B2656" t="s">
        <v>32</v>
      </c>
      <c r="C2656" t="s">
        <v>24</v>
      </c>
      <c r="D2656" t="s">
        <v>26</v>
      </c>
      <c r="E2656">
        <v>1566</v>
      </c>
      <c r="F2656">
        <f t="shared" si="44"/>
        <v>5</v>
      </c>
    </row>
    <row r="2657" spans="1:6">
      <c r="A2657" s="83">
        <v>43770</v>
      </c>
      <c r="B2657" t="s">
        <v>32</v>
      </c>
      <c r="C2657" t="s">
        <v>21</v>
      </c>
      <c r="D2657" t="s">
        <v>23</v>
      </c>
      <c r="E2657">
        <v>94</v>
      </c>
      <c r="F2657">
        <f t="shared" si="44"/>
        <v>3</v>
      </c>
    </row>
    <row r="2658" spans="1:6">
      <c r="A2658" s="83">
        <v>43770</v>
      </c>
      <c r="B2658" t="s">
        <v>32</v>
      </c>
      <c r="C2658" t="s">
        <v>21</v>
      </c>
      <c r="D2658" t="s">
        <v>26</v>
      </c>
      <c r="E2658">
        <v>54</v>
      </c>
      <c r="F2658">
        <f t="shared" si="44"/>
        <v>5</v>
      </c>
    </row>
    <row r="2659" spans="1:6">
      <c r="A2659" s="83">
        <v>43770</v>
      </c>
      <c r="B2659" t="s">
        <v>32</v>
      </c>
      <c r="C2659" t="s">
        <v>24</v>
      </c>
      <c r="D2659" t="s">
        <v>26</v>
      </c>
      <c r="E2659">
        <v>761</v>
      </c>
      <c r="F2659">
        <f t="shared" si="44"/>
        <v>5</v>
      </c>
    </row>
    <row r="2660" spans="1:6">
      <c r="A2660" s="83">
        <v>43770</v>
      </c>
      <c r="B2660" t="s">
        <v>32</v>
      </c>
      <c r="C2660" t="s">
        <v>24</v>
      </c>
      <c r="D2660" t="s">
        <v>22</v>
      </c>
      <c r="E2660">
        <v>1684</v>
      </c>
      <c r="F2660">
        <f t="shared" si="44"/>
        <v>7</v>
      </c>
    </row>
    <row r="2661" spans="1:6">
      <c r="A2661" s="83">
        <v>43800</v>
      </c>
      <c r="B2661" t="s">
        <v>32</v>
      </c>
      <c r="C2661" t="s">
        <v>21</v>
      </c>
      <c r="D2661" t="s">
        <v>22</v>
      </c>
      <c r="E2661">
        <v>83</v>
      </c>
      <c r="F2661">
        <f t="shared" si="44"/>
        <v>7</v>
      </c>
    </row>
    <row r="2662" spans="1:6">
      <c r="A2662" s="83">
        <v>43800</v>
      </c>
      <c r="B2662" t="s">
        <v>32</v>
      </c>
      <c r="C2662" t="s">
        <v>21</v>
      </c>
      <c r="D2662" t="s">
        <v>23</v>
      </c>
      <c r="E2662">
        <v>99</v>
      </c>
      <c r="F2662">
        <f t="shared" si="44"/>
        <v>3</v>
      </c>
    </row>
    <row r="2663" spans="1:6">
      <c r="A2663" s="83">
        <v>43800</v>
      </c>
      <c r="B2663" t="s">
        <v>32</v>
      </c>
      <c r="C2663" t="s">
        <v>24</v>
      </c>
      <c r="D2663" t="s">
        <v>22</v>
      </c>
      <c r="E2663">
        <v>957</v>
      </c>
      <c r="F2663">
        <f t="shared" si="44"/>
        <v>7</v>
      </c>
    </row>
    <row r="2664" spans="1:6">
      <c r="A2664" s="83">
        <v>43800</v>
      </c>
      <c r="B2664" t="s">
        <v>32</v>
      </c>
      <c r="C2664" t="s">
        <v>24</v>
      </c>
      <c r="D2664" t="s">
        <v>26</v>
      </c>
      <c r="E2664">
        <v>1863</v>
      </c>
      <c r="F2664">
        <f t="shared" si="44"/>
        <v>5</v>
      </c>
    </row>
    <row r="2665" spans="1:6">
      <c r="A2665" s="83">
        <v>42736</v>
      </c>
      <c r="B2665" t="s">
        <v>32</v>
      </c>
      <c r="C2665" t="s">
        <v>21</v>
      </c>
      <c r="D2665" t="s">
        <v>22</v>
      </c>
      <c r="E2665">
        <v>77</v>
      </c>
      <c r="F2665">
        <f t="shared" si="44"/>
        <v>7</v>
      </c>
    </row>
    <row r="2666" spans="1:6">
      <c r="A2666" s="83">
        <v>42736</v>
      </c>
      <c r="B2666" t="s">
        <v>32</v>
      </c>
      <c r="C2666" t="s">
        <v>21</v>
      </c>
      <c r="D2666" t="s">
        <v>23</v>
      </c>
      <c r="E2666">
        <v>99</v>
      </c>
      <c r="F2666">
        <f t="shared" si="44"/>
        <v>3</v>
      </c>
    </row>
    <row r="2667" spans="1:6">
      <c r="A2667" s="83">
        <v>42736</v>
      </c>
      <c r="B2667" t="s">
        <v>32</v>
      </c>
      <c r="C2667" t="s">
        <v>24</v>
      </c>
      <c r="D2667" t="s">
        <v>26</v>
      </c>
      <c r="E2667">
        <v>70</v>
      </c>
      <c r="F2667">
        <f t="shared" si="44"/>
        <v>5</v>
      </c>
    </row>
    <row r="2668" spans="1:6">
      <c r="A2668" s="83">
        <v>42736</v>
      </c>
      <c r="B2668" t="s">
        <v>32</v>
      </c>
      <c r="C2668" t="s">
        <v>24</v>
      </c>
      <c r="D2668" t="s">
        <v>23</v>
      </c>
      <c r="E2668">
        <v>79</v>
      </c>
      <c r="F2668">
        <f t="shared" si="44"/>
        <v>3</v>
      </c>
    </row>
    <row r="2669" spans="1:6">
      <c r="A2669" s="83">
        <v>42767</v>
      </c>
      <c r="B2669" t="s">
        <v>32</v>
      </c>
      <c r="C2669" t="s">
        <v>21</v>
      </c>
      <c r="D2669" t="s">
        <v>23</v>
      </c>
      <c r="E2669">
        <v>112</v>
      </c>
      <c r="F2669">
        <f t="shared" si="44"/>
        <v>3</v>
      </c>
    </row>
    <row r="2670" spans="1:6">
      <c r="A2670" s="83">
        <v>42767</v>
      </c>
      <c r="B2670" t="s">
        <v>32</v>
      </c>
      <c r="C2670" t="s">
        <v>21</v>
      </c>
      <c r="D2670" t="s">
        <v>23</v>
      </c>
      <c r="E2670">
        <v>99</v>
      </c>
      <c r="F2670">
        <f t="shared" si="44"/>
        <v>3</v>
      </c>
    </row>
    <row r="2671" spans="1:6">
      <c r="A2671" s="83">
        <v>42767</v>
      </c>
      <c r="B2671" t="s">
        <v>32</v>
      </c>
      <c r="C2671" t="s">
        <v>24</v>
      </c>
      <c r="D2671" t="s">
        <v>22</v>
      </c>
      <c r="E2671">
        <v>105</v>
      </c>
      <c r="F2671">
        <f t="shared" si="44"/>
        <v>7</v>
      </c>
    </row>
    <row r="2672" spans="1:6">
      <c r="A2672" s="83">
        <v>42767</v>
      </c>
      <c r="B2672" t="s">
        <v>32</v>
      </c>
      <c r="C2672" t="s">
        <v>24</v>
      </c>
      <c r="D2672" t="s">
        <v>23</v>
      </c>
      <c r="E2672">
        <v>113</v>
      </c>
      <c r="F2672">
        <f t="shared" si="44"/>
        <v>3</v>
      </c>
    </row>
    <row r="2673" spans="1:6">
      <c r="A2673" s="83">
        <v>42795</v>
      </c>
      <c r="B2673" t="s">
        <v>32</v>
      </c>
      <c r="C2673" t="s">
        <v>21</v>
      </c>
      <c r="D2673" t="s">
        <v>22</v>
      </c>
      <c r="E2673">
        <v>140</v>
      </c>
      <c r="F2673">
        <f t="shared" si="44"/>
        <v>7</v>
      </c>
    </row>
    <row r="2674" spans="1:6">
      <c r="A2674" s="83">
        <v>42795</v>
      </c>
      <c r="B2674" t="s">
        <v>32</v>
      </c>
      <c r="C2674" t="s">
        <v>21</v>
      </c>
      <c r="D2674" t="s">
        <v>22</v>
      </c>
      <c r="E2674">
        <v>90</v>
      </c>
      <c r="F2674">
        <f t="shared" si="44"/>
        <v>7</v>
      </c>
    </row>
    <row r="2675" spans="1:6">
      <c r="A2675" s="83">
        <v>42795</v>
      </c>
      <c r="B2675" t="s">
        <v>32</v>
      </c>
      <c r="C2675" t="s">
        <v>24</v>
      </c>
      <c r="D2675" t="s">
        <v>26</v>
      </c>
      <c r="E2675">
        <v>53</v>
      </c>
      <c r="F2675">
        <f t="shared" si="44"/>
        <v>5</v>
      </c>
    </row>
    <row r="2676" spans="1:6">
      <c r="A2676" s="83">
        <v>42795</v>
      </c>
      <c r="B2676" t="s">
        <v>32</v>
      </c>
      <c r="C2676" t="s">
        <v>24</v>
      </c>
      <c r="D2676" t="s">
        <v>26</v>
      </c>
      <c r="E2676">
        <v>101</v>
      </c>
      <c r="F2676">
        <f t="shared" si="44"/>
        <v>5</v>
      </c>
    </row>
    <row r="2677" spans="1:6">
      <c r="A2677" s="83">
        <v>42826</v>
      </c>
      <c r="B2677" t="s">
        <v>32</v>
      </c>
      <c r="C2677" t="s">
        <v>21</v>
      </c>
      <c r="D2677" t="s">
        <v>26</v>
      </c>
      <c r="E2677">
        <v>221</v>
      </c>
      <c r="F2677">
        <f t="shared" si="44"/>
        <v>5</v>
      </c>
    </row>
    <row r="2678" spans="1:6">
      <c r="A2678" s="83">
        <v>42826</v>
      </c>
      <c r="B2678" t="s">
        <v>32</v>
      </c>
      <c r="C2678" t="s">
        <v>21</v>
      </c>
      <c r="D2678" t="s">
        <v>26</v>
      </c>
      <c r="E2678">
        <v>113</v>
      </c>
      <c r="F2678">
        <f t="shared" si="44"/>
        <v>5</v>
      </c>
    </row>
    <row r="2679" spans="1:6">
      <c r="A2679" s="83">
        <v>42826</v>
      </c>
      <c r="B2679" t="s">
        <v>32</v>
      </c>
      <c r="C2679" t="s">
        <v>24</v>
      </c>
      <c r="D2679" t="s">
        <v>26</v>
      </c>
      <c r="E2679">
        <v>44</v>
      </c>
      <c r="F2679">
        <f t="shared" si="44"/>
        <v>5</v>
      </c>
    </row>
    <row r="2680" spans="1:6">
      <c r="A2680" s="83">
        <v>42826</v>
      </c>
      <c r="B2680" t="s">
        <v>32</v>
      </c>
      <c r="C2680" t="s">
        <v>24</v>
      </c>
      <c r="D2680" t="s">
        <v>23</v>
      </c>
      <c r="E2680">
        <v>113</v>
      </c>
      <c r="F2680">
        <f t="shared" si="44"/>
        <v>3</v>
      </c>
    </row>
    <row r="2681" spans="1:6">
      <c r="A2681" s="83">
        <v>42856</v>
      </c>
      <c r="B2681" t="s">
        <v>32</v>
      </c>
      <c r="C2681" t="s">
        <v>21</v>
      </c>
      <c r="D2681" t="s">
        <v>23</v>
      </c>
      <c r="E2681">
        <v>308</v>
      </c>
      <c r="F2681">
        <f t="shared" si="44"/>
        <v>3</v>
      </c>
    </row>
    <row r="2682" spans="1:6">
      <c r="A2682" s="83">
        <v>42856</v>
      </c>
      <c r="B2682" t="s">
        <v>32</v>
      </c>
      <c r="C2682" t="s">
        <v>21</v>
      </c>
      <c r="D2682" t="s">
        <v>22</v>
      </c>
      <c r="E2682">
        <v>104</v>
      </c>
      <c r="F2682">
        <f t="shared" si="44"/>
        <v>7</v>
      </c>
    </row>
    <row r="2683" spans="1:6">
      <c r="A2683" s="83">
        <v>42856</v>
      </c>
      <c r="B2683" t="s">
        <v>32</v>
      </c>
      <c r="C2683" t="s">
        <v>24</v>
      </c>
      <c r="D2683" t="s">
        <v>26</v>
      </c>
      <c r="E2683">
        <v>18</v>
      </c>
      <c r="F2683">
        <f t="shared" si="44"/>
        <v>5</v>
      </c>
    </row>
    <row r="2684" spans="1:6">
      <c r="A2684" s="83">
        <v>42856</v>
      </c>
      <c r="B2684" t="s">
        <v>32</v>
      </c>
      <c r="C2684" t="s">
        <v>24</v>
      </c>
      <c r="D2684" t="s">
        <v>22</v>
      </c>
      <c r="E2684">
        <v>135</v>
      </c>
      <c r="F2684">
        <f t="shared" si="44"/>
        <v>7</v>
      </c>
    </row>
    <row r="2685" spans="1:6">
      <c r="A2685" s="83">
        <v>42887</v>
      </c>
      <c r="B2685" t="s">
        <v>32</v>
      </c>
      <c r="C2685" t="s">
        <v>21</v>
      </c>
      <c r="D2685" t="s">
        <v>23</v>
      </c>
      <c r="E2685">
        <v>392</v>
      </c>
      <c r="F2685">
        <f t="shared" si="44"/>
        <v>3</v>
      </c>
    </row>
    <row r="2686" spans="1:6">
      <c r="A2686" s="83">
        <v>42887</v>
      </c>
      <c r="B2686" t="s">
        <v>32</v>
      </c>
      <c r="C2686" t="s">
        <v>21</v>
      </c>
      <c r="D2686" t="s">
        <v>23</v>
      </c>
      <c r="E2686">
        <v>113</v>
      </c>
      <c r="F2686">
        <f t="shared" si="44"/>
        <v>3</v>
      </c>
    </row>
    <row r="2687" spans="1:6">
      <c r="A2687" s="83">
        <v>42887</v>
      </c>
      <c r="B2687" t="s">
        <v>32</v>
      </c>
      <c r="C2687" t="s">
        <v>24</v>
      </c>
      <c r="D2687" t="s">
        <v>22</v>
      </c>
      <c r="E2687">
        <v>26</v>
      </c>
      <c r="F2687">
        <f t="shared" si="44"/>
        <v>7</v>
      </c>
    </row>
    <row r="2688" spans="1:6">
      <c r="A2688" s="83">
        <v>42887</v>
      </c>
      <c r="B2688" t="s">
        <v>32</v>
      </c>
      <c r="C2688" t="s">
        <v>24</v>
      </c>
      <c r="D2688" t="s">
        <v>23</v>
      </c>
      <c r="E2688">
        <v>180</v>
      </c>
      <c r="F2688">
        <f t="shared" si="44"/>
        <v>3</v>
      </c>
    </row>
    <row r="2689" spans="1:6">
      <c r="A2689" s="83">
        <v>42917</v>
      </c>
      <c r="B2689" t="s">
        <v>32</v>
      </c>
      <c r="C2689" t="s">
        <v>21</v>
      </c>
      <c r="D2689" t="s">
        <v>23</v>
      </c>
      <c r="E2689">
        <v>427</v>
      </c>
      <c r="F2689">
        <f t="shared" si="44"/>
        <v>3</v>
      </c>
    </row>
    <row r="2690" spans="1:6">
      <c r="A2690" s="83">
        <v>42917</v>
      </c>
      <c r="B2690" t="s">
        <v>32</v>
      </c>
      <c r="C2690" t="s">
        <v>21</v>
      </c>
      <c r="D2690" t="s">
        <v>26</v>
      </c>
      <c r="E2690">
        <v>167</v>
      </c>
      <c r="F2690">
        <f t="shared" si="44"/>
        <v>5</v>
      </c>
    </row>
    <row r="2691" spans="1:6">
      <c r="A2691" s="83">
        <v>42917</v>
      </c>
      <c r="B2691" t="s">
        <v>32</v>
      </c>
      <c r="C2691" t="s">
        <v>24</v>
      </c>
      <c r="D2691" t="s">
        <v>22</v>
      </c>
      <c r="E2691">
        <v>53</v>
      </c>
      <c r="F2691">
        <f t="shared" ref="F2691:F2754" si="45">LEN(D2691)</f>
        <v>7</v>
      </c>
    </row>
    <row r="2692" spans="1:6">
      <c r="A2692" s="83">
        <v>42917</v>
      </c>
      <c r="B2692" t="s">
        <v>32</v>
      </c>
      <c r="C2692" t="s">
        <v>24</v>
      </c>
      <c r="D2692" t="s">
        <v>23</v>
      </c>
      <c r="E2692">
        <v>304</v>
      </c>
      <c r="F2692">
        <f t="shared" si="45"/>
        <v>3</v>
      </c>
    </row>
    <row r="2693" spans="1:6">
      <c r="A2693" s="83">
        <v>42948</v>
      </c>
      <c r="B2693" t="s">
        <v>32</v>
      </c>
      <c r="C2693" t="s">
        <v>21</v>
      </c>
      <c r="D2693" t="s">
        <v>26</v>
      </c>
      <c r="E2693">
        <v>571</v>
      </c>
      <c r="F2693">
        <f t="shared" si="45"/>
        <v>5</v>
      </c>
    </row>
    <row r="2694" spans="1:6">
      <c r="A2694" s="83">
        <v>42948</v>
      </c>
      <c r="B2694" t="s">
        <v>32</v>
      </c>
      <c r="C2694" t="s">
        <v>21</v>
      </c>
      <c r="D2694" t="s">
        <v>23</v>
      </c>
      <c r="E2694">
        <v>203</v>
      </c>
      <c r="F2694">
        <f t="shared" si="45"/>
        <v>3</v>
      </c>
    </row>
    <row r="2695" spans="1:6">
      <c r="A2695" s="83">
        <v>42948</v>
      </c>
      <c r="B2695" t="s">
        <v>32</v>
      </c>
      <c r="C2695" t="s">
        <v>24</v>
      </c>
      <c r="D2695" t="s">
        <v>22</v>
      </c>
      <c r="E2695">
        <v>105</v>
      </c>
      <c r="F2695">
        <f t="shared" si="45"/>
        <v>7</v>
      </c>
    </row>
    <row r="2696" spans="1:6">
      <c r="A2696" s="83">
        <v>42948</v>
      </c>
      <c r="B2696" t="s">
        <v>32</v>
      </c>
      <c r="C2696" t="s">
        <v>24</v>
      </c>
      <c r="D2696" t="s">
        <v>22</v>
      </c>
      <c r="E2696">
        <v>270</v>
      </c>
      <c r="F2696">
        <f t="shared" si="45"/>
        <v>7</v>
      </c>
    </row>
    <row r="2697" spans="1:6">
      <c r="A2697" s="83">
        <v>42979</v>
      </c>
      <c r="B2697" t="s">
        <v>32</v>
      </c>
      <c r="C2697" t="s">
        <v>21</v>
      </c>
      <c r="D2697" t="s">
        <v>22</v>
      </c>
      <c r="E2697">
        <v>522</v>
      </c>
      <c r="F2697">
        <f t="shared" si="45"/>
        <v>7</v>
      </c>
    </row>
    <row r="2698" spans="1:6">
      <c r="A2698" s="83">
        <v>42979</v>
      </c>
      <c r="B2698" t="s">
        <v>32</v>
      </c>
      <c r="C2698" t="s">
        <v>21</v>
      </c>
      <c r="D2698" t="s">
        <v>22</v>
      </c>
      <c r="E2698">
        <v>216</v>
      </c>
      <c r="F2698">
        <f t="shared" si="45"/>
        <v>7</v>
      </c>
    </row>
    <row r="2699" spans="1:6">
      <c r="A2699" s="83">
        <v>42979</v>
      </c>
      <c r="B2699" t="s">
        <v>32</v>
      </c>
      <c r="C2699" t="s">
        <v>24</v>
      </c>
      <c r="D2699" t="s">
        <v>26</v>
      </c>
      <c r="E2699">
        <v>149</v>
      </c>
      <c r="F2699">
        <f t="shared" si="45"/>
        <v>5</v>
      </c>
    </row>
    <row r="2700" spans="1:6">
      <c r="A2700" s="83">
        <v>42979</v>
      </c>
      <c r="B2700" t="s">
        <v>32</v>
      </c>
      <c r="C2700" t="s">
        <v>24</v>
      </c>
      <c r="D2700" t="s">
        <v>26</v>
      </c>
      <c r="E2700">
        <v>293</v>
      </c>
      <c r="F2700">
        <f t="shared" si="45"/>
        <v>5</v>
      </c>
    </row>
    <row r="2701" spans="1:6">
      <c r="A2701" s="83">
        <v>43009</v>
      </c>
      <c r="B2701" t="s">
        <v>32</v>
      </c>
      <c r="C2701" t="s">
        <v>21</v>
      </c>
      <c r="D2701" t="s">
        <v>22</v>
      </c>
      <c r="E2701">
        <v>619</v>
      </c>
      <c r="F2701">
        <f t="shared" si="45"/>
        <v>7</v>
      </c>
    </row>
    <row r="2702" spans="1:6">
      <c r="A2702" s="83">
        <v>43009</v>
      </c>
      <c r="B2702" t="s">
        <v>32</v>
      </c>
      <c r="C2702" t="s">
        <v>21</v>
      </c>
      <c r="D2702" t="s">
        <v>26</v>
      </c>
      <c r="E2702">
        <v>279</v>
      </c>
      <c r="F2702">
        <f t="shared" si="45"/>
        <v>5</v>
      </c>
    </row>
    <row r="2703" spans="1:6">
      <c r="A2703" s="83">
        <v>43009</v>
      </c>
      <c r="B2703" t="s">
        <v>32</v>
      </c>
      <c r="C2703" t="s">
        <v>24</v>
      </c>
      <c r="D2703" t="s">
        <v>23</v>
      </c>
      <c r="E2703">
        <v>140</v>
      </c>
      <c r="F2703">
        <f t="shared" si="45"/>
        <v>3</v>
      </c>
    </row>
    <row r="2704" spans="1:6">
      <c r="A2704" s="83">
        <v>43009</v>
      </c>
      <c r="B2704" t="s">
        <v>32</v>
      </c>
      <c r="C2704" t="s">
        <v>24</v>
      </c>
      <c r="D2704" t="s">
        <v>26</v>
      </c>
      <c r="E2704">
        <v>492</v>
      </c>
      <c r="F2704">
        <f t="shared" si="45"/>
        <v>5</v>
      </c>
    </row>
    <row r="2705" spans="1:6">
      <c r="A2705" s="83">
        <v>43040</v>
      </c>
      <c r="B2705" t="s">
        <v>32</v>
      </c>
      <c r="C2705" t="s">
        <v>21</v>
      </c>
      <c r="D2705" t="s">
        <v>23</v>
      </c>
      <c r="E2705">
        <v>507</v>
      </c>
      <c r="F2705">
        <f t="shared" si="45"/>
        <v>3</v>
      </c>
    </row>
    <row r="2706" spans="1:6">
      <c r="A2706" s="83">
        <v>43040</v>
      </c>
      <c r="B2706" t="s">
        <v>32</v>
      </c>
      <c r="C2706" t="s">
        <v>21</v>
      </c>
      <c r="D2706" t="s">
        <v>22</v>
      </c>
      <c r="E2706">
        <v>189</v>
      </c>
      <c r="F2706">
        <f t="shared" si="45"/>
        <v>7</v>
      </c>
    </row>
    <row r="2707" spans="1:6">
      <c r="A2707" s="83">
        <v>43040</v>
      </c>
      <c r="B2707" t="s">
        <v>32</v>
      </c>
      <c r="C2707" t="s">
        <v>24</v>
      </c>
      <c r="D2707" t="s">
        <v>23</v>
      </c>
      <c r="E2707">
        <v>193</v>
      </c>
      <c r="F2707">
        <f t="shared" si="45"/>
        <v>3</v>
      </c>
    </row>
    <row r="2708" spans="1:6">
      <c r="A2708" s="83">
        <v>43040</v>
      </c>
      <c r="B2708" t="s">
        <v>32</v>
      </c>
      <c r="C2708" t="s">
        <v>24</v>
      </c>
      <c r="D2708" t="s">
        <v>23</v>
      </c>
      <c r="E2708">
        <v>315</v>
      </c>
      <c r="F2708">
        <f t="shared" si="45"/>
        <v>3</v>
      </c>
    </row>
    <row r="2709" spans="1:6">
      <c r="A2709" s="83">
        <v>43070</v>
      </c>
      <c r="B2709" t="s">
        <v>32</v>
      </c>
      <c r="C2709" t="s">
        <v>21</v>
      </c>
      <c r="D2709" t="s">
        <v>26</v>
      </c>
      <c r="E2709">
        <v>602</v>
      </c>
      <c r="F2709">
        <f t="shared" si="45"/>
        <v>5</v>
      </c>
    </row>
    <row r="2710" spans="1:6">
      <c r="A2710" s="83">
        <v>43070</v>
      </c>
      <c r="B2710" t="s">
        <v>32</v>
      </c>
      <c r="C2710" t="s">
        <v>21</v>
      </c>
      <c r="D2710" t="s">
        <v>26</v>
      </c>
      <c r="E2710">
        <v>158</v>
      </c>
      <c r="F2710">
        <f t="shared" si="45"/>
        <v>5</v>
      </c>
    </row>
    <row r="2711" spans="1:6">
      <c r="A2711" s="83">
        <v>43070</v>
      </c>
      <c r="B2711" t="s">
        <v>32</v>
      </c>
      <c r="C2711" t="s">
        <v>24</v>
      </c>
      <c r="D2711" t="s">
        <v>26</v>
      </c>
      <c r="E2711">
        <v>271</v>
      </c>
      <c r="F2711">
        <f t="shared" si="45"/>
        <v>5</v>
      </c>
    </row>
    <row r="2712" spans="1:6">
      <c r="A2712" s="83">
        <v>43070</v>
      </c>
      <c r="B2712" t="s">
        <v>32</v>
      </c>
      <c r="C2712" t="s">
        <v>24</v>
      </c>
      <c r="D2712" t="s">
        <v>26</v>
      </c>
      <c r="E2712">
        <v>393</v>
      </c>
      <c r="F2712">
        <f t="shared" si="45"/>
        <v>5</v>
      </c>
    </row>
    <row r="2713" spans="1:6">
      <c r="A2713" s="83">
        <v>43101</v>
      </c>
      <c r="B2713" t="s">
        <v>32</v>
      </c>
      <c r="C2713" t="s">
        <v>21</v>
      </c>
      <c r="D2713" t="s">
        <v>22</v>
      </c>
      <c r="E2713">
        <v>564</v>
      </c>
      <c r="F2713">
        <f t="shared" si="45"/>
        <v>7</v>
      </c>
    </row>
    <row r="2714" spans="1:6">
      <c r="A2714" s="83">
        <v>43101</v>
      </c>
      <c r="B2714" t="s">
        <v>32</v>
      </c>
      <c r="C2714" t="s">
        <v>21</v>
      </c>
      <c r="D2714" t="s">
        <v>23</v>
      </c>
      <c r="E2714">
        <v>171</v>
      </c>
      <c r="F2714">
        <f t="shared" si="45"/>
        <v>3</v>
      </c>
    </row>
    <row r="2715" spans="1:6">
      <c r="A2715" s="83">
        <v>43101</v>
      </c>
      <c r="B2715" t="s">
        <v>32</v>
      </c>
      <c r="C2715" t="s">
        <v>24</v>
      </c>
      <c r="D2715" t="s">
        <v>23</v>
      </c>
      <c r="E2715">
        <v>280</v>
      </c>
      <c r="F2715">
        <f t="shared" si="45"/>
        <v>3</v>
      </c>
    </row>
    <row r="2716" spans="1:6">
      <c r="A2716" s="83">
        <v>43101</v>
      </c>
      <c r="B2716" t="s">
        <v>32</v>
      </c>
      <c r="C2716" t="s">
        <v>24</v>
      </c>
      <c r="D2716" t="s">
        <v>23</v>
      </c>
      <c r="E2716">
        <v>405</v>
      </c>
      <c r="F2716">
        <f t="shared" si="45"/>
        <v>3</v>
      </c>
    </row>
    <row r="2717" spans="1:6">
      <c r="A2717" s="83">
        <v>43132</v>
      </c>
      <c r="B2717" t="s">
        <v>32</v>
      </c>
      <c r="C2717" t="s">
        <v>21</v>
      </c>
      <c r="D2717" t="s">
        <v>22</v>
      </c>
      <c r="E2717">
        <v>610</v>
      </c>
      <c r="F2717">
        <f t="shared" si="45"/>
        <v>7</v>
      </c>
    </row>
    <row r="2718" spans="1:6">
      <c r="A2718" s="83">
        <v>43132</v>
      </c>
      <c r="B2718" t="s">
        <v>32</v>
      </c>
      <c r="C2718" t="s">
        <v>21</v>
      </c>
      <c r="D2718" t="s">
        <v>23</v>
      </c>
      <c r="E2718">
        <v>180</v>
      </c>
      <c r="F2718">
        <f t="shared" si="45"/>
        <v>3</v>
      </c>
    </row>
    <row r="2719" spans="1:6">
      <c r="A2719" s="83">
        <v>43132</v>
      </c>
      <c r="B2719" t="s">
        <v>32</v>
      </c>
      <c r="C2719" t="s">
        <v>24</v>
      </c>
      <c r="D2719" t="s">
        <v>22</v>
      </c>
      <c r="E2719">
        <v>333</v>
      </c>
      <c r="F2719">
        <f t="shared" si="45"/>
        <v>7</v>
      </c>
    </row>
    <row r="2720" spans="1:6">
      <c r="A2720" s="83">
        <v>43132</v>
      </c>
      <c r="B2720" t="s">
        <v>32</v>
      </c>
      <c r="C2720" t="s">
        <v>24</v>
      </c>
      <c r="D2720" t="s">
        <v>23</v>
      </c>
      <c r="E2720">
        <v>503</v>
      </c>
      <c r="F2720">
        <f t="shared" si="45"/>
        <v>3</v>
      </c>
    </row>
    <row r="2721" spans="1:6">
      <c r="A2721" s="83">
        <v>43160</v>
      </c>
      <c r="B2721" t="s">
        <v>32</v>
      </c>
      <c r="C2721" t="s">
        <v>21</v>
      </c>
      <c r="D2721" t="s">
        <v>26</v>
      </c>
      <c r="E2721">
        <v>655</v>
      </c>
      <c r="F2721">
        <f t="shared" si="45"/>
        <v>5</v>
      </c>
    </row>
    <row r="2722" spans="1:6">
      <c r="A2722" s="83">
        <v>43160</v>
      </c>
      <c r="B2722" t="s">
        <v>32</v>
      </c>
      <c r="C2722" t="s">
        <v>21</v>
      </c>
      <c r="D2722" t="s">
        <v>26</v>
      </c>
      <c r="E2722">
        <v>171</v>
      </c>
      <c r="F2722">
        <f t="shared" si="45"/>
        <v>5</v>
      </c>
    </row>
    <row r="2723" spans="1:6">
      <c r="A2723" s="83">
        <v>43160</v>
      </c>
      <c r="B2723" t="s">
        <v>32</v>
      </c>
      <c r="C2723" t="s">
        <v>24</v>
      </c>
      <c r="D2723" t="s">
        <v>22</v>
      </c>
      <c r="E2723">
        <v>263</v>
      </c>
      <c r="F2723">
        <f t="shared" si="45"/>
        <v>7</v>
      </c>
    </row>
    <row r="2724" spans="1:6">
      <c r="A2724" s="83">
        <v>43160</v>
      </c>
      <c r="B2724" t="s">
        <v>32</v>
      </c>
      <c r="C2724" t="s">
        <v>24</v>
      </c>
      <c r="D2724" t="s">
        <v>26</v>
      </c>
      <c r="E2724">
        <v>458</v>
      </c>
      <c r="F2724">
        <f t="shared" si="45"/>
        <v>5</v>
      </c>
    </row>
    <row r="2725" spans="1:6">
      <c r="A2725" s="83">
        <v>43191</v>
      </c>
      <c r="B2725" t="s">
        <v>32</v>
      </c>
      <c r="C2725" t="s">
        <v>21</v>
      </c>
      <c r="D2725" t="s">
        <v>26</v>
      </c>
      <c r="E2725">
        <v>633</v>
      </c>
      <c r="F2725">
        <f t="shared" si="45"/>
        <v>5</v>
      </c>
    </row>
    <row r="2726" spans="1:6">
      <c r="A2726" s="83">
        <v>43191</v>
      </c>
      <c r="B2726" t="s">
        <v>32</v>
      </c>
      <c r="C2726" t="s">
        <v>21</v>
      </c>
      <c r="D2726" t="s">
        <v>23</v>
      </c>
      <c r="E2726">
        <v>194</v>
      </c>
      <c r="F2726">
        <f t="shared" si="45"/>
        <v>3</v>
      </c>
    </row>
    <row r="2727" spans="1:6">
      <c r="A2727" s="83">
        <v>43191</v>
      </c>
      <c r="B2727" t="s">
        <v>32</v>
      </c>
      <c r="C2727" t="s">
        <v>24</v>
      </c>
      <c r="D2727" t="s">
        <v>23</v>
      </c>
      <c r="E2727">
        <v>280</v>
      </c>
      <c r="F2727">
        <f t="shared" si="45"/>
        <v>3</v>
      </c>
    </row>
    <row r="2728" spans="1:6">
      <c r="A2728" s="83">
        <v>43191</v>
      </c>
      <c r="B2728" t="s">
        <v>32</v>
      </c>
      <c r="C2728" t="s">
        <v>24</v>
      </c>
      <c r="D2728" t="s">
        <v>26</v>
      </c>
      <c r="E2728">
        <v>546</v>
      </c>
      <c r="F2728">
        <f t="shared" si="45"/>
        <v>5</v>
      </c>
    </row>
    <row r="2729" spans="1:6">
      <c r="A2729" s="83">
        <v>43221</v>
      </c>
      <c r="B2729" t="s">
        <v>32</v>
      </c>
      <c r="C2729" t="s">
        <v>21</v>
      </c>
      <c r="D2729" t="s">
        <v>26</v>
      </c>
      <c r="E2729">
        <v>686</v>
      </c>
      <c r="F2729">
        <f t="shared" si="45"/>
        <v>5</v>
      </c>
    </row>
    <row r="2730" spans="1:6">
      <c r="A2730" s="83">
        <v>43221</v>
      </c>
      <c r="B2730" t="s">
        <v>32</v>
      </c>
      <c r="C2730" t="s">
        <v>21</v>
      </c>
      <c r="D2730" t="s">
        <v>26</v>
      </c>
      <c r="E2730">
        <v>203</v>
      </c>
      <c r="F2730">
        <f t="shared" si="45"/>
        <v>5</v>
      </c>
    </row>
    <row r="2731" spans="1:6">
      <c r="A2731" s="83">
        <v>43221</v>
      </c>
      <c r="B2731" t="s">
        <v>32</v>
      </c>
      <c r="C2731" t="s">
        <v>24</v>
      </c>
      <c r="D2731" t="s">
        <v>26</v>
      </c>
      <c r="E2731">
        <v>289</v>
      </c>
      <c r="F2731">
        <f t="shared" si="45"/>
        <v>5</v>
      </c>
    </row>
    <row r="2732" spans="1:6">
      <c r="A2732" s="83">
        <v>43221</v>
      </c>
      <c r="B2732" t="s">
        <v>32</v>
      </c>
      <c r="C2732" t="s">
        <v>24</v>
      </c>
      <c r="D2732" t="s">
        <v>22</v>
      </c>
      <c r="E2732">
        <v>535</v>
      </c>
      <c r="F2732">
        <f t="shared" si="45"/>
        <v>7</v>
      </c>
    </row>
    <row r="2733" spans="1:6">
      <c r="A2733" s="83">
        <v>43252</v>
      </c>
      <c r="B2733" t="s">
        <v>32</v>
      </c>
      <c r="C2733" t="s">
        <v>21</v>
      </c>
      <c r="D2733" t="s">
        <v>26</v>
      </c>
      <c r="E2733">
        <v>736</v>
      </c>
      <c r="F2733">
        <f t="shared" si="45"/>
        <v>5</v>
      </c>
    </row>
    <row r="2734" spans="1:6">
      <c r="A2734" s="83">
        <v>43252</v>
      </c>
      <c r="B2734" t="s">
        <v>32</v>
      </c>
      <c r="C2734" t="s">
        <v>21</v>
      </c>
      <c r="D2734" t="s">
        <v>26</v>
      </c>
      <c r="E2734">
        <v>216</v>
      </c>
      <c r="F2734">
        <f t="shared" si="45"/>
        <v>5</v>
      </c>
    </row>
    <row r="2735" spans="1:6">
      <c r="A2735" s="83">
        <v>43252</v>
      </c>
      <c r="B2735" t="s">
        <v>32</v>
      </c>
      <c r="C2735" t="s">
        <v>24</v>
      </c>
      <c r="D2735" t="s">
        <v>23</v>
      </c>
      <c r="E2735">
        <v>359</v>
      </c>
      <c r="F2735">
        <f t="shared" si="45"/>
        <v>3</v>
      </c>
    </row>
    <row r="2736" spans="1:6">
      <c r="A2736" s="83">
        <v>43252</v>
      </c>
      <c r="B2736" t="s">
        <v>32</v>
      </c>
      <c r="C2736" t="s">
        <v>24</v>
      </c>
      <c r="D2736" t="s">
        <v>23</v>
      </c>
      <c r="E2736">
        <v>721</v>
      </c>
      <c r="F2736">
        <f t="shared" si="45"/>
        <v>3</v>
      </c>
    </row>
    <row r="2737" spans="1:6">
      <c r="A2737" s="83">
        <v>43282</v>
      </c>
      <c r="B2737" t="s">
        <v>32</v>
      </c>
      <c r="C2737" t="s">
        <v>21</v>
      </c>
      <c r="D2737" t="s">
        <v>26</v>
      </c>
      <c r="E2737">
        <v>945</v>
      </c>
      <c r="F2737">
        <f t="shared" si="45"/>
        <v>5</v>
      </c>
    </row>
    <row r="2738" spans="1:6">
      <c r="A2738" s="83">
        <v>43282</v>
      </c>
      <c r="B2738" t="s">
        <v>32</v>
      </c>
      <c r="C2738" t="s">
        <v>21</v>
      </c>
      <c r="D2738" t="s">
        <v>23</v>
      </c>
      <c r="E2738">
        <v>261</v>
      </c>
      <c r="F2738">
        <f t="shared" si="45"/>
        <v>3</v>
      </c>
    </row>
    <row r="2739" spans="1:6">
      <c r="A2739" s="83">
        <v>43282</v>
      </c>
      <c r="B2739" t="s">
        <v>32</v>
      </c>
      <c r="C2739" t="s">
        <v>24</v>
      </c>
      <c r="D2739" t="s">
        <v>26</v>
      </c>
      <c r="E2739">
        <v>341</v>
      </c>
      <c r="F2739">
        <f t="shared" si="45"/>
        <v>5</v>
      </c>
    </row>
    <row r="2740" spans="1:6">
      <c r="A2740" s="83">
        <v>43282</v>
      </c>
      <c r="B2740" t="s">
        <v>32</v>
      </c>
      <c r="C2740" t="s">
        <v>24</v>
      </c>
      <c r="D2740" t="s">
        <v>26</v>
      </c>
      <c r="E2740">
        <v>732</v>
      </c>
      <c r="F2740">
        <f t="shared" si="45"/>
        <v>5</v>
      </c>
    </row>
    <row r="2741" spans="1:6">
      <c r="A2741" s="83">
        <v>43313</v>
      </c>
      <c r="B2741" t="s">
        <v>32</v>
      </c>
      <c r="C2741" t="s">
        <v>21</v>
      </c>
      <c r="D2741" t="s">
        <v>26</v>
      </c>
      <c r="E2741">
        <v>862</v>
      </c>
      <c r="F2741">
        <f t="shared" si="45"/>
        <v>5</v>
      </c>
    </row>
    <row r="2742" spans="1:6">
      <c r="A2742" s="83">
        <v>43313</v>
      </c>
      <c r="B2742" t="s">
        <v>32</v>
      </c>
      <c r="C2742" t="s">
        <v>21</v>
      </c>
      <c r="D2742" t="s">
        <v>23</v>
      </c>
      <c r="E2742">
        <v>279</v>
      </c>
      <c r="F2742">
        <f t="shared" si="45"/>
        <v>3</v>
      </c>
    </row>
    <row r="2743" spans="1:6">
      <c r="A2743" s="83">
        <v>43313</v>
      </c>
      <c r="B2743" t="s">
        <v>32</v>
      </c>
      <c r="C2743" t="s">
        <v>24</v>
      </c>
      <c r="D2743" t="s">
        <v>23</v>
      </c>
      <c r="E2743">
        <v>368</v>
      </c>
      <c r="F2743">
        <f t="shared" si="45"/>
        <v>3</v>
      </c>
    </row>
    <row r="2744" spans="1:6">
      <c r="A2744" s="83">
        <v>43313</v>
      </c>
      <c r="B2744" t="s">
        <v>32</v>
      </c>
      <c r="C2744" t="s">
        <v>24</v>
      </c>
      <c r="D2744" t="s">
        <v>26</v>
      </c>
      <c r="E2744">
        <v>836</v>
      </c>
      <c r="F2744">
        <f t="shared" si="45"/>
        <v>5</v>
      </c>
    </row>
    <row r="2745" spans="1:6">
      <c r="A2745" s="83">
        <v>43344</v>
      </c>
      <c r="B2745" t="s">
        <v>32</v>
      </c>
      <c r="C2745" t="s">
        <v>21</v>
      </c>
      <c r="D2745" t="s">
        <v>22</v>
      </c>
      <c r="E2745">
        <v>834</v>
      </c>
      <c r="F2745">
        <f t="shared" si="45"/>
        <v>7</v>
      </c>
    </row>
    <row r="2746" spans="1:6">
      <c r="A2746" s="83">
        <v>43344</v>
      </c>
      <c r="B2746" t="s">
        <v>32</v>
      </c>
      <c r="C2746" t="s">
        <v>21</v>
      </c>
      <c r="D2746" t="s">
        <v>23</v>
      </c>
      <c r="E2746">
        <v>302</v>
      </c>
      <c r="F2746">
        <f t="shared" si="45"/>
        <v>3</v>
      </c>
    </row>
    <row r="2747" spans="1:6">
      <c r="A2747" s="83">
        <v>43344</v>
      </c>
      <c r="B2747" t="s">
        <v>32</v>
      </c>
      <c r="C2747" t="s">
        <v>24</v>
      </c>
      <c r="D2747" t="s">
        <v>26</v>
      </c>
      <c r="E2747">
        <v>411</v>
      </c>
      <c r="F2747">
        <f t="shared" si="45"/>
        <v>5</v>
      </c>
    </row>
    <row r="2748" spans="1:6">
      <c r="A2748" s="83">
        <v>43344</v>
      </c>
      <c r="B2748" t="s">
        <v>32</v>
      </c>
      <c r="C2748" t="s">
        <v>24</v>
      </c>
      <c r="D2748" t="s">
        <v>26</v>
      </c>
      <c r="E2748">
        <v>859</v>
      </c>
      <c r="F2748">
        <f t="shared" si="45"/>
        <v>5</v>
      </c>
    </row>
    <row r="2749" spans="1:6">
      <c r="A2749" s="83">
        <v>43374</v>
      </c>
      <c r="B2749" t="s">
        <v>32</v>
      </c>
      <c r="C2749" t="s">
        <v>21</v>
      </c>
      <c r="D2749" t="s">
        <v>23</v>
      </c>
      <c r="E2749">
        <v>873</v>
      </c>
      <c r="F2749">
        <f t="shared" si="45"/>
        <v>3</v>
      </c>
    </row>
    <row r="2750" spans="1:6">
      <c r="A2750" s="83">
        <v>43374</v>
      </c>
      <c r="B2750" t="s">
        <v>32</v>
      </c>
      <c r="C2750" t="s">
        <v>21</v>
      </c>
      <c r="D2750" t="s">
        <v>26</v>
      </c>
      <c r="E2750">
        <v>360</v>
      </c>
      <c r="F2750">
        <f t="shared" si="45"/>
        <v>5</v>
      </c>
    </row>
    <row r="2751" spans="1:6">
      <c r="A2751" s="83">
        <v>43374</v>
      </c>
      <c r="B2751" t="s">
        <v>32</v>
      </c>
      <c r="C2751" t="s">
        <v>24</v>
      </c>
      <c r="D2751" t="s">
        <v>23</v>
      </c>
      <c r="E2751">
        <v>459</v>
      </c>
      <c r="F2751">
        <f t="shared" si="45"/>
        <v>3</v>
      </c>
    </row>
    <row r="2752" spans="1:6">
      <c r="A2752" s="83">
        <v>43374</v>
      </c>
      <c r="B2752" t="s">
        <v>32</v>
      </c>
      <c r="C2752" t="s">
        <v>24</v>
      </c>
      <c r="D2752" t="s">
        <v>22</v>
      </c>
      <c r="E2752">
        <v>846</v>
      </c>
      <c r="F2752">
        <f t="shared" si="45"/>
        <v>7</v>
      </c>
    </row>
    <row r="2753" spans="1:6">
      <c r="A2753" s="83">
        <v>43405</v>
      </c>
      <c r="B2753" t="s">
        <v>32</v>
      </c>
      <c r="C2753" t="s">
        <v>21</v>
      </c>
      <c r="D2753" t="s">
        <v>26</v>
      </c>
      <c r="E2753">
        <v>690</v>
      </c>
      <c r="F2753">
        <f t="shared" si="45"/>
        <v>5</v>
      </c>
    </row>
    <row r="2754" spans="1:6">
      <c r="A2754" s="83">
        <v>43405</v>
      </c>
      <c r="B2754" t="s">
        <v>32</v>
      </c>
      <c r="C2754" t="s">
        <v>21</v>
      </c>
      <c r="D2754" t="s">
        <v>22</v>
      </c>
      <c r="E2754">
        <v>306</v>
      </c>
      <c r="F2754">
        <f t="shared" si="45"/>
        <v>7</v>
      </c>
    </row>
    <row r="2755" spans="1:6">
      <c r="A2755" s="83">
        <v>43405</v>
      </c>
      <c r="B2755" t="s">
        <v>32</v>
      </c>
      <c r="C2755" t="s">
        <v>24</v>
      </c>
      <c r="D2755" t="s">
        <v>23</v>
      </c>
      <c r="E2755">
        <v>620</v>
      </c>
      <c r="F2755">
        <f t="shared" ref="F2755:F2818" si="46">LEN(D2755)</f>
        <v>3</v>
      </c>
    </row>
    <row r="2756" spans="1:6">
      <c r="A2756" s="83">
        <v>43405</v>
      </c>
      <c r="B2756" t="s">
        <v>32</v>
      </c>
      <c r="C2756" t="s">
        <v>24</v>
      </c>
      <c r="D2756" t="s">
        <v>26</v>
      </c>
      <c r="E2756">
        <v>1124</v>
      </c>
      <c r="F2756">
        <f t="shared" si="46"/>
        <v>5</v>
      </c>
    </row>
    <row r="2757" spans="1:6">
      <c r="A2757" s="83">
        <v>43435</v>
      </c>
      <c r="B2757" t="s">
        <v>32</v>
      </c>
      <c r="C2757" t="s">
        <v>21</v>
      </c>
      <c r="D2757" t="s">
        <v>26</v>
      </c>
      <c r="E2757">
        <v>630</v>
      </c>
      <c r="F2757">
        <f t="shared" si="46"/>
        <v>5</v>
      </c>
    </row>
    <row r="2758" spans="1:6">
      <c r="A2758" s="83">
        <v>43435</v>
      </c>
      <c r="B2758" t="s">
        <v>32</v>
      </c>
      <c r="C2758" t="s">
        <v>21</v>
      </c>
      <c r="D2758" t="s">
        <v>26</v>
      </c>
      <c r="E2758">
        <v>315</v>
      </c>
      <c r="F2758">
        <f t="shared" si="46"/>
        <v>5</v>
      </c>
    </row>
    <row r="2759" spans="1:6">
      <c r="A2759" s="83">
        <v>43435</v>
      </c>
      <c r="B2759" t="s">
        <v>32</v>
      </c>
      <c r="C2759" t="s">
        <v>24</v>
      </c>
      <c r="D2759" t="s">
        <v>26</v>
      </c>
      <c r="E2759">
        <v>646</v>
      </c>
      <c r="F2759">
        <f t="shared" si="46"/>
        <v>5</v>
      </c>
    </row>
    <row r="2760" spans="1:6">
      <c r="A2760" s="83">
        <v>43435</v>
      </c>
      <c r="B2760" t="s">
        <v>32</v>
      </c>
      <c r="C2760" t="s">
        <v>24</v>
      </c>
      <c r="D2760" t="s">
        <v>26</v>
      </c>
      <c r="E2760">
        <v>838</v>
      </c>
      <c r="F2760">
        <f t="shared" si="46"/>
        <v>5</v>
      </c>
    </row>
    <row r="2761" spans="1:6">
      <c r="A2761" s="83">
        <v>43466</v>
      </c>
      <c r="B2761" t="s">
        <v>32</v>
      </c>
      <c r="C2761" t="s">
        <v>21</v>
      </c>
      <c r="D2761" t="s">
        <v>23</v>
      </c>
      <c r="E2761">
        <v>606</v>
      </c>
      <c r="F2761">
        <f t="shared" si="46"/>
        <v>3</v>
      </c>
    </row>
    <row r="2762" spans="1:6">
      <c r="A2762" s="83">
        <v>43466</v>
      </c>
      <c r="B2762" t="s">
        <v>32</v>
      </c>
      <c r="C2762" t="s">
        <v>21</v>
      </c>
      <c r="D2762" t="s">
        <v>23</v>
      </c>
      <c r="E2762">
        <v>315</v>
      </c>
      <c r="F2762">
        <f t="shared" si="46"/>
        <v>3</v>
      </c>
    </row>
    <row r="2763" spans="1:6">
      <c r="A2763" s="83">
        <v>43466</v>
      </c>
      <c r="B2763" t="s">
        <v>32</v>
      </c>
      <c r="C2763" t="s">
        <v>24</v>
      </c>
      <c r="D2763" t="s">
        <v>26</v>
      </c>
      <c r="E2763">
        <v>696</v>
      </c>
      <c r="F2763">
        <f t="shared" si="46"/>
        <v>5</v>
      </c>
    </row>
    <row r="2764" spans="1:6">
      <c r="A2764" s="83">
        <v>43466</v>
      </c>
      <c r="B2764" t="s">
        <v>32</v>
      </c>
      <c r="C2764" t="s">
        <v>24</v>
      </c>
      <c r="D2764" t="s">
        <v>23</v>
      </c>
      <c r="E2764">
        <v>985</v>
      </c>
      <c r="F2764">
        <f t="shared" si="46"/>
        <v>3</v>
      </c>
    </row>
    <row r="2765" spans="1:6">
      <c r="A2765" s="83">
        <v>43497</v>
      </c>
      <c r="B2765" t="s">
        <v>32</v>
      </c>
      <c r="C2765" t="s">
        <v>21</v>
      </c>
      <c r="D2765" t="s">
        <v>22</v>
      </c>
      <c r="E2765">
        <v>448</v>
      </c>
      <c r="F2765">
        <f t="shared" si="46"/>
        <v>7</v>
      </c>
    </row>
    <row r="2766" spans="1:6">
      <c r="A2766" s="83">
        <v>43497</v>
      </c>
      <c r="B2766" t="s">
        <v>32</v>
      </c>
      <c r="C2766" t="s">
        <v>21</v>
      </c>
      <c r="D2766" t="s">
        <v>26</v>
      </c>
      <c r="E2766">
        <v>261</v>
      </c>
      <c r="F2766">
        <f t="shared" si="46"/>
        <v>5</v>
      </c>
    </row>
    <row r="2767" spans="1:6">
      <c r="A2767" s="83">
        <v>43497</v>
      </c>
      <c r="B2767" t="s">
        <v>32</v>
      </c>
      <c r="C2767" t="s">
        <v>24</v>
      </c>
      <c r="D2767" t="s">
        <v>22</v>
      </c>
      <c r="E2767">
        <v>782</v>
      </c>
      <c r="F2767">
        <f t="shared" si="46"/>
        <v>7</v>
      </c>
    </row>
    <row r="2768" spans="1:6">
      <c r="A2768" s="83">
        <v>43497</v>
      </c>
      <c r="B2768" t="s">
        <v>32</v>
      </c>
      <c r="C2768" t="s">
        <v>24</v>
      </c>
      <c r="D2768" t="s">
        <v>23</v>
      </c>
      <c r="E2768">
        <v>1365</v>
      </c>
      <c r="F2768">
        <f t="shared" si="46"/>
        <v>3</v>
      </c>
    </row>
    <row r="2769" spans="1:6">
      <c r="A2769" s="83">
        <v>43525</v>
      </c>
      <c r="B2769" t="s">
        <v>32</v>
      </c>
      <c r="C2769" t="s">
        <v>21</v>
      </c>
      <c r="D2769" t="s">
        <v>23</v>
      </c>
      <c r="E2769">
        <v>377</v>
      </c>
      <c r="F2769">
        <f t="shared" si="46"/>
        <v>3</v>
      </c>
    </row>
    <row r="2770" spans="1:6">
      <c r="A2770" s="83">
        <v>43525</v>
      </c>
      <c r="B2770" t="s">
        <v>32</v>
      </c>
      <c r="C2770" t="s">
        <v>21</v>
      </c>
      <c r="D2770" t="s">
        <v>26</v>
      </c>
      <c r="E2770">
        <v>257</v>
      </c>
      <c r="F2770">
        <f t="shared" si="46"/>
        <v>5</v>
      </c>
    </row>
    <row r="2771" spans="1:6">
      <c r="A2771" s="83">
        <v>43525</v>
      </c>
      <c r="B2771" t="s">
        <v>32</v>
      </c>
      <c r="C2771" t="s">
        <v>24</v>
      </c>
      <c r="D2771" t="s">
        <v>22</v>
      </c>
      <c r="E2771">
        <v>697</v>
      </c>
      <c r="F2771">
        <f t="shared" si="46"/>
        <v>7</v>
      </c>
    </row>
    <row r="2772" spans="1:6">
      <c r="A2772" s="83">
        <v>43525</v>
      </c>
      <c r="B2772" t="s">
        <v>32</v>
      </c>
      <c r="C2772" t="s">
        <v>24</v>
      </c>
      <c r="D2772" t="s">
        <v>23</v>
      </c>
      <c r="E2772">
        <v>923</v>
      </c>
      <c r="F2772">
        <f t="shared" si="46"/>
        <v>3</v>
      </c>
    </row>
    <row r="2773" spans="1:6">
      <c r="A2773" s="83">
        <v>43556</v>
      </c>
      <c r="B2773" t="s">
        <v>32</v>
      </c>
      <c r="C2773" t="s">
        <v>21</v>
      </c>
      <c r="D2773" t="s">
        <v>26</v>
      </c>
      <c r="E2773">
        <v>410</v>
      </c>
      <c r="F2773">
        <f t="shared" si="46"/>
        <v>5</v>
      </c>
    </row>
    <row r="2774" spans="1:6">
      <c r="A2774" s="83">
        <v>43556</v>
      </c>
      <c r="B2774" t="s">
        <v>32</v>
      </c>
      <c r="C2774" t="s">
        <v>21</v>
      </c>
      <c r="D2774" t="s">
        <v>22</v>
      </c>
      <c r="E2774">
        <v>279</v>
      </c>
      <c r="F2774">
        <f t="shared" si="46"/>
        <v>7</v>
      </c>
    </row>
    <row r="2775" spans="1:6">
      <c r="A2775" s="83">
        <v>43556</v>
      </c>
      <c r="B2775" t="s">
        <v>32</v>
      </c>
      <c r="C2775" t="s">
        <v>24</v>
      </c>
      <c r="D2775" t="s">
        <v>26</v>
      </c>
      <c r="E2775">
        <v>697</v>
      </c>
      <c r="F2775">
        <f t="shared" si="46"/>
        <v>5</v>
      </c>
    </row>
    <row r="2776" spans="1:6">
      <c r="A2776" s="83">
        <v>43556</v>
      </c>
      <c r="B2776" t="s">
        <v>32</v>
      </c>
      <c r="C2776" t="s">
        <v>24</v>
      </c>
      <c r="D2776" t="s">
        <v>26</v>
      </c>
      <c r="E2776">
        <v>1242</v>
      </c>
      <c r="F2776">
        <f t="shared" si="46"/>
        <v>5</v>
      </c>
    </row>
    <row r="2777" spans="1:6">
      <c r="A2777" s="83">
        <v>43586</v>
      </c>
      <c r="B2777" t="s">
        <v>32</v>
      </c>
      <c r="C2777" t="s">
        <v>21</v>
      </c>
      <c r="D2777" t="s">
        <v>22</v>
      </c>
      <c r="E2777">
        <v>343</v>
      </c>
      <c r="F2777">
        <f t="shared" si="46"/>
        <v>7</v>
      </c>
    </row>
    <row r="2778" spans="1:6">
      <c r="A2778" s="83">
        <v>43586</v>
      </c>
      <c r="B2778" t="s">
        <v>32</v>
      </c>
      <c r="C2778" t="s">
        <v>21</v>
      </c>
      <c r="D2778" t="s">
        <v>22</v>
      </c>
      <c r="E2778">
        <v>284</v>
      </c>
      <c r="F2778">
        <f t="shared" si="46"/>
        <v>7</v>
      </c>
    </row>
    <row r="2779" spans="1:6">
      <c r="A2779" s="83">
        <v>43586</v>
      </c>
      <c r="B2779" t="s">
        <v>32</v>
      </c>
      <c r="C2779" t="s">
        <v>24</v>
      </c>
      <c r="D2779" t="s">
        <v>26</v>
      </c>
      <c r="E2779">
        <v>766</v>
      </c>
      <c r="F2779">
        <f t="shared" si="46"/>
        <v>5</v>
      </c>
    </row>
    <row r="2780" spans="1:6">
      <c r="A2780" s="83">
        <v>43586</v>
      </c>
      <c r="B2780" t="s">
        <v>32</v>
      </c>
      <c r="C2780" t="s">
        <v>24</v>
      </c>
      <c r="D2780" t="s">
        <v>23</v>
      </c>
      <c r="E2780">
        <v>1412</v>
      </c>
      <c r="F2780">
        <f t="shared" si="46"/>
        <v>3</v>
      </c>
    </row>
    <row r="2781" spans="1:6">
      <c r="A2781" s="83">
        <v>43617</v>
      </c>
      <c r="B2781" t="s">
        <v>32</v>
      </c>
      <c r="C2781" t="s">
        <v>21</v>
      </c>
      <c r="D2781" t="s">
        <v>22</v>
      </c>
      <c r="E2781">
        <v>203</v>
      </c>
      <c r="F2781">
        <f t="shared" si="46"/>
        <v>7</v>
      </c>
    </row>
    <row r="2782" spans="1:6">
      <c r="A2782" s="83">
        <v>43617</v>
      </c>
      <c r="B2782" t="s">
        <v>32</v>
      </c>
      <c r="C2782" t="s">
        <v>21</v>
      </c>
      <c r="D2782" t="s">
        <v>22</v>
      </c>
      <c r="E2782">
        <v>171</v>
      </c>
      <c r="F2782">
        <f t="shared" si="46"/>
        <v>7</v>
      </c>
    </row>
    <row r="2783" spans="1:6">
      <c r="A2783" s="83">
        <v>43617</v>
      </c>
      <c r="B2783" t="s">
        <v>32</v>
      </c>
      <c r="C2783" t="s">
        <v>24</v>
      </c>
      <c r="D2783" t="s">
        <v>23</v>
      </c>
      <c r="E2783">
        <v>645</v>
      </c>
      <c r="F2783">
        <f t="shared" si="46"/>
        <v>3</v>
      </c>
    </row>
    <row r="2784" spans="1:6">
      <c r="A2784" s="83">
        <v>43617</v>
      </c>
      <c r="B2784" t="s">
        <v>32</v>
      </c>
      <c r="C2784" t="s">
        <v>24</v>
      </c>
      <c r="D2784" t="s">
        <v>22</v>
      </c>
      <c r="E2784">
        <v>1207</v>
      </c>
      <c r="F2784">
        <f t="shared" si="46"/>
        <v>7</v>
      </c>
    </row>
    <row r="2785" spans="1:6">
      <c r="A2785" s="83">
        <v>43647</v>
      </c>
      <c r="B2785" t="s">
        <v>32</v>
      </c>
      <c r="C2785" t="s">
        <v>21</v>
      </c>
      <c r="D2785" t="s">
        <v>22</v>
      </c>
      <c r="E2785">
        <v>238</v>
      </c>
      <c r="F2785">
        <f t="shared" si="46"/>
        <v>7</v>
      </c>
    </row>
    <row r="2786" spans="1:6">
      <c r="A2786" s="83">
        <v>43647</v>
      </c>
      <c r="B2786" t="s">
        <v>32</v>
      </c>
      <c r="C2786" t="s">
        <v>21</v>
      </c>
      <c r="D2786" t="s">
        <v>22</v>
      </c>
      <c r="E2786">
        <v>239</v>
      </c>
      <c r="F2786">
        <f t="shared" si="46"/>
        <v>7</v>
      </c>
    </row>
    <row r="2787" spans="1:6">
      <c r="A2787" s="83">
        <v>43647</v>
      </c>
      <c r="B2787" t="s">
        <v>32</v>
      </c>
      <c r="C2787" t="s">
        <v>24</v>
      </c>
      <c r="D2787" t="s">
        <v>22</v>
      </c>
      <c r="E2787">
        <v>646</v>
      </c>
      <c r="F2787">
        <f t="shared" si="46"/>
        <v>7</v>
      </c>
    </row>
    <row r="2788" spans="1:6">
      <c r="A2788" s="83">
        <v>43647</v>
      </c>
      <c r="B2788" t="s">
        <v>32</v>
      </c>
      <c r="C2788" t="s">
        <v>24</v>
      </c>
      <c r="D2788" t="s">
        <v>22</v>
      </c>
      <c r="E2788">
        <v>1292</v>
      </c>
      <c r="F2788">
        <f t="shared" si="46"/>
        <v>7</v>
      </c>
    </row>
    <row r="2789" spans="1:6">
      <c r="A2789" s="83">
        <v>43678</v>
      </c>
      <c r="B2789" t="s">
        <v>32</v>
      </c>
      <c r="C2789" t="s">
        <v>21</v>
      </c>
      <c r="D2789" t="s">
        <v>26</v>
      </c>
      <c r="E2789">
        <v>200</v>
      </c>
      <c r="F2789">
        <f t="shared" si="46"/>
        <v>5</v>
      </c>
    </row>
    <row r="2790" spans="1:6">
      <c r="A2790" s="83">
        <v>43678</v>
      </c>
      <c r="B2790" t="s">
        <v>32</v>
      </c>
      <c r="C2790" t="s">
        <v>21</v>
      </c>
      <c r="D2790" t="s">
        <v>26</v>
      </c>
      <c r="E2790">
        <v>293</v>
      </c>
      <c r="F2790">
        <f t="shared" si="46"/>
        <v>5</v>
      </c>
    </row>
    <row r="2791" spans="1:6">
      <c r="A2791" s="83">
        <v>43678</v>
      </c>
      <c r="B2791" t="s">
        <v>32</v>
      </c>
      <c r="C2791" t="s">
        <v>24</v>
      </c>
      <c r="D2791" t="s">
        <v>23</v>
      </c>
      <c r="E2791">
        <v>680</v>
      </c>
      <c r="F2791">
        <f t="shared" si="46"/>
        <v>3</v>
      </c>
    </row>
    <row r="2792" spans="1:6">
      <c r="A2792" s="83">
        <v>43678</v>
      </c>
      <c r="B2792" t="s">
        <v>32</v>
      </c>
      <c r="C2792" t="s">
        <v>24</v>
      </c>
      <c r="D2792" t="s">
        <v>26</v>
      </c>
      <c r="E2792">
        <v>1366</v>
      </c>
      <c r="F2792">
        <f t="shared" si="46"/>
        <v>5</v>
      </c>
    </row>
    <row r="2793" spans="1:6">
      <c r="A2793" s="83">
        <v>43709</v>
      </c>
      <c r="B2793" t="s">
        <v>32</v>
      </c>
      <c r="C2793" t="s">
        <v>21</v>
      </c>
      <c r="D2793" t="s">
        <v>26</v>
      </c>
      <c r="E2793">
        <v>228</v>
      </c>
      <c r="F2793">
        <f t="shared" si="46"/>
        <v>5</v>
      </c>
    </row>
    <row r="2794" spans="1:6">
      <c r="A2794" s="83">
        <v>43709</v>
      </c>
      <c r="B2794" t="s">
        <v>32</v>
      </c>
      <c r="C2794" t="s">
        <v>21</v>
      </c>
      <c r="D2794" t="s">
        <v>23</v>
      </c>
      <c r="E2794">
        <v>315</v>
      </c>
      <c r="F2794">
        <f t="shared" si="46"/>
        <v>3</v>
      </c>
    </row>
    <row r="2795" spans="1:6">
      <c r="A2795" s="83">
        <v>43709</v>
      </c>
      <c r="B2795" t="s">
        <v>32</v>
      </c>
      <c r="C2795" t="s">
        <v>24</v>
      </c>
      <c r="D2795" t="s">
        <v>22</v>
      </c>
      <c r="E2795">
        <v>723</v>
      </c>
      <c r="F2795">
        <f t="shared" si="46"/>
        <v>7</v>
      </c>
    </row>
    <row r="2796" spans="1:6">
      <c r="A2796" s="83">
        <v>43709</v>
      </c>
      <c r="B2796" t="s">
        <v>32</v>
      </c>
      <c r="C2796" t="s">
        <v>24</v>
      </c>
      <c r="D2796" t="s">
        <v>26</v>
      </c>
      <c r="E2796">
        <v>1842</v>
      </c>
      <c r="F2796">
        <f t="shared" si="46"/>
        <v>5</v>
      </c>
    </row>
    <row r="2797" spans="1:6">
      <c r="A2797" s="83">
        <v>43739</v>
      </c>
      <c r="B2797" t="s">
        <v>32</v>
      </c>
      <c r="C2797" t="s">
        <v>21</v>
      </c>
      <c r="D2797" t="s">
        <v>22</v>
      </c>
      <c r="E2797">
        <v>42</v>
      </c>
      <c r="F2797">
        <f t="shared" si="46"/>
        <v>7</v>
      </c>
    </row>
    <row r="2798" spans="1:6">
      <c r="A2798" s="83">
        <v>43739</v>
      </c>
      <c r="B2798" t="s">
        <v>32</v>
      </c>
      <c r="C2798" t="s">
        <v>21</v>
      </c>
      <c r="D2798" t="s">
        <v>23</v>
      </c>
      <c r="E2798">
        <v>54</v>
      </c>
      <c r="F2798">
        <f t="shared" si="46"/>
        <v>3</v>
      </c>
    </row>
    <row r="2799" spans="1:6">
      <c r="A2799" s="83">
        <v>43739</v>
      </c>
      <c r="B2799" t="s">
        <v>32</v>
      </c>
      <c r="C2799" t="s">
        <v>24</v>
      </c>
      <c r="D2799" t="s">
        <v>26</v>
      </c>
      <c r="E2799">
        <v>417</v>
      </c>
      <c r="F2799">
        <f t="shared" si="46"/>
        <v>5</v>
      </c>
    </row>
    <row r="2800" spans="1:6">
      <c r="A2800" s="83">
        <v>43739</v>
      </c>
      <c r="B2800" t="s">
        <v>32</v>
      </c>
      <c r="C2800" t="s">
        <v>24</v>
      </c>
      <c r="D2800" t="s">
        <v>22</v>
      </c>
      <c r="E2800">
        <v>1221</v>
      </c>
      <c r="F2800">
        <f t="shared" si="46"/>
        <v>7</v>
      </c>
    </row>
    <row r="2801" spans="1:6">
      <c r="A2801" s="83">
        <v>43770</v>
      </c>
      <c r="B2801" t="s">
        <v>32</v>
      </c>
      <c r="C2801" t="s">
        <v>21</v>
      </c>
      <c r="D2801" t="s">
        <v>23</v>
      </c>
      <c r="E2801">
        <v>53</v>
      </c>
      <c r="F2801">
        <f t="shared" si="46"/>
        <v>3</v>
      </c>
    </row>
    <row r="2802" spans="1:6">
      <c r="A2802" s="83">
        <v>43770</v>
      </c>
      <c r="B2802" t="s">
        <v>32</v>
      </c>
      <c r="C2802" t="s">
        <v>21</v>
      </c>
      <c r="D2802" t="s">
        <v>22</v>
      </c>
      <c r="E2802">
        <v>68</v>
      </c>
      <c r="F2802">
        <f t="shared" si="46"/>
        <v>7</v>
      </c>
    </row>
    <row r="2803" spans="1:6">
      <c r="A2803" s="83">
        <v>43770</v>
      </c>
      <c r="B2803" t="s">
        <v>32</v>
      </c>
      <c r="C2803" t="s">
        <v>24</v>
      </c>
      <c r="D2803" t="s">
        <v>22</v>
      </c>
      <c r="E2803">
        <v>467</v>
      </c>
      <c r="F2803">
        <f t="shared" si="46"/>
        <v>7</v>
      </c>
    </row>
    <row r="2804" spans="1:6">
      <c r="A2804" s="83">
        <v>43770</v>
      </c>
      <c r="B2804" t="s">
        <v>32</v>
      </c>
      <c r="C2804" t="s">
        <v>24</v>
      </c>
      <c r="D2804" t="s">
        <v>22</v>
      </c>
      <c r="E2804">
        <v>1113</v>
      </c>
      <c r="F2804">
        <f t="shared" si="46"/>
        <v>7</v>
      </c>
    </row>
    <row r="2805" spans="1:6">
      <c r="A2805" s="83">
        <v>43800</v>
      </c>
      <c r="B2805" t="s">
        <v>32</v>
      </c>
      <c r="C2805" t="s">
        <v>21</v>
      </c>
      <c r="D2805" t="s">
        <v>22</v>
      </c>
      <c r="E2805">
        <v>60</v>
      </c>
      <c r="F2805">
        <f t="shared" si="46"/>
        <v>7</v>
      </c>
    </row>
    <row r="2806" spans="1:6">
      <c r="A2806" s="83">
        <v>43800</v>
      </c>
      <c r="B2806" t="s">
        <v>32</v>
      </c>
      <c r="C2806" t="s">
        <v>21</v>
      </c>
      <c r="D2806" t="s">
        <v>22</v>
      </c>
      <c r="E2806">
        <v>68</v>
      </c>
      <c r="F2806">
        <f t="shared" si="46"/>
        <v>7</v>
      </c>
    </row>
    <row r="2807" spans="1:6">
      <c r="A2807" s="83">
        <v>43800</v>
      </c>
      <c r="B2807" t="s">
        <v>32</v>
      </c>
      <c r="C2807" t="s">
        <v>24</v>
      </c>
      <c r="D2807" t="s">
        <v>26</v>
      </c>
      <c r="E2807">
        <v>740</v>
      </c>
      <c r="F2807">
        <f t="shared" si="46"/>
        <v>5</v>
      </c>
    </row>
    <row r="2808" spans="1:6">
      <c r="A2808" s="83">
        <v>43800</v>
      </c>
      <c r="B2808" t="s">
        <v>32</v>
      </c>
      <c r="C2808" t="s">
        <v>24</v>
      </c>
      <c r="D2808" t="s">
        <v>22</v>
      </c>
      <c r="E2808">
        <v>1408</v>
      </c>
      <c r="F2808">
        <f t="shared" si="46"/>
        <v>7</v>
      </c>
    </row>
    <row r="2809" spans="1:6">
      <c r="A2809" s="83">
        <v>43525</v>
      </c>
      <c r="B2809" t="s">
        <v>33</v>
      </c>
      <c r="C2809" t="s">
        <v>21</v>
      </c>
      <c r="D2809" t="s">
        <v>26</v>
      </c>
      <c r="E2809">
        <v>46</v>
      </c>
      <c r="F2809">
        <f t="shared" si="46"/>
        <v>5</v>
      </c>
    </row>
    <row r="2810" spans="1:6">
      <c r="A2810" s="83">
        <v>43525</v>
      </c>
      <c r="B2810" t="s">
        <v>33</v>
      </c>
      <c r="C2810" t="s">
        <v>21</v>
      </c>
      <c r="D2810" t="s">
        <v>22</v>
      </c>
      <c r="E2810">
        <v>23</v>
      </c>
      <c r="F2810">
        <f t="shared" si="46"/>
        <v>7</v>
      </c>
    </row>
    <row r="2811" spans="1:6">
      <c r="A2811" s="83">
        <v>43525</v>
      </c>
      <c r="B2811" t="s">
        <v>33</v>
      </c>
      <c r="C2811" t="s">
        <v>24</v>
      </c>
      <c r="D2811" t="s">
        <v>23</v>
      </c>
      <c r="E2811">
        <v>70</v>
      </c>
      <c r="F2811">
        <f t="shared" si="46"/>
        <v>3</v>
      </c>
    </row>
    <row r="2812" spans="1:6">
      <c r="A2812" s="83">
        <v>43525</v>
      </c>
      <c r="B2812" t="s">
        <v>33</v>
      </c>
      <c r="C2812" t="s">
        <v>24</v>
      </c>
      <c r="D2812" t="s">
        <v>26</v>
      </c>
      <c r="E2812">
        <v>23</v>
      </c>
      <c r="F2812">
        <f t="shared" si="46"/>
        <v>5</v>
      </c>
    </row>
    <row r="2813" spans="1:6">
      <c r="A2813" s="83">
        <v>43556</v>
      </c>
      <c r="B2813" t="s">
        <v>33</v>
      </c>
      <c r="C2813" t="s">
        <v>21</v>
      </c>
      <c r="D2813" t="s">
        <v>26</v>
      </c>
      <c r="E2813">
        <v>49</v>
      </c>
      <c r="F2813">
        <f t="shared" si="46"/>
        <v>5</v>
      </c>
    </row>
    <row r="2814" spans="1:6">
      <c r="A2814" s="83">
        <v>43556</v>
      </c>
      <c r="B2814" t="s">
        <v>33</v>
      </c>
      <c r="C2814" t="s">
        <v>21</v>
      </c>
      <c r="D2814" t="s">
        <v>23</v>
      </c>
      <c r="E2814">
        <v>23</v>
      </c>
      <c r="F2814">
        <f t="shared" si="46"/>
        <v>3</v>
      </c>
    </row>
    <row r="2815" spans="1:6">
      <c r="A2815" s="83">
        <v>43556</v>
      </c>
      <c r="B2815" t="s">
        <v>33</v>
      </c>
      <c r="C2815" t="s">
        <v>24</v>
      </c>
      <c r="D2815" t="s">
        <v>22</v>
      </c>
      <c r="E2815">
        <v>70</v>
      </c>
      <c r="F2815">
        <f t="shared" si="46"/>
        <v>7</v>
      </c>
    </row>
    <row r="2816" spans="1:6">
      <c r="A2816" s="83">
        <v>43556</v>
      </c>
      <c r="B2816" t="s">
        <v>33</v>
      </c>
      <c r="C2816" t="s">
        <v>24</v>
      </c>
      <c r="D2816" t="s">
        <v>23</v>
      </c>
      <c r="E2816">
        <v>34</v>
      </c>
      <c r="F2816">
        <f t="shared" si="46"/>
        <v>3</v>
      </c>
    </row>
    <row r="2817" spans="1:6">
      <c r="A2817" s="83">
        <v>43586</v>
      </c>
      <c r="B2817" t="s">
        <v>33</v>
      </c>
      <c r="C2817" t="s">
        <v>21</v>
      </c>
      <c r="D2817" t="s">
        <v>23</v>
      </c>
      <c r="E2817">
        <v>42</v>
      </c>
      <c r="F2817">
        <f t="shared" si="46"/>
        <v>3</v>
      </c>
    </row>
    <row r="2818" spans="1:6">
      <c r="A2818" s="83">
        <v>43586</v>
      </c>
      <c r="B2818" t="s">
        <v>33</v>
      </c>
      <c r="C2818" t="s">
        <v>21</v>
      </c>
      <c r="D2818" t="s">
        <v>22</v>
      </c>
      <c r="E2818">
        <v>23</v>
      </c>
      <c r="F2818">
        <f t="shared" si="46"/>
        <v>7</v>
      </c>
    </row>
    <row r="2819" spans="1:6">
      <c r="A2819" s="83">
        <v>43586</v>
      </c>
      <c r="B2819" t="s">
        <v>33</v>
      </c>
      <c r="C2819" t="s">
        <v>24</v>
      </c>
      <c r="D2819" t="s">
        <v>26</v>
      </c>
      <c r="E2819">
        <v>61</v>
      </c>
      <c r="F2819">
        <f t="shared" ref="F2819:F2882" si="47">LEN(D2819)</f>
        <v>5</v>
      </c>
    </row>
    <row r="2820" spans="1:6">
      <c r="A2820" s="83">
        <v>43586</v>
      </c>
      <c r="B2820" t="s">
        <v>33</v>
      </c>
      <c r="C2820" t="s">
        <v>24</v>
      </c>
      <c r="D2820" t="s">
        <v>22</v>
      </c>
      <c r="E2820">
        <v>23</v>
      </c>
      <c r="F2820">
        <f t="shared" si="47"/>
        <v>7</v>
      </c>
    </row>
    <row r="2821" spans="1:6">
      <c r="A2821" s="83">
        <v>43617</v>
      </c>
      <c r="B2821" t="s">
        <v>33</v>
      </c>
      <c r="C2821" t="s">
        <v>21</v>
      </c>
      <c r="D2821" t="s">
        <v>23</v>
      </c>
      <c r="E2821">
        <v>112</v>
      </c>
      <c r="F2821">
        <f t="shared" si="47"/>
        <v>3</v>
      </c>
    </row>
    <row r="2822" spans="1:6">
      <c r="A2822" s="83">
        <v>43617</v>
      </c>
      <c r="B2822" t="s">
        <v>33</v>
      </c>
      <c r="C2822" t="s">
        <v>21</v>
      </c>
      <c r="D2822" t="s">
        <v>26</v>
      </c>
      <c r="E2822">
        <v>63</v>
      </c>
      <c r="F2822">
        <f t="shared" si="47"/>
        <v>5</v>
      </c>
    </row>
    <row r="2823" spans="1:6">
      <c r="A2823" s="83">
        <v>43617</v>
      </c>
      <c r="B2823" t="s">
        <v>33</v>
      </c>
      <c r="C2823" t="s">
        <v>24</v>
      </c>
      <c r="D2823" t="s">
        <v>23</v>
      </c>
      <c r="E2823">
        <v>166</v>
      </c>
      <c r="F2823">
        <f t="shared" si="47"/>
        <v>3</v>
      </c>
    </row>
    <row r="2824" spans="1:6">
      <c r="A2824" s="83">
        <v>43617</v>
      </c>
      <c r="B2824" t="s">
        <v>33</v>
      </c>
      <c r="C2824" t="s">
        <v>24</v>
      </c>
      <c r="D2824" t="s">
        <v>23</v>
      </c>
      <c r="E2824">
        <v>68</v>
      </c>
      <c r="F2824">
        <f t="shared" si="47"/>
        <v>3</v>
      </c>
    </row>
    <row r="2825" spans="1:6">
      <c r="A2825" s="83">
        <v>43647</v>
      </c>
      <c r="B2825" t="s">
        <v>33</v>
      </c>
      <c r="C2825" t="s">
        <v>21</v>
      </c>
      <c r="D2825" t="s">
        <v>26</v>
      </c>
      <c r="E2825">
        <v>172</v>
      </c>
      <c r="F2825">
        <f t="shared" si="47"/>
        <v>5</v>
      </c>
    </row>
    <row r="2826" spans="1:6">
      <c r="A2826" s="83">
        <v>43647</v>
      </c>
      <c r="B2826" t="s">
        <v>33</v>
      </c>
      <c r="C2826" t="s">
        <v>21</v>
      </c>
      <c r="D2826" t="s">
        <v>26</v>
      </c>
      <c r="E2826">
        <v>45</v>
      </c>
      <c r="F2826">
        <f t="shared" si="47"/>
        <v>5</v>
      </c>
    </row>
    <row r="2827" spans="1:6">
      <c r="A2827" s="83">
        <v>43647</v>
      </c>
      <c r="B2827" t="s">
        <v>33</v>
      </c>
      <c r="C2827" t="s">
        <v>24</v>
      </c>
      <c r="D2827" t="s">
        <v>23</v>
      </c>
      <c r="E2827">
        <v>193</v>
      </c>
      <c r="F2827">
        <f t="shared" si="47"/>
        <v>3</v>
      </c>
    </row>
    <row r="2828" spans="1:6">
      <c r="A2828" s="83">
        <v>43647</v>
      </c>
      <c r="B2828" t="s">
        <v>33</v>
      </c>
      <c r="C2828" t="s">
        <v>24</v>
      </c>
      <c r="D2828" t="s">
        <v>26</v>
      </c>
      <c r="E2828">
        <v>68</v>
      </c>
      <c r="F2828">
        <f t="shared" si="47"/>
        <v>5</v>
      </c>
    </row>
    <row r="2829" spans="1:6">
      <c r="A2829" s="83">
        <v>43678</v>
      </c>
      <c r="B2829" t="s">
        <v>33</v>
      </c>
      <c r="C2829" t="s">
        <v>21</v>
      </c>
      <c r="D2829" t="s">
        <v>26</v>
      </c>
      <c r="E2829">
        <v>196</v>
      </c>
      <c r="F2829">
        <f t="shared" si="47"/>
        <v>5</v>
      </c>
    </row>
    <row r="2830" spans="1:6">
      <c r="A2830" s="83">
        <v>43678</v>
      </c>
      <c r="B2830" t="s">
        <v>33</v>
      </c>
      <c r="C2830" t="s">
        <v>21</v>
      </c>
      <c r="D2830" t="s">
        <v>26</v>
      </c>
      <c r="E2830">
        <v>54</v>
      </c>
      <c r="F2830">
        <f t="shared" si="47"/>
        <v>5</v>
      </c>
    </row>
    <row r="2831" spans="1:6">
      <c r="A2831" s="83">
        <v>43678</v>
      </c>
      <c r="B2831" t="s">
        <v>33</v>
      </c>
      <c r="C2831" t="s">
        <v>24</v>
      </c>
      <c r="D2831" t="s">
        <v>22</v>
      </c>
      <c r="E2831">
        <v>175</v>
      </c>
      <c r="F2831">
        <f t="shared" si="47"/>
        <v>7</v>
      </c>
    </row>
    <row r="2832" spans="1:6">
      <c r="A2832" s="83">
        <v>43678</v>
      </c>
      <c r="B2832" t="s">
        <v>33</v>
      </c>
      <c r="C2832" t="s">
        <v>24</v>
      </c>
      <c r="D2832" t="s">
        <v>22</v>
      </c>
      <c r="E2832">
        <v>56</v>
      </c>
      <c r="F2832">
        <f t="shared" si="47"/>
        <v>7</v>
      </c>
    </row>
    <row r="2833" spans="1:6">
      <c r="A2833" s="83">
        <v>43709</v>
      </c>
      <c r="B2833" t="s">
        <v>33</v>
      </c>
      <c r="C2833" t="s">
        <v>21</v>
      </c>
      <c r="D2833" t="s">
        <v>26</v>
      </c>
      <c r="E2833">
        <v>210</v>
      </c>
      <c r="F2833">
        <f t="shared" si="47"/>
        <v>5</v>
      </c>
    </row>
    <row r="2834" spans="1:6">
      <c r="A2834" s="83">
        <v>43709</v>
      </c>
      <c r="B2834" t="s">
        <v>33</v>
      </c>
      <c r="C2834" t="s">
        <v>21</v>
      </c>
      <c r="D2834" t="s">
        <v>22</v>
      </c>
      <c r="E2834">
        <v>81</v>
      </c>
      <c r="F2834">
        <f t="shared" si="47"/>
        <v>7</v>
      </c>
    </row>
    <row r="2835" spans="1:6">
      <c r="A2835" s="83">
        <v>43709</v>
      </c>
      <c r="B2835" t="s">
        <v>33</v>
      </c>
      <c r="C2835" t="s">
        <v>24</v>
      </c>
      <c r="D2835" t="s">
        <v>26</v>
      </c>
      <c r="E2835">
        <v>201</v>
      </c>
      <c r="F2835">
        <f t="shared" si="47"/>
        <v>5</v>
      </c>
    </row>
    <row r="2836" spans="1:6">
      <c r="A2836" s="83">
        <v>43709</v>
      </c>
      <c r="B2836" t="s">
        <v>33</v>
      </c>
      <c r="C2836" t="s">
        <v>24</v>
      </c>
      <c r="D2836" t="s">
        <v>23</v>
      </c>
      <c r="E2836">
        <v>79</v>
      </c>
      <c r="F2836">
        <f t="shared" si="47"/>
        <v>3</v>
      </c>
    </row>
    <row r="2837" spans="1:6">
      <c r="A2837" s="83">
        <v>43739</v>
      </c>
      <c r="B2837" t="s">
        <v>33</v>
      </c>
      <c r="C2837" t="s">
        <v>21</v>
      </c>
      <c r="D2837" t="s">
        <v>22</v>
      </c>
      <c r="E2837">
        <v>189</v>
      </c>
      <c r="F2837">
        <f t="shared" si="47"/>
        <v>7</v>
      </c>
    </row>
    <row r="2838" spans="1:6">
      <c r="A2838" s="83">
        <v>43739</v>
      </c>
      <c r="B2838" t="s">
        <v>33</v>
      </c>
      <c r="C2838" t="s">
        <v>21</v>
      </c>
      <c r="D2838" t="s">
        <v>23</v>
      </c>
      <c r="E2838">
        <v>50</v>
      </c>
      <c r="F2838">
        <f t="shared" si="47"/>
        <v>3</v>
      </c>
    </row>
    <row r="2839" spans="1:6">
      <c r="A2839" s="83">
        <v>43739</v>
      </c>
      <c r="B2839" t="s">
        <v>33</v>
      </c>
      <c r="C2839" t="s">
        <v>24</v>
      </c>
      <c r="D2839" t="s">
        <v>22</v>
      </c>
      <c r="E2839">
        <v>131</v>
      </c>
      <c r="F2839">
        <f t="shared" si="47"/>
        <v>7</v>
      </c>
    </row>
    <row r="2840" spans="1:6">
      <c r="A2840" s="83">
        <v>43739</v>
      </c>
      <c r="B2840" t="s">
        <v>33</v>
      </c>
      <c r="C2840" t="s">
        <v>24</v>
      </c>
      <c r="D2840" t="s">
        <v>26</v>
      </c>
      <c r="E2840">
        <v>34</v>
      </c>
      <c r="F2840">
        <f t="shared" si="47"/>
        <v>5</v>
      </c>
    </row>
    <row r="2841" spans="1:6">
      <c r="A2841" s="83">
        <v>43770</v>
      </c>
      <c r="B2841" t="s">
        <v>33</v>
      </c>
      <c r="C2841" t="s">
        <v>21</v>
      </c>
      <c r="D2841" t="s">
        <v>26</v>
      </c>
      <c r="E2841">
        <v>221</v>
      </c>
      <c r="F2841">
        <f t="shared" si="47"/>
        <v>5</v>
      </c>
    </row>
    <row r="2842" spans="1:6">
      <c r="A2842" s="83">
        <v>43770</v>
      </c>
      <c r="B2842" t="s">
        <v>33</v>
      </c>
      <c r="C2842" t="s">
        <v>21</v>
      </c>
      <c r="D2842" t="s">
        <v>26</v>
      </c>
      <c r="E2842">
        <v>77</v>
      </c>
      <c r="F2842">
        <f t="shared" si="47"/>
        <v>5</v>
      </c>
    </row>
    <row r="2843" spans="1:6">
      <c r="A2843" s="83">
        <v>43770</v>
      </c>
      <c r="B2843" t="s">
        <v>33</v>
      </c>
      <c r="C2843" t="s">
        <v>24</v>
      </c>
      <c r="D2843" t="s">
        <v>22</v>
      </c>
      <c r="E2843">
        <v>193</v>
      </c>
      <c r="F2843">
        <f t="shared" si="47"/>
        <v>7</v>
      </c>
    </row>
    <row r="2844" spans="1:6">
      <c r="A2844" s="83">
        <v>43770</v>
      </c>
      <c r="B2844" t="s">
        <v>33</v>
      </c>
      <c r="C2844" t="s">
        <v>24</v>
      </c>
      <c r="D2844" t="s">
        <v>26</v>
      </c>
      <c r="E2844">
        <v>79</v>
      </c>
      <c r="F2844">
        <f t="shared" si="47"/>
        <v>5</v>
      </c>
    </row>
    <row r="2845" spans="1:6">
      <c r="A2845" s="83">
        <v>43800</v>
      </c>
      <c r="B2845" t="s">
        <v>33</v>
      </c>
      <c r="C2845" t="s">
        <v>21</v>
      </c>
      <c r="D2845" t="s">
        <v>26</v>
      </c>
      <c r="E2845">
        <v>273</v>
      </c>
      <c r="F2845">
        <f t="shared" si="47"/>
        <v>5</v>
      </c>
    </row>
    <row r="2846" spans="1:6">
      <c r="A2846" s="83">
        <v>43800</v>
      </c>
      <c r="B2846" t="s">
        <v>33</v>
      </c>
      <c r="C2846" t="s">
        <v>21</v>
      </c>
      <c r="D2846" t="s">
        <v>23</v>
      </c>
      <c r="E2846">
        <v>86</v>
      </c>
      <c r="F2846">
        <f t="shared" si="47"/>
        <v>3</v>
      </c>
    </row>
    <row r="2847" spans="1:6">
      <c r="A2847" s="83">
        <v>43800</v>
      </c>
      <c r="B2847" t="s">
        <v>33</v>
      </c>
      <c r="C2847" t="s">
        <v>24</v>
      </c>
      <c r="D2847" t="s">
        <v>22</v>
      </c>
      <c r="E2847">
        <v>105</v>
      </c>
      <c r="F2847">
        <f t="shared" si="47"/>
        <v>7</v>
      </c>
    </row>
    <row r="2848" spans="1:6">
      <c r="A2848" s="83">
        <v>43800</v>
      </c>
      <c r="B2848" t="s">
        <v>33</v>
      </c>
      <c r="C2848" t="s">
        <v>24</v>
      </c>
      <c r="D2848" t="s">
        <v>23</v>
      </c>
      <c r="E2848">
        <v>101</v>
      </c>
      <c r="F2848">
        <f t="shared" si="47"/>
        <v>3</v>
      </c>
    </row>
    <row r="2849" spans="1:6">
      <c r="A2849" s="83">
        <v>43191</v>
      </c>
      <c r="B2849" t="s">
        <v>33</v>
      </c>
      <c r="C2849" t="s">
        <v>24</v>
      </c>
      <c r="D2849" t="s">
        <v>26</v>
      </c>
      <c r="E2849">
        <v>61</v>
      </c>
      <c r="F2849">
        <f t="shared" si="47"/>
        <v>5</v>
      </c>
    </row>
    <row r="2850" spans="1:6">
      <c r="A2850" s="83">
        <v>43191</v>
      </c>
      <c r="B2850" t="s">
        <v>33</v>
      </c>
      <c r="C2850" t="s">
        <v>24</v>
      </c>
      <c r="D2850" t="s">
        <v>22</v>
      </c>
      <c r="E2850">
        <v>90</v>
      </c>
      <c r="F2850">
        <f t="shared" si="47"/>
        <v>7</v>
      </c>
    </row>
    <row r="2851" spans="1:6">
      <c r="A2851" s="83">
        <v>43221</v>
      </c>
      <c r="B2851" t="s">
        <v>33</v>
      </c>
      <c r="C2851" t="s">
        <v>24</v>
      </c>
      <c r="D2851" t="s">
        <v>26</v>
      </c>
      <c r="E2851">
        <v>61</v>
      </c>
      <c r="F2851">
        <f t="shared" si="47"/>
        <v>5</v>
      </c>
    </row>
    <row r="2852" spans="1:6">
      <c r="A2852" s="83">
        <v>43221</v>
      </c>
      <c r="B2852" t="s">
        <v>33</v>
      </c>
      <c r="C2852" t="s">
        <v>24</v>
      </c>
      <c r="D2852" t="s">
        <v>26</v>
      </c>
      <c r="E2852">
        <v>90</v>
      </c>
      <c r="F2852">
        <f t="shared" si="47"/>
        <v>5</v>
      </c>
    </row>
    <row r="2853" spans="1:6">
      <c r="A2853" s="83">
        <v>43252</v>
      </c>
      <c r="B2853" t="s">
        <v>33</v>
      </c>
      <c r="C2853" t="s">
        <v>24</v>
      </c>
      <c r="D2853" t="s">
        <v>22</v>
      </c>
      <c r="E2853">
        <v>70</v>
      </c>
      <c r="F2853">
        <f t="shared" si="47"/>
        <v>7</v>
      </c>
    </row>
    <row r="2854" spans="1:6">
      <c r="A2854" s="83">
        <v>43252</v>
      </c>
      <c r="B2854" t="s">
        <v>33</v>
      </c>
      <c r="C2854" t="s">
        <v>24</v>
      </c>
      <c r="D2854" t="s">
        <v>26</v>
      </c>
      <c r="E2854">
        <v>90</v>
      </c>
      <c r="F2854">
        <f t="shared" si="47"/>
        <v>5</v>
      </c>
    </row>
    <row r="2855" spans="1:6">
      <c r="A2855" s="83">
        <v>43282</v>
      </c>
      <c r="B2855" t="s">
        <v>33</v>
      </c>
      <c r="C2855" t="s">
        <v>21</v>
      </c>
      <c r="D2855" t="s">
        <v>22</v>
      </c>
      <c r="E2855">
        <v>49</v>
      </c>
      <c r="F2855">
        <f t="shared" si="47"/>
        <v>7</v>
      </c>
    </row>
    <row r="2856" spans="1:6">
      <c r="A2856" s="83">
        <v>43282</v>
      </c>
      <c r="B2856" t="s">
        <v>33</v>
      </c>
      <c r="C2856" t="s">
        <v>21</v>
      </c>
      <c r="D2856" t="s">
        <v>23</v>
      </c>
      <c r="E2856">
        <v>27</v>
      </c>
      <c r="F2856">
        <f t="shared" si="47"/>
        <v>3</v>
      </c>
    </row>
    <row r="2857" spans="1:6">
      <c r="A2857" s="83">
        <v>43282</v>
      </c>
      <c r="B2857" t="s">
        <v>33</v>
      </c>
      <c r="C2857" t="s">
        <v>24</v>
      </c>
      <c r="D2857" t="s">
        <v>23</v>
      </c>
      <c r="E2857">
        <v>61</v>
      </c>
      <c r="F2857">
        <f t="shared" si="47"/>
        <v>3</v>
      </c>
    </row>
    <row r="2858" spans="1:6">
      <c r="A2858" s="83">
        <v>43282</v>
      </c>
      <c r="B2858" t="s">
        <v>33</v>
      </c>
      <c r="C2858" t="s">
        <v>24</v>
      </c>
      <c r="D2858" t="s">
        <v>22</v>
      </c>
      <c r="E2858">
        <v>90</v>
      </c>
      <c r="F2858">
        <f t="shared" si="47"/>
        <v>7</v>
      </c>
    </row>
    <row r="2859" spans="1:6">
      <c r="A2859" s="83">
        <v>43313</v>
      </c>
      <c r="B2859" t="s">
        <v>33</v>
      </c>
      <c r="C2859" t="s">
        <v>21</v>
      </c>
      <c r="D2859" t="s">
        <v>23</v>
      </c>
      <c r="E2859">
        <v>49</v>
      </c>
      <c r="F2859">
        <f t="shared" si="47"/>
        <v>3</v>
      </c>
    </row>
    <row r="2860" spans="1:6">
      <c r="A2860" s="83">
        <v>43313</v>
      </c>
      <c r="B2860" t="s">
        <v>33</v>
      </c>
      <c r="C2860" t="s">
        <v>21</v>
      </c>
      <c r="D2860" t="s">
        <v>23</v>
      </c>
      <c r="E2860">
        <v>23</v>
      </c>
      <c r="F2860">
        <f t="shared" si="47"/>
        <v>3</v>
      </c>
    </row>
    <row r="2861" spans="1:6">
      <c r="A2861" s="83">
        <v>43313</v>
      </c>
      <c r="B2861" t="s">
        <v>33</v>
      </c>
      <c r="C2861" t="s">
        <v>24</v>
      </c>
      <c r="D2861" t="s">
        <v>23</v>
      </c>
      <c r="E2861">
        <v>61</v>
      </c>
      <c r="F2861">
        <f t="shared" si="47"/>
        <v>3</v>
      </c>
    </row>
    <row r="2862" spans="1:6">
      <c r="A2862" s="83">
        <v>43313</v>
      </c>
      <c r="B2862" t="s">
        <v>33</v>
      </c>
      <c r="C2862" t="s">
        <v>24</v>
      </c>
      <c r="D2862" t="s">
        <v>26</v>
      </c>
      <c r="E2862">
        <v>90</v>
      </c>
      <c r="F2862">
        <f t="shared" si="47"/>
        <v>5</v>
      </c>
    </row>
    <row r="2863" spans="1:6">
      <c r="A2863" s="83">
        <v>43344</v>
      </c>
      <c r="B2863" t="s">
        <v>33</v>
      </c>
      <c r="C2863" t="s">
        <v>21</v>
      </c>
      <c r="D2863" t="s">
        <v>26</v>
      </c>
      <c r="E2863">
        <v>60</v>
      </c>
      <c r="F2863">
        <f t="shared" si="47"/>
        <v>5</v>
      </c>
    </row>
    <row r="2864" spans="1:6">
      <c r="A2864" s="83">
        <v>43344</v>
      </c>
      <c r="B2864" t="s">
        <v>33</v>
      </c>
      <c r="C2864" t="s">
        <v>21</v>
      </c>
      <c r="D2864" t="s">
        <v>22</v>
      </c>
      <c r="E2864">
        <v>32</v>
      </c>
      <c r="F2864">
        <f t="shared" si="47"/>
        <v>7</v>
      </c>
    </row>
    <row r="2865" spans="1:6">
      <c r="A2865" s="83">
        <v>43344</v>
      </c>
      <c r="B2865" t="s">
        <v>33</v>
      </c>
      <c r="C2865" t="s">
        <v>24</v>
      </c>
      <c r="D2865" t="s">
        <v>22</v>
      </c>
      <c r="E2865">
        <v>70</v>
      </c>
      <c r="F2865">
        <f t="shared" si="47"/>
        <v>7</v>
      </c>
    </row>
    <row r="2866" spans="1:6">
      <c r="A2866" s="83">
        <v>43344</v>
      </c>
      <c r="B2866" t="s">
        <v>33</v>
      </c>
      <c r="C2866" t="s">
        <v>24</v>
      </c>
      <c r="D2866" t="s">
        <v>26</v>
      </c>
      <c r="E2866">
        <v>101</v>
      </c>
      <c r="F2866">
        <f t="shared" si="47"/>
        <v>5</v>
      </c>
    </row>
    <row r="2867" spans="1:6">
      <c r="A2867" s="83">
        <v>43374</v>
      </c>
      <c r="B2867" t="s">
        <v>33</v>
      </c>
      <c r="C2867" t="s">
        <v>21</v>
      </c>
      <c r="D2867" t="s">
        <v>26</v>
      </c>
      <c r="E2867">
        <v>77</v>
      </c>
      <c r="F2867">
        <f t="shared" si="47"/>
        <v>5</v>
      </c>
    </row>
    <row r="2868" spans="1:6">
      <c r="A2868" s="83">
        <v>43374</v>
      </c>
      <c r="B2868" t="s">
        <v>33</v>
      </c>
      <c r="C2868" t="s">
        <v>21</v>
      </c>
      <c r="D2868" t="s">
        <v>26</v>
      </c>
      <c r="E2868">
        <v>36</v>
      </c>
      <c r="F2868">
        <f t="shared" si="47"/>
        <v>5</v>
      </c>
    </row>
    <row r="2869" spans="1:6">
      <c r="A2869" s="83">
        <v>43374</v>
      </c>
      <c r="B2869" t="s">
        <v>33</v>
      </c>
      <c r="C2869" t="s">
        <v>24</v>
      </c>
      <c r="D2869" t="s">
        <v>23</v>
      </c>
      <c r="E2869">
        <v>53</v>
      </c>
      <c r="F2869">
        <f t="shared" si="47"/>
        <v>3</v>
      </c>
    </row>
    <row r="2870" spans="1:6">
      <c r="A2870" s="83">
        <v>43374</v>
      </c>
      <c r="B2870" t="s">
        <v>33</v>
      </c>
      <c r="C2870" t="s">
        <v>24</v>
      </c>
      <c r="D2870" t="s">
        <v>22</v>
      </c>
      <c r="E2870">
        <v>90</v>
      </c>
      <c r="F2870">
        <f t="shared" si="47"/>
        <v>7</v>
      </c>
    </row>
    <row r="2871" spans="1:6">
      <c r="A2871" s="83">
        <v>43405</v>
      </c>
      <c r="B2871" t="s">
        <v>33</v>
      </c>
      <c r="C2871" t="s">
        <v>21</v>
      </c>
      <c r="D2871" t="s">
        <v>26</v>
      </c>
      <c r="E2871">
        <v>102</v>
      </c>
      <c r="F2871">
        <f t="shared" si="47"/>
        <v>5</v>
      </c>
    </row>
    <row r="2872" spans="1:6">
      <c r="A2872" s="83">
        <v>43405</v>
      </c>
      <c r="B2872" t="s">
        <v>33</v>
      </c>
      <c r="C2872" t="s">
        <v>21</v>
      </c>
      <c r="D2872" t="s">
        <v>22</v>
      </c>
      <c r="E2872">
        <v>45</v>
      </c>
      <c r="F2872">
        <f t="shared" si="47"/>
        <v>7</v>
      </c>
    </row>
    <row r="2873" spans="1:6">
      <c r="A2873" s="83">
        <v>43405</v>
      </c>
      <c r="B2873" t="s">
        <v>33</v>
      </c>
      <c r="C2873" t="s">
        <v>24</v>
      </c>
      <c r="D2873" t="s">
        <v>22</v>
      </c>
      <c r="E2873">
        <v>79</v>
      </c>
      <c r="F2873">
        <f t="shared" si="47"/>
        <v>7</v>
      </c>
    </row>
    <row r="2874" spans="1:6">
      <c r="A2874" s="83">
        <v>43405</v>
      </c>
      <c r="B2874" t="s">
        <v>33</v>
      </c>
      <c r="C2874" t="s">
        <v>24</v>
      </c>
      <c r="D2874" t="s">
        <v>26</v>
      </c>
      <c r="E2874">
        <v>90</v>
      </c>
      <c r="F2874">
        <f t="shared" si="47"/>
        <v>5</v>
      </c>
    </row>
    <row r="2875" spans="1:6">
      <c r="A2875" s="83">
        <v>43435</v>
      </c>
      <c r="B2875" t="s">
        <v>33</v>
      </c>
      <c r="C2875" t="s">
        <v>21</v>
      </c>
      <c r="D2875" t="s">
        <v>26</v>
      </c>
      <c r="E2875">
        <v>98</v>
      </c>
      <c r="F2875">
        <f t="shared" si="47"/>
        <v>5</v>
      </c>
    </row>
    <row r="2876" spans="1:6">
      <c r="A2876" s="83">
        <v>43435</v>
      </c>
      <c r="B2876" t="s">
        <v>33</v>
      </c>
      <c r="C2876" t="s">
        <v>21</v>
      </c>
      <c r="D2876" t="s">
        <v>26</v>
      </c>
      <c r="E2876">
        <v>50</v>
      </c>
      <c r="F2876">
        <f t="shared" si="47"/>
        <v>5</v>
      </c>
    </row>
    <row r="2877" spans="1:6">
      <c r="A2877" s="83">
        <v>43435</v>
      </c>
      <c r="B2877" t="s">
        <v>33</v>
      </c>
      <c r="C2877" t="s">
        <v>24</v>
      </c>
      <c r="D2877" t="s">
        <v>26</v>
      </c>
      <c r="E2877">
        <v>70</v>
      </c>
      <c r="F2877">
        <f t="shared" si="47"/>
        <v>5</v>
      </c>
    </row>
    <row r="2878" spans="1:6">
      <c r="A2878" s="83">
        <v>43435</v>
      </c>
      <c r="B2878" t="s">
        <v>33</v>
      </c>
      <c r="C2878" t="s">
        <v>24</v>
      </c>
      <c r="D2878" t="s">
        <v>23</v>
      </c>
      <c r="E2878">
        <v>79</v>
      </c>
      <c r="F2878">
        <f t="shared" si="47"/>
        <v>3</v>
      </c>
    </row>
    <row r="2879" spans="1:6">
      <c r="A2879" s="83">
        <v>43466</v>
      </c>
      <c r="B2879" t="s">
        <v>33</v>
      </c>
      <c r="C2879" t="s">
        <v>21</v>
      </c>
      <c r="D2879" t="s">
        <v>26</v>
      </c>
      <c r="E2879">
        <v>105</v>
      </c>
      <c r="F2879">
        <f t="shared" si="47"/>
        <v>5</v>
      </c>
    </row>
    <row r="2880" spans="1:6">
      <c r="A2880" s="83">
        <v>43466</v>
      </c>
      <c r="B2880" t="s">
        <v>33</v>
      </c>
      <c r="C2880" t="s">
        <v>21</v>
      </c>
      <c r="D2880" t="s">
        <v>26</v>
      </c>
      <c r="E2880">
        <v>63</v>
      </c>
      <c r="F2880">
        <f t="shared" si="47"/>
        <v>5</v>
      </c>
    </row>
    <row r="2881" spans="1:6">
      <c r="A2881" s="83">
        <v>43466</v>
      </c>
      <c r="B2881" t="s">
        <v>33</v>
      </c>
      <c r="C2881" t="s">
        <v>24</v>
      </c>
      <c r="D2881" t="s">
        <v>23</v>
      </c>
      <c r="E2881">
        <v>79</v>
      </c>
      <c r="F2881">
        <f t="shared" si="47"/>
        <v>3</v>
      </c>
    </row>
    <row r="2882" spans="1:6">
      <c r="A2882" s="83">
        <v>43466</v>
      </c>
      <c r="B2882" t="s">
        <v>33</v>
      </c>
      <c r="C2882" t="s">
        <v>24</v>
      </c>
      <c r="D2882" t="s">
        <v>22</v>
      </c>
      <c r="E2882">
        <v>90</v>
      </c>
      <c r="F2882">
        <f t="shared" si="47"/>
        <v>7</v>
      </c>
    </row>
    <row r="2883" spans="1:6">
      <c r="A2883" s="83">
        <v>43497</v>
      </c>
      <c r="B2883" t="s">
        <v>33</v>
      </c>
      <c r="C2883" t="s">
        <v>21</v>
      </c>
      <c r="D2883" t="s">
        <v>26</v>
      </c>
      <c r="E2883">
        <v>123</v>
      </c>
      <c r="F2883">
        <f t="shared" ref="F2883:F2946" si="48">LEN(D2883)</f>
        <v>5</v>
      </c>
    </row>
    <row r="2884" spans="1:6">
      <c r="A2884" s="83">
        <v>43497</v>
      </c>
      <c r="B2884" t="s">
        <v>33</v>
      </c>
      <c r="C2884" t="s">
        <v>21</v>
      </c>
      <c r="D2884" t="s">
        <v>26</v>
      </c>
      <c r="E2884">
        <v>63</v>
      </c>
      <c r="F2884">
        <f t="shared" si="48"/>
        <v>5</v>
      </c>
    </row>
    <row r="2885" spans="1:6">
      <c r="A2885" s="83">
        <v>43497</v>
      </c>
      <c r="B2885" t="s">
        <v>33</v>
      </c>
      <c r="C2885" t="s">
        <v>24</v>
      </c>
      <c r="D2885" t="s">
        <v>22</v>
      </c>
      <c r="E2885">
        <v>96</v>
      </c>
      <c r="F2885">
        <f t="shared" si="48"/>
        <v>7</v>
      </c>
    </row>
    <row r="2886" spans="1:6">
      <c r="A2886" s="83">
        <v>43497</v>
      </c>
      <c r="B2886" t="s">
        <v>33</v>
      </c>
      <c r="C2886" t="s">
        <v>24</v>
      </c>
      <c r="D2886" t="s">
        <v>22</v>
      </c>
      <c r="E2886">
        <v>124</v>
      </c>
      <c r="F2886">
        <f t="shared" si="48"/>
        <v>7</v>
      </c>
    </row>
    <row r="2887" spans="1:6">
      <c r="A2887" s="83">
        <v>43525</v>
      </c>
      <c r="B2887" t="s">
        <v>33</v>
      </c>
      <c r="C2887" t="s">
        <v>21</v>
      </c>
      <c r="D2887" t="s">
        <v>26</v>
      </c>
      <c r="E2887">
        <v>112</v>
      </c>
      <c r="F2887">
        <f t="shared" si="48"/>
        <v>5</v>
      </c>
    </row>
    <row r="2888" spans="1:6">
      <c r="A2888" s="83">
        <v>43525</v>
      </c>
      <c r="B2888" t="s">
        <v>33</v>
      </c>
      <c r="C2888" t="s">
        <v>21</v>
      </c>
      <c r="D2888" t="s">
        <v>22</v>
      </c>
      <c r="E2888">
        <v>50</v>
      </c>
      <c r="F2888">
        <f t="shared" si="48"/>
        <v>7</v>
      </c>
    </row>
    <row r="2889" spans="1:6">
      <c r="A2889" s="83">
        <v>43525</v>
      </c>
      <c r="B2889" t="s">
        <v>33</v>
      </c>
      <c r="C2889" t="s">
        <v>24</v>
      </c>
      <c r="D2889" t="s">
        <v>26</v>
      </c>
      <c r="E2889">
        <v>79</v>
      </c>
      <c r="F2889">
        <f t="shared" si="48"/>
        <v>5</v>
      </c>
    </row>
    <row r="2890" spans="1:6">
      <c r="A2890" s="83">
        <v>43525</v>
      </c>
      <c r="B2890" t="s">
        <v>33</v>
      </c>
      <c r="C2890" t="s">
        <v>24</v>
      </c>
      <c r="D2890" t="s">
        <v>23</v>
      </c>
      <c r="E2890">
        <v>124</v>
      </c>
      <c r="F2890">
        <f t="shared" si="48"/>
        <v>3</v>
      </c>
    </row>
    <row r="2891" spans="1:6">
      <c r="A2891" s="83">
        <v>43556</v>
      </c>
      <c r="B2891" t="s">
        <v>33</v>
      </c>
      <c r="C2891" t="s">
        <v>21</v>
      </c>
      <c r="D2891" t="s">
        <v>22</v>
      </c>
      <c r="E2891">
        <v>119</v>
      </c>
      <c r="F2891">
        <f t="shared" si="48"/>
        <v>7</v>
      </c>
    </row>
    <row r="2892" spans="1:6">
      <c r="A2892" s="83">
        <v>43556</v>
      </c>
      <c r="B2892" t="s">
        <v>33</v>
      </c>
      <c r="C2892" t="s">
        <v>21</v>
      </c>
      <c r="D2892" t="s">
        <v>26</v>
      </c>
      <c r="E2892">
        <v>50</v>
      </c>
      <c r="F2892">
        <f t="shared" si="48"/>
        <v>5</v>
      </c>
    </row>
    <row r="2893" spans="1:6">
      <c r="A2893" s="83">
        <v>43556</v>
      </c>
      <c r="B2893" t="s">
        <v>33</v>
      </c>
      <c r="C2893" t="s">
        <v>24</v>
      </c>
      <c r="D2893" t="s">
        <v>26</v>
      </c>
      <c r="E2893">
        <v>88</v>
      </c>
      <c r="F2893">
        <f t="shared" si="48"/>
        <v>5</v>
      </c>
    </row>
    <row r="2894" spans="1:6">
      <c r="A2894" s="83">
        <v>43556</v>
      </c>
      <c r="B2894" t="s">
        <v>33</v>
      </c>
      <c r="C2894" t="s">
        <v>24</v>
      </c>
      <c r="D2894" t="s">
        <v>23</v>
      </c>
      <c r="E2894">
        <v>135</v>
      </c>
      <c r="F2894">
        <f t="shared" si="48"/>
        <v>3</v>
      </c>
    </row>
    <row r="2895" spans="1:6">
      <c r="A2895" s="83">
        <v>43586</v>
      </c>
      <c r="B2895" t="s">
        <v>33</v>
      </c>
      <c r="C2895" t="s">
        <v>21</v>
      </c>
      <c r="D2895" t="s">
        <v>26</v>
      </c>
      <c r="E2895">
        <v>105</v>
      </c>
      <c r="F2895">
        <f t="shared" si="48"/>
        <v>5</v>
      </c>
    </row>
    <row r="2896" spans="1:6">
      <c r="A2896" s="83">
        <v>43586</v>
      </c>
      <c r="B2896" t="s">
        <v>33</v>
      </c>
      <c r="C2896" t="s">
        <v>21</v>
      </c>
      <c r="D2896" t="s">
        <v>23</v>
      </c>
      <c r="E2896">
        <v>63</v>
      </c>
      <c r="F2896">
        <f t="shared" si="48"/>
        <v>3</v>
      </c>
    </row>
    <row r="2897" spans="1:6">
      <c r="A2897" s="83">
        <v>43586</v>
      </c>
      <c r="B2897" t="s">
        <v>33</v>
      </c>
      <c r="C2897" t="s">
        <v>24</v>
      </c>
      <c r="D2897" t="s">
        <v>26</v>
      </c>
      <c r="E2897">
        <v>79</v>
      </c>
      <c r="F2897">
        <f t="shared" si="48"/>
        <v>5</v>
      </c>
    </row>
    <row r="2898" spans="1:6">
      <c r="A2898" s="83">
        <v>43586</v>
      </c>
      <c r="B2898" t="s">
        <v>33</v>
      </c>
      <c r="C2898" t="s">
        <v>24</v>
      </c>
      <c r="D2898" t="s">
        <v>23</v>
      </c>
      <c r="E2898">
        <v>146</v>
      </c>
      <c r="F2898">
        <f t="shared" si="48"/>
        <v>3</v>
      </c>
    </row>
    <row r="2899" spans="1:6">
      <c r="A2899" s="83">
        <v>43617</v>
      </c>
      <c r="B2899" t="s">
        <v>33</v>
      </c>
      <c r="C2899" t="s">
        <v>21</v>
      </c>
      <c r="D2899" t="s">
        <v>23</v>
      </c>
      <c r="E2899">
        <v>95</v>
      </c>
      <c r="F2899">
        <f t="shared" si="48"/>
        <v>3</v>
      </c>
    </row>
    <row r="2900" spans="1:6">
      <c r="A2900" s="83">
        <v>43617</v>
      </c>
      <c r="B2900" t="s">
        <v>33</v>
      </c>
      <c r="C2900" t="s">
        <v>21</v>
      </c>
      <c r="D2900" t="s">
        <v>22</v>
      </c>
      <c r="E2900">
        <v>68</v>
      </c>
      <c r="F2900">
        <f t="shared" si="48"/>
        <v>7</v>
      </c>
    </row>
    <row r="2901" spans="1:6">
      <c r="A2901" s="83">
        <v>43617</v>
      </c>
      <c r="B2901" t="s">
        <v>33</v>
      </c>
      <c r="C2901" t="s">
        <v>24</v>
      </c>
      <c r="D2901" t="s">
        <v>26</v>
      </c>
      <c r="E2901">
        <v>70</v>
      </c>
      <c r="F2901">
        <f t="shared" si="48"/>
        <v>5</v>
      </c>
    </row>
    <row r="2902" spans="1:6">
      <c r="A2902" s="83">
        <v>43617</v>
      </c>
      <c r="B2902" t="s">
        <v>33</v>
      </c>
      <c r="C2902" t="s">
        <v>24</v>
      </c>
      <c r="D2902" t="s">
        <v>23</v>
      </c>
      <c r="E2902">
        <v>124</v>
      </c>
      <c r="F2902">
        <f t="shared" si="48"/>
        <v>3</v>
      </c>
    </row>
    <row r="2903" spans="1:6">
      <c r="A2903" s="83">
        <v>43647</v>
      </c>
      <c r="B2903" t="s">
        <v>33</v>
      </c>
      <c r="C2903" t="s">
        <v>21</v>
      </c>
      <c r="D2903" t="s">
        <v>23</v>
      </c>
      <c r="E2903">
        <v>102</v>
      </c>
      <c r="F2903">
        <f t="shared" si="48"/>
        <v>3</v>
      </c>
    </row>
    <row r="2904" spans="1:6">
      <c r="A2904" s="83">
        <v>43647</v>
      </c>
      <c r="B2904" t="s">
        <v>33</v>
      </c>
      <c r="C2904" t="s">
        <v>21</v>
      </c>
      <c r="D2904" t="s">
        <v>22</v>
      </c>
      <c r="E2904">
        <v>108</v>
      </c>
      <c r="F2904">
        <f t="shared" si="48"/>
        <v>7</v>
      </c>
    </row>
    <row r="2905" spans="1:6">
      <c r="A2905" s="83">
        <v>43647</v>
      </c>
      <c r="B2905" t="s">
        <v>33</v>
      </c>
      <c r="C2905" t="s">
        <v>24</v>
      </c>
      <c r="D2905" t="s">
        <v>26</v>
      </c>
      <c r="E2905">
        <v>79</v>
      </c>
      <c r="F2905">
        <f t="shared" si="48"/>
        <v>5</v>
      </c>
    </row>
    <row r="2906" spans="1:6">
      <c r="A2906" s="83">
        <v>43647</v>
      </c>
      <c r="B2906" t="s">
        <v>33</v>
      </c>
      <c r="C2906" t="s">
        <v>24</v>
      </c>
      <c r="D2906" t="s">
        <v>26</v>
      </c>
      <c r="E2906">
        <v>135</v>
      </c>
      <c r="F2906">
        <f t="shared" si="48"/>
        <v>5</v>
      </c>
    </row>
    <row r="2907" spans="1:6">
      <c r="A2907" s="83">
        <v>43678</v>
      </c>
      <c r="B2907" t="s">
        <v>33</v>
      </c>
      <c r="C2907" t="s">
        <v>21</v>
      </c>
      <c r="D2907" t="s">
        <v>26</v>
      </c>
      <c r="E2907">
        <v>112</v>
      </c>
      <c r="F2907">
        <f t="shared" si="48"/>
        <v>5</v>
      </c>
    </row>
    <row r="2908" spans="1:6">
      <c r="A2908" s="83">
        <v>43678</v>
      </c>
      <c r="B2908" t="s">
        <v>33</v>
      </c>
      <c r="C2908" t="s">
        <v>21</v>
      </c>
      <c r="D2908" t="s">
        <v>22</v>
      </c>
      <c r="E2908">
        <v>104</v>
      </c>
      <c r="F2908">
        <f t="shared" si="48"/>
        <v>7</v>
      </c>
    </row>
    <row r="2909" spans="1:6">
      <c r="A2909" s="83">
        <v>43678</v>
      </c>
      <c r="B2909" t="s">
        <v>33</v>
      </c>
      <c r="C2909" t="s">
        <v>24</v>
      </c>
      <c r="D2909" t="s">
        <v>23</v>
      </c>
      <c r="E2909">
        <v>70</v>
      </c>
      <c r="F2909">
        <f t="shared" si="48"/>
        <v>3</v>
      </c>
    </row>
    <row r="2910" spans="1:6">
      <c r="A2910" s="83">
        <v>43678</v>
      </c>
      <c r="B2910" t="s">
        <v>33</v>
      </c>
      <c r="C2910" t="s">
        <v>24</v>
      </c>
      <c r="D2910" t="s">
        <v>26</v>
      </c>
      <c r="E2910">
        <v>146</v>
      </c>
      <c r="F2910">
        <f t="shared" si="48"/>
        <v>5</v>
      </c>
    </row>
    <row r="2911" spans="1:6">
      <c r="A2911" s="83">
        <v>43709</v>
      </c>
      <c r="B2911" t="s">
        <v>33</v>
      </c>
      <c r="C2911" t="s">
        <v>21</v>
      </c>
      <c r="D2911" t="s">
        <v>22</v>
      </c>
      <c r="E2911">
        <v>123</v>
      </c>
      <c r="F2911">
        <f t="shared" si="48"/>
        <v>7</v>
      </c>
    </row>
    <row r="2912" spans="1:6">
      <c r="A2912" s="83">
        <v>43709</v>
      </c>
      <c r="B2912" t="s">
        <v>33</v>
      </c>
      <c r="C2912" t="s">
        <v>21</v>
      </c>
      <c r="D2912" t="s">
        <v>22</v>
      </c>
      <c r="E2912">
        <v>140</v>
      </c>
      <c r="F2912">
        <f t="shared" si="48"/>
        <v>7</v>
      </c>
    </row>
    <row r="2913" spans="1:6">
      <c r="A2913" s="83">
        <v>43709</v>
      </c>
      <c r="B2913" t="s">
        <v>33</v>
      </c>
      <c r="C2913" t="s">
        <v>24</v>
      </c>
      <c r="D2913" t="s">
        <v>23</v>
      </c>
      <c r="E2913">
        <v>79</v>
      </c>
      <c r="F2913">
        <f t="shared" si="48"/>
        <v>3</v>
      </c>
    </row>
    <row r="2914" spans="1:6">
      <c r="A2914" s="83">
        <v>43709</v>
      </c>
      <c r="B2914" t="s">
        <v>33</v>
      </c>
      <c r="C2914" t="s">
        <v>24</v>
      </c>
      <c r="D2914" t="s">
        <v>22</v>
      </c>
      <c r="E2914">
        <v>225</v>
      </c>
      <c r="F2914">
        <f t="shared" si="48"/>
        <v>7</v>
      </c>
    </row>
    <row r="2915" spans="1:6">
      <c r="A2915" s="83">
        <v>43739</v>
      </c>
      <c r="B2915" t="s">
        <v>33</v>
      </c>
      <c r="C2915" t="s">
        <v>21</v>
      </c>
      <c r="D2915" t="s">
        <v>26</v>
      </c>
      <c r="E2915">
        <v>123</v>
      </c>
      <c r="F2915">
        <f t="shared" si="48"/>
        <v>5</v>
      </c>
    </row>
    <row r="2916" spans="1:6">
      <c r="A2916" s="83">
        <v>43739</v>
      </c>
      <c r="B2916" t="s">
        <v>33</v>
      </c>
      <c r="C2916" t="s">
        <v>21</v>
      </c>
      <c r="D2916" t="s">
        <v>23</v>
      </c>
      <c r="E2916">
        <v>185</v>
      </c>
      <c r="F2916">
        <f t="shared" si="48"/>
        <v>3</v>
      </c>
    </row>
    <row r="2917" spans="1:6">
      <c r="A2917" s="83">
        <v>43739</v>
      </c>
      <c r="B2917" t="s">
        <v>33</v>
      </c>
      <c r="C2917" t="s">
        <v>24</v>
      </c>
      <c r="D2917" t="s">
        <v>26</v>
      </c>
      <c r="E2917">
        <v>61</v>
      </c>
      <c r="F2917">
        <f t="shared" si="48"/>
        <v>5</v>
      </c>
    </row>
    <row r="2918" spans="1:6">
      <c r="A2918" s="83">
        <v>43739</v>
      </c>
      <c r="B2918" t="s">
        <v>33</v>
      </c>
      <c r="C2918" t="s">
        <v>24</v>
      </c>
      <c r="D2918" t="s">
        <v>23</v>
      </c>
      <c r="E2918">
        <v>158</v>
      </c>
      <c r="F2918">
        <f t="shared" si="48"/>
        <v>3</v>
      </c>
    </row>
    <row r="2919" spans="1:6">
      <c r="A2919" s="83">
        <v>43770</v>
      </c>
      <c r="B2919" t="s">
        <v>33</v>
      </c>
      <c r="C2919" t="s">
        <v>21</v>
      </c>
      <c r="D2919" t="s">
        <v>22</v>
      </c>
      <c r="E2919">
        <v>137</v>
      </c>
      <c r="F2919">
        <f t="shared" si="48"/>
        <v>7</v>
      </c>
    </row>
    <row r="2920" spans="1:6">
      <c r="A2920" s="83">
        <v>43770</v>
      </c>
      <c r="B2920" t="s">
        <v>33</v>
      </c>
      <c r="C2920" t="s">
        <v>21</v>
      </c>
      <c r="D2920" t="s">
        <v>22</v>
      </c>
      <c r="E2920">
        <v>302</v>
      </c>
      <c r="F2920">
        <f t="shared" si="48"/>
        <v>7</v>
      </c>
    </row>
    <row r="2921" spans="1:6">
      <c r="A2921" s="83">
        <v>43770</v>
      </c>
      <c r="B2921" t="s">
        <v>33</v>
      </c>
      <c r="C2921" t="s">
        <v>24</v>
      </c>
      <c r="D2921" t="s">
        <v>26</v>
      </c>
      <c r="E2921">
        <v>70</v>
      </c>
      <c r="F2921">
        <f t="shared" si="48"/>
        <v>5</v>
      </c>
    </row>
    <row r="2922" spans="1:6">
      <c r="A2922" s="83">
        <v>43770</v>
      </c>
      <c r="B2922" t="s">
        <v>33</v>
      </c>
      <c r="C2922" t="s">
        <v>24</v>
      </c>
      <c r="D2922" t="s">
        <v>23</v>
      </c>
      <c r="E2922">
        <v>236</v>
      </c>
      <c r="F2922">
        <f t="shared" si="48"/>
        <v>3</v>
      </c>
    </row>
    <row r="2923" spans="1:6">
      <c r="A2923" s="83">
        <v>43800</v>
      </c>
      <c r="B2923" t="s">
        <v>33</v>
      </c>
      <c r="C2923" t="s">
        <v>21</v>
      </c>
      <c r="D2923" t="s">
        <v>23</v>
      </c>
      <c r="E2923">
        <v>175</v>
      </c>
      <c r="F2923">
        <f t="shared" si="48"/>
        <v>3</v>
      </c>
    </row>
    <row r="2924" spans="1:6">
      <c r="A2924" s="83">
        <v>43800</v>
      </c>
      <c r="B2924" t="s">
        <v>33</v>
      </c>
      <c r="C2924" t="s">
        <v>21</v>
      </c>
      <c r="D2924" t="s">
        <v>22</v>
      </c>
      <c r="E2924">
        <v>410</v>
      </c>
      <c r="F2924">
        <f t="shared" si="48"/>
        <v>7</v>
      </c>
    </row>
    <row r="2925" spans="1:6">
      <c r="A2925" s="83">
        <v>43800</v>
      </c>
      <c r="B2925" t="s">
        <v>33</v>
      </c>
      <c r="C2925" t="s">
        <v>24</v>
      </c>
      <c r="D2925" t="s">
        <v>22</v>
      </c>
      <c r="E2925">
        <v>53</v>
      </c>
      <c r="F2925">
        <f t="shared" si="48"/>
        <v>7</v>
      </c>
    </row>
    <row r="2926" spans="1:6">
      <c r="A2926" s="83">
        <v>43800</v>
      </c>
      <c r="B2926" t="s">
        <v>33</v>
      </c>
      <c r="C2926" t="s">
        <v>24</v>
      </c>
      <c r="D2926" t="s">
        <v>26</v>
      </c>
      <c r="E2926">
        <v>326</v>
      </c>
      <c r="F2926">
        <f t="shared" si="48"/>
        <v>5</v>
      </c>
    </row>
    <row r="2927" spans="1:6">
      <c r="A2927" s="83">
        <v>43191</v>
      </c>
      <c r="B2927" t="s">
        <v>33</v>
      </c>
      <c r="C2927" t="s">
        <v>24</v>
      </c>
      <c r="D2927" t="s">
        <v>26</v>
      </c>
      <c r="E2927">
        <v>88</v>
      </c>
      <c r="F2927">
        <f t="shared" si="48"/>
        <v>5</v>
      </c>
    </row>
    <row r="2928" spans="1:6">
      <c r="A2928" s="83">
        <v>43191</v>
      </c>
      <c r="B2928" t="s">
        <v>33</v>
      </c>
      <c r="C2928" t="s">
        <v>24</v>
      </c>
      <c r="D2928" t="s">
        <v>22</v>
      </c>
      <c r="E2928">
        <v>124</v>
      </c>
      <c r="F2928">
        <f t="shared" si="48"/>
        <v>7</v>
      </c>
    </row>
    <row r="2929" spans="1:6">
      <c r="A2929" s="83">
        <v>43221</v>
      </c>
      <c r="B2929" t="s">
        <v>33</v>
      </c>
      <c r="C2929" t="s">
        <v>24</v>
      </c>
      <c r="D2929" t="s">
        <v>26</v>
      </c>
      <c r="E2929">
        <v>88</v>
      </c>
      <c r="F2929">
        <f t="shared" si="48"/>
        <v>5</v>
      </c>
    </row>
    <row r="2930" spans="1:6">
      <c r="A2930" s="83">
        <v>43221</v>
      </c>
      <c r="B2930" t="s">
        <v>33</v>
      </c>
      <c r="C2930" t="s">
        <v>24</v>
      </c>
      <c r="D2930" t="s">
        <v>22</v>
      </c>
      <c r="E2930">
        <v>124</v>
      </c>
      <c r="F2930">
        <f t="shared" si="48"/>
        <v>7</v>
      </c>
    </row>
    <row r="2931" spans="1:6">
      <c r="A2931" s="83">
        <v>43252</v>
      </c>
      <c r="B2931" t="s">
        <v>33</v>
      </c>
      <c r="C2931" t="s">
        <v>24</v>
      </c>
      <c r="D2931" t="s">
        <v>22</v>
      </c>
      <c r="E2931">
        <v>96</v>
      </c>
      <c r="F2931">
        <f t="shared" si="48"/>
        <v>7</v>
      </c>
    </row>
    <row r="2932" spans="1:6">
      <c r="A2932" s="83">
        <v>43252</v>
      </c>
      <c r="B2932" t="s">
        <v>33</v>
      </c>
      <c r="C2932" t="s">
        <v>24</v>
      </c>
      <c r="D2932" t="s">
        <v>23</v>
      </c>
      <c r="E2932">
        <v>135</v>
      </c>
      <c r="F2932">
        <f t="shared" si="48"/>
        <v>3</v>
      </c>
    </row>
    <row r="2933" spans="1:6">
      <c r="A2933" s="83">
        <v>43282</v>
      </c>
      <c r="B2933" t="s">
        <v>33</v>
      </c>
      <c r="C2933" t="s">
        <v>21</v>
      </c>
      <c r="D2933" t="s">
        <v>22</v>
      </c>
      <c r="E2933">
        <v>53</v>
      </c>
      <c r="F2933">
        <f t="shared" si="48"/>
        <v>7</v>
      </c>
    </row>
    <row r="2934" spans="1:6">
      <c r="A2934" s="83">
        <v>43282</v>
      </c>
      <c r="B2934" t="s">
        <v>33</v>
      </c>
      <c r="C2934" t="s">
        <v>21</v>
      </c>
      <c r="D2934" t="s">
        <v>23</v>
      </c>
      <c r="E2934">
        <v>86</v>
      </c>
      <c r="F2934">
        <f t="shared" si="48"/>
        <v>3</v>
      </c>
    </row>
    <row r="2935" spans="1:6">
      <c r="A2935" s="83">
        <v>43282</v>
      </c>
      <c r="B2935" t="s">
        <v>33</v>
      </c>
      <c r="C2935" t="s">
        <v>24</v>
      </c>
      <c r="D2935" t="s">
        <v>26</v>
      </c>
      <c r="E2935">
        <v>96</v>
      </c>
      <c r="F2935">
        <f t="shared" si="48"/>
        <v>5</v>
      </c>
    </row>
    <row r="2936" spans="1:6">
      <c r="A2936" s="83">
        <v>43282</v>
      </c>
      <c r="B2936" t="s">
        <v>33</v>
      </c>
      <c r="C2936" t="s">
        <v>24</v>
      </c>
      <c r="D2936" t="s">
        <v>22</v>
      </c>
      <c r="E2936">
        <v>124</v>
      </c>
      <c r="F2936">
        <f t="shared" si="48"/>
        <v>7</v>
      </c>
    </row>
    <row r="2937" spans="1:6">
      <c r="A2937" s="83">
        <v>43313</v>
      </c>
      <c r="B2937" t="s">
        <v>33</v>
      </c>
      <c r="C2937" t="s">
        <v>21</v>
      </c>
      <c r="D2937" t="s">
        <v>26</v>
      </c>
      <c r="E2937">
        <v>53</v>
      </c>
      <c r="F2937">
        <f t="shared" si="48"/>
        <v>5</v>
      </c>
    </row>
    <row r="2938" spans="1:6">
      <c r="A2938" s="83">
        <v>43313</v>
      </c>
      <c r="B2938" t="s">
        <v>33</v>
      </c>
      <c r="C2938" t="s">
        <v>21</v>
      </c>
      <c r="D2938" t="s">
        <v>22</v>
      </c>
      <c r="E2938">
        <v>86</v>
      </c>
      <c r="F2938">
        <f t="shared" si="48"/>
        <v>7</v>
      </c>
    </row>
    <row r="2939" spans="1:6">
      <c r="A2939" s="83">
        <v>43313</v>
      </c>
      <c r="B2939" t="s">
        <v>33</v>
      </c>
      <c r="C2939" t="s">
        <v>24</v>
      </c>
      <c r="D2939" t="s">
        <v>22</v>
      </c>
      <c r="E2939">
        <v>96</v>
      </c>
      <c r="F2939">
        <f t="shared" si="48"/>
        <v>7</v>
      </c>
    </row>
    <row r="2940" spans="1:6">
      <c r="A2940" s="83">
        <v>43313</v>
      </c>
      <c r="B2940" t="s">
        <v>33</v>
      </c>
      <c r="C2940" t="s">
        <v>24</v>
      </c>
      <c r="D2940" t="s">
        <v>26</v>
      </c>
      <c r="E2940">
        <v>113</v>
      </c>
      <c r="F2940">
        <f t="shared" si="48"/>
        <v>5</v>
      </c>
    </row>
    <row r="2941" spans="1:6">
      <c r="A2941" s="83">
        <v>43344</v>
      </c>
      <c r="B2941" t="s">
        <v>33</v>
      </c>
      <c r="C2941" t="s">
        <v>21</v>
      </c>
      <c r="D2941" t="s">
        <v>22</v>
      </c>
      <c r="E2941">
        <v>49</v>
      </c>
      <c r="F2941">
        <f t="shared" si="48"/>
        <v>7</v>
      </c>
    </row>
    <row r="2942" spans="1:6">
      <c r="A2942" s="83">
        <v>43344</v>
      </c>
      <c r="B2942" t="s">
        <v>33</v>
      </c>
      <c r="C2942" t="s">
        <v>21</v>
      </c>
      <c r="D2942" t="s">
        <v>26</v>
      </c>
      <c r="E2942">
        <v>72</v>
      </c>
      <c r="F2942">
        <f t="shared" si="48"/>
        <v>5</v>
      </c>
    </row>
    <row r="2943" spans="1:6">
      <c r="A2943" s="83">
        <v>43344</v>
      </c>
      <c r="B2943" t="s">
        <v>33</v>
      </c>
      <c r="C2943" t="s">
        <v>24</v>
      </c>
      <c r="D2943" t="s">
        <v>26</v>
      </c>
      <c r="E2943">
        <v>114</v>
      </c>
      <c r="F2943">
        <f t="shared" si="48"/>
        <v>5</v>
      </c>
    </row>
    <row r="2944" spans="1:6">
      <c r="A2944" s="83">
        <v>43344</v>
      </c>
      <c r="B2944" t="s">
        <v>33</v>
      </c>
      <c r="C2944" t="s">
        <v>24</v>
      </c>
      <c r="D2944" t="s">
        <v>22</v>
      </c>
      <c r="E2944">
        <v>113</v>
      </c>
      <c r="F2944">
        <f t="shared" si="48"/>
        <v>7</v>
      </c>
    </row>
    <row r="2945" spans="1:6">
      <c r="A2945" s="83">
        <v>43374</v>
      </c>
      <c r="B2945" t="s">
        <v>33</v>
      </c>
      <c r="C2945" t="s">
        <v>21</v>
      </c>
      <c r="D2945" t="s">
        <v>22</v>
      </c>
      <c r="E2945">
        <v>46</v>
      </c>
      <c r="F2945">
        <f t="shared" si="48"/>
        <v>7</v>
      </c>
    </row>
    <row r="2946" spans="1:6">
      <c r="A2946" s="83">
        <v>43374</v>
      </c>
      <c r="B2946" t="s">
        <v>33</v>
      </c>
      <c r="C2946" t="s">
        <v>21</v>
      </c>
      <c r="D2946" t="s">
        <v>26</v>
      </c>
      <c r="E2946">
        <v>68</v>
      </c>
      <c r="F2946">
        <f t="shared" si="48"/>
        <v>5</v>
      </c>
    </row>
    <row r="2947" spans="1:6">
      <c r="A2947" s="83">
        <v>43374</v>
      </c>
      <c r="B2947" t="s">
        <v>33</v>
      </c>
      <c r="C2947" t="s">
        <v>24</v>
      </c>
      <c r="D2947" t="s">
        <v>22</v>
      </c>
      <c r="E2947">
        <v>123</v>
      </c>
      <c r="F2947">
        <f t="shared" ref="F2947:F3010" si="49">LEN(D2947)</f>
        <v>7</v>
      </c>
    </row>
    <row r="2948" spans="1:6">
      <c r="A2948" s="83">
        <v>43374</v>
      </c>
      <c r="B2948" t="s">
        <v>33</v>
      </c>
      <c r="C2948" t="s">
        <v>24</v>
      </c>
      <c r="D2948" t="s">
        <v>26</v>
      </c>
      <c r="E2948">
        <v>113</v>
      </c>
      <c r="F2948">
        <f t="shared" si="49"/>
        <v>5</v>
      </c>
    </row>
    <row r="2949" spans="1:6">
      <c r="A2949" s="83">
        <v>43405</v>
      </c>
      <c r="B2949" t="s">
        <v>33</v>
      </c>
      <c r="C2949" t="s">
        <v>21</v>
      </c>
      <c r="D2949" t="s">
        <v>23</v>
      </c>
      <c r="E2949">
        <v>53</v>
      </c>
      <c r="F2949">
        <f t="shared" si="49"/>
        <v>3</v>
      </c>
    </row>
    <row r="2950" spans="1:6">
      <c r="A2950" s="83">
        <v>43405</v>
      </c>
      <c r="B2950" t="s">
        <v>33</v>
      </c>
      <c r="C2950" t="s">
        <v>21</v>
      </c>
      <c r="D2950" t="s">
        <v>23</v>
      </c>
      <c r="E2950">
        <v>81</v>
      </c>
      <c r="F2950">
        <f t="shared" si="49"/>
        <v>3</v>
      </c>
    </row>
    <row r="2951" spans="1:6">
      <c r="A2951" s="83">
        <v>43405</v>
      </c>
      <c r="B2951" t="s">
        <v>33</v>
      </c>
      <c r="C2951" t="s">
        <v>24</v>
      </c>
      <c r="D2951" t="s">
        <v>22</v>
      </c>
      <c r="E2951">
        <v>166</v>
      </c>
      <c r="F2951">
        <f t="shared" si="49"/>
        <v>7</v>
      </c>
    </row>
    <row r="2952" spans="1:6">
      <c r="A2952" s="83">
        <v>43405</v>
      </c>
      <c r="B2952" t="s">
        <v>33</v>
      </c>
      <c r="C2952" t="s">
        <v>24</v>
      </c>
      <c r="D2952" t="s">
        <v>23</v>
      </c>
      <c r="E2952">
        <v>113</v>
      </c>
      <c r="F2952">
        <f t="shared" si="49"/>
        <v>3</v>
      </c>
    </row>
    <row r="2953" spans="1:6">
      <c r="A2953" s="83">
        <v>43435</v>
      </c>
      <c r="B2953" t="s">
        <v>33</v>
      </c>
      <c r="C2953" t="s">
        <v>21</v>
      </c>
      <c r="D2953" t="s">
        <v>22</v>
      </c>
      <c r="E2953">
        <v>49</v>
      </c>
      <c r="F2953">
        <f t="shared" si="49"/>
        <v>7</v>
      </c>
    </row>
    <row r="2954" spans="1:6">
      <c r="A2954" s="83">
        <v>43435</v>
      </c>
      <c r="B2954" t="s">
        <v>33</v>
      </c>
      <c r="C2954" t="s">
        <v>21</v>
      </c>
      <c r="D2954" t="s">
        <v>26</v>
      </c>
      <c r="E2954">
        <v>72</v>
      </c>
      <c r="F2954">
        <f t="shared" si="49"/>
        <v>5</v>
      </c>
    </row>
    <row r="2955" spans="1:6">
      <c r="A2955" s="83">
        <v>43435</v>
      </c>
      <c r="B2955" t="s">
        <v>33</v>
      </c>
      <c r="C2955" t="s">
        <v>24</v>
      </c>
      <c r="D2955" t="s">
        <v>22</v>
      </c>
      <c r="E2955">
        <v>149</v>
      </c>
      <c r="F2955">
        <f t="shared" si="49"/>
        <v>7</v>
      </c>
    </row>
    <row r="2956" spans="1:6">
      <c r="A2956" s="83">
        <v>43435</v>
      </c>
      <c r="B2956" t="s">
        <v>33</v>
      </c>
      <c r="C2956" t="s">
        <v>24</v>
      </c>
      <c r="D2956" t="s">
        <v>26</v>
      </c>
      <c r="E2956">
        <v>113</v>
      </c>
      <c r="F2956">
        <f t="shared" si="49"/>
        <v>5</v>
      </c>
    </row>
    <row r="2957" spans="1:6">
      <c r="A2957" s="83">
        <v>43466</v>
      </c>
      <c r="B2957" t="s">
        <v>33</v>
      </c>
      <c r="C2957" t="s">
        <v>21</v>
      </c>
      <c r="D2957" t="s">
        <v>22</v>
      </c>
      <c r="E2957">
        <v>56</v>
      </c>
      <c r="F2957">
        <f t="shared" si="49"/>
        <v>7</v>
      </c>
    </row>
    <row r="2958" spans="1:6">
      <c r="A2958" s="83">
        <v>43466</v>
      </c>
      <c r="B2958" t="s">
        <v>33</v>
      </c>
      <c r="C2958" t="s">
        <v>21</v>
      </c>
      <c r="D2958" t="s">
        <v>22</v>
      </c>
      <c r="E2958">
        <v>86</v>
      </c>
      <c r="F2958">
        <f t="shared" si="49"/>
        <v>7</v>
      </c>
    </row>
    <row r="2959" spans="1:6">
      <c r="A2959" s="83">
        <v>43466</v>
      </c>
      <c r="B2959" t="s">
        <v>33</v>
      </c>
      <c r="C2959" t="s">
        <v>24</v>
      </c>
      <c r="D2959" t="s">
        <v>23</v>
      </c>
      <c r="E2959">
        <v>166</v>
      </c>
      <c r="F2959">
        <f t="shared" si="49"/>
        <v>3</v>
      </c>
    </row>
    <row r="2960" spans="1:6">
      <c r="A2960" s="83">
        <v>43466</v>
      </c>
      <c r="B2960" t="s">
        <v>33</v>
      </c>
      <c r="C2960" t="s">
        <v>24</v>
      </c>
      <c r="D2960" t="s">
        <v>26</v>
      </c>
      <c r="E2960">
        <v>135</v>
      </c>
      <c r="F2960">
        <f t="shared" si="49"/>
        <v>5</v>
      </c>
    </row>
    <row r="2961" spans="1:6">
      <c r="A2961" s="83">
        <v>43497</v>
      </c>
      <c r="B2961" t="s">
        <v>33</v>
      </c>
      <c r="C2961" t="s">
        <v>21</v>
      </c>
      <c r="D2961" t="s">
        <v>22</v>
      </c>
      <c r="E2961">
        <v>63</v>
      </c>
      <c r="F2961">
        <f t="shared" si="49"/>
        <v>7</v>
      </c>
    </row>
    <row r="2962" spans="1:6">
      <c r="A2962" s="83">
        <v>43497</v>
      </c>
      <c r="B2962" t="s">
        <v>33</v>
      </c>
      <c r="C2962" t="s">
        <v>21</v>
      </c>
      <c r="D2962" t="s">
        <v>23</v>
      </c>
      <c r="E2962">
        <v>99</v>
      </c>
      <c r="F2962">
        <f t="shared" si="49"/>
        <v>3</v>
      </c>
    </row>
    <row r="2963" spans="1:6">
      <c r="A2963" s="83">
        <v>43497</v>
      </c>
      <c r="B2963" t="s">
        <v>33</v>
      </c>
      <c r="C2963" t="s">
        <v>24</v>
      </c>
      <c r="D2963" t="s">
        <v>26</v>
      </c>
      <c r="E2963">
        <v>201</v>
      </c>
      <c r="F2963">
        <f t="shared" si="49"/>
        <v>5</v>
      </c>
    </row>
    <row r="2964" spans="1:6">
      <c r="A2964" s="83">
        <v>43497</v>
      </c>
      <c r="B2964" t="s">
        <v>33</v>
      </c>
      <c r="C2964" t="s">
        <v>24</v>
      </c>
      <c r="D2964" t="s">
        <v>26</v>
      </c>
      <c r="E2964">
        <v>169</v>
      </c>
      <c r="F2964">
        <f t="shared" si="49"/>
        <v>5</v>
      </c>
    </row>
    <row r="2965" spans="1:6">
      <c r="A2965" s="83">
        <v>43525</v>
      </c>
      <c r="B2965" t="s">
        <v>33</v>
      </c>
      <c r="C2965" t="s">
        <v>21</v>
      </c>
      <c r="D2965" t="s">
        <v>22</v>
      </c>
      <c r="E2965">
        <v>53</v>
      </c>
      <c r="F2965">
        <f t="shared" si="49"/>
        <v>7</v>
      </c>
    </row>
    <row r="2966" spans="1:6">
      <c r="A2966" s="83">
        <v>43525</v>
      </c>
      <c r="B2966" t="s">
        <v>33</v>
      </c>
      <c r="C2966" t="s">
        <v>21</v>
      </c>
      <c r="D2966" t="s">
        <v>26</v>
      </c>
      <c r="E2966">
        <v>86</v>
      </c>
      <c r="F2966">
        <f t="shared" si="49"/>
        <v>5</v>
      </c>
    </row>
    <row r="2967" spans="1:6">
      <c r="A2967" s="83">
        <v>43525</v>
      </c>
      <c r="B2967" t="s">
        <v>33</v>
      </c>
      <c r="C2967" t="s">
        <v>24</v>
      </c>
      <c r="D2967" t="s">
        <v>26</v>
      </c>
      <c r="E2967">
        <v>184</v>
      </c>
      <c r="F2967">
        <f t="shared" si="49"/>
        <v>5</v>
      </c>
    </row>
    <row r="2968" spans="1:6">
      <c r="A2968" s="83">
        <v>43525</v>
      </c>
      <c r="B2968" t="s">
        <v>33</v>
      </c>
      <c r="C2968" t="s">
        <v>24</v>
      </c>
      <c r="D2968" t="s">
        <v>22</v>
      </c>
      <c r="E2968">
        <v>135</v>
      </c>
      <c r="F2968">
        <f t="shared" si="49"/>
        <v>7</v>
      </c>
    </row>
    <row r="2969" spans="1:6">
      <c r="A2969" s="83">
        <v>43556</v>
      </c>
      <c r="B2969" t="s">
        <v>33</v>
      </c>
      <c r="C2969" t="s">
        <v>21</v>
      </c>
      <c r="D2969" t="s">
        <v>26</v>
      </c>
      <c r="E2969">
        <v>49</v>
      </c>
      <c r="F2969">
        <f t="shared" si="49"/>
        <v>5</v>
      </c>
    </row>
    <row r="2970" spans="1:6">
      <c r="A2970" s="83">
        <v>43556</v>
      </c>
      <c r="B2970" t="s">
        <v>33</v>
      </c>
      <c r="C2970" t="s">
        <v>21</v>
      </c>
      <c r="D2970" t="s">
        <v>22</v>
      </c>
      <c r="E2970">
        <v>90</v>
      </c>
      <c r="F2970">
        <f t="shared" si="49"/>
        <v>7</v>
      </c>
    </row>
    <row r="2971" spans="1:6">
      <c r="A2971" s="83">
        <v>43556</v>
      </c>
      <c r="B2971" t="s">
        <v>33</v>
      </c>
      <c r="C2971" t="s">
        <v>24</v>
      </c>
      <c r="D2971" t="s">
        <v>22</v>
      </c>
      <c r="E2971">
        <v>158</v>
      </c>
      <c r="F2971">
        <f t="shared" si="49"/>
        <v>7</v>
      </c>
    </row>
    <row r="2972" spans="1:6">
      <c r="A2972" s="83">
        <v>43556</v>
      </c>
      <c r="B2972" t="s">
        <v>33</v>
      </c>
      <c r="C2972" t="s">
        <v>24</v>
      </c>
      <c r="D2972" t="s">
        <v>22</v>
      </c>
      <c r="E2972">
        <v>135</v>
      </c>
      <c r="F2972">
        <f t="shared" si="49"/>
        <v>7</v>
      </c>
    </row>
    <row r="2973" spans="1:6">
      <c r="A2973" s="83">
        <v>43586</v>
      </c>
      <c r="B2973" t="s">
        <v>33</v>
      </c>
      <c r="C2973" t="s">
        <v>21</v>
      </c>
      <c r="D2973" t="s">
        <v>23</v>
      </c>
      <c r="E2973">
        <v>42</v>
      </c>
      <c r="F2973">
        <f t="shared" si="49"/>
        <v>3</v>
      </c>
    </row>
    <row r="2974" spans="1:6">
      <c r="A2974" s="83">
        <v>43586</v>
      </c>
      <c r="B2974" t="s">
        <v>33</v>
      </c>
      <c r="C2974" t="s">
        <v>21</v>
      </c>
      <c r="D2974" t="s">
        <v>23</v>
      </c>
      <c r="E2974">
        <v>81</v>
      </c>
      <c r="F2974">
        <f t="shared" si="49"/>
        <v>3</v>
      </c>
    </row>
    <row r="2975" spans="1:6">
      <c r="A2975" s="83">
        <v>43586</v>
      </c>
      <c r="B2975" t="s">
        <v>33</v>
      </c>
      <c r="C2975" t="s">
        <v>24</v>
      </c>
      <c r="D2975" t="s">
        <v>23</v>
      </c>
      <c r="E2975">
        <v>131</v>
      </c>
      <c r="F2975">
        <f t="shared" si="49"/>
        <v>3</v>
      </c>
    </row>
    <row r="2976" spans="1:6">
      <c r="A2976" s="83">
        <v>43586</v>
      </c>
      <c r="B2976" t="s">
        <v>33</v>
      </c>
      <c r="C2976" t="s">
        <v>24</v>
      </c>
      <c r="D2976" t="s">
        <v>23</v>
      </c>
      <c r="E2976">
        <v>124</v>
      </c>
      <c r="F2976">
        <f t="shared" si="49"/>
        <v>3</v>
      </c>
    </row>
    <row r="2977" spans="1:6">
      <c r="A2977" s="83">
        <v>43617</v>
      </c>
      <c r="B2977" t="s">
        <v>33</v>
      </c>
      <c r="C2977" t="s">
        <v>21</v>
      </c>
      <c r="D2977" t="s">
        <v>26</v>
      </c>
      <c r="E2977">
        <v>39</v>
      </c>
      <c r="F2977">
        <f t="shared" si="49"/>
        <v>5</v>
      </c>
    </row>
    <row r="2978" spans="1:6">
      <c r="A2978" s="83">
        <v>43617</v>
      </c>
      <c r="B2978" t="s">
        <v>33</v>
      </c>
      <c r="C2978" t="s">
        <v>21</v>
      </c>
      <c r="D2978" t="s">
        <v>26</v>
      </c>
      <c r="E2978">
        <v>77</v>
      </c>
      <c r="F2978">
        <f t="shared" si="49"/>
        <v>5</v>
      </c>
    </row>
    <row r="2979" spans="1:6">
      <c r="A2979" s="83">
        <v>43617</v>
      </c>
      <c r="B2979" t="s">
        <v>33</v>
      </c>
      <c r="C2979" t="s">
        <v>24</v>
      </c>
      <c r="D2979" t="s">
        <v>26</v>
      </c>
      <c r="E2979">
        <v>105</v>
      </c>
      <c r="F2979">
        <f t="shared" si="49"/>
        <v>5</v>
      </c>
    </row>
    <row r="2980" spans="1:6">
      <c r="A2980" s="83">
        <v>43617</v>
      </c>
      <c r="B2980" t="s">
        <v>33</v>
      </c>
      <c r="C2980" t="s">
        <v>24</v>
      </c>
      <c r="D2980" t="s">
        <v>26</v>
      </c>
      <c r="E2980">
        <v>113</v>
      </c>
      <c r="F2980">
        <f t="shared" si="49"/>
        <v>5</v>
      </c>
    </row>
    <row r="2981" spans="1:6">
      <c r="A2981" s="83">
        <v>43647</v>
      </c>
      <c r="B2981" t="s">
        <v>33</v>
      </c>
      <c r="C2981" t="s">
        <v>21</v>
      </c>
      <c r="D2981" t="s">
        <v>26</v>
      </c>
      <c r="E2981">
        <v>42</v>
      </c>
      <c r="F2981">
        <f t="shared" si="49"/>
        <v>5</v>
      </c>
    </row>
    <row r="2982" spans="1:6">
      <c r="A2982" s="83">
        <v>43647</v>
      </c>
      <c r="B2982" t="s">
        <v>33</v>
      </c>
      <c r="C2982" t="s">
        <v>21</v>
      </c>
      <c r="D2982" t="s">
        <v>26</v>
      </c>
      <c r="E2982">
        <v>99</v>
      </c>
      <c r="F2982">
        <f t="shared" si="49"/>
        <v>5</v>
      </c>
    </row>
    <row r="2983" spans="1:6">
      <c r="A2983" s="83">
        <v>43647</v>
      </c>
      <c r="B2983" t="s">
        <v>33</v>
      </c>
      <c r="C2983" t="s">
        <v>24</v>
      </c>
      <c r="D2983" t="s">
        <v>23</v>
      </c>
      <c r="E2983">
        <v>123</v>
      </c>
      <c r="F2983">
        <f t="shared" si="49"/>
        <v>3</v>
      </c>
    </row>
    <row r="2984" spans="1:6">
      <c r="A2984" s="83">
        <v>43647</v>
      </c>
      <c r="B2984" t="s">
        <v>33</v>
      </c>
      <c r="C2984" t="s">
        <v>24</v>
      </c>
      <c r="D2984" t="s">
        <v>22</v>
      </c>
      <c r="E2984">
        <v>124</v>
      </c>
      <c r="F2984">
        <f t="shared" si="49"/>
        <v>7</v>
      </c>
    </row>
    <row r="2985" spans="1:6">
      <c r="A2985" s="83">
        <v>43678</v>
      </c>
      <c r="B2985" t="s">
        <v>33</v>
      </c>
      <c r="C2985" t="s">
        <v>21</v>
      </c>
      <c r="D2985" t="s">
        <v>23</v>
      </c>
      <c r="E2985">
        <v>42</v>
      </c>
      <c r="F2985">
        <f t="shared" si="49"/>
        <v>3</v>
      </c>
    </row>
    <row r="2986" spans="1:6">
      <c r="A2986" s="83">
        <v>43678</v>
      </c>
      <c r="B2986" t="s">
        <v>33</v>
      </c>
      <c r="C2986" t="s">
        <v>21</v>
      </c>
      <c r="D2986" t="s">
        <v>26</v>
      </c>
      <c r="E2986">
        <v>108</v>
      </c>
      <c r="F2986">
        <f t="shared" si="49"/>
        <v>5</v>
      </c>
    </row>
    <row r="2987" spans="1:6">
      <c r="A2987" s="83">
        <v>43678</v>
      </c>
      <c r="B2987" t="s">
        <v>33</v>
      </c>
      <c r="C2987" t="s">
        <v>24</v>
      </c>
      <c r="D2987" t="s">
        <v>22</v>
      </c>
      <c r="E2987">
        <v>114</v>
      </c>
      <c r="F2987">
        <f t="shared" si="49"/>
        <v>7</v>
      </c>
    </row>
    <row r="2988" spans="1:6">
      <c r="A2988" s="83">
        <v>43678</v>
      </c>
      <c r="B2988" t="s">
        <v>33</v>
      </c>
      <c r="C2988" t="s">
        <v>24</v>
      </c>
      <c r="D2988" t="s">
        <v>22</v>
      </c>
      <c r="E2988">
        <v>113</v>
      </c>
      <c r="F2988">
        <f t="shared" si="49"/>
        <v>7</v>
      </c>
    </row>
    <row r="2989" spans="1:6">
      <c r="A2989" s="83">
        <v>43709</v>
      </c>
      <c r="B2989" t="s">
        <v>33</v>
      </c>
      <c r="C2989" t="s">
        <v>21</v>
      </c>
      <c r="D2989" t="s">
        <v>23</v>
      </c>
      <c r="E2989">
        <v>46</v>
      </c>
      <c r="F2989">
        <f t="shared" si="49"/>
        <v>3</v>
      </c>
    </row>
    <row r="2990" spans="1:6">
      <c r="A2990" s="83">
        <v>43709</v>
      </c>
      <c r="B2990" t="s">
        <v>33</v>
      </c>
      <c r="C2990" t="s">
        <v>21</v>
      </c>
      <c r="D2990" t="s">
        <v>26</v>
      </c>
      <c r="E2990">
        <v>144</v>
      </c>
      <c r="F2990">
        <f t="shared" si="49"/>
        <v>5</v>
      </c>
    </row>
    <row r="2991" spans="1:6">
      <c r="A2991" s="83">
        <v>43709</v>
      </c>
      <c r="B2991" t="s">
        <v>33</v>
      </c>
      <c r="C2991" t="s">
        <v>24</v>
      </c>
      <c r="D2991" t="s">
        <v>23</v>
      </c>
      <c r="E2991">
        <v>105</v>
      </c>
      <c r="F2991">
        <f t="shared" si="49"/>
        <v>3</v>
      </c>
    </row>
    <row r="2992" spans="1:6">
      <c r="A2992" s="83">
        <v>43709</v>
      </c>
      <c r="B2992" t="s">
        <v>33</v>
      </c>
      <c r="C2992" t="s">
        <v>24</v>
      </c>
      <c r="D2992" t="s">
        <v>23</v>
      </c>
      <c r="E2992">
        <v>135</v>
      </c>
      <c r="F2992">
        <f t="shared" si="49"/>
        <v>3</v>
      </c>
    </row>
    <row r="2993" spans="1:6">
      <c r="A2993" s="83">
        <v>43739</v>
      </c>
      <c r="B2993" t="s">
        <v>33</v>
      </c>
      <c r="C2993" t="s">
        <v>21</v>
      </c>
      <c r="D2993" t="s">
        <v>23</v>
      </c>
      <c r="E2993">
        <v>39</v>
      </c>
      <c r="F2993">
        <f t="shared" si="49"/>
        <v>3</v>
      </c>
    </row>
    <row r="2994" spans="1:6">
      <c r="A2994" s="83">
        <v>43739</v>
      </c>
      <c r="B2994" t="s">
        <v>33</v>
      </c>
      <c r="C2994" t="s">
        <v>21</v>
      </c>
      <c r="D2994" t="s">
        <v>23</v>
      </c>
      <c r="E2994">
        <v>144</v>
      </c>
      <c r="F2994">
        <f t="shared" si="49"/>
        <v>3</v>
      </c>
    </row>
    <row r="2995" spans="1:6">
      <c r="A2995" s="83">
        <v>43739</v>
      </c>
      <c r="B2995" t="s">
        <v>33</v>
      </c>
      <c r="C2995" t="s">
        <v>24</v>
      </c>
      <c r="D2995" t="s">
        <v>26</v>
      </c>
      <c r="E2995">
        <v>79</v>
      </c>
      <c r="F2995">
        <f t="shared" si="49"/>
        <v>5</v>
      </c>
    </row>
    <row r="2996" spans="1:6">
      <c r="A2996" s="83">
        <v>43739</v>
      </c>
      <c r="B2996" t="s">
        <v>33</v>
      </c>
      <c r="C2996" t="s">
        <v>24</v>
      </c>
      <c r="D2996" t="s">
        <v>22</v>
      </c>
      <c r="E2996">
        <v>113</v>
      </c>
      <c r="F2996">
        <f t="shared" si="49"/>
        <v>7</v>
      </c>
    </row>
    <row r="2997" spans="1:6">
      <c r="A2997" s="83">
        <v>43770</v>
      </c>
      <c r="B2997" t="s">
        <v>33</v>
      </c>
      <c r="C2997" t="s">
        <v>21</v>
      </c>
      <c r="D2997" t="s">
        <v>22</v>
      </c>
      <c r="E2997">
        <v>39</v>
      </c>
      <c r="F2997">
        <f t="shared" si="49"/>
        <v>7</v>
      </c>
    </row>
    <row r="2998" spans="1:6">
      <c r="A2998" s="83">
        <v>43770</v>
      </c>
      <c r="B2998" t="s">
        <v>33</v>
      </c>
      <c r="C2998" t="s">
        <v>21</v>
      </c>
      <c r="D2998" t="s">
        <v>26</v>
      </c>
      <c r="E2998">
        <v>198</v>
      </c>
      <c r="F2998">
        <f t="shared" si="49"/>
        <v>5</v>
      </c>
    </row>
    <row r="2999" spans="1:6">
      <c r="A2999" s="83">
        <v>43770</v>
      </c>
      <c r="B2999" t="s">
        <v>33</v>
      </c>
      <c r="C2999" t="s">
        <v>24</v>
      </c>
      <c r="D2999" t="s">
        <v>23</v>
      </c>
      <c r="E2999">
        <v>96</v>
      </c>
      <c r="F2999">
        <f t="shared" si="49"/>
        <v>3</v>
      </c>
    </row>
    <row r="3000" spans="1:6">
      <c r="A3000" s="83">
        <v>43770</v>
      </c>
      <c r="B3000" t="s">
        <v>33</v>
      </c>
      <c r="C3000" t="s">
        <v>24</v>
      </c>
      <c r="D3000" t="s">
        <v>23</v>
      </c>
      <c r="E3000">
        <v>146</v>
      </c>
      <c r="F3000">
        <f t="shared" si="49"/>
        <v>3</v>
      </c>
    </row>
    <row r="3001" spans="1:6">
      <c r="A3001" s="83">
        <v>43800</v>
      </c>
      <c r="B3001" t="s">
        <v>33</v>
      </c>
      <c r="C3001" t="s">
        <v>21</v>
      </c>
      <c r="D3001" t="s">
        <v>22</v>
      </c>
      <c r="E3001">
        <v>49</v>
      </c>
      <c r="F3001">
        <f t="shared" si="49"/>
        <v>7</v>
      </c>
    </row>
    <row r="3002" spans="1:6">
      <c r="A3002" s="83">
        <v>43800</v>
      </c>
      <c r="B3002" t="s">
        <v>33</v>
      </c>
      <c r="C3002" t="s">
        <v>21</v>
      </c>
      <c r="D3002" t="s">
        <v>22</v>
      </c>
      <c r="E3002">
        <v>266</v>
      </c>
      <c r="F3002">
        <f t="shared" si="49"/>
        <v>7</v>
      </c>
    </row>
    <row r="3003" spans="1:6">
      <c r="A3003" s="83">
        <v>43800</v>
      </c>
      <c r="B3003" t="s">
        <v>33</v>
      </c>
      <c r="C3003" t="s">
        <v>24</v>
      </c>
      <c r="D3003" t="s">
        <v>23</v>
      </c>
      <c r="E3003">
        <v>96</v>
      </c>
      <c r="F3003">
        <f t="shared" si="49"/>
        <v>3</v>
      </c>
    </row>
    <row r="3004" spans="1:6">
      <c r="A3004" s="83">
        <v>43800</v>
      </c>
      <c r="B3004" t="s">
        <v>33</v>
      </c>
      <c r="C3004" t="s">
        <v>24</v>
      </c>
      <c r="D3004" t="s">
        <v>26</v>
      </c>
      <c r="E3004">
        <v>214</v>
      </c>
      <c r="F3004">
        <f t="shared" si="49"/>
        <v>5</v>
      </c>
    </row>
    <row r="3005" spans="1:6">
      <c r="A3005" s="83">
        <v>43221</v>
      </c>
      <c r="B3005" t="s">
        <v>33</v>
      </c>
      <c r="C3005" t="s">
        <v>24</v>
      </c>
      <c r="D3005" t="s">
        <v>22</v>
      </c>
      <c r="E3005">
        <v>79</v>
      </c>
      <c r="F3005">
        <f t="shared" si="49"/>
        <v>7</v>
      </c>
    </row>
    <row r="3006" spans="1:6">
      <c r="A3006" s="83">
        <v>43221</v>
      </c>
      <c r="B3006" t="s">
        <v>33</v>
      </c>
      <c r="C3006" t="s">
        <v>24</v>
      </c>
      <c r="D3006" t="s">
        <v>26</v>
      </c>
      <c r="E3006">
        <v>138</v>
      </c>
      <c r="F3006">
        <f t="shared" si="49"/>
        <v>5</v>
      </c>
    </row>
    <row r="3007" spans="1:6">
      <c r="A3007" s="83">
        <v>43221</v>
      </c>
      <c r="B3007" t="s">
        <v>33</v>
      </c>
      <c r="C3007" t="s">
        <v>24</v>
      </c>
      <c r="D3007" t="s">
        <v>26</v>
      </c>
      <c r="E3007">
        <v>124</v>
      </c>
      <c r="F3007">
        <f t="shared" si="49"/>
        <v>5</v>
      </c>
    </row>
    <row r="3008" spans="1:6">
      <c r="A3008" s="83">
        <v>43252</v>
      </c>
      <c r="B3008" t="s">
        <v>33</v>
      </c>
      <c r="C3008" t="s">
        <v>24</v>
      </c>
      <c r="D3008" t="s">
        <v>22</v>
      </c>
      <c r="E3008">
        <v>88</v>
      </c>
      <c r="F3008">
        <f t="shared" si="49"/>
        <v>7</v>
      </c>
    </row>
    <row r="3009" spans="1:6">
      <c r="A3009" s="83">
        <v>43252</v>
      </c>
      <c r="B3009" t="s">
        <v>33</v>
      </c>
      <c r="C3009" t="s">
        <v>24</v>
      </c>
      <c r="D3009" t="s">
        <v>26</v>
      </c>
      <c r="E3009">
        <v>151</v>
      </c>
      <c r="F3009">
        <f t="shared" si="49"/>
        <v>5</v>
      </c>
    </row>
    <row r="3010" spans="1:6">
      <c r="A3010" s="83">
        <v>43252</v>
      </c>
      <c r="B3010" t="s">
        <v>33</v>
      </c>
      <c r="C3010" t="s">
        <v>24</v>
      </c>
      <c r="D3010" t="s">
        <v>26</v>
      </c>
      <c r="E3010">
        <v>135</v>
      </c>
      <c r="F3010">
        <f t="shared" si="49"/>
        <v>5</v>
      </c>
    </row>
    <row r="3011" spans="1:6">
      <c r="A3011" s="83">
        <v>43282</v>
      </c>
      <c r="B3011" t="s">
        <v>33</v>
      </c>
      <c r="C3011" t="s">
        <v>21</v>
      </c>
      <c r="D3011" t="s">
        <v>26</v>
      </c>
      <c r="E3011">
        <v>67</v>
      </c>
      <c r="F3011">
        <f t="shared" ref="F3011:F3074" si="50">LEN(D3011)</f>
        <v>5</v>
      </c>
    </row>
    <row r="3012" spans="1:6">
      <c r="A3012" s="83">
        <v>43282</v>
      </c>
      <c r="B3012" t="s">
        <v>33</v>
      </c>
      <c r="C3012" t="s">
        <v>21</v>
      </c>
      <c r="D3012" t="s">
        <v>23</v>
      </c>
      <c r="E3012">
        <v>127</v>
      </c>
      <c r="F3012">
        <f t="shared" si="50"/>
        <v>3</v>
      </c>
    </row>
    <row r="3013" spans="1:6">
      <c r="A3013" s="83">
        <v>43282</v>
      </c>
      <c r="B3013" t="s">
        <v>33</v>
      </c>
      <c r="C3013" t="s">
        <v>21</v>
      </c>
      <c r="D3013" t="s">
        <v>23</v>
      </c>
      <c r="E3013">
        <v>122</v>
      </c>
      <c r="F3013">
        <f t="shared" si="50"/>
        <v>3</v>
      </c>
    </row>
    <row r="3014" spans="1:6">
      <c r="A3014" s="83">
        <v>43282</v>
      </c>
      <c r="B3014" t="s">
        <v>33</v>
      </c>
      <c r="C3014" t="s">
        <v>24</v>
      </c>
      <c r="D3014" t="s">
        <v>22</v>
      </c>
      <c r="E3014">
        <v>79</v>
      </c>
      <c r="F3014">
        <f t="shared" si="50"/>
        <v>7</v>
      </c>
    </row>
    <row r="3015" spans="1:6">
      <c r="A3015" s="83">
        <v>43282</v>
      </c>
      <c r="B3015" t="s">
        <v>33</v>
      </c>
      <c r="C3015" t="s">
        <v>24</v>
      </c>
      <c r="D3015" t="s">
        <v>22</v>
      </c>
      <c r="E3015">
        <v>138</v>
      </c>
      <c r="F3015">
        <f t="shared" si="50"/>
        <v>7</v>
      </c>
    </row>
    <row r="3016" spans="1:6">
      <c r="A3016" s="83">
        <v>43282</v>
      </c>
      <c r="B3016" t="s">
        <v>33</v>
      </c>
      <c r="C3016" t="s">
        <v>24</v>
      </c>
      <c r="D3016" t="s">
        <v>23</v>
      </c>
      <c r="E3016">
        <v>124</v>
      </c>
      <c r="F3016">
        <f t="shared" si="50"/>
        <v>3</v>
      </c>
    </row>
    <row r="3017" spans="1:6">
      <c r="A3017" s="83">
        <v>43313</v>
      </c>
      <c r="B3017" t="s">
        <v>33</v>
      </c>
      <c r="C3017" t="s">
        <v>21</v>
      </c>
      <c r="D3017" t="s">
        <v>22</v>
      </c>
      <c r="E3017">
        <v>67</v>
      </c>
      <c r="F3017">
        <f t="shared" si="50"/>
        <v>7</v>
      </c>
    </row>
    <row r="3018" spans="1:6">
      <c r="A3018" s="83">
        <v>43313</v>
      </c>
      <c r="B3018" t="s">
        <v>33</v>
      </c>
      <c r="C3018" t="s">
        <v>21</v>
      </c>
      <c r="D3018" t="s">
        <v>22</v>
      </c>
      <c r="E3018">
        <v>121</v>
      </c>
      <c r="F3018">
        <f t="shared" si="50"/>
        <v>7</v>
      </c>
    </row>
    <row r="3019" spans="1:6">
      <c r="A3019" s="83">
        <v>43313</v>
      </c>
      <c r="B3019" t="s">
        <v>33</v>
      </c>
      <c r="C3019" t="s">
        <v>21</v>
      </c>
      <c r="D3019" t="s">
        <v>23</v>
      </c>
      <c r="E3019">
        <v>122</v>
      </c>
      <c r="F3019">
        <f t="shared" si="50"/>
        <v>3</v>
      </c>
    </row>
    <row r="3020" spans="1:6">
      <c r="A3020" s="83">
        <v>43313</v>
      </c>
      <c r="B3020" t="s">
        <v>33</v>
      </c>
      <c r="C3020" t="s">
        <v>24</v>
      </c>
      <c r="D3020" t="s">
        <v>23</v>
      </c>
      <c r="E3020">
        <v>79</v>
      </c>
      <c r="F3020">
        <f t="shared" si="50"/>
        <v>3</v>
      </c>
    </row>
    <row r="3021" spans="1:6">
      <c r="A3021" s="83">
        <v>43313</v>
      </c>
      <c r="B3021" t="s">
        <v>33</v>
      </c>
      <c r="C3021" t="s">
        <v>24</v>
      </c>
      <c r="D3021" t="s">
        <v>23</v>
      </c>
      <c r="E3021">
        <v>124</v>
      </c>
      <c r="F3021">
        <f t="shared" si="50"/>
        <v>3</v>
      </c>
    </row>
    <row r="3022" spans="1:6">
      <c r="A3022" s="83">
        <v>43313</v>
      </c>
      <c r="B3022" t="s">
        <v>33</v>
      </c>
      <c r="C3022" t="s">
        <v>24</v>
      </c>
      <c r="D3022" t="s">
        <v>26</v>
      </c>
      <c r="E3022">
        <v>113</v>
      </c>
      <c r="F3022">
        <f t="shared" si="50"/>
        <v>5</v>
      </c>
    </row>
    <row r="3023" spans="1:6">
      <c r="A3023" s="83">
        <v>43344</v>
      </c>
      <c r="B3023" t="s">
        <v>33</v>
      </c>
      <c r="C3023" t="s">
        <v>21</v>
      </c>
      <c r="D3023" t="s">
        <v>23</v>
      </c>
      <c r="E3023">
        <v>77</v>
      </c>
      <c r="F3023">
        <f t="shared" si="50"/>
        <v>3</v>
      </c>
    </row>
    <row r="3024" spans="1:6">
      <c r="A3024" s="83">
        <v>43344</v>
      </c>
      <c r="B3024" t="s">
        <v>33</v>
      </c>
      <c r="C3024" t="s">
        <v>21</v>
      </c>
      <c r="D3024" t="s">
        <v>26</v>
      </c>
      <c r="E3024">
        <v>94</v>
      </c>
      <c r="F3024">
        <f t="shared" si="50"/>
        <v>5</v>
      </c>
    </row>
    <row r="3025" spans="1:6">
      <c r="A3025" s="83">
        <v>43344</v>
      </c>
      <c r="B3025" t="s">
        <v>33</v>
      </c>
      <c r="C3025" t="s">
        <v>21</v>
      </c>
      <c r="D3025" t="s">
        <v>22</v>
      </c>
      <c r="E3025">
        <v>126</v>
      </c>
      <c r="F3025">
        <f t="shared" si="50"/>
        <v>7</v>
      </c>
    </row>
    <row r="3026" spans="1:6">
      <c r="A3026" s="83">
        <v>43344</v>
      </c>
      <c r="B3026" t="s">
        <v>33</v>
      </c>
      <c r="C3026" t="s">
        <v>24</v>
      </c>
      <c r="D3026" t="s">
        <v>26</v>
      </c>
      <c r="E3026">
        <v>105</v>
      </c>
      <c r="F3026">
        <f t="shared" si="50"/>
        <v>5</v>
      </c>
    </row>
    <row r="3027" spans="1:6">
      <c r="A3027" s="83">
        <v>43344</v>
      </c>
      <c r="B3027" t="s">
        <v>33</v>
      </c>
      <c r="C3027" t="s">
        <v>24</v>
      </c>
      <c r="D3027" t="s">
        <v>22</v>
      </c>
      <c r="E3027">
        <v>165</v>
      </c>
      <c r="F3027">
        <f t="shared" si="50"/>
        <v>7</v>
      </c>
    </row>
    <row r="3028" spans="1:6">
      <c r="A3028" s="83">
        <v>43344</v>
      </c>
      <c r="B3028" t="s">
        <v>33</v>
      </c>
      <c r="C3028" t="s">
        <v>24</v>
      </c>
      <c r="D3028" t="s">
        <v>23</v>
      </c>
      <c r="E3028">
        <v>124</v>
      </c>
      <c r="F3028">
        <f t="shared" si="50"/>
        <v>3</v>
      </c>
    </row>
    <row r="3029" spans="1:6">
      <c r="A3029" s="83">
        <v>43374</v>
      </c>
      <c r="B3029" t="s">
        <v>33</v>
      </c>
      <c r="C3029" t="s">
        <v>21</v>
      </c>
      <c r="D3029" t="s">
        <v>26</v>
      </c>
      <c r="E3029">
        <v>81</v>
      </c>
      <c r="F3029">
        <f t="shared" si="50"/>
        <v>5</v>
      </c>
    </row>
    <row r="3030" spans="1:6">
      <c r="A3030" s="83">
        <v>43374</v>
      </c>
      <c r="B3030" t="s">
        <v>33</v>
      </c>
      <c r="C3030" t="s">
        <v>21</v>
      </c>
      <c r="D3030" t="s">
        <v>23</v>
      </c>
      <c r="E3030">
        <v>121</v>
      </c>
      <c r="F3030">
        <f t="shared" si="50"/>
        <v>3</v>
      </c>
    </row>
    <row r="3031" spans="1:6">
      <c r="A3031" s="83">
        <v>43374</v>
      </c>
      <c r="B3031" t="s">
        <v>33</v>
      </c>
      <c r="C3031" t="s">
        <v>21</v>
      </c>
      <c r="D3031" t="s">
        <v>23</v>
      </c>
      <c r="E3031">
        <v>149</v>
      </c>
      <c r="F3031">
        <f t="shared" si="50"/>
        <v>3</v>
      </c>
    </row>
    <row r="3032" spans="1:6">
      <c r="A3032" s="83">
        <v>43374</v>
      </c>
      <c r="B3032" t="s">
        <v>33</v>
      </c>
      <c r="C3032" t="s">
        <v>24</v>
      </c>
      <c r="D3032" t="s">
        <v>22</v>
      </c>
      <c r="E3032">
        <v>88</v>
      </c>
      <c r="F3032">
        <f t="shared" si="50"/>
        <v>7</v>
      </c>
    </row>
    <row r="3033" spans="1:6">
      <c r="A3033" s="83">
        <v>43374</v>
      </c>
      <c r="B3033" t="s">
        <v>33</v>
      </c>
      <c r="C3033" t="s">
        <v>24</v>
      </c>
      <c r="D3033" t="s">
        <v>22</v>
      </c>
      <c r="E3033">
        <v>138</v>
      </c>
      <c r="F3033">
        <f t="shared" si="50"/>
        <v>7</v>
      </c>
    </row>
    <row r="3034" spans="1:6">
      <c r="A3034" s="83">
        <v>43374</v>
      </c>
      <c r="B3034" t="s">
        <v>33</v>
      </c>
      <c r="C3034" t="s">
        <v>24</v>
      </c>
      <c r="D3034" t="s">
        <v>26</v>
      </c>
      <c r="E3034">
        <v>146</v>
      </c>
      <c r="F3034">
        <f t="shared" si="50"/>
        <v>5</v>
      </c>
    </row>
    <row r="3035" spans="1:6">
      <c r="A3035" s="83">
        <v>43405</v>
      </c>
      <c r="B3035" t="s">
        <v>33</v>
      </c>
      <c r="C3035" t="s">
        <v>21</v>
      </c>
      <c r="D3035" t="s">
        <v>26</v>
      </c>
      <c r="E3035">
        <v>105</v>
      </c>
      <c r="F3035">
        <f t="shared" si="50"/>
        <v>5</v>
      </c>
    </row>
    <row r="3036" spans="1:6">
      <c r="A3036" s="83">
        <v>43405</v>
      </c>
      <c r="B3036" t="s">
        <v>33</v>
      </c>
      <c r="C3036" t="s">
        <v>21</v>
      </c>
      <c r="D3036" t="s">
        <v>23</v>
      </c>
      <c r="E3036">
        <v>171</v>
      </c>
      <c r="F3036">
        <f t="shared" si="50"/>
        <v>3</v>
      </c>
    </row>
    <row r="3037" spans="1:6">
      <c r="A3037" s="83">
        <v>43405</v>
      </c>
      <c r="B3037" t="s">
        <v>33</v>
      </c>
      <c r="C3037" t="s">
        <v>21</v>
      </c>
      <c r="D3037" t="s">
        <v>23</v>
      </c>
      <c r="E3037">
        <v>135</v>
      </c>
      <c r="F3037">
        <f t="shared" si="50"/>
        <v>3</v>
      </c>
    </row>
    <row r="3038" spans="1:6">
      <c r="A3038" s="83">
        <v>43405</v>
      </c>
      <c r="B3038" t="s">
        <v>33</v>
      </c>
      <c r="C3038" t="s">
        <v>24</v>
      </c>
      <c r="D3038" t="s">
        <v>23</v>
      </c>
      <c r="E3038">
        <v>105</v>
      </c>
      <c r="F3038">
        <f t="shared" si="50"/>
        <v>3</v>
      </c>
    </row>
    <row r="3039" spans="1:6">
      <c r="A3039" s="83">
        <v>43405</v>
      </c>
      <c r="B3039" t="s">
        <v>33</v>
      </c>
      <c r="C3039" t="s">
        <v>24</v>
      </c>
      <c r="D3039" t="s">
        <v>22</v>
      </c>
      <c r="E3039">
        <v>151</v>
      </c>
      <c r="F3039">
        <f t="shared" si="50"/>
        <v>7</v>
      </c>
    </row>
    <row r="3040" spans="1:6">
      <c r="A3040" s="83">
        <v>43405</v>
      </c>
      <c r="B3040" t="s">
        <v>33</v>
      </c>
      <c r="C3040" t="s">
        <v>24</v>
      </c>
      <c r="D3040" t="s">
        <v>22</v>
      </c>
      <c r="E3040">
        <v>203</v>
      </c>
      <c r="F3040">
        <f t="shared" si="50"/>
        <v>7</v>
      </c>
    </row>
    <row r="3041" spans="1:6">
      <c r="A3041" s="83">
        <v>43435</v>
      </c>
      <c r="B3041" t="s">
        <v>33</v>
      </c>
      <c r="C3041" t="s">
        <v>21</v>
      </c>
      <c r="D3041" t="s">
        <v>26</v>
      </c>
      <c r="E3041">
        <v>95</v>
      </c>
      <c r="F3041">
        <f t="shared" si="50"/>
        <v>5</v>
      </c>
    </row>
    <row r="3042" spans="1:6">
      <c r="A3042" s="83">
        <v>43435</v>
      </c>
      <c r="B3042" t="s">
        <v>33</v>
      </c>
      <c r="C3042" t="s">
        <v>21</v>
      </c>
      <c r="D3042" t="s">
        <v>22</v>
      </c>
      <c r="E3042">
        <v>149</v>
      </c>
      <c r="F3042">
        <f t="shared" si="50"/>
        <v>7</v>
      </c>
    </row>
    <row r="3043" spans="1:6">
      <c r="A3043" s="83">
        <v>43435</v>
      </c>
      <c r="B3043" t="s">
        <v>33</v>
      </c>
      <c r="C3043" t="s">
        <v>21</v>
      </c>
      <c r="D3043" t="s">
        <v>23</v>
      </c>
      <c r="E3043">
        <v>149</v>
      </c>
      <c r="F3043">
        <f t="shared" si="50"/>
        <v>3</v>
      </c>
    </row>
    <row r="3044" spans="1:6">
      <c r="A3044" s="83">
        <v>43435</v>
      </c>
      <c r="B3044" t="s">
        <v>33</v>
      </c>
      <c r="C3044" t="s">
        <v>24</v>
      </c>
      <c r="D3044" t="s">
        <v>22</v>
      </c>
      <c r="E3044">
        <v>96</v>
      </c>
      <c r="F3044">
        <f t="shared" si="50"/>
        <v>7</v>
      </c>
    </row>
    <row r="3045" spans="1:6">
      <c r="A3045" s="83">
        <v>43435</v>
      </c>
      <c r="B3045" t="s">
        <v>33</v>
      </c>
      <c r="C3045" t="s">
        <v>24</v>
      </c>
      <c r="D3045" t="s">
        <v>26</v>
      </c>
      <c r="E3045">
        <v>151</v>
      </c>
      <c r="F3045">
        <f t="shared" si="50"/>
        <v>5</v>
      </c>
    </row>
    <row r="3046" spans="1:6">
      <c r="A3046" s="83">
        <v>43435</v>
      </c>
      <c r="B3046" t="s">
        <v>33</v>
      </c>
      <c r="C3046" t="s">
        <v>24</v>
      </c>
      <c r="D3046" t="s">
        <v>26</v>
      </c>
      <c r="E3046">
        <v>191</v>
      </c>
      <c r="F3046">
        <f t="shared" si="50"/>
        <v>5</v>
      </c>
    </row>
    <row r="3047" spans="1:6">
      <c r="A3047" s="83">
        <v>43466</v>
      </c>
      <c r="B3047" t="s">
        <v>33</v>
      </c>
      <c r="C3047" t="s">
        <v>21</v>
      </c>
      <c r="D3047" t="s">
        <v>26</v>
      </c>
      <c r="E3047">
        <v>102</v>
      </c>
      <c r="F3047">
        <f t="shared" si="50"/>
        <v>5</v>
      </c>
    </row>
    <row r="3048" spans="1:6">
      <c r="A3048" s="83">
        <v>43466</v>
      </c>
      <c r="B3048" t="s">
        <v>33</v>
      </c>
      <c r="C3048" t="s">
        <v>21</v>
      </c>
      <c r="D3048" t="s">
        <v>22</v>
      </c>
      <c r="E3048">
        <v>171</v>
      </c>
      <c r="F3048">
        <f t="shared" si="50"/>
        <v>7</v>
      </c>
    </row>
    <row r="3049" spans="1:6">
      <c r="A3049" s="83">
        <v>43466</v>
      </c>
      <c r="B3049" t="s">
        <v>33</v>
      </c>
      <c r="C3049" t="s">
        <v>21</v>
      </c>
      <c r="D3049" t="s">
        <v>22</v>
      </c>
      <c r="E3049">
        <v>158</v>
      </c>
      <c r="F3049">
        <f t="shared" si="50"/>
        <v>7</v>
      </c>
    </row>
    <row r="3050" spans="1:6">
      <c r="A3050" s="83">
        <v>43466</v>
      </c>
      <c r="B3050" t="s">
        <v>33</v>
      </c>
      <c r="C3050" t="s">
        <v>24</v>
      </c>
      <c r="D3050" t="s">
        <v>23</v>
      </c>
      <c r="E3050">
        <v>105</v>
      </c>
      <c r="F3050">
        <f t="shared" si="50"/>
        <v>3</v>
      </c>
    </row>
    <row r="3051" spans="1:6">
      <c r="A3051" s="83">
        <v>43466</v>
      </c>
      <c r="B3051" t="s">
        <v>33</v>
      </c>
      <c r="C3051" t="s">
        <v>24</v>
      </c>
      <c r="D3051" t="s">
        <v>26</v>
      </c>
      <c r="E3051">
        <v>151</v>
      </c>
      <c r="F3051">
        <f t="shared" si="50"/>
        <v>5</v>
      </c>
    </row>
    <row r="3052" spans="1:6">
      <c r="A3052" s="83">
        <v>43466</v>
      </c>
      <c r="B3052" t="s">
        <v>33</v>
      </c>
      <c r="C3052" t="s">
        <v>24</v>
      </c>
      <c r="D3052" t="s">
        <v>22</v>
      </c>
      <c r="E3052">
        <v>203</v>
      </c>
      <c r="F3052">
        <f t="shared" si="50"/>
        <v>7</v>
      </c>
    </row>
    <row r="3053" spans="1:6">
      <c r="A3053" s="83">
        <v>43497</v>
      </c>
      <c r="B3053" t="s">
        <v>33</v>
      </c>
      <c r="C3053" t="s">
        <v>21</v>
      </c>
      <c r="D3053" t="s">
        <v>23</v>
      </c>
      <c r="E3053">
        <v>39</v>
      </c>
      <c r="F3053">
        <f t="shared" si="50"/>
        <v>3</v>
      </c>
    </row>
    <row r="3054" spans="1:6">
      <c r="A3054" s="83">
        <v>43497</v>
      </c>
      <c r="B3054" t="s">
        <v>33</v>
      </c>
      <c r="C3054" t="s">
        <v>21</v>
      </c>
      <c r="D3054" t="s">
        <v>22</v>
      </c>
      <c r="E3054">
        <v>77</v>
      </c>
      <c r="F3054">
        <f t="shared" si="50"/>
        <v>7</v>
      </c>
    </row>
    <row r="3055" spans="1:6">
      <c r="A3055" s="83">
        <v>43497</v>
      </c>
      <c r="B3055" t="s">
        <v>33</v>
      </c>
      <c r="C3055" t="s">
        <v>21</v>
      </c>
      <c r="D3055" t="s">
        <v>22</v>
      </c>
      <c r="E3055">
        <v>54</v>
      </c>
      <c r="F3055">
        <f t="shared" si="50"/>
        <v>7</v>
      </c>
    </row>
    <row r="3056" spans="1:6">
      <c r="A3056" s="83">
        <v>43497</v>
      </c>
      <c r="B3056" t="s">
        <v>33</v>
      </c>
      <c r="C3056" t="s">
        <v>24</v>
      </c>
      <c r="D3056" t="s">
        <v>26</v>
      </c>
      <c r="E3056">
        <v>44</v>
      </c>
      <c r="F3056">
        <f t="shared" si="50"/>
        <v>5</v>
      </c>
    </row>
    <row r="3057" spans="1:6">
      <c r="A3057" s="83">
        <v>43497</v>
      </c>
      <c r="B3057" t="s">
        <v>33</v>
      </c>
      <c r="C3057" t="s">
        <v>24</v>
      </c>
      <c r="D3057" t="s">
        <v>26</v>
      </c>
      <c r="E3057">
        <v>69</v>
      </c>
      <c r="F3057">
        <f t="shared" si="50"/>
        <v>5</v>
      </c>
    </row>
    <row r="3058" spans="1:6">
      <c r="A3058" s="83">
        <v>43497</v>
      </c>
      <c r="B3058" t="s">
        <v>33</v>
      </c>
      <c r="C3058" t="s">
        <v>24</v>
      </c>
      <c r="D3058" t="s">
        <v>23</v>
      </c>
      <c r="E3058">
        <v>90</v>
      </c>
      <c r="F3058">
        <f t="shared" si="50"/>
        <v>3</v>
      </c>
    </row>
    <row r="3059" spans="1:6">
      <c r="A3059" s="83">
        <v>43525</v>
      </c>
      <c r="B3059" t="s">
        <v>33</v>
      </c>
      <c r="C3059" t="s">
        <v>21</v>
      </c>
      <c r="D3059" t="s">
        <v>26</v>
      </c>
      <c r="E3059">
        <v>35</v>
      </c>
      <c r="F3059">
        <f t="shared" si="50"/>
        <v>5</v>
      </c>
    </row>
    <row r="3060" spans="1:6">
      <c r="A3060" s="83">
        <v>43525</v>
      </c>
      <c r="B3060" t="s">
        <v>33</v>
      </c>
      <c r="C3060" t="s">
        <v>21</v>
      </c>
      <c r="D3060" t="s">
        <v>26</v>
      </c>
      <c r="E3060">
        <v>88</v>
      </c>
      <c r="F3060">
        <f t="shared" si="50"/>
        <v>5</v>
      </c>
    </row>
    <row r="3061" spans="1:6">
      <c r="A3061" s="83">
        <v>43525</v>
      </c>
      <c r="B3061" t="s">
        <v>33</v>
      </c>
      <c r="C3061" t="s">
        <v>21</v>
      </c>
      <c r="D3061" t="s">
        <v>22</v>
      </c>
      <c r="E3061">
        <v>50</v>
      </c>
      <c r="F3061">
        <f t="shared" si="50"/>
        <v>7</v>
      </c>
    </row>
    <row r="3062" spans="1:6">
      <c r="A3062" s="83">
        <v>43525</v>
      </c>
      <c r="B3062" t="s">
        <v>33</v>
      </c>
      <c r="C3062" t="s">
        <v>24</v>
      </c>
      <c r="D3062" t="s">
        <v>26</v>
      </c>
      <c r="E3062">
        <v>35</v>
      </c>
      <c r="F3062">
        <f t="shared" si="50"/>
        <v>5</v>
      </c>
    </row>
    <row r="3063" spans="1:6">
      <c r="A3063" s="83">
        <v>43525</v>
      </c>
      <c r="B3063" t="s">
        <v>33</v>
      </c>
      <c r="C3063" t="s">
        <v>24</v>
      </c>
      <c r="D3063" t="s">
        <v>22</v>
      </c>
      <c r="E3063">
        <v>69</v>
      </c>
      <c r="F3063">
        <f t="shared" si="50"/>
        <v>7</v>
      </c>
    </row>
    <row r="3064" spans="1:6">
      <c r="A3064" s="83">
        <v>43525</v>
      </c>
      <c r="B3064" t="s">
        <v>33</v>
      </c>
      <c r="C3064" t="s">
        <v>24</v>
      </c>
      <c r="D3064" t="s">
        <v>26</v>
      </c>
      <c r="E3064">
        <v>90</v>
      </c>
      <c r="F3064">
        <f t="shared" si="50"/>
        <v>5</v>
      </c>
    </row>
    <row r="3065" spans="1:6">
      <c r="A3065" s="83">
        <v>43556</v>
      </c>
      <c r="B3065" t="s">
        <v>33</v>
      </c>
      <c r="C3065" t="s">
        <v>21</v>
      </c>
      <c r="D3065" t="s">
        <v>22</v>
      </c>
      <c r="E3065">
        <v>39</v>
      </c>
      <c r="F3065">
        <f t="shared" si="50"/>
        <v>7</v>
      </c>
    </row>
    <row r="3066" spans="1:6">
      <c r="A3066" s="83">
        <v>43556</v>
      </c>
      <c r="B3066" t="s">
        <v>33</v>
      </c>
      <c r="C3066" t="s">
        <v>21</v>
      </c>
      <c r="D3066" t="s">
        <v>22</v>
      </c>
      <c r="E3066">
        <v>116</v>
      </c>
      <c r="F3066">
        <f t="shared" si="50"/>
        <v>7</v>
      </c>
    </row>
    <row r="3067" spans="1:6">
      <c r="A3067" s="83">
        <v>43556</v>
      </c>
      <c r="B3067" t="s">
        <v>33</v>
      </c>
      <c r="C3067" t="s">
        <v>21</v>
      </c>
      <c r="D3067" t="s">
        <v>23</v>
      </c>
      <c r="E3067">
        <v>41</v>
      </c>
      <c r="F3067">
        <f t="shared" si="50"/>
        <v>3</v>
      </c>
    </row>
    <row r="3068" spans="1:6">
      <c r="A3068" s="83">
        <v>43556</v>
      </c>
      <c r="B3068" t="s">
        <v>33</v>
      </c>
      <c r="C3068" t="s">
        <v>24</v>
      </c>
      <c r="D3068" t="s">
        <v>23</v>
      </c>
      <c r="E3068">
        <v>44</v>
      </c>
      <c r="F3068">
        <f t="shared" si="50"/>
        <v>3</v>
      </c>
    </row>
    <row r="3069" spans="1:6">
      <c r="A3069" s="83">
        <v>43556</v>
      </c>
      <c r="B3069" t="s">
        <v>33</v>
      </c>
      <c r="C3069" t="s">
        <v>24</v>
      </c>
      <c r="D3069" t="s">
        <v>26</v>
      </c>
      <c r="E3069">
        <v>69</v>
      </c>
      <c r="F3069">
        <f t="shared" si="50"/>
        <v>5</v>
      </c>
    </row>
    <row r="3070" spans="1:6">
      <c r="A3070" s="83">
        <v>43556</v>
      </c>
      <c r="B3070" t="s">
        <v>33</v>
      </c>
      <c r="C3070" t="s">
        <v>24</v>
      </c>
      <c r="D3070" t="s">
        <v>23</v>
      </c>
      <c r="E3070">
        <v>101</v>
      </c>
      <c r="F3070">
        <f t="shared" si="50"/>
        <v>3</v>
      </c>
    </row>
    <row r="3071" spans="1:6">
      <c r="A3071" s="83">
        <v>43586</v>
      </c>
      <c r="B3071" t="s">
        <v>33</v>
      </c>
      <c r="C3071" t="s">
        <v>21</v>
      </c>
      <c r="D3071" t="s">
        <v>23</v>
      </c>
      <c r="E3071">
        <v>35</v>
      </c>
      <c r="F3071">
        <f t="shared" si="50"/>
        <v>3</v>
      </c>
    </row>
    <row r="3072" spans="1:6">
      <c r="A3072" s="83">
        <v>43586</v>
      </c>
      <c r="B3072" t="s">
        <v>33</v>
      </c>
      <c r="C3072" t="s">
        <v>21</v>
      </c>
      <c r="D3072" t="s">
        <v>23</v>
      </c>
      <c r="E3072">
        <v>94</v>
      </c>
      <c r="F3072">
        <f t="shared" si="50"/>
        <v>3</v>
      </c>
    </row>
    <row r="3073" spans="1:6">
      <c r="A3073" s="83">
        <v>43586</v>
      </c>
      <c r="B3073" t="s">
        <v>33</v>
      </c>
      <c r="C3073" t="s">
        <v>21</v>
      </c>
      <c r="D3073" t="s">
        <v>22</v>
      </c>
      <c r="E3073">
        <v>41</v>
      </c>
      <c r="F3073">
        <f t="shared" si="50"/>
        <v>7</v>
      </c>
    </row>
    <row r="3074" spans="1:6">
      <c r="A3074" s="83">
        <v>43586</v>
      </c>
      <c r="B3074" t="s">
        <v>33</v>
      </c>
      <c r="C3074" t="s">
        <v>24</v>
      </c>
      <c r="D3074" t="s">
        <v>22</v>
      </c>
      <c r="E3074">
        <v>35</v>
      </c>
      <c r="F3074">
        <f t="shared" si="50"/>
        <v>7</v>
      </c>
    </row>
    <row r="3075" spans="1:6">
      <c r="A3075" s="83">
        <v>43586</v>
      </c>
      <c r="B3075" t="s">
        <v>33</v>
      </c>
      <c r="C3075" t="s">
        <v>24</v>
      </c>
      <c r="D3075" t="s">
        <v>23</v>
      </c>
      <c r="E3075">
        <v>69</v>
      </c>
      <c r="F3075">
        <f t="shared" ref="F3075:F3138" si="51">LEN(D3075)</f>
        <v>3</v>
      </c>
    </row>
    <row r="3076" spans="1:6">
      <c r="A3076" s="83">
        <v>43586</v>
      </c>
      <c r="B3076" t="s">
        <v>33</v>
      </c>
      <c r="C3076" t="s">
        <v>24</v>
      </c>
      <c r="D3076" t="s">
        <v>23</v>
      </c>
      <c r="E3076">
        <v>113</v>
      </c>
      <c r="F3076">
        <f t="shared" si="51"/>
        <v>3</v>
      </c>
    </row>
    <row r="3077" spans="1:6">
      <c r="A3077" s="83">
        <v>43617</v>
      </c>
      <c r="B3077" t="s">
        <v>33</v>
      </c>
      <c r="C3077" t="s">
        <v>21</v>
      </c>
      <c r="D3077" t="s">
        <v>26</v>
      </c>
      <c r="E3077">
        <v>35</v>
      </c>
      <c r="F3077">
        <f t="shared" si="51"/>
        <v>5</v>
      </c>
    </row>
    <row r="3078" spans="1:6">
      <c r="A3078" s="83">
        <v>43617</v>
      </c>
      <c r="B3078" t="s">
        <v>33</v>
      </c>
      <c r="C3078" t="s">
        <v>21</v>
      </c>
      <c r="D3078" t="s">
        <v>23</v>
      </c>
      <c r="E3078">
        <v>88</v>
      </c>
      <c r="F3078">
        <f t="shared" si="51"/>
        <v>3</v>
      </c>
    </row>
    <row r="3079" spans="1:6">
      <c r="A3079" s="83">
        <v>43617</v>
      </c>
      <c r="B3079" t="s">
        <v>33</v>
      </c>
      <c r="C3079" t="s">
        <v>21</v>
      </c>
      <c r="D3079" t="s">
        <v>23</v>
      </c>
      <c r="E3079">
        <v>50</v>
      </c>
      <c r="F3079">
        <f t="shared" si="51"/>
        <v>3</v>
      </c>
    </row>
    <row r="3080" spans="1:6">
      <c r="A3080" s="83">
        <v>43617</v>
      </c>
      <c r="B3080" t="s">
        <v>33</v>
      </c>
      <c r="C3080" t="s">
        <v>24</v>
      </c>
      <c r="D3080" t="s">
        <v>26</v>
      </c>
      <c r="E3080">
        <v>35</v>
      </c>
      <c r="F3080">
        <f t="shared" si="51"/>
        <v>5</v>
      </c>
    </row>
    <row r="3081" spans="1:6">
      <c r="A3081" s="83">
        <v>43617</v>
      </c>
      <c r="B3081" t="s">
        <v>33</v>
      </c>
      <c r="C3081" t="s">
        <v>24</v>
      </c>
      <c r="D3081" t="s">
        <v>26</v>
      </c>
      <c r="E3081">
        <v>69</v>
      </c>
      <c r="F3081">
        <f t="shared" si="51"/>
        <v>5</v>
      </c>
    </row>
    <row r="3082" spans="1:6">
      <c r="A3082" s="83">
        <v>43617</v>
      </c>
      <c r="B3082" t="s">
        <v>33</v>
      </c>
      <c r="C3082" t="s">
        <v>24</v>
      </c>
      <c r="D3082" t="s">
        <v>26</v>
      </c>
      <c r="E3082">
        <v>90</v>
      </c>
      <c r="F3082">
        <f t="shared" si="51"/>
        <v>5</v>
      </c>
    </row>
    <row r="3083" spans="1:6">
      <c r="A3083" s="83">
        <v>43647</v>
      </c>
      <c r="B3083" t="s">
        <v>33</v>
      </c>
      <c r="C3083" t="s">
        <v>21</v>
      </c>
      <c r="D3083" t="s">
        <v>26</v>
      </c>
      <c r="E3083">
        <v>39</v>
      </c>
      <c r="F3083">
        <f t="shared" si="51"/>
        <v>5</v>
      </c>
    </row>
    <row r="3084" spans="1:6">
      <c r="A3084" s="83">
        <v>43647</v>
      </c>
      <c r="B3084" t="s">
        <v>33</v>
      </c>
      <c r="C3084" t="s">
        <v>21</v>
      </c>
      <c r="D3084" t="s">
        <v>23</v>
      </c>
      <c r="E3084">
        <v>143</v>
      </c>
      <c r="F3084">
        <f t="shared" si="51"/>
        <v>3</v>
      </c>
    </row>
    <row r="3085" spans="1:6">
      <c r="A3085" s="83">
        <v>43647</v>
      </c>
      <c r="B3085" t="s">
        <v>33</v>
      </c>
      <c r="C3085" t="s">
        <v>21</v>
      </c>
      <c r="D3085" t="s">
        <v>26</v>
      </c>
      <c r="E3085">
        <v>59</v>
      </c>
      <c r="F3085">
        <f t="shared" si="51"/>
        <v>5</v>
      </c>
    </row>
    <row r="3086" spans="1:6">
      <c r="A3086" s="83">
        <v>43647</v>
      </c>
      <c r="B3086" t="s">
        <v>33</v>
      </c>
      <c r="C3086" t="s">
        <v>24</v>
      </c>
      <c r="D3086" t="s">
        <v>26</v>
      </c>
      <c r="E3086">
        <v>35</v>
      </c>
      <c r="F3086">
        <f t="shared" si="51"/>
        <v>5</v>
      </c>
    </row>
    <row r="3087" spans="1:6">
      <c r="A3087" s="83">
        <v>43647</v>
      </c>
      <c r="B3087" t="s">
        <v>33</v>
      </c>
      <c r="C3087" t="s">
        <v>24</v>
      </c>
      <c r="D3087" t="s">
        <v>26</v>
      </c>
      <c r="E3087">
        <v>69</v>
      </c>
      <c r="F3087">
        <f t="shared" si="51"/>
        <v>5</v>
      </c>
    </row>
    <row r="3088" spans="1:6">
      <c r="A3088" s="83">
        <v>43647</v>
      </c>
      <c r="B3088" t="s">
        <v>33</v>
      </c>
      <c r="C3088" t="s">
        <v>24</v>
      </c>
      <c r="D3088" t="s">
        <v>23</v>
      </c>
      <c r="E3088">
        <v>101</v>
      </c>
      <c r="F3088">
        <f t="shared" si="51"/>
        <v>3</v>
      </c>
    </row>
    <row r="3089" spans="1:6">
      <c r="A3089" s="83">
        <v>43678</v>
      </c>
      <c r="B3089" t="s">
        <v>33</v>
      </c>
      <c r="C3089" t="s">
        <v>21</v>
      </c>
      <c r="D3089" t="s">
        <v>22</v>
      </c>
      <c r="E3089">
        <v>39</v>
      </c>
      <c r="F3089">
        <f t="shared" si="51"/>
        <v>7</v>
      </c>
    </row>
    <row r="3090" spans="1:6">
      <c r="A3090" s="83">
        <v>43678</v>
      </c>
      <c r="B3090" t="s">
        <v>33</v>
      </c>
      <c r="C3090" t="s">
        <v>21</v>
      </c>
      <c r="D3090" t="s">
        <v>22</v>
      </c>
      <c r="E3090">
        <v>138</v>
      </c>
      <c r="F3090">
        <f t="shared" si="51"/>
        <v>7</v>
      </c>
    </row>
    <row r="3091" spans="1:6">
      <c r="A3091" s="83">
        <v>43678</v>
      </c>
      <c r="B3091" t="s">
        <v>33</v>
      </c>
      <c r="C3091" t="s">
        <v>21</v>
      </c>
      <c r="D3091" t="s">
        <v>26</v>
      </c>
      <c r="E3091">
        <v>41</v>
      </c>
      <c r="F3091">
        <f t="shared" si="51"/>
        <v>5</v>
      </c>
    </row>
    <row r="3092" spans="1:6">
      <c r="A3092" s="83">
        <v>43678</v>
      </c>
      <c r="B3092" t="s">
        <v>33</v>
      </c>
      <c r="C3092" t="s">
        <v>24</v>
      </c>
      <c r="D3092" t="s">
        <v>26</v>
      </c>
      <c r="E3092">
        <v>35</v>
      </c>
      <c r="F3092">
        <f t="shared" si="51"/>
        <v>5</v>
      </c>
    </row>
    <row r="3093" spans="1:6">
      <c r="A3093" s="83">
        <v>43678</v>
      </c>
      <c r="B3093" t="s">
        <v>33</v>
      </c>
      <c r="C3093" t="s">
        <v>24</v>
      </c>
      <c r="D3093" t="s">
        <v>23</v>
      </c>
      <c r="E3093">
        <v>69</v>
      </c>
      <c r="F3093">
        <f t="shared" si="51"/>
        <v>3</v>
      </c>
    </row>
    <row r="3094" spans="1:6">
      <c r="A3094" s="83">
        <v>43678</v>
      </c>
      <c r="B3094" t="s">
        <v>33</v>
      </c>
      <c r="C3094" t="s">
        <v>24</v>
      </c>
      <c r="D3094" t="s">
        <v>23</v>
      </c>
      <c r="E3094">
        <v>90</v>
      </c>
      <c r="F3094">
        <f t="shared" si="51"/>
        <v>3</v>
      </c>
    </row>
    <row r="3095" spans="1:6">
      <c r="A3095" s="83">
        <v>43709</v>
      </c>
      <c r="B3095" t="s">
        <v>33</v>
      </c>
      <c r="C3095" t="s">
        <v>21</v>
      </c>
      <c r="D3095" t="s">
        <v>26</v>
      </c>
      <c r="E3095">
        <v>42</v>
      </c>
      <c r="F3095">
        <f t="shared" si="51"/>
        <v>5</v>
      </c>
    </row>
    <row r="3096" spans="1:6">
      <c r="A3096" s="83">
        <v>43709</v>
      </c>
      <c r="B3096" t="s">
        <v>33</v>
      </c>
      <c r="C3096" t="s">
        <v>21</v>
      </c>
      <c r="D3096" t="s">
        <v>22</v>
      </c>
      <c r="E3096">
        <v>116</v>
      </c>
      <c r="F3096">
        <f t="shared" si="51"/>
        <v>7</v>
      </c>
    </row>
    <row r="3097" spans="1:6">
      <c r="A3097" s="83">
        <v>43709</v>
      </c>
      <c r="B3097" t="s">
        <v>33</v>
      </c>
      <c r="C3097" t="s">
        <v>21</v>
      </c>
      <c r="D3097" t="s">
        <v>26</v>
      </c>
      <c r="E3097">
        <v>63</v>
      </c>
      <c r="F3097">
        <f t="shared" si="51"/>
        <v>5</v>
      </c>
    </row>
    <row r="3098" spans="1:6">
      <c r="A3098" s="83">
        <v>43709</v>
      </c>
      <c r="B3098" t="s">
        <v>33</v>
      </c>
      <c r="C3098" t="s">
        <v>24</v>
      </c>
      <c r="D3098" t="s">
        <v>23</v>
      </c>
      <c r="E3098">
        <v>35</v>
      </c>
      <c r="F3098">
        <f t="shared" si="51"/>
        <v>3</v>
      </c>
    </row>
    <row r="3099" spans="1:6">
      <c r="A3099" s="83">
        <v>43709</v>
      </c>
      <c r="B3099" t="s">
        <v>33</v>
      </c>
      <c r="C3099" t="s">
        <v>24</v>
      </c>
      <c r="D3099" t="s">
        <v>23</v>
      </c>
      <c r="E3099">
        <v>96</v>
      </c>
      <c r="F3099">
        <f t="shared" si="51"/>
        <v>3</v>
      </c>
    </row>
    <row r="3100" spans="1:6">
      <c r="A3100" s="83">
        <v>43709</v>
      </c>
      <c r="B3100" t="s">
        <v>33</v>
      </c>
      <c r="C3100" t="s">
        <v>24</v>
      </c>
      <c r="D3100" t="s">
        <v>26</v>
      </c>
      <c r="E3100">
        <v>146</v>
      </c>
      <c r="F3100">
        <f t="shared" si="51"/>
        <v>5</v>
      </c>
    </row>
    <row r="3101" spans="1:6">
      <c r="A3101" s="83">
        <v>43739</v>
      </c>
      <c r="B3101" t="s">
        <v>33</v>
      </c>
      <c r="C3101" t="s">
        <v>21</v>
      </c>
      <c r="D3101" t="s">
        <v>23</v>
      </c>
      <c r="E3101">
        <v>42</v>
      </c>
      <c r="F3101">
        <f t="shared" si="51"/>
        <v>3</v>
      </c>
    </row>
    <row r="3102" spans="1:6">
      <c r="A3102" s="83">
        <v>43739</v>
      </c>
      <c r="B3102" t="s">
        <v>33</v>
      </c>
      <c r="C3102" t="s">
        <v>21</v>
      </c>
      <c r="D3102" t="s">
        <v>23</v>
      </c>
      <c r="E3102">
        <v>138</v>
      </c>
      <c r="F3102">
        <f t="shared" si="51"/>
        <v>3</v>
      </c>
    </row>
    <row r="3103" spans="1:6">
      <c r="A3103" s="83">
        <v>43739</v>
      </c>
      <c r="B3103" t="s">
        <v>33</v>
      </c>
      <c r="C3103" t="s">
        <v>21</v>
      </c>
      <c r="D3103" t="s">
        <v>26</v>
      </c>
      <c r="E3103">
        <v>50</v>
      </c>
      <c r="F3103">
        <f t="shared" si="51"/>
        <v>5</v>
      </c>
    </row>
    <row r="3104" spans="1:6">
      <c r="A3104" s="83">
        <v>43739</v>
      </c>
      <c r="B3104" t="s">
        <v>33</v>
      </c>
      <c r="C3104" t="s">
        <v>24</v>
      </c>
      <c r="D3104" t="s">
        <v>26</v>
      </c>
      <c r="E3104">
        <v>26</v>
      </c>
      <c r="F3104">
        <f t="shared" si="51"/>
        <v>5</v>
      </c>
    </row>
    <row r="3105" spans="1:6">
      <c r="A3105" s="83">
        <v>43739</v>
      </c>
      <c r="B3105" t="s">
        <v>33</v>
      </c>
      <c r="C3105" t="s">
        <v>24</v>
      </c>
      <c r="D3105" t="s">
        <v>23</v>
      </c>
      <c r="E3105">
        <v>96</v>
      </c>
      <c r="F3105">
        <f t="shared" si="51"/>
        <v>3</v>
      </c>
    </row>
    <row r="3106" spans="1:6">
      <c r="A3106" s="83">
        <v>43739</v>
      </c>
      <c r="B3106" t="s">
        <v>33</v>
      </c>
      <c r="C3106" t="s">
        <v>24</v>
      </c>
      <c r="D3106" t="s">
        <v>26</v>
      </c>
      <c r="E3106">
        <v>146</v>
      </c>
      <c r="F3106">
        <f t="shared" si="51"/>
        <v>5</v>
      </c>
    </row>
    <row r="3107" spans="1:6">
      <c r="A3107" s="83">
        <v>43770</v>
      </c>
      <c r="B3107" t="s">
        <v>33</v>
      </c>
      <c r="C3107" t="s">
        <v>21</v>
      </c>
      <c r="D3107" t="s">
        <v>23</v>
      </c>
      <c r="E3107">
        <v>46</v>
      </c>
      <c r="F3107">
        <f t="shared" si="51"/>
        <v>3</v>
      </c>
    </row>
    <row r="3108" spans="1:6">
      <c r="A3108" s="83">
        <v>43770</v>
      </c>
      <c r="B3108" t="s">
        <v>33</v>
      </c>
      <c r="C3108" t="s">
        <v>21</v>
      </c>
      <c r="D3108" t="s">
        <v>26</v>
      </c>
      <c r="E3108">
        <v>226</v>
      </c>
      <c r="F3108">
        <f t="shared" si="51"/>
        <v>5</v>
      </c>
    </row>
    <row r="3109" spans="1:6">
      <c r="A3109" s="83">
        <v>43770</v>
      </c>
      <c r="B3109" t="s">
        <v>33</v>
      </c>
      <c r="C3109" t="s">
        <v>21</v>
      </c>
      <c r="D3109" t="s">
        <v>26</v>
      </c>
      <c r="E3109">
        <v>54</v>
      </c>
      <c r="F3109">
        <f t="shared" si="51"/>
        <v>5</v>
      </c>
    </row>
    <row r="3110" spans="1:6">
      <c r="A3110" s="83">
        <v>43770</v>
      </c>
      <c r="B3110" t="s">
        <v>33</v>
      </c>
      <c r="C3110" t="s">
        <v>24</v>
      </c>
      <c r="D3110" t="s">
        <v>22</v>
      </c>
      <c r="E3110">
        <v>35</v>
      </c>
      <c r="F3110">
        <f t="shared" si="51"/>
        <v>7</v>
      </c>
    </row>
    <row r="3111" spans="1:6">
      <c r="A3111" s="83">
        <v>43770</v>
      </c>
      <c r="B3111" t="s">
        <v>33</v>
      </c>
      <c r="C3111" t="s">
        <v>24</v>
      </c>
      <c r="D3111" t="s">
        <v>22</v>
      </c>
      <c r="E3111">
        <v>179</v>
      </c>
      <c r="F3111">
        <f t="shared" si="51"/>
        <v>7</v>
      </c>
    </row>
    <row r="3112" spans="1:6">
      <c r="A3112" s="83">
        <v>43770</v>
      </c>
      <c r="B3112" t="s">
        <v>33</v>
      </c>
      <c r="C3112" t="s">
        <v>24</v>
      </c>
      <c r="D3112" t="s">
        <v>26</v>
      </c>
      <c r="E3112">
        <v>191</v>
      </c>
      <c r="F3112">
        <f t="shared" si="51"/>
        <v>5</v>
      </c>
    </row>
    <row r="3113" spans="1:6">
      <c r="A3113" s="83">
        <v>43800</v>
      </c>
      <c r="B3113" t="s">
        <v>33</v>
      </c>
      <c r="C3113" t="s">
        <v>21</v>
      </c>
      <c r="D3113" t="s">
        <v>23</v>
      </c>
      <c r="E3113">
        <v>46</v>
      </c>
      <c r="F3113">
        <f t="shared" si="51"/>
        <v>3</v>
      </c>
    </row>
    <row r="3114" spans="1:6">
      <c r="A3114" s="83">
        <v>43800</v>
      </c>
      <c r="B3114" t="s">
        <v>33</v>
      </c>
      <c r="C3114" t="s">
        <v>21</v>
      </c>
      <c r="D3114" t="s">
        <v>23</v>
      </c>
      <c r="E3114">
        <v>281</v>
      </c>
      <c r="F3114">
        <f t="shared" si="51"/>
        <v>3</v>
      </c>
    </row>
    <row r="3115" spans="1:6">
      <c r="A3115" s="83">
        <v>43800</v>
      </c>
      <c r="B3115" t="s">
        <v>33</v>
      </c>
      <c r="C3115" t="s">
        <v>21</v>
      </c>
      <c r="D3115" t="s">
        <v>23</v>
      </c>
      <c r="E3115">
        <v>72</v>
      </c>
      <c r="F3115">
        <f t="shared" si="51"/>
        <v>3</v>
      </c>
    </row>
    <row r="3116" spans="1:6">
      <c r="A3116" s="83">
        <v>43800</v>
      </c>
      <c r="B3116" t="s">
        <v>33</v>
      </c>
      <c r="C3116" t="s">
        <v>24</v>
      </c>
      <c r="D3116" t="s">
        <v>22</v>
      </c>
      <c r="E3116">
        <v>61</v>
      </c>
      <c r="F3116">
        <f t="shared" si="51"/>
        <v>7</v>
      </c>
    </row>
    <row r="3117" spans="1:6">
      <c r="A3117" s="83">
        <v>43800</v>
      </c>
      <c r="B3117" t="s">
        <v>33</v>
      </c>
      <c r="C3117" t="s">
        <v>24</v>
      </c>
      <c r="D3117" t="s">
        <v>23</v>
      </c>
      <c r="E3117">
        <v>248</v>
      </c>
      <c r="F3117">
        <f t="shared" si="51"/>
        <v>3</v>
      </c>
    </row>
    <row r="3118" spans="1:6">
      <c r="A3118" s="83">
        <v>43800</v>
      </c>
      <c r="B3118" t="s">
        <v>33</v>
      </c>
      <c r="C3118" t="s">
        <v>24</v>
      </c>
      <c r="D3118" t="s">
        <v>23</v>
      </c>
      <c r="E3118">
        <v>270</v>
      </c>
      <c r="F3118">
        <f t="shared" si="51"/>
        <v>3</v>
      </c>
    </row>
    <row r="3119" spans="1:6">
      <c r="A3119" s="83">
        <v>43191</v>
      </c>
      <c r="B3119" t="s">
        <v>33</v>
      </c>
      <c r="C3119" t="s">
        <v>24</v>
      </c>
      <c r="D3119" t="s">
        <v>22</v>
      </c>
      <c r="E3119">
        <v>151</v>
      </c>
      <c r="F3119">
        <f t="shared" si="51"/>
        <v>7</v>
      </c>
    </row>
    <row r="3120" spans="1:6">
      <c r="A3120" s="83">
        <v>43191</v>
      </c>
      <c r="B3120" t="s">
        <v>33</v>
      </c>
      <c r="C3120" t="s">
        <v>24</v>
      </c>
      <c r="D3120" t="s">
        <v>23</v>
      </c>
      <c r="E3120">
        <v>135</v>
      </c>
      <c r="F3120">
        <f t="shared" si="51"/>
        <v>3</v>
      </c>
    </row>
    <row r="3121" spans="1:6">
      <c r="A3121" s="83">
        <v>43221</v>
      </c>
      <c r="B3121" t="s">
        <v>33</v>
      </c>
      <c r="C3121" t="s">
        <v>24</v>
      </c>
      <c r="D3121" t="s">
        <v>26</v>
      </c>
      <c r="E3121">
        <v>151</v>
      </c>
      <c r="F3121">
        <f t="shared" si="51"/>
        <v>5</v>
      </c>
    </row>
    <row r="3122" spans="1:6">
      <c r="A3122" s="83">
        <v>43221</v>
      </c>
      <c r="B3122" t="s">
        <v>33</v>
      </c>
      <c r="C3122" t="s">
        <v>24</v>
      </c>
      <c r="D3122" t="s">
        <v>26</v>
      </c>
      <c r="E3122">
        <v>113</v>
      </c>
      <c r="F3122">
        <f t="shared" si="51"/>
        <v>5</v>
      </c>
    </row>
    <row r="3123" spans="1:6">
      <c r="A3123" s="83">
        <v>43252</v>
      </c>
      <c r="B3123" t="s">
        <v>33</v>
      </c>
      <c r="C3123" t="s">
        <v>24</v>
      </c>
      <c r="D3123" t="s">
        <v>23</v>
      </c>
      <c r="E3123">
        <v>151</v>
      </c>
      <c r="F3123">
        <f t="shared" si="51"/>
        <v>3</v>
      </c>
    </row>
    <row r="3124" spans="1:6">
      <c r="A3124" s="83">
        <v>43252</v>
      </c>
      <c r="B3124" t="s">
        <v>33</v>
      </c>
      <c r="C3124" t="s">
        <v>24</v>
      </c>
      <c r="D3124" t="s">
        <v>26</v>
      </c>
      <c r="E3124">
        <v>113</v>
      </c>
      <c r="F3124">
        <f t="shared" si="51"/>
        <v>5</v>
      </c>
    </row>
    <row r="3125" spans="1:6">
      <c r="A3125" s="83">
        <v>43282</v>
      </c>
      <c r="B3125" t="s">
        <v>33</v>
      </c>
      <c r="C3125" t="s">
        <v>21</v>
      </c>
      <c r="D3125" t="s">
        <v>23</v>
      </c>
      <c r="E3125">
        <v>72</v>
      </c>
      <c r="F3125">
        <f t="shared" si="51"/>
        <v>3</v>
      </c>
    </row>
    <row r="3126" spans="1:6">
      <c r="A3126" s="83">
        <v>43282</v>
      </c>
      <c r="B3126" t="s">
        <v>33</v>
      </c>
      <c r="C3126" t="s">
        <v>21</v>
      </c>
      <c r="D3126" t="s">
        <v>22</v>
      </c>
      <c r="E3126">
        <v>122</v>
      </c>
      <c r="F3126">
        <f t="shared" si="51"/>
        <v>7</v>
      </c>
    </row>
    <row r="3127" spans="1:6">
      <c r="A3127" s="83">
        <v>43282</v>
      </c>
      <c r="B3127" t="s">
        <v>33</v>
      </c>
      <c r="C3127" t="s">
        <v>24</v>
      </c>
      <c r="D3127" t="s">
        <v>23</v>
      </c>
      <c r="E3127">
        <v>151</v>
      </c>
      <c r="F3127">
        <f t="shared" si="51"/>
        <v>3</v>
      </c>
    </row>
    <row r="3128" spans="1:6">
      <c r="A3128" s="83">
        <v>43282</v>
      </c>
      <c r="B3128" t="s">
        <v>33</v>
      </c>
      <c r="C3128" t="s">
        <v>24</v>
      </c>
      <c r="D3128" t="s">
        <v>26</v>
      </c>
      <c r="E3128">
        <v>101</v>
      </c>
      <c r="F3128">
        <f t="shared" si="51"/>
        <v>5</v>
      </c>
    </row>
    <row r="3129" spans="1:6">
      <c r="A3129" s="83">
        <v>43313</v>
      </c>
      <c r="B3129" t="s">
        <v>33</v>
      </c>
      <c r="C3129" t="s">
        <v>21</v>
      </c>
      <c r="D3129" t="s">
        <v>23</v>
      </c>
      <c r="E3129">
        <v>61</v>
      </c>
      <c r="F3129">
        <f t="shared" si="51"/>
        <v>3</v>
      </c>
    </row>
    <row r="3130" spans="1:6">
      <c r="A3130" s="83">
        <v>43313</v>
      </c>
      <c r="B3130" t="s">
        <v>33</v>
      </c>
      <c r="C3130" t="s">
        <v>21</v>
      </c>
      <c r="D3130" t="s">
        <v>23</v>
      </c>
      <c r="E3130">
        <v>117</v>
      </c>
      <c r="F3130">
        <f t="shared" si="51"/>
        <v>3</v>
      </c>
    </row>
    <row r="3131" spans="1:6">
      <c r="A3131" s="83">
        <v>43313</v>
      </c>
      <c r="B3131" t="s">
        <v>33</v>
      </c>
      <c r="C3131" t="s">
        <v>24</v>
      </c>
      <c r="D3131" t="s">
        <v>26</v>
      </c>
      <c r="E3131">
        <v>151</v>
      </c>
      <c r="F3131">
        <f t="shared" si="51"/>
        <v>5</v>
      </c>
    </row>
    <row r="3132" spans="1:6">
      <c r="A3132" s="83">
        <v>43313</v>
      </c>
      <c r="B3132" t="s">
        <v>33</v>
      </c>
      <c r="C3132" t="s">
        <v>24</v>
      </c>
      <c r="D3132" t="s">
        <v>23</v>
      </c>
      <c r="E3132">
        <v>101</v>
      </c>
      <c r="F3132">
        <f t="shared" si="51"/>
        <v>3</v>
      </c>
    </row>
    <row r="3133" spans="1:6">
      <c r="A3133" s="83">
        <v>43344</v>
      </c>
      <c r="B3133" t="s">
        <v>33</v>
      </c>
      <c r="C3133" t="s">
        <v>21</v>
      </c>
      <c r="D3133" t="s">
        <v>23</v>
      </c>
      <c r="E3133">
        <v>72</v>
      </c>
      <c r="F3133">
        <f t="shared" si="51"/>
        <v>3</v>
      </c>
    </row>
    <row r="3134" spans="1:6">
      <c r="A3134" s="83">
        <v>43344</v>
      </c>
      <c r="B3134" t="s">
        <v>33</v>
      </c>
      <c r="C3134" t="s">
        <v>21</v>
      </c>
      <c r="D3134" t="s">
        <v>26</v>
      </c>
      <c r="E3134">
        <v>99</v>
      </c>
      <c r="F3134">
        <f t="shared" si="51"/>
        <v>5</v>
      </c>
    </row>
    <row r="3135" spans="1:6">
      <c r="A3135" s="83">
        <v>43344</v>
      </c>
      <c r="B3135" t="s">
        <v>33</v>
      </c>
      <c r="C3135" t="s">
        <v>24</v>
      </c>
      <c r="D3135" t="s">
        <v>23</v>
      </c>
      <c r="E3135">
        <v>179</v>
      </c>
      <c r="F3135">
        <f t="shared" si="51"/>
        <v>3</v>
      </c>
    </row>
    <row r="3136" spans="1:6">
      <c r="A3136" s="83">
        <v>43344</v>
      </c>
      <c r="B3136" t="s">
        <v>33</v>
      </c>
      <c r="C3136" t="s">
        <v>24</v>
      </c>
      <c r="D3136" t="s">
        <v>23</v>
      </c>
      <c r="E3136">
        <v>113</v>
      </c>
      <c r="F3136">
        <f t="shared" si="51"/>
        <v>3</v>
      </c>
    </row>
    <row r="3137" spans="1:6">
      <c r="A3137" s="83">
        <v>43374</v>
      </c>
      <c r="B3137" t="s">
        <v>33</v>
      </c>
      <c r="C3137" t="s">
        <v>21</v>
      </c>
      <c r="D3137" t="s">
        <v>22</v>
      </c>
      <c r="E3137">
        <v>50</v>
      </c>
      <c r="F3137">
        <f t="shared" si="51"/>
        <v>7</v>
      </c>
    </row>
    <row r="3138" spans="1:6">
      <c r="A3138" s="83">
        <v>43374</v>
      </c>
      <c r="B3138" t="s">
        <v>33</v>
      </c>
      <c r="C3138" t="s">
        <v>21</v>
      </c>
      <c r="D3138" t="s">
        <v>22</v>
      </c>
      <c r="E3138">
        <v>131</v>
      </c>
      <c r="F3138">
        <f t="shared" si="51"/>
        <v>7</v>
      </c>
    </row>
    <row r="3139" spans="1:6">
      <c r="A3139" s="83">
        <v>43374</v>
      </c>
      <c r="B3139" t="s">
        <v>33</v>
      </c>
      <c r="C3139" t="s">
        <v>24</v>
      </c>
      <c r="D3139" t="s">
        <v>23</v>
      </c>
      <c r="E3139">
        <v>275</v>
      </c>
      <c r="F3139">
        <f t="shared" ref="F3139:F3202" si="52">LEN(D3139)</f>
        <v>3</v>
      </c>
    </row>
    <row r="3140" spans="1:6">
      <c r="A3140" s="83">
        <v>43374</v>
      </c>
      <c r="B3140" t="s">
        <v>33</v>
      </c>
      <c r="C3140" t="s">
        <v>24</v>
      </c>
      <c r="D3140" t="s">
        <v>22</v>
      </c>
      <c r="E3140">
        <v>113</v>
      </c>
      <c r="F3140">
        <f t="shared" si="52"/>
        <v>7</v>
      </c>
    </row>
    <row r="3141" spans="1:6">
      <c r="A3141" s="83">
        <v>43405</v>
      </c>
      <c r="B3141" t="s">
        <v>33</v>
      </c>
      <c r="C3141" t="s">
        <v>21</v>
      </c>
      <c r="D3141" t="s">
        <v>26</v>
      </c>
      <c r="E3141">
        <v>66</v>
      </c>
      <c r="F3141">
        <f t="shared" si="52"/>
        <v>5</v>
      </c>
    </row>
    <row r="3142" spans="1:6">
      <c r="A3142" s="83">
        <v>43405</v>
      </c>
      <c r="B3142" t="s">
        <v>33</v>
      </c>
      <c r="C3142" t="s">
        <v>21</v>
      </c>
      <c r="D3142" t="s">
        <v>23</v>
      </c>
      <c r="E3142">
        <v>212</v>
      </c>
      <c r="F3142">
        <f t="shared" si="52"/>
        <v>3</v>
      </c>
    </row>
    <row r="3143" spans="1:6">
      <c r="A3143" s="83">
        <v>43405</v>
      </c>
      <c r="B3143" t="s">
        <v>33</v>
      </c>
      <c r="C3143" t="s">
        <v>24</v>
      </c>
      <c r="D3143" t="s">
        <v>22</v>
      </c>
      <c r="E3143">
        <v>248</v>
      </c>
      <c r="F3143">
        <f t="shared" si="52"/>
        <v>7</v>
      </c>
    </row>
    <row r="3144" spans="1:6">
      <c r="A3144" s="83">
        <v>43405</v>
      </c>
      <c r="B3144" t="s">
        <v>33</v>
      </c>
      <c r="C3144" t="s">
        <v>24</v>
      </c>
      <c r="D3144" t="s">
        <v>23</v>
      </c>
      <c r="E3144">
        <v>169</v>
      </c>
      <c r="F3144">
        <f t="shared" si="52"/>
        <v>3</v>
      </c>
    </row>
    <row r="3145" spans="1:6">
      <c r="A3145" s="83">
        <v>43435</v>
      </c>
      <c r="B3145" t="s">
        <v>33</v>
      </c>
      <c r="C3145" t="s">
        <v>21</v>
      </c>
      <c r="D3145" t="s">
        <v>26</v>
      </c>
      <c r="E3145">
        <v>61</v>
      </c>
      <c r="F3145">
        <f t="shared" si="52"/>
        <v>5</v>
      </c>
    </row>
    <row r="3146" spans="1:6">
      <c r="A3146" s="83">
        <v>43435</v>
      </c>
      <c r="B3146" t="s">
        <v>33</v>
      </c>
      <c r="C3146" t="s">
        <v>21</v>
      </c>
      <c r="D3146" t="s">
        <v>26</v>
      </c>
      <c r="E3146">
        <v>230</v>
      </c>
      <c r="F3146">
        <f t="shared" si="52"/>
        <v>5</v>
      </c>
    </row>
    <row r="3147" spans="1:6">
      <c r="A3147" s="83">
        <v>43435</v>
      </c>
      <c r="B3147" t="s">
        <v>33</v>
      </c>
      <c r="C3147" t="s">
        <v>24</v>
      </c>
      <c r="D3147" t="s">
        <v>23</v>
      </c>
      <c r="E3147">
        <v>220</v>
      </c>
      <c r="F3147">
        <f t="shared" si="52"/>
        <v>3</v>
      </c>
    </row>
    <row r="3148" spans="1:6">
      <c r="A3148" s="83">
        <v>43435</v>
      </c>
      <c r="B3148" t="s">
        <v>33</v>
      </c>
      <c r="C3148" t="s">
        <v>24</v>
      </c>
      <c r="D3148" t="s">
        <v>23</v>
      </c>
      <c r="E3148">
        <v>191</v>
      </c>
      <c r="F3148">
        <f t="shared" si="52"/>
        <v>3</v>
      </c>
    </row>
    <row r="3149" spans="1:6">
      <c r="A3149" s="83">
        <v>43466</v>
      </c>
      <c r="B3149" t="s">
        <v>33</v>
      </c>
      <c r="C3149" t="s">
        <v>21</v>
      </c>
      <c r="D3149" t="s">
        <v>26</v>
      </c>
      <c r="E3149">
        <v>50</v>
      </c>
      <c r="F3149">
        <f t="shared" si="52"/>
        <v>5</v>
      </c>
    </row>
    <row r="3150" spans="1:6">
      <c r="A3150" s="83">
        <v>43466</v>
      </c>
      <c r="B3150" t="s">
        <v>33</v>
      </c>
      <c r="C3150" t="s">
        <v>21</v>
      </c>
      <c r="D3150" t="s">
        <v>22</v>
      </c>
      <c r="E3150">
        <v>302</v>
      </c>
      <c r="F3150">
        <f t="shared" si="52"/>
        <v>7</v>
      </c>
    </row>
    <row r="3151" spans="1:6">
      <c r="A3151" s="83">
        <v>43466</v>
      </c>
      <c r="B3151" t="s">
        <v>33</v>
      </c>
      <c r="C3151" t="s">
        <v>24</v>
      </c>
      <c r="D3151" t="s">
        <v>23</v>
      </c>
      <c r="E3151">
        <v>248</v>
      </c>
      <c r="F3151">
        <f t="shared" si="52"/>
        <v>3</v>
      </c>
    </row>
    <row r="3152" spans="1:6">
      <c r="A3152" s="83">
        <v>43466</v>
      </c>
      <c r="B3152" t="s">
        <v>33</v>
      </c>
      <c r="C3152" t="s">
        <v>24</v>
      </c>
      <c r="D3152" t="s">
        <v>26</v>
      </c>
      <c r="E3152">
        <v>225</v>
      </c>
      <c r="F3152">
        <f t="shared" si="52"/>
        <v>5</v>
      </c>
    </row>
    <row r="3153" spans="1:6">
      <c r="A3153" s="83">
        <v>43497</v>
      </c>
      <c r="B3153" t="s">
        <v>33</v>
      </c>
      <c r="C3153" t="s">
        <v>21</v>
      </c>
      <c r="D3153" t="s">
        <v>26</v>
      </c>
      <c r="E3153">
        <v>66</v>
      </c>
      <c r="F3153">
        <f t="shared" si="52"/>
        <v>5</v>
      </c>
    </row>
    <row r="3154" spans="1:6">
      <c r="A3154" s="83">
        <v>43497</v>
      </c>
      <c r="B3154" t="s">
        <v>33</v>
      </c>
      <c r="C3154" t="s">
        <v>21</v>
      </c>
      <c r="D3154" t="s">
        <v>22</v>
      </c>
      <c r="E3154">
        <v>441</v>
      </c>
      <c r="F3154">
        <f t="shared" si="52"/>
        <v>7</v>
      </c>
    </row>
    <row r="3155" spans="1:6">
      <c r="A3155" s="83">
        <v>43497</v>
      </c>
      <c r="B3155" t="s">
        <v>33</v>
      </c>
      <c r="C3155" t="s">
        <v>24</v>
      </c>
      <c r="D3155" t="s">
        <v>23</v>
      </c>
      <c r="E3155">
        <v>330</v>
      </c>
      <c r="F3155">
        <f t="shared" si="52"/>
        <v>3</v>
      </c>
    </row>
    <row r="3156" spans="1:6">
      <c r="A3156" s="83">
        <v>43497</v>
      </c>
      <c r="B3156" t="s">
        <v>33</v>
      </c>
      <c r="C3156" t="s">
        <v>24</v>
      </c>
      <c r="D3156" t="s">
        <v>22</v>
      </c>
      <c r="E3156">
        <v>270</v>
      </c>
      <c r="F3156">
        <f t="shared" si="52"/>
        <v>7</v>
      </c>
    </row>
    <row r="3157" spans="1:6">
      <c r="A3157" s="83">
        <v>43525</v>
      </c>
      <c r="B3157" t="s">
        <v>33</v>
      </c>
      <c r="C3157" t="s">
        <v>21</v>
      </c>
      <c r="D3157" t="s">
        <v>26</v>
      </c>
      <c r="E3157">
        <v>55</v>
      </c>
      <c r="F3157">
        <f t="shared" si="52"/>
        <v>5</v>
      </c>
    </row>
    <row r="3158" spans="1:6">
      <c r="A3158" s="83">
        <v>43525</v>
      </c>
      <c r="B3158" t="s">
        <v>33</v>
      </c>
      <c r="C3158" t="s">
        <v>21</v>
      </c>
      <c r="D3158" t="s">
        <v>23</v>
      </c>
      <c r="E3158">
        <v>410</v>
      </c>
      <c r="F3158">
        <f t="shared" si="52"/>
        <v>3</v>
      </c>
    </row>
    <row r="3159" spans="1:6">
      <c r="A3159" s="83">
        <v>43525</v>
      </c>
      <c r="B3159" t="s">
        <v>33</v>
      </c>
      <c r="C3159" t="s">
        <v>24</v>
      </c>
      <c r="D3159" t="s">
        <v>26</v>
      </c>
      <c r="E3159">
        <v>371</v>
      </c>
      <c r="F3159">
        <f t="shared" si="52"/>
        <v>5</v>
      </c>
    </row>
    <row r="3160" spans="1:6">
      <c r="A3160" s="83">
        <v>43525</v>
      </c>
      <c r="B3160" t="s">
        <v>33</v>
      </c>
      <c r="C3160" t="s">
        <v>24</v>
      </c>
      <c r="D3160" t="s">
        <v>22</v>
      </c>
      <c r="E3160">
        <v>214</v>
      </c>
      <c r="F3160">
        <f t="shared" si="52"/>
        <v>7</v>
      </c>
    </row>
    <row r="3161" spans="1:6">
      <c r="A3161" s="83">
        <v>43556</v>
      </c>
      <c r="B3161" t="s">
        <v>33</v>
      </c>
      <c r="C3161" t="s">
        <v>21</v>
      </c>
      <c r="D3161" t="s">
        <v>26</v>
      </c>
      <c r="E3161">
        <v>66</v>
      </c>
      <c r="F3161">
        <f t="shared" si="52"/>
        <v>5</v>
      </c>
    </row>
    <row r="3162" spans="1:6">
      <c r="A3162" s="83">
        <v>43556</v>
      </c>
      <c r="B3162" t="s">
        <v>33</v>
      </c>
      <c r="C3162" t="s">
        <v>21</v>
      </c>
      <c r="D3162" t="s">
        <v>26</v>
      </c>
      <c r="E3162">
        <v>378</v>
      </c>
      <c r="F3162">
        <f t="shared" si="52"/>
        <v>5</v>
      </c>
    </row>
    <row r="3163" spans="1:6">
      <c r="A3163" s="83">
        <v>43556</v>
      </c>
      <c r="B3163" t="s">
        <v>33</v>
      </c>
      <c r="C3163" t="s">
        <v>24</v>
      </c>
      <c r="D3163" t="s">
        <v>22</v>
      </c>
      <c r="E3163">
        <v>358</v>
      </c>
      <c r="F3163">
        <f t="shared" si="52"/>
        <v>7</v>
      </c>
    </row>
    <row r="3164" spans="1:6">
      <c r="A3164" s="83">
        <v>43556</v>
      </c>
      <c r="B3164" t="s">
        <v>33</v>
      </c>
      <c r="C3164" t="s">
        <v>24</v>
      </c>
      <c r="D3164" t="s">
        <v>23</v>
      </c>
      <c r="E3164">
        <v>180</v>
      </c>
      <c r="F3164">
        <f t="shared" si="52"/>
        <v>3</v>
      </c>
    </row>
    <row r="3165" spans="1:6">
      <c r="A3165" s="83">
        <v>43586</v>
      </c>
      <c r="B3165" t="s">
        <v>33</v>
      </c>
      <c r="C3165" t="s">
        <v>21</v>
      </c>
      <c r="D3165" t="s">
        <v>26</v>
      </c>
      <c r="E3165">
        <v>77</v>
      </c>
      <c r="F3165">
        <f t="shared" si="52"/>
        <v>5</v>
      </c>
    </row>
    <row r="3166" spans="1:6">
      <c r="A3166" s="83">
        <v>43586</v>
      </c>
      <c r="B3166" t="s">
        <v>33</v>
      </c>
      <c r="C3166" t="s">
        <v>21</v>
      </c>
      <c r="D3166" t="s">
        <v>23</v>
      </c>
      <c r="E3166">
        <v>315</v>
      </c>
      <c r="F3166">
        <f t="shared" si="52"/>
        <v>3</v>
      </c>
    </row>
    <row r="3167" spans="1:6">
      <c r="A3167" s="83">
        <v>43586</v>
      </c>
      <c r="B3167" t="s">
        <v>33</v>
      </c>
      <c r="C3167" t="s">
        <v>24</v>
      </c>
      <c r="D3167" t="s">
        <v>22</v>
      </c>
      <c r="E3167">
        <v>399</v>
      </c>
      <c r="F3167">
        <f t="shared" si="52"/>
        <v>7</v>
      </c>
    </row>
    <row r="3168" spans="1:6">
      <c r="A3168" s="83">
        <v>43586</v>
      </c>
      <c r="B3168" t="s">
        <v>33</v>
      </c>
      <c r="C3168" t="s">
        <v>24</v>
      </c>
      <c r="D3168" t="s">
        <v>23</v>
      </c>
      <c r="E3168">
        <v>158</v>
      </c>
      <c r="F3168">
        <f t="shared" si="52"/>
        <v>3</v>
      </c>
    </row>
    <row r="3169" spans="1:6">
      <c r="A3169" s="83">
        <v>43617</v>
      </c>
      <c r="B3169" t="s">
        <v>33</v>
      </c>
      <c r="C3169" t="s">
        <v>21</v>
      </c>
      <c r="D3169" t="s">
        <v>23</v>
      </c>
      <c r="E3169">
        <v>50</v>
      </c>
      <c r="F3169">
        <f t="shared" si="52"/>
        <v>3</v>
      </c>
    </row>
    <row r="3170" spans="1:6">
      <c r="A3170" s="83">
        <v>43617</v>
      </c>
      <c r="B3170" t="s">
        <v>33</v>
      </c>
      <c r="C3170" t="s">
        <v>21</v>
      </c>
      <c r="D3170" t="s">
        <v>22</v>
      </c>
      <c r="E3170">
        <v>369</v>
      </c>
      <c r="F3170">
        <f t="shared" si="52"/>
        <v>7</v>
      </c>
    </row>
    <row r="3171" spans="1:6">
      <c r="A3171" s="83">
        <v>43617</v>
      </c>
      <c r="B3171" t="s">
        <v>33</v>
      </c>
      <c r="C3171" t="s">
        <v>24</v>
      </c>
      <c r="D3171" t="s">
        <v>22</v>
      </c>
      <c r="E3171">
        <v>344</v>
      </c>
      <c r="F3171">
        <f t="shared" si="52"/>
        <v>7</v>
      </c>
    </row>
    <row r="3172" spans="1:6">
      <c r="A3172" s="83">
        <v>43617</v>
      </c>
      <c r="B3172" t="s">
        <v>33</v>
      </c>
      <c r="C3172" t="s">
        <v>24</v>
      </c>
      <c r="D3172" t="s">
        <v>23</v>
      </c>
      <c r="E3172">
        <v>135</v>
      </c>
      <c r="F3172">
        <f t="shared" si="52"/>
        <v>3</v>
      </c>
    </row>
    <row r="3173" spans="1:6">
      <c r="A3173" s="83">
        <v>43647</v>
      </c>
      <c r="B3173" t="s">
        <v>33</v>
      </c>
      <c r="C3173" t="s">
        <v>21</v>
      </c>
      <c r="D3173" t="s">
        <v>26</v>
      </c>
      <c r="E3173">
        <v>72</v>
      </c>
      <c r="F3173">
        <f t="shared" si="52"/>
        <v>5</v>
      </c>
    </row>
    <row r="3174" spans="1:6">
      <c r="A3174" s="83">
        <v>43647</v>
      </c>
      <c r="B3174" t="s">
        <v>33</v>
      </c>
      <c r="C3174" t="s">
        <v>21</v>
      </c>
      <c r="D3174" t="s">
        <v>26</v>
      </c>
      <c r="E3174">
        <v>428</v>
      </c>
      <c r="F3174">
        <f t="shared" si="52"/>
        <v>5</v>
      </c>
    </row>
    <row r="3175" spans="1:6">
      <c r="A3175" s="83">
        <v>43647</v>
      </c>
      <c r="B3175" t="s">
        <v>33</v>
      </c>
      <c r="C3175" t="s">
        <v>24</v>
      </c>
      <c r="D3175" t="s">
        <v>22</v>
      </c>
      <c r="E3175">
        <v>385</v>
      </c>
      <c r="F3175">
        <f t="shared" si="52"/>
        <v>7</v>
      </c>
    </row>
    <row r="3176" spans="1:6">
      <c r="A3176" s="83">
        <v>43647</v>
      </c>
      <c r="B3176" t="s">
        <v>33</v>
      </c>
      <c r="C3176" t="s">
        <v>24</v>
      </c>
      <c r="D3176" t="s">
        <v>26</v>
      </c>
      <c r="E3176">
        <v>158</v>
      </c>
      <c r="F3176">
        <f t="shared" si="52"/>
        <v>5</v>
      </c>
    </row>
    <row r="3177" spans="1:6">
      <c r="A3177" s="83">
        <v>43678</v>
      </c>
      <c r="B3177" t="s">
        <v>33</v>
      </c>
      <c r="C3177" t="s">
        <v>21</v>
      </c>
      <c r="D3177" t="s">
        <v>23</v>
      </c>
      <c r="E3177">
        <v>83</v>
      </c>
      <c r="F3177">
        <f t="shared" si="52"/>
        <v>3</v>
      </c>
    </row>
    <row r="3178" spans="1:6">
      <c r="A3178" s="83">
        <v>43678</v>
      </c>
      <c r="B3178" t="s">
        <v>33</v>
      </c>
      <c r="C3178" t="s">
        <v>21</v>
      </c>
      <c r="D3178" t="s">
        <v>26</v>
      </c>
      <c r="E3178">
        <v>414</v>
      </c>
      <c r="F3178">
        <f t="shared" si="52"/>
        <v>5</v>
      </c>
    </row>
    <row r="3179" spans="1:6">
      <c r="A3179" s="83">
        <v>43678</v>
      </c>
      <c r="B3179" t="s">
        <v>33</v>
      </c>
      <c r="C3179" t="s">
        <v>24</v>
      </c>
      <c r="D3179" t="s">
        <v>26</v>
      </c>
      <c r="E3179">
        <v>385</v>
      </c>
      <c r="F3179">
        <f t="shared" si="52"/>
        <v>5</v>
      </c>
    </row>
    <row r="3180" spans="1:6">
      <c r="A3180" s="83">
        <v>43678</v>
      </c>
      <c r="B3180" t="s">
        <v>33</v>
      </c>
      <c r="C3180" t="s">
        <v>24</v>
      </c>
      <c r="D3180" t="s">
        <v>23</v>
      </c>
      <c r="E3180">
        <v>146</v>
      </c>
      <c r="F3180">
        <f t="shared" si="52"/>
        <v>3</v>
      </c>
    </row>
    <row r="3181" spans="1:6">
      <c r="A3181" s="83">
        <v>43709</v>
      </c>
      <c r="B3181" t="s">
        <v>33</v>
      </c>
      <c r="C3181" t="s">
        <v>21</v>
      </c>
      <c r="D3181" t="s">
        <v>26</v>
      </c>
      <c r="E3181">
        <v>160</v>
      </c>
      <c r="F3181">
        <f t="shared" si="52"/>
        <v>5</v>
      </c>
    </row>
    <row r="3182" spans="1:6">
      <c r="A3182" s="83">
        <v>43709</v>
      </c>
      <c r="B3182" t="s">
        <v>33</v>
      </c>
      <c r="C3182" t="s">
        <v>21</v>
      </c>
      <c r="D3182" t="s">
        <v>22</v>
      </c>
      <c r="E3182">
        <v>387</v>
      </c>
      <c r="F3182">
        <f t="shared" si="52"/>
        <v>7</v>
      </c>
    </row>
    <row r="3183" spans="1:6">
      <c r="A3183" s="83">
        <v>43709</v>
      </c>
      <c r="B3183" t="s">
        <v>33</v>
      </c>
      <c r="C3183" t="s">
        <v>24</v>
      </c>
      <c r="D3183" t="s">
        <v>22</v>
      </c>
      <c r="E3183">
        <v>344</v>
      </c>
      <c r="F3183">
        <f t="shared" si="52"/>
        <v>7</v>
      </c>
    </row>
    <row r="3184" spans="1:6">
      <c r="A3184" s="83">
        <v>43709</v>
      </c>
      <c r="B3184" t="s">
        <v>33</v>
      </c>
      <c r="C3184" t="s">
        <v>24</v>
      </c>
      <c r="D3184" t="s">
        <v>26</v>
      </c>
      <c r="E3184">
        <v>124</v>
      </c>
      <c r="F3184">
        <f t="shared" si="52"/>
        <v>5</v>
      </c>
    </row>
    <row r="3185" spans="1:6">
      <c r="A3185" s="83">
        <v>43739</v>
      </c>
      <c r="B3185" t="s">
        <v>33</v>
      </c>
      <c r="C3185" t="s">
        <v>21</v>
      </c>
      <c r="D3185" t="s">
        <v>22</v>
      </c>
      <c r="E3185">
        <v>176</v>
      </c>
      <c r="F3185">
        <f t="shared" si="52"/>
        <v>7</v>
      </c>
    </row>
    <row r="3186" spans="1:6">
      <c r="A3186" s="83">
        <v>43739</v>
      </c>
      <c r="B3186" t="s">
        <v>33</v>
      </c>
      <c r="C3186" t="s">
        <v>21</v>
      </c>
      <c r="D3186" t="s">
        <v>26</v>
      </c>
      <c r="E3186">
        <v>464</v>
      </c>
      <c r="F3186">
        <f t="shared" si="52"/>
        <v>5</v>
      </c>
    </row>
    <row r="3187" spans="1:6">
      <c r="A3187" s="83">
        <v>43739</v>
      </c>
      <c r="B3187" t="s">
        <v>33</v>
      </c>
      <c r="C3187" t="s">
        <v>24</v>
      </c>
      <c r="D3187" t="s">
        <v>23</v>
      </c>
      <c r="E3187">
        <v>165</v>
      </c>
      <c r="F3187">
        <f t="shared" si="52"/>
        <v>3</v>
      </c>
    </row>
    <row r="3188" spans="1:6">
      <c r="A3188" s="83">
        <v>43739</v>
      </c>
      <c r="B3188" t="s">
        <v>33</v>
      </c>
      <c r="C3188" t="s">
        <v>24</v>
      </c>
      <c r="D3188" t="s">
        <v>26</v>
      </c>
      <c r="E3188">
        <v>124</v>
      </c>
      <c r="F3188">
        <f t="shared" si="52"/>
        <v>5</v>
      </c>
    </row>
    <row r="3189" spans="1:6">
      <c r="A3189" s="83">
        <v>43770</v>
      </c>
      <c r="B3189" t="s">
        <v>33</v>
      </c>
      <c r="C3189" t="s">
        <v>21</v>
      </c>
      <c r="D3189" t="s">
        <v>26</v>
      </c>
      <c r="E3189">
        <v>308</v>
      </c>
      <c r="F3189">
        <f t="shared" si="52"/>
        <v>5</v>
      </c>
    </row>
    <row r="3190" spans="1:6">
      <c r="A3190" s="83">
        <v>43770</v>
      </c>
      <c r="B3190" t="s">
        <v>33</v>
      </c>
      <c r="C3190" t="s">
        <v>21</v>
      </c>
      <c r="D3190" t="s">
        <v>26</v>
      </c>
      <c r="E3190">
        <v>610</v>
      </c>
      <c r="F3190">
        <f t="shared" si="52"/>
        <v>5</v>
      </c>
    </row>
    <row r="3191" spans="1:6">
      <c r="A3191" s="83">
        <v>43770</v>
      </c>
      <c r="B3191" t="s">
        <v>33</v>
      </c>
      <c r="C3191" t="s">
        <v>24</v>
      </c>
      <c r="D3191" t="s">
        <v>26</v>
      </c>
      <c r="E3191">
        <v>289</v>
      </c>
      <c r="F3191">
        <f t="shared" si="52"/>
        <v>5</v>
      </c>
    </row>
    <row r="3192" spans="1:6">
      <c r="A3192" s="83">
        <v>43770</v>
      </c>
      <c r="B3192" t="s">
        <v>33</v>
      </c>
      <c r="C3192" t="s">
        <v>24</v>
      </c>
      <c r="D3192" t="s">
        <v>23</v>
      </c>
      <c r="E3192">
        <v>146</v>
      </c>
      <c r="F3192">
        <f t="shared" si="52"/>
        <v>3</v>
      </c>
    </row>
    <row r="3193" spans="1:6">
      <c r="A3193" s="83">
        <v>43800</v>
      </c>
      <c r="B3193" t="s">
        <v>33</v>
      </c>
      <c r="C3193" t="s">
        <v>21</v>
      </c>
      <c r="D3193" t="s">
        <v>23</v>
      </c>
      <c r="E3193">
        <v>314</v>
      </c>
      <c r="F3193">
        <f t="shared" si="52"/>
        <v>3</v>
      </c>
    </row>
    <row r="3194" spans="1:6">
      <c r="A3194" s="83">
        <v>43800</v>
      </c>
      <c r="B3194" t="s">
        <v>33</v>
      </c>
      <c r="C3194" t="s">
        <v>21</v>
      </c>
      <c r="D3194" t="s">
        <v>26</v>
      </c>
      <c r="E3194">
        <v>854</v>
      </c>
      <c r="F3194">
        <f t="shared" si="52"/>
        <v>5</v>
      </c>
    </row>
    <row r="3195" spans="1:6">
      <c r="A3195" s="83">
        <v>43800</v>
      </c>
      <c r="B3195" t="s">
        <v>33</v>
      </c>
      <c r="C3195" t="s">
        <v>24</v>
      </c>
      <c r="D3195" t="s">
        <v>22</v>
      </c>
      <c r="E3195">
        <v>385</v>
      </c>
      <c r="F3195">
        <f t="shared" si="52"/>
        <v>7</v>
      </c>
    </row>
    <row r="3196" spans="1:6">
      <c r="A3196" s="83">
        <v>43800</v>
      </c>
      <c r="B3196" t="s">
        <v>33</v>
      </c>
      <c r="C3196" t="s">
        <v>24</v>
      </c>
      <c r="D3196" t="s">
        <v>22</v>
      </c>
      <c r="E3196">
        <v>214</v>
      </c>
      <c r="F3196">
        <f t="shared" si="52"/>
        <v>7</v>
      </c>
    </row>
    <row r="3197" spans="1:6">
      <c r="A3197" s="83">
        <v>43191</v>
      </c>
      <c r="B3197" t="s">
        <v>33</v>
      </c>
      <c r="C3197" t="s">
        <v>24</v>
      </c>
      <c r="D3197" t="s">
        <v>26</v>
      </c>
      <c r="E3197">
        <v>96</v>
      </c>
      <c r="F3197">
        <f t="shared" si="52"/>
        <v>5</v>
      </c>
    </row>
    <row r="3198" spans="1:6">
      <c r="A3198" s="83">
        <v>43191</v>
      </c>
      <c r="B3198" t="s">
        <v>33</v>
      </c>
      <c r="C3198" t="s">
        <v>24</v>
      </c>
      <c r="D3198" t="s">
        <v>22</v>
      </c>
      <c r="E3198">
        <v>135</v>
      </c>
      <c r="F3198">
        <f t="shared" si="52"/>
        <v>7</v>
      </c>
    </row>
    <row r="3199" spans="1:6">
      <c r="A3199" s="83">
        <v>43221</v>
      </c>
      <c r="B3199" t="s">
        <v>33</v>
      </c>
      <c r="C3199" t="s">
        <v>24</v>
      </c>
      <c r="D3199" t="s">
        <v>23</v>
      </c>
      <c r="E3199">
        <v>96</v>
      </c>
      <c r="F3199">
        <f t="shared" si="52"/>
        <v>3</v>
      </c>
    </row>
    <row r="3200" spans="1:6">
      <c r="A3200" s="83">
        <v>43221</v>
      </c>
      <c r="B3200" t="s">
        <v>33</v>
      </c>
      <c r="C3200" t="s">
        <v>24</v>
      </c>
      <c r="D3200" t="s">
        <v>23</v>
      </c>
      <c r="E3200">
        <v>146</v>
      </c>
      <c r="F3200">
        <f t="shared" si="52"/>
        <v>3</v>
      </c>
    </row>
    <row r="3201" spans="1:6">
      <c r="A3201" s="83">
        <v>43252</v>
      </c>
      <c r="B3201" t="s">
        <v>33</v>
      </c>
      <c r="C3201" t="s">
        <v>24</v>
      </c>
      <c r="D3201" t="s">
        <v>26</v>
      </c>
      <c r="E3201">
        <v>105</v>
      </c>
      <c r="F3201">
        <f t="shared" si="52"/>
        <v>5</v>
      </c>
    </row>
    <row r="3202" spans="1:6">
      <c r="A3202" s="83">
        <v>43252</v>
      </c>
      <c r="B3202" t="s">
        <v>33</v>
      </c>
      <c r="C3202" t="s">
        <v>24</v>
      </c>
      <c r="D3202" t="s">
        <v>23</v>
      </c>
      <c r="E3202">
        <v>169</v>
      </c>
      <c r="F3202">
        <f t="shared" si="52"/>
        <v>3</v>
      </c>
    </row>
    <row r="3203" spans="1:6">
      <c r="A3203" s="83">
        <v>43282</v>
      </c>
      <c r="B3203" t="s">
        <v>33</v>
      </c>
      <c r="C3203" t="s">
        <v>21</v>
      </c>
      <c r="D3203" t="s">
        <v>26</v>
      </c>
      <c r="E3203">
        <v>67</v>
      </c>
      <c r="F3203">
        <f t="shared" ref="F3203:F3266" si="53">LEN(D3203)</f>
        <v>5</v>
      </c>
    </row>
    <row r="3204" spans="1:6">
      <c r="A3204" s="83">
        <v>43282</v>
      </c>
      <c r="B3204" t="s">
        <v>33</v>
      </c>
      <c r="C3204" t="s">
        <v>21</v>
      </c>
      <c r="D3204" t="s">
        <v>23</v>
      </c>
      <c r="E3204">
        <v>54</v>
      </c>
      <c r="F3204">
        <f t="shared" si="53"/>
        <v>3</v>
      </c>
    </row>
    <row r="3205" spans="1:6">
      <c r="A3205" s="83">
        <v>43282</v>
      </c>
      <c r="B3205" t="s">
        <v>33</v>
      </c>
      <c r="C3205" t="s">
        <v>24</v>
      </c>
      <c r="D3205" t="s">
        <v>23</v>
      </c>
      <c r="E3205">
        <v>105</v>
      </c>
      <c r="F3205">
        <f t="shared" si="53"/>
        <v>3</v>
      </c>
    </row>
    <row r="3206" spans="1:6">
      <c r="A3206" s="83">
        <v>43282</v>
      </c>
      <c r="B3206" t="s">
        <v>33</v>
      </c>
      <c r="C3206" t="s">
        <v>24</v>
      </c>
      <c r="D3206" t="s">
        <v>22</v>
      </c>
      <c r="E3206">
        <v>146</v>
      </c>
      <c r="F3206">
        <f t="shared" si="53"/>
        <v>7</v>
      </c>
    </row>
    <row r="3207" spans="1:6">
      <c r="A3207" s="83">
        <v>43313</v>
      </c>
      <c r="B3207" t="s">
        <v>33</v>
      </c>
      <c r="C3207" t="s">
        <v>21</v>
      </c>
      <c r="D3207" t="s">
        <v>26</v>
      </c>
      <c r="E3207">
        <v>67</v>
      </c>
      <c r="F3207">
        <f t="shared" si="53"/>
        <v>5</v>
      </c>
    </row>
    <row r="3208" spans="1:6">
      <c r="A3208" s="83">
        <v>43313</v>
      </c>
      <c r="B3208" t="s">
        <v>33</v>
      </c>
      <c r="C3208" t="s">
        <v>21</v>
      </c>
      <c r="D3208" t="s">
        <v>22</v>
      </c>
      <c r="E3208">
        <v>50</v>
      </c>
      <c r="F3208">
        <f t="shared" si="53"/>
        <v>7</v>
      </c>
    </row>
    <row r="3209" spans="1:6">
      <c r="A3209" s="83">
        <v>43313</v>
      </c>
      <c r="B3209" t="s">
        <v>33</v>
      </c>
      <c r="C3209" t="s">
        <v>24</v>
      </c>
      <c r="D3209" t="s">
        <v>26</v>
      </c>
      <c r="E3209">
        <v>114</v>
      </c>
      <c r="F3209">
        <f t="shared" si="53"/>
        <v>5</v>
      </c>
    </row>
    <row r="3210" spans="1:6">
      <c r="A3210" s="83">
        <v>43313</v>
      </c>
      <c r="B3210" t="s">
        <v>33</v>
      </c>
      <c r="C3210" t="s">
        <v>24</v>
      </c>
      <c r="D3210" t="s">
        <v>22</v>
      </c>
      <c r="E3210">
        <v>146</v>
      </c>
      <c r="F3210">
        <f t="shared" si="53"/>
        <v>7</v>
      </c>
    </row>
    <row r="3211" spans="1:6">
      <c r="A3211" s="83">
        <v>43344</v>
      </c>
      <c r="B3211" t="s">
        <v>33</v>
      </c>
      <c r="C3211" t="s">
        <v>21</v>
      </c>
      <c r="D3211" t="s">
        <v>22</v>
      </c>
      <c r="E3211">
        <v>102</v>
      </c>
      <c r="F3211">
        <f t="shared" si="53"/>
        <v>7</v>
      </c>
    </row>
    <row r="3212" spans="1:6">
      <c r="A3212" s="83">
        <v>43344</v>
      </c>
      <c r="B3212" t="s">
        <v>33</v>
      </c>
      <c r="C3212" t="s">
        <v>21</v>
      </c>
      <c r="D3212" t="s">
        <v>23</v>
      </c>
      <c r="E3212">
        <v>63</v>
      </c>
      <c r="F3212">
        <f t="shared" si="53"/>
        <v>3</v>
      </c>
    </row>
    <row r="3213" spans="1:6">
      <c r="A3213" s="83">
        <v>43344</v>
      </c>
      <c r="B3213" t="s">
        <v>33</v>
      </c>
      <c r="C3213" t="s">
        <v>24</v>
      </c>
      <c r="D3213" t="s">
        <v>26</v>
      </c>
      <c r="E3213">
        <v>96</v>
      </c>
      <c r="F3213">
        <f t="shared" si="53"/>
        <v>5</v>
      </c>
    </row>
    <row r="3214" spans="1:6">
      <c r="A3214" s="83">
        <v>43344</v>
      </c>
      <c r="B3214" t="s">
        <v>33</v>
      </c>
      <c r="C3214" t="s">
        <v>24</v>
      </c>
      <c r="D3214" t="s">
        <v>23</v>
      </c>
      <c r="E3214">
        <v>146</v>
      </c>
      <c r="F3214">
        <f t="shared" si="53"/>
        <v>3</v>
      </c>
    </row>
    <row r="3215" spans="1:6">
      <c r="A3215" s="83">
        <v>43374</v>
      </c>
      <c r="B3215" t="s">
        <v>33</v>
      </c>
      <c r="C3215" t="s">
        <v>21</v>
      </c>
      <c r="D3215" t="s">
        <v>26</v>
      </c>
      <c r="E3215">
        <v>116</v>
      </c>
      <c r="F3215">
        <f t="shared" si="53"/>
        <v>5</v>
      </c>
    </row>
    <row r="3216" spans="1:6">
      <c r="A3216" s="83">
        <v>43374</v>
      </c>
      <c r="B3216" t="s">
        <v>33</v>
      </c>
      <c r="C3216" t="s">
        <v>21</v>
      </c>
      <c r="D3216" t="s">
        <v>26</v>
      </c>
      <c r="E3216">
        <v>90</v>
      </c>
      <c r="F3216">
        <f t="shared" si="53"/>
        <v>5</v>
      </c>
    </row>
    <row r="3217" spans="1:6">
      <c r="A3217" s="83">
        <v>43374</v>
      </c>
      <c r="B3217" t="s">
        <v>33</v>
      </c>
      <c r="C3217" t="s">
        <v>24</v>
      </c>
      <c r="D3217" t="s">
        <v>26</v>
      </c>
      <c r="E3217">
        <v>149</v>
      </c>
      <c r="F3217">
        <f t="shared" si="53"/>
        <v>5</v>
      </c>
    </row>
    <row r="3218" spans="1:6">
      <c r="A3218" s="83">
        <v>43374</v>
      </c>
      <c r="B3218" t="s">
        <v>33</v>
      </c>
      <c r="C3218" t="s">
        <v>24</v>
      </c>
      <c r="D3218" t="s">
        <v>22</v>
      </c>
      <c r="E3218">
        <v>203</v>
      </c>
      <c r="F3218">
        <f t="shared" si="53"/>
        <v>7</v>
      </c>
    </row>
    <row r="3219" spans="1:6">
      <c r="A3219" s="83">
        <v>43405</v>
      </c>
      <c r="B3219" t="s">
        <v>33</v>
      </c>
      <c r="C3219" t="s">
        <v>21</v>
      </c>
      <c r="D3219" t="s">
        <v>23</v>
      </c>
      <c r="E3219">
        <v>196</v>
      </c>
      <c r="F3219">
        <f t="shared" si="53"/>
        <v>3</v>
      </c>
    </row>
    <row r="3220" spans="1:6">
      <c r="A3220" s="83">
        <v>43405</v>
      </c>
      <c r="B3220" t="s">
        <v>33</v>
      </c>
      <c r="C3220" t="s">
        <v>21</v>
      </c>
      <c r="D3220" t="s">
        <v>23</v>
      </c>
      <c r="E3220">
        <v>144</v>
      </c>
      <c r="F3220">
        <f t="shared" si="53"/>
        <v>3</v>
      </c>
    </row>
    <row r="3221" spans="1:6">
      <c r="A3221" s="83">
        <v>43405</v>
      </c>
      <c r="B3221" t="s">
        <v>33</v>
      </c>
      <c r="C3221" t="s">
        <v>24</v>
      </c>
      <c r="D3221" t="s">
        <v>26</v>
      </c>
      <c r="E3221">
        <v>245</v>
      </c>
      <c r="F3221">
        <f t="shared" si="53"/>
        <v>5</v>
      </c>
    </row>
    <row r="3222" spans="1:6">
      <c r="A3222" s="83">
        <v>43405</v>
      </c>
      <c r="B3222" t="s">
        <v>33</v>
      </c>
      <c r="C3222" t="s">
        <v>24</v>
      </c>
      <c r="D3222" t="s">
        <v>26</v>
      </c>
      <c r="E3222">
        <v>315</v>
      </c>
      <c r="F3222">
        <f t="shared" si="53"/>
        <v>5</v>
      </c>
    </row>
    <row r="3223" spans="1:6">
      <c r="A3223" s="83">
        <v>43435</v>
      </c>
      <c r="B3223" t="s">
        <v>33</v>
      </c>
      <c r="C3223" t="s">
        <v>21</v>
      </c>
      <c r="D3223" t="s">
        <v>23</v>
      </c>
      <c r="E3223">
        <v>214</v>
      </c>
      <c r="F3223">
        <f t="shared" si="53"/>
        <v>3</v>
      </c>
    </row>
    <row r="3224" spans="1:6">
      <c r="A3224" s="83">
        <v>43435</v>
      </c>
      <c r="B3224" t="s">
        <v>33</v>
      </c>
      <c r="C3224" t="s">
        <v>21</v>
      </c>
      <c r="D3224" t="s">
        <v>23</v>
      </c>
      <c r="E3224">
        <v>176</v>
      </c>
      <c r="F3224">
        <f t="shared" si="53"/>
        <v>3</v>
      </c>
    </row>
    <row r="3225" spans="1:6">
      <c r="A3225" s="83">
        <v>43435</v>
      </c>
      <c r="B3225" t="s">
        <v>33</v>
      </c>
      <c r="C3225" t="s">
        <v>24</v>
      </c>
      <c r="D3225" t="s">
        <v>23</v>
      </c>
      <c r="E3225">
        <v>201</v>
      </c>
      <c r="F3225">
        <f t="shared" si="53"/>
        <v>3</v>
      </c>
    </row>
    <row r="3226" spans="1:6">
      <c r="A3226" s="83">
        <v>43435</v>
      </c>
      <c r="B3226" t="s">
        <v>33</v>
      </c>
      <c r="C3226" t="s">
        <v>24</v>
      </c>
      <c r="D3226" t="s">
        <v>23</v>
      </c>
      <c r="E3226">
        <v>259</v>
      </c>
      <c r="F3226">
        <f t="shared" si="53"/>
        <v>3</v>
      </c>
    </row>
    <row r="3227" spans="1:6">
      <c r="A3227" s="83">
        <v>43466</v>
      </c>
      <c r="B3227" t="s">
        <v>33</v>
      </c>
      <c r="C3227" t="s">
        <v>21</v>
      </c>
      <c r="D3227" t="s">
        <v>22</v>
      </c>
      <c r="E3227">
        <v>273</v>
      </c>
      <c r="F3227">
        <f t="shared" si="53"/>
        <v>7</v>
      </c>
    </row>
    <row r="3228" spans="1:6">
      <c r="A3228" s="83">
        <v>43466</v>
      </c>
      <c r="B3228" t="s">
        <v>33</v>
      </c>
      <c r="C3228" t="s">
        <v>21</v>
      </c>
      <c r="D3228" t="s">
        <v>23</v>
      </c>
      <c r="E3228">
        <v>185</v>
      </c>
      <c r="F3228">
        <f t="shared" si="53"/>
        <v>3</v>
      </c>
    </row>
    <row r="3229" spans="1:6">
      <c r="A3229" s="83">
        <v>43466</v>
      </c>
      <c r="B3229" t="s">
        <v>33</v>
      </c>
      <c r="C3229" t="s">
        <v>24</v>
      </c>
      <c r="D3229" t="s">
        <v>26</v>
      </c>
      <c r="E3229">
        <v>245</v>
      </c>
      <c r="F3229">
        <f t="shared" si="53"/>
        <v>5</v>
      </c>
    </row>
    <row r="3230" spans="1:6">
      <c r="A3230" s="83">
        <v>43466</v>
      </c>
      <c r="B3230" t="s">
        <v>33</v>
      </c>
      <c r="C3230" t="s">
        <v>24</v>
      </c>
      <c r="D3230" t="s">
        <v>23</v>
      </c>
      <c r="E3230">
        <v>360</v>
      </c>
      <c r="F3230">
        <f t="shared" si="53"/>
        <v>3</v>
      </c>
    </row>
    <row r="3231" spans="1:6">
      <c r="A3231" s="83">
        <v>43497</v>
      </c>
      <c r="B3231" t="s">
        <v>33</v>
      </c>
      <c r="C3231" t="s">
        <v>21</v>
      </c>
      <c r="D3231" t="s">
        <v>26</v>
      </c>
      <c r="E3231">
        <v>312</v>
      </c>
      <c r="F3231">
        <f t="shared" si="53"/>
        <v>5</v>
      </c>
    </row>
    <row r="3232" spans="1:6">
      <c r="A3232" s="83">
        <v>43497</v>
      </c>
      <c r="B3232" t="s">
        <v>33</v>
      </c>
      <c r="C3232" t="s">
        <v>21</v>
      </c>
      <c r="D3232" t="s">
        <v>22</v>
      </c>
      <c r="E3232">
        <v>230</v>
      </c>
      <c r="F3232">
        <f t="shared" si="53"/>
        <v>7</v>
      </c>
    </row>
    <row r="3233" spans="1:6">
      <c r="A3233" s="83">
        <v>43497</v>
      </c>
      <c r="B3233" t="s">
        <v>33</v>
      </c>
      <c r="C3233" t="s">
        <v>24</v>
      </c>
      <c r="D3233" t="s">
        <v>22</v>
      </c>
      <c r="E3233">
        <v>263</v>
      </c>
      <c r="F3233">
        <f t="shared" si="53"/>
        <v>7</v>
      </c>
    </row>
    <row r="3234" spans="1:6">
      <c r="A3234" s="83">
        <v>43497</v>
      </c>
      <c r="B3234" t="s">
        <v>33</v>
      </c>
      <c r="C3234" t="s">
        <v>24</v>
      </c>
      <c r="D3234" t="s">
        <v>26</v>
      </c>
      <c r="E3234">
        <v>480</v>
      </c>
      <c r="F3234">
        <f t="shared" si="53"/>
        <v>5</v>
      </c>
    </row>
    <row r="3235" spans="1:6">
      <c r="A3235" s="83">
        <v>43525</v>
      </c>
      <c r="B3235" t="s">
        <v>33</v>
      </c>
      <c r="C3235" t="s">
        <v>21</v>
      </c>
      <c r="D3235" t="s">
        <v>23</v>
      </c>
      <c r="E3235">
        <v>322</v>
      </c>
      <c r="F3235">
        <f t="shared" si="53"/>
        <v>3</v>
      </c>
    </row>
    <row r="3236" spans="1:6">
      <c r="A3236" s="83">
        <v>43525</v>
      </c>
      <c r="B3236" t="s">
        <v>33</v>
      </c>
      <c r="C3236" t="s">
        <v>21</v>
      </c>
      <c r="D3236" t="s">
        <v>26</v>
      </c>
      <c r="E3236">
        <v>248</v>
      </c>
      <c r="F3236">
        <f t="shared" si="53"/>
        <v>5</v>
      </c>
    </row>
    <row r="3237" spans="1:6">
      <c r="A3237" s="83">
        <v>43525</v>
      </c>
      <c r="B3237" t="s">
        <v>33</v>
      </c>
      <c r="C3237" t="s">
        <v>24</v>
      </c>
      <c r="D3237" t="s">
        <v>23</v>
      </c>
      <c r="E3237">
        <v>245</v>
      </c>
      <c r="F3237">
        <f t="shared" si="53"/>
        <v>3</v>
      </c>
    </row>
    <row r="3238" spans="1:6">
      <c r="A3238" s="83">
        <v>43525</v>
      </c>
      <c r="B3238" t="s">
        <v>33</v>
      </c>
      <c r="C3238" t="s">
        <v>24</v>
      </c>
      <c r="D3238" t="s">
        <v>23</v>
      </c>
      <c r="E3238">
        <v>513</v>
      </c>
      <c r="F3238">
        <f t="shared" si="53"/>
        <v>3</v>
      </c>
    </row>
    <row r="3239" spans="1:6">
      <c r="A3239" s="83">
        <v>43556</v>
      </c>
      <c r="B3239" t="s">
        <v>33</v>
      </c>
      <c r="C3239" t="s">
        <v>21</v>
      </c>
      <c r="D3239" t="s">
        <v>26</v>
      </c>
      <c r="E3239">
        <v>375</v>
      </c>
      <c r="F3239">
        <f t="shared" si="53"/>
        <v>5</v>
      </c>
    </row>
    <row r="3240" spans="1:6">
      <c r="A3240" s="83">
        <v>43556</v>
      </c>
      <c r="B3240" t="s">
        <v>33</v>
      </c>
      <c r="C3240" t="s">
        <v>21</v>
      </c>
      <c r="D3240" t="s">
        <v>22</v>
      </c>
      <c r="E3240">
        <v>365</v>
      </c>
      <c r="F3240">
        <f t="shared" si="53"/>
        <v>7</v>
      </c>
    </row>
    <row r="3241" spans="1:6">
      <c r="A3241" s="83">
        <v>43556</v>
      </c>
      <c r="B3241" t="s">
        <v>33</v>
      </c>
      <c r="C3241" t="s">
        <v>24</v>
      </c>
      <c r="D3241" t="s">
        <v>26</v>
      </c>
      <c r="E3241">
        <v>236</v>
      </c>
      <c r="F3241">
        <f t="shared" si="53"/>
        <v>5</v>
      </c>
    </row>
    <row r="3242" spans="1:6">
      <c r="A3242" s="83">
        <v>43556</v>
      </c>
      <c r="B3242" t="s">
        <v>33</v>
      </c>
      <c r="C3242" t="s">
        <v>24</v>
      </c>
      <c r="D3242" t="s">
        <v>26</v>
      </c>
      <c r="E3242">
        <v>513</v>
      </c>
      <c r="F3242">
        <f t="shared" si="53"/>
        <v>5</v>
      </c>
    </row>
    <row r="3243" spans="1:6">
      <c r="A3243" s="83">
        <v>43586</v>
      </c>
      <c r="B3243" t="s">
        <v>33</v>
      </c>
      <c r="C3243" t="s">
        <v>21</v>
      </c>
      <c r="D3243" t="s">
        <v>26</v>
      </c>
      <c r="E3243">
        <v>371</v>
      </c>
      <c r="F3243">
        <f t="shared" si="53"/>
        <v>5</v>
      </c>
    </row>
    <row r="3244" spans="1:6">
      <c r="A3244" s="83">
        <v>43586</v>
      </c>
      <c r="B3244" t="s">
        <v>33</v>
      </c>
      <c r="C3244" t="s">
        <v>21</v>
      </c>
      <c r="D3244" t="s">
        <v>26</v>
      </c>
      <c r="E3244">
        <v>428</v>
      </c>
      <c r="F3244">
        <f t="shared" si="53"/>
        <v>5</v>
      </c>
    </row>
    <row r="3245" spans="1:6">
      <c r="A3245" s="83">
        <v>43586</v>
      </c>
      <c r="B3245" t="s">
        <v>33</v>
      </c>
      <c r="C3245" t="s">
        <v>24</v>
      </c>
      <c r="D3245" t="s">
        <v>26</v>
      </c>
      <c r="E3245">
        <v>228</v>
      </c>
      <c r="F3245">
        <f t="shared" si="53"/>
        <v>5</v>
      </c>
    </row>
    <row r="3246" spans="1:6">
      <c r="A3246" s="83">
        <v>43586</v>
      </c>
      <c r="B3246" t="s">
        <v>33</v>
      </c>
      <c r="C3246" t="s">
        <v>24</v>
      </c>
      <c r="D3246" t="s">
        <v>22</v>
      </c>
      <c r="E3246">
        <v>557</v>
      </c>
      <c r="F3246">
        <f t="shared" si="53"/>
        <v>7</v>
      </c>
    </row>
    <row r="3247" spans="1:6">
      <c r="A3247" s="83">
        <v>43617</v>
      </c>
      <c r="B3247" t="s">
        <v>33</v>
      </c>
      <c r="C3247" t="s">
        <v>21</v>
      </c>
      <c r="D3247" t="s">
        <v>26</v>
      </c>
      <c r="E3247">
        <v>277</v>
      </c>
      <c r="F3247">
        <f t="shared" si="53"/>
        <v>5</v>
      </c>
    </row>
    <row r="3248" spans="1:6">
      <c r="A3248" s="83">
        <v>43617</v>
      </c>
      <c r="B3248" t="s">
        <v>33</v>
      </c>
      <c r="C3248" t="s">
        <v>21</v>
      </c>
      <c r="D3248" t="s">
        <v>23</v>
      </c>
      <c r="E3248">
        <v>369</v>
      </c>
      <c r="F3248">
        <f t="shared" si="53"/>
        <v>3</v>
      </c>
    </row>
    <row r="3249" spans="1:6">
      <c r="A3249" s="83">
        <v>43617</v>
      </c>
      <c r="B3249" t="s">
        <v>33</v>
      </c>
      <c r="C3249" t="s">
        <v>24</v>
      </c>
      <c r="D3249" t="s">
        <v>23</v>
      </c>
      <c r="E3249">
        <v>210</v>
      </c>
      <c r="F3249">
        <f t="shared" si="53"/>
        <v>3</v>
      </c>
    </row>
    <row r="3250" spans="1:6">
      <c r="A3250" s="83">
        <v>43617</v>
      </c>
      <c r="B3250" t="s">
        <v>33</v>
      </c>
      <c r="C3250" t="s">
        <v>24</v>
      </c>
      <c r="D3250" t="s">
        <v>26</v>
      </c>
      <c r="E3250">
        <v>426</v>
      </c>
      <c r="F3250">
        <f t="shared" si="53"/>
        <v>5</v>
      </c>
    </row>
    <row r="3251" spans="1:6">
      <c r="A3251" s="83">
        <v>43647</v>
      </c>
      <c r="B3251" t="s">
        <v>33</v>
      </c>
      <c r="C3251" t="s">
        <v>21</v>
      </c>
      <c r="D3251" t="s">
        <v>22</v>
      </c>
      <c r="E3251">
        <v>354</v>
      </c>
      <c r="F3251">
        <f t="shared" si="53"/>
        <v>7</v>
      </c>
    </row>
    <row r="3252" spans="1:6">
      <c r="A3252" s="83">
        <v>43647</v>
      </c>
      <c r="B3252" t="s">
        <v>33</v>
      </c>
      <c r="C3252" t="s">
        <v>21</v>
      </c>
      <c r="D3252" t="s">
        <v>22</v>
      </c>
      <c r="E3252">
        <v>257</v>
      </c>
      <c r="F3252">
        <f t="shared" si="53"/>
        <v>7</v>
      </c>
    </row>
    <row r="3253" spans="1:6">
      <c r="A3253" s="83">
        <v>43647</v>
      </c>
      <c r="B3253" t="s">
        <v>33</v>
      </c>
      <c r="C3253" t="s">
        <v>24</v>
      </c>
      <c r="D3253" t="s">
        <v>23</v>
      </c>
      <c r="E3253">
        <v>245</v>
      </c>
      <c r="F3253">
        <f t="shared" si="53"/>
        <v>3</v>
      </c>
    </row>
    <row r="3254" spans="1:6">
      <c r="A3254" s="83">
        <v>43647</v>
      </c>
      <c r="B3254" t="s">
        <v>33</v>
      </c>
      <c r="C3254" t="s">
        <v>24</v>
      </c>
      <c r="D3254" t="s">
        <v>26</v>
      </c>
      <c r="E3254">
        <v>426</v>
      </c>
      <c r="F3254">
        <f t="shared" si="53"/>
        <v>5</v>
      </c>
    </row>
    <row r="3255" spans="1:6">
      <c r="A3255" s="83">
        <v>43678</v>
      </c>
      <c r="B3255" t="s">
        <v>33</v>
      </c>
      <c r="C3255" t="s">
        <v>21</v>
      </c>
      <c r="D3255" t="s">
        <v>23</v>
      </c>
      <c r="E3255">
        <v>322</v>
      </c>
      <c r="F3255">
        <f t="shared" si="53"/>
        <v>3</v>
      </c>
    </row>
    <row r="3256" spans="1:6">
      <c r="A3256" s="83">
        <v>43678</v>
      </c>
      <c r="B3256" t="s">
        <v>33</v>
      </c>
      <c r="C3256" t="s">
        <v>21</v>
      </c>
      <c r="D3256" t="s">
        <v>23</v>
      </c>
      <c r="E3256">
        <v>342</v>
      </c>
      <c r="F3256">
        <f t="shared" si="53"/>
        <v>3</v>
      </c>
    </row>
    <row r="3257" spans="1:6">
      <c r="A3257" s="83">
        <v>43678</v>
      </c>
      <c r="B3257" t="s">
        <v>33</v>
      </c>
      <c r="C3257" t="s">
        <v>24</v>
      </c>
      <c r="D3257" t="s">
        <v>23</v>
      </c>
      <c r="E3257">
        <v>228</v>
      </c>
      <c r="F3257">
        <f t="shared" si="53"/>
        <v>3</v>
      </c>
    </row>
    <row r="3258" spans="1:6">
      <c r="A3258" s="83">
        <v>43678</v>
      </c>
      <c r="B3258" t="s">
        <v>33</v>
      </c>
      <c r="C3258" t="s">
        <v>24</v>
      </c>
      <c r="D3258" t="s">
        <v>22</v>
      </c>
      <c r="E3258">
        <v>448</v>
      </c>
      <c r="F3258">
        <f t="shared" si="53"/>
        <v>7</v>
      </c>
    </row>
    <row r="3259" spans="1:6">
      <c r="A3259" s="83">
        <v>43709</v>
      </c>
      <c r="B3259" t="s">
        <v>33</v>
      </c>
      <c r="C3259" t="s">
        <v>21</v>
      </c>
      <c r="D3259" t="s">
        <v>22</v>
      </c>
      <c r="E3259">
        <v>343</v>
      </c>
      <c r="F3259">
        <f t="shared" si="53"/>
        <v>7</v>
      </c>
    </row>
    <row r="3260" spans="1:6">
      <c r="A3260" s="83">
        <v>43709</v>
      </c>
      <c r="B3260" t="s">
        <v>33</v>
      </c>
      <c r="C3260" t="s">
        <v>21</v>
      </c>
      <c r="D3260" t="s">
        <v>22</v>
      </c>
      <c r="E3260">
        <v>428</v>
      </c>
      <c r="F3260">
        <f t="shared" si="53"/>
        <v>7</v>
      </c>
    </row>
    <row r="3261" spans="1:6">
      <c r="A3261" s="83">
        <v>43709</v>
      </c>
      <c r="B3261" t="s">
        <v>33</v>
      </c>
      <c r="C3261" t="s">
        <v>24</v>
      </c>
      <c r="D3261" t="s">
        <v>26</v>
      </c>
      <c r="E3261">
        <v>254</v>
      </c>
      <c r="F3261">
        <f t="shared" si="53"/>
        <v>5</v>
      </c>
    </row>
    <row r="3262" spans="1:6">
      <c r="A3262" s="83">
        <v>43709</v>
      </c>
      <c r="B3262" t="s">
        <v>33</v>
      </c>
      <c r="C3262" t="s">
        <v>24</v>
      </c>
      <c r="D3262" t="s">
        <v>22</v>
      </c>
      <c r="E3262">
        <v>524</v>
      </c>
      <c r="F3262">
        <f t="shared" si="53"/>
        <v>7</v>
      </c>
    </row>
    <row r="3263" spans="1:6">
      <c r="A3263" s="83">
        <v>43739</v>
      </c>
      <c r="B3263" t="s">
        <v>33</v>
      </c>
      <c r="C3263" t="s">
        <v>21</v>
      </c>
      <c r="D3263" t="s">
        <v>26</v>
      </c>
      <c r="E3263">
        <v>343</v>
      </c>
      <c r="F3263">
        <f t="shared" si="53"/>
        <v>5</v>
      </c>
    </row>
    <row r="3264" spans="1:6">
      <c r="A3264" s="83">
        <v>43739</v>
      </c>
      <c r="B3264" t="s">
        <v>33</v>
      </c>
      <c r="C3264" t="s">
        <v>21</v>
      </c>
      <c r="D3264" t="s">
        <v>23</v>
      </c>
      <c r="E3264">
        <v>257</v>
      </c>
      <c r="F3264">
        <f t="shared" si="53"/>
        <v>3</v>
      </c>
    </row>
    <row r="3265" spans="1:6">
      <c r="A3265" s="83">
        <v>43739</v>
      </c>
      <c r="B3265" t="s">
        <v>33</v>
      </c>
      <c r="C3265" t="s">
        <v>24</v>
      </c>
      <c r="D3265" t="s">
        <v>22</v>
      </c>
      <c r="E3265">
        <v>184</v>
      </c>
      <c r="F3265">
        <f t="shared" si="53"/>
        <v>7</v>
      </c>
    </row>
    <row r="3266" spans="1:6">
      <c r="A3266" s="83">
        <v>43739</v>
      </c>
      <c r="B3266" t="s">
        <v>33</v>
      </c>
      <c r="C3266" t="s">
        <v>24</v>
      </c>
      <c r="D3266" t="s">
        <v>26</v>
      </c>
      <c r="E3266">
        <v>535</v>
      </c>
      <c r="F3266">
        <f t="shared" si="53"/>
        <v>5</v>
      </c>
    </row>
    <row r="3267" spans="1:6">
      <c r="A3267" s="83">
        <v>43770</v>
      </c>
      <c r="B3267" t="s">
        <v>33</v>
      </c>
      <c r="C3267" t="s">
        <v>21</v>
      </c>
      <c r="D3267" t="s">
        <v>26</v>
      </c>
      <c r="E3267">
        <v>375</v>
      </c>
      <c r="F3267">
        <f t="shared" ref="F3267:F3330" si="54">LEN(D3267)</f>
        <v>5</v>
      </c>
    </row>
    <row r="3268" spans="1:6">
      <c r="A3268" s="83">
        <v>43770</v>
      </c>
      <c r="B3268" t="s">
        <v>33</v>
      </c>
      <c r="C3268" t="s">
        <v>21</v>
      </c>
      <c r="D3268" t="s">
        <v>26</v>
      </c>
      <c r="E3268">
        <v>428</v>
      </c>
      <c r="F3268">
        <f t="shared" si="54"/>
        <v>5</v>
      </c>
    </row>
    <row r="3269" spans="1:6">
      <c r="A3269" s="83">
        <v>43770</v>
      </c>
      <c r="B3269" t="s">
        <v>33</v>
      </c>
      <c r="C3269" t="s">
        <v>24</v>
      </c>
      <c r="D3269" t="s">
        <v>26</v>
      </c>
      <c r="E3269">
        <v>236</v>
      </c>
      <c r="F3269">
        <f t="shared" si="54"/>
        <v>5</v>
      </c>
    </row>
    <row r="3270" spans="1:6">
      <c r="A3270" s="83">
        <v>43770</v>
      </c>
      <c r="B3270" t="s">
        <v>33</v>
      </c>
      <c r="C3270" t="s">
        <v>24</v>
      </c>
      <c r="D3270" t="s">
        <v>23</v>
      </c>
      <c r="E3270">
        <v>491</v>
      </c>
      <c r="F3270">
        <f t="shared" si="54"/>
        <v>3</v>
      </c>
    </row>
    <row r="3271" spans="1:6">
      <c r="A3271" s="83">
        <v>43800</v>
      </c>
      <c r="B3271" t="s">
        <v>33</v>
      </c>
      <c r="C3271" t="s">
        <v>21</v>
      </c>
      <c r="D3271" t="s">
        <v>22</v>
      </c>
      <c r="E3271">
        <v>364</v>
      </c>
      <c r="F3271">
        <f t="shared" si="54"/>
        <v>7</v>
      </c>
    </row>
    <row r="3272" spans="1:6">
      <c r="A3272" s="83">
        <v>43800</v>
      </c>
      <c r="B3272" t="s">
        <v>33</v>
      </c>
      <c r="C3272" t="s">
        <v>21</v>
      </c>
      <c r="D3272" t="s">
        <v>26</v>
      </c>
      <c r="E3272">
        <v>612</v>
      </c>
      <c r="F3272">
        <f t="shared" si="54"/>
        <v>5</v>
      </c>
    </row>
    <row r="3273" spans="1:6">
      <c r="A3273" s="83">
        <v>43800</v>
      </c>
      <c r="B3273" t="s">
        <v>33</v>
      </c>
      <c r="C3273" t="s">
        <v>24</v>
      </c>
      <c r="D3273" t="s">
        <v>23</v>
      </c>
      <c r="E3273">
        <v>298</v>
      </c>
      <c r="F3273">
        <f t="shared" si="54"/>
        <v>3</v>
      </c>
    </row>
    <row r="3274" spans="1:6">
      <c r="A3274" s="83">
        <v>43800</v>
      </c>
      <c r="B3274" t="s">
        <v>33</v>
      </c>
      <c r="C3274" t="s">
        <v>24</v>
      </c>
      <c r="D3274" t="s">
        <v>23</v>
      </c>
      <c r="E3274">
        <v>645</v>
      </c>
      <c r="F3274">
        <f t="shared" si="54"/>
        <v>3</v>
      </c>
    </row>
    <row r="3275" spans="1:6">
      <c r="A3275" s="83">
        <v>43525</v>
      </c>
      <c r="B3275" t="s">
        <v>34</v>
      </c>
      <c r="C3275" t="s">
        <v>21</v>
      </c>
      <c r="D3275" t="s">
        <v>26</v>
      </c>
      <c r="E3275">
        <v>134</v>
      </c>
      <c r="F3275">
        <f t="shared" si="54"/>
        <v>5</v>
      </c>
    </row>
    <row r="3276" spans="1:6">
      <c r="A3276" s="83">
        <v>43525</v>
      </c>
      <c r="B3276" t="s">
        <v>34</v>
      </c>
      <c r="C3276" t="s">
        <v>21</v>
      </c>
      <c r="D3276" t="s">
        <v>26</v>
      </c>
      <c r="E3276">
        <v>359</v>
      </c>
      <c r="F3276">
        <f t="shared" si="54"/>
        <v>5</v>
      </c>
    </row>
    <row r="3277" spans="1:6">
      <c r="A3277" s="83">
        <v>43525</v>
      </c>
      <c r="B3277" t="s">
        <v>34</v>
      </c>
      <c r="C3277" t="s">
        <v>24</v>
      </c>
      <c r="D3277" t="s">
        <v>26</v>
      </c>
      <c r="E3277">
        <v>37</v>
      </c>
      <c r="F3277">
        <f t="shared" si="54"/>
        <v>5</v>
      </c>
    </row>
    <row r="3278" spans="1:6">
      <c r="A3278" s="83">
        <v>43525</v>
      </c>
      <c r="B3278" t="s">
        <v>34</v>
      </c>
      <c r="C3278" t="s">
        <v>24</v>
      </c>
      <c r="D3278" t="s">
        <v>26</v>
      </c>
      <c r="E3278">
        <v>35</v>
      </c>
      <c r="F3278">
        <f t="shared" si="54"/>
        <v>5</v>
      </c>
    </row>
    <row r="3279" spans="1:6">
      <c r="A3279" s="83">
        <v>43556</v>
      </c>
      <c r="B3279" t="s">
        <v>34</v>
      </c>
      <c r="C3279" t="s">
        <v>21</v>
      </c>
      <c r="D3279" t="s">
        <v>22</v>
      </c>
      <c r="E3279">
        <v>158</v>
      </c>
      <c r="F3279">
        <f t="shared" si="54"/>
        <v>7</v>
      </c>
    </row>
    <row r="3280" spans="1:6">
      <c r="A3280" s="83">
        <v>43556</v>
      </c>
      <c r="B3280" t="s">
        <v>34</v>
      </c>
      <c r="C3280" t="s">
        <v>21</v>
      </c>
      <c r="D3280" t="s">
        <v>26</v>
      </c>
      <c r="E3280">
        <v>360</v>
      </c>
      <c r="F3280">
        <f t="shared" si="54"/>
        <v>5</v>
      </c>
    </row>
    <row r="3281" spans="1:6">
      <c r="A3281" s="83">
        <v>43556</v>
      </c>
      <c r="B3281" t="s">
        <v>34</v>
      </c>
      <c r="C3281" t="s">
        <v>24</v>
      </c>
      <c r="D3281" t="s">
        <v>23</v>
      </c>
      <c r="E3281">
        <v>55</v>
      </c>
      <c r="F3281">
        <f t="shared" si="54"/>
        <v>3</v>
      </c>
    </row>
    <row r="3282" spans="1:6">
      <c r="A3282" s="83">
        <v>43556</v>
      </c>
      <c r="B3282" t="s">
        <v>34</v>
      </c>
      <c r="C3282" t="s">
        <v>24</v>
      </c>
      <c r="D3282" t="s">
        <v>23</v>
      </c>
      <c r="E3282">
        <v>55</v>
      </c>
      <c r="F3282">
        <f t="shared" si="54"/>
        <v>3</v>
      </c>
    </row>
    <row r="3283" spans="1:6">
      <c r="A3283" s="83">
        <v>43586</v>
      </c>
      <c r="B3283" t="s">
        <v>34</v>
      </c>
      <c r="C3283" t="s">
        <v>21</v>
      </c>
      <c r="D3283" t="s">
        <v>22</v>
      </c>
      <c r="E3283">
        <v>232</v>
      </c>
      <c r="F3283">
        <f t="shared" si="54"/>
        <v>7</v>
      </c>
    </row>
    <row r="3284" spans="1:6">
      <c r="A3284" s="83">
        <v>43586</v>
      </c>
      <c r="B3284" t="s">
        <v>34</v>
      </c>
      <c r="C3284" t="s">
        <v>21</v>
      </c>
      <c r="D3284" t="s">
        <v>23</v>
      </c>
      <c r="E3284">
        <v>591</v>
      </c>
      <c r="F3284">
        <f t="shared" si="54"/>
        <v>3</v>
      </c>
    </row>
    <row r="3285" spans="1:6">
      <c r="A3285" s="83">
        <v>43586</v>
      </c>
      <c r="B3285" t="s">
        <v>34</v>
      </c>
      <c r="C3285" t="s">
        <v>24</v>
      </c>
      <c r="D3285" t="s">
        <v>22</v>
      </c>
      <c r="E3285">
        <v>44</v>
      </c>
      <c r="F3285">
        <f t="shared" si="54"/>
        <v>7</v>
      </c>
    </row>
    <row r="3286" spans="1:6">
      <c r="A3286" s="83">
        <v>43586</v>
      </c>
      <c r="B3286" t="s">
        <v>34</v>
      </c>
      <c r="C3286" t="s">
        <v>24</v>
      </c>
      <c r="D3286" t="s">
        <v>23</v>
      </c>
      <c r="E3286">
        <v>53</v>
      </c>
      <c r="F3286">
        <f t="shared" si="54"/>
        <v>3</v>
      </c>
    </row>
    <row r="3287" spans="1:6">
      <c r="A3287" s="83">
        <v>43617</v>
      </c>
      <c r="B3287" t="s">
        <v>34</v>
      </c>
      <c r="C3287" t="s">
        <v>21</v>
      </c>
      <c r="D3287" t="s">
        <v>26</v>
      </c>
      <c r="E3287">
        <v>652</v>
      </c>
      <c r="F3287">
        <f t="shared" si="54"/>
        <v>5</v>
      </c>
    </row>
    <row r="3288" spans="1:6">
      <c r="A3288" s="83">
        <v>43617</v>
      </c>
      <c r="B3288" t="s">
        <v>34</v>
      </c>
      <c r="C3288" t="s">
        <v>21</v>
      </c>
      <c r="D3288" t="s">
        <v>23</v>
      </c>
      <c r="E3288">
        <v>665</v>
      </c>
      <c r="F3288">
        <f t="shared" si="54"/>
        <v>3</v>
      </c>
    </row>
    <row r="3289" spans="1:6">
      <c r="A3289" s="83">
        <v>43617</v>
      </c>
      <c r="B3289" t="s">
        <v>34</v>
      </c>
      <c r="C3289" t="s">
        <v>24</v>
      </c>
      <c r="D3289" t="s">
        <v>22</v>
      </c>
      <c r="E3289">
        <v>93</v>
      </c>
      <c r="F3289">
        <f t="shared" si="54"/>
        <v>7</v>
      </c>
    </row>
    <row r="3290" spans="1:6">
      <c r="A3290" s="83">
        <v>43617</v>
      </c>
      <c r="B3290" t="s">
        <v>34</v>
      </c>
      <c r="C3290" t="s">
        <v>24</v>
      </c>
      <c r="D3290" t="s">
        <v>22</v>
      </c>
      <c r="E3290">
        <v>107</v>
      </c>
      <c r="F3290">
        <f t="shared" si="54"/>
        <v>7</v>
      </c>
    </row>
    <row r="3291" spans="1:6">
      <c r="A3291" s="83">
        <v>43647</v>
      </c>
      <c r="B3291" t="s">
        <v>34</v>
      </c>
      <c r="C3291" t="s">
        <v>21</v>
      </c>
      <c r="D3291" t="s">
        <v>22</v>
      </c>
      <c r="E3291">
        <v>84</v>
      </c>
      <c r="F3291">
        <f t="shared" si="54"/>
        <v>7</v>
      </c>
    </row>
    <row r="3292" spans="1:6">
      <c r="A3292" s="83">
        <v>43647</v>
      </c>
      <c r="B3292" t="s">
        <v>34</v>
      </c>
      <c r="C3292" t="s">
        <v>21</v>
      </c>
      <c r="D3292" t="s">
        <v>26</v>
      </c>
      <c r="E3292">
        <v>1317</v>
      </c>
      <c r="F3292">
        <f t="shared" si="54"/>
        <v>5</v>
      </c>
    </row>
    <row r="3293" spans="1:6">
      <c r="A3293" s="83">
        <v>43647</v>
      </c>
      <c r="B3293" t="s">
        <v>34</v>
      </c>
      <c r="C3293" t="s">
        <v>24</v>
      </c>
      <c r="D3293" t="s">
        <v>23</v>
      </c>
      <c r="E3293">
        <v>118</v>
      </c>
      <c r="F3293">
        <f t="shared" si="54"/>
        <v>3</v>
      </c>
    </row>
    <row r="3294" spans="1:6">
      <c r="A3294" s="83">
        <v>43647</v>
      </c>
      <c r="B3294" t="s">
        <v>34</v>
      </c>
      <c r="C3294" t="s">
        <v>24</v>
      </c>
      <c r="D3294" t="s">
        <v>26</v>
      </c>
      <c r="E3294">
        <v>132</v>
      </c>
      <c r="F3294">
        <f t="shared" si="54"/>
        <v>5</v>
      </c>
    </row>
    <row r="3295" spans="1:6">
      <c r="A3295" s="83">
        <v>43678</v>
      </c>
      <c r="B3295" t="s">
        <v>34</v>
      </c>
      <c r="C3295" t="s">
        <v>21</v>
      </c>
      <c r="D3295" t="s">
        <v>26</v>
      </c>
      <c r="E3295">
        <v>86</v>
      </c>
      <c r="F3295">
        <f t="shared" si="54"/>
        <v>5</v>
      </c>
    </row>
    <row r="3296" spans="1:6">
      <c r="A3296" s="83">
        <v>43678</v>
      </c>
      <c r="B3296" t="s">
        <v>34</v>
      </c>
      <c r="C3296" t="s">
        <v>21</v>
      </c>
      <c r="D3296" t="s">
        <v>26</v>
      </c>
      <c r="E3296">
        <v>1695</v>
      </c>
      <c r="F3296">
        <f t="shared" si="54"/>
        <v>5</v>
      </c>
    </row>
    <row r="3297" spans="1:6">
      <c r="A3297" s="83">
        <v>43678</v>
      </c>
      <c r="B3297" t="s">
        <v>34</v>
      </c>
      <c r="C3297" t="s">
        <v>24</v>
      </c>
      <c r="D3297" t="s">
        <v>23</v>
      </c>
      <c r="E3297">
        <v>144</v>
      </c>
      <c r="F3297">
        <f t="shared" si="54"/>
        <v>3</v>
      </c>
    </row>
    <row r="3298" spans="1:6">
      <c r="A3298" s="83">
        <v>43678</v>
      </c>
      <c r="B3298" t="s">
        <v>34</v>
      </c>
      <c r="C3298" t="s">
        <v>24</v>
      </c>
      <c r="D3298" t="s">
        <v>22</v>
      </c>
      <c r="E3298">
        <v>97</v>
      </c>
      <c r="F3298">
        <f t="shared" si="54"/>
        <v>7</v>
      </c>
    </row>
    <row r="3299" spans="1:6">
      <c r="A3299" s="83">
        <v>43709</v>
      </c>
      <c r="B3299" t="s">
        <v>34</v>
      </c>
      <c r="C3299" t="s">
        <v>21</v>
      </c>
      <c r="D3299" t="s">
        <v>26</v>
      </c>
      <c r="E3299">
        <v>108</v>
      </c>
      <c r="F3299">
        <f t="shared" si="54"/>
        <v>5</v>
      </c>
    </row>
    <row r="3300" spans="1:6">
      <c r="A3300" s="83">
        <v>43709</v>
      </c>
      <c r="B3300" t="s">
        <v>34</v>
      </c>
      <c r="C3300" t="s">
        <v>21</v>
      </c>
      <c r="D3300" t="s">
        <v>22</v>
      </c>
      <c r="E3300">
        <v>1181</v>
      </c>
      <c r="F3300">
        <f t="shared" si="54"/>
        <v>7</v>
      </c>
    </row>
    <row r="3301" spans="1:6">
      <c r="A3301" s="83">
        <v>43709</v>
      </c>
      <c r="B3301" t="s">
        <v>34</v>
      </c>
      <c r="C3301" t="s">
        <v>24</v>
      </c>
      <c r="D3301" t="s">
        <v>23</v>
      </c>
      <c r="E3301">
        <v>90</v>
      </c>
      <c r="F3301">
        <f t="shared" si="54"/>
        <v>3</v>
      </c>
    </row>
    <row r="3302" spans="1:6">
      <c r="A3302" s="83">
        <v>43709</v>
      </c>
      <c r="B3302" t="s">
        <v>34</v>
      </c>
      <c r="C3302" t="s">
        <v>24</v>
      </c>
      <c r="D3302" t="s">
        <v>23</v>
      </c>
      <c r="E3302">
        <v>132</v>
      </c>
      <c r="F3302">
        <f t="shared" si="54"/>
        <v>3</v>
      </c>
    </row>
    <row r="3303" spans="1:6">
      <c r="A3303" s="83">
        <v>43739</v>
      </c>
      <c r="B3303" t="s">
        <v>34</v>
      </c>
      <c r="C3303" t="s">
        <v>21</v>
      </c>
      <c r="D3303" t="s">
        <v>26</v>
      </c>
      <c r="E3303">
        <v>88</v>
      </c>
      <c r="F3303">
        <f t="shared" si="54"/>
        <v>5</v>
      </c>
    </row>
    <row r="3304" spans="1:6">
      <c r="A3304" s="83">
        <v>43739</v>
      </c>
      <c r="B3304" t="s">
        <v>34</v>
      </c>
      <c r="C3304" t="s">
        <v>21</v>
      </c>
      <c r="D3304" t="s">
        <v>23</v>
      </c>
      <c r="E3304">
        <v>803</v>
      </c>
      <c r="F3304">
        <f t="shared" si="54"/>
        <v>3</v>
      </c>
    </row>
    <row r="3305" spans="1:6">
      <c r="A3305" s="83">
        <v>43739</v>
      </c>
      <c r="B3305" t="s">
        <v>34</v>
      </c>
      <c r="C3305" t="s">
        <v>24</v>
      </c>
      <c r="D3305" t="s">
        <v>22</v>
      </c>
      <c r="E3305">
        <v>45</v>
      </c>
      <c r="F3305">
        <f t="shared" si="54"/>
        <v>7</v>
      </c>
    </row>
    <row r="3306" spans="1:6">
      <c r="A3306" s="83">
        <v>43739</v>
      </c>
      <c r="B3306" t="s">
        <v>34</v>
      </c>
      <c r="C3306" t="s">
        <v>24</v>
      </c>
      <c r="D3306" t="s">
        <v>23</v>
      </c>
      <c r="E3306">
        <v>107</v>
      </c>
      <c r="F3306">
        <f t="shared" si="54"/>
        <v>3</v>
      </c>
    </row>
    <row r="3307" spans="1:6">
      <c r="A3307" s="83">
        <v>43770</v>
      </c>
      <c r="B3307" t="s">
        <v>34</v>
      </c>
      <c r="C3307" t="s">
        <v>21</v>
      </c>
      <c r="D3307" t="s">
        <v>23</v>
      </c>
      <c r="E3307">
        <v>148</v>
      </c>
      <c r="F3307">
        <f t="shared" si="54"/>
        <v>3</v>
      </c>
    </row>
    <row r="3308" spans="1:6">
      <c r="A3308" s="83">
        <v>43770</v>
      </c>
      <c r="B3308" t="s">
        <v>34</v>
      </c>
      <c r="C3308" t="s">
        <v>21</v>
      </c>
      <c r="D3308" t="s">
        <v>22</v>
      </c>
      <c r="E3308">
        <v>1079</v>
      </c>
      <c r="F3308">
        <f t="shared" si="54"/>
        <v>7</v>
      </c>
    </row>
    <row r="3309" spans="1:6">
      <c r="A3309" s="83">
        <v>43770</v>
      </c>
      <c r="B3309" t="s">
        <v>34</v>
      </c>
      <c r="C3309" t="s">
        <v>24</v>
      </c>
      <c r="D3309" t="s">
        <v>23</v>
      </c>
      <c r="E3309">
        <v>45</v>
      </c>
      <c r="F3309">
        <f t="shared" si="54"/>
        <v>3</v>
      </c>
    </row>
    <row r="3310" spans="1:6">
      <c r="A3310" s="83">
        <v>43770</v>
      </c>
      <c r="B3310" t="s">
        <v>34</v>
      </c>
      <c r="C3310" t="s">
        <v>24</v>
      </c>
      <c r="D3310" t="s">
        <v>23</v>
      </c>
      <c r="E3310">
        <v>205</v>
      </c>
      <c r="F3310">
        <f t="shared" si="54"/>
        <v>3</v>
      </c>
    </row>
    <row r="3311" spans="1:6">
      <c r="A3311" s="83">
        <v>43800</v>
      </c>
      <c r="B3311" t="s">
        <v>34</v>
      </c>
      <c r="C3311" t="s">
        <v>21</v>
      </c>
      <c r="D3311" t="s">
        <v>22</v>
      </c>
      <c r="E3311">
        <v>146</v>
      </c>
      <c r="F3311">
        <f t="shared" si="54"/>
        <v>7</v>
      </c>
    </row>
    <row r="3312" spans="1:6">
      <c r="A3312" s="83">
        <v>43800</v>
      </c>
      <c r="B3312" t="s">
        <v>34</v>
      </c>
      <c r="C3312" t="s">
        <v>21</v>
      </c>
      <c r="D3312" t="s">
        <v>22</v>
      </c>
      <c r="E3312">
        <v>1107</v>
      </c>
      <c r="F3312">
        <f t="shared" si="54"/>
        <v>7</v>
      </c>
    </row>
    <row r="3313" spans="1:6">
      <c r="A3313" s="83">
        <v>43800</v>
      </c>
      <c r="B3313" t="s">
        <v>34</v>
      </c>
      <c r="C3313" t="s">
        <v>24</v>
      </c>
      <c r="D3313" t="s">
        <v>23</v>
      </c>
      <c r="E3313">
        <v>77</v>
      </c>
      <c r="F3313">
        <f t="shared" si="54"/>
        <v>3</v>
      </c>
    </row>
    <row r="3314" spans="1:6">
      <c r="A3314" s="83">
        <v>43800</v>
      </c>
      <c r="B3314" t="s">
        <v>34</v>
      </c>
      <c r="C3314" t="s">
        <v>24</v>
      </c>
      <c r="D3314" t="s">
        <v>23</v>
      </c>
      <c r="E3314">
        <v>333</v>
      </c>
      <c r="F3314">
        <f t="shared" si="54"/>
        <v>3</v>
      </c>
    </row>
    <row r="3315" spans="1:6">
      <c r="A3315" s="83">
        <v>43344</v>
      </c>
      <c r="B3315" t="s">
        <v>34</v>
      </c>
      <c r="C3315" t="s">
        <v>21</v>
      </c>
      <c r="D3315" t="s">
        <v>22</v>
      </c>
      <c r="E3315">
        <v>938</v>
      </c>
      <c r="F3315">
        <f t="shared" si="54"/>
        <v>7</v>
      </c>
    </row>
    <row r="3316" spans="1:6">
      <c r="A3316" s="83">
        <v>43344</v>
      </c>
      <c r="B3316" t="s">
        <v>34</v>
      </c>
      <c r="C3316" t="s">
        <v>21</v>
      </c>
      <c r="D3316" t="s">
        <v>23</v>
      </c>
      <c r="E3316">
        <v>170</v>
      </c>
      <c r="F3316">
        <f t="shared" si="54"/>
        <v>3</v>
      </c>
    </row>
    <row r="3317" spans="1:6">
      <c r="A3317" s="83">
        <v>43344</v>
      </c>
      <c r="B3317" t="s">
        <v>34</v>
      </c>
      <c r="C3317" t="s">
        <v>24</v>
      </c>
      <c r="D3317" t="s">
        <v>22</v>
      </c>
      <c r="E3317">
        <v>1253</v>
      </c>
      <c r="F3317">
        <f t="shared" si="54"/>
        <v>7</v>
      </c>
    </row>
    <row r="3318" spans="1:6">
      <c r="A3318" s="83">
        <v>43344</v>
      </c>
      <c r="B3318" t="s">
        <v>34</v>
      </c>
      <c r="C3318" t="s">
        <v>24</v>
      </c>
      <c r="D3318" t="s">
        <v>26</v>
      </c>
      <c r="E3318">
        <v>246</v>
      </c>
      <c r="F3318">
        <f t="shared" si="54"/>
        <v>5</v>
      </c>
    </row>
    <row r="3319" spans="1:6">
      <c r="A3319" s="83">
        <v>43374</v>
      </c>
      <c r="B3319" t="s">
        <v>34</v>
      </c>
      <c r="C3319" t="s">
        <v>21</v>
      </c>
      <c r="D3319" t="s">
        <v>26</v>
      </c>
      <c r="E3319">
        <v>675</v>
      </c>
      <c r="F3319">
        <f t="shared" si="54"/>
        <v>5</v>
      </c>
    </row>
    <row r="3320" spans="1:6">
      <c r="A3320" s="83">
        <v>43374</v>
      </c>
      <c r="B3320" t="s">
        <v>34</v>
      </c>
      <c r="C3320" t="s">
        <v>21</v>
      </c>
      <c r="D3320" t="s">
        <v>22</v>
      </c>
      <c r="E3320">
        <v>159</v>
      </c>
      <c r="F3320">
        <f t="shared" si="54"/>
        <v>7</v>
      </c>
    </row>
    <row r="3321" spans="1:6">
      <c r="A3321" s="83">
        <v>43374</v>
      </c>
      <c r="B3321" t="s">
        <v>34</v>
      </c>
      <c r="C3321" t="s">
        <v>24</v>
      </c>
      <c r="D3321" t="s">
        <v>22</v>
      </c>
      <c r="E3321">
        <v>1191</v>
      </c>
      <c r="F3321">
        <f t="shared" si="54"/>
        <v>7</v>
      </c>
    </row>
    <row r="3322" spans="1:6">
      <c r="A3322" s="83">
        <v>43374</v>
      </c>
      <c r="B3322" t="s">
        <v>34</v>
      </c>
      <c r="C3322" t="s">
        <v>24</v>
      </c>
      <c r="D3322" t="s">
        <v>26</v>
      </c>
      <c r="E3322">
        <v>235</v>
      </c>
      <c r="F3322">
        <f t="shared" si="54"/>
        <v>5</v>
      </c>
    </row>
    <row r="3323" spans="1:6">
      <c r="A3323" s="83">
        <v>43405</v>
      </c>
      <c r="B3323" t="s">
        <v>34</v>
      </c>
      <c r="C3323" t="s">
        <v>21</v>
      </c>
      <c r="D3323" t="s">
        <v>23</v>
      </c>
      <c r="E3323">
        <v>714</v>
      </c>
      <c r="F3323">
        <f t="shared" si="54"/>
        <v>3</v>
      </c>
    </row>
    <row r="3324" spans="1:6">
      <c r="A3324" s="83">
        <v>43405</v>
      </c>
      <c r="B3324" t="s">
        <v>34</v>
      </c>
      <c r="C3324" t="s">
        <v>21</v>
      </c>
      <c r="D3324" t="s">
        <v>26</v>
      </c>
      <c r="E3324">
        <v>168</v>
      </c>
      <c r="F3324">
        <f t="shared" si="54"/>
        <v>5</v>
      </c>
    </row>
    <row r="3325" spans="1:6">
      <c r="A3325" s="83">
        <v>43405</v>
      </c>
      <c r="B3325" t="s">
        <v>34</v>
      </c>
      <c r="C3325" t="s">
        <v>24</v>
      </c>
      <c r="D3325" t="s">
        <v>23</v>
      </c>
      <c r="E3325">
        <v>1045</v>
      </c>
      <c r="F3325">
        <f t="shared" si="54"/>
        <v>3</v>
      </c>
    </row>
    <row r="3326" spans="1:6">
      <c r="A3326" s="83">
        <v>43405</v>
      </c>
      <c r="B3326" t="s">
        <v>34</v>
      </c>
      <c r="C3326" t="s">
        <v>24</v>
      </c>
      <c r="D3326" t="s">
        <v>22</v>
      </c>
      <c r="E3326">
        <v>249</v>
      </c>
      <c r="F3326">
        <f t="shared" si="54"/>
        <v>7</v>
      </c>
    </row>
    <row r="3327" spans="1:6">
      <c r="A3327" s="83">
        <v>43435</v>
      </c>
      <c r="B3327" t="s">
        <v>34</v>
      </c>
      <c r="C3327" t="s">
        <v>21</v>
      </c>
      <c r="D3327" t="s">
        <v>22</v>
      </c>
      <c r="E3327">
        <v>656</v>
      </c>
      <c r="F3327">
        <f t="shared" si="54"/>
        <v>7</v>
      </c>
    </row>
    <row r="3328" spans="1:6">
      <c r="A3328" s="83">
        <v>43435</v>
      </c>
      <c r="B3328" t="s">
        <v>34</v>
      </c>
      <c r="C3328" t="s">
        <v>21</v>
      </c>
      <c r="D3328" t="s">
        <v>22</v>
      </c>
      <c r="E3328">
        <v>133</v>
      </c>
      <c r="F3328">
        <f t="shared" si="54"/>
        <v>7</v>
      </c>
    </row>
    <row r="3329" spans="1:6">
      <c r="A3329" s="83">
        <v>43435</v>
      </c>
      <c r="B3329" t="s">
        <v>34</v>
      </c>
      <c r="C3329" t="s">
        <v>24</v>
      </c>
      <c r="D3329" t="s">
        <v>26</v>
      </c>
      <c r="E3329">
        <v>870</v>
      </c>
      <c r="F3329">
        <f t="shared" si="54"/>
        <v>5</v>
      </c>
    </row>
    <row r="3330" spans="1:6">
      <c r="A3330" s="83">
        <v>43435</v>
      </c>
      <c r="B3330" t="s">
        <v>34</v>
      </c>
      <c r="C3330" t="s">
        <v>24</v>
      </c>
      <c r="D3330" t="s">
        <v>26</v>
      </c>
      <c r="E3330">
        <v>246</v>
      </c>
      <c r="F3330">
        <f t="shared" si="54"/>
        <v>5</v>
      </c>
    </row>
    <row r="3331" spans="1:6">
      <c r="A3331" s="83">
        <v>43466</v>
      </c>
      <c r="B3331" t="s">
        <v>34</v>
      </c>
      <c r="C3331" t="s">
        <v>21</v>
      </c>
      <c r="D3331" t="s">
        <v>26</v>
      </c>
      <c r="E3331">
        <v>740</v>
      </c>
      <c r="F3331">
        <f t="shared" ref="F3331:F3394" si="55">LEN(D3331)</f>
        <v>5</v>
      </c>
    </row>
    <row r="3332" spans="1:6">
      <c r="A3332" s="83">
        <v>43466</v>
      </c>
      <c r="B3332" t="s">
        <v>34</v>
      </c>
      <c r="C3332" t="s">
        <v>21</v>
      </c>
      <c r="D3332" t="s">
        <v>26</v>
      </c>
      <c r="E3332">
        <v>137</v>
      </c>
      <c r="F3332">
        <f t="shared" si="55"/>
        <v>5</v>
      </c>
    </row>
    <row r="3333" spans="1:6">
      <c r="A3333" s="83">
        <v>43466</v>
      </c>
      <c r="B3333" t="s">
        <v>34</v>
      </c>
      <c r="C3333" t="s">
        <v>24</v>
      </c>
      <c r="D3333" t="s">
        <v>22</v>
      </c>
      <c r="E3333">
        <v>1034</v>
      </c>
      <c r="F3333">
        <f t="shared" si="55"/>
        <v>7</v>
      </c>
    </row>
    <row r="3334" spans="1:6">
      <c r="A3334" s="83">
        <v>43466</v>
      </c>
      <c r="B3334" t="s">
        <v>34</v>
      </c>
      <c r="C3334" t="s">
        <v>24</v>
      </c>
      <c r="D3334" t="s">
        <v>26</v>
      </c>
      <c r="E3334">
        <v>289</v>
      </c>
      <c r="F3334">
        <f t="shared" si="55"/>
        <v>5</v>
      </c>
    </row>
    <row r="3335" spans="1:6">
      <c r="A3335" s="83">
        <v>43497</v>
      </c>
      <c r="B3335" t="s">
        <v>34</v>
      </c>
      <c r="C3335" t="s">
        <v>21</v>
      </c>
      <c r="D3335" t="s">
        <v>26</v>
      </c>
      <c r="E3335">
        <v>801</v>
      </c>
      <c r="F3335">
        <f t="shared" si="55"/>
        <v>5</v>
      </c>
    </row>
    <row r="3336" spans="1:6">
      <c r="A3336" s="83">
        <v>43497</v>
      </c>
      <c r="B3336" t="s">
        <v>34</v>
      </c>
      <c r="C3336" t="s">
        <v>21</v>
      </c>
      <c r="D3336" t="s">
        <v>23</v>
      </c>
      <c r="E3336">
        <v>244</v>
      </c>
      <c r="F3336">
        <f t="shared" si="55"/>
        <v>3</v>
      </c>
    </row>
    <row r="3337" spans="1:6">
      <c r="A3337" s="83">
        <v>43497</v>
      </c>
      <c r="B3337" t="s">
        <v>34</v>
      </c>
      <c r="C3337" t="s">
        <v>24</v>
      </c>
      <c r="D3337" t="s">
        <v>23</v>
      </c>
      <c r="E3337">
        <v>1751</v>
      </c>
      <c r="F3337">
        <f t="shared" si="55"/>
        <v>3</v>
      </c>
    </row>
    <row r="3338" spans="1:6">
      <c r="A3338" s="83">
        <v>43497</v>
      </c>
      <c r="B3338" t="s">
        <v>34</v>
      </c>
      <c r="C3338" t="s">
        <v>24</v>
      </c>
      <c r="D3338" t="s">
        <v>23</v>
      </c>
      <c r="E3338">
        <v>317</v>
      </c>
      <c r="F3338">
        <f t="shared" si="55"/>
        <v>3</v>
      </c>
    </row>
    <row r="3339" spans="1:6">
      <c r="A3339" s="83">
        <v>43525</v>
      </c>
      <c r="B3339" t="s">
        <v>34</v>
      </c>
      <c r="C3339" t="s">
        <v>21</v>
      </c>
      <c r="D3339" t="s">
        <v>23</v>
      </c>
      <c r="E3339">
        <v>969</v>
      </c>
      <c r="F3339">
        <f t="shared" si="55"/>
        <v>3</v>
      </c>
    </row>
    <row r="3340" spans="1:6">
      <c r="A3340" s="83">
        <v>43525</v>
      </c>
      <c r="B3340" t="s">
        <v>34</v>
      </c>
      <c r="C3340" t="s">
        <v>21</v>
      </c>
      <c r="D3340" t="s">
        <v>26</v>
      </c>
      <c r="E3340">
        <v>241</v>
      </c>
      <c r="F3340">
        <f t="shared" si="55"/>
        <v>5</v>
      </c>
    </row>
    <row r="3341" spans="1:6">
      <c r="A3341" s="83">
        <v>43525</v>
      </c>
      <c r="B3341" t="s">
        <v>34</v>
      </c>
      <c r="C3341" t="s">
        <v>24</v>
      </c>
      <c r="D3341" t="s">
        <v>22</v>
      </c>
      <c r="E3341">
        <v>1859</v>
      </c>
      <c r="F3341">
        <f t="shared" si="55"/>
        <v>7</v>
      </c>
    </row>
    <row r="3342" spans="1:6">
      <c r="A3342" s="83">
        <v>43525</v>
      </c>
      <c r="B3342" t="s">
        <v>34</v>
      </c>
      <c r="C3342" t="s">
        <v>24</v>
      </c>
      <c r="D3342" t="s">
        <v>26</v>
      </c>
      <c r="E3342">
        <v>294</v>
      </c>
      <c r="F3342">
        <f t="shared" si="55"/>
        <v>5</v>
      </c>
    </row>
    <row r="3343" spans="1:6">
      <c r="A3343" s="83">
        <v>43556</v>
      </c>
      <c r="B3343" t="s">
        <v>34</v>
      </c>
      <c r="C3343" t="s">
        <v>21</v>
      </c>
      <c r="D3343" t="s">
        <v>22</v>
      </c>
      <c r="E3343">
        <v>772</v>
      </c>
      <c r="F3343">
        <f t="shared" si="55"/>
        <v>7</v>
      </c>
    </row>
    <row r="3344" spans="1:6">
      <c r="A3344" s="83">
        <v>43556</v>
      </c>
      <c r="B3344" t="s">
        <v>34</v>
      </c>
      <c r="C3344" t="s">
        <v>21</v>
      </c>
      <c r="D3344" t="s">
        <v>23</v>
      </c>
      <c r="E3344">
        <v>275</v>
      </c>
      <c r="F3344">
        <f t="shared" si="55"/>
        <v>3</v>
      </c>
    </row>
    <row r="3345" spans="1:6">
      <c r="A3345" s="83">
        <v>43556</v>
      </c>
      <c r="B3345" t="s">
        <v>34</v>
      </c>
      <c r="C3345" t="s">
        <v>24</v>
      </c>
      <c r="D3345" t="s">
        <v>22</v>
      </c>
      <c r="E3345">
        <v>1635</v>
      </c>
      <c r="F3345">
        <f t="shared" si="55"/>
        <v>7</v>
      </c>
    </row>
    <row r="3346" spans="1:6">
      <c r="A3346" s="83">
        <v>43556</v>
      </c>
      <c r="B3346" t="s">
        <v>34</v>
      </c>
      <c r="C3346" t="s">
        <v>24</v>
      </c>
      <c r="D3346" t="s">
        <v>22</v>
      </c>
      <c r="E3346">
        <v>391</v>
      </c>
      <c r="F3346">
        <f t="shared" si="55"/>
        <v>7</v>
      </c>
    </row>
    <row r="3347" spans="1:6">
      <c r="A3347" s="83">
        <v>43586</v>
      </c>
      <c r="B3347" t="s">
        <v>34</v>
      </c>
      <c r="C3347" t="s">
        <v>21</v>
      </c>
      <c r="D3347" t="s">
        <v>26</v>
      </c>
      <c r="E3347">
        <v>778</v>
      </c>
      <c r="F3347">
        <f t="shared" si="55"/>
        <v>5</v>
      </c>
    </row>
    <row r="3348" spans="1:6">
      <c r="A3348" s="83">
        <v>43586</v>
      </c>
      <c r="B3348" t="s">
        <v>34</v>
      </c>
      <c r="C3348" t="s">
        <v>21</v>
      </c>
      <c r="D3348" t="s">
        <v>26</v>
      </c>
      <c r="E3348">
        <v>418</v>
      </c>
      <c r="F3348">
        <f t="shared" si="55"/>
        <v>5</v>
      </c>
    </row>
    <row r="3349" spans="1:6">
      <c r="A3349" s="83">
        <v>43586</v>
      </c>
      <c r="B3349" t="s">
        <v>34</v>
      </c>
      <c r="C3349" t="s">
        <v>24</v>
      </c>
      <c r="D3349" t="s">
        <v>23</v>
      </c>
      <c r="E3349">
        <v>1272</v>
      </c>
      <c r="F3349">
        <f t="shared" si="55"/>
        <v>3</v>
      </c>
    </row>
    <row r="3350" spans="1:6">
      <c r="A3350" s="83">
        <v>43586</v>
      </c>
      <c r="B3350" t="s">
        <v>34</v>
      </c>
      <c r="C3350" t="s">
        <v>24</v>
      </c>
      <c r="D3350" t="s">
        <v>23</v>
      </c>
      <c r="E3350">
        <v>289</v>
      </c>
      <c r="F3350">
        <f t="shared" si="55"/>
        <v>3</v>
      </c>
    </row>
    <row r="3351" spans="1:6">
      <c r="A3351" s="83">
        <v>43617</v>
      </c>
      <c r="B3351" t="s">
        <v>34</v>
      </c>
      <c r="C3351" t="s">
        <v>21</v>
      </c>
      <c r="D3351" t="s">
        <v>23</v>
      </c>
      <c r="E3351">
        <v>1039</v>
      </c>
      <c r="F3351">
        <f t="shared" si="55"/>
        <v>3</v>
      </c>
    </row>
    <row r="3352" spans="1:6">
      <c r="A3352" s="83">
        <v>43617</v>
      </c>
      <c r="B3352" t="s">
        <v>34</v>
      </c>
      <c r="C3352" t="s">
        <v>21</v>
      </c>
      <c r="D3352" t="s">
        <v>22</v>
      </c>
      <c r="E3352">
        <v>203</v>
      </c>
      <c r="F3352">
        <f t="shared" si="55"/>
        <v>7</v>
      </c>
    </row>
    <row r="3353" spans="1:6">
      <c r="A3353" s="83">
        <v>43617</v>
      </c>
      <c r="B3353" t="s">
        <v>34</v>
      </c>
      <c r="C3353" t="s">
        <v>24</v>
      </c>
      <c r="D3353" t="s">
        <v>26</v>
      </c>
      <c r="E3353">
        <v>1588</v>
      </c>
      <c r="F3353">
        <f t="shared" si="55"/>
        <v>5</v>
      </c>
    </row>
    <row r="3354" spans="1:6">
      <c r="A3354" s="83">
        <v>43617</v>
      </c>
      <c r="B3354" t="s">
        <v>34</v>
      </c>
      <c r="C3354" t="s">
        <v>24</v>
      </c>
      <c r="D3354" t="s">
        <v>22</v>
      </c>
      <c r="E3354">
        <v>314</v>
      </c>
      <c r="F3354">
        <f t="shared" si="55"/>
        <v>7</v>
      </c>
    </row>
    <row r="3355" spans="1:6">
      <c r="A3355" s="83">
        <v>43647</v>
      </c>
      <c r="B3355" t="s">
        <v>34</v>
      </c>
      <c r="C3355" t="s">
        <v>21</v>
      </c>
      <c r="D3355" t="s">
        <v>26</v>
      </c>
      <c r="E3355">
        <v>770</v>
      </c>
      <c r="F3355">
        <f t="shared" si="55"/>
        <v>5</v>
      </c>
    </row>
    <row r="3356" spans="1:6">
      <c r="A3356" s="83">
        <v>43647</v>
      </c>
      <c r="B3356" t="s">
        <v>34</v>
      </c>
      <c r="C3356" t="s">
        <v>21</v>
      </c>
      <c r="D3356" t="s">
        <v>22</v>
      </c>
      <c r="E3356">
        <v>189</v>
      </c>
      <c r="F3356">
        <f t="shared" si="55"/>
        <v>7</v>
      </c>
    </row>
    <row r="3357" spans="1:6">
      <c r="A3357" s="83">
        <v>43647</v>
      </c>
      <c r="B3357" t="s">
        <v>34</v>
      </c>
      <c r="C3357" t="s">
        <v>24</v>
      </c>
      <c r="D3357" t="s">
        <v>22</v>
      </c>
      <c r="E3357">
        <v>1449</v>
      </c>
      <c r="F3357">
        <f t="shared" si="55"/>
        <v>7</v>
      </c>
    </row>
    <row r="3358" spans="1:6">
      <c r="A3358" s="83">
        <v>43647</v>
      </c>
      <c r="B3358" t="s">
        <v>34</v>
      </c>
      <c r="C3358" t="s">
        <v>24</v>
      </c>
      <c r="D3358" t="s">
        <v>26</v>
      </c>
      <c r="E3358">
        <v>365</v>
      </c>
      <c r="F3358">
        <f t="shared" si="55"/>
        <v>5</v>
      </c>
    </row>
    <row r="3359" spans="1:6">
      <c r="A3359" s="83">
        <v>43678</v>
      </c>
      <c r="B3359" t="s">
        <v>34</v>
      </c>
      <c r="C3359" t="s">
        <v>21</v>
      </c>
      <c r="D3359" t="s">
        <v>26</v>
      </c>
      <c r="E3359">
        <v>1019</v>
      </c>
      <c r="F3359">
        <f t="shared" si="55"/>
        <v>5</v>
      </c>
    </row>
    <row r="3360" spans="1:6">
      <c r="A3360" s="83">
        <v>43678</v>
      </c>
      <c r="B3360" t="s">
        <v>34</v>
      </c>
      <c r="C3360" t="s">
        <v>21</v>
      </c>
      <c r="D3360" t="s">
        <v>26</v>
      </c>
      <c r="E3360">
        <v>306</v>
      </c>
      <c r="F3360">
        <f t="shared" si="55"/>
        <v>5</v>
      </c>
    </row>
    <row r="3361" spans="1:6">
      <c r="A3361" s="83">
        <v>43678</v>
      </c>
      <c r="B3361" t="s">
        <v>34</v>
      </c>
      <c r="C3361" t="s">
        <v>24</v>
      </c>
      <c r="D3361" t="s">
        <v>26</v>
      </c>
      <c r="E3361">
        <v>895</v>
      </c>
      <c r="F3361">
        <f t="shared" si="55"/>
        <v>5</v>
      </c>
    </row>
    <row r="3362" spans="1:6">
      <c r="A3362" s="83">
        <v>43678</v>
      </c>
      <c r="B3362" t="s">
        <v>34</v>
      </c>
      <c r="C3362" t="s">
        <v>24</v>
      </c>
      <c r="D3362" t="s">
        <v>22</v>
      </c>
      <c r="E3362">
        <v>291</v>
      </c>
      <c r="F3362">
        <f t="shared" si="55"/>
        <v>7</v>
      </c>
    </row>
    <row r="3363" spans="1:6">
      <c r="A3363" s="83">
        <v>43709</v>
      </c>
      <c r="B3363" t="s">
        <v>34</v>
      </c>
      <c r="C3363" t="s">
        <v>21</v>
      </c>
      <c r="D3363" t="s">
        <v>26</v>
      </c>
      <c r="E3363">
        <v>831</v>
      </c>
      <c r="F3363">
        <f t="shared" si="55"/>
        <v>5</v>
      </c>
    </row>
    <row r="3364" spans="1:6">
      <c r="A3364" s="83">
        <v>43709</v>
      </c>
      <c r="B3364" t="s">
        <v>34</v>
      </c>
      <c r="C3364" t="s">
        <v>21</v>
      </c>
      <c r="D3364" t="s">
        <v>26</v>
      </c>
      <c r="E3364">
        <v>251</v>
      </c>
      <c r="F3364">
        <f t="shared" si="55"/>
        <v>5</v>
      </c>
    </row>
    <row r="3365" spans="1:6">
      <c r="A3365" s="83">
        <v>43709</v>
      </c>
      <c r="B3365" t="s">
        <v>34</v>
      </c>
      <c r="C3365" t="s">
        <v>24</v>
      </c>
      <c r="D3365" t="s">
        <v>26</v>
      </c>
      <c r="E3365">
        <v>886</v>
      </c>
      <c r="F3365">
        <f t="shared" si="55"/>
        <v>5</v>
      </c>
    </row>
    <row r="3366" spans="1:6">
      <c r="A3366" s="83">
        <v>43709</v>
      </c>
      <c r="B3366" t="s">
        <v>34</v>
      </c>
      <c r="C3366" t="s">
        <v>24</v>
      </c>
      <c r="D3366" t="s">
        <v>23</v>
      </c>
      <c r="E3366">
        <v>512</v>
      </c>
      <c r="F3366">
        <f t="shared" si="55"/>
        <v>3</v>
      </c>
    </row>
    <row r="3367" spans="1:6">
      <c r="A3367" s="83">
        <v>43739</v>
      </c>
      <c r="B3367" t="s">
        <v>34</v>
      </c>
      <c r="C3367" t="s">
        <v>21</v>
      </c>
      <c r="D3367" t="s">
        <v>26</v>
      </c>
      <c r="E3367">
        <v>854</v>
      </c>
      <c r="F3367">
        <f t="shared" si="55"/>
        <v>5</v>
      </c>
    </row>
    <row r="3368" spans="1:6">
      <c r="A3368" s="83">
        <v>43739</v>
      </c>
      <c r="B3368" t="s">
        <v>34</v>
      </c>
      <c r="C3368" t="s">
        <v>21</v>
      </c>
      <c r="D3368" t="s">
        <v>26</v>
      </c>
      <c r="E3368">
        <v>234</v>
      </c>
      <c r="F3368">
        <f t="shared" si="55"/>
        <v>5</v>
      </c>
    </row>
    <row r="3369" spans="1:6">
      <c r="A3369" s="83">
        <v>43739</v>
      </c>
      <c r="B3369" t="s">
        <v>34</v>
      </c>
      <c r="C3369" t="s">
        <v>24</v>
      </c>
      <c r="D3369" t="s">
        <v>22</v>
      </c>
      <c r="E3369">
        <v>575</v>
      </c>
      <c r="F3369">
        <f t="shared" si="55"/>
        <v>7</v>
      </c>
    </row>
    <row r="3370" spans="1:6">
      <c r="A3370" s="83">
        <v>43739</v>
      </c>
      <c r="B3370" t="s">
        <v>34</v>
      </c>
      <c r="C3370" t="s">
        <v>24</v>
      </c>
      <c r="D3370" t="s">
        <v>22</v>
      </c>
      <c r="E3370">
        <v>335</v>
      </c>
      <c r="F3370">
        <f t="shared" si="55"/>
        <v>7</v>
      </c>
    </row>
    <row r="3371" spans="1:6">
      <c r="A3371" s="83">
        <v>43770</v>
      </c>
      <c r="B3371" t="s">
        <v>34</v>
      </c>
      <c r="C3371" t="s">
        <v>21</v>
      </c>
      <c r="D3371" t="s">
        <v>22</v>
      </c>
      <c r="E3371">
        <v>1334</v>
      </c>
      <c r="F3371">
        <f t="shared" si="55"/>
        <v>7</v>
      </c>
    </row>
    <row r="3372" spans="1:6">
      <c r="A3372" s="83">
        <v>43770</v>
      </c>
      <c r="B3372" t="s">
        <v>34</v>
      </c>
      <c r="C3372" t="s">
        <v>21</v>
      </c>
      <c r="D3372" t="s">
        <v>23</v>
      </c>
      <c r="E3372">
        <v>312</v>
      </c>
      <c r="F3372">
        <f t="shared" si="55"/>
        <v>3</v>
      </c>
    </row>
    <row r="3373" spans="1:6">
      <c r="A3373" s="83">
        <v>43770</v>
      </c>
      <c r="B3373" t="s">
        <v>34</v>
      </c>
      <c r="C3373" t="s">
        <v>24</v>
      </c>
      <c r="D3373" t="s">
        <v>22</v>
      </c>
      <c r="E3373">
        <v>759</v>
      </c>
      <c r="F3373">
        <f t="shared" si="55"/>
        <v>7</v>
      </c>
    </row>
    <row r="3374" spans="1:6">
      <c r="A3374" s="83">
        <v>43770</v>
      </c>
      <c r="B3374" t="s">
        <v>34</v>
      </c>
      <c r="C3374" t="s">
        <v>24</v>
      </c>
      <c r="D3374" t="s">
        <v>23</v>
      </c>
      <c r="E3374">
        <v>371</v>
      </c>
      <c r="F3374">
        <f t="shared" si="55"/>
        <v>3</v>
      </c>
    </row>
    <row r="3375" spans="1:6">
      <c r="A3375" s="83">
        <v>43800</v>
      </c>
      <c r="B3375" t="s">
        <v>34</v>
      </c>
      <c r="C3375" t="s">
        <v>21</v>
      </c>
      <c r="D3375" t="s">
        <v>26</v>
      </c>
      <c r="E3375">
        <v>643</v>
      </c>
      <c r="F3375">
        <f t="shared" si="55"/>
        <v>5</v>
      </c>
    </row>
    <row r="3376" spans="1:6">
      <c r="A3376" s="83">
        <v>43800</v>
      </c>
      <c r="B3376" t="s">
        <v>34</v>
      </c>
      <c r="C3376" t="s">
        <v>21</v>
      </c>
      <c r="D3376" t="s">
        <v>23</v>
      </c>
      <c r="E3376">
        <v>322</v>
      </c>
      <c r="F3376">
        <f t="shared" si="55"/>
        <v>3</v>
      </c>
    </row>
    <row r="3377" spans="1:6">
      <c r="A3377" s="83">
        <v>43800</v>
      </c>
      <c r="B3377" t="s">
        <v>34</v>
      </c>
      <c r="C3377" t="s">
        <v>24</v>
      </c>
      <c r="D3377" t="s">
        <v>22</v>
      </c>
      <c r="E3377">
        <v>984</v>
      </c>
      <c r="F3377">
        <f t="shared" si="55"/>
        <v>7</v>
      </c>
    </row>
    <row r="3378" spans="1:6">
      <c r="A3378" s="83">
        <v>43800</v>
      </c>
      <c r="B3378" t="s">
        <v>34</v>
      </c>
      <c r="C3378" t="s">
        <v>24</v>
      </c>
      <c r="D3378" t="s">
        <v>22</v>
      </c>
      <c r="E3378">
        <v>464</v>
      </c>
      <c r="F3378">
        <f t="shared" si="55"/>
        <v>7</v>
      </c>
    </row>
    <row r="3379" spans="1:6">
      <c r="A3379" s="83">
        <v>43344</v>
      </c>
      <c r="B3379" t="s">
        <v>34</v>
      </c>
      <c r="C3379" t="s">
        <v>21</v>
      </c>
      <c r="D3379" t="s">
        <v>26</v>
      </c>
      <c r="E3379">
        <v>95</v>
      </c>
      <c r="F3379">
        <f t="shared" si="55"/>
        <v>5</v>
      </c>
    </row>
    <row r="3380" spans="1:6">
      <c r="A3380" s="83">
        <v>43344</v>
      </c>
      <c r="B3380" t="s">
        <v>34</v>
      </c>
      <c r="C3380" t="s">
        <v>21</v>
      </c>
      <c r="D3380" t="s">
        <v>22</v>
      </c>
      <c r="E3380">
        <v>469</v>
      </c>
      <c r="F3380">
        <f t="shared" si="55"/>
        <v>7</v>
      </c>
    </row>
    <row r="3381" spans="1:6">
      <c r="A3381" s="83">
        <v>43344</v>
      </c>
      <c r="B3381" t="s">
        <v>34</v>
      </c>
      <c r="C3381" t="s">
        <v>21</v>
      </c>
      <c r="D3381" t="s">
        <v>22</v>
      </c>
      <c r="E3381">
        <v>39</v>
      </c>
      <c r="F3381">
        <f t="shared" si="55"/>
        <v>7</v>
      </c>
    </row>
    <row r="3382" spans="1:6">
      <c r="A3382" s="83">
        <v>43344</v>
      </c>
      <c r="B3382" t="s">
        <v>34</v>
      </c>
      <c r="C3382" t="s">
        <v>24</v>
      </c>
      <c r="D3382" t="s">
        <v>22</v>
      </c>
      <c r="E3382">
        <v>76</v>
      </c>
      <c r="F3382">
        <f t="shared" si="55"/>
        <v>7</v>
      </c>
    </row>
    <row r="3383" spans="1:6">
      <c r="A3383" s="83">
        <v>43344</v>
      </c>
      <c r="B3383" t="s">
        <v>34</v>
      </c>
      <c r="C3383" t="s">
        <v>24</v>
      </c>
      <c r="D3383" t="s">
        <v>26</v>
      </c>
      <c r="E3383">
        <v>92</v>
      </c>
      <c r="F3383">
        <f t="shared" si="55"/>
        <v>5</v>
      </c>
    </row>
    <row r="3384" spans="1:6">
      <c r="A3384" s="83">
        <v>43344</v>
      </c>
      <c r="B3384" t="s">
        <v>34</v>
      </c>
      <c r="C3384" t="s">
        <v>24</v>
      </c>
      <c r="D3384" t="s">
        <v>26</v>
      </c>
      <c r="E3384">
        <v>44</v>
      </c>
      <c r="F3384">
        <f t="shared" si="55"/>
        <v>5</v>
      </c>
    </row>
    <row r="3385" spans="1:6">
      <c r="A3385" s="83">
        <v>43374</v>
      </c>
      <c r="B3385" t="s">
        <v>34</v>
      </c>
      <c r="C3385" t="s">
        <v>21</v>
      </c>
      <c r="D3385" t="s">
        <v>23</v>
      </c>
      <c r="E3385">
        <v>66</v>
      </c>
      <c r="F3385">
        <f t="shared" si="55"/>
        <v>3</v>
      </c>
    </row>
    <row r="3386" spans="1:6">
      <c r="A3386" s="83">
        <v>43374</v>
      </c>
      <c r="B3386" t="s">
        <v>34</v>
      </c>
      <c r="C3386" t="s">
        <v>21</v>
      </c>
      <c r="D3386" t="s">
        <v>23</v>
      </c>
      <c r="E3386">
        <v>127</v>
      </c>
      <c r="F3386">
        <f t="shared" si="55"/>
        <v>3</v>
      </c>
    </row>
    <row r="3387" spans="1:6">
      <c r="A3387" s="83">
        <v>43374</v>
      </c>
      <c r="B3387" t="s">
        <v>34</v>
      </c>
      <c r="C3387" t="s">
        <v>21</v>
      </c>
      <c r="D3387" t="s">
        <v>26</v>
      </c>
      <c r="E3387">
        <v>33</v>
      </c>
      <c r="F3387">
        <f t="shared" si="55"/>
        <v>5</v>
      </c>
    </row>
    <row r="3388" spans="1:6">
      <c r="A3388" s="83">
        <v>43374</v>
      </c>
      <c r="B3388" t="s">
        <v>34</v>
      </c>
      <c r="C3388" t="s">
        <v>24</v>
      </c>
      <c r="D3388" t="s">
        <v>26</v>
      </c>
      <c r="E3388">
        <v>92</v>
      </c>
      <c r="F3388">
        <f t="shared" si="55"/>
        <v>5</v>
      </c>
    </row>
    <row r="3389" spans="1:6">
      <c r="A3389" s="83">
        <v>43374</v>
      </c>
      <c r="B3389" t="s">
        <v>34</v>
      </c>
      <c r="C3389" t="s">
        <v>24</v>
      </c>
      <c r="D3389" t="s">
        <v>23</v>
      </c>
      <c r="E3389">
        <v>143</v>
      </c>
      <c r="F3389">
        <f t="shared" si="55"/>
        <v>3</v>
      </c>
    </row>
    <row r="3390" spans="1:6">
      <c r="A3390" s="83">
        <v>43374</v>
      </c>
      <c r="B3390" t="s">
        <v>34</v>
      </c>
      <c r="C3390" t="s">
        <v>24</v>
      </c>
      <c r="D3390" t="s">
        <v>26</v>
      </c>
      <c r="E3390">
        <v>40</v>
      </c>
      <c r="F3390">
        <f t="shared" si="55"/>
        <v>5</v>
      </c>
    </row>
    <row r="3391" spans="1:6">
      <c r="A3391" s="83">
        <v>43405</v>
      </c>
      <c r="B3391" t="s">
        <v>34</v>
      </c>
      <c r="C3391" t="s">
        <v>21</v>
      </c>
      <c r="D3391" t="s">
        <v>22</v>
      </c>
      <c r="E3391">
        <v>79</v>
      </c>
      <c r="F3391">
        <f t="shared" si="55"/>
        <v>7</v>
      </c>
    </row>
    <row r="3392" spans="1:6">
      <c r="A3392" s="83">
        <v>43405</v>
      </c>
      <c r="B3392" t="s">
        <v>34</v>
      </c>
      <c r="C3392" t="s">
        <v>21</v>
      </c>
      <c r="D3392" t="s">
        <v>23</v>
      </c>
      <c r="E3392">
        <v>142</v>
      </c>
      <c r="F3392">
        <f t="shared" si="55"/>
        <v>3</v>
      </c>
    </row>
    <row r="3393" spans="1:6">
      <c r="A3393" s="83">
        <v>43405</v>
      </c>
      <c r="B3393" t="s">
        <v>34</v>
      </c>
      <c r="C3393" t="s">
        <v>21</v>
      </c>
      <c r="D3393" t="s">
        <v>22</v>
      </c>
      <c r="E3393">
        <v>45</v>
      </c>
      <c r="F3393">
        <f t="shared" si="55"/>
        <v>7</v>
      </c>
    </row>
    <row r="3394" spans="1:6">
      <c r="A3394" s="83">
        <v>43405</v>
      </c>
      <c r="B3394" t="s">
        <v>34</v>
      </c>
      <c r="C3394" t="s">
        <v>24</v>
      </c>
      <c r="D3394" t="s">
        <v>26</v>
      </c>
      <c r="E3394">
        <v>79</v>
      </c>
      <c r="F3394">
        <f t="shared" si="55"/>
        <v>5</v>
      </c>
    </row>
    <row r="3395" spans="1:6">
      <c r="A3395" s="83">
        <v>43405</v>
      </c>
      <c r="B3395" t="s">
        <v>34</v>
      </c>
      <c r="C3395" t="s">
        <v>24</v>
      </c>
      <c r="D3395" t="s">
        <v>26</v>
      </c>
      <c r="E3395">
        <v>118</v>
      </c>
      <c r="F3395">
        <f t="shared" ref="F3395:F3458" si="56">LEN(D3395)</f>
        <v>5</v>
      </c>
    </row>
    <row r="3396" spans="1:6">
      <c r="A3396" s="83">
        <v>43405</v>
      </c>
      <c r="B3396" t="s">
        <v>34</v>
      </c>
      <c r="C3396" t="s">
        <v>24</v>
      </c>
      <c r="D3396" t="s">
        <v>23</v>
      </c>
      <c r="E3396">
        <v>67</v>
      </c>
      <c r="F3396">
        <f t="shared" si="56"/>
        <v>3</v>
      </c>
    </row>
    <row r="3397" spans="1:6">
      <c r="A3397" s="83">
        <v>43435</v>
      </c>
      <c r="B3397" t="s">
        <v>34</v>
      </c>
      <c r="C3397" t="s">
        <v>21</v>
      </c>
      <c r="D3397" t="s">
        <v>26</v>
      </c>
      <c r="E3397">
        <v>66</v>
      </c>
      <c r="F3397">
        <f t="shared" si="56"/>
        <v>5</v>
      </c>
    </row>
    <row r="3398" spans="1:6">
      <c r="A3398" s="83">
        <v>43435</v>
      </c>
      <c r="B3398" t="s">
        <v>34</v>
      </c>
      <c r="C3398" t="s">
        <v>21</v>
      </c>
      <c r="D3398" t="s">
        <v>22</v>
      </c>
      <c r="E3398">
        <v>146</v>
      </c>
      <c r="F3398">
        <f t="shared" si="56"/>
        <v>7</v>
      </c>
    </row>
    <row r="3399" spans="1:6">
      <c r="A3399" s="83">
        <v>43435</v>
      </c>
      <c r="B3399" t="s">
        <v>34</v>
      </c>
      <c r="C3399" t="s">
        <v>21</v>
      </c>
      <c r="D3399" t="s">
        <v>26</v>
      </c>
      <c r="E3399">
        <v>63</v>
      </c>
      <c r="F3399">
        <f t="shared" si="56"/>
        <v>5</v>
      </c>
    </row>
    <row r="3400" spans="1:6">
      <c r="A3400" s="83">
        <v>43435</v>
      </c>
      <c r="B3400" t="s">
        <v>34</v>
      </c>
      <c r="C3400" t="s">
        <v>24</v>
      </c>
      <c r="D3400" t="s">
        <v>26</v>
      </c>
      <c r="E3400">
        <v>69</v>
      </c>
      <c r="F3400">
        <f t="shared" si="56"/>
        <v>5</v>
      </c>
    </row>
    <row r="3401" spans="1:6">
      <c r="A3401" s="83">
        <v>43435</v>
      </c>
      <c r="B3401" t="s">
        <v>34</v>
      </c>
      <c r="C3401" t="s">
        <v>24</v>
      </c>
      <c r="D3401" t="s">
        <v>26</v>
      </c>
      <c r="E3401">
        <v>165</v>
      </c>
      <c r="F3401">
        <f t="shared" si="56"/>
        <v>5</v>
      </c>
    </row>
    <row r="3402" spans="1:6">
      <c r="A3402" s="83">
        <v>43435</v>
      </c>
      <c r="B3402" t="s">
        <v>34</v>
      </c>
      <c r="C3402" t="s">
        <v>24</v>
      </c>
      <c r="D3402" t="s">
        <v>22</v>
      </c>
      <c r="E3402">
        <v>51</v>
      </c>
      <c r="F3402">
        <f t="shared" si="56"/>
        <v>7</v>
      </c>
    </row>
    <row r="3403" spans="1:6">
      <c r="A3403" s="83">
        <v>43466</v>
      </c>
      <c r="B3403" t="s">
        <v>34</v>
      </c>
      <c r="C3403" t="s">
        <v>21</v>
      </c>
      <c r="D3403" t="s">
        <v>23</v>
      </c>
      <c r="E3403">
        <v>65</v>
      </c>
      <c r="F3403">
        <f t="shared" si="56"/>
        <v>3</v>
      </c>
    </row>
    <row r="3404" spans="1:6">
      <c r="A3404" s="83">
        <v>43466</v>
      </c>
      <c r="B3404" t="s">
        <v>34</v>
      </c>
      <c r="C3404" t="s">
        <v>21</v>
      </c>
      <c r="D3404" t="s">
        <v>22</v>
      </c>
      <c r="E3404">
        <v>167</v>
      </c>
      <c r="F3404">
        <f t="shared" si="56"/>
        <v>7</v>
      </c>
    </row>
    <row r="3405" spans="1:6">
      <c r="A3405" s="83">
        <v>43466</v>
      </c>
      <c r="B3405" t="s">
        <v>34</v>
      </c>
      <c r="C3405" t="s">
        <v>21</v>
      </c>
      <c r="D3405" t="s">
        <v>22</v>
      </c>
      <c r="E3405">
        <v>59</v>
      </c>
      <c r="F3405">
        <f t="shared" si="56"/>
        <v>7</v>
      </c>
    </row>
    <row r="3406" spans="1:6">
      <c r="A3406" s="83">
        <v>43466</v>
      </c>
      <c r="B3406" t="s">
        <v>34</v>
      </c>
      <c r="C3406" t="s">
        <v>24</v>
      </c>
      <c r="D3406" t="s">
        <v>26</v>
      </c>
      <c r="E3406">
        <v>111</v>
      </c>
      <c r="F3406">
        <f t="shared" si="56"/>
        <v>5</v>
      </c>
    </row>
    <row r="3407" spans="1:6">
      <c r="A3407" s="83">
        <v>43466</v>
      </c>
      <c r="B3407" t="s">
        <v>34</v>
      </c>
      <c r="C3407" t="s">
        <v>24</v>
      </c>
      <c r="D3407" t="s">
        <v>23</v>
      </c>
      <c r="E3407">
        <v>171</v>
      </c>
      <c r="F3407">
        <f t="shared" si="56"/>
        <v>3</v>
      </c>
    </row>
    <row r="3408" spans="1:6">
      <c r="A3408" s="83">
        <v>43466</v>
      </c>
      <c r="B3408" t="s">
        <v>34</v>
      </c>
      <c r="C3408" t="s">
        <v>24</v>
      </c>
      <c r="D3408" t="s">
        <v>26</v>
      </c>
      <c r="E3408">
        <v>63</v>
      </c>
      <c r="F3408">
        <f t="shared" si="56"/>
        <v>5</v>
      </c>
    </row>
    <row r="3409" spans="1:6">
      <c r="A3409" s="83">
        <v>43497</v>
      </c>
      <c r="B3409" t="s">
        <v>34</v>
      </c>
      <c r="C3409" t="s">
        <v>21</v>
      </c>
      <c r="D3409" t="s">
        <v>26</v>
      </c>
      <c r="E3409">
        <v>65</v>
      </c>
      <c r="F3409">
        <f t="shared" si="56"/>
        <v>5</v>
      </c>
    </row>
    <row r="3410" spans="1:6">
      <c r="A3410" s="83">
        <v>43497</v>
      </c>
      <c r="B3410" t="s">
        <v>34</v>
      </c>
      <c r="C3410" t="s">
        <v>21</v>
      </c>
      <c r="D3410" t="s">
        <v>26</v>
      </c>
      <c r="E3410">
        <v>199</v>
      </c>
      <c r="F3410">
        <f t="shared" si="56"/>
        <v>5</v>
      </c>
    </row>
    <row r="3411" spans="1:6">
      <c r="A3411" s="83">
        <v>43497</v>
      </c>
      <c r="B3411" t="s">
        <v>34</v>
      </c>
      <c r="C3411" t="s">
        <v>21</v>
      </c>
      <c r="D3411" t="s">
        <v>26</v>
      </c>
      <c r="E3411">
        <v>70</v>
      </c>
      <c r="F3411">
        <f t="shared" si="56"/>
        <v>5</v>
      </c>
    </row>
    <row r="3412" spans="1:6">
      <c r="A3412" s="83">
        <v>43497</v>
      </c>
      <c r="B3412" t="s">
        <v>34</v>
      </c>
      <c r="C3412" t="s">
        <v>24</v>
      </c>
      <c r="D3412" t="s">
        <v>23</v>
      </c>
      <c r="E3412">
        <v>111</v>
      </c>
      <c r="F3412">
        <f t="shared" si="56"/>
        <v>3</v>
      </c>
    </row>
    <row r="3413" spans="1:6">
      <c r="A3413" s="83">
        <v>43497</v>
      </c>
      <c r="B3413" t="s">
        <v>34</v>
      </c>
      <c r="C3413" t="s">
        <v>24</v>
      </c>
      <c r="D3413" t="s">
        <v>26</v>
      </c>
      <c r="E3413">
        <v>167</v>
      </c>
      <c r="F3413">
        <f t="shared" si="56"/>
        <v>5</v>
      </c>
    </row>
    <row r="3414" spans="1:6">
      <c r="A3414" s="83">
        <v>43497</v>
      </c>
      <c r="B3414" t="s">
        <v>34</v>
      </c>
      <c r="C3414" t="s">
        <v>24</v>
      </c>
      <c r="D3414" t="s">
        <v>26</v>
      </c>
      <c r="E3414">
        <v>62</v>
      </c>
      <c r="F3414">
        <f t="shared" si="56"/>
        <v>5</v>
      </c>
    </row>
    <row r="3415" spans="1:6">
      <c r="A3415" s="83">
        <v>43525</v>
      </c>
      <c r="B3415" t="s">
        <v>34</v>
      </c>
      <c r="C3415" t="s">
        <v>21</v>
      </c>
      <c r="D3415" t="s">
        <v>23</v>
      </c>
      <c r="E3415">
        <v>69</v>
      </c>
      <c r="F3415">
        <f t="shared" si="56"/>
        <v>3</v>
      </c>
    </row>
    <row r="3416" spans="1:6">
      <c r="A3416" s="83">
        <v>43525</v>
      </c>
      <c r="B3416" t="s">
        <v>34</v>
      </c>
      <c r="C3416" t="s">
        <v>21</v>
      </c>
      <c r="D3416" t="s">
        <v>23</v>
      </c>
      <c r="E3416">
        <v>176</v>
      </c>
      <c r="F3416">
        <f t="shared" si="56"/>
        <v>3</v>
      </c>
    </row>
    <row r="3417" spans="1:6">
      <c r="A3417" s="83">
        <v>43525</v>
      </c>
      <c r="B3417" t="s">
        <v>34</v>
      </c>
      <c r="C3417" t="s">
        <v>21</v>
      </c>
      <c r="D3417" t="s">
        <v>23</v>
      </c>
      <c r="E3417">
        <v>69</v>
      </c>
      <c r="F3417">
        <f t="shared" si="56"/>
        <v>3</v>
      </c>
    </row>
    <row r="3418" spans="1:6">
      <c r="A3418" s="83">
        <v>43525</v>
      </c>
      <c r="B3418" t="s">
        <v>34</v>
      </c>
      <c r="C3418" t="s">
        <v>24</v>
      </c>
      <c r="D3418" t="s">
        <v>26</v>
      </c>
      <c r="E3418">
        <v>108</v>
      </c>
      <c r="F3418">
        <f t="shared" si="56"/>
        <v>5</v>
      </c>
    </row>
    <row r="3419" spans="1:6">
      <c r="A3419" s="83">
        <v>43525</v>
      </c>
      <c r="B3419" t="s">
        <v>34</v>
      </c>
      <c r="C3419" t="s">
        <v>24</v>
      </c>
      <c r="D3419" t="s">
        <v>22</v>
      </c>
      <c r="E3419">
        <v>136</v>
      </c>
      <c r="F3419">
        <f t="shared" si="56"/>
        <v>7</v>
      </c>
    </row>
    <row r="3420" spans="1:6">
      <c r="A3420" s="83">
        <v>43525</v>
      </c>
      <c r="B3420" t="s">
        <v>34</v>
      </c>
      <c r="C3420" t="s">
        <v>24</v>
      </c>
      <c r="D3420" t="s">
        <v>22</v>
      </c>
      <c r="E3420">
        <v>42</v>
      </c>
      <c r="F3420">
        <f t="shared" si="56"/>
        <v>7</v>
      </c>
    </row>
    <row r="3421" spans="1:6">
      <c r="A3421" s="83">
        <v>43556</v>
      </c>
      <c r="B3421" t="s">
        <v>34</v>
      </c>
      <c r="C3421" t="s">
        <v>21</v>
      </c>
      <c r="D3421" t="s">
        <v>26</v>
      </c>
      <c r="E3421">
        <v>67</v>
      </c>
      <c r="F3421">
        <f t="shared" si="56"/>
        <v>5</v>
      </c>
    </row>
    <row r="3422" spans="1:6">
      <c r="A3422" s="83">
        <v>43556</v>
      </c>
      <c r="B3422" t="s">
        <v>34</v>
      </c>
      <c r="C3422" t="s">
        <v>21</v>
      </c>
      <c r="D3422" t="s">
        <v>26</v>
      </c>
      <c r="E3422">
        <v>119</v>
      </c>
      <c r="F3422">
        <f t="shared" si="56"/>
        <v>5</v>
      </c>
    </row>
    <row r="3423" spans="1:6">
      <c r="A3423" s="83">
        <v>43556</v>
      </c>
      <c r="B3423" t="s">
        <v>34</v>
      </c>
      <c r="C3423" t="s">
        <v>21</v>
      </c>
      <c r="D3423" t="s">
        <v>22</v>
      </c>
      <c r="E3423">
        <v>86</v>
      </c>
      <c r="F3423">
        <f t="shared" si="56"/>
        <v>7</v>
      </c>
    </row>
    <row r="3424" spans="1:6">
      <c r="A3424" s="83">
        <v>43556</v>
      </c>
      <c r="B3424" t="s">
        <v>34</v>
      </c>
      <c r="C3424" t="s">
        <v>24</v>
      </c>
      <c r="D3424" t="s">
        <v>22</v>
      </c>
      <c r="E3424">
        <v>120</v>
      </c>
      <c r="F3424">
        <f t="shared" si="56"/>
        <v>7</v>
      </c>
    </row>
    <row r="3425" spans="1:6">
      <c r="A3425" s="83">
        <v>43556</v>
      </c>
      <c r="B3425" t="s">
        <v>34</v>
      </c>
      <c r="C3425" t="s">
        <v>24</v>
      </c>
      <c r="D3425" t="s">
        <v>22</v>
      </c>
      <c r="E3425">
        <v>168</v>
      </c>
      <c r="F3425">
        <f t="shared" si="56"/>
        <v>7</v>
      </c>
    </row>
    <row r="3426" spans="1:6">
      <c r="A3426" s="83">
        <v>43556</v>
      </c>
      <c r="B3426" t="s">
        <v>34</v>
      </c>
      <c r="C3426" t="s">
        <v>24</v>
      </c>
      <c r="D3426" t="s">
        <v>26</v>
      </c>
      <c r="E3426">
        <v>52</v>
      </c>
      <c r="F3426">
        <f t="shared" si="56"/>
        <v>5</v>
      </c>
    </row>
    <row r="3427" spans="1:6">
      <c r="A3427" s="83">
        <v>43586</v>
      </c>
      <c r="B3427" t="s">
        <v>34</v>
      </c>
      <c r="C3427" t="s">
        <v>21</v>
      </c>
      <c r="D3427" t="s">
        <v>23</v>
      </c>
      <c r="E3427">
        <v>59</v>
      </c>
      <c r="F3427">
        <f t="shared" si="56"/>
        <v>3</v>
      </c>
    </row>
    <row r="3428" spans="1:6">
      <c r="A3428" s="83">
        <v>43586</v>
      </c>
      <c r="B3428" t="s">
        <v>34</v>
      </c>
      <c r="C3428" t="s">
        <v>21</v>
      </c>
      <c r="D3428" t="s">
        <v>23</v>
      </c>
      <c r="E3428">
        <v>181</v>
      </c>
      <c r="F3428">
        <f t="shared" si="56"/>
        <v>3</v>
      </c>
    </row>
    <row r="3429" spans="1:6">
      <c r="A3429" s="83">
        <v>43586</v>
      </c>
      <c r="B3429" t="s">
        <v>34</v>
      </c>
      <c r="C3429" t="s">
        <v>21</v>
      </c>
      <c r="D3429" t="s">
        <v>26</v>
      </c>
      <c r="E3429">
        <v>86</v>
      </c>
      <c r="F3429">
        <f t="shared" si="56"/>
        <v>5</v>
      </c>
    </row>
    <row r="3430" spans="1:6">
      <c r="A3430" s="83">
        <v>43586</v>
      </c>
      <c r="B3430" t="s">
        <v>34</v>
      </c>
      <c r="C3430" t="s">
        <v>24</v>
      </c>
      <c r="D3430" t="s">
        <v>22</v>
      </c>
      <c r="E3430">
        <v>114</v>
      </c>
      <c r="F3430">
        <f t="shared" si="56"/>
        <v>7</v>
      </c>
    </row>
    <row r="3431" spans="1:6">
      <c r="A3431" s="83">
        <v>43586</v>
      </c>
      <c r="B3431" t="s">
        <v>34</v>
      </c>
      <c r="C3431" t="s">
        <v>24</v>
      </c>
      <c r="D3431" t="s">
        <v>22</v>
      </c>
      <c r="E3431">
        <v>152</v>
      </c>
      <c r="F3431">
        <f t="shared" si="56"/>
        <v>7</v>
      </c>
    </row>
    <row r="3432" spans="1:6">
      <c r="A3432" s="83">
        <v>43586</v>
      </c>
      <c r="B3432" t="s">
        <v>34</v>
      </c>
      <c r="C3432" t="s">
        <v>24</v>
      </c>
      <c r="D3432" t="s">
        <v>23</v>
      </c>
      <c r="E3432">
        <v>47</v>
      </c>
      <c r="F3432">
        <f t="shared" si="56"/>
        <v>3</v>
      </c>
    </row>
    <row r="3433" spans="1:6">
      <c r="A3433" s="83">
        <v>43617</v>
      </c>
      <c r="B3433" t="s">
        <v>34</v>
      </c>
      <c r="C3433" t="s">
        <v>21</v>
      </c>
      <c r="D3433" t="s">
        <v>26</v>
      </c>
      <c r="E3433">
        <v>71</v>
      </c>
      <c r="F3433">
        <f t="shared" si="56"/>
        <v>5</v>
      </c>
    </row>
    <row r="3434" spans="1:6">
      <c r="A3434" s="83">
        <v>43617</v>
      </c>
      <c r="B3434" t="s">
        <v>34</v>
      </c>
      <c r="C3434" t="s">
        <v>21</v>
      </c>
      <c r="D3434" t="s">
        <v>22</v>
      </c>
      <c r="E3434">
        <v>155</v>
      </c>
      <c r="F3434">
        <f t="shared" si="56"/>
        <v>7</v>
      </c>
    </row>
    <row r="3435" spans="1:6">
      <c r="A3435" s="83">
        <v>43617</v>
      </c>
      <c r="B3435" t="s">
        <v>34</v>
      </c>
      <c r="C3435" t="s">
        <v>21</v>
      </c>
      <c r="D3435" t="s">
        <v>22</v>
      </c>
      <c r="E3435">
        <v>102</v>
      </c>
      <c r="F3435">
        <f t="shared" si="56"/>
        <v>7</v>
      </c>
    </row>
    <row r="3436" spans="1:6">
      <c r="A3436" s="83">
        <v>43617</v>
      </c>
      <c r="B3436" t="s">
        <v>34</v>
      </c>
      <c r="C3436" t="s">
        <v>24</v>
      </c>
      <c r="D3436" t="s">
        <v>26</v>
      </c>
      <c r="E3436">
        <v>79</v>
      </c>
      <c r="F3436">
        <f t="shared" si="56"/>
        <v>5</v>
      </c>
    </row>
    <row r="3437" spans="1:6">
      <c r="A3437" s="83">
        <v>43617</v>
      </c>
      <c r="B3437" t="s">
        <v>34</v>
      </c>
      <c r="C3437" t="s">
        <v>24</v>
      </c>
      <c r="D3437" t="s">
        <v>26</v>
      </c>
      <c r="E3437">
        <v>121</v>
      </c>
      <c r="F3437">
        <f t="shared" si="56"/>
        <v>5</v>
      </c>
    </row>
    <row r="3438" spans="1:6">
      <c r="A3438" s="83">
        <v>43617</v>
      </c>
      <c r="B3438" t="s">
        <v>34</v>
      </c>
      <c r="C3438" t="s">
        <v>24</v>
      </c>
      <c r="D3438" t="s">
        <v>23</v>
      </c>
      <c r="E3438">
        <v>31</v>
      </c>
      <c r="F3438">
        <f t="shared" si="56"/>
        <v>3</v>
      </c>
    </row>
    <row r="3439" spans="1:6">
      <c r="A3439" s="83">
        <v>43647</v>
      </c>
      <c r="B3439" t="s">
        <v>34</v>
      </c>
      <c r="C3439" t="s">
        <v>21</v>
      </c>
      <c r="D3439" t="s">
        <v>26</v>
      </c>
      <c r="E3439">
        <v>91</v>
      </c>
      <c r="F3439">
        <f t="shared" si="56"/>
        <v>5</v>
      </c>
    </row>
    <row r="3440" spans="1:6">
      <c r="A3440" s="83">
        <v>43647</v>
      </c>
      <c r="B3440" t="s">
        <v>34</v>
      </c>
      <c r="C3440" t="s">
        <v>21</v>
      </c>
      <c r="D3440" t="s">
        <v>23</v>
      </c>
      <c r="E3440">
        <v>122</v>
      </c>
      <c r="F3440">
        <f t="shared" si="56"/>
        <v>3</v>
      </c>
    </row>
    <row r="3441" spans="1:6">
      <c r="A3441" s="83">
        <v>43647</v>
      </c>
      <c r="B3441" t="s">
        <v>34</v>
      </c>
      <c r="C3441" t="s">
        <v>21</v>
      </c>
      <c r="D3441" t="s">
        <v>23</v>
      </c>
      <c r="E3441">
        <v>112</v>
      </c>
      <c r="F3441">
        <f t="shared" si="56"/>
        <v>3</v>
      </c>
    </row>
    <row r="3442" spans="1:6">
      <c r="A3442" s="83">
        <v>43647</v>
      </c>
      <c r="B3442" t="s">
        <v>34</v>
      </c>
      <c r="C3442" t="s">
        <v>24</v>
      </c>
      <c r="D3442" t="s">
        <v>22</v>
      </c>
      <c r="E3442">
        <v>103</v>
      </c>
      <c r="F3442">
        <f t="shared" si="56"/>
        <v>7</v>
      </c>
    </row>
    <row r="3443" spans="1:6">
      <c r="A3443" s="83">
        <v>43647</v>
      </c>
      <c r="B3443" t="s">
        <v>34</v>
      </c>
      <c r="C3443" t="s">
        <v>24</v>
      </c>
      <c r="D3443" t="s">
        <v>26</v>
      </c>
      <c r="E3443">
        <v>122</v>
      </c>
      <c r="F3443">
        <f t="shared" si="56"/>
        <v>5</v>
      </c>
    </row>
    <row r="3444" spans="1:6">
      <c r="A3444" s="83">
        <v>43647</v>
      </c>
      <c r="B3444" t="s">
        <v>34</v>
      </c>
      <c r="C3444" t="s">
        <v>24</v>
      </c>
      <c r="D3444" t="s">
        <v>23</v>
      </c>
      <c r="E3444">
        <v>39</v>
      </c>
      <c r="F3444">
        <f t="shared" si="56"/>
        <v>3</v>
      </c>
    </row>
    <row r="3445" spans="1:6">
      <c r="A3445" s="83">
        <v>43678</v>
      </c>
      <c r="B3445" t="s">
        <v>34</v>
      </c>
      <c r="C3445" t="s">
        <v>21</v>
      </c>
      <c r="D3445" t="s">
        <v>22</v>
      </c>
      <c r="E3445">
        <v>64</v>
      </c>
      <c r="F3445">
        <f t="shared" si="56"/>
        <v>7</v>
      </c>
    </row>
    <row r="3446" spans="1:6">
      <c r="A3446" s="83">
        <v>43678</v>
      </c>
      <c r="B3446" t="s">
        <v>34</v>
      </c>
      <c r="C3446" t="s">
        <v>21</v>
      </c>
      <c r="D3446" t="s">
        <v>22</v>
      </c>
      <c r="E3446">
        <v>152</v>
      </c>
      <c r="F3446">
        <f t="shared" si="56"/>
        <v>7</v>
      </c>
    </row>
    <row r="3447" spans="1:6">
      <c r="A3447" s="83">
        <v>43678</v>
      </c>
      <c r="B3447" t="s">
        <v>34</v>
      </c>
      <c r="C3447" t="s">
        <v>21</v>
      </c>
      <c r="D3447" t="s">
        <v>22</v>
      </c>
      <c r="E3447">
        <v>129</v>
      </c>
      <c r="F3447">
        <f t="shared" si="56"/>
        <v>7</v>
      </c>
    </row>
    <row r="3448" spans="1:6">
      <c r="A3448" s="83">
        <v>43678</v>
      </c>
      <c r="B3448" t="s">
        <v>34</v>
      </c>
      <c r="C3448" t="s">
        <v>24</v>
      </c>
      <c r="D3448" t="s">
        <v>22</v>
      </c>
      <c r="E3448">
        <v>84</v>
      </c>
      <c r="F3448">
        <f t="shared" si="56"/>
        <v>7</v>
      </c>
    </row>
    <row r="3449" spans="1:6">
      <c r="A3449" s="83">
        <v>43678</v>
      </c>
      <c r="B3449" t="s">
        <v>34</v>
      </c>
      <c r="C3449" t="s">
        <v>24</v>
      </c>
      <c r="D3449" t="s">
        <v>22</v>
      </c>
      <c r="E3449">
        <v>151</v>
      </c>
      <c r="F3449">
        <f t="shared" si="56"/>
        <v>7</v>
      </c>
    </row>
    <row r="3450" spans="1:6">
      <c r="A3450" s="83">
        <v>43678</v>
      </c>
      <c r="B3450" t="s">
        <v>34</v>
      </c>
      <c r="C3450" t="s">
        <v>24</v>
      </c>
      <c r="D3450" t="s">
        <v>26</v>
      </c>
      <c r="E3450">
        <v>38</v>
      </c>
      <c r="F3450">
        <f t="shared" si="56"/>
        <v>5</v>
      </c>
    </row>
    <row r="3451" spans="1:6">
      <c r="A3451" s="83">
        <v>43709</v>
      </c>
      <c r="B3451" t="s">
        <v>34</v>
      </c>
      <c r="C3451" t="s">
        <v>21</v>
      </c>
      <c r="D3451" t="s">
        <v>26</v>
      </c>
      <c r="E3451">
        <v>59</v>
      </c>
      <c r="F3451">
        <f t="shared" si="56"/>
        <v>5</v>
      </c>
    </row>
    <row r="3452" spans="1:6">
      <c r="A3452" s="83">
        <v>43709</v>
      </c>
      <c r="B3452" t="s">
        <v>34</v>
      </c>
      <c r="C3452" t="s">
        <v>21</v>
      </c>
      <c r="D3452" t="s">
        <v>26</v>
      </c>
      <c r="E3452">
        <v>141</v>
      </c>
      <c r="F3452">
        <f t="shared" si="56"/>
        <v>5</v>
      </c>
    </row>
    <row r="3453" spans="1:6">
      <c r="A3453" s="83">
        <v>43709</v>
      </c>
      <c r="B3453" t="s">
        <v>34</v>
      </c>
      <c r="C3453" t="s">
        <v>21</v>
      </c>
      <c r="D3453" t="s">
        <v>26</v>
      </c>
      <c r="E3453">
        <v>116</v>
      </c>
      <c r="F3453">
        <f t="shared" si="56"/>
        <v>5</v>
      </c>
    </row>
    <row r="3454" spans="1:6">
      <c r="A3454" s="83">
        <v>43709</v>
      </c>
      <c r="B3454" t="s">
        <v>34</v>
      </c>
      <c r="C3454" t="s">
        <v>24</v>
      </c>
      <c r="D3454" t="s">
        <v>26</v>
      </c>
      <c r="E3454">
        <v>67</v>
      </c>
      <c r="F3454">
        <f t="shared" si="56"/>
        <v>5</v>
      </c>
    </row>
    <row r="3455" spans="1:6">
      <c r="A3455" s="83">
        <v>43709</v>
      </c>
      <c r="B3455" t="s">
        <v>34</v>
      </c>
      <c r="C3455" t="s">
        <v>24</v>
      </c>
      <c r="D3455" t="s">
        <v>22</v>
      </c>
      <c r="E3455">
        <v>95</v>
      </c>
      <c r="F3455">
        <f t="shared" si="56"/>
        <v>7</v>
      </c>
    </row>
    <row r="3456" spans="1:6">
      <c r="A3456" s="83">
        <v>43709</v>
      </c>
      <c r="B3456" t="s">
        <v>34</v>
      </c>
      <c r="C3456" t="s">
        <v>24</v>
      </c>
      <c r="D3456" t="s">
        <v>22</v>
      </c>
      <c r="E3456">
        <v>48</v>
      </c>
      <c r="F3456">
        <f t="shared" si="56"/>
        <v>7</v>
      </c>
    </row>
    <row r="3457" spans="1:6">
      <c r="A3457" s="83">
        <v>43739</v>
      </c>
      <c r="B3457" t="s">
        <v>34</v>
      </c>
      <c r="C3457" t="s">
        <v>21</v>
      </c>
      <c r="D3457" t="s">
        <v>26</v>
      </c>
      <c r="E3457">
        <v>75</v>
      </c>
      <c r="F3457">
        <f t="shared" si="56"/>
        <v>5</v>
      </c>
    </row>
    <row r="3458" spans="1:6">
      <c r="A3458" s="83">
        <v>43739</v>
      </c>
      <c r="B3458" t="s">
        <v>34</v>
      </c>
      <c r="C3458" t="s">
        <v>21</v>
      </c>
      <c r="D3458" t="s">
        <v>22</v>
      </c>
      <c r="E3458">
        <v>217</v>
      </c>
      <c r="F3458">
        <f t="shared" si="56"/>
        <v>7</v>
      </c>
    </row>
    <row r="3459" spans="1:6">
      <c r="A3459" s="83">
        <v>43739</v>
      </c>
      <c r="B3459" t="s">
        <v>34</v>
      </c>
      <c r="C3459" t="s">
        <v>21</v>
      </c>
      <c r="D3459" t="s">
        <v>26</v>
      </c>
      <c r="E3459">
        <v>125</v>
      </c>
      <c r="F3459">
        <f t="shared" ref="F3459:F3522" si="57">LEN(D3459)</f>
        <v>5</v>
      </c>
    </row>
    <row r="3460" spans="1:6">
      <c r="A3460" s="83">
        <v>43739</v>
      </c>
      <c r="B3460" t="s">
        <v>34</v>
      </c>
      <c r="C3460" t="s">
        <v>24</v>
      </c>
      <c r="D3460" t="s">
        <v>22</v>
      </c>
      <c r="E3460">
        <v>31</v>
      </c>
      <c r="F3460">
        <f t="shared" si="57"/>
        <v>7</v>
      </c>
    </row>
    <row r="3461" spans="1:6">
      <c r="A3461" s="83">
        <v>43739</v>
      </c>
      <c r="B3461" t="s">
        <v>34</v>
      </c>
      <c r="C3461" t="s">
        <v>24</v>
      </c>
      <c r="D3461" t="s">
        <v>26</v>
      </c>
      <c r="E3461">
        <v>96</v>
      </c>
      <c r="F3461">
        <f t="shared" si="57"/>
        <v>5</v>
      </c>
    </row>
    <row r="3462" spans="1:6">
      <c r="A3462" s="83">
        <v>43739</v>
      </c>
      <c r="B3462" t="s">
        <v>34</v>
      </c>
      <c r="C3462" t="s">
        <v>24</v>
      </c>
      <c r="D3462" t="s">
        <v>26</v>
      </c>
      <c r="E3462">
        <v>26</v>
      </c>
      <c r="F3462">
        <f t="shared" si="57"/>
        <v>5</v>
      </c>
    </row>
    <row r="3463" spans="1:6">
      <c r="A3463" s="83">
        <v>43770</v>
      </c>
      <c r="B3463" t="s">
        <v>34</v>
      </c>
      <c r="C3463" t="s">
        <v>21</v>
      </c>
      <c r="D3463" t="s">
        <v>26</v>
      </c>
      <c r="E3463">
        <v>82</v>
      </c>
      <c r="F3463">
        <f t="shared" si="57"/>
        <v>5</v>
      </c>
    </row>
    <row r="3464" spans="1:6">
      <c r="A3464" s="83">
        <v>43770</v>
      </c>
      <c r="B3464" t="s">
        <v>34</v>
      </c>
      <c r="C3464" t="s">
        <v>21</v>
      </c>
      <c r="D3464" t="s">
        <v>26</v>
      </c>
      <c r="E3464">
        <v>231</v>
      </c>
      <c r="F3464">
        <f t="shared" si="57"/>
        <v>5</v>
      </c>
    </row>
    <row r="3465" spans="1:6">
      <c r="A3465" s="83">
        <v>43770</v>
      </c>
      <c r="B3465" t="s">
        <v>34</v>
      </c>
      <c r="C3465" t="s">
        <v>21</v>
      </c>
      <c r="D3465" t="s">
        <v>26</v>
      </c>
      <c r="E3465">
        <v>120</v>
      </c>
      <c r="F3465">
        <f t="shared" si="57"/>
        <v>5</v>
      </c>
    </row>
    <row r="3466" spans="1:6">
      <c r="A3466" s="83">
        <v>43770</v>
      </c>
      <c r="B3466" t="s">
        <v>34</v>
      </c>
      <c r="C3466" t="s">
        <v>24</v>
      </c>
      <c r="D3466" t="s">
        <v>26</v>
      </c>
      <c r="E3466">
        <v>61</v>
      </c>
      <c r="F3466">
        <f t="shared" si="57"/>
        <v>5</v>
      </c>
    </row>
    <row r="3467" spans="1:6">
      <c r="A3467" s="83">
        <v>43770</v>
      </c>
      <c r="B3467" t="s">
        <v>34</v>
      </c>
      <c r="C3467" t="s">
        <v>24</v>
      </c>
      <c r="D3467" t="s">
        <v>22</v>
      </c>
      <c r="E3467">
        <v>168</v>
      </c>
      <c r="F3467">
        <f t="shared" si="57"/>
        <v>7</v>
      </c>
    </row>
    <row r="3468" spans="1:6">
      <c r="A3468" s="83">
        <v>43770</v>
      </c>
      <c r="B3468" t="s">
        <v>34</v>
      </c>
      <c r="C3468" t="s">
        <v>24</v>
      </c>
      <c r="D3468" t="s">
        <v>22</v>
      </c>
      <c r="E3468">
        <v>45</v>
      </c>
      <c r="F3468">
        <f t="shared" si="57"/>
        <v>7</v>
      </c>
    </row>
    <row r="3469" spans="1:6">
      <c r="A3469" s="83">
        <v>43800</v>
      </c>
      <c r="B3469" t="s">
        <v>34</v>
      </c>
      <c r="C3469" t="s">
        <v>21</v>
      </c>
      <c r="D3469" t="s">
        <v>22</v>
      </c>
      <c r="E3469">
        <v>105</v>
      </c>
      <c r="F3469">
        <f t="shared" si="57"/>
        <v>7</v>
      </c>
    </row>
    <row r="3470" spans="1:6">
      <c r="A3470" s="83">
        <v>43800</v>
      </c>
      <c r="B3470" t="s">
        <v>34</v>
      </c>
      <c r="C3470" t="s">
        <v>21</v>
      </c>
      <c r="D3470" t="s">
        <v>22</v>
      </c>
      <c r="E3470">
        <v>164</v>
      </c>
      <c r="F3470">
        <f t="shared" si="57"/>
        <v>7</v>
      </c>
    </row>
    <row r="3471" spans="1:6">
      <c r="A3471" s="83">
        <v>43800</v>
      </c>
      <c r="B3471" t="s">
        <v>34</v>
      </c>
      <c r="C3471" t="s">
        <v>21</v>
      </c>
      <c r="D3471" t="s">
        <v>23</v>
      </c>
      <c r="E3471">
        <v>113</v>
      </c>
      <c r="F3471">
        <f t="shared" si="57"/>
        <v>3</v>
      </c>
    </row>
    <row r="3472" spans="1:6">
      <c r="A3472" s="83">
        <v>43800</v>
      </c>
      <c r="B3472" t="s">
        <v>34</v>
      </c>
      <c r="C3472" t="s">
        <v>24</v>
      </c>
      <c r="D3472" t="s">
        <v>26</v>
      </c>
      <c r="E3472">
        <v>83</v>
      </c>
      <c r="F3472">
        <f t="shared" si="57"/>
        <v>5</v>
      </c>
    </row>
    <row r="3473" spans="1:6">
      <c r="A3473" s="83">
        <v>43800</v>
      </c>
      <c r="B3473" t="s">
        <v>34</v>
      </c>
      <c r="C3473" t="s">
        <v>24</v>
      </c>
      <c r="D3473" t="s">
        <v>26</v>
      </c>
      <c r="E3473">
        <v>182</v>
      </c>
      <c r="F3473">
        <f t="shared" si="57"/>
        <v>5</v>
      </c>
    </row>
    <row r="3474" spans="1:6">
      <c r="A3474" s="83">
        <v>43800</v>
      </c>
      <c r="B3474" t="s">
        <v>34</v>
      </c>
      <c r="C3474" t="s">
        <v>24</v>
      </c>
      <c r="D3474" t="s">
        <v>23</v>
      </c>
      <c r="E3474">
        <v>56</v>
      </c>
      <c r="F3474">
        <f t="shared" si="57"/>
        <v>3</v>
      </c>
    </row>
    <row r="3475" spans="1:6">
      <c r="A3475" s="83">
        <v>43344</v>
      </c>
      <c r="B3475" t="s">
        <v>34</v>
      </c>
      <c r="C3475" t="s">
        <v>21</v>
      </c>
      <c r="D3475" t="s">
        <v>26</v>
      </c>
      <c r="E3475">
        <v>251</v>
      </c>
      <c r="F3475">
        <f t="shared" si="57"/>
        <v>5</v>
      </c>
    </row>
    <row r="3476" spans="1:6">
      <c r="A3476" s="83">
        <v>43344</v>
      </c>
      <c r="B3476" t="s">
        <v>34</v>
      </c>
      <c r="C3476" t="s">
        <v>21</v>
      </c>
      <c r="D3476" t="s">
        <v>22</v>
      </c>
      <c r="E3476">
        <v>124</v>
      </c>
      <c r="F3476">
        <f t="shared" si="57"/>
        <v>7</v>
      </c>
    </row>
    <row r="3477" spans="1:6">
      <c r="A3477" s="83">
        <v>43344</v>
      </c>
      <c r="B3477" t="s">
        <v>34</v>
      </c>
      <c r="C3477" t="s">
        <v>24</v>
      </c>
      <c r="D3477" t="s">
        <v>26</v>
      </c>
      <c r="E3477">
        <v>733</v>
      </c>
      <c r="F3477">
        <f t="shared" si="57"/>
        <v>5</v>
      </c>
    </row>
    <row r="3478" spans="1:6">
      <c r="A3478" s="83">
        <v>43344</v>
      </c>
      <c r="B3478" t="s">
        <v>34</v>
      </c>
      <c r="C3478" t="s">
        <v>24</v>
      </c>
      <c r="D3478" t="s">
        <v>26</v>
      </c>
      <c r="E3478">
        <v>197</v>
      </c>
      <c r="F3478">
        <f t="shared" si="57"/>
        <v>5</v>
      </c>
    </row>
    <row r="3479" spans="1:6">
      <c r="A3479" s="83">
        <v>43374</v>
      </c>
      <c r="B3479" t="s">
        <v>34</v>
      </c>
      <c r="C3479" t="s">
        <v>21</v>
      </c>
      <c r="D3479" t="s">
        <v>23</v>
      </c>
      <c r="E3479">
        <v>146</v>
      </c>
      <c r="F3479">
        <f t="shared" si="57"/>
        <v>3</v>
      </c>
    </row>
    <row r="3480" spans="1:6">
      <c r="A3480" s="83">
        <v>43374</v>
      </c>
      <c r="B3480" t="s">
        <v>34</v>
      </c>
      <c r="C3480" t="s">
        <v>21</v>
      </c>
      <c r="D3480" t="s">
        <v>26</v>
      </c>
      <c r="E3480">
        <v>166</v>
      </c>
      <c r="F3480">
        <f t="shared" si="57"/>
        <v>5</v>
      </c>
    </row>
    <row r="3481" spans="1:6">
      <c r="A3481" s="83">
        <v>43374</v>
      </c>
      <c r="B3481" t="s">
        <v>34</v>
      </c>
      <c r="C3481" t="s">
        <v>24</v>
      </c>
      <c r="D3481" t="s">
        <v>22</v>
      </c>
      <c r="E3481">
        <v>717</v>
      </c>
      <c r="F3481">
        <f t="shared" si="57"/>
        <v>7</v>
      </c>
    </row>
    <row r="3482" spans="1:6">
      <c r="A3482" s="83">
        <v>43374</v>
      </c>
      <c r="B3482" t="s">
        <v>34</v>
      </c>
      <c r="C3482" t="s">
        <v>24</v>
      </c>
      <c r="D3482" t="s">
        <v>23</v>
      </c>
      <c r="E3482">
        <v>166</v>
      </c>
      <c r="F3482">
        <f t="shared" si="57"/>
        <v>3</v>
      </c>
    </row>
    <row r="3483" spans="1:6">
      <c r="A3483" s="83">
        <v>43405</v>
      </c>
      <c r="B3483" t="s">
        <v>34</v>
      </c>
      <c r="C3483" t="s">
        <v>21</v>
      </c>
      <c r="D3483" t="s">
        <v>26</v>
      </c>
      <c r="E3483">
        <v>146</v>
      </c>
      <c r="F3483">
        <f t="shared" si="57"/>
        <v>5</v>
      </c>
    </row>
    <row r="3484" spans="1:6">
      <c r="A3484" s="83">
        <v>43405</v>
      </c>
      <c r="B3484" t="s">
        <v>34</v>
      </c>
      <c r="C3484" t="s">
        <v>21</v>
      </c>
      <c r="D3484" t="s">
        <v>23</v>
      </c>
      <c r="E3484">
        <v>71</v>
      </c>
      <c r="F3484">
        <f t="shared" si="57"/>
        <v>3</v>
      </c>
    </row>
    <row r="3485" spans="1:6">
      <c r="A3485" s="83">
        <v>43405</v>
      </c>
      <c r="B3485" t="s">
        <v>34</v>
      </c>
      <c r="C3485" t="s">
        <v>24</v>
      </c>
      <c r="D3485" t="s">
        <v>26</v>
      </c>
      <c r="E3485">
        <v>534</v>
      </c>
      <c r="F3485">
        <f t="shared" si="57"/>
        <v>5</v>
      </c>
    </row>
    <row r="3486" spans="1:6">
      <c r="A3486" s="83">
        <v>43405</v>
      </c>
      <c r="B3486" t="s">
        <v>34</v>
      </c>
      <c r="C3486" t="s">
        <v>24</v>
      </c>
      <c r="D3486" t="s">
        <v>26</v>
      </c>
      <c r="E3486">
        <v>253</v>
      </c>
      <c r="F3486">
        <f t="shared" si="57"/>
        <v>5</v>
      </c>
    </row>
    <row r="3487" spans="1:6">
      <c r="A3487" s="83">
        <v>43435</v>
      </c>
      <c r="B3487" t="s">
        <v>34</v>
      </c>
      <c r="C3487" t="s">
        <v>21</v>
      </c>
      <c r="D3487" t="s">
        <v>22</v>
      </c>
      <c r="E3487">
        <v>144</v>
      </c>
      <c r="F3487">
        <f t="shared" si="57"/>
        <v>7</v>
      </c>
    </row>
    <row r="3488" spans="1:6">
      <c r="A3488" s="83">
        <v>43435</v>
      </c>
      <c r="B3488" t="s">
        <v>34</v>
      </c>
      <c r="C3488" t="s">
        <v>21</v>
      </c>
      <c r="D3488" t="s">
        <v>26</v>
      </c>
      <c r="E3488">
        <v>79</v>
      </c>
      <c r="F3488">
        <f t="shared" si="57"/>
        <v>5</v>
      </c>
    </row>
    <row r="3489" spans="1:6">
      <c r="A3489" s="83">
        <v>43435</v>
      </c>
      <c r="B3489" t="s">
        <v>34</v>
      </c>
      <c r="C3489" t="s">
        <v>24</v>
      </c>
      <c r="D3489" t="s">
        <v>26</v>
      </c>
      <c r="E3489">
        <v>632</v>
      </c>
      <c r="F3489">
        <f t="shared" si="57"/>
        <v>5</v>
      </c>
    </row>
    <row r="3490" spans="1:6">
      <c r="A3490" s="83">
        <v>43435</v>
      </c>
      <c r="B3490" t="s">
        <v>34</v>
      </c>
      <c r="C3490" t="s">
        <v>24</v>
      </c>
      <c r="D3490" t="s">
        <v>23</v>
      </c>
      <c r="E3490">
        <v>204</v>
      </c>
      <c r="F3490">
        <f t="shared" si="57"/>
        <v>3</v>
      </c>
    </row>
    <row r="3491" spans="1:6">
      <c r="A3491" s="83">
        <v>43466</v>
      </c>
      <c r="B3491" t="s">
        <v>34</v>
      </c>
      <c r="C3491" t="s">
        <v>21</v>
      </c>
      <c r="D3491" t="s">
        <v>22</v>
      </c>
      <c r="E3491">
        <v>198</v>
      </c>
      <c r="F3491">
        <f t="shared" si="57"/>
        <v>7</v>
      </c>
    </row>
    <row r="3492" spans="1:6">
      <c r="A3492" s="83">
        <v>43466</v>
      </c>
      <c r="B3492" t="s">
        <v>34</v>
      </c>
      <c r="C3492" t="s">
        <v>21</v>
      </c>
      <c r="D3492" t="s">
        <v>26</v>
      </c>
      <c r="E3492">
        <v>44</v>
      </c>
      <c r="F3492">
        <f t="shared" si="57"/>
        <v>5</v>
      </c>
    </row>
    <row r="3493" spans="1:6">
      <c r="A3493" s="83">
        <v>43466</v>
      </c>
      <c r="B3493" t="s">
        <v>34</v>
      </c>
      <c r="C3493" t="s">
        <v>24</v>
      </c>
      <c r="D3493" t="s">
        <v>26</v>
      </c>
      <c r="E3493">
        <v>696</v>
      </c>
      <c r="F3493">
        <f t="shared" si="57"/>
        <v>5</v>
      </c>
    </row>
    <row r="3494" spans="1:6">
      <c r="A3494" s="83">
        <v>43466</v>
      </c>
      <c r="B3494" t="s">
        <v>34</v>
      </c>
      <c r="C3494" t="s">
        <v>24</v>
      </c>
      <c r="D3494" t="s">
        <v>26</v>
      </c>
      <c r="E3494">
        <v>252</v>
      </c>
      <c r="F3494">
        <f t="shared" si="57"/>
        <v>5</v>
      </c>
    </row>
    <row r="3495" spans="1:6">
      <c r="A3495" s="83">
        <v>43497</v>
      </c>
      <c r="B3495" t="s">
        <v>34</v>
      </c>
      <c r="C3495" t="s">
        <v>21</v>
      </c>
      <c r="D3495" t="s">
        <v>26</v>
      </c>
      <c r="E3495">
        <v>289</v>
      </c>
      <c r="F3495">
        <f t="shared" si="57"/>
        <v>5</v>
      </c>
    </row>
    <row r="3496" spans="1:6">
      <c r="A3496" s="83">
        <v>43497</v>
      </c>
      <c r="B3496" t="s">
        <v>34</v>
      </c>
      <c r="C3496" t="s">
        <v>21</v>
      </c>
      <c r="D3496" t="s">
        <v>23</v>
      </c>
      <c r="E3496">
        <v>31</v>
      </c>
      <c r="F3496">
        <f t="shared" si="57"/>
        <v>3</v>
      </c>
    </row>
    <row r="3497" spans="1:6">
      <c r="A3497" s="83">
        <v>43497</v>
      </c>
      <c r="B3497" t="s">
        <v>34</v>
      </c>
      <c r="C3497" t="s">
        <v>24</v>
      </c>
      <c r="D3497" t="s">
        <v>26</v>
      </c>
      <c r="E3497">
        <v>1012</v>
      </c>
      <c r="F3497">
        <f t="shared" si="57"/>
        <v>5</v>
      </c>
    </row>
    <row r="3498" spans="1:6">
      <c r="A3498" s="83">
        <v>43497</v>
      </c>
      <c r="B3498" t="s">
        <v>34</v>
      </c>
      <c r="C3498" t="s">
        <v>24</v>
      </c>
      <c r="D3498" t="s">
        <v>23</v>
      </c>
      <c r="E3498">
        <v>434</v>
      </c>
      <c r="F3498">
        <f t="shared" si="57"/>
        <v>3</v>
      </c>
    </row>
    <row r="3499" spans="1:6">
      <c r="A3499" s="83">
        <v>43525</v>
      </c>
      <c r="B3499" t="s">
        <v>34</v>
      </c>
      <c r="C3499" t="s">
        <v>21</v>
      </c>
      <c r="D3499" t="s">
        <v>26</v>
      </c>
      <c r="E3499">
        <v>414</v>
      </c>
      <c r="F3499">
        <f t="shared" si="57"/>
        <v>5</v>
      </c>
    </row>
    <row r="3500" spans="1:6">
      <c r="A3500" s="83">
        <v>43525</v>
      </c>
      <c r="B3500" t="s">
        <v>34</v>
      </c>
      <c r="C3500" t="s">
        <v>21</v>
      </c>
      <c r="D3500" t="s">
        <v>22</v>
      </c>
      <c r="E3500">
        <v>103</v>
      </c>
      <c r="F3500">
        <f t="shared" si="57"/>
        <v>7</v>
      </c>
    </row>
    <row r="3501" spans="1:6">
      <c r="A3501" s="83">
        <v>43525</v>
      </c>
      <c r="B3501" t="s">
        <v>34</v>
      </c>
      <c r="C3501" t="s">
        <v>24</v>
      </c>
      <c r="D3501" t="s">
        <v>26</v>
      </c>
      <c r="E3501">
        <v>779</v>
      </c>
      <c r="F3501">
        <f t="shared" si="57"/>
        <v>5</v>
      </c>
    </row>
    <row r="3502" spans="1:6">
      <c r="A3502" s="83">
        <v>43525</v>
      </c>
      <c r="B3502" t="s">
        <v>34</v>
      </c>
      <c r="C3502" t="s">
        <v>24</v>
      </c>
      <c r="D3502" t="s">
        <v>23</v>
      </c>
      <c r="E3502">
        <v>344</v>
      </c>
      <c r="F3502">
        <f t="shared" si="57"/>
        <v>3</v>
      </c>
    </row>
    <row r="3503" spans="1:6">
      <c r="A3503" s="83">
        <v>43556</v>
      </c>
      <c r="B3503" t="s">
        <v>34</v>
      </c>
      <c r="C3503" t="s">
        <v>21</v>
      </c>
      <c r="D3503" t="s">
        <v>26</v>
      </c>
      <c r="E3503">
        <v>475</v>
      </c>
      <c r="F3503">
        <f t="shared" si="57"/>
        <v>5</v>
      </c>
    </row>
    <row r="3504" spans="1:6">
      <c r="A3504" s="83">
        <v>43556</v>
      </c>
      <c r="B3504" t="s">
        <v>34</v>
      </c>
      <c r="C3504" t="s">
        <v>21</v>
      </c>
      <c r="D3504" t="s">
        <v>26</v>
      </c>
      <c r="E3504">
        <v>162</v>
      </c>
      <c r="F3504">
        <f t="shared" si="57"/>
        <v>5</v>
      </c>
    </row>
    <row r="3505" spans="1:6">
      <c r="A3505" s="83">
        <v>43556</v>
      </c>
      <c r="B3505" t="s">
        <v>34</v>
      </c>
      <c r="C3505" t="s">
        <v>24</v>
      </c>
      <c r="D3505" t="s">
        <v>23</v>
      </c>
      <c r="E3505">
        <v>789</v>
      </c>
      <c r="F3505">
        <f t="shared" si="57"/>
        <v>3</v>
      </c>
    </row>
    <row r="3506" spans="1:6">
      <c r="A3506" s="83">
        <v>43556</v>
      </c>
      <c r="B3506" t="s">
        <v>34</v>
      </c>
      <c r="C3506" t="s">
        <v>24</v>
      </c>
      <c r="D3506" t="s">
        <v>22</v>
      </c>
      <c r="E3506">
        <v>372</v>
      </c>
      <c r="F3506">
        <f t="shared" si="57"/>
        <v>7</v>
      </c>
    </row>
    <row r="3507" spans="1:6">
      <c r="A3507" s="83">
        <v>43586</v>
      </c>
      <c r="B3507" t="s">
        <v>34</v>
      </c>
      <c r="C3507" t="s">
        <v>21</v>
      </c>
      <c r="D3507" t="s">
        <v>22</v>
      </c>
      <c r="E3507">
        <v>441</v>
      </c>
      <c r="F3507">
        <f t="shared" si="57"/>
        <v>7</v>
      </c>
    </row>
    <row r="3508" spans="1:6">
      <c r="A3508" s="83">
        <v>43586</v>
      </c>
      <c r="B3508" t="s">
        <v>34</v>
      </c>
      <c r="C3508" t="s">
        <v>21</v>
      </c>
      <c r="D3508" t="s">
        <v>26</v>
      </c>
      <c r="E3508">
        <v>295</v>
      </c>
      <c r="F3508">
        <f t="shared" si="57"/>
        <v>5</v>
      </c>
    </row>
    <row r="3509" spans="1:6">
      <c r="A3509" s="83">
        <v>43586</v>
      </c>
      <c r="B3509" t="s">
        <v>34</v>
      </c>
      <c r="C3509" t="s">
        <v>24</v>
      </c>
      <c r="D3509" t="s">
        <v>26</v>
      </c>
      <c r="E3509">
        <v>712</v>
      </c>
      <c r="F3509">
        <f t="shared" si="57"/>
        <v>5</v>
      </c>
    </row>
    <row r="3510" spans="1:6">
      <c r="A3510" s="83">
        <v>43586</v>
      </c>
      <c r="B3510" t="s">
        <v>34</v>
      </c>
      <c r="C3510" t="s">
        <v>24</v>
      </c>
      <c r="D3510" t="s">
        <v>26</v>
      </c>
      <c r="E3510">
        <v>354</v>
      </c>
      <c r="F3510">
        <f t="shared" si="57"/>
        <v>5</v>
      </c>
    </row>
    <row r="3511" spans="1:6">
      <c r="A3511" s="83">
        <v>43617</v>
      </c>
      <c r="B3511" t="s">
        <v>34</v>
      </c>
      <c r="C3511" t="s">
        <v>21</v>
      </c>
      <c r="D3511" t="s">
        <v>22</v>
      </c>
      <c r="E3511">
        <v>445</v>
      </c>
      <c r="F3511">
        <f t="shared" si="57"/>
        <v>7</v>
      </c>
    </row>
    <row r="3512" spans="1:6">
      <c r="A3512" s="83">
        <v>43617</v>
      </c>
      <c r="B3512" t="s">
        <v>34</v>
      </c>
      <c r="C3512" t="s">
        <v>21</v>
      </c>
      <c r="D3512" t="s">
        <v>26</v>
      </c>
      <c r="E3512">
        <v>193</v>
      </c>
      <c r="F3512">
        <f t="shared" si="57"/>
        <v>5</v>
      </c>
    </row>
    <row r="3513" spans="1:6">
      <c r="A3513" s="83">
        <v>43617</v>
      </c>
      <c r="B3513" t="s">
        <v>34</v>
      </c>
      <c r="C3513" t="s">
        <v>24</v>
      </c>
      <c r="D3513" t="s">
        <v>26</v>
      </c>
      <c r="E3513">
        <v>495</v>
      </c>
      <c r="F3513">
        <f t="shared" si="57"/>
        <v>5</v>
      </c>
    </row>
    <row r="3514" spans="1:6">
      <c r="A3514" s="83">
        <v>43617</v>
      </c>
      <c r="B3514" t="s">
        <v>34</v>
      </c>
      <c r="C3514" t="s">
        <v>24</v>
      </c>
      <c r="D3514" t="s">
        <v>26</v>
      </c>
      <c r="E3514">
        <v>322</v>
      </c>
      <c r="F3514">
        <f t="shared" si="57"/>
        <v>5</v>
      </c>
    </row>
    <row r="3515" spans="1:6">
      <c r="A3515" s="83">
        <v>43647</v>
      </c>
      <c r="B3515" t="s">
        <v>34</v>
      </c>
      <c r="C3515" t="s">
        <v>21</v>
      </c>
      <c r="D3515" t="s">
        <v>26</v>
      </c>
      <c r="E3515">
        <v>438</v>
      </c>
      <c r="F3515">
        <f t="shared" si="57"/>
        <v>5</v>
      </c>
    </row>
    <row r="3516" spans="1:6">
      <c r="A3516" s="83">
        <v>43647</v>
      </c>
      <c r="B3516" t="s">
        <v>34</v>
      </c>
      <c r="C3516" t="s">
        <v>21</v>
      </c>
      <c r="D3516" t="s">
        <v>23</v>
      </c>
      <c r="E3516">
        <v>318</v>
      </c>
      <c r="F3516">
        <f t="shared" si="57"/>
        <v>3</v>
      </c>
    </row>
    <row r="3517" spans="1:6">
      <c r="A3517" s="83">
        <v>43647</v>
      </c>
      <c r="B3517" t="s">
        <v>34</v>
      </c>
      <c r="C3517" t="s">
        <v>24</v>
      </c>
      <c r="D3517" t="s">
        <v>22</v>
      </c>
      <c r="E3517">
        <v>489</v>
      </c>
      <c r="F3517">
        <f t="shared" si="57"/>
        <v>7</v>
      </c>
    </row>
    <row r="3518" spans="1:6">
      <c r="A3518" s="83">
        <v>43647</v>
      </c>
      <c r="B3518" t="s">
        <v>34</v>
      </c>
      <c r="C3518" t="s">
        <v>24</v>
      </c>
      <c r="D3518" t="s">
        <v>26</v>
      </c>
      <c r="E3518">
        <v>292</v>
      </c>
      <c r="F3518">
        <f t="shared" si="57"/>
        <v>5</v>
      </c>
    </row>
    <row r="3519" spans="1:6">
      <c r="A3519" s="83">
        <v>43678</v>
      </c>
      <c r="B3519" t="s">
        <v>34</v>
      </c>
      <c r="C3519" t="s">
        <v>21</v>
      </c>
      <c r="D3519" t="s">
        <v>23</v>
      </c>
      <c r="E3519">
        <v>470</v>
      </c>
      <c r="F3519">
        <f t="shared" si="57"/>
        <v>3</v>
      </c>
    </row>
    <row r="3520" spans="1:6">
      <c r="A3520" s="83">
        <v>43678</v>
      </c>
      <c r="B3520" t="s">
        <v>34</v>
      </c>
      <c r="C3520" t="s">
        <v>21</v>
      </c>
      <c r="D3520" t="s">
        <v>26</v>
      </c>
      <c r="E3520">
        <v>422</v>
      </c>
      <c r="F3520">
        <f t="shared" si="57"/>
        <v>5</v>
      </c>
    </row>
    <row r="3521" spans="1:6">
      <c r="A3521" s="83">
        <v>43678</v>
      </c>
      <c r="B3521" t="s">
        <v>34</v>
      </c>
      <c r="C3521" t="s">
        <v>24</v>
      </c>
      <c r="D3521" t="s">
        <v>26</v>
      </c>
      <c r="E3521">
        <v>331</v>
      </c>
      <c r="F3521">
        <f t="shared" si="57"/>
        <v>5</v>
      </c>
    </row>
    <row r="3522" spans="1:6">
      <c r="A3522" s="83">
        <v>43678</v>
      </c>
      <c r="B3522" t="s">
        <v>34</v>
      </c>
      <c r="C3522" t="s">
        <v>24</v>
      </c>
      <c r="D3522" t="s">
        <v>22</v>
      </c>
      <c r="E3522">
        <v>291</v>
      </c>
      <c r="F3522">
        <f t="shared" si="57"/>
        <v>7</v>
      </c>
    </row>
    <row r="3523" spans="1:6">
      <c r="A3523" s="83">
        <v>43709</v>
      </c>
      <c r="B3523" t="s">
        <v>34</v>
      </c>
      <c r="C3523" t="s">
        <v>21</v>
      </c>
      <c r="D3523" t="s">
        <v>26</v>
      </c>
      <c r="E3523">
        <v>388</v>
      </c>
      <c r="F3523">
        <f t="shared" ref="F3523:F3586" si="58">LEN(D3523)</f>
        <v>5</v>
      </c>
    </row>
    <row r="3524" spans="1:6">
      <c r="A3524" s="83">
        <v>43709</v>
      </c>
      <c r="B3524" t="s">
        <v>34</v>
      </c>
      <c r="C3524" t="s">
        <v>21</v>
      </c>
      <c r="D3524" t="s">
        <v>26</v>
      </c>
      <c r="E3524">
        <v>350</v>
      </c>
      <c r="F3524">
        <f t="shared" si="58"/>
        <v>5</v>
      </c>
    </row>
    <row r="3525" spans="1:6">
      <c r="A3525" s="83">
        <v>43709</v>
      </c>
      <c r="B3525" t="s">
        <v>34</v>
      </c>
      <c r="C3525" t="s">
        <v>24</v>
      </c>
      <c r="D3525" t="s">
        <v>23</v>
      </c>
      <c r="E3525">
        <v>377</v>
      </c>
      <c r="F3525">
        <f t="shared" si="58"/>
        <v>3</v>
      </c>
    </row>
    <row r="3526" spans="1:6">
      <c r="A3526" s="83">
        <v>43709</v>
      </c>
      <c r="B3526" t="s">
        <v>34</v>
      </c>
      <c r="C3526" t="s">
        <v>24</v>
      </c>
      <c r="D3526" t="s">
        <v>26</v>
      </c>
      <c r="E3526">
        <v>319</v>
      </c>
      <c r="F3526">
        <f t="shared" si="58"/>
        <v>5</v>
      </c>
    </row>
    <row r="3527" spans="1:6">
      <c r="A3527" s="83">
        <v>43739</v>
      </c>
      <c r="B3527" t="s">
        <v>34</v>
      </c>
      <c r="C3527" t="s">
        <v>21</v>
      </c>
      <c r="D3527" t="s">
        <v>23</v>
      </c>
      <c r="E3527">
        <v>800</v>
      </c>
      <c r="F3527">
        <f t="shared" si="58"/>
        <v>3</v>
      </c>
    </row>
    <row r="3528" spans="1:6">
      <c r="A3528" s="83">
        <v>43739</v>
      </c>
      <c r="B3528" t="s">
        <v>34</v>
      </c>
      <c r="C3528" t="s">
        <v>21</v>
      </c>
      <c r="D3528" t="s">
        <v>23</v>
      </c>
      <c r="E3528">
        <v>412</v>
      </c>
      <c r="F3528">
        <f t="shared" si="58"/>
        <v>3</v>
      </c>
    </row>
    <row r="3529" spans="1:6">
      <c r="A3529" s="83">
        <v>43739</v>
      </c>
      <c r="B3529" t="s">
        <v>34</v>
      </c>
      <c r="C3529" t="s">
        <v>24</v>
      </c>
      <c r="D3529" t="s">
        <v>22</v>
      </c>
      <c r="E3529">
        <v>220</v>
      </c>
      <c r="F3529">
        <f t="shared" si="58"/>
        <v>7</v>
      </c>
    </row>
    <row r="3530" spans="1:6">
      <c r="A3530" s="83">
        <v>43739</v>
      </c>
      <c r="B3530" t="s">
        <v>34</v>
      </c>
      <c r="C3530" t="s">
        <v>24</v>
      </c>
      <c r="D3530" t="s">
        <v>23</v>
      </c>
      <c r="E3530">
        <v>256</v>
      </c>
      <c r="F3530">
        <f t="shared" si="58"/>
        <v>3</v>
      </c>
    </row>
    <row r="3531" spans="1:6">
      <c r="A3531" s="83">
        <v>43770</v>
      </c>
      <c r="B3531" t="s">
        <v>34</v>
      </c>
      <c r="C3531" t="s">
        <v>21</v>
      </c>
      <c r="D3531" t="s">
        <v>22</v>
      </c>
      <c r="E3531">
        <v>484</v>
      </c>
      <c r="F3531">
        <f t="shared" si="58"/>
        <v>7</v>
      </c>
    </row>
    <row r="3532" spans="1:6">
      <c r="A3532" s="83">
        <v>43770</v>
      </c>
      <c r="B3532" t="s">
        <v>34</v>
      </c>
      <c r="C3532" t="s">
        <v>21</v>
      </c>
      <c r="D3532" t="s">
        <v>22</v>
      </c>
      <c r="E3532">
        <v>411</v>
      </c>
      <c r="F3532">
        <f t="shared" si="58"/>
        <v>7</v>
      </c>
    </row>
    <row r="3533" spans="1:6">
      <c r="A3533" s="83">
        <v>43770</v>
      </c>
      <c r="B3533" t="s">
        <v>34</v>
      </c>
      <c r="C3533" t="s">
        <v>24</v>
      </c>
      <c r="D3533" t="s">
        <v>23</v>
      </c>
      <c r="E3533">
        <v>252</v>
      </c>
      <c r="F3533">
        <f t="shared" si="58"/>
        <v>3</v>
      </c>
    </row>
    <row r="3534" spans="1:6">
      <c r="A3534" s="83">
        <v>43770</v>
      </c>
      <c r="B3534" t="s">
        <v>34</v>
      </c>
      <c r="C3534" t="s">
        <v>24</v>
      </c>
      <c r="D3534" t="s">
        <v>26</v>
      </c>
      <c r="E3534">
        <v>338</v>
      </c>
      <c r="F3534">
        <f t="shared" si="58"/>
        <v>5</v>
      </c>
    </row>
    <row r="3535" spans="1:6">
      <c r="A3535" s="83">
        <v>43800</v>
      </c>
      <c r="B3535" t="s">
        <v>34</v>
      </c>
      <c r="C3535" t="s">
        <v>21</v>
      </c>
      <c r="D3535" t="s">
        <v>26</v>
      </c>
      <c r="E3535">
        <v>545</v>
      </c>
      <c r="F3535">
        <f t="shared" si="58"/>
        <v>5</v>
      </c>
    </row>
    <row r="3536" spans="1:6">
      <c r="A3536" s="83">
        <v>43800</v>
      </c>
      <c r="B3536" t="s">
        <v>34</v>
      </c>
      <c r="C3536" t="s">
        <v>21</v>
      </c>
      <c r="D3536" t="s">
        <v>26</v>
      </c>
      <c r="E3536">
        <v>308</v>
      </c>
      <c r="F3536">
        <f t="shared" si="58"/>
        <v>5</v>
      </c>
    </row>
    <row r="3537" spans="1:6">
      <c r="A3537" s="83">
        <v>43800</v>
      </c>
      <c r="B3537" t="s">
        <v>34</v>
      </c>
      <c r="C3537" t="s">
        <v>24</v>
      </c>
      <c r="D3537" t="s">
        <v>23</v>
      </c>
      <c r="E3537">
        <v>296</v>
      </c>
      <c r="F3537">
        <f t="shared" si="58"/>
        <v>3</v>
      </c>
    </row>
    <row r="3538" spans="1:6">
      <c r="A3538" s="83">
        <v>43800</v>
      </c>
      <c r="B3538" t="s">
        <v>34</v>
      </c>
      <c r="C3538" t="s">
        <v>24</v>
      </c>
      <c r="D3538" t="s">
        <v>22</v>
      </c>
      <c r="E3538">
        <v>322</v>
      </c>
      <c r="F3538">
        <f t="shared" si="58"/>
        <v>7</v>
      </c>
    </row>
    <row r="3539" spans="1:6">
      <c r="A3539" s="83">
        <v>43344</v>
      </c>
      <c r="B3539" t="s">
        <v>34</v>
      </c>
      <c r="C3539" t="s">
        <v>21</v>
      </c>
      <c r="D3539" t="s">
        <v>26</v>
      </c>
      <c r="E3539">
        <v>88</v>
      </c>
      <c r="F3539">
        <f t="shared" si="58"/>
        <v>5</v>
      </c>
    </row>
    <row r="3540" spans="1:6">
      <c r="A3540" s="83">
        <v>43344</v>
      </c>
      <c r="B3540" t="s">
        <v>34</v>
      </c>
      <c r="C3540" t="s">
        <v>21</v>
      </c>
      <c r="D3540" t="s">
        <v>26</v>
      </c>
      <c r="E3540">
        <v>76</v>
      </c>
      <c r="F3540">
        <f t="shared" si="58"/>
        <v>5</v>
      </c>
    </row>
    <row r="3541" spans="1:6">
      <c r="A3541" s="83">
        <v>43344</v>
      </c>
      <c r="B3541" t="s">
        <v>34</v>
      </c>
      <c r="C3541" t="s">
        <v>21</v>
      </c>
      <c r="D3541" t="s">
        <v>26</v>
      </c>
      <c r="E3541">
        <v>382</v>
      </c>
      <c r="F3541">
        <f t="shared" si="58"/>
        <v>5</v>
      </c>
    </row>
    <row r="3542" spans="1:6">
      <c r="A3542" s="83">
        <v>43344</v>
      </c>
      <c r="B3542" t="s">
        <v>34</v>
      </c>
      <c r="C3542" t="s">
        <v>24</v>
      </c>
      <c r="D3542" t="s">
        <v>22</v>
      </c>
      <c r="E3542">
        <v>66</v>
      </c>
      <c r="F3542">
        <f t="shared" si="58"/>
        <v>7</v>
      </c>
    </row>
    <row r="3543" spans="1:6">
      <c r="A3543" s="83">
        <v>43344</v>
      </c>
      <c r="B3543" t="s">
        <v>34</v>
      </c>
      <c r="C3543" t="s">
        <v>24</v>
      </c>
      <c r="D3543" t="s">
        <v>26</v>
      </c>
      <c r="E3543">
        <v>87</v>
      </c>
      <c r="F3543">
        <f t="shared" si="58"/>
        <v>5</v>
      </c>
    </row>
    <row r="3544" spans="1:6">
      <c r="A3544" s="83">
        <v>43344</v>
      </c>
      <c r="B3544" t="s">
        <v>34</v>
      </c>
      <c r="C3544" t="s">
        <v>24</v>
      </c>
      <c r="D3544" t="s">
        <v>26</v>
      </c>
      <c r="E3544">
        <v>99</v>
      </c>
      <c r="F3544">
        <f t="shared" si="58"/>
        <v>5</v>
      </c>
    </row>
    <row r="3545" spans="1:6">
      <c r="A3545" s="83">
        <v>43374</v>
      </c>
      <c r="B3545" t="s">
        <v>34</v>
      </c>
      <c r="C3545" t="s">
        <v>21</v>
      </c>
      <c r="D3545" t="s">
        <v>26</v>
      </c>
      <c r="E3545">
        <v>78</v>
      </c>
      <c r="F3545">
        <f t="shared" si="58"/>
        <v>5</v>
      </c>
    </row>
    <row r="3546" spans="1:6">
      <c r="A3546" s="83">
        <v>43374</v>
      </c>
      <c r="B3546" t="s">
        <v>34</v>
      </c>
      <c r="C3546" t="s">
        <v>21</v>
      </c>
      <c r="D3546" t="s">
        <v>26</v>
      </c>
      <c r="E3546">
        <v>58</v>
      </c>
      <c r="F3546">
        <f t="shared" si="58"/>
        <v>5</v>
      </c>
    </row>
    <row r="3547" spans="1:6">
      <c r="A3547" s="83">
        <v>43374</v>
      </c>
      <c r="B3547" t="s">
        <v>34</v>
      </c>
      <c r="C3547" t="s">
        <v>21</v>
      </c>
      <c r="D3547" t="s">
        <v>26</v>
      </c>
      <c r="E3547">
        <v>350</v>
      </c>
      <c r="F3547">
        <f t="shared" si="58"/>
        <v>5</v>
      </c>
    </row>
    <row r="3548" spans="1:6">
      <c r="A3548" s="83">
        <v>43374</v>
      </c>
      <c r="B3548" t="s">
        <v>34</v>
      </c>
      <c r="C3548" t="s">
        <v>24</v>
      </c>
      <c r="D3548" t="s">
        <v>22</v>
      </c>
      <c r="E3548">
        <v>52</v>
      </c>
      <c r="F3548">
        <f t="shared" si="58"/>
        <v>7</v>
      </c>
    </row>
    <row r="3549" spans="1:6">
      <c r="A3549" s="83">
        <v>43374</v>
      </c>
      <c r="B3549" t="s">
        <v>34</v>
      </c>
      <c r="C3549" t="s">
        <v>24</v>
      </c>
      <c r="D3549" t="s">
        <v>26</v>
      </c>
      <c r="E3549">
        <v>92</v>
      </c>
      <c r="F3549">
        <f t="shared" si="58"/>
        <v>5</v>
      </c>
    </row>
    <row r="3550" spans="1:6">
      <c r="A3550" s="83">
        <v>43374</v>
      </c>
      <c r="B3550" t="s">
        <v>34</v>
      </c>
      <c r="C3550" t="s">
        <v>24</v>
      </c>
      <c r="D3550" t="s">
        <v>26</v>
      </c>
      <c r="E3550">
        <v>96</v>
      </c>
      <c r="F3550">
        <f t="shared" si="58"/>
        <v>5</v>
      </c>
    </row>
    <row r="3551" spans="1:6">
      <c r="A3551" s="83">
        <v>43405</v>
      </c>
      <c r="B3551" t="s">
        <v>34</v>
      </c>
      <c r="C3551" t="s">
        <v>21</v>
      </c>
      <c r="D3551" t="s">
        <v>26</v>
      </c>
      <c r="E3551">
        <v>102</v>
      </c>
      <c r="F3551">
        <f t="shared" si="58"/>
        <v>5</v>
      </c>
    </row>
    <row r="3552" spans="1:6">
      <c r="A3552" s="83">
        <v>43405</v>
      </c>
      <c r="B3552" t="s">
        <v>34</v>
      </c>
      <c r="C3552" t="s">
        <v>21</v>
      </c>
      <c r="D3552" t="s">
        <v>26</v>
      </c>
      <c r="E3552">
        <v>93</v>
      </c>
      <c r="F3552">
        <f t="shared" si="58"/>
        <v>5</v>
      </c>
    </row>
    <row r="3553" spans="1:6">
      <c r="A3553" s="83">
        <v>43405</v>
      </c>
      <c r="B3553" t="s">
        <v>34</v>
      </c>
      <c r="C3553" t="s">
        <v>21</v>
      </c>
      <c r="D3553" t="s">
        <v>22</v>
      </c>
      <c r="E3553">
        <v>630</v>
      </c>
      <c r="F3553">
        <f t="shared" si="58"/>
        <v>7</v>
      </c>
    </row>
    <row r="3554" spans="1:6">
      <c r="A3554" s="83">
        <v>43405</v>
      </c>
      <c r="B3554" t="s">
        <v>34</v>
      </c>
      <c r="C3554" t="s">
        <v>24</v>
      </c>
      <c r="D3554" t="s">
        <v>26</v>
      </c>
      <c r="E3554">
        <v>60</v>
      </c>
      <c r="F3554">
        <f t="shared" si="58"/>
        <v>5</v>
      </c>
    </row>
    <row r="3555" spans="1:6">
      <c r="A3555" s="83">
        <v>43405</v>
      </c>
      <c r="B3555" t="s">
        <v>34</v>
      </c>
      <c r="C3555" t="s">
        <v>24</v>
      </c>
      <c r="D3555" t="s">
        <v>22</v>
      </c>
      <c r="E3555">
        <v>120</v>
      </c>
      <c r="F3555">
        <f t="shared" si="58"/>
        <v>7</v>
      </c>
    </row>
    <row r="3556" spans="1:6">
      <c r="A3556" s="83">
        <v>43405</v>
      </c>
      <c r="B3556" t="s">
        <v>34</v>
      </c>
      <c r="C3556" t="s">
        <v>24</v>
      </c>
      <c r="D3556" t="s">
        <v>22</v>
      </c>
      <c r="E3556">
        <v>150</v>
      </c>
      <c r="F3556">
        <f t="shared" si="58"/>
        <v>7</v>
      </c>
    </row>
    <row r="3557" spans="1:6">
      <c r="A3557" s="83">
        <v>43435</v>
      </c>
      <c r="B3557" t="s">
        <v>34</v>
      </c>
      <c r="C3557" t="s">
        <v>21</v>
      </c>
      <c r="D3557" t="s">
        <v>26</v>
      </c>
      <c r="E3557">
        <v>91</v>
      </c>
      <c r="F3557">
        <f t="shared" si="58"/>
        <v>5</v>
      </c>
    </row>
    <row r="3558" spans="1:6">
      <c r="A3558" s="83">
        <v>43435</v>
      </c>
      <c r="B3558" t="s">
        <v>34</v>
      </c>
      <c r="C3558" t="s">
        <v>21</v>
      </c>
      <c r="D3558" t="s">
        <v>23</v>
      </c>
      <c r="E3558">
        <v>55</v>
      </c>
      <c r="F3558">
        <f t="shared" si="58"/>
        <v>3</v>
      </c>
    </row>
    <row r="3559" spans="1:6">
      <c r="A3559" s="83">
        <v>43435</v>
      </c>
      <c r="B3559" t="s">
        <v>34</v>
      </c>
      <c r="C3559" t="s">
        <v>21</v>
      </c>
      <c r="D3559" t="s">
        <v>26</v>
      </c>
      <c r="E3559">
        <v>795</v>
      </c>
      <c r="F3559">
        <f t="shared" si="58"/>
        <v>5</v>
      </c>
    </row>
    <row r="3560" spans="1:6">
      <c r="A3560" s="83">
        <v>43435</v>
      </c>
      <c r="B3560" t="s">
        <v>34</v>
      </c>
      <c r="C3560" t="s">
        <v>24</v>
      </c>
      <c r="D3560" t="s">
        <v>23</v>
      </c>
      <c r="E3560">
        <v>65</v>
      </c>
      <c r="F3560">
        <f t="shared" si="58"/>
        <v>3</v>
      </c>
    </row>
    <row r="3561" spans="1:6">
      <c r="A3561" s="83">
        <v>43435</v>
      </c>
      <c r="B3561" t="s">
        <v>34</v>
      </c>
      <c r="C3561" t="s">
        <v>24</v>
      </c>
      <c r="D3561" t="s">
        <v>26</v>
      </c>
      <c r="E3561">
        <v>84</v>
      </c>
      <c r="F3561">
        <f t="shared" si="58"/>
        <v>5</v>
      </c>
    </row>
    <row r="3562" spans="1:6">
      <c r="A3562" s="83">
        <v>43435</v>
      </c>
      <c r="B3562" t="s">
        <v>34</v>
      </c>
      <c r="C3562" t="s">
        <v>24</v>
      </c>
      <c r="D3562" t="s">
        <v>23</v>
      </c>
      <c r="E3562">
        <v>136</v>
      </c>
      <c r="F3562">
        <f t="shared" si="58"/>
        <v>3</v>
      </c>
    </row>
    <row r="3563" spans="1:6">
      <c r="A3563" s="83">
        <v>43466</v>
      </c>
      <c r="B3563" t="s">
        <v>34</v>
      </c>
      <c r="C3563" t="s">
        <v>21</v>
      </c>
      <c r="D3563" t="s">
        <v>23</v>
      </c>
      <c r="E3563">
        <v>118</v>
      </c>
      <c r="F3563">
        <f t="shared" si="58"/>
        <v>3</v>
      </c>
    </row>
    <row r="3564" spans="1:6">
      <c r="A3564" s="83">
        <v>43466</v>
      </c>
      <c r="B3564" t="s">
        <v>34</v>
      </c>
      <c r="C3564" t="s">
        <v>21</v>
      </c>
      <c r="D3564" t="s">
        <v>23</v>
      </c>
      <c r="E3564">
        <v>54</v>
      </c>
      <c r="F3564">
        <f t="shared" si="58"/>
        <v>3</v>
      </c>
    </row>
    <row r="3565" spans="1:6">
      <c r="A3565" s="83">
        <v>43466</v>
      </c>
      <c r="B3565" t="s">
        <v>34</v>
      </c>
      <c r="C3565" t="s">
        <v>21</v>
      </c>
      <c r="D3565" t="s">
        <v>26</v>
      </c>
      <c r="E3565">
        <v>820</v>
      </c>
      <c r="F3565">
        <f t="shared" si="58"/>
        <v>5</v>
      </c>
    </row>
    <row r="3566" spans="1:6">
      <c r="A3566" s="83">
        <v>43466</v>
      </c>
      <c r="B3566" t="s">
        <v>34</v>
      </c>
      <c r="C3566" t="s">
        <v>24</v>
      </c>
      <c r="D3566" t="s">
        <v>26</v>
      </c>
      <c r="E3566">
        <v>62</v>
      </c>
      <c r="F3566">
        <f t="shared" si="58"/>
        <v>5</v>
      </c>
    </row>
    <row r="3567" spans="1:6">
      <c r="A3567" s="83">
        <v>43466</v>
      </c>
      <c r="B3567" t="s">
        <v>34</v>
      </c>
      <c r="C3567" t="s">
        <v>24</v>
      </c>
      <c r="D3567" t="s">
        <v>26</v>
      </c>
      <c r="E3567">
        <v>122</v>
      </c>
      <c r="F3567">
        <f t="shared" si="58"/>
        <v>5</v>
      </c>
    </row>
    <row r="3568" spans="1:6">
      <c r="A3568" s="83">
        <v>43466</v>
      </c>
      <c r="B3568" t="s">
        <v>34</v>
      </c>
      <c r="C3568" t="s">
        <v>24</v>
      </c>
      <c r="D3568" t="s">
        <v>26</v>
      </c>
      <c r="E3568">
        <v>98</v>
      </c>
      <c r="F3568">
        <f t="shared" si="58"/>
        <v>5</v>
      </c>
    </row>
    <row r="3569" spans="1:6">
      <c r="A3569" s="83">
        <v>43497</v>
      </c>
      <c r="B3569" t="s">
        <v>34</v>
      </c>
      <c r="C3569" t="s">
        <v>21</v>
      </c>
      <c r="D3569" t="s">
        <v>23</v>
      </c>
      <c r="E3569">
        <v>30</v>
      </c>
      <c r="F3569">
        <f t="shared" si="58"/>
        <v>3</v>
      </c>
    </row>
    <row r="3570" spans="1:6">
      <c r="A3570" s="83">
        <v>43497</v>
      </c>
      <c r="B3570" t="s">
        <v>34</v>
      </c>
      <c r="C3570" t="s">
        <v>21</v>
      </c>
      <c r="D3570" t="s">
        <v>23</v>
      </c>
      <c r="E3570">
        <v>51</v>
      </c>
      <c r="F3570">
        <f t="shared" si="58"/>
        <v>3</v>
      </c>
    </row>
    <row r="3571" spans="1:6">
      <c r="A3571" s="83">
        <v>43497</v>
      </c>
      <c r="B3571" t="s">
        <v>34</v>
      </c>
      <c r="C3571" t="s">
        <v>21</v>
      </c>
      <c r="D3571" t="s">
        <v>26</v>
      </c>
      <c r="E3571">
        <v>441</v>
      </c>
      <c r="F3571">
        <f t="shared" si="58"/>
        <v>5</v>
      </c>
    </row>
    <row r="3572" spans="1:6">
      <c r="A3572" s="83">
        <v>43497</v>
      </c>
      <c r="B3572" t="s">
        <v>34</v>
      </c>
      <c r="C3572" t="s">
        <v>24</v>
      </c>
      <c r="D3572" t="s">
        <v>23</v>
      </c>
      <c r="E3572">
        <v>39</v>
      </c>
      <c r="F3572">
        <f t="shared" si="58"/>
        <v>3</v>
      </c>
    </row>
    <row r="3573" spans="1:6">
      <c r="A3573" s="83">
        <v>43497</v>
      </c>
      <c r="B3573" t="s">
        <v>34</v>
      </c>
      <c r="C3573" t="s">
        <v>24</v>
      </c>
      <c r="D3573" t="s">
        <v>26</v>
      </c>
      <c r="E3573">
        <v>54</v>
      </c>
      <c r="F3573">
        <f t="shared" si="58"/>
        <v>5</v>
      </c>
    </row>
    <row r="3574" spans="1:6">
      <c r="A3574" s="83">
        <v>43497</v>
      </c>
      <c r="B3574" t="s">
        <v>34</v>
      </c>
      <c r="C3574" t="s">
        <v>24</v>
      </c>
      <c r="D3574" t="s">
        <v>26</v>
      </c>
      <c r="E3574">
        <v>49</v>
      </c>
      <c r="F3574">
        <f t="shared" si="58"/>
        <v>5</v>
      </c>
    </row>
    <row r="3575" spans="1:6">
      <c r="A3575" s="83">
        <v>43525</v>
      </c>
      <c r="B3575" t="s">
        <v>34</v>
      </c>
      <c r="C3575" t="s">
        <v>21</v>
      </c>
      <c r="D3575" t="s">
        <v>23</v>
      </c>
      <c r="E3575">
        <v>37</v>
      </c>
      <c r="F3575">
        <f t="shared" si="58"/>
        <v>3</v>
      </c>
    </row>
    <row r="3576" spans="1:6">
      <c r="A3576" s="83">
        <v>43525</v>
      </c>
      <c r="B3576" t="s">
        <v>34</v>
      </c>
      <c r="C3576" t="s">
        <v>21</v>
      </c>
      <c r="D3576" t="s">
        <v>22</v>
      </c>
      <c r="E3576">
        <v>49</v>
      </c>
      <c r="F3576">
        <f t="shared" si="58"/>
        <v>7</v>
      </c>
    </row>
    <row r="3577" spans="1:6">
      <c r="A3577" s="83">
        <v>43525</v>
      </c>
      <c r="B3577" t="s">
        <v>34</v>
      </c>
      <c r="C3577" t="s">
        <v>21</v>
      </c>
      <c r="D3577" t="s">
        <v>26</v>
      </c>
      <c r="E3577">
        <v>313</v>
      </c>
      <c r="F3577">
        <f t="shared" si="58"/>
        <v>5</v>
      </c>
    </row>
    <row r="3578" spans="1:6">
      <c r="A3578" s="83">
        <v>43525</v>
      </c>
      <c r="B3578" t="s">
        <v>34</v>
      </c>
      <c r="C3578" t="s">
        <v>24</v>
      </c>
      <c r="D3578" t="s">
        <v>26</v>
      </c>
      <c r="E3578">
        <v>38</v>
      </c>
      <c r="F3578">
        <f t="shared" si="58"/>
        <v>5</v>
      </c>
    </row>
    <row r="3579" spans="1:6">
      <c r="A3579" s="83">
        <v>43525</v>
      </c>
      <c r="B3579" t="s">
        <v>34</v>
      </c>
      <c r="C3579" t="s">
        <v>24</v>
      </c>
      <c r="D3579" t="s">
        <v>23</v>
      </c>
      <c r="E3579">
        <v>61</v>
      </c>
      <c r="F3579">
        <f t="shared" si="58"/>
        <v>3</v>
      </c>
    </row>
    <row r="3580" spans="1:6">
      <c r="A3580" s="83">
        <v>43525</v>
      </c>
      <c r="B3580" t="s">
        <v>34</v>
      </c>
      <c r="C3580" t="s">
        <v>24</v>
      </c>
      <c r="D3580" t="s">
        <v>26</v>
      </c>
      <c r="E3580">
        <v>56</v>
      </c>
      <c r="F3580">
        <f t="shared" si="58"/>
        <v>5</v>
      </c>
    </row>
    <row r="3581" spans="1:6">
      <c r="A3581" s="83">
        <v>43556</v>
      </c>
      <c r="B3581" t="s">
        <v>34</v>
      </c>
      <c r="C3581" t="s">
        <v>21</v>
      </c>
      <c r="D3581" t="s">
        <v>22</v>
      </c>
      <c r="E3581">
        <v>42</v>
      </c>
      <c r="F3581">
        <f t="shared" si="58"/>
        <v>7</v>
      </c>
    </row>
    <row r="3582" spans="1:6">
      <c r="A3582" s="83">
        <v>43556</v>
      </c>
      <c r="B3582" t="s">
        <v>34</v>
      </c>
      <c r="C3582" t="s">
        <v>21</v>
      </c>
      <c r="D3582" t="s">
        <v>23</v>
      </c>
      <c r="E3582">
        <v>47</v>
      </c>
      <c r="F3582">
        <f t="shared" si="58"/>
        <v>3</v>
      </c>
    </row>
    <row r="3583" spans="1:6">
      <c r="A3583" s="83">
        <v>43556</v>
      </c>
      <c r="B3583" t="s">
        <v>34</v>
      </c>
      <c r="C3583" t="s">
        <v>21</v>
      </c>
      <c r="D3583" t="s">
        <v>26</v>
      </c>
      <c r="E3583">
        <v>367</v>
      </c>
      <c r="F3583">
        <f t="shared" si="58"/>
        <v>5</v>
      </c>
    </row>
    <row r="3584" spans="1:6">
      <c r="A3584" s="83">
        <v>43556</v>
      </c>
      <c r="B3584" t="s">
        <v>34</v>
      </c>
      <c r="C3584" t="s">
        <v>24</v>
      </c>
      <c r="D3584" t="s">
        <v>22</v>
      </c>
      <c r="E3584">
        <v>28</v>
      </c>
      <c r="F3584">
        <f t="shared" si="58"/>
        <v>7</v>
      </c>
    </row>
    <row r="3585" spans="1:6">
      <c r="A3585" s="83">
        <v>43556</v>
      </c>
      <c r="B3585" t="s">
        <v>34</v>
      </c>
      <c r="C3585" t="s">
        <v>24</v>
      </c>
      <c r="D3585" t="s">
        <v>22</v>
      </c>
      <c r="E3585">
        <v>58</v>
      </c>
      <c r="F3585">
        <f t="shared" si="58"/>
        <v>7</v>
      </c>
    </row>
    <row r="3586" spans="1:6">
      <c r="A3586" s="83">
        <v>43556</v>
      </c>
      <c r="B3586" t="s">
        <v>34</v>
      </c>
      <c r="C3586" t="s">
        <v>24</v>
      </c>
      <c r="D3586" t="s">
        <v>26</v>
      </c>
      <c r="E3586">
        <v>78</v>
      </c>
      <c r="F3586">
        <f t="shared" si="58"/>
        <v>5</v>
      </c>
    </row>
    <row r="3587" spans="1:6">
      <c r="A3587" s="83">
        <v>43586</v>
      </c>
      <c r="B3587" t="s">
        <v>34</v>
      </c>
      <c r="C3587" t="s">
        <v>21</v>
      </c>
      <c r="D3587" t="s">
        <v>26</v>
      </c>
      <c r="E3587">
        <v>44</v>
      </c>
      <c r="F3587">
        <f t="shared" ref="F3587:F3650" si="59">LEN(D3587)</f>
        <v>5</v>
      </c>
    </row>
    <row r="3588" spans="1:6">
      <c r="A3588" s="83">
        <v>43586</v>
      </c>
      <c r="B3588" t="s">
        <v>34</v>
      </c>
      <c r="C3588" t="s">
        <v>21</v>
      </c>
      <c r="D3588" t="s">
        <v>22</v>
      </c>
      <c r="E3588">
        <v>41</v>
      </c>
      <c r="F3588">
        <f t="shared" si="59"/>
        <v>7</v>
      </c>
    </row>
    <row r="3589" spans="1:6">
      <c r="A3589" s="83">
        <v>43586</v>
      </c>
      <c r="B3589" t="s">
        <v>34</v>
      </c>
      <c r="C3589" t="s">
        <v>21</v>
      </c>
      <c r="D3589" t="s">
        <v>22</v>
      </c>
      <c r="E3589">
        <v>308</v>
      </c>
      <c r="F3589">
        <f t="shared" si="59"/>
        <v>7</v>
      </c>
    </row>
    <row r="3590" spans="1:6">
      <c r="A3590" s="83">
        <v>43586</v>
      </c>
      <c r="B3590" t="s">
        <v>34</v>
      </c>
      <c r="C3590" t="s">
        <v>24</v>
      </c>
      <c r="D3590" t="s">
        <v>26</v>
      </c>
      <c r="E3590">
        <v>24</v>
      </c>
      <c r="F3590">
        <f t="shared" si="59"/>
        <v>5</v>
      </c>
    </row>
    <row r="3591" spans="1:6">
      <c r="A3591" s="83">
        <v>43586</v>
      </c>
      <c r="B3591" t="s">
        <v>34</v>
      </c>
      <c r="C3591" t="s">
        <v>24</v>
      </c>
      <c r="D3591" t="s">
        <v>22</v>
      </c>
      <c r="E3591">
        <v>74</v>
      </c>
      <c r="F3591">
        <f t="shared" si="59"/>
        <v>7</v>
      </c>
    </row>
    <row r="3592" spans="1:6">
      <c r="A3592" s="83">
        <v>43586</v>
      </c>
      <c r="B3592" t="s">
        <v>34</v>
      </c>
      <c r="C3592" t="s">
        <v>24</v>
      </c>
      <c r="D3592" t="s">
        <v>26</v>
      </c>
      <c r="E3592">
        <v>83</v>
      </c>
      <c r="F3592">
        <f t="shared" si="59"/>
        <v>5</v>
      </c>
    </row>
    <row r="3593" spans="1:6">
      <c r="A3593" s="83">
        <v>43617</v>
      </c>
      <c r="B3593" t="s">
        <v>34</v>
      </c>
      <c r="C3593" t="s">
        <v>21</v>
      </c>
      <c r="D3593" t="s">
        <v>26</v>
      </c>
      <c r="E3593">
        <v>40</v>
      </c>
      <c r="F3593">
        <f t="shared" si="59"/>
        <v>5</v>
      </c>
    </row>
    <row r="3594" spans="1:6">
      <c r="A3594" s="83">
        <v>43617</v>
      </c>
      <c r="B3594" t="s">
        <v>34</v>
      </c>
      <c r="C3594" t="s">
        <v>21</v>
      </c>
      <c r="D3594" t="s">
        <v>23</v>
      </c>
      <c r="E3594">
        <v>38</v>
      </c>
      <c r="F3594">
        <f t="shared" si="59"/>
        <v>3</v>
      </c>
    </row>
    <row r="3595" spans="1:6">
      <c r="A3595" s="83">
        <v>43617</v>
      </c>
      <c r="B3595" t="s">
        <v>34</v>
      </c>
      <c r="C3595" t="s">
        <v>21</v>
      </c>
      <c r="D3595" t="s">
        <v>22</v>
      </c>
      <c r="E3595">
        <v>326</v>
      </c>
      <c r="F3595">
        <f t="shared" si="59"/>
        <v>7</v>
      </c>
    </row>
    <row r="3596" spans="1:6">
      <c r="A3596" s="83">
        <v>43617</v>
      </c>
      <c r="B3596" t="s">
        <v>34</v>
      </c>
      <c r="C3596" t="s">
        <v>24</v>
      </c>
      <c r="D3596" t="s">
        <v>26</v>
      </c>
      <c r="E3596">
        <v>36</v>
      </c>
      <c r="F3596">
        <f t="shared" si="59"/>
        <v>5</v>
      </c>
    </row>
    <row r="3597" spans="1:6">
      <c r="A3597" s="83">
        <v>43617</v>
      </c>
      <c r="B3597" t="s">
        <v>34</v>
      </c>
      <c r="C3597" t="s">
        <v>24</v>
      </c>
      <c r="D3597" t="s">
        <v>23</v>
      </c>
      <c r="E3597">
        <v>45</v>
      </c>
      <c r="F3597">
        <f t="shared" si="59"/>
        <v>3</v>
      </c>
    </row>
    <row r="3598" spans="1:6">
      <c r="A3598" s="83">
        <v>43617</v>
      </c>
      <c r="B3598" t="s">
        <v>34</v>
      </c>
      <c r="C3598" t="s">
        <v>24</v>
      </c>
      <c r="D3598" t="s">
        <v>26</v>
      </c>
      <c r="E3598">
        <v>58</v>
      </c>
      <c r="F3598">
        <f t="shared" si="59"/>
        <v>5</v>
      </c>
    </row>
    <row r="3599" spans="1:6">
      <c r="A3599" s="83">
        <v>43647</v>
      </c>
      <c r="B3599" t="s">
        <v>34</v>
      </c>
      <c r="C3599" t="s">
        <v>21</v>
      </c>
      <c r="D3599" t="s">
        <v>23</v>
      </c>
      <c r="E3599">
        <v>40</v>
      </c>
      <c r="F3599">
        <f t="shared" si="59"/>
        <v>3</v>
      </c>
    </row>
    <row r="3600" spans="1:6">
      <c r="A3600" s="83">
        <v>43647</v>
      </c>
      <c r="B3600" t="s">
        <v>34</v>
      </c>
      <c r="C3600" t="s">
        <v>21</v>
      </c>
      <c r="D3600" t="s">
        <v>23</v>
      </c>
      <c r="E3600">
        <v>36</v>
      </c>
      <c r="F3600">
        <f t="shared" si="59"/>
        <v>3</v>
      </c>
    </row>
    <row r="3601" spans="1:6">
      <c r="A3601" s="83">
        <v>43647</v>
      </c>
      <c r="B3601" t="s">
        <v>34</v>
      </c>
      <c r="C3601" t="s">
        <v>21</v>
      </c>
      <c r="D3601" t="s">
        <v>26</v>
      </c>
      <c r="E3601">
        <v>373</v>
      </c>
      <c r="F3601">
        <f t="shared" si="59"/>
        <v>5</v>
      </c>
    </row>
    <row r="3602" spans="1:6">
      <c r="A3602" s="83">
        <v>43647</v>
      </c>
      <c r="B3602" t="s">
        <v>34</v>
      </c>
      <c r="C3602" t="s">
        <v>24</v>
      </c>
      <c r="D3602" t="s">
        <v>22</v>
      </c>
      <c r="E3602">
        <v>28</v>
      </c>
      <c r="F3602">
        <f t="shared" si="59"/>
        <v>7</v>
      </c>
    </row>
    <row r="3603" spans="1:6">
      <c r="A3603" s="83">
        <v>43647</v>
      </c>
      <c r="B3603" t="s">
        <v>34</v>
      </c>
      <c r="C3603" t="s">
        <v>24</v>
      </c>
      <c r="D3603" t="s">
        <v>23</v>
      </c>
      <c r="E3603">
        <v>53</v>
      </c>
      <c r="F3603">
        <f t="shared" si="59"/>
        <v>3</v>
      </c>
    </row>
    <row r="3604" spans="1:6">
      <c r="A3604" s="83">
        <v>43647</v>
      </c>
      <c r="B3604" t="s">
        <v>34</v>
      </c>
      <c r="C3604" t="s">
        <v>24</v>
      </c>
      <c r="D3604" t="s">
        <v>26</v>
      </c>
      <c r="E3604">
        <v>73</v>
      </c>
      <c r="F3604">
        <f t="shared" si="59"/>
        <v>5</v>
      </c>
    </row>
    <row r="3605" spans="1:6">
      <c r="A3605" s="83">
        <v>43678</v>
      </c>
      <c r="B3605" t="s">
        <v>34</v>
      </c>
      <c r="C3605" t="s">
        <v>21</v>
      </c>
      <c r="D3605" t="s">
        <v>23</v>
      </c>
      <c r="E3605">
        <v>45</v>
      </c>
      <c r="F3605">
        <f t="shared" si="59"/>
        <v>3</v>
      </c>
    </row>
    <row r="3606" spans="1:6">
      <c r="A3606" s="83">
        <v>43678</v>
      </c>
      <c r="B3606" t="s">
        <v>34</v>
      </c>
      <c r="C3606" t="s">
        <v>21</v>
      </c>
      <c r="D3606" t="s">
        <v>22</v>
      </c>
      <c r="E3606">
        <v>33</v>
      </c>
      <c r="F3606">
        <f t="shared" si="59"/>
        <v>7</v>
      </c>
    </row>
    <row r="3607" spans="1:6">
      <c r="A3607" s="83">
        <v>43678</v>
      </c>
      <c r="B3607" t="s">
        <v>34</v>
      </c>
      <c r="C3607" t="s">
        <v>21</v>
      </c>
      <c r="D3607" t="s">
        <v>26</v>
      </c>
      <c r="E3607">
        <v>469</v>
      </c>
      <c r="F3607">
        <f t="shared" si="59"/>
        <v>5</v>
      </c>
    </row>
    <row r="3608" spans="1:6">
      <c r="A3608" s="83">
        <v>43678</v>
      </c>
      <c r="B3608" t="s">
        <v>34</v>
      </c>
      <c r="C3608" t="s">
        <v>24</v>
      </c>
      <c r="D3608" t="s">
        <v>22</v>
      </c>
      <c r="E3608">
        <v>22</v>
      </c>
      <c r="F3608">
        <f t="shared" si="59"/>
        <v>7</v>
      </c>
    </row>
    <row r="3609" spans="1:6">
      <c r="A3609" s="83">
        <v>43678</v>
      </c>
      <c r="B3609" t="s">
        <v>34</v>
      </c>
      <c r="C3609" t="s">
        <v>24</v>
      </c>
      <c r="D3609" t="s">
        <v>22</v>
      </c>
      <c r="E3609">
        <v>53</v>
      </c>
      <c r="F3609">
        <f t="shared" si="59"/>
        <v>7</v>
      </c>
    </row>
    <row r="3610" spans="1:6">
      <c r="A3610" s="83">
        <v>43678</v>
      </c>
      <c r="B3610" t="s">
        <v>34</v>
      </c>
      <c r="C3610" t="s">
        <v>24</v>
      </c>
      <c r="D3610" t="s">
        <v>22</v>
      </c>
      <c r="E3610">
        <v>46</v>
      </c>
      <c r="F3610">
        <f t="shared" si="59"/>
        <v>7</v>
      </c>
    </row>
    <row r="3611" spans="1:6">
      <c r="A3611" s="83">
        <v>43709</v>
      </c>
      <c r="B3611" t="s">
        <v>34</v>
      </c>
      <c r="C3611" t="s">
        <v>21</v>
      </c>
      <c r="D3611" t="s">
        <v>26</v>
      </c>
      <c r="E3611">
        <v>42</v>
      </c>
      <c r="F3611">
        <f t="shared" si="59"/>
        <v>5</v>
      </c>
    </row>
    <row r="3612" spans="1:6">
      <c r="A3612" s="83">
        <v>43709</v>
      </c>
      <c r="B3612" t="s">
        <v>34</v>
      </c>
      <c r="C3612" t="s">
        <v>21</v>
      </c>
      <c r="D3612" t="s">
        <v>23</v>
      </c>
      <c r="E3612">
        <v>38</v>
      </c>
      <c r="F3612">
        <f t="shared" si="59"/>
        <v>3</v>
      </c>
    </row>
    <row r="3613" spans="1:6">
      <c r="A3613" s="83">
        <v>43709</v>
      </c>
      <c r="B3613" t="s">
        <v>34</v>
      </c>
      <c r="C3613" t="s">
        <v>21</v>
      </c>
      <c r="D3613" t="s">
        <v>26</v>
      </c>
      <c r="E3613">
        <v>513</v>
      </c>
      <c r="F3613">
        <f t="shared" si="59"/>
        <v>5</v>
      </c>
    </row>
    <row r="3614" spans="1:6">
      <c r="A3614" s="83">
        <v>43709</v>
      </c>
      <c r="B3614" t="s">
        <v>34</v>
      </c>
      <c r="C3614" t="s">
        <v>24</v>
      </c>
      <c r="D3614" t="s">
        <v>26</v>
      </c>
      <c r="E3614">
        <v>27</v>
      </c>
      <c r="F3614">
        <f t="shared" si="59"/>
        <v>5</v>
      </c>
    </row>
    <row r="3615" spans="1:6">
      <c r="A3615" s="83">
        <v>43709</v>
      </c>
      <c r="B3615" t="s">
        <v>34</v>
      </c>
      <c r="C3615" t="s">
        <v>24</v>
      </c>
      <c r="D3615" t="s">
        <v>23</v>
      </c>
      <c r="E3615">
        <v>87</v>
      </c>
      <c r="F3615">
        <f t="shared" si="59"/>
        <v>3</v>
      </c>
    </row>
    <row r="3616" spans="1:6">
      <c r="A3616" s="83">
        <v>43709</v>
      </c>
      <c r="B3616" t="s">
        <v>34</v>
      </c>
      <c r="C3616" t="s">
        <v>24</v>
      </c>
      <c r="D3616" t="s">
        <v>22</v>
      </c>
      <c r="E3616">
        <v>78</v>
      </c>
      <c r="F3616">
        <f t="shared" si="59"/>
        <v>7</v>
      </c>
    </row>
    <row r="3617" spans="1:6">
      <c r="A3617" s="83">
        <v>43739</v>
      </c>
      <c r="B3617" t="s">
        <v>34</v>
      </c>
      <c r="C3617" t="s">
        <v>21</v>
      </c>
      <c r="D3617" t="s">
        <v>23</v>
      </c>
      <c r="E3617">
        <v>23</v>
      </c>
      <c r="F3617">
        <f t="shared" si="59"/>
        <v>3</v>
      </c>
    </row>
    <row r="3618" spans="1:6">
      <c r="A3618" s="83">
        <v>43739</v>
      </c>
      <c r="B3618" t="s">
        <v>34</v>
      </c>
      <c r="C3618" t="s">
        <v>21</v>
      </c>
      <c r="D3618" t="s">
        <v>23</v>
      </c>
      <c r="E3618">
        <v>43</v>
      </c>
      <c r="F3618">
        <f t="shared" si="59"/>
        <v>3</v>
      </c>
    </row>
    <row r="3619" spans="1:6">
      <c r="A3619" s="83">
        <v>43739</v>
      </c>
      <c r="B3619" t="s">
        <v>34</v>
      </c>
      <c r="C3619" t="s">
        <v>21</v>
      </c>
      <c r="D3619" t="s">
        <v>26</v>
      </c>
      <c r="E3619">
        <v>526</v>
      </c>
      <c r="F3619">
        <f t="shared" si="59"/>
        <v>5</v>
      </c>
    </row>
    <row r="3620" spans="1:6">
      <c r="A3620" s="83">
        <v>43739</v>
      </c>
      <c r="B3620" t="s">
        <v>34</v>
      </c>
      <c r="C3620" t="s">
        <v>24</v>
      </c>
      <c r="D3620" t="s">
        <v>26</v>
      </c>
      <c r="E3620">
        <v>24</v>
      </c>
      <c r="F3620">
        <f t="shared" si="59"/>
        <v>5</v>
      </c>
    </row>
    <row r="3621" spans="1:6">
      <c r="A3621" s="83">
        <v>43739</v>
      </c>
      <c r="B3621" t="s">
        <v>34</v>
      </c>
      <c r="C3621" t="s">
        <v>24</v>
      </c>
      <c r="D3621" t="s">
        <v>23</v>
      </c>
      <c r="E3621">
        <v>84</v>
      </c>
      <c r="F3621">
        <f t="shared" si="59"/>
        <v>3</v>
      </c>
    </row>
    <row r="3622" spans="1:6">
      <c r="A3622" s="83">
        <v>43739</v>
      </c>
      <c r="B3622" t="s">
        <v>34</v>
      </c>
      <c r="C3622" t="s">
        <v>24</v>
      </c>
      <c r="D3622" t="s">
        <v>26</v>
      </c>
      <c r="E3622">
        <v>53</v>
      </c>
      <c r="F3622">
        <f t="shared" si="59"/>
        <v>5</v>
      </c>
    </row>
    <row r="3623" spans="1:6">
      <c r="A3623" s="83">
        <v>43770</v>
      </c>
      <c r="B3623" t="s">
        <v>34</v>
      </c>
      <c r="C3623" t="s">
        <v>21</v>
      </c>
      <c r="D3623" t="s">
        <v>26</v>
      </c>
      <c r="E3623">
        <v>28</v>
      </c>
      <c r="F3623">
        <f t="shared" si="59"/>
        <v>5</v>
      </c>
    </row>
    <row r="3624" spans="1:6">
      <c r="A3624" s="83">
        <v>43770</v>
      </c>
      <c r="B3624" t="s">
        <v>34</v>
      </c>
      <c r="C3624" t="s">
        <v>21</v>
      </c>
      <c r="D3624" t="s">
        <v>26</v>
      </c>
      <c r="E3624">
        <v>41</v>
      </c>
      <c r="F3624">
        <f t="shared" si="59"/>
        <v>5</v>
      </c>
    </row>
    <row r="3625" spans="1:6">
      <c r="A3625" s="83">
        <v>43770</v>
      </c>
      <c r="B3625" t="s">
        <v>34</v>
      </c>
      <c r="C3625" t="s">
        <v>21</v>
      </c>
      <c r="D3625" t="s">
        <v>26</v>
      </c>
      <c r="E3625">
        <v>404</v>
      </c>
      <c r="F3625">
        <f t="shared" si="59"/>
        <v>5</v>
      </c>
    </row>
    <row r="3626" spans="1:6">
      <c r="A3626" s="83">
        <v>43770</v>
      </c>
      <c r="B3626" t="s">
        <v>34</v>
      </c>
      <c r="C3626" t="s">
        <v>24</v>
      </c>
      <c r="D3626" t="s">
        <v>22</v>
      </c>
      <c r="E3626">
        <v>25</v>
      </c>
      <c r="F3626">
        <f t="shared" si="59"/>
        <v>7</v>
      </c>
    </row>
    <row r="3627" spans="1:6">
      <c r="A3627" s="83">
        <v>43770</v>
      </c>
      <c r="B3627" t="s">
        <v>34</v>
      </c>
      <c r="C3627" t="s">
        <v>24</v>
      </c>
      <c r="D3627" t="s">
        <v>26</v>
      </c>
      <c r="E3627">
        <v>86</v>
      </c>
      <c r="F3627">
        <f t="shared" si="59"/>
        <v>5</v>
      </c>
    </row>
    <row r="3628" spans="1:6">
      <c r="A3628" s="83">
        <v>43770</v>
      </c>
      <c r="B3628" t="s">
        <v>34</v>
      </c>
      <c r="C3628" t="s">
        <v>24</v>
      </c>
      <c r="D3628" t="s">
        <v>26</v>
      </c>
      <c r="E3628">
        <v>67</v>
      </c>
      <c r="F3628">
        <f t="shared" si="59"/>
        <v>5</v>
      </c>
    </row>
    <row r="3629" spans="1:6">
      <c r="A3629" s="83">
        <v>43800</v>
      </c>
      <c r="B3629" t="s">
        <v>34</v>
      </c>
      <c r="C3629" t="s">
        <v>21</v>
      </c>
      <c r="D3629" t="s">
        <v>22</v>
      </c>
      <c r="E3629">
        <v>40</v>
      </c>
      <c r="F3629">
        <f t="shared" si="59"/>
        <v>7</v>
      </c>
    </row>
    <row r="3630" spans="1:6">
      <c r="A3630" s="83">
        <v>43800</v>
      </c>
      <c r="B3630" t="s">
        <v>34</v>
      </c>
      <c r="C3630" t="s">
        <v>21</v>
      </c>
      <c r="D3630" t="s">
        <v>23</v>
      </c>
      <c r="E3630">
        <v>37</v>
      </c>
      <c r="F3630">
        <f t="shared" si="59"/>
        <v>3</v>
      </c>
    </row>
    <row r="3631" spans="1:6">
      <c r="A3631" s="83">
        <v>43800</v>
      </c>
      <c r="B3631" t="s">
        <v>34</v>
      </c>
      <c r="C3631" t="s">
        <v>21</v>
      </c>
      <c r="D3631" t="s">
        <v>23</v>
      </c>
      <c r="E3631">
        <v>474</v>
      </c>
      <c r="F3631">
        <f t="shared" si="59"/>
        <v>3</v>
      </c>
    </row>
    <row r="3632" spans="1:6">
      <c r="A3632" s="83">
        <v>43800</v>
      </c>
      <c r="B3632" t="s">
        <v>34</v>
      </c>
      <c r="C3632" t="s">
        <v>24</v>
      </c>
      <c r="D3632" t="s">
        <v>23</v>
      </c>
      <c r="E3632">
        <v>22</v>
      </c>
      <c r="F3632">
        <f t="shared" si="59"/>
        <v>3</v>
      </c>
    </row>
    <row r="3633" spans="1:6">
      <c r="A3633" s="83">
        <v>43800</v>
      </c>
      <c r="B3633" t="s">
        <v>34</v>
      </c>
      <c r="C3633" t="s">
        <v>24</v>
      </c>
      <c r="D3633" t="s">
        <v>26</v>
      </c>
      <c r="E3633">
        <v>80</v>
      </c>
      <c r="F3633">
        <f t="shared" si="59"/>
        <v>5</v>
      </c>
    </row>
    <row r="3634" spans="1:6">
      <c r="A3634" s="83">
        <v>43800</v>
      </c>
      <c r="B3634" t="s">
        <v>34</v>
      </c>
      <c r="C3634" t="s">
        <v>24</v>
      </c>
      <c r="D3634" t="s">
        <v>26</v>
      </c>
      <c r="E3634">
        <v>82</v>
      </c>
      <c r="F3634">
        <f t="shared" si="59"/>
        <v>5</v>
      </c>
    </row>
    <row r="3635" spans="1:6">
      <c r="A3635" s="83">
        <v>43344</v>
      </c>
      <c r="B3635" t="s">
        <v>34</v>
      </c>
      <c r="C3635" t="s">
        <v>21</v>
      </c>
      <c r="D3635" t="s">
        <v>23</v>
      </c>
      <c r="E3635">
        <v>177</v>
      </c>
      <c r="F3635">
        <f t="shared" si="59"/>
        <v>3</v>
      </c>
    </row>
    <row r="3636" spans="1:6">
      <c r="A3636" s="83">
        <v>43344</v>
      </c>
      <c r="B3636" t="s">
        <v>34</v>
      </c>
      <c r="C3636" t="s">
        <v>21</v>
      </c>
      <c r="D3636" t="s">
        <v>23</v>
      </c>
      <c r="E3636">
        <v>43</v>
      </c>
      <c r="F3636">
        <f t="shared" si="59"/>
        <v>3</v>
      </c>
    </row>
    <row r="3637" spans="1:6">
      <c r="A3637" s="83">
        <v>43344</v>
      </c>
      <c r="B3637" t="s">
        <v>34</v>
      </c>
      <c r="C3637" t="s">
        <v>24</v>
      </c>
      <c r="D3637" t="s">
        <v>26</v>
      </c>
      <c r="E3637">
        <v>163</v>
      </c>
      <c r="F3637">
        <f t="shared" si="59"/>
        <v>5</v>
      </c>
    </row>
    <row r="3638" spans="1:6">
      <c r="A3638" s="83">
        <v>43344</v>
      </c>
      <c r="B3638" t="s">
        <v>34</v>
      </c>
      <c r="C3638" t="s">
        <v>24</v>
      </c>
      <c r="D3638" t="s">
        <v>26</v>
      </c>
      <c r="E3638">
        <v>38</v>
      </c>
      <c r="F3638">
        <f t="shared" si="59"/>
        <v>5</v>
      </c>
    </row>
    <row r="3639" spans="1:6">
      <c r="A3639" s="83">
        <v>43374</v>
      </c>
      <c r="B3639" t="s">
        <v>34</v>
      </c>
      <c r="C3639" t="s">
        <v>21</v>
      </c>
      <c r="D3639" t="s">
        <v>26</v>
      </c>
      <c r="E3639">
        <v>119</v>
      </c>
      <c r="F3639">
        <f t="shared" si="59"/>
        <v>5</v>
      </c>
    </row>
    <row r="3640" spans="1:6">
      <c r="A3640" s="83">
        <v>43374</v>
      </c>
      <c r="B3640" t="s">
        <v>34</v>
      </c>
      <c r="C3640" t="s">
        <v>24</v>
      </c>
      <c r="D3640" t="s">
        <v>26</v>
      </c>
      <c r="E3640">
        <v>545</v>
      </c>
      <c r="F3640">
        <f t="shared" si="59"/>
        <v>5</v>
      </c>
    </row>
    <row r="3641" spans="1:6">
      <c r="A3641" s="83">
        <v>43374</v>
      </c>
      <c r="B3641" t="s">
        <v>34</v>
      </c>
      <c r="C3641" t="s">
        <v>24</v>
      </c>
      <c r="D3641" t="s">
        <v>23</v>
      </c>
      <c r="E3641">
        <v>41</v>
      </c>
      <c r="F3641">
        <f t="shared" si="59"/>
        <v>3</v>
      </c>
    </row>
    <row r="3642" spans="1:6">
      <c r="A3642" s="83">
        <v>43405</v>
      </c>
      <c r="B3642" t="s">
        <v>34</v>
      </c>
      <c r="C3642" t="s">
        <v>21</v>
      </c>
      <c r="D3642" t="s">
        <v>22</v>
      </c>
      <c r="E3642">
        <v>175</v>
      </c>
      <c r="F3642">
        <f t="shared" si="59"/>
        <v>7</v>
      </c>
    </row>
    <row r="3643" spans="1:6">
      <c r="A3643" s="83">
        <v>43405</v>
      </c>
      <c r="B3643" t="s">
        <v>34</v>
      </c>
      <c r="C3643" t="s">
        <v>24</v>
      </c>
      <c r="D3643" t="s">
        <v>26</v>
      </c>
      <c r="E3643">
        <v>360</v>
      </c>
      <c r="F3643">
        <f t="shared" si="59"/>
        <v>5</v>
      </c>
    </row>
    <row r="3644" spans="1:6">
      <c r="A3644" s="83">
        <v>43405</v>
      </c>
      <c r="B3644" t="s">
        <v>34</v>
      </c>
      <c r="C3644" t="s">
        <v>24</v>
      </c>
      <c r="D3644" t="s">
        <v>22</v>
      </c>
      <c r="E3644">
        <v>64</v>
      </c>
      <c r="F3644">
        <f t="shared" si="59"/>
        <v>7</v>
      </c>
    </row>
    <row r="3645" spans="1:6">
      <c r="A3645" s="83">
        <v>43435</v>
      </c>
      <c r="B3645" t="s">
        <v>34</v>
      </c>
      <c r="C3645" t="s">
        <v>21</v>
      </c>
      <c r="D3645" t="s">
        <v>23</v>
      </c>
      <c r="E3645">
        <v>142</v>
      </c>
      <c r="F3645">
        <f t="shared" si="59"/>
        <v>3</v>
      </c>
    </row>
    <row r="3646" spans="1:6">
      <c r="A3646" s="83">
        <v>43435</v>
      </c>
      <c r="B3646" t="s">
        <v>34</v>
      </c>
      <c r="C3646" t="s">
        <v>24</v>
      </c>
      <c r="D3646" t="s">
        <v>26</v>
      </c>
      <c r="E3646">
        <v>579</v>
      </c>
      <c r="F3646">
        <f t="shared" si="59"/>
        <v>5</v>
      </c>
    </row>
    <row r="3647" spans="1:6">
      <c r="A3647" s="83">
        <v>43435</v>
      </c>
      <c r="B3647" t="s">
        <v>34</v>
      </c>
      <c r="C3647" t="s">
        <v>24</v>
      </c>
      <c r="D3647" t="s">
        <v>26</v>
      </c>
      <c r="E3647">
        <v>55</v>
      </c>
      <c r="F3647">
        <f t="shared" si="59"/>
        <v>5</v>
      </c>
    </row>
    <row r="3648" spans="1:6">
      <c r="A3648" s="83">
        <v>43466</v>
      </c>
      <c r="B3648" t="s">
        <v>34</v>
      </c>
      <c r="C3648" t="s">
        <v>21</v>
      </c>
      <c r="D3648" t="s">
        <v>23</v>
      </c>
      <c r="E3648">
        <v>119</v>
      </c>
      <c r="F3648">
        <f t="shared" si="59"/>
        <v>3</v>
      </c>
    </row>
    <row r="3649" spans="1:6">
      <c r="A3649" s="83">
        <v>43466</v>
      </c>
      <c r="B3649" t="s">
        <v>34</v>
      </c>
      <c r="C3649" t="s">
        <v>24</v>
      </c>
      <c r="D3649" t="s">
        <v>26</v>
      </c>
      <c r="E3649">
        <v>624</v>
      </c>
      <c r="F3649">
        <f t="shared" si="59"/>
        <v>5</v>
      </c>
    </row>
    <row r="3650" spans="1:6">
      <c r="A3650" s="83">
        <v>43466</v>
      </c>
      <c r="B3650" t="s">
        <v>34</v>
      </c>
      <c r="C3650" t="s">
        <v>24</v>
      </c>
      <c r="D3650" t="s">
        <v>23</v>
      </c>
      <c r="E3650">
        <v>62</v>
      </c>
      <c r="F3650">
        <f t="shared" si="59"/>
        <v>3</v>
      </c>
    </row>
    <row r="3651" spans="1:6">
      <c r="A3651" s="83">
        <v>43497</v>
      </c>
      <c r="B3651" t="s">
        <v>34</v>
      </c>
      <c r="C3651" t="s">
        <v>21</v>
      </c>
      <c r="D3651" t="s">
        <v>26</v>
      </c>
      <c r="E3651">
        <v>135</v>
      </c>
      <c r="F3651">
        <f t="shared" ref="F3651:F3714" si="60">LEN(D3651)</f>
        <v>5</v>
      </c>
    </row>
    <row r="3652" spans="1:6">
      <c r="A3652" s="83">
        <v>43497</v>
      </c>
      <c r="B3652" t="s">
        <v>34</v>
      </c>
      <c r="C3652" t="s">
        <v>21</v>
      </c>
      <c r="D3652" t="s">
        <v>26</v>
      </c>
      <c r="E3652">
        <v>115</v>
      </c>
      <c r="F3652">
        <f t="shared" si="60"/>
        <v>5</v>
      </c>
    </row>
    <row r="3653" spans="1:6">
      <c r="A3653" s="83">
        <v>43497</v>
      </c>
      <c r="B3653" t="s">
        <v>34</v>
      </c>
      <c r="C3653" t="s">
        <v>24</v>
      </c>
      <c r="D3653" t="s">
        <v>23</v>
      </c>
      <c r="E3653">
        <v>953</v>
      </c>
      <c r="F3653">
        <f t="shared" si="60"/>
        <v>3</v>
      </c>
    </row>
    <row r="3654" spans="1:6">
      <c r="A3654" s="83">
        <v>43497</v>
      </c>
      <c r="B3654" t="s">
        <v>34</v>
      </c>
      <c r="C3654" t="s">
        <v>24</v>
      </c>
      <c r="D3654" t="s">
        <v>22</v>
      </c>
      <c r="E3654">
        <v>43</v>
      </c>
      <c r="F3654">
        <f t="shared" si="60"/>
        <v>7</v>
      </c>
    </row>
    <row r="3655" spans="1:6">
      <c r="A3655" s="83">
        <v>43525</v>
      </c>
      <c r="B3655" t="s">
        <v>34</v>
      </c>
      <c r="C3655" t="s">
        <v>21</v>
      </c>
      <c r="D3655" t="s">
        <v>22</v>
      </c>
      <c r="E3655">
        <v>118</v>
      </c>
      <c r="F3655">
        <f t="shared" si="60"/>
        <v>7</v>
      </c>
    </row>
    <row r="3656" spans="1:6">
      <c r="A3656" s="83">
        <v>43525</v>
      </c>
      <c r="B3656" t="s">
        <v>34</v>
      </c>
      <c r="C3656" t="s">
        <v>21</v>
      </c>
      <c r="D3656" t="s">
        <v>23</v>
      </c>
      <c r="E3656">
        <v>170</v>
      </c>
      <c r="F3656">
        <f t="shared" si="60"/>
        <v>3</v>
      </c>
    </row>
    <row r="3657" spans="1:6">
      <c r="A3657" s="83">
        <v>43525</v>
      </c>
      <c r="B3657" t="s">
        <v>34</v>
      </c>
      <c r="C3657" t="s">
        <v>24</v>
      </c>
      <c r="D3657" t="s">
        <v>23</v>
      </c>
      <c r="E3657">
        <v>454</v>
      </c>
      <c r="F3657">
        <f t="shared" si="60"/>
        <v>3</v>
      </c>
    </row>
    <row r="3658" spans="1:6">
      <c r="A3658" s="83">
        <v>43525</v>
      </c>
      <c r="B3658" t="s">
        <v>34</v>
      </c>
      <c r="C3658" t="s">
        <v>24</v>
      </c>
      <c r="D3658" t="s">
        <v>22</v>
      </c>
      <c r="E3658">
        <v>56</v>
      </c>
      <c r="F3658">
        <f t="shared" si="60"/>
        <v>7</v>
      </c>
    </row>
    <row r="3659" spans="1:6">
      <c r="A3659" s="83">
        <v>43556</v>
      </c>
      <c r="B3659" t="s">
        <v>34</v>
      </c>
      <c r="C3659" t="s">
        <v>21</v>
      </c>
      <c r="D3659" t="s">
        <v>23</v>
      </c>
      <c r="E3659">
        <v>163</v>
      </c>
      <c r="F3659">
        <f t="shared" si="60"/>
        <v>3</v>
      </c>
    </row>
    <row r="3660" spans="1:6">
      <c r="A3660" s="83">
        <v>43556</v>
      </c>
      <c r="B3660" t="s">
        <v>34</v>
      </c>
      <c r="C3660" t="s">
        <v>21</v>
      </c>
      <c r="D3660" t="s">
        <v>22</v>
      </c>
      <c r="E3660">
        <v>134</v>
      </c>
      <c r="F3660">
        <f t="shared" si="60"/>
        <v>7</v>
      </c>
    </row>
    <row r="3661" spans="1:6">
      <c r="A3661" s="83">
        <v>43556</v>
      </c>
      <c r="B3661" t="s">
        <v>34</v>
      </c>
      <c r="C3661" t="s">
        <v>24</v>
      </c>
      <c r="D3661" t="s">
        <v>26</v>
      </c>
      <c r="E3661">
        <v>265</v>
      </c>
      <c r="F3661">
        <f t="shared" si="60"/>
        <v>5</v>
      </c>
    </row>
    <row r="3662" spans="1:6">
      <c r="A3662" s="83">
        <v>43556</v>
      </c>
      <c r="B3662" t="s">
        <v>34</v>
      </c>
      <c r="C3662" t="s">
        <v>24</v>
      </c>
      <c r="D3662" t="s">
        <v>23</v>
      </c>
      <c r="E3662">
        <v>35</v>
      </c>
      <c r="F3662">
        <f t="shared" si="60"/>
        <v>3</v>
      </c>
    </row>
    <row r="3663" spans="1:6">
      <c r="A3663" s="83">
        <v>43586</v>
      </c>
      <c r="B3663" t="s">
        <v>34</v>
      </c>
      <c r="C3663" t="s">
        <v>21</v>
      </c>
      <c r="D3663" t="s">
        <v>26</v>
      </c>
      <c r="E3663">
        <v>116</v>
      </c>
      <c r="F3663">
        <f t="shared" si="60"/>
        <v>5</v>
      </c>
    </row>
    <row r="3664" spans="1:6">
      <c r="A3664" s="83">
        <v>43586</v>
      </c>
      <c r="B3664" t="s">
        <v>34</v>
      </c>
      <c r="C3664" t="s">
        <v>21</v>
      </c>
      <c r="D3664" t="s">
        <v>22</v>
      </c>
      <c r="E3664">
        <v>125</v>
      </c>
      <c r="F3664">
        <f t="shared" si="60"/>
        <v>7</v>
      </c>
    </row>
    <row r="3665" spans="1:6">
      <c r="A3665" s="83">
        <v>43586</v>
      </c>
      <c r="B3665" t="s">
        <v>34</v>
      </c>
      <c r="C3665" t="s">
        <v>24</v>
      </c>
      <c r="D3665" t="s">
        <v>26</v>
      </c>
      <c r="E3665">
        <v>428</v>
      </c>
      <c r="F3665">
        <f t="shared" si="60"/>
        <v>5</v>
      </c>
    </row>
    <row r="3666" spans="1:6">
      <c r="A3666" s="83">
        <v>43586</v>
      </c>
      <c r="B3666" t="s">
        <v>34</v>
      </c>
      <c r="C3666" t="s">
        <v>24</v>
      </c>
      <c r="D3666" t="s">
        <v>23</v>
      </c>
      <c r="E3666">
        <v>26</v>
      </c>
      <c r="F3666">
        <f t="shared" si="60"/>
        <v>3</v>
      </c>
    </row>
    <row r="3667" spans="1:6">
      <c r="A3667" s="83">
        <v>43617</v>
      </c>
      <c r="B3667" t="s">
        <v>34</v>
      </c>
      <c r="C3667" t="s">
        <v>21</v>
      </c>
      <c r="D3667" t="s">
        <v>23</v>
      </c>
      <c r="E3667">
        <v>163</v>
      </c>
      <c r="F3667">
        <f t="shared" si="60"/>
        <v>3</v>
      </c>
    </row>
    <row r="3668" spans="1:6">
      <c r="A3668" s="83">
        <v>43617</v>
      </c>
      <c r="B3668" t="s">
        <v>34</v>
      </c>
      <c r="C3668" t="s">
        <v>21</v>
      </c>
      <c r="D3668" t="s">
        <v>23</v>
      </c>
      <c r="E3668">
        <v>286</v>
      </c>
      <c r="F3668">
        <f t="shared" si="60"/>
        <v>3</v>
      </c>
    </row>
    <row r="3669" spans="1:6">
      <c r="A3669" s="83">
        <v>43617</v>
      </c>
      <c r="B3669" t="s">
        <v>34</v>
      </c>
      <c r="C3669" t="s">
        <v>24</v>
      </c>
      <c r="D3669" t="s">
        <v>26</v>
      </c>
      <c r="E3669">
        <v>1145</v>
      </c>
      <c r="F3669">
        <f t="shared" si="60"/>
        <v>5</v>
      </c>
    </row>
    <row r="3670" spans="1:6">
      <c r="A3670" s="83">
        <v>43617</v>
      </c>
      <c r="B3670" t="s">
        <v>34</v>
      </c>
      <c r="C3670" t="s">
        <v>24</v>
      </c>
      <c r="D3670" t="s">
        <v>26</v>
      </c>
      <c r="E3670">
        <v>27</v>
      </c>
      <c r="F3670">
        <f t="shared" si="60"/>
        <v>5</v>
      </c>
    </row>
    <row r="3671" spans="1:6">
      <c r="A3671" s="83">
        <v>43647</v>
      </c>
      <c r="B3671" t="s">
        <v>34</v>
      </c>
      <c r="C3671" t="s">
        <v>21</v>
      </c>
      <c r="D3671" t="s">
        <v>23</v>
      </c>
      <c r="E3671">
        <v>108</v>
      </c>
      <c r="F3671">
        <f t="shared" si="60"/>
        <v>3</v>
      </c>
    </row>
    <row r="3672" spans="1:6">
      <c r="A3672" s="83">
        <v>43647</v>
      </c>
      <c r="B3672" t="s">
        <v>34</v>
      </c>
      <c r="C3672" t="s">
        <v>21</v>
      </c>
      <c r="D3672" t="s">
        <v>23</v>
      </c>
      <c r="E3672">
        <v>138</v>
      </c>
      <c r="F3672">
        <f t="shared" si="60"/>
        <v>3</v>
      </c>
    </row>
    <row r="3673" spans="1:6">
      <c r="A3673" s="83">
        <v>43647</v>
      </c>
      <c r="B3673" t="s">
        <v>34</v>
      </c>
      <c r="C3673" t="s">
        <v>24</v>
      </c>
      <c r="D3673" t="s">
        <v>22</v>
      </c>
      <c r="E3673">
        <v>456</v>
      </c>
      <c r="F3673">
        <f t="shared" si="60"/>
        <v>7</v>
      </c>
    </row>
    <row r="3674" spans="1:6">
      <c r="A3674" s="83">
        <v>43647</v>
      </c>
      <c r="B3674" t="s">
        <v>34</v>
      </c>
      <c r="C3674" t="s">
        <v>24</v>
      </c>
      <c r="D3674" t="s">
        <v>22</v>
      </c>
      <c r="E3674">
        <v>35</v>
      </c>
      <c r="F3674">
        <f t="shared" si="60"/>
        <v>7</v>
      </c>
    </row>
    <row r="3675" spans="1:6">
      <c r="A3675" s="83">
        <v>43678</v>
      </c>
      <c r="B3675" t="s">
        <v>34</v>
      </c>
      <c r="C3675" t="s">
        <v>21</v>
      </c>
      <c r="D3675" t="s">
        <v>22</v>
      </c>
      <c r="E3675">
        <v>139</v>
      </c>
      <c r="F3675">
        <f t="shared" si="60"/>
        <v>7</v>
      </c>
    </row>
    <row r="3676" spans="1:6">
      <c r="A3676" s="83">
        <v>43678</v>
      </c>
      <c r="B3676" t="s">
        <v>34</v>
      </c>
      <c r="C3676" t="s">
        <v>21</v>
      </c>
      <c r="D3676" t="s">
        <v>22</v>
      </c>
      <c r="E3676">
        <v>220</v>
      </c>
      <c r="F3676">
        <f t="shared" si="60"/>
        <v>7</v>
      </c>
    </row>
    <row r="3677" spans="1:6">
      <c r="A3677" s="83">
        <v>43678</v>
      </c>
      <c r="B3677" t="s">
        <v>34</v>
      </c>
      <c r="C3677" t="s">
        <v>24</v>
      </c>
      <c r="D3677" t="s">
        <v>26</v>
      </c>
      <c r="E3677">
        <v>992</v>
      </c>
      <c r="F3677">
        <f t="shared" si="60"/>
        <v>5</v>
      </c>
    </row>
    <row r="3678" spans="1:6">
      <c r="A3678" s="83">
        <v>43678</v>
      </c>
      <c r="B3678" t="s">
        <v>34</v>
      </c>
      <c r="C3678" t="s">
        <v>24</v>
      </c>
      <c r="D3678" t="s">
        <v>23</v>
      </c>
      <c r="E3678">
        <v>32</v>
      </c>
      <c r="F3678">
        <f t="shared" si="60"/>
        <v>3</v>
      </c>
    </row>
    <row r="3679" spans="1:6">
      <c r="A3679" s="83">
        <v>43709</v>
      </c>
      <c r="B3679" t="s">
        <v>34</v>
      </c>
      <c r="C3679" t="s">
        <v>21</v>
      </c>
      <c r="D3679" t="s">
        <v>22</v>
      </c>
      <c r="E3679">
        <v>148</v>
      </c>
      <c r="F3679">
        <f t="shared" si="60"/>
        <v>7</v>
      </c>
    </row>
    <row r="3680" spans="1:6">
      <c r="A3680" s="83">
        <v>43709</v>
      </c>
      <c r="B3680" t="s">
        <v>34</v>
      </c>
      <c r="C3680" t="s">
        <v>21</v>
      </c>
      <c r="D3680" t="s">
        <v>22</v>
      </c>
      <c r="E3680">
        <v>288</v>
      </c>
      <c r="F3680">
        <f t="shared" si="60"/>
        <v>7</v>
      </c>
    </row>
    <row r="3681" spans="1:6">
      <c r="A3681" s="83">
        <v>43709</v>
      </c>
      <c r="B3681" t="s">
        <v>34</v>
      </c>
      <c r="C3681" t="s">
        <v>24</v>
      </c>
      <c r="D3681" t="s">
        <v>22</v>
      </c>
      <c r="E3681">
        <v>1592</v>
      </c>
      <c r="F3681">
        <f t="shared" si="60"/>
        <v>7</v>
      </c>
    </row>
    <row r="3682" spans="1:6">
      <c r="A3682" s="83">
        <v>43709</v>
      </c>
      <c r="B3682" t="s">
        <v>34</v>
      </c>
      <c r="C3682" t="s">
        <v>24</v>
      </c>
      <c r="D3682" t="s">
        <v>23</v>
      </c>
      <c r="E3682">
        <v>45</v>
      </c>
      <c r="F3682">
        <f t="shared" si="60"/>
        <v>3</v>
      </c>
    </row>
    <row r="3683" spans="1:6">
      <c r="A3683" s="83">
        <v>43739</v>
      </c>
      <c r="B3683" t="s">
        <v>34</v>
      </c>
      <c r="C3683" t="s">
        <v>21</v>
      </c>
      <c r="D3683" t="s">
        <v>26</v>
      </c>
      <c r="E3683">
        <v>214</v>
      </c>
      <c r="F3683">
        <f t="shared" si="60"/>
        <v>5</v>
      </c>
    </row>
    <row r="3684" spans="1:6">
      <c r="A3684" s="83">
        <v>43739</v>
      </c>
      <c r="B3684" t="s">
        <v>34</v>
      </c>
      <c r="C3684" t="s">
        <v>21</v>
      </c>
      <c r="D3684" t="s">
        <v>23</v>
      </c>
      <c r="E3684">
        <v>327</v>
      </c>
      <c r="F3684">
        <f t="shared" si="60"/>
        <v>3</v>
      </c>
    </row>
    <row r="3685" spans="1:6">
      <c r="A3685" s="83">
        <v>43739</v>
      </c>
      <c r="B3685" t="s">
        <v>34</v>
      </c>
      <c r="C3685" t="s">
        <v>24</v>
      </c>
      <c r="D3685" t="s">
        <v>26</v>
      </c>
      <c r="E3685">
        <v>1795</v>
      </c>
      <c r="F3685">
        <f t="shared" si="60"/>
        <v>5</v>
      </c>
    </row>
    <row r="3686" spans="1:6">
      <c r="A3686" s="83">
        <v>43739</v>
      </c>
      <c r="B3686" t="s">
        <v>34</v>
      </c>
      <c r="C3686" t="s">
        <v>24</v>
      </c>
      <c r="D3686" t="s">
        <v>22</v>
      </c>
      <c r="E3686">
        <v>46</v>
      </c>
      <c r="F3686">
        <f t="shared" si="60"/>
        <v>7</v>
      </c>
    </row>
    <row r="3687" spans="1:6">
      <c r="A3687" s="83">
        <v>43770</v>
      </c>
      <c r="B3687" t="s">
        <v>34</v>
      </c>
      <c r="C3687" t="s">
        <v>21</v>
      </c>
      <c r="D3687" t="s">
        <v>22</v>
      </c>
      <c r="E3687">
        <v>190</v>
      </c>
      <c r="F3687">
        <f t="shared" si="60"/>
        <v>7</v>
      </c>
    </row>
    <row r="3688" spans="1:6">
      <c r="A3688" s="83">
        <v>43770</v>
      </c>
      <c r="B3688" t="s">
        <v>34</v>
      </c>
      <c r="C3688" t="s">
        <v>21</v>
      </c>
      <c r="D3688" t="s">
        <v>23</v>
      </c>
      <c r="E3688">
        <v>135</v>
      </c>
      <c r="F3688">
        <f t="shared" si="60"/>
        <v>3</v>
      </c>
    </row>
    <row r="3689" spans="1:6">
      <c r="A3689" s="83">
        <v>43770</v>
      </c>
      <c r="B3689" t="s">
        <v>34</v>
      </c>
      <c r="C3689" t="s">
        <v>24</v>
      </c>
      <c r="D3689" t="s">
        <v>26</v>
      </c>
      <c r="E3689">
        <v>1816</v>
      </c>
      <c r="F3689">
        <f t="shared" si="60"/>
        <v>5</v>
      </c>
    </row>
    <row r="3690" spans="1:6">
      <c r="A3690" s="83">
        <v>43770</v>
      </c>
      <c r="B3690" t="s">
        <v>34</v>
      </c>
      <c r="C3690" t="s">
        <v>24</v>
      </c>
      <c r="D3690" t="s">
        <v>23</v>
      </c>
      <c r="E3690">
        <v>49</v>
      </c>
      <c r="F3690">
        <f t="shared" si="60"/>
        <v>3</v>
      </c>
    </row>
    <row r="3691" spans="1:6">
      <c r="A3691" s="83">
        <v>43800</v>
      </c>
      <c r="B3691" t="s">
        <v>34</v>
      </c>
      <c r="C3691" t="s">
        <v>21</v>
      </c>
      <c r="D3691" t="s">
        <v>26</v>
      </c>
      <c r="E3691">
        <v>310</v>
      </c>
      <c r="F3691">
        <f t="shared" si="60"/>
        <v>5</v>
      </c>
    </row>
    <row r="3692" spans="1:6">
      <c r="A3692" s="83">
        <v>43800</v>
      </c>
      <c r="B3692" t="s">
        <v>34</v>
      </c>
      <c r="C3692" t="s">
        <v>21</v>
      </c>
      <c r="D3692" t="s">
        <v>22</v>
      </c>
      <c r="E3692">
        <v>151</v>
      </c>
      <c r="F3692">
        <f t="shared" si="60"/>
        <v>7</v>
      </c>
    </row>
    <row r="3693" spans="1:6">
      <c r="A3693" s="83">
        <v>43800</v>
      </c>
      <c r="B3693" t="s">
        <v>34</v>
      </c>
      <c r="C3693" t="s">
        <v>24</v>
      </c>
      <c r="D3693" t="s">
        <v>22</v>
      </c>
      <c r="E3693">
        <v>2552</v>
      </c>
      <c r="F3693">
        <f t="shared" si="60"/>
        <v>7</v>
      </c>
    </row>
    <row r="3694" spans="1:6">
      <c r="A3694" s="83">
        <v>43800</v>
      </c>
      <c r="B3694" t="s">
        <v>34</v>
      </c>
      <c r="C3694" t="s">
        <v>24</v>
      </c>
      <c r="D3694" t="s">
        <v>26</v>
      </c>
      <c r="E3694">
        <v>68</v>
      </c>
      <c r="F3694">
        <f t="shared" si="60"/>
        <v>5</v>
      </c>
    </row>
    <row r="3695" spans="1:6">
      <c r="A3695" s="83">
        <v>43344</v>
      </c>
      <c r="B3695" t="s">
        <v>34</v>
      </c>
      <c r="C3695" t="s">
        <v>21</v>
      </c>
      <c r="D3695" t="s">
        <v>23</v>
      </c>
      <c r="E3695">
        <v>552</v>
      </c>
      <c r="F3695">
        <f t="shared" si="60"/>
        <v>3</v>
      </c>
    </row>
    <row r="3696" spans="1:6">
      <c r="A3696" s="83">
        <v>43344</v>
      </c>
      <c r="B3696" t="s">
        <v>34</v>
      </c>
      <c r="C3696" t="s">
        <v>21</v>
      </c>
      <c r="D3696" t="s">
        <v>26</v>
      </c>
      <c r="E3696">
        <v>286</v>
      </c>
      <c r="F3696">
        <f t="shared" si="60"/>
        <v>5</v>
      </c>
    </row>
    <row r="3697" spans="1:6">
      <c r="A3697" s="83">
        <v>43344</v>
      </c>
      <c r="B3697" t="s">
        <v>34</v>
      </c>
      <c r="C3697" t="s">
        <v>24</v>
      </c>
      <c r="D3697" t="s">
        <v>26</v>
      </c>
      <c r="E3697">
        <v>69</v>
      </c>
      <c r="F3697">
        <f t="shared" si="60"/>
        <v>5</v>
      </c>
    </row>
    <row r="3698" spans="1:6">
      <c r="A3698" s="83">
        <v>43344</v>
      </c>
      <c r="B3698" t="s">
        <v>34</v>
      </c>
      <c r="C3698" t="s">
        <v>24</v>
      </c>
      <c r="D3698" t="s">
        <v>26</v>
      </c>
      <c r="E3698">
        <v>142</v>
      </c>
      <c r="F3698">
        <f t="shared" si="60"/>
        <v>5</v>
      </c>
    </row>
    <row r="3699" spans="1:6">
      <c r="A3699" s="83">
        <v>43374</v>
      </c>
      <c r="B3699" t="s">
        <v>34</v>
      </c>
      <c r="C3699" t="s">
        <v>21</v>
      </c>
      <c r="D3699" t="s">
        <v>26</v>
      </c>
      <c r="E3699">
        <v>130</v>
      </c>
      <c r="F3699">
        <f t="shared" si="60"/>
        <v>5</v>
      </c>
    </row>
    <row r="3700" spans="1:6">
      <c r="A3700" s="83">
        <v>43374</v>
      </c>
      <c r="B3700" t="s">
        <v>34</v>
      </c>
      <c r="C3700" t="s">
        <v>21</v>
      </c>
      <c r="D3700" t="s">
        <v>23</v>
      </c>
      <c r="E3700">
        <v>427</v>
      </c>
      <c r="F3700">
        <f t="shared" si="60"/>
        <v>3</v>
      </c>
    </row>
    <row r="3701" spans="1:6">
      <c r="A3701" s="83">
        <v>43374</v>
      </c>
      <c r="B3701" t="s">
        <v>34</v>
      </c>
      <c r="C3701" t="s">
        <v>24</v>
      </c>
      <c r="D3701" t="s">
        <v>23</v>
      </c>
      <c r="E3701">
        <v>73</v>
      </c>
      <c r="F3701">
        <f t="shared" si="60"/>
        <v>3</v>
      </c>
    </row>
    <row r="3702" spans="1:6">
      <c r="A3702" s="83">
        <v>43374</v>
      </c>
      <c r="B3702" t="s">
        <v>34</v>
      </c>
      <c r="C3702" t="s">
        <v>24</v>
      </c>
      <c r="D3702" t="s">
        <v>23</v>
      </c>
      <c r="E3702">
        <v>85</v>
      </c>
      <c r="F3702">
        <f t="shared" si="60"/>
        <v>3</v>
      </c>
    </row>
    <row r="3703" spans="1:6">
      <c r="A3703" s="83">
        <v>43405</v>
      </c>
      <c r="B3703" t="s">
        <v>34</v>
      </c>
      <c r="C3703" t="s">
        <v>21</v>
      </c>
      <c r="D3703" t="s">
        <v>22</v>
      </c>
      <c r="E3703">
        <v>85</v>
      </c>
      <c r="F3703">
        <f t="shared" si="60"/>
        <v>7</v>
      </c>
    </row>
    <row r="3704" spans="1:6">
      <c r="A3704" s="83">
        <v>43405</v>
      </c>
      <c r="B3704" t="s">
        <v>34</v>
      </c>
      <c r="C3704" t="s">
        <v>21</v>
      </c>
      <c r="D3704" t="s">
        <v>26</v>
      </c>
      <c r="E3704">
        <v>334</v>
      </c>
      <c r="F3704">
        <f t="shared" si="60"/>
        <v>5</v>
      </c>
    </row>
    <row r="3705" spans="1:6">
      <c r="A3705" s="83">
        <v>43405</v>
      </c>
      <c r="B3705" t="s">
        <v>34</v>
      </c>
      <c r="C3705" t="s">
        <v>24</v>
      </c>
      <c r="D3705" t="s">
        <v>26</v>
      </c>
      <c r="E3705">
        <v>87</v>
      </c>
      <c r="F3705">
        <f t="shared" si="60"/>
        <v>5</v>
      </c>
    </row>
    <row r="3706" spans="1:6">
      <c r="A3706" s="83">
        <v>43405</v>
      </c>
      <c r="B3706" t="s">
        <v>34</v>
      </c>
      <c r="C3706" t="s">
        <v>24</v>
      </c>
      <c r="D3706" t="s">
        <v>26</v>
      </c>
      <c r="E3706">
        <v>77</v>
      </c>
      <c r="F3706">
        <f t="shared" si="60"/>
        <v>5</v>
      </c>
    </row>
    <row r="3707" spans="1:6">
      <c r="A3707" s="83">
        <v>43435</v>
      </c>
      <c r="B3707" t="s">
        <v>34</v>
      </c>
      <c r="C3707" t="s">
        <v>21</v>
      </c>
      <c r="D3707" t="s">
        <v>26</v>
      </c>
      <c r="E3707">
        <v>136</v>
      </c>
      <c r="F3707">
        <f t="shared" si="60"/>
        <v>5</v>
      </c>
    </row>
    <row r="3708" spans="1:6">
      <c r="A3708" s="83">
        <v>43435</v>
      </c>
      <c r="B3708" t="s">
        <v>34</v>
      </c>
      <c r="C3708" t="s">
        <v>21</v>
      </c>
      <c r="D3708" t="s">
        <v>22</v>
      </c>
      <c r="E3708">
        <v>353</v>
      </c>
      <c r="F3708">
        <f t="shared" si="60"/>
        <v>7</v>
      </c>
    </row>
    <row r="3709" spans="1:6">
      <c r="A3709" s="83">
        <v>43435</v>
      </c>
      <c r="B3709" t="s">
        <v>34</v>
      </c>
      <c r="C3709" t="s">
        <v>24</v>
      </c>
      <c r="D3709" t="s">
        <v>26</v>
      </c>
      <c r="E3709">
        <v>75</v>
      </c>
      <c r="F3709">
        <f t="shared" si="60"/>
        <v>5</v>
      </c>
    </row>
    <row r="3710" spans="1:6">
      <c r="A3710" s="83">
        <v>43435</v>
      </c>
      <c r="B3710" t="s">
        <v>34</v>
      </c>
      <c r="C3710" t="s">
        <v>24</v>
      </c>
      <c r="D3710" t="s">
        <v>22</v>
      </c>
      <c r="E3710">
        <v>87</v>
      </c>
      <c r="F3710">
        <f t="shared" si="60"/>
        <v>7</v>
      </c>
    </row>
    <row r="3711" spans="1:6">
      <c r="A3711" s="83">
        <v>43466</v>
      </c>
      <c r="B3711" t="s">
        <v>34</v>
      </c>
      <c r="C3711" t="s">
        <v>21</v>
      </c>
      <c r="D3711" t="s">
        <v>23</v>
      </c>
      <c r="E3711">
        <v>80</v>
      </c>
      <c r="F3711">
        <f t="shared" si="60"/>
        <v>3</v>
      </c>
    </row>
    <row r="3712" spans="1:6">
      <c r="A3712" s="83">
        <v>43466</v>
      </c>
      <c r="B3712" t="s">
        <v>34</v>
      </c>
      <c r="C3712" t="s">
        <v>21</v>
      </c>
      <c r="D3712" t="s">
        <v>23</v>
      </c>
      <c r="E3712">
        <v>340</v>
      </c>
      <c r="F3712">
        <f t="shared" si="60"/>
        <v>3</v>
      </c>
    </row>
    <row r="3713" spans="1:6">
      <c r="A3713" s="83">
        <v>43466</v>
      </c>
      <c r="B3713" t="s">
        <v>34</v>
      </c>
      <c r="C3713" t="s">
        <v>24</v>
      </c>
      <c r="D3713" t="s">
        <v>23</v>
      </c>
      <c r="E3713">
        <v>42</v>
      </c>
      <c r="F3713">
        <f t="shared" si="60"/>
        <v>3</v>
      </c>
    </row>
    <row r="3714" spans="1:6">
      <c r="A3714" s="83">
        <v>43466</v>
      </c>
      <c r="B3714" t="s">
        <v>34</v>
      </c>
      <c r="C3714" t="s">
        <v>24</v>
      </c>
      <c r="D3714" t="s">
        <v>26</v>
      </c>
      <c r="E3714">
        <v>61</v>
      </c>
      <c r="F3714">
        <f t="shared" si="60"/>
        <v>5</v>
      </c>
    </row>
    <row r="3715" spans="1:6">
      <c r="A3715" s="83">
        <v>43497</v>
      </c>
      <c r="B3715" t="s">
        <v>34</v>
      </c>
      <c r="C3715" t="s">
        <v>21</v>
      </c>
      <c r="D3715" t="s">
        <v>26</v>
      </c>
      <c r="E3715">
        <v>126</v>
      </c>
      <c r="F3715">
        <f t="shared" ref="F3715:F3778" si="61">LEN(D3715)</f>
        <v>5</v>
      </c>
    </row>
    <row r="3716" spans="1:6">
      <c r="A3716" s="83">
        <v>43497</v>
      </c>
      <c r="B3716" t="s">
        <v>34</v>
      </c>
      <c r="C3716" t="s">
        <v>21</v>
      </c>
      <c r="D3716" t="s">
        <v>22</v>
      </c>
      <c r="E3716">
        <v>461</v>
      </c>
      <c r="F3716">
        <f t="shared" si="61"/>
        <v>7</v>
      </c>
    </row>
    <row r="3717" spans="1:6">
      <c r="A3717" s="83">
        <v>43497</v>
      </c>
      <c r="B3717" t="s">
        <v>34</v>
      </c>
      <c r="C3717" t="s">
        <v>24</v>
      </c>
      <c r="D3717" t="s">
        <v>23</v>
      </c>
      <c r="E3717">
        <v>37</v>
      </c>
      <c r="F3717">
        <f t="shared" si="61"/>
        <v>3</v>
      </c>
    </row>
    <row r="3718" spans="1:6">
      <c r="A3718" s="83">
        <v>43497</v>
      </c>
      <c r="B3718" t="s">
        <v>34</v>
      </c>
      <c r="C3718" t="s">
        <v>24</v>
      </c>
      <c r="D3718" t="s">
        <v>22</v>
      </c>
      <c r="E3718">
        <v>48</v>
      </c>
      <c r="F3718">
        <f t="shared" si="61"/>
        <v>7</v>
      </c>
    </row>
    <row r="3719" spans="1:6">
      <c r="A3719" s="83">
        <v>43525</v>
      </c>
      <c r="B3719" t="s">
        <v>34</v>
      </c>
      <c r="C3719" t="s">
        <v>21</v>
      </c>
      <c r="D3719" t="s">
        <v>26</v>
      </c>
      <c r="E3719">
        <v>113</v>
      </c>
      <c r="F3719">
        <f t="shared" si="61"/>
        <v>5</v>
      </c>
    </row>
    <row r="3720" spans="1:6">
      <c r="A3720" s="83">
        <v>43525</v>
      </c>
      <c r="B3720" t="s">
        <v>34</v>
      </c>
      <c r="C3720" t="s">
        <v>21</v>
      </c>
      <c r="D3720" t="s">
        <v>26</v>
      </c>
      <c r="E3720">
        <v>311</v>
      </c>
      <c r="F3720">
        <f t="shared" si="61"/>
        <v>5</v>
      </c>
    </row>
    <row r="3721" spans="1:6">
      <c r="A3721" s="83">
        <v>43525</v>
      </c>
      <c r="B3721" t="s">
        <v>34</v>
      </c>
      <c r="C3721" t="s">
        <v>24</v>
      </c>
      <c r="D3721" t="s">
        <v>22</v>
      </c>
      <c r="E3721">
        <v>36</v>
      </c>
      <c r="F3721">
        <f t="shared" si="61"/>
        <v>7</v>
      </c>
    </row>
    <row r="3722" spans="1:6">
      <c r="A3722" s="83">
        <v>43525</v>
      </c>
      <c r="B3722" t="s">
        <v>34</v>
      </c>
      <c r="C3722" t="s">
        <v>24</v>
      </c>
      <c r="D3722" t="s">
        <v>22</v>
      </c>
      <c r="E3722">
        <v>56</v>
      </c>
      <c r="F3722">
        <f t="shared" si="61"/>
        <v>7</v>
      </c>
    </row>
    <row r="3723" spans="1:6">
      <c r="A3723" s="83">
        <v>43556</v>
      </c>
      <c r="B3723" t="s">
        <v>34</v>
      </c>
      <c r="C3723" t="s">
        <v>21</v>
      </c>
      <c r="D3723" t="s">
        <v>23</v>
      </c>
      <c r="E3723">
        <v>120</v>
      </c>
      <c r="F3723">
        <f t="shared" si="61"/>
        <v>3</v>
      </c>
    </row>
    <row r="3724" spans="1:6">
      <c r="A3724" s="83">
        <v>43556</v>
      </c>
      <c r="B3724" t="s">
        <v>34</v>
      </c>
      <c r="C3724" t="s">
        <v>21</v>
      </c>
      <c r="D3724" t="s">
        <v>26</v>
      </c>
      <c r="E3724">
        <v>373</v>
      </c>
      <c r="F3724">
        <f t="shared" si="61"/>
        <v>5</v>
      </c>
    </row>
    <row r="3725" spans="1:6">
      <c r="A3725" s="83">
        <v>43556</v>
      </c>
      <c r="B3725" t="s">
        <v>34</v>
      </c>
      <c r="C3725" t="s">
        <v>24</v>
      </c>
      <c r="D3725" t="s">
        <v>26</v>
      </c>
      <c r="E3725">
        <v>47</v>
      </c>
      <c r="F3725">
        <f t="shared" si="61"/>
        <v>5</v>
      </c>
    </row>
    <row r="3726" spans="1:6">
      <c r="A3726" s="83">
        <v>43556</v>
      </c>
      <c r="B3726" t="s">
        <v>34</v>
      </c>
      <c r="C3726" t="s">
        <v>24</v>
      </c>
      <c r="D3726" t="s">
        <v>23</v>
      </c>
      <c r="E3726">
        <v>54</v>
      </c>
      <c r="F3726">
        <f t="shared" si="61"/>
        <v>3</v>
      </c>
    </row>
    <row r="3727" spans="1:6">
      <c r="A3727" s="83">
        <v>43586</v>
      </c>
      <c r="B3727" t="s">
        <v>34</v>
      </c>
      <c r="C3727" t="s">
        <v>21</v>
      </c>
      <c r="D3727" t="s">
        <v>26</v>
      </c>
      <c r="E3727">
        <v>207</v>
      </c>
      <c r="F3727">
        <f t="shared" si="61"/>
        <v>5</v>
      </c>
    </row>
    <row r="3728" spans="1:6">
      <c r="A3728" s="83">
        <v>43586</v>
      </c>
      <c r="B3728" t="s">
        <v>34</v>
      </c>
      <c r="C3728" t="s">
        <v>21</v>
      </c>
      <c r="D3728" t="s">
        <v>26</v>
      </c>
      <c r="E3728">
        <v>334</v>
      </c>
      <c r="F3728">
        <f t="shared" si="61"/>
        <v>5</v>
      </c>
    </row>
    <row r="3729" spans="1:6">
      <c r="A3729" s="83">
        <v>43586</v>
      </c>
      <c r="B3729" t="s">
        <v>34</v>
      </c>
      <c r="C3729" t="s">
        <v>24</v>
      </c>
      <c r="D3729" t="s">
        <v>26</v>
      </c>
      <c r="E3729">
        <v>67</v>
      </c>
      <c r="F3729">
        <f t="shared" si="61"/>
        <v>5</v>
      </c>
    </row>
    <row r="3730" spans="1:6">
      <c r="A3730" s="83">
        <v>43586</v>
      </c>
      <c r="B3730" t="s">
        <v>34</v>
      </c>
      <c r="C3730" t="s">
        <v>24</v>
      </c>
      <c r="D3730" t="s">
        <v>26</v>
      </c>
      <c r="E3730">
        <v>38</v>
      </c>
      <c r="F3730">
        <f t="shared" si="61"/>
        <v>5</v>
      </c>
    </row>
    <row r="3731" spans="1:6">
      <c r="A3731" s="83">
        <v>43617</v>
      </c>
      <c r="B3731" t="s">
        <v>34</v>
      </c>
      <c r="C3731" t="s">
        <v>21</v>
      </c>
      <c r="D3731" t="s">
        <v>22</v>
      </c>
      <c r="E3731">
        <v>181</v>
      </c>
      <c r="F3731">
        <f t="shared" si="61"/>
        <v>7</v>
      </c>
    </row>
    <row r="3732" spans="1:6">
      <c r="A3732" s="83">
        <v>43617</v>
      </c>
      <c r="B3732" t="s">
        <v>34</v>
      </c>
      <c r="C3732" t="s">
        <v>21</v>
      </c>
      <c r="D3732" t="s">
        <v>22</v>
      </c>
      <c r="E3732">
        <v>262</v>
      </c>
      <c r="F3732">
        <f t="shared" si="61"/>
        <v>7</v>
      </c>
    </row>
    <row r="3733" spans="1:6">
      <c r="A3733" s="83">
        <v>43617</v>
      </c>
      <c r="B3733" t="s">
        <v>34</v>
      </c>
      <c r="C3733" t="s">
        <v>24</v>
      </c>
      <c r="D3733" t="s">
        <v>23</v>
      </c>
      <c r="E3733">
        <v>39</v>
      </c>
      <c r="F3733">
        <f t="shared" si="61"/>
        <v>3</v>
      </c>
    </row>
    <row r="3734" spans="1:6">
      <c r="A3734" s="83">
        <v>43617</v>
      </c>
      <c r="B3734" t="s">
        <v>34</v>
      </c>
      <c r="C3734" t="s">
        <v>24</v>
      </c>
      <c r="D3734" t="s">
        <v>26</v>
      </c>
      <c r="E3734">
        <v>89</v>
      </c>
      <c r="F3734">
        <f t="shared" si="61"/>
        <v>5</v>
      </c>
    </row>
    <row r="3735" spans="1:6">
      <c r="A3735" s="83">
        <v>43647</v>
      </c>
      <c r="B3735" t="s">
        <v>34</v>
      </c>
      <c r="C3735" t="s">
        <v>21</v>
      </c>
      <c r="D3735" t="s">
        <v>22</v>
      </c>
      <c r="E3735">
        <v>147</v>
      </c>
      <c r="F3735">
        <f t="shared" si="61"/>
        <v>7</v>
      </c>
    </row>
    <row r="3736" spans="1:6">
      <c r="A3736" s="83">
        <v>43647</v>
      </c>
      <c r="B3736" t="s">
        <v>34</v>
      </c>
      <c r="C3736" t="s">
        <v>21</v>
      </c>
      <c r="D3736" t="s">
        <v>23</v>
      </c>
      <c r="E3736">
        <v>403</v>
      </c>
      <c r="F3736">
        <f t="shared" si="61"/>
        <v>3</v>
      </c>
    </row>
    <row r="3737" spans="1:6">
      <c r="A3737" s="83">
        <v>43647</v>
      </c>
      <c r="B3737" t="s">
        <v>34</v>
      </c>
      <c r="C3737" t="s">
        <v>24</v>
      </c>
      <c r="D3737" t="s">
        <v>23</v>
      </c>
      <c r="E3737">
        <v>67</v>
      </c>
      <c r="F3737">
        <f t="shared" si="61"/>
        <v>3</v>
      </c>
    </row>
    <row r="3738" spans="1:6">
      <c r="A3738" s="83">
        <v>43647</v>
      </c>
      <c r="B3738" t="s">
        <v>34</v>
      </c>
      <c r="C3738" t="s">
        <v>24</v>
      </c>
      <c r="D3738" t="s">
        <v>26</v>
      </c>
      <c r="E3738">
        <v>66</v>
      </c>
      <c r="F3738">
        <f t="shared" si="61"/>
        <v>5</v>
      </c>
    </row>
    <row r="3739" spans="1:6">
      <c r="A3739" s="83">
        <v>43678</v>
      </c>
      <c r="B3739" t="s">
        <v>34</v>
      </c>
      <c r="C3739" t="s">
        <v>21</v>
      </c>
      <c r="D3739" t="s">
        <v>23</v>
      </c>
      <c r="E3739">
        <v>136</v>
      </c>
      <c r="F3739">
        <f t="shared" si="61"/>
        <v>3</v>
      </c>
    </row>
    <row r="3740" spans="1:6">
      <c r="A3740" s="83">
        <v>43678</v>
      </c>
      <c r="B3740" t="s">
        <v>34</v>
      </c>
      <c r="C3740" t="s">
        <v>21</v>
      </c>
      <c r="D3740" t="s">
        <v>22</v>
      </c>
      <c r="E3740">
        <v>368</v>
      </c>
      <c r="F3740">
        <f t="shared" si="61"/>
        <v>7</v>
      </c>
    </row>
    <row r="3741" spans="1:6">
      <c r="A3741" s="83">
        <v>43678</v>
      </c>
      <c r="B3741" t="s">
        <v>34</v>
      </c>
      <c r="C3741" t="s">
        <v>24</v>
      </c>
      <c r="D3741" t="s">
        <v>23</v>
      </c>
      <c r="E3741">
        <v>59</v>
      </c>
      <c r="F3741">
        <f t="shared" si="61"/>
        <v>3</v>
      </c>
    </row>
    <row r="3742" spans="1:6">
      <c r="A3742" s="83">
        <v>43678</v>
      </c>
      <c r="B3742" t="s">
        <v>34</v>
      </c>
      <c r="C3742" t="s">
        <v>24</v>
      </c>
      <c r="D3742" t="s">
        <v>23</v>
      </c>
      <c r="E3742">
        <v>81</v>
      </c>
      <c r="F3742">
        <f t="shared" si="61"/>
        <v>3</v>
      </c>
    </row>
    <row r="3743" spans="1:6">
      <c r="A3743" s="83">
        <v>43709</v>
      </c>
      <c r="B3743" t="s">
        <v>34</v>
      </c>
      <c r="C3743" t="s">
        <v>21</v>
      </c>
      <c r="D3743" t="s">
        <v>23</v>
      </c>
      <c r="E3743">
        <v>181</v>
      </c>
      <c r="F3743">
        <f t="shared" si="61"/>
        <v>3</v>
      </c>
    </row>
    <row r="3744" spans="1:6">
      <c r="A3744" s="83">
        <v>43709</v>
      </c>
      <c r="B3744" t="s">
        <v>34</v>
      </c>
      <c r="C3744" t="s">
        <v>21</v>
      </c>
      <c r="D3744" t="s">
        <v>23</v>
      </c>
      <c r="E3744">
        <v>622</v>
      </c>
      <c r="F3744">
        <f t="shared" si="61"/>
        <v>3</v>
      </c>
    </row>
    <row r="3745" spans="1:6">
      <c r="A3745" s="83">
        <v>43709</v>
      </c>
      <c r="B3745" t="s">
        <v>34</v>
      </c>
      <c r="C3745" t="s">
        <v>24</v>
      </c>
      <c r="D3745" t="s">
        <v>22</v>
      </c>
      <c r="E3745">
        <v>63</v>
      </c>
      <c r="F3745">
        <f t="shared" si="61"/>
        <v>7</v>
      </c>
    </row>
    <row r="3746" spans="1:6">
      <c r="A3746" s="83">
        <v>43709</v>
      </c>
      <c r="B3746" t="s">
        <v>34</v>
      </c>
      <c r="C3746" t="s">
        <v>24</v>
      </c>
      <c r="D3746" t="s">
        <v>26</v>
      </c>
      <c r="E3746">
        <v>93</v>
      </c>
      <c r="F3746">
        <f t="shared" si="61"/>
        <v>5</v>
      </c>
    </row>
    <row r="3747" spans="1:6">
      <c r="A3747" s="83">
        <v>43739</v>
      </c>
      <c r="B3747" t="s">
        <v>34</v>
      </c>
      <c r="C3747" t="s">
        <v>21</v>
      </c>
      <c r="D3747" t="s">
        <v>26</v>
      </c>
      <c r="E3747">
        <v>258</v>
      </c>
      <c r="F3747">
        <f t="shared" si="61"/>
        <v>5</v>
      </c>
    </row>
    <row r="3748" spans="1:6">
      <c r="A3748" s="83">
        <v>43739</v>
      </c>
      <c r="B3748" t="s">
        <v>34</v>
      </c>
      <c r="C3748" t="s">
        <v>21</v>
      </c>
      <c r="D3748" t="s">
        <v>23</v>
      </c>
      <c r="E3748">
        <v>652</v>
      </c>
      <c r="F3748">
        <f t="shared" si="61"/>
        <v>3</v>
      </c>
    </row>
    <row r="3749" spans="1:6">
      <c r="A3749" s="83">
        <v>43739</v>
      </c>
      <c r="B3749" t="s">
        <v>34</v>
      </c>
      <c r="C3749" t="s">
        <v>24</v>
      </c>
      <c r="D3749" t="s">
        <v>23</v>
      </c>
      <c r="E3749">
        <v>61</v>
      </c>
      <c r="F3749">
        <f t="shared" si="61"/>
        <v>3</v>
      </c>
    </row>
    <row r="3750" spans="1:6">
      <c r="A3750" s="83">
        <v>43739</v>
      </c>
      <c r="B3750" t="s">
        <v>34</v>
      </c>
      <c r="C3750" t="s">
        <v>24</v>
      </c>
      <c r="D3750" t="s">
        <v>23</v>
      </c>
      <c r="E3750">
        <v>67</v>
      </c>
      <c r="F3750">
        <f t="shared" si="61"/>
        <v>3</v>
      </c>
    </row>
    <row r="3751" spans="1:6">
      <c r="A3751" s="83">
        <v>43770</v>
      </c>
      <c r="B3751" t="s">
        <v>34</v>
      </c>
      <c r="C3751" t="s">
        <v>21</v>
      </c>
      <c r="D3751" t="s">
        <v>23</v>
      </c>
      <c r="E3751">
        <v>253</v>
      </c>
      <c r="F3751">
        <f t="shared" si="61"/>
        <v>3</v>
      </c>
    </row>
    <row r="3752" spans="1:6">
      <c r="A3752" s="83">
        <v>43770</v>
      </c>
      <c r="B3752" t="s">
        <v>34</v>
      </c>
      <c r="C3752" t="s">
        <v>21</v>
      </c>
      <c r="D3752" t="s">
        <v>26</v>
      </c>
      <c r="E3752">
        <v>634</v>
      </c>
      <c r="F3752">
        <f t="shared" si="61"/>
        <v>5</v>
      </c>
    </row>
    <row r="3753" spans="1:6">
      <c r="A3753" s="83">
        <v>43770</v>
      </c>
      <c r="B3753" t="s">
        <v>34</v>
      </c>
      <c r="C3753" t="s">
        <v>24</v>
      </c>
      <c r="D3753" t="s">
        <v>26</v>
      </c>
      <c r="E3753">
        <v>59</v>
      </c>
      <c r="F3753">
        <f t="shared" si="61"/>
        <v>5</v>
      </c>
    </row>
    <row r="3754" spans="1:6">
      <c r="A3754" s="83">
        <v>43770</v>
      </c>
      <c r="B3754" t="s">
        <v>34</v>
      </c>
      <c r="C3754" t="s">
        <v>24</v>
      </c>
      <c r="D3754" t="s">
        <v>22</v>
      </c>
      <c r="E3754">
        <v>101</v>
      </c>
      <c r="F3754">
        <f t="shared" si="61"/>
        <v>7</v>
      </c>
    </row>
    <row r="3755" spans="1:6">
      <c r="A3755" s="83">
        <v>43800</v>
      </c>
      <c r="B3755" t="s">
        <v>34</v>
      </c>
      <c r="C3755" t="s">
        <v>21</v>
      </c>
      <c r="D3755" t="s">
        <v>26</v>
      </c>
      <c r="E3755">
        <v>203</v>
      </c>
      <c r="F3755">
        <f t="shared" si="61"/>
        <v>5</v>
      </c>
    </row>
    <row r="3756" spans="1:6">
      <c r="A3756" s="83">
        <v>43800</v>
      </c>
      <c r="B3756" t="s">
        <v>34</v>
      </c>
      <c r="C3756" t="s">
        <v>21</v>
      </c>
      <c r="D3756" t="s">
        <v>22</v>
      </c>
      <c r="E3756">
        <v>463</v>
      </c>
      <c r="F3756">
        <f t="shared" si="61"/>
        <v>7</v>
      </c>
    </row>
    <row r="3757" spans="1:6">
      <c r="A3757" s="83">
        <v>43800</v>
      </c>
      <c r="B3757" t="s">
        <v>34</v>
      </c>
      <c r="C3757" t="s">
        <v>24</v>
      </c>
      <c r="D3757" t="s">
        <v>26</v>
      </c>
      <c r="E3757">
        <v>49</v>
      </c>
      <c r="F3757">
        <f t="shared" si="61"/>
        <v>5</v>
      </c>
    </row>
    <row r="3758" spans="1:6">
      <c r="A3758" s="83">
        <v>43800</v>
      </c>
      <c r="B3758" t="s">
        <v>34</v>
      </c>
      <c r="C3758" t="s">
        <v>24</v>
      </c>
      <c r="D3758" t="s">
        <v>23</v>
      </c>
      <c r="E3758">
        <v>87</v>
      </c>
      <c r="F3758">
        <f t="shared" si="61"/>
        <v>3</v>
      </c>
    </row>
    <row r="3759" spans="1:6">
      <c r="A3759" s="83">
        <v>43770</v>
      </c>
      <c r="B3759" t="s">
        <v>35</v>
      </c>
      <c r="C3759" t="s">
        <v>21</v>
      </c>
      <c r="D3759" t="s">
        <v>23</v>
      </c>
      <c r="E3759">
        <v>228</v>
      </c>
      <c r="F3759">
        <f t="shared" si="61"/>
        <v>3</v>
      </c>
    </row>
    <row r="3760" spans="1:6">
      <c r="A3760" s="83">
        <v>43770</v>
      </c>
      <c r="B3760" t="s">
        <v>35</v>
      </c>
      <c r="C3760" t="s">
        <v>21</v>
      </c>
      <c r="D3760" t="s">
        <v>23</v>
      </c>
      <c r="E3760">
        <v>338</v>
      </c>
      <c r="F3760">
        <f t="shared" si="61"/>
        <v>3</v>
      </c>
    </row>
    <row r="3761" spans="1:6">
      <c r="A3761" s="83">
        <v>43800</v>
      </c>
      <c r="B3761" t="s">
        <v>35</v>
      </c>
      <c r="C3761" t="s">
        <v>21</v>
      </c>
      <c r="D3761" t="s">
        <v>26</v>
      </c>
      <c r="E3761">
        <v>228</v>
      </c>
      <c r="F3761">
        <f t="shared" si="61"/>
        <v>5</v>
      </c>
    </row>
    <row r="3762" spans="1:6">
      <c r="A3762" s="83">
        <v>43800</v>
      </c>
      <c r="B3762" t="s">
        <v>35</v>
      </c>
      <c r="C3762" t="s">
        <v>21</v>
      </c>
      <c r="D3762" t="s">
        <v>22</v>
      </c>
      <c r="E3762">
        <v>383</v>
      </c>
      <c r="F3762">
        <f t="shared" si="61"/>
        <v>7</v>
      </c>
    </row>
    <row r="3763" spans="1:6">
      <c r="A3763" s="83">
        <v>43770</v>
      </c>
      <c r="B3763" t="s">
        <v>35</v>
      </c>
      <c r="C3763" t="s">
        <v>21</v>
      </c>
      <c r="D3763" t="s">
        <v>26</v>
      </c>
      <c r="E3763">
        <v>186</v>
      </c>
      <c r="F3763">
        <f t="shared" si="61"/>
        <v>5</v>
      </c>
    </row>
    <row r="3764" spans="1:6">
      <c r="A3764" s="83">
        <v>43770</v>
      </c>
      <c r="B3764" t="s">
        <v>35</v>
      </c>
      <c r="C3764" t="s">
        <v>21</v>
      </c>
      <c r="D3764" t="s">
        <v>26</v>
      </c>
      <c r="E3764">
        <v>288</v>
      </c>
      <c r="F3764">
        <f t="shared" si="61"/>
        <v>5</v>
      </c>
    </row>
    <row r="3765" spans="1:6">
      <c r="A3765" s="83">
        <v>43800</v>
      </c>
      <c r="B3765" t="s">
        <v>35</v>
      </c>
      <c r="C3765" t="s">
        <v>21</v>
      </c>
      <c r="D3765" t="s">
        <v>23</v>
      </c>
      <c r="E3765">
        <v>172</v>
      </c>
      <c r="F3765">
        <f t="shared" si="61"/>
        <v>3</v>
      </c>
    </row>
    <row r="3766" spans="1:6">
      <c r="A3766" s="83">
        <v>43800</v>
      </c>
      <c r="B3766" t="s">
        <v>35</v>
      </c>
      <c r="C3766" t="s">
        <v>21</v>
      </c>
      <c r="D3766" t="s">
        <v>26</v>
      </c>
      <c r="E3766">
        <v>270</v>
      </c>
      <c r="F3766">
        <f t="shared" si="61"/>
        <v>5</v>
      </c>
    </row>
    <row r="3767" spans="1:6">
      <c r="A3767" s="83">
        <v>43770</v>
      </c>
      <c r="B3767" t="s">
        <v>35</v>
      </c>
      <c r="C3767" t="s">
        <v>21</v>
      </c>
      <c r="D3767" t="s">
        <v>26</v>
      </c>
      <c r="E3767">
        <v>105</v>
      </c>
      <c r="F3767">
        <f t="shared" si="61"/>
        <v>5</v>
      </c>
    </row>
    <row r="3768" spans="1:6">
      <c r="A3768" s="83">
        <v>43770</v>
      </c>
      <c r="B3768" t="s">
        <v>35</v>
      </c>
      <c r="C3768" t="s">
        <v>21</v>
      </c>
      <c r="D3768" t="s">
        <v>26</v>
      </c>
      <c r="E3768">
        <v>293</v>
      </c>
      <c r="F3768">
        <f t="shared" si="61"/>
        <v>5</v>
      </c>
    </row>
    <row r="3769" spans="1:6">
      <c r="A3769" s="83">
        <v>43800</v>
      </c>
      <c r="B3769" t="s">
        <v>35</v>
      </c>
      <c r="C3769" t="s">
        <v>21</v>
      </c>
      <c r="D3769" t="s">
        <v>26</v>
      </c>
      <c r="E3769">
        <v>70</v>
      </c>
      <c r="F3769">
        <f t="shared" si="61"/>
        <v>5</v>
      </c>
    </row>
    <row r="3770" spans="1:6">
      <c r="A3770" s="83">
        <v>43800</v>
      </c>
      <c r="B3770" t="s">
        <v>35</v>
      </c>
      <c r="C3770" t="s">
        <v>21</v>
      </c>
      <c r="D3770" t="s">
        <v>26</v>
      </c>
      <c r="E3770">
        <v>248</v>
      </c>
      <c r="F3770">
        <f t="shared" si="61"/>
        <v>5</v>
      </c>
    </row>
    <row r="3771" spans="1:6">
      <c r="A3771" s="83">
        <v>43770</v>
      </c>
      <c r="B3771" t="s">
        <v>35</v>
      </c>
      <c r="C3771" t="s">
        <v>21</v>
      </c>
      <c r="D3771" t="s">
        <v>22</v>
      </c>
      <c r="E3771">
        <v>116</v>
      </c>
      <c r="F3771">
        <f t="shared" si="61"/>
        <v>7</v>
      </c>
    </row>
    <row r="3772" spans="1:6">
      <c r="A3772" s="83">
        <v>43770</v>
      </c>
      <c r="B3772" t="s">
        <v>35</v>
      </c>
      <c r="C3772" t="s">
        <v>21</v>
      </c>
      <c r="D3772" t="s">
        <v>23</v>
      </c>
      <c r="E3772">
        <v>154</v>
      </c>
      <c r="F3772">
        <f t="shared" si="61"/>
        <v>3</v>
      </c>
    </row>
    <row r="3773" spans="1:6">
      <c r="A3773" s="83">
        <v>43770</v>
      </c>
      <c r="B3773" t="s">
        <v>35</v>
      </c>
      <c r="C3773" t="s">
        <v>21</v>
      </c>
      <c r="D3773" t="s">
        <v>26</v>
      </c>
      <c r="E3773">
        <v>830</v>
      </c>
      <c r="F3773">
        <f t="shared" si="61"/>
        <v>5</v>
      </c>
    </row>
    <row r="3774" spans="1:6">
      <c r="A3774" s="83">
        <v>43800</v>
      </c>
      <c r="B3774" t="s">
        <v>35</v>
      </c>
      <c r="C3774" t="s">
        <v>21</v>
      </c>
      <c r="D3774" t="s">
        <v>22</v>
      </c>
      <c r="E3774">
        <v>98</v>
      </c>
      <c r="F3774">
        <f t="shared" si="61"/>
        <v>7</v>
      </c>
    </row>
    <row r="3775" spans="1:6">
      <c r="A3775" s="83">
        <v>43800</v>
      </c>
      <c r="B3775" t="s">
        <v>35</v>
      </c>
      <c r="C3775" t="s">
        <v>21</v>
      </c>
      <c r="D3775" t="s">
        <v>22</v>
      </c>
      <c r="E3775">
        <v>138</v>
      </c>
      <c r="F3775">
        <f t="shared" si="61"/>
        <v>7</v>
      </c>
    </row>
    <row r="3776" spans="1:6">
      <c r="A3776" s="83">
        <v>43800</v>
      </c>
      <c r="B3776" t="s">
        <v>35</v>
      </c>
      <c r="C3776" t="s">
        <v>21</v>
      </c>
      <c r="D3776" t="s">
        <v>22</v>
      </c>
      <c r="E3776">
        <v>888</v>
      </c>
      <c r="F3776">
        <f t="shared" si="61"/>
        <v>7</v>
      </c>
    </row>
    <row r="3777" spans="1:6">
      <c r="A3777" s="83">
        <v>43770</v>
      </c>
      <c r="B3777" t="s">
        <v>35</v>
      </c>
      <c r="C3777" t="s">
        <v>21</v>
      </c>
      <c r="D3777" t="s">
        <v>23</v>
      </c>
      <c r="E3777">
        <v>358</v>
      </c>
      <c r="F3777">
        <f t="shared" si="61"/>
        <v>3</v>
      </c>
    </row>
    <row r="3778" spans="1:6">
      <c r="A3778" s="83">
        <v>43770</v>
      </c>
      <c r="B3778" t="s">
        <v>35</v>
      </c>
      <c r="C3778" t="s">
        <v>21</v>
      </c>
      <c r="D3778" t="s">
        <v>23</v>
      </c>
      <c r="E3778">
        <v>338</v>
      </c>
      <c r="F3778">
        <f t="shared" si="61"/>
        <v>3</v>
      </c>
    </row>
    <row r="3779" spans="1:6">
      <c r="A3779" s="83">
        <v>43800</v>
      </c>
      <c r="B3779" t="s">
        <v>35</v>
      </c>
      <c r="C3779" t="s">
        <v>21</v>
      </c>
      <c r="D3779" t="s">
        <v>26</v>
      </c>
      <c r="E3779">
        <v>413</v>
      </c>
      <c r="F3779">
        <f t="shared" ref="F3779:F3784" si="62">LEN(D3779)</f>
        <v>5</v>
      </c>
    </row>
    <row r="3780" spans="1:6">
      <c r="A3780" s="83">
        <v>43800</v>
      </c>
      <c r="B3780" t="s">
        <v>35</v>
      </c>
      <c r="C3780" t="s">
        <v>21</v>
      </c>
      <c r="D3780" t="s">
        <v>26</v>
      </c>
      <c r="E3780">
        <v>360</v>
      </c>
      <c r="F3780">
        <f t="shared" si="62"/>
        <v>5</v>
      </c>
    </row>
    <row r="3781" spans="1:6">
      <c r="A3781" s="83">
        <v>43770</v>
      </c>
      <c r="B3781" t="s">
        <v>35</v>
      </c>
      <c r="C3781" t="s">
        <v>21</v>
      </c>
      <c r="D3781" t="s">
        <v>23</v>
      </c>
      <c r="E3781">
        <v>263</v>
      </c>
      <c r="F3781">
        <f t="shared" si="62"/>
        <v>3</v>
      </c>
    </row>
    <row r="3782" spans="1:6">
      <c r="A3782" s="83">
        <v>43770</v>
      </c>
      <c r="B3782" t="s">
        <v>35</v>
      </c>
      <c r="C3782" t="s">
        <v>21</v>
      </c>
      <c r="D3782" t="s">
        <v>22</v>
      </c>
      <c r="E3782">
        <v>270</v>
      </c>
      <c r="F3782">
        <f t="shared" si="62"/>
        <v>7</v>
      </c>
    </row>
    <row r="3783" spans="1:6">
      <c r="A3783" s="83">
        <v>43800</v>
      </c>
      <c r="B3783" t="s">
        <v>35</v>
      </c>
      <c r="C3783" t="s">
        <v>21</v>
      </c>
      <c r="D3783" t="s">
        <v>26</v>
      </c>
      <c r="E3783">
        <v>263</v>
      </c>
      <c r="F3783">
        <f t="shared" si="62"/>
        <v>5</v>
      </c>
    </row>
    <row r="3784" spans="1:6">
      <c r="A3784" s="83">
        <v>43800</v>
      </c>
      <c r="B3784" t="s">
        <v>35</v>
      </c>
      <c r="C3784" t="s">
        <v>21</v>
      </c>
      <c r="D3784" t="s">
        <v>22</v>
      </c>
      <c r="E3784">
        <v>180</v>
      </c>
      <c r="F3784">
        <f t="shared" si="62"/>
        <v>7</v>
      </c>
    </row>
  </sheetData>
  <phoneticPr fontId="24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Group Box 1">
              <controlPr defaultSize="0" autoPict="0">
                <anchor moveWithCells="1">
                  <from>
                    <xdr:col>13</xdr:col>
                    <xdr:colOff>104775</xdr:colOff>
                    <xdr:row>34</xdr:row>
                    <xdr:rowOff>76200</xdr:rowOff>
                  </from>
                  <to>
                    <xdr:col>15</xdr:col>
                    <xdr:colOff>114300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List Box 2">
              <controlPr defaultSize="0" autoPict="0">
                <anchor moveWithCells="1">
                  <from>
                    <xdr:col>11</xdr:col>
                    <xdr:colOff>361950</xdr:colOff>
                    <xdr:row>34</xdr:row>
                    <xdr:rowOff>95250</xdr:rowOff>
                  </from>
                  <to>
                    <xdr:col>12</xdr:col>
                    <xdr:colOff>533400</xdr:colOff>
                    <xdr:row>36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Pict="0">
                <anchor moveWithCells="1">
                  <from>
                    <xdr:col>10</xdr:col>
                    <xdr:colOff>57150</xdr:colOff>
                    <xdr:row>34</xdr:row>
                    <xdr:rowOff>38100</xdr:rowOff>
                  </from>
                  <to>
                    <xdr:col>11</xdr:col>
                    <xdr:colOff>57150</xdr:colOff>
                    <xdr:row>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Option Button 4">
              <controlPr defaultSize="0" autoPict="0">
                <anchor moveWithCells="1">
                  <from>
                    <xdr:col>13</xdr:col>
                    <xdr:colOff>323850</xdr:colOff>
                    <xdr:row>35</xdr:row>
                    <xdr:rowOff>95250</xdr:rowOff>
                  </from>
                  <to>
                    <xdr:col>14</xdr:col>
                    <xdr:colOff>504825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Option Button 5">
              <controlPr defaultSize="0" autoPict="0">
                <anchor moveWithCells="1">
                  <from>
                    <xdr:col>13</xdr:col>
                    <xdr:colOff>295275</xdr:colOff>
                    <xdr:row>36</xdr:row>
                    <xdr:rowOff>152400</xdr:rowOff>
                  </from>
                  <to>
                    <xdr:col>14</xdr:col>
                    <xdr:colOff>542925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Option Button 6">
              <controlPr defaultSize="0" autoPict="0">
                <anchor moveWithCells="1">
                  <from>
                    <xdr:col>13</xdr:col>
                    <xdr:colOff>304800</xdr:colOff>
                    <xdr:row>38</xdr:row>
                    <xdr:rowOff>19050</xdr:rowOff>
                  </from>
                  <to>
                    <xdr:col>14</xdr:col>
                    <xdr:colOff>600075</xdr:colOff>
                    <xdr:row>39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C19" sqref="C19"/>
    </sheetView>
  </sheetViews>
  <sheetFormatPr defaultColWidth="10" defaultRowHeight="13.5"/>
  <cols>
    <col min="1" max="1" width="12.86328125" style="72" customWidth="1"/>
    <col min="2" max="2" width="18.59765625" style="72" customWidth="1"/>
    <col min="3" max="3" width="23.46484375" style="91" customWidth="1"/>
    <col min="4" max="4" width="12.265625" style="91" customWidth="1"/>
    <col min="5" max="5" width="12.265625" style="94" customWidth="1"/>
    <col min="6" max="6" width="10" style="72"/>
    <col min="7" max="7" width="12.1328125" style="72" customWidth="1"/>
    <col min="8" max="8" width="12.86328125" style="72" customWidth="1"/>
    <col min="9" max="9" width="10" style="72"/>
    <col min="10" max="10" width="11.1328125" style="72" customWidth="1"/>
    <col min="11" max="16384" width="10" style="72"/>
  </cols>
  <sheetData>
    <row r="1" spans="1:10" ht="13.9">
      <c r="A1" s="73" t="s">
        <v>36</v>
      </c>
      <c r="B1" s="73" t="s">
        <v>37</v>
      </c>
      <c r="C1" s="89" t="s">
        <v>38</v>
      </c>
      <c r="D1" s="89" t="s">
        <v>39</v>
      </c>
      <c r="E1" s="92" t="s">
        <v>40</v>
      </c>
      <c r="G1" s="74" t="str">
        <f>"季节长度="&amp;_xlfn.FORECAST.ETS.SEASONALITY(B2:B37,A2:A37)</f>
        <v>季节长度=12</v>
      </c>
      <c r="H1" s="75" t="s">
        <v>41</v>
      </c>
      <c r="I1" s="75" t="s">
        <v>42</v>
      </c>
      <c r="J1" s="81" t="s">
        <v>43</v>
      </c>
    </row>
    <row r="2" spans="1:10">
      <c r="A2" s="76">
        <v>43831</v>
      </c>
      <c r="B2" s="77">
        <v>4300</v>
      </c>
      <c r="C2" s="90">
        <f t="array" ref="C2:C13">B2:B13/$J$2:$J$13</f>
        <v>7046.4939024390242</v>
      </c>
      <c r="D2" s="90">
        <f>FORECAST(A2,$C$2:$C$37,$A$2:$A$37)</f>
        <v>7157.4314000598679</v>
      </c>
      <c r="E2" s="93">
        <f t="array" ref="E2:E13">D2:D13*$J$2:$J$13</f>
        <v>4367.6976729667658</v>
      </c>
      <c r="G2" s="77">
        <v>1</v>
      </c>
      <c r="H2" s="78">
        <f>AVERAGE(B2,B14,B26)</f>
        <v>5466.666666666667</v>
      </c>
      <c r="I2" s="95">
        <f>AVERAGE(B2:B37)</f>
        <v>8958.3333333333339</v>
      </c>
      <c r="J2" s="77">
        <f>H2/$I$2</f>
        <v>0.61023255813953492</v>
      </c>
    </row>
    <row r="3" spans="1:10">
      <c r="A3" s="76">
        <v>43862</v>
      </c>
      <c r="B3" s="77">
        <v>4600</v>
      </c>
      <c r="C3" s="90">
        <v>7145.953757225433</v>
      </c>
      <c r="D3" s="90">
        <f t="shared" ref="D3:D49" si="0">FORECAST(A3,$C$2:$C$37,$A$2:$A$37)</f>
        <v>7262.283578562201</v>
      </c>
      <c r="E3" s="93">
        <v>4674.8839408046915</v>
      </c>
      <c r="G3" s="77">
        <v>2</v>
      </c>
      <c r="H3" s="78">
        <f t="shared" ref="H3:H13" si="1">AVERAGE(B3,B15,B27)</f>
        <v>5766.666666666667</v>
      </c>
      <c r="I3" s="96"/>
      <c r="J3" s="77">
        <f t="shared" ref="J3:J13" si="2">H3/$I$2</f>
        <v>0.64372093023255816</v>
      </c>
    </row>
    <row r="4" spans="1:10" ht="13.5" customHeight="1">
      <c r="A4" s="76">
        <v>43891</v>
      </c>
      <c r="B4" s="77">
        <v>4700</v>
      </c>
      <c r="C4" s="90">
        <v>7176.8465909090919</v>
      </c>
      <c r="D4" s="90">
        <f t="shared" si="0"/>
        <v>7360.3711003870121</v>
      </c>
      <c r="E4" s="93">
        <v>4820.1872136487964</v>
      </c>
      <c r="G4" s="77">
        <v>3</v>
      </c>
      <c r="H4" s="78">
        <f t="shared" si="1"/>
        <v>5866.666666666667</v>
      </c>
      <c r="I4" s="96"/>
      <c r="J4" s="77">
        <f t="shared" si="2"/>
        <v>0.6548837209302325</v>
      </c>
    </row>
    <row r="5" spans="1:10">
      <c r="A5" s="76">
        <v>43922</v>
      </c>
      <c r="B5" s="77">
        <v>4900</v>
      </c>
      <c r="C5" s="90">
        <v>7235.5769230769229</v>
      </c>
      <c r="D5" s="90">
        <f t="shared" si="0"/>
        <v>7465.2232788893743</v>
      </c>
      <c r="E5" s="93">
        <v>5055.518648401362</v>
      </c>
      <c r="G5" s="77">
        <v>4</v>
      </c>
      <c r="H5" s="78">
        <f t="shared" si="1"/>
        <v>6066.666666666667</v>
      </c>
      <c r="I5" s="96"/>
      <c r="J5" s="77">
        <f t="shared" si="2"/>
        <v>0.67720930232558141</v>
      </c>
    </row>
    <row r="6" spans="1:10">
      <c r="A6" s="76">
        <v>43952</v>
      </c>
      <c r="B6" s="77">
        <v>5000</v>
      </c>
      <c r="C6" s="90">
        <v>7263.5135135135142</v>
      </c>
      <c r="D6" s="90">
        <f t="shared" si="0"/>
        <v>7566.6931290529319</v>
      </c>
      <c r="E6" s="93">
        <v>5208.7003865108545</v>
      </c>
      <c r="G6" s="77">
        <v>5</v>
      </c>
      <c r="H6" s="78">
        <f t="shared" si="1"/>
        <v>6166.666666666667</v>
      </c>
      <c r="I6" s="96"/>
      <c r="J6" s="77">
        <f t="shared" si="2"/>
        <v>0.68837209302325575</v>
      </c>
    </row>
    <row r="7" spans="1:10">
      <c r="A7" s="76">
        <v>43983</v>
      </c>
      <c r="B7" s="77">
        <v>7800</v>
      </c>
      <c r="C7" s="90">
        <v>7792.7509293680296</v>
      </c>
      <c r="D7" s="90">
        <f t="shared" si="0"/>
        <v>7671.5453075552941</v>
      </c>
      <c r="E7" s="93">
        <v>7678.6816287716247</v>
      </c>
      <c r="G7" s="77">
        <v>6</v>
      </c>
      <c r="H7" s="78">
        <f t="shared" si="1"/>
        <v>8966.6666666666661</v>
      </c>
      <c r="I7" s="96"/>
      <c r="J7" s="77">
        <f t="shared" si="2"/>
        <v>1.0009302325581395</v>
      </c>
    </row>
    <row r="8" spans="1:10">
      <c r="A8" s="76">
        <v>44013</v>
      </c>
      <c r="B8" s="77">
        <v>9000</v>
      </c>
      <c r="C8" s="90">
        <v>7930.3278688524597</v>
      </c>
      <c r="D8" s="90">
        <f t="shared" si="0"/>
        <v>7773.0151577188517</v>
      </c>
      <c r="E8" s="93">
        <v>8821.4683650390689</v>
      </c>
      <c r="G8" s="77">
        <v>7</v>
      </c>
      <c r="H8" s="78">
        <f t="shared" si="1"/>
        <v>10166.666666666666</v>
      </c>
      <c r="I8" s="96"/>
      <c r="J8" s="77">
        <f t="shared" si="2"/>
        <v>1.1348837209302325</v>
      </c>
    </row>
    <row r="9" spans="1:10">
      <c r="A9" s="76">
        <v>44044</v>
      </c>
      <c r="B9" s="77">
        <v>10000</v>
      </c>
      <c r="C9" s="90">
        <v>8022.3880597014941</v>
      </c>
      <c r="D9" s="90">
        <f t="shared" si="0"/>
        <v>7877.8673362212139</v>
      </c>
      <c r="E9" s="93">
        <v>9819.8532377083029</v>
      </c>
      <c r="G9" s="77">
        <v>8</v>
      </c>
      <c r="H9" s="78">
        <f t="shared" si="1"/>
        <v>11166.666666666666</v>
      </c>
      <c r="I9" s="96"/>
      <c r="J9" s="77">
        <f t="shared" si="2"/>
        <v>1.2465116279069766</v>
      </c>
    </row>
    <row r="10" spans="1:10">
      <c r="A10" s="76">
        <v>44075</v>
      </c>
      <c r="B10" s="77">
        <v>11000</v>
      </c>
      <c r="C10" s="90">
        <v>8099.3150684931516</v>
      </c>
      <c r="D10" s="90">
        <f t="shared" si="0"/>
        <v>7982.7195147235761</v>
      </c>
      <c r="E10" s="93">
        <v>10841.64696883388</v>
      </c>
      <c r="G10" s="77">
        <v>9</v>
      </c>
      <c r="H10" s="78">
        <f t="shared" si="1"/>
        <v>12166.666666666666</v>
      </c>
      <c r="I10" s="96"/>
      <c r="J10" s="77">
        <f t="shared" si="2"/>
        <v>1.3581395348837209</v>
      </c>
    </row>
    <row r="11" spans="1:10">
      <c r="A11" s="76">
        <v>44105</v>
      </c>
      <c r="B11" s="77">
        <v>10500</v>
      </c>
      <c r="C11" s="90">
        <v>8062.5000000000009</v>
      </c>
      <c r="D11" s="90">
        <f t="shared" si="0"/>
        <v>8084.1893648871628</v>
      </c>
      <c r="E11" s="93">
        <v>10528.246614736769</v>
      </c>
      <c r="G11" s="77">
        <v>10</v>
      </c>
      <c r="H11" s="78">
        <f t="shared" si="1"/>
        <v>11666.666666666666</v>
      </c>
      <c r="I11" s="96"/>
      <c r="J11" s="77">
        <f t="shared" si="2"/>
        <v>1.3023255813953487</v>
      </c>
    </row>
    <row r="12" spans="1:10">
      <c r="A12" s="76">
        <v>44136</v>
      </c>
      <c r="B12" s="77">
        <v>10600</v>
      </c>
      <c r="C12" s="90">
        <v>8070.1133144475934</v>
      </c>
      <c r="D12" s="90">
        <f t="shared" si="0"/>
        <v>8189.041543389525</v>
      </c>
      <c r="E12" s="93">
        <v>10756.210845828844</v>
      </c>
      <c r="G12" s="77">
        <v>11</v>
      </c>
      <c r="H12" s="78">
        <f t="shared" si="1"/>
        <v>11766.666666666666</v>
      </c>
      <c r="I12" s="96"/>
      <c r="J12" s="77">
        <f t="shared" si="2"/>
        <v>1.313488372093023</v>
      </c>
    </row>
    <row r="13" spans="1:10">
      <c r="A13" s="76">
        <v>44166</v>
      </c>
      <c r="B13" s="77">
        <v>11100</v>
      </c>
      <c r="C13" s="90">
        <v>8106.3179347826099</v>
      </c>
      <c r="D13" s="90">
        <f t="shared" si="0"/>
        <v>8290.5113935530826</v>
      </c>
      <c r="E13" s="93">
        <v>11352.216531451289</v>
      </c>
      <c r="G13" s="77">
        <v>12</v>
      </c>
      <c r="H13" s="78">
        <f t="shared" si="1"/>
        <v>12266.666666666666</v>
      </c>
      <c r="I13" s="97"/>
      <c r="J13" s="77">
        <f t="shared" si="2"/>
        <v>1.3693023255813952</v>
      </c>
    </row>
    <row r="14" spans="1:10">
      <c r="A14" s="76">
        <v>44197</v>
      </c>
      <c r="B14" s="77">
        <v>5300</v>
      </c>
      <c r="C14" s="90">
        <f t="array" ref="C14:C25">B14:B25/$J$2:$J$13</f>
        <v>8685.213414634145</v>
      </c>
      <c r="D14" s="90">
        <f t="shared" si="0"/>
        <v>8395.3635720554448</v>
      </c>
      <c r="E14" s="93">
        <f t="array" ref="E14:E25">D14:D25*$J$2:$J$13</f>
        <v>5123.1241890868578</v>
      </c>
    </row>
    <row r="15" spans="1:10" ht="13.9">
      <c r="A15" s="76">
        <v>44228</v>
      </c>
      <c r="B15" s="77">
        <v>5600</v>
      </c>
      <c r="C15" s="90">
        <v>8699.4219653179189</v>
      </c>
      <c r="D15" s="90">
        <f t="shared" si="0"/>
        <v>8500.215750557807</v>
      </c>
      <c r="E15" s="93">
        <v>5471.766790126514</v>
      </c>
      <c r="G15" s="79" t="s">
        <v>44</v>
      </c>
      <c r="H15" s="80"/>
      <c r="I15" s="80"/>
      <c r="J15" s="82">
        <f>AVERAGE(J2:J13)</f>
        <v>1</v>
      </c>
    </row>
    <row r="16" spans="1:10">
      <c r="A16" s="76">
        <v>44256</v>
      </c>
      <c r="B16" s="77">
        <v>5700</v>
      </c>
      <c r="C16" s="90">
        <v>8703.8352272727279</v>
      </c>
      <c r="D16" s="90">
        <f t="shared" si="0"/>
        <v>8594.9209440438135</v>
      </c>
      <c r="E16" s="93">
        <v>5628.673808936599</v>
      </c>
    </row>
    <row r="17" spans="1:5">
      <c r="A17" s="76">
        <v>44287</v>
      </c>
      <c r="B17" s="77">
        <v>5900</v>
      </c>
      <c r="C17" s="90">
        <v>8712.2252747252751</v>
      </c>
      <c r="D17" s="90">
        <f t="shared" si="0"/>
        <v>8699.7731225461757</v>
      </c>
      <c r="E17" s="93">
        <v>5891.5672867103403</v>
      </c>
    </row>
    <row r="18" spans="1:5">
      <c r="A18" s="76">
        <v>44317</v>
      </c>
      <c r="B18" s="77">
        <v>6000</v>
      </c>
      <c r="C18" s="90">
        <v>8716.2162162162167</v>
      </c>
      <c r="D18" s="90">
        <f t="shared" si="0"/>
        <v>8801.2429727097333</v>
      </c>
      <c r="E18" s="93">
        <v>6058.5300463304202</v>
      </c>
    </row>
    <row r="19" spans="1:5">
      <c r="A19" s="76">
        <v>44348</v>
      </c>
      <c r="B19" s="77">
        <v>8800</v>
      </c>
      <c r="C19" s="90">
        <v>8791.8215613382908</v>
      </c>
      <c r="D19" s="90">
        <f t="shared" si="0"/>
        <v>8906.0951512120955</v>
      </c>
      <c r="E19" s="93">
        <v>8914.3798908876415</v>
      </c>
    </row>
    <row r="20" spans="1:5">
      <c r="A20" s="76">
        <v>44378</v>
      </c>
      <c r="B20" s="77">
        <v>10000</v>
      </c>
      <c r="C20" s="90">
        <v>8811.4754098360663</v>
      </c>
      <c r="D20" s="90">
        <f t="shared" si="0"/>
        <v>9007.5650013756822</v>
      </c>
      <c r="E20" s="93">
        <v>10222.538885282169</v>
      </c>
    </row>
    <row r="21" spans="1:5">
      <c r="A21" s="76">
        <v>44409</v>
      </c>
      <c r="B21" s="77">
        <v>11000</v>
      </c>
      <c r="C21" s="90">
        <v>8824.6268656716438</v>
      </c>
      <c r="D21" s="90">
        <f t="shared" si="0"/>
        <v>9112.4171798780153</v>
      </c>
      <c r="E21" s="93">
        <v>11358.733973057246</v>
      </c>
    </row>
    <row r="22" spans="1:5">
      <c r="A22" s="76">
        <v>44440</v>
      </c>
      <c r="B22" s="77">
        <v>12000</v>
      </c>
      <c r="C22" s="90">
        <v>8835.6164383561645</v>
      </c>
      <c r="D22" s="90">
        <f t="shared" si="0"/>
        <v>9217.2693583803775</v>
      </c>
      <c r="E22" s="93">
        <v>12518.337919288699</v>
      </c>
    </row>
    <row r="23" spans="1:5">
      <c r="A23" s="76">
        <v>44470</v>
      </c>
      <c r="B23" s="77">
        <v>11500</v>
      </c>
      <c r="C23" s="90">
        <v>8830.3571428571431</v>
      </c>
      <c r="D23" s="90">
        <f t="shared" si="0"/>
        <v>9318.7392085439642</v>
      </c>
      <c r="E23" s="93">
        <v>12136.03245763865</v>
      </c>
    </row>
    <row r="24" spans="1:5">
      <c r="A24" s="76">
        <v>44501</v>
      </c>
      <c r="B24" s="77">
        <v>11600</v>
      </c>
      <c r="C24" s="90">
        <v>8831.4447592068009</v>
      </c>
      <c r="D24" s="90">
        <f t="shared" si="0"/>
        <v>9423.5913870463264</v>
      </c>
      <c r="E24" s="93">
        <v>12377.777710241313</v>
      </c>
    </row>
    <row r="25" spans="1:5">
      <c r="A25" s="76">
        <v>44531</v>
      </c>
      <c r="B25" s="77">
        <v>12100</v>
      </c>
      <c r="C25" s="90">
        <v>8836.6168478260879</v>
      </c>
      <c r="D25" s="90">
        <f t="shared" si="0"/>
        <v>9525.061237209884</v>
      </c>
      <c r="E25" s="93">
        <v>13042.688503416695</v>
      </c>
    </row>
    <row r="26" spans="1:5">
      <c r="A26" s="76">
        <v>44562</v>
      </c>
      <c r="B26" s="77">
        <v>6800</v>
      </c>
      <c r="C26" s="90">
        <f t="array" ref="C26:C37">B26:B37/$J$2:$J$13</f>
        <v>11143.292682926829</v>
      </c>
      <c r="D26" s="90">
        <f t="shared" si="0"/>
        <v>9629.9134157122462</v>
      </c>
      <c r="E26" s="93">
        <f t="array" ref="E26:E37">D26:D37*$J$2:$J$13</f>
        <v>5876.4866983323109</v>
      </c>
    </row>
    <row r="27" spans="1:5">
      <c r="A27" s="76">
        <v>44593</v>
      </c>
      <c r="B27" s="77">
        <v>7100</v>
      </c>
      <c r="C27" s="90">
        <v>11029.624277456647</v>
      </c>
      <c r="D27" s="90">
        <f t="shared" si="0"/>
        <v>9734.7655942146084</v>
      </c>
      <c r="E27" s="93">
        <v>6266.4723639037293</v>
      </c>
    </row>
    <row r="28" spans="1:5">
      <c r="A28" s="76">
        <v>44621</v>
      </c>
      <c r="B28" s="77">
        <v>7200</v>
      </c>
      <c r="C28" s="90">
        <v>10994.318181818182</v>
      </c>
      <c r="D28" s="90">
        <f t="shared" si="0"/>
        <v>9829.4707877006149</v>
      </c>
      <c r="E28" s="93">
        <v>6437.1604042244026</v>
      </c>
    </row>
    <row r="29" spans="1:5">
      <c r="A29" s="76">
        <v>44652</v>
      </c>
      <c r="B29" s="77">
        <v>7400</v>
      </c>
      <c r="C29" s="90">
        <v>10927.197802197801</v>
      </c>
      <c r="D29" s="90">
        <f t="shared" si="0"/>
        <v>9934.3229662029771</v>
      </c>
      <c r="E29" s="93">
        <v>6727.6159250193186</v>
      </c>
    </row>
    <row r="30" spans="1:5">
      <c r="A30" s="76">
        <v>44682</v>
      </c>
      <c r="B30" s="77">
        <v>7500</v>
      </c>
      <c r="C30" s="90">
        <v>10895.270270270272</v>
      </c>
      <c r="D30" s="90">
        <f t="shared" si="0"/>
        <v>10035.792816366535</v>
      </c>
      <c r="E30" s="93">
        <v>6908.3597061499859</v>
      </c>
    </row>
    <row r="31" spans="1:5">
      <c r="A31" s="76">
        <v>44713</v>
      </c>
      <c r="B31" s="77">
        <v>10300</v>
      </c>
      <c r="C31" s="90">
        <v>10290.42750929368</v>
      </c>
      <c r="D31" s="90">
        <f t="shared" si="0"/>
        <v>10140.644994868897</v>
      </c>
      <c r="E31" s="93">
        <v>10150.078153003658</v>
      </c>
    </row>
    <row r="32" spans="1:5">
      <c r="A32" s="76">
        <v>44743</v>
      </c>
      <c r="B32" s="77">
        <v>11500</v>
      </c>
      <c r="C32" s="90">
        <v>10133.196721311477</v>
      </c>
      <c r="D32" s="90">
        <f t="shared" si="0"/>
        <v>10242.114845032484</v>
      </c>
      <c r="E32" s="93">
        <v>11623.609405525236</v>
      </c>
    </row>
    <row r="33" spans="1:5">
      <c r="A33" s="76">
        <v>44774</v>
      </c>
      <c r="B33" s="77">
        <v>12500</v>
      </c>
      <c r="C33" s="90">
        <v>10027.985074626868</v>
      </c>
      <c r="D33" s="90">
        <f t="shared" si="0"/>
        <v>10346.967023534846</v>
      </c>
      <c r="E33" s="93">
        <v>12897.614708406225</v>
      </c>
    </row>
    <row r="34" spans="1:5">
      <c r="A34" s="76">
        <v>44805</v>
      </c>
      <c r="B34" s="77">
        <v>13500</v>
      </c>
      <c r="C34" s="90">
        <v>9940.0684931506858</v>
      </c>
      <c r="D34" s="90">
        <f t="shared" si="0"/>
        <v>10451.819202037208</v>
      </c>
      <c r="E34" s="93">
        <v>14195.028869743555</v>
      </c>
    </row>
    <row r="35" spans="1:5">
      <c r="A35" s="76">
        <v>44835</v>
      </c>
      <c r="B35" s="77">
        <v>13000</v>
      </c>
      <c r="C35" s="90">
        <v>9982.1428571428587</v>
      </c>
      <c r="D35" s="90">
        <f t="shared" si="0"/>
        <v>10553.289052200766</v>
      </c>
      <c r="E35" s="93">
        <v>13743.81830054053</v>
      </c>
    </row>
    <row r="36" spans="1:5">
      <c r="A36" s="76">
        <v>44866</v>
      </c>
      <c r="B36" s="77">
        <v>13100</v>
      </c>
      <c r="C36" s="90">
        <v>9973.4419263456111</v>
      </c>
      <c r="D36" s="90">
        <f t="shared" si="0"/>
        <v>10658.141230703128</v>
      </c>
      <c r="E36" s="93">
        <v>13999.34457465378</v>
      </c>
    </row>
    <row r="37" spans="1:5">
      <c r="A37" s="76">
        <v>44896</v>
      </c>
      <c r="B37" s="77">
        <v>13600</v>
      </c>
      <c r="C37" s="90">
        <v>9932.0652173913059</v>
      </c>
      <c r="D37" s="90">
        <f t="shared" si="0"/>
        <v>10759.611080866685</v>
      </c>
      <c r="E37" s="93">
        <v>14733.160475382101</v>
      </c>
    </row>
    <row r="38" spans="1:5">
      <c r="A38" s="76">
        <v>44927</v>
      </c>
      <c r="D38" s="90">
        <f t="shared" si="0"/>
        <v>10864.463259369048</v>
      </c>
      <c r="E38" s="93">
        <f t="array" ref="E38:E49">D38:D49*$J$2:$J$13</f>
        <v>6629.8492075777631</v>
      </c>
    </row>
    <row r="39" spans="1:5">
      <c r="A39" s="76">
        <v>44958</v>
      </c>
      <c r="D39" s="90">
        <f t="shared" si="0"/>
        <v>10969.31543787141</v>
      </c>
      <c r="E39" s="93">
        <v>7061.1779376809454</v>
      </c>
    </row>
    <row r="40" spans="1:5">
      <c r="A40" s="76">
        <v>44986</v>
      </c>
      <c r="D40" s="90">
        <f t="shared" si="0"/>
        <v>11064.020631357416</v>
      </c>
      <c r="E40" s="93">
        <v>7245.6469995122052</v>
      </c>
    </row>
    <row r="41" spans="1:5">
      <c r="A41" s="76">
        <v>45017</v>
      </c>
      <c r="D41" s="90">
        <f t="shared" si="0"/>
        <v>11168.872809859778</v>
      </c>
      <c r="E41" s="93">
        <v>7563.6645633282969</v>
      </c>
    </row>
    <row r="42" spans="1:5">
      <c r="A42" s="76">
        <v>45047</v>
      </c>
      <c r="D42" s="90">
        <f t="shared" si="0"/>
        <v>11270.342660023336</v>
      </c>
      <c r="E42" s="93">
        <v>7758.1893659695515</v>
      </c>
    </row>
    <row r="43" spans="1:5">
      <c r="A43" s="76">
        <v>45078</v>
      </c>
      <c r="D43" s="90">
        <f t="shared" si="0"/>
        <v>11375.194838525698</v>
      </c>
      <c r="E43" s="93">
        <v>11385.776415119675</v>
      </c>
    </row>
    <row r="44" spans="1:5">
      <c r="A44" s="76">
        <v>45108</v>
      </c>
      <c r="D44" s="90">
        <f t="shared" si="0"/>
        <v>11476.664688689285</v>
      </c>
      <c r="E44" s="93">
        <v>13024.679925768303</v>
      </c>
    </row>
    <row r="45" spans="1:5">
      <c r="A45" s="76">
        <v>45139</v>
      </c>
      <c r="D45" s="90">
        <f t="shared" si="0"/>
        <v>11581.516867191647</v>
      </c>
      <c r="E45" s="93">
        <v>14436.495443755168</v>
      </c>
    </row>
    <row r="46" spans="1:5">
      <c r="A46" s="76">
        <v>45170</v>
      </c>
      <c r="D46" s="90">
        <f t="shared" si="0"/>
        <v>11686.369045694009</v>
      </c>
      <c r="E46" s="93">
        <v>15871.719820198374</v>
      </c>
    </row>
    <row r="47" spans="1:5">
      <c r="A47" s="76">
        <v>45200</v>
      </c>
      <c r="D47" s="90">
        <f t="shared" si="0"/>
        <v>11787.838895857567</v>
      </c>
      <c r="E47" s="93">
        <v>15351.604143442411</v>
      </c>
    </row>
    <row r="48" spans="1:5">
      <c r="A48" s="76">
        <v>45231</v>
      </c>
      <c r="D48" s="90">
        <f t="shared" si="0"/>
        <v>11892.691074359929</v>
      </c>
      <c r="E48" s="93">
        <v>15620.911439066249</v>
      </c>
    </row>
    <row r="49" spans="1:5">
      <c r="A49" s="76">
        <v>45261</v>
      </c>
      <c r="D49" s="90">
        <f t="shared" si="0"/>
        <v>11994.160924523516</v>
      </c>
      <c r="E49" s="93">
        <v>16423.632447347547</v>
      </c>
    </row>
  </sheetData>
  <mergeCells count="1">
    <mergeCell ref="I2:I13"/>
  </mergeCells>
  <phoneticPr fontId="2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workbookViewId="0">
      <selection activeCell="H8" sqref="H8"/>
    </sheetView>
  </sheetViews>
  <sheetFormatPr defaultColWidth="8.86328125" defaultRowHeight="13.5"/>
  <cols>
    <col min="1" max="3" width="7.86328125" style="46" customWidth="1"/>
    <col min="4" max="4" width="6.59765625" style="46" customWidth="1"/>
    <col min="5" max="6" width="8.86328125" style="46"/>
    <col min="7" max="7" width="19.59765625" style="46" customWidth="1"/>
    <col min="8" max="8" width="14.86328125" style="46" customWidth="1"/>
    <col min="9" max="9" width="15.1328125" style="46" customWidth="1"/>
    <col min="10" max="10" width="13.86328125" style="46" customWidth="1"/>
    <col min="11" max="11" width="13.1328125" style="46" customWidth="1"/>
    <col min="12" max="12" width="13.86328125" style="46" customWidth="1"/>
    <col min="13" max="13" width="12.73046875" style="46" customWidth="1"/>
    <col min="14" max="14" width="13.86328125" style="46" customWidth="1"/>
    <col min="15" max="15" width="18.3984375" style="46" customWidth="1"/>
    <col min="16" max="16" width="3.46484375" style="47" customWidth="1"/>
    <col min="17" max="16384" width="8.86328125" style="46"/>
  </cols>
  <sheetData>
    <row r="1" spans="1:16">
      <c r="A1" s="48" t="s">
        <v>45</v>
      </c>
      <c r="B1" s="48" t="s">
        <v>46</v>
      </c>
      <c r="C1" s="48" t="s">
        <v>47</v>
      </c>
      <c r="D1" s="49" t="s">
        <v>48</v>
      </c>
      <c r="E1" s="50"/>
      <c r="P1" s="47">
        <f>SUM(P2:P12)</f>
        <v>9</v>
      </c>
    </row>
    <row r="2" spans="1:16">
      <c r="A2" s="51">
        <v>35</v>
      </c>
      <c r="B2" s="51">
        <v>71</v>
      </c>
      <c r="C2" s="51">
        <v>35</v>
      </c>
      <c r="D2" s="52">
        <v>317</v>
      </c>
      <c r="E2" s="53"/>
      <c r="O2" s="60" t="s">
        <v>49</v>
      </c>
      <c r="P2" s="68">
        <v>2</v>
      </c>
    </row>
    <row r="3" spans="1:16">
      <c r="A3" s="51">
        <v>29</v>
      </c>
      <c r="B3" s="51">
        <v>73</v>
      </c>
      <c r="C3" s="51">
        <v>38</v>
      </c>
      <c r="D3" s="52">
        <v>306</v>
      </c>
      <c r="E3" s="53"/>
      <c r="O3" s="69" t="s">
        <v>50</v>
      </c>
      <c r="P3" s="68">
        <v>1</v>
      </c>
    </row>
    <row r="4" spans="1:16">
      <c r="A4" s="51">
        <v>31</v>
      </c>
      <c r="B4" s="51">
        <v>74</v>
      </c>
      <c r="C4" s="51">
        <v>35</v>
      </c>
      <c r="D4" s="52">
        <v>282</v>
      </c>
      <c r="E4" s="53"/>
      <c r="O4" s="69" t="s">
        <v>51</v>
      </c>
      <c r="P4" s="68">
        <v>3</v>
      </c>
    </row>
    <row r="5" spans="1:16">
      <c r="A5" s="51">
        <v>29</v>
      </c>
      <c r="B5" s="51">
        <v>74</v>
      </c>
      <c r="C5" s="51">
        <v>38</v>
      </c>
      <c r="D5" s="52">
        <v>317</v>
      </c>
      <c r="E5" s="53"/>
      <c r="O5" s="69" t="s">
        <v>52</v>
      </c>
      <c r="P5" s="68">
        <v>1</v>
      </c>
    </row>
    <row r="6" spans="1:16">
      <c r="A6" s="51">
        <v>32</v>
      </c>
      <c r="B6" s="51">
        <v>71</v>
      </c>
      <c r="C6" s="51">
        <v>33</v>
      </c>
      <c r="D6" s="52">
        <v>286</v>
      </c>
      <c r="E6" s="53"/>
      <c r="O6" s="70" t="s">
        <v>40</v>
      </c>
      <c r="P6" s="68">
        <v>2</v>
      </c>
    </row>
    <row r="7" spans="1:16">
      <c r="A7" s="51">
        <v>28</v>
      </c>
      <c r="B7" s="51">
        <v>72</v>
      </c>
      <c r="C7" s="51">
        <v>38</v>
      </c>
      <c r="D7" s="52">
        <v>314</v>
      </c>
      <c r="E7" s="53"/>
      <c r="O7" s="70"/>
      <c r="P7" s="68"/>
    </row>
    <row r="8" spans="1:16" ht="17.649999999999999">
      <c r="A8" s="51">
        <v>30</v>
      </c>
      <c r="B8" s="51">
        <v>73</v>
      </c>
      <c r="C8" s="51">
        <v>36</v>
      </c>
      <c r="D8" s="52">
        <v>308</v>
      </c>
      <c r="E8" s="53"/>
      <c r="G8" s="54" t="s">
        <v>53</v>
      </c>
      <c r="H8" s="55">
        <f>H10+H11*H15+H13*H17</f>
        <v>248.2579648218682</v>
      </c>
      <c r="O8" s="70"/>
      <c r="P8" s="68"/>
    </row>
    <row r="9" spans="1:16">
      <c r="A9" s="51">
        <v>35</v>
      </c>
      <c r="B9" s="51">
        <v>74</v>
      </c>
      <c r="C9" s="51">
        <v>35</v>
      </c>
      <c r="D9" s="52">
        <v>325</v>
      </c>
      <c r="E9" s="53"/>
      <c r="O9" s="70"/>
      <c r="P9" s="68"/>
    </row>
    <row r="10" spans="1:16">
      <c r="A10" s="51">
        <v>37</v>
      </c>
      <c r="B10" s="51">
        <v>72</v>
      </c>
      <c r="C10" s="51">
        <v>41</v>
      </c>
      <c r="D10" s="52">
        <v>407</v>
      </c>
      <c r="E10" s="53"/>
      <c r="G10" s="56" t="s">
        <v>54</v>
      </c>
      <c r="H10" s="57">
        <f>H110</f>
        <v>-181.986942068339</v>
      </c>
      <c r="O10" s="70"/>
      <c r="P10" s="68"/>
    </row>
    <row r="11" spans="1:16">
      <c r="A11" s="51">
        <v>33</v>
      </c>
      <c r="B11" s="51">
        <v>72</v>
      </c>
      <c r="C11" s="51">
        <v>36</v>
      </c>
      <c r="D11" s="52">
        <v>291</v>
      </c>
      <c r="E11" s="53"/>
      <c r="G11" s="56" t="s">
        <v>55</v>
      </c>
      <c r="H11" s="57">
        <f>H111</f>
        <v>3.9530441778857801</v>
      </c>
      <c r="O11" s="70"/>
      <c r="P11" s="68"/>
    </row>
    <row r="12" spans="1:16">
      <c r="A12" s="51">
        <v>35</v>
      </c>
      <c r="B12" s="51">
        <v>73</v>
      </c>
      <c r="C12" s="51">
        <v>38</v>
      </c>
      <c r="D12" s="52">
        <v>322</v>
      </c>
      <c r="E12" s="53"/>
      <c r="G12" s="58"/>
      <c r="H12" s="59"/>
      <c r="O12" s="70"/>
      <c r="P12" s="68"/>
    </row>
    <row r="13" spans="1:16">
      <c r="A13" s="51">
        <v>35</v>
      </c>
      <c r="B13" s="51">
        <v>75</v>
      </c>
      <c r="C13" s="51">
        <v>41</v>
      </c>
      <c r="D13" s="52">
        <v>368</v>
      </c>
      <c r="E13" s="53"/>
      <c r="G13" s="56" t="s">
        <v>56</v>
      </c>
      <c r="H13" s="57">
        <f>H112</f>
        <v>10.256684579191599</v>
      </c>
    </row>
    <row r="14" spans="1:16">
      <c r="A14" s="51">
        <v>35</v>
      </c>
      <c r="B14" s="51">
        <v>73</v>
      </c>
      <c r="C14" s="51">
        <v>45</v>
      </c>
      <c r="D14" s="52">
        <v>404</v>
      </c>
      <c r="E14" s="53"/>
    </row>
    <row r="15" spans="1:16">
      <c r="A15" s="51">
        <v>37</v>
      </c>
      <c r="B15" s="51">
        <v>72</v>
      </c>
      <c r="C15" s="51">
        <v>43</v>
      </c>
      <c r="D15" s="52">
        <v>408</v>
      </c>
      <c r="E15" s="53"/>
      <c r="G15" s="48" t="str">
        <f>A1</f>
        <v>温度X1</v>
      </c>
      <c r="H15" s="60">
        <v>31</v>
      </c>
    </row>
    <row r="16" spans="1:16">
      <c r="A16" s="51">
        <v>34</v>
      </c>
      <c r="B16" s="51">
        <v>71</v>
      </c>
      <c r="C16" s="51">
        <v>32</v>
      </c>
      <c r="D16" s="52">
        <v>296</v>
      </c>
      <c r="E16" s="53"/>
      <c r="G16" s="48" t="str">
        <f>B1</f>
        <v>湿度X2</v>
      </c>
      <c r="H16" s="60">
        <v>75</v>
      </c>
    </row>
    <row r="17" spans="1:9">
      <c r="A17" s="51">
        <v>36</v>
      </c>
      <c r="B17" s="51">
        <v>71</v>
      </c>
      <c r="C17" s="51">
        <v>42</v>
      </c>
      <c r="D17" s="52">
        <v>374</v>
      </c>
      <c r="E17" s="53"/>
      <c r="G17" s="48" t="str">
        <f>C1</f>
        <v>浓度X3</v>
      </c>
      <c r="H17" s="60">
        <v>30</v>
      </c>
    </row>
    <row r="18" spans="1:9">
      <c r="A18" s="51">
        <v>33</v>
      </c>
      <c r="B18" s="51">
        <v>72</v>
      </c>
      <c r="C18" s="51">
        <v>37</v>
      </c>
      <c r="D18" s="52">
        <v>343</v>
      </c>
      <c r="E18" s="53"/>
      <c r="G18" s="49" t="str">
        <f>D1</f>
        <v>产量Y</v>
      </c>
      <c r="H18" s="60">
        <f>H10+H11*H15+H13*H17</f>
        <v>248.2579648218682</v>
      </c>
    </row>
    <row r="19" spans="1:9">
      <c r="A19" s="51">
        <v>33</v>
      </c>
      <c r="B19" s="51">
        <v>74</v>
      </c>
      <c r="C19" s="51">
        <v>40</v>
      </c>
      <c r="D19" s="52">
        <v>381</v>
      </c>
      <c r="E19" s="53"/>
    </row>
    <row r="20" spans="1:9">
      <c r="A20" s="51">
        <v>36</v>
      </c>
      <c r="B20" s="51">
        <v>73</v>
      </c>
      <c r="C20" s="51">
        <v>34</v>
      </c>
      <c r="D20" s="52">
        <v>314</v>
      </c>
      <c r="E20" s="53"/>
      <c r="G20" s="46" t="s">
        <v>57</v>
      </c>
      <c r="H20" s="46" t="s">
        <v>58</v>
      </c>
    </row>
    <row r="21" spans="1:9">
      <c r="A21" s="51">
        <v>29</v>
      </c>
      <c r="B21" s="51">
        <v>72</v>
      </c>
      <c r="C21" s="51">
        <v>42</v>
      </c>
      <c r="D21" s="52">
        <v>399</v>
      </c>
      <c r="E21" s="53"/>
      <c r="G21" s="60" t="s">
        <v>59</v>
      </c>
      <c r="H21" s="60">
        <f>H36</f>
        <v>3.3221092243686398E-2</v>
      </c>
    </row>
    <row r="22" spans="1:9">
      <c r="G22" s="60" t="s">
        <v>60</v>
      </c>
      <c r="H22" s="61">
        <f>H57</f>
        <v>-5.3992474278811702E-2</v>
      </c>
    </row>
    <row r="23" spans="1:9">
      <c r="G23" s="60" t="s">
        <v>61</v>
      </c>
      <c r="H23" s="61">
        <f>H78</f>
        <v>0.77337875884899399</v>
      </c>
    </row>
    <row r="24" spans="1:9">
      <c r="G24" s="60" t="s">
        <v>62</v>
      </c>
      <c r="H24" s="62">
        <f>H99</f>
        <v>0.83411451726612995</v>
      </c>
      <c r="I24" s="53" t="s">
        <v>63</v>
      </c>
    </row>
    <row r="25" spans="1:9">
      <c r="G25" s="60" t="s">
        <v>64</v>
      </c>
      <c r="H25" s="63">
        <f>H121</f>
        <v>0.77161397123447495</v>
      </c>
    </row>
    <row r="26" spans="1:9">
      <c r="G26" s="60" t="s">
        <v>65</v>
      </c>
      <c r="H26" s="61">
        <f>H143</f>
        <v>0.82825533551088304</v>
      </c>
    </row>
    <row r="27" spans="1:9">
      <c r="A27" s="48" t="s">
        <v>45</v>
      </c>
      <c r="B27" s="48" t="s">
        <v>47</v>
      </c>
    </row>
    <row r="28" spans="1:9">
      <c r="A28" s="51">
        <f>A2</f>
        <v>35</v>
      </c>
      <c r="B28" s="51">
        <f>C2</f>
        <v>35</v>
      </c>
    </row>
    <row r="29" spans="1:9">
      <c r="A29" s="51">
        <f t="shared" ref="A29:A47" si="0">A3</f>
        <v>29</v>
      </c>
      <c r="B29" s="51">
        <f t="shared" ref="B29:B47" si="1">C3</f>
        <v>38</v>
      </c>
    </row>
    <row r="30" spans="1:9">
      <c r="A30" s="51">
        <f t="shared" si="0"/>
        <v>31</v>
      </c>
      <c r="B30" s="51">
        <f t="shared" si="1"/>
        <v>35</v>
      </c>
      <c r="G30" s="48" t="s">
        <v>45</v>
      </c>
    </row>
    <row r="31" spans="1:9">
      <c r="A31" s="51">
        <f t="shared" si="0"/>
        <v>29</v>
      </c>
      <c r="B31" s="51">
        <f t="shared" si="1"/>
        <v>38</v>
      </c>
      <c r="G31" s="46" t="s">
        <v>66</v>
      </c>
    </row>
    <row r="32" spans="1:9" ht="13.9" thickBot="1">
      <c r="A32" s="51">
        <f t="shared" si="0"/>
        <v>32</v>
      </c>
      <c r="B32" s="51">
        <f t="shared" si="1"/>
        <v>33</v>
      </c>
    </row>
    <row r="33" spans="1:15">
      <c r="A33" s="51">
        <f t="shared" si="0"/>
        <v>28</v>
      </c>
      <c r="B33" s="51">
        <f t="shared" si="1"/>
        <v>38</v>
      </c>
      <c r="G33" s="64" t="s">
        <v>67</v>
      </c>
      <c r="H33" s="64"/>
    </row>
    <row r="34" spans="1:15">
      <c r="A34" s="51">
        <f t="shared" si="0"/>
        <v>30</v>
      </c>
      <c r="B34" s="51">
        <f t="shared" si="1"/>
        <v>36</v>
      </c>
      <c r="G34" s="46" t="s">
        <v>68</v>
      </c>
      <c r="H34" s="46">
        <v>0.29000722862010397</v>
      </c>
    </row>
    <row r="35" spans="1:15">
      <c r="A35" s="51">
        <f t="shared" si="0"/>
        <v>35</v>
      </c>
      <c r="B35" s="51">
        <f t="shared" si="1"/>
        <v>35</v>
      </c>
      <c r="G35" s="46" t="s">
        <v>69</v>
      </c>
      <c r="H35" s="46">
        <v>8.4104192651913406E-2</v>
      </c>
    </row>
    <row r="36" spans="1:15">
      <c r="A36" s="51">
        <f t="shared" si="0"/>
        <v>37</v>
      </c>
      <c r="B36" s="51">
        <f t="shared" si="1"/>
        <v>41</v>
      </c>
      <c r="G36" s="46" t="s">
        <v>70</v>
      </c>
      <c r="H36" s="65">
        <v>3.3221092243686398E-2</v>
      </c>
    </row>
    <row r="37" spans="1:15">
      <c r="A37" s="51">
        <f t="shared" si="0"/>
        <v>33</v>
      </c>
      <c r="B37" s="51">
        <f t="shared" si="1"/>
        <v>36</v>
      </c>
      <c r="G37" s="46" t="s">
        <v>71</v>
      </c>
      <c r="H37" s="46">
        <v>42.801693546841399</v>
      </c>
    </row>
    <row r="38" spans="1:15" ht="13.9" thickBot="1">
      <c r="A38" s="51">
        <f t="shared" si="0"/>
        <v>35</v>
      </c>
      <c r="B38" s="51">
        <f t="shared" si="1"/>
        <v>38</v>
      </c>
      <c r="G38" s="66" t="s">
        <v>72</v>
      </c>
      <c r="H38" s="66">
        <v>20</v>
      </c>
    </row>
    <row r="39" spans="1:15">
      <c r="A39" s="51">
        <f t="shared" si="0"/>
        <v>35</v>
      </c>
      <c r="B39" s="51">
        <f t="shared" si="1"/>
        <v>41</v>
      </c>
    </row>
    <row r="40" spans="1:15" ht="13.9" thickBot="1">
      <c r="A40" s="51">
        <f t="shared" si="0"/>
        <v>35</v>
      </c>
      <c r="B40" s="51">
        <f t="shared" si="1"/>
        <v>45</v>
      </c>
      <c r="G40" s="46" t="s">
        <v>73</v>
      </c>
    </row>
    <row r="41" spans="1:15">
      <c r="A41" s="51">
        <f t="shared" si="0"/>
        <v>37</v>
      </c>
      <c r="B41" s="51">
        <f t="shared" si="1"/>
        <v>43</v>
      </c>
      <c r="G41" s="67"/>
      <c r="H41" s="67" t="s">
        <v>74</v>
      </c>
      <c r="I41" s="67" t="s">
        <v>75</v>
      </c>
      <c r="J41" s="67" t="s">
        <v>76</v>
      </c>
      <c r="K41" s="67" t="s">
        <v>77</v>
      </c>
      <c r="L41" s="67" t="s">
        <v>78</v>
      </c>
    </row>
    <row r="42" spans="1:15">
      <c r="A42" s="51">
        <f t="shared" si="0"/>
        <v>34</v>
      </c>
      <c r="B42" s="51">
        <f t="shared" si="1"/>
        <v>32</v>
      </c>
      <c r="G42" s="46" t="s">
        <v>79</v>
      </c>
      <c r="H42" s="46">
        <v>1</v>
      </c>
      <c r="I42" s="46">
        <v>3028.0705314009601</v>
      </c>
      <c r="J42" s="46">
        <v>3028.0705314009601</v>
      </c>
      <c r="K42" s="46">
        <v>1.65289048774856</v>
      </c>
      <c r="L42" s="46">
        <v>0.21486072682812399</v>
      </c>
    </row>
    <row r="43" spans="1:15">
      <c r="A43" s="51">
        <f t="shared" si="0"/>
        <v>36</v>
      </c>
      <c r="B43" s="51">
        <f t="shared" si="1"/>
        <v>42</v>
      </c>
      <c r="G43" s="46" t="s">
        <v>80</v>
      </c>
      <c r="H43" s="46">
        <v>18</v>
      </c>
      <c r="I43" s="46">
        <v>32975.729468598998</v>
      </c>
      <c r="J43" s="46">
        <v>1831.98497047772</v>
      </c>
    </row>
    <row r="44" spans="1:15" ht="13.9" thickBot="1">
      <c r="A44" s="51">
        <f t="shared" si="0"/>
        <v>33</v>
      </c>
      <c r="B44" s="51">
        <f t="shared" si="1"/>
        <v>37</v>
      </c>
      <c r="G44" s="66" t="s">
        <v>81</v>
      </c>
      <c r="H44" s="66">
        <v>19</v>
      </c>
      <c r="I44" s="66">
        <v>36003.800000000003</v>
      </c>
      <c r="J44" s="66"/>
      <c r="K44" s="66"/>
      <c r="L44" s="66"/>
    </row>
    <row r="45" spans="1:15" ht="13.9" thickBot="1">
      <c r="A45" s="51">
        <f t="shared" si="0"/>
        <v>33</v>
      </c>
      <c r="B45" s="51">
        <f t="shared" si="1"/>
        <v>40</v>
      </c>
    </row>
    <row r="46" spans="1:15">
      <c r="A46" s="51">
        <f t="shared" si="0"/>
        <v>36</v>
      </c>
      <c r="B46" s="51">
        <f t="shared" si="1"/>
        <v>34</v>
      </c>
      <c r="G46" s="67"/>
      <c r="H46" s="67" t="s">
        <v>82</v>
      </c>
      <c r="I46" s="67" t="s">
        <v>71</v>
      </c>
      <c r="J46" s="67" t="s">
        <v>83</v>
      </c>
      <c r="K46" s="67" t="s">
        <v>84</v>
      </c>
      <c r="L46" s="67" t="s">
        <v>85</v>
      </c>
      <c r="M46" s="67" t="s">
        <v>87</v>
      </c>
      <c r="N46" s="67" t="s">
        <v>88</v>
      </c>
      <c r="O46" s="67" t="s">
        <v>89</v>
      </c>
    </row>
    <row r="47" spans="1:15">
      <c r="A47" s="51">
        <f t="shared" si="0"/>
        <v>29</v>
      </c>
      <c r="B47" s="51">
        <f t="shared" si="1"/>
        <v>42</v>
      </c>
      <c r="G47" s="46" t="s">
        <v>86</v>
      </c>
      <c r="H47" s="46">
        <v>182.26086956521701</v>
      </c>
      <c r="I47" s="46">
        <v>121.591725066131</v>
      </c>
      <c r="J47" s="46">
        <v>1.4989578399853201</v>
      </c>
      <c r="K47" s="46">
        <v>0.15121850181235899</v>
      </c>
      <c r="L47" s="46">
        <v>-73.193865537146607</v>
      </c>
      <c r="M47" s="46">
        <v>437.715604667582</v>
      </c>
      <c r="N47" s="46">
        <v>-73.193865537146607</v>
      </c>
      <c r="O47" s="46">
        <v>437.715604667582</v>
      </c>
    </row>
    <row r="48" spans="1:15" ht="13.9" thickBot="1">
      <c r="G48" s="66" t="s">
        <v>45</v>
      </c>
      <c r="H48" s="66">
        <v>4.7439613526570001</v>
      </c>
      <c r="I48" s="66">
        <v>3.6899382816405999</v>
      </c>
      <c r="J48" s="66">
        <v>1.28564788637813</v>
      </c>
      <c r="K48" s="66">
        <v>0.21486072682812399</v>
      </c>
      <c r="L48" s="66">
        <v>-3.0083113103708801</v>
      </c>
      <c r="M48" s="66">
        <v>12.4962340156849</v>
      </c>
      <c r="N48" s="66">
        <v>-3.0083113103708801</v>
      </c>
      <c r="O48" s="66">
        <v>12.4962340156849</v>
      </c>
    </row>
    <row r="51" spans="7:12">
      <c r="G51" s="48" t="s">
        <v>46</v>
      </c>
    </row>
    <row r="52" spans="7:12">
      <c r="G52" s="46" t="s">
        <v>66</v>
      </c>
    </row>
    <row r="53" spans="7:12" ht="13.9" thickBot="1"/>
    <row r="54" spans="7:12">
      <c r="G54" s="64" t="s">
        <v>67</v>
      </c>
      <c r="H54" s="64"/>
    </row>
    <row r="55" spans="7:12">
      <c r="G55" s="46" t="s">
        <v>68</v>
      </c>
      <c r="H55" s="46">
        <v>3.8481344065998797E-2</v>
      </c>
    </row>
    <row r="56" spans="7:12">
      <c r="G56" s="46" t="s">
        <v>69</v>
      </c>
      <c r="H56" s="46">
        <v>1.48081384112578E-3</v>
      </c>
    </row>
    <row r="57" spans="7:12">
      <c r="G57" s="46" t="s">
        <v>70</v>
      </c>
      <c r="H57" s="46">
        <v>-5.3992474278811702E-2</v>
      </c>
    </row>
    <row r="58" spans="7:12">
      <c r="G58" s="46" t="s">
        <v>71</v>
      </c>
      <c r="H58" s="46">
        <v>44.690593762139699</v>
      </c>
    </row>
    <row r="59" spans="7:12" ht="13.9" thickBot="1">
      <c r="G59" s="66" t="s">
        <v>72</v>
      </c>
      <c r="H59" s="66">
        <v>20</v>
      </c>
    </row>
    <row r="61" spans="7:12" ht="13.9" thickBot="1">
      <c r="G61" s="46" t="s">
        <v>73</v>
      </c>
    </row>
    <row r="62" spans="7:12">
      <c r="G62" s="67"/>
      <c r="H62" s="67" t="s">
        <v>74</v>
      </c>
      <c r="I62" s="67" t="s">
        <v>75</v>
      </c>
      <c r="J62" s="67" t="s">
        <v>76</v>
      </c>
      <c r="K62" s="67" t="s">
        <v>77</v>
      </c>
      <c r="L62" s="67" t="s">
        <v>78</v>
      </c>
    </row>
    <row r="63" spans="7:12">
      <c r="G63" s="46" t="s">
        <v>79</v>
      </c>
      <c r="H63" s="46">
        <v>1</v>
      </c>
      <c r="I63" s="46">
        <v>53.314925373124403</v>
      </c>
      <c r="J63" s="46">
        <v>53.314925373124403</v>
      </c>
      <c r="K63" s="46">
        <v>2.6694178248892499E-2</v>
      </c>
      <c r="L63" s="46">
        <v>0.87203689784221705</v>
      </c>
    </row>
    <row r="64" spans="7:12">
      <c r="G64" s="46" t="s">
        <v>80</v>
      </c>
      <c r="H64" s="46">
        <v>18</v>
      </c>
      <c r="I64" s="46">
        <v>35950.4850746269</v>
      </c>
      <c r="J64" s="46">
        <v>1997.2491708125999</v>
      </c>
    </row>
    <row r="65" spans="7:15" ht="13.9" thickBot="1">
      <c r="G65" s="66" t="s">
        <v>81</v>
      </c>
      <c r="H65" s="66">
        <v>19</v>
      </c>
      <c r="I65" s="66">
        <v>36003.800000000003</v>
      </c>
      <c r="J65" s="66"/>
      <c r="K65" s="66"/>
      <c r="L65" s="66"/>
    </row>
    <row r="66" spans="7:15" ht="13.9" thickBot="1"/>
    <row r="67" spans="7:15">
      <c r="G67" s="67"/>
      <c r="H67" s="67" t="s">
        <v>82</v>
      </c>
      <c r="I67" s="67" t="s">
        <v>71</v>
      </c>
      <c r="J67" s="67" t="s">
        <v>83</v>
      </c>
      <c r="K67" s="67" t="s">
        <v>84</v>
      </c>
      <c r="L67" s="67" t="s">
        <v>85</v>
      </c>
      <c r="M67" s="67" t="s">
        <v>87</v>
      </c>
      <c r="N67" s="67" t="s">
        <v>88</v>
      </c>
      <c r="O67" s="67" t="s">
        <v>89</v>
      </c>
    </row>
    <row r="68" spans="7:15">
      <c r="G68" s="46" t="s">
        <v>86</v>
      </c>
      <c r="H68" s="46">
        <v>235.70149253731401</v>
      </c>
      <c r="I68" s="46">
        <v>626.81668371155104</v>
      </c>
      <c r="J68" s="46">
        <v>0.37602938572352801</v>
      </c>
      <c r="K68" s="46">
        <v>0.71129030135225202</v>
      </c>
      <c r="L68" s="46">
        <v>-1081.19149346308</v>
      </c>
      <c r="M68" s="46">
        <v>1552.5944785377101</v>
      </c>
      <c r="N68" s="46">
        <v>-1081.19149346308</v>
      </c>
      <c r="O68" s="46">
        <v>1552.5944785377101</v>
      </c>
    </row>
    <row r="69" spans="7:15" ht="13.9" thickBot="1">
      <c r="G69" s="66" t="s">
        <v>46</v>
      </c>
      <c r="H69" s="66">
        <v>1.41044776119403</v>
      </c>
      <c r="I69" s="66">
        <v>8.6327413254142495</v>
      </c>
      <c r="J69" s="66">
        <v>0.16338353114343401</v>
      </c>
      <c r="K69" s="71">
        <v>0.87203689784220595</v>
      </c>
      <c r="L69" s="66">
        <v>-16.7262687570684</v>
      </c>
      <c r="M69" s="66">
        <v>19.547164279456499</v>
      </c>
      <c r="N69" s="66">
        <v>-16.7262687570684</v>
      </c>
      <c r="O69" s="66">
        <v>19.547164279456499</v>
      </c>
    </row>
    <row r="72" spans="7:15">
      <c r="G72" s="48" t="s">
        <v>47</v>
      </c>
    </row>
    <row r="73" spans="7:15">
      <c r="G73" s="46" t="s">
        <v>66</v>
      </c>
    </row>
    <row r="74" spans="7:15" ht="13.9" thickBot="1"/>
    <row r="75" spans="7:15">
      <c r="G75" s="64" t="s">
        <v>67</v>
      </c>
      <c r="H75" s="64"/>
    </row>
    <row r="76" spans="7:15">
      <c r="G76" s="46" t="s">
        <v>68</v>
      </c>
      <c r="H76" s="46">
        <v>0.88617503496419003</v>
      </c>
    </row>
    <row r="77" spans="7:15">
      <c r="G77" s="46" t="s">
        <v>69</v>
      </c>
      <c r="H77" s="46">
        <v>0.78530619259378398</v>
      </c>
    </row>
    <row r="78" spans="7:15">
      <c r="G78" s="46" t="s">
        <v>70</v>
      </c>
      <c r="H78" s="65">
        <v>0.77337875884899399</v>
      </c>
    </row>
    <row r="79" spans="7:15">
      <c r="G79" s="46" t="s">
        <v>71</v>
      </c>
      <c r="H79" s="46">
        <v>20.7227637891441</v>
      </c>
    </row>
    <row r="80" spans="7:15" ht="13.9" thickBot="1">
      <c r="G80" s="66" t="s">
        <v>72</v>
      </c>
      <c r="H80" s="66">
        <v>20</v>
      </c>
    </row>
    <row r="82" spans="7:15" ht="13.9" thickBot="1">
      <c r="G82" s="46" t="s">
        <v>73</v>
      </c>
    </row>
    <row r="83" spans="7:15">
      <c r="G83" s="67"/>
      <c r="H83" s="67" t="s">
        <v>74</v>
      </c>
      <c r="I83" s="67" t="s">
        <v>75</v>
      </c>
      <c r="J83" s="67" t="s">
        <v>76</v>
      </c>
      <c r="K83" s="67" t="s">
        <v>77</v>
      </c>
      <c r="L83" s="67" t="s">
        <v>78</v>
      </c>
    </row>
    <row r="84" spans="7:15">
      <c r="G84" s="46" t="s">
        <v>79</v>
      </c>
      <c r="H84" s="46">
        <v>1</v>
      </c>
      <c r="I84" s="46">
        <v>28274.007096908099</v>
      </c>
      <c r="J84" s="46">
        <v>28274.007096908099</v>
      </c>
      <c r="K84" s="46">
        <v>65.8403315748306</v>
      </c>
      <c r="L84" s="46">
        <v>2.0015483808984299E-7</v>
      </c>
    </row>
    <row r="85" spans="7:15">
      <c r="G85" s="46" t="s">
        <v>80</v>
      </c>
      <c r="H85" s="46">
        <v>18</v>
      </c>
      <c r="I85" s="46">
        <v>7729.7929030919304</v>
      </c>
      <c r="J85" s="46">
        <v>429.43293906066299</v>
      </c>
    </row>
    <row r="86" spans="7:15" ht="13.9" thickBot="1">
      <c r="G86" s="66" t="s">
        <v>81</v>
      </c>
      <c r="H86" s="66">
        <v>19</v>
      </c>
      <c r="I86" s="66">
        <v>36003.800000000003</v>
      </c>
      <c r="J86" s="66"/>
      <c r="K86" s="66"/>
      <c r="L86" s="66"/>
    </row>
    <row r="87" spans="7:15" ht="13.9" thickBot="1"/>
    <row r="88" spans="7:15">
      <c r="G88" s="67"/>
      <c r="H88" s="67" t="s">
        <v>82</v>
      </c>
      <c r="I88" s="67" t="s">
        <v>71</v>
      </c>
      <c r="J88" s="67" t="s">
        <v>83</v>
      </c>
      <c r="K88" s="67" t="s">
        <v>84</v>
      </c>
      <c r="L88" s="67" t="s">
        <v>85</v>
      </c>
      <c r="M88" s="67" t="s">
        <v>87</v>
      </c>
      <c r="N88" s="67" t="s">
        <v>88</v>
      </c>
      <c r="O88" s="67" t="s">
        <v>89</v>
      </c>
    </row>
    <row r="89" spans="7:15">
      <c r="G89" s="46" t="s">
        <v>86</v>
      </c>
      <c r="H89" s="46">
        <v>-72.994812201701507</v>
      </c>
      <c r="I89" s="46">
        <v>50.875056427188198</v>
      </c>
      <c r="J89" s="46">
        <v>-1.43478587205443</v>
      </c>
      <c r="K89" s="46">
        <v>0.16849552748577501</v>
      </c>
      <c r="L89" s="46">
        <v>-179.87933954808801</v>
      </c>
      <c r="M89" s="46">
        <v>33.8897151446848</v>
      </c>
      <c r="N89" s="46">
        <v>-179.87933954808801</v>
      </c>
      <c r="O89" s="46">
        <v>33.8897151446848</v>
      </c>
    </row>
    <row r="90" spans="7:15" ht="13.9" thickBot="1">
      <c r="G90" s="66" t="s">
        <v>47</v>
      </c>
      <c r="H90" s="66">
        <v>10.832537870927601</v>
      </c>
      <c r="I90" s="66">
        <v>1.3350090548117599</v>
      </c>
      <c r="J90" s="66">
        <v>8.1142055418155792</v>
      </c>
      <c r="K90" s="71">
        <v>2.0015483808984299E-7</v>
      </c>
      <c r="L90" s="66">
        <v>8.0277879237521894</v>
      </c>
      <c r="M90" s="66">
        <v>13.637287818102999</v>
      </c>
      <c r="N90" s="66">
        <v>8.0277879237521894</v>
      </c>
      <c r="O90" s="66">
        <v>13.637287818102999</v>
      </c>
    </row>
    <row r="93" spans="7:15">
      <c r="G93" s="48" t="s">
        <v>45</v>
      </c>
      <c r="H93" s="48" t="s">
        <v>47</v>
      </c>
    </row>
    <row r="94" spans="7:15">
      <c r="G94" s="46" t="s">
        <v>66</v>
      </c>
    </row>
    <row r="95" spans="7:15" ht="13.9" thickBot="1"/>
    <row r="96" spans="7:15">
      <c r="G96" s="64" t="s">
        <v>67</v>
      </c>
      <c r="H96" s="64"/>
    </row>
    <row r="97" spans="7:15">
      <c r="G97" s="46" t="s">
        <v>68</v>
      </c>
      <c r="H97" s="46">
        <v>0.92280883558166604</v>
      </c>
    </row>
    <row r="98" spans="7:15">
      <c r="G98" s="46" t="s">
        <v>69</v>
      </c>
      <c r="H98" s="46">
        <v>0.85157614702758999</v>
      </c>
    </row>
    <row r="99" spans="7:15">
      <c r="G99" s="46" t="s">
        <v>70</v>
      </c>
      <c r="H99" s="65">
        <v>0.83411451726612995</v>
      </c>
    </row>
    <row r="100" spans="7:15">
      <c r="G100" s="46" t="s">
        <v>71</v>
      </c>
      <c r="H100" s="46">
        <v>17.729707070417899</v>
      </c>
    </row>
    <row r="101" spans="7:15" ht="13.9" thickBot="1">
      <c r="G101" s="66" t="s">
        <v>72</v>
      </c>
      <c r="H101" s="66">
        <v>20</v>
      </c>
    </row>
    <row r="103" spans="7:15" ht="13.9" thickBot="1">
      <c r="G103" s="46" t="s">
        <v>73</v>
      </c>
    </row>
    <row r="104" spans="7:15">
      <c r="G104" s="67"/>
      <c r="H104" s="67" t="s">
        <v>74</v>
      </c>
      <c r="I104" s="67" t="s">
        <v>75</v>
      </c>
      <c r="J104" s="67" t="s">
        <v>76</v>
      </c>
      <c r="K104" s="67" t="s">
        <v>77</v>
      </c>
      <c r="L104" s="67" t="s">
        <v>78</v>
      </c>
    </row>
    <row r="105" spans="7:15">
      <c r="G105" s="46" t="s">
        <v>79</v>
      </c>
      <c r="H105" s="46">
        <v>2</v>
      </c>
      <c r="I105" s="46">
        <v>30659.977282351902</v>
      </c>
      <c r="J105" s="46">
        <v>15329.988641176</v>
      </c>
      <c r="K105" s="46">
        <v>48.768423031573199</v>
      </c>
      <c r="L105" s="46">
        <v>9.0736382675478701E-8</v>
      </c>
    </row>
    <row r="106" spans="7:15">
      <c r="G106" s="46" t="s">
        <v>80</v>
      </c>
      <c r="H106" s="46">
        <v>17</v>
      </c>
      <c r="I106" s="46">
        <v>5343.8227176480495</v>
      </c>
      <c r="J106" s="46">
        <v>314.34251280282598</v>
      </c>
    </row>
    <row r="107" spans="7:15" ht="13.9" thickBot="1">
      <c r="G107" s="66" t="s">
        <v>81</v>
      </c>
      <c r="H107" s="66">
        <v>19</v>
      </c>
      <c r="I107" s="66">
        <v>36003.800000000003</v>
      </c>
      <c r="J107" s="66"/>
      <c r="K107" s="66"/>
      <c r="L107" s="66"/>
    </row>
    <row r="108" spans="7:15" ht="13.9" thickBot="1"/>
    <row r="109" spans="7:15">
      <c r="G109" s="67"/>
      <c r="H109" s="67" t="s">
        <v>82</v>
      </c>
      <c r="I109" s="67" t="s">
        <v>71</v>
      </c>
      <c r="J109" s="67" t="s">
        <v>83</v>
      </c>
      <c r="K109" s="67" t="s">
        <v>84</v>
      </c>
      <c r="L109" s="67" t="s">
        <v>85</v>
      </c>
      <c r="M109" s="67" t="s">
        <v>87</v>
      </c>
      <c r="N109" s="67" t="s">
        <v>88</v>
      </c>
      <c r="O109" s="67" t="s">
        <v>89</v>
      </c>
    </row>
    <row r="110" spans="7:15">
      <c r="G110" s="46" t="s">
        <v>86</v>
      </c>
      <c r="H110" s="46">
        <v>-181.986942068339</v>
      </c>
      <c r="I110" s="46">
        <v>58.818796281339203</v>
      </c>
      <c r="J110" s="46">
        <v>-3.0940269705260302</v>
      </c>
      <c r="K110" s="46">
        <v>6.5883135847059496E-3</v>
      </c>
      <c r="L110" s="46">
        <v>-306.08375473211299</v>
      </c>
      <c r="M110" s="46">
        <v>-57.890129404565599</v>
      </c>
      <c r="N110" s="46">
        <v>-306.08375473211299</v>
      </c>
      <c r="O110" s="46">
        <v>-57.890129404565599</v>
      </c>
    </row>
    <row r="111" spans="7:15">
      <c r="G111" s="46" t="s">
        <v>45</v>
      </c>
      <c r="H111" s="46">
        <v>3.9530441778857801</v>
      </c>
      <c r="I111" s="46">
        <v>1.4348309032606299</v>
      </c>
      <c r="J111" s="46">
        <v>2.75505926789182</v>
      </c>
      <c r="K111" s="65">
        <v>1.35237804685861E-2</v>
      </c>
      <c r="L111" s="46">
        <v>0.92581558662986296</v>
      </c>
      <c r="M111" s="46">
        <v>6.9802727691416999</v>
      </c>
      <c r="N111" s="46">
        <v>0.92581558662986296</v>
      </c>
      <c r="O111" s="46">
        <v>6.9802727691416999</v>
      </c>
    </row>
    <row r="112" spans="7:15" ht="13.9" thickBot="1">
      <c r="G112" s="66" t="s">
        <v>47</v>
      </c>
      <c r="H112" s="66">
        <v>10.256684579191599</v>
      </c>
      <c r="I112" s="66">
        <v>1.1611564956598499</v>
      </c>
      <c r="J112" s="66">
        <v>8.8331629866678707</v>
      </c>
      <c r="K112" s="71">
        <v>9.2358828850920694E-8</v>
      </c>
      <c r="L112" s="66">
        <v>7.80685851634607</v>
      </c>
      <c r="M112" s="66">
        <v>12.706510642037101</v>
      </c>
      <c r="N112" s="66">
        <v>7.80685851634607</v>
      </c>
      <c r="O112" s="66">
        <v>12.706510642037101</v>
      </c>
    </row>
    <row r="115" spans="7:12">
      <c r="G115" s="48" t="s">
        <v>46</v>
      </c>
      <c r="H115" s="48" t="s">
        <v>47</v>
      </c>
    </row>
    <row r="116" spans="7:12">
      <c r="G116" s="46" t="s">
        <v>66</v>
      </c>
    </row>
    <row r="117" spans="7:12" ht="13.9" thickBot="1"/>
    <row r="118" spans="7:12">
      <c r="G118" s="64" t="s">
        <v>67</v>
      </c>
      <c r="H118" s="64"/>
    </row>
    <row r="119" spans="7:12">
      <c r="G119" s="46" t="s">
        <v>68</v>
      </c>
      <c r="H119" s="46">
        <v>0.89199473420047304</v>
      </c>
    </row>
    <row r="120" spans="7:12">
      <c r="G120" s="46" t="s">
        <v>69</v>
      </c>
      <c r="H120" s="46">
        <v>0.79565460584137204</v>
      </c>
    </row>
    <row r="121" spans="7:12">
      <c r="G121" s="46" t="s">
        <v>70</v>
      </c>
      <c r="H121" s="65">
        <v>0.77161397123447495</v>
      </c>
    </row>
    <row r="122" spans="7:12">
      <c r="G122" s="46" t="s">
        <v>71</v>
      </c>
      <c r="H122" s="46">
        <v>20.803295415147701</v>
      </c>
    </row>
    <row r="123" spans="7:12" ht="13.9" thickBot="1">
      <c r="G123" s="66" t="s">
        <v>72</v>
      </c>
      <c r="H123" s="66">
        <v>20</v>
      </c>
    </row>
    <row r="125" spans="7:12" ht="13.9" thickBot="1">
      <c r="G125" s="46" t="s">
        <v>73</v>
      </c>
    </row>
    <row r="126" spans="7:12">
      <c r="G126" s="67"/>
      <c r="H126" s="67" t="s">
        <v>74</v>
      </c>
      <c r="I126" s="67" t="s">
        <v>75</v>
      </c>
      <c r="J126" s="67" t="s">
        <v>76</v>
      </c>
      <c r="K126" s="67" t="s">
        <v>77</v>
      </c>
      <c r="L126" s="67" t="s">
        <v>78</v>
      </c>
    </row>
    <row r="127" spans="7:12">
      <c r="G127" s="46" t="s">
        <v>79</v>
      </c>
      <c r="H127" s="46">
        <v>2</v>
      </c>
      <c r="I127" s="46">
        <v>28646.589297791601</v>
      </c>
      <c r="J127" s="46">
        <v>14323.2946488958</v>
      </c>
      <c r="K127" s="46">
        <v>33.096239714616203</v>
      </c>
      <c r="L127" s="46">
        <v>1.37436236385358E-6</v>
      </c>
    </row>
    <row r="128" spans="7:12">
      <c r="G128" s="46" t="s">
        <v>80</v>
      </c>
      <c r="H128" s="46">
        <v>17</v>
      </c>
      <c r="I128" s="46">
        <v>7357.2107022083901</v>
      </c>
      <c r="J128" s="46">
        <v>432.77710012990502</v>
      </c>
    </row>
    <row r="129" spans="7:15" ht="13.9" thickBot="1">
      <c r="G129" s="66" t="s">
        <v>81</v>
      </c>
      <c r="H129" s="66">
        <v>19</v>
      </c>
      <c r="I129" s="66">
        <v>36003.800000000003</v>
      </c>
      <c r="J129" s="66"/>
      <c r="K129" s="66"/>
      <c r="L129" s="66"/>
    </row>
    <row r="130" spans="7:15" ht="13.9" thickBot="1"/>
    <row r="131" spans="7:15">
      <c r="G131" s="67"/>
      <c r="H131" s="67" t="s">
        <v>82</v>
      </c>
      <c r="I131" s="67" t="s">
        <v>71</v>
      </c>
      <c r="J131" s="67" t="s">
        <v>83</v>
      </c>
      <c r="K131" s="67" t="s">
        <v>84</v>
      </c>
      <c r="L131" s="67" t="s">
        <v>85</v>
      </c>
      <c r="M131" s="67" t="s">
        <v>87</v>
      </c>
      <c r="N131" s="67" t="s">
        <v>88</v>
      </c>
      <c r="O131" s="67" t="s">
        <v>89</v>
      </c>
    </row>
    <row r="132" spans="7:15">
      <c r="G132" s="46" t="s">
        <v>86</v>
      </c>
      <c r="H132" s="46">
        <v>193.598329814089</v>
      </c>
      <c r="I132" s="46">
        <v>291.82667166726202</v>
      </c>
      <c r="J132" s="46">
        <v>0.66340176759041403</v>
      </c>
      <c r="K132" s="46">
        <v>0.51596934035839004</v>
      </c>
      <c r="L132" s="46">
        <v>-422.10212809674903</v>
      </c>
      <c r="M132" s="46">
        <v>809.29878772492702</v>
      </c>
      <c r="N132" s="46">
        <v>-422.10212809674903</v>
      </c>
      <c r="O132" s="46">
        <v>809.29878772492702</v>
      </c>
    </row>
    <row r="133" spans="7:15">
      <c r="G133" s="46" t="s">
        <v>46</v>
      </c>
      <c r="H133" s="46">
        <v>-3.7752790258307298</v>
      </c>
      <c r="I133" s="46">
        <v>4.0688355716226701</v>
      </c>
      <c r="J133" s="46">
        <v>-0.92785244313157</v>
      </c>
      <c r="K133" s="65">
        <v>0.36647134747111698</v>
      </c>
      <c r="L133" s="46">
        <v>-12.3597716984826</v>
      </c>
      <c r="M133" s="46">
        <v>4.8092136468211004</v>
      </c>
      <c r="N133" s="46">
        <v>-12.3597716984826</v>
      </c>
      <c r="O133" s="46">
        <v>4.8092136468211004</v>
      </c>
    </row>
    <row r="134" spans="7:15" ht="13.9" thickBot="1">
      <c r="G134" s="66" t="s">
        <v>47</v>
      </c>
      <c r="H134" s="66">
        <v>11.0299585628781</v>
      </c>
      <c r="I134" s="66">
        <v>1.3569819514013499</v>
      </c>
      <c r="J134" s="66">
        <v>8.1283015971490595</v>
      </c>
      <c r="K134" s="71">
        <v>2.9370465818816397E-7</v>
      </c>
      <c r="L134" s="66">
        <v>8.1669769029728307</v>
      </c>
      <c r="M134" s="66">
        <v>13.892940222783301</v>
      </c>
      <c r="N134" s="66">
        <v>8.1669769029728307</v>
      </c>
      <c r="O134" s="66">
        <v>13.892940222783301</v>
      </c>
    </row>
    <row r="137" spans="7:15">
      <c r="G137" s="48" t="s">
        <v>45</v>
      </c>
      <c r="H137" s="48" t="s">
        <v>46</v>
      </c>
      <c r="I137" s="48" t="s">
        <v>47</v>
      </c>
    </row>
    <row r="138" spans="7:15">
      <c r="G138" s="46" t="s">
        <v>66</v>
      </c>
    </row>
    <row r="139" spans="7:15" ht="13.9" thickBot="1"/>
    <row r="140" spans="7:15">
      <c r="G140" s="64" t="s">
        <v>67</v>
      </c>
      <c r="H140" s="64"/>
    </row>
    <row r="141" spans="7:15">
      <c r="G141" s="46" t="s">
        <v>68</v>
      </c>
      <c r="H141" s="46">
        <v>0.92486372732118105</v>
      </c>
    </row>
    <row r="142" spans="7:15">
      <c r="G142" s="46" t="s">
        <v>69</v>
      </c>
      <c r="H142" s="46">
        <v>0.85537291411442795</v>
      </c>
    </row>
    <row r="143" spans="7:15">
      <c r="G143" s="46" t="s">
        <v>70</v>
      </c>
      <c r="H143" s="65">
        <v>0.82825533551088304</v>
      </c>
    </row>
    <row r="144" spans="7:15">
      <c r="G144" s="46" t="s">
        <v>71</v>
      </c>
      <c r="H144" s="46">
        <v>18.040102332731799</v>
      </c>
    </row>
    <row r="145" spans="7:15" ht="13.9" thickBot="1">
      <c r="G145" s="66" t="s">
        <v>72</v>
      </c>
      <c r="H145" s="66">
        <v>20</v>
      </c>
    </row>
    <row r="147" spans="7:15" ht="13.9" thickBot="1">
      <c r="G147" s="46" t="s">
        <v>73</v>
      </c>
    </row>
    <row r="148" spans="7:15">
      <c r="G148" s="67"/>
      <c r="H148" s="67" t="s">
        <v>74</v>
      </c>
      <c r="I148" s="67" t="s">
        <v>75</v>
      </c>
      <c r="J148" s="67" t="s">
        <v>76</v>
      </c>
      <c r="K148" s="67" t="s">
        <v>77</v>
      </c>
      <c r="L148" s="67" t="s">
        <v>78</v>
      </c>
    </row>
    <row r="149" spans="7:15">
      <c r="G149" s="46" t="s">
        <v>79</v>
      </c>
      <c r="H149" s="46">
        <v>3</v>
      </c>
      <c r="I149" s="46">
        <v>30796.675325192999</v>
      </c>
      <c r="J149" s="46">
        <v>10265.558441731</v>
      </c>
      <c r="K149" s="46">
        <v>31.543115505254299</v>
      </c>
      <c r="L149" s="46">
        <v>5.9655351924847699E-7</v>
      </c>
    </row>
    <row r="150" spans="7:15">
      <c r="G150" s="46" t="s">
        <v>80</v>
      </c>
      <c r="H150" s="46">
        <v>16</v>
      </c>
      <c r="I150" s="46">
        <v>5207.1246748069798</v>
      </c>
      <c r="J150" s="46">
        <v>325.44529217543601</v>
      </c>
    </row>
    <row r="151" spans="7:15" ht="13.9" thickBot="1">
      <c r="G151" s="66" t="s">
        <v>81</v>
      </c>
      <c r="H151" s="66">
        <v>19</v>
      </c>
      <c r="I151" s="66">
        <v>36003.800000000003</v>
      </c>
      <c r="J151" s="66"/>
      <c r="K151" s="66"/>
      <c r="L151" s="66"/>
    </row>
    <row r="152" spans="7:15" ht="13.9" thickBot="1"/>
    <row r="153" spans="7:15">
      <c r="G153" s="67"/>
      <c r="H153" s="67" t="s">
        <v>82</v>
      </c>
      <c r="I153" s="67" t="s">
        <v>71</v>
      </c>
      <c r="J153" s="67" t="s">
        <v>83</v>
      </c>
      <c r="K153" s="67" t="s">
        <v>84</v>
      </c>
      <c r="L153" s="67" t="s">
        <v>85</v>
      </c>
      <c r="M153" s="67" t="s">
        <v>87</v>
      </c>
      <c r="N153" s="67" t="s">
        <v>88</v>
      </c>
      <c r="O153" s="67" t="s">
        <v>89</v>
      </c>
    </row>
    <row r="154" spans="7:15">
      <c r="G154" s="46" t="s">
        <v>86</v>
      </c>
      <c r="H154" s="46">
        <v>-14.2329213292756</v>
      </c>
      <c r="I154" s="46">
        <v>265.66860363028502</v>
      </c>
      <c r="J154" s="46">
        <v>-5.3573968225024797E-2</v>
      </c>
      <c r="K154" s="46">
        <v>0.95793782306499897</v>
      </c>
      <c r="L154" s="46">
        <v>-577.42520200182798</v>
      </c>
      <c r="M154" s="46">
        <v>548.95935934327701</v>
      </c>
      <c r="N154" s="46">
        <v>-577.42520200182798</v>
      </c>
      <c r="O154" s="46">
        <v>548.95935934327701</v>
      </c>
    </row>
    <row r="155" spans="7:15">
      <c r="G155" s="46" t="s">
        <v>45</v>
      </c>
      <c r="H155" s="46">
        <v>3.80081244854127</v>
      </c>
      <c r="I155" s="46">
        <v>1.47872535010633</v>
      </c>
      <c r="J155" s="46">
        <v>2.57033021599851</v>
      </c>
      <c r="K155" s="65">
        <v>2.0540531158755499E-2</v>
      </c>
      <c r="L155" s="46">
        <v>0.66605474275806298</v>
      </c>
      <c r="M155" s="46">
        <v>6.9355701543244797</v>
      </c>
      <c r="N155" s="46">
        <v>0.66605474275806298</v>
      </c>
      <c r="O155" s="46">
        <v>6.9355701543244797</v>
      </c>
    </row>
    <row r="156" spans="7:15">
      <c r="G156" s="46" t="s">
        <v>46</v>
      </c>
      <c r="H156" s="46">
        <v>-2.3161597565854501</v>
      </c>
      <c r="I156" s="46">
        <v>3.5737680337137201</v>
      </c>
      <c r="J156" s="46">
        <v>-0.64810019417477005</v>
      </c>
      <c r="K156" s="65">
        <v>0.52611232088134097</v>
      </c>
      <c r="L156" s="46">
        <v>-9.8922095494427005</v>
      </c>
      <c r="M156" s="46">
        <v>5.2598900362718002</v>
      </c>
      <c r="N156" s="46">
        <v>-9.8922095494427005</v>
      </c>
      <c r="O156" s="46">
        <v>5.2598900362718002</v>
      </c>
    </row>
    <row r="157" spans="7:15" ht="13.9" thickBot="1">
      <c r="G157" s="66" t="s">
        <v>47</v>
      </c>
      <c r="H157" s="66">
        <v>10.3999796471848</v>
      </c>
      <c r="I157" s="66">
        <v>1.2019949945160699</v>
      </c>
      <c r="J157" s="66">
        <v>8.65226535437602</v>
      </c>
      <c r="K157" s="71">
        <v>1.9771718697923701E-7</v>
      </c>
      <c r="L157" s="66">
        <v>7.8518640886727598</v>
      </c>
      <c r="M157" s="66">
        <v>12.9480952056968</v>
      </c>
      <c r="N157" s="66">
        <v>7.8518640886727598</v>
      </c>
      <c r="O157" s="66">
        <v>12.9480952056968</v>
      </c>
    </row>
  </sheetData>
  <phoneticPr fontId="2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1"/>
  <sheetViews>
    <sheetView topLeftCell="A13" workbookViewId="0">
      <selection activeCell="G36" sqref="G36"/>
    </sheetView>
  </sheetViews>
  <sheetFormatPr defaultColWidth="7.3984375" defaultRowHeight="15"/>
  <cols>
    <col min="1" max="1" width="2.1328125" style="21" customWidth="1"/>
    <col min="2" max="2" width="31.1328125" style="21" customWidth="1"/>
    <col min="3" max="4" width="11.86328125" style="21" customWidth="1"/>
    <col min="5" max="5" width="5.73046875" style="21" customWidth="1"/>
    <col min="6" max="6" width="10.1328125" style="21" customWidth="1"/>
    <col min="7" max="7" width="8" style="22" customWidth="1"/>
    <col min="8" max="9" width="12.46484375" style="22" customWidth="1"/>
    <col min="10" max="10" width="11.265625" style="21" customWidth="1"/>
    <col min="11" max="11" width="23" style="21" customWidth="1"/>
    <col min="12" max="13" width="18.3984375" style="21" customWidth="1"/>
    <col min="14" max="14" width="10.46484375" style="21" customWidth="1"/>
    <col min="15" max="16384" width="7.3984375" style="21"/>
  </cols>
  <sheetData>
    <row r="1" spans="2:13" ht="15.75">
      <c r="H1" s="98" t="s">
        <v>90</v>
      </c>
      <c r="I1" s="98"/>
      <c r="K1"/>
      <c r="L1"/>
      <c r="M1"/>
    </row>
    <row r="2" spans="2:13" ht="15.75">
      <c r="B2" s="24" t="s">
        <v>91</v>
      </c>
      <c r="C2" s="25"/>
      <c r="D2" s="26">
        <v>3000</v>
      </c>
      <c r="G2" s="23" t="s">
        <v>160</v>
      </c>
      <c r="H2" s="23" t="s">
        <v>92</v>
      </c>
      <c r="I2" s="23" t="s">
        <v>93</v>
      </c>
      <c r="K2"/>
      <c r="L2"/>
      <c r="M2"/>
    </row>
    <row r="3" spans="2:13">
      <c r="G3" s="27">
        <v>0</v>
      </c>
      <c r="H3" s="27">
        <v>50</v>
      </c>
      <c r="I3" s="27">
        <v>35</v>
      </c>
      <c r="K3"/>
      <c r="L3"/>
      <c r="M3"/>
    </row>
    <row r="4" spans="2:13" ht="15.75">
      <c r="B4" s="28"/>
      <c r="C4" s="29" t="s">
        <v>94</v>
      </c>
      <c r="D4" s="29" t="s">
        <v>95</v>
      </c>
      <c r="G4" s="27">
        <v>3000</v>
      </c>
      <c r="H4" s="27">
        <v>43</v>
      </c>
      <c r="I4" s="27">
        <v>27</v>
      </c>
      <c r="K4"/>
      <c r="L4"/>
      <c r="M4"/>
    </row>
    <row r="5" spans="2:13" ht="15.75">
      <c r="B5" s="30" t="s">
        <v>96</v>
      </c>
      <c r="C5" s="31">
        <v>30000</v>
      </c>
      <c r="D5" s="31">
        <f>E5*10</f>
        <v>50000</v>
      </c>
      <c r="E5" s="21">
        <v>5000</v>
      </c>
      <c r="G5" s="27">
        <v>4000</v>
      </c>
      <c r="H5" s="27">
        <v>30</v>
      </c>
      <c r="I5" s="27">
        <v>20</v>
      </c>
      <c r="K5"/>
      <c r="L5"/>
      <c r="M5"/>
    </row>
    <row r="6" spans="2:13" ht="15.75">
      <c r="B6" s="30" t="s">
        <v>90</v>
      </c>
      <c r="C6" s="32">
        <f>INDEX(H3:H5,MATCH(D2,G3:G5,1))</f>
        <v>43</v>
      </c>
      <c r="D6" s="32">
        <f>INDEX(I3:I5,MATCH(D2,G3:G5,1))</f>
        <v>27</v>
      </c>
      <c r="G6" s="21"/>
      <c r="H6" s="21"/>
      <c r="I6" s="21"/>
    </row>
    <row r="7" spans="2:13" ht="15.75">
      <c r="B7" s="30" t="s">
        <v>97</v>
      </c>
      <c r="C7" s="33">
        <f>C5+C6*$D$2</f>
        <v>159000</v>
      </c>
      <c r="D7" s="33">
        <f>D5+D6*$D$2</f>
        <v>131000</v>
      </c>
      <c r="G7" s="21"/>
      <c r="H7" s="21"/>
      <c r="I7" s="21"/>
    </row>
    <row r="8" spans="2:13" ht="15.75">
      <c r="G8" s="34" t="s">
        <v>98</v>
      </c>
    </row>
    <row r="9" spans="2:13" ht="15.75">
      <c r="B9" s="24" t="s">
        <v>99</v>
      </c>
      <c r="C9" s="35">
        <f>(C5-D5)/(I3-H3)</f>
        <v>1333.3333333333333</v>
      </c>
      <c r="E9" s="36"/>
      <c r="F9" s="36"/>
      <c r="H9" s="34" t="s">
        <v>100</v>
      </c>
      <c r="I9" s="34" t="s">
        <v>101</v>
      </c>
    </row>
    <row r="10" spans="2:13" ht="15.75">
      <c r="B10" s="24" t="s">
        <v>102</v>
      </c>
      <c r="C10" s="33">
        <f>C5+H3*C9</f>
        <v>96666.666666666657</v>
      </c>
      <c r="H10" s="37">
        <f>C7</f>
        <v>159000</v>
      </c>
      <c r="I10" s="37">
        <f>D7</f>
        <v>131000</v>
      </c>
    </row>
    <row r="11" spans="2:13">
      <c r="G11" s="38">
        <v>0</v>
      </c>
      <c r="H11" s="39">
        <v>30000</v>
      </c>
      <c r="I11" s="39">
        <v>50000</v>
      </c>
    </row>
    <row r="12" spans="2:13" ht="15.75">
      <c r="B12" s="40" t="s">
        <v>103</v>
      </c>
      <c r="G12" s="38">
        <f>G4-0.001</f>
        <v>2999.9989999999998</v>
      </c>
      <c r="H12" s="39">
        <v>179999.95</v>
      </c>
      <c r="I12" s="39">
        <v>154999.965</v>
      </c>
    </row>
    <row r="13" spans="2:13">
      <c r="B13" s="41" t="str">
        <f>"工厂B固定成本="&amp;D5</f>
        <v>工厂B固定成本=50000</v>
      </c>
      <c r="G13" s="38">
        <f>G4</f>
        <v>3000</v>
      </c>
      <c r="H13" s="39">
        <v>159000</v>
      </c>
      <c r="I13" s="39">
        <v>131000</v>
      </c>
    </row>
    <row r="14" spans="2:13">
      <c r="G14" s="38">
        <f>G5-0.001</f>
        <v>3999.9989999999998</v>
      </c>
      <c r="H14" s="39">
        <v>201999.95699999999</v>
      </c>
      <c r="I14" s="39">
        <v>157999.973</v>
      </c>
    </row>
    <row r="15" spans="2:13">
      <c r="G15" s="38">
        <f>G5</f>
        <v>4000</v>
      </c>
      <c r="H15" s="39">
        <v>150000</v>
      </c>
      <c r="I15" s="39">
        <v>130000</v>
      </c>
    </row>
    <row r="16" spans="2:13">
      <c r="G16" s="38">
        <v>6000</v>
      </c>
      <c r="H16" s="39">
        <v>210000</v>
      </c>
      <c r="I16" s="39">
        <v>170000</v>
      </c>
    </row>
    <row r="17" spans="7:9">
      <c r="H17" s="21"/>
      <c r="I17" s="21"/>
    </row>
    <row r="18" spans="7:9">
      <c r="G18" s="21"/>
      <c r="H18" s="21"/>
      <c r="I18" s="21"/>
    </row>
    <row r="20" spans="7:9" ht="15.75">
      <c r="G20" s="42" t="s">
        <v>104</v>
      </c>
    </row>
    <row r="21" spans="7:9">
      <c r="G21" s="21"/>
      <c r="H21" s="43">
        <f>C9</f>
        <v>1333.3333333333333</v>
      </c>
      <c r="I21" s="43">
        <f>C10</f>
        <v>96666.666666666657</v>
      </c>
    </row>
    <row r="22" spans="7:9">
      <c r="G22" s="38">
        <v>40000</v>
      </c>
      <c r="H22" s="39">
        <v>666.66666666666697</v>
      </c>
      <c r="I22" s="39">
        <v>63333.333333333299</v>
      </c>
    </row>
    <row r="23" spans="7:9">
      <c r="G23" s="38">
        <v>45000</v>
      </c>
      <c r="H23" s="39">
        <v>1000</v>
      </c>
      <c r="I23" s="39">
        <v>80000</v>
      </c>
    </row>
    <row r="24" spans="7:9">
      <c r="G24" s="38">
        <v>50000</v>
      </c>
      <c r="H24" s="39">
        <v>1333.3333333333301</v>
      </c>
      <c r="I24" s="39">
        <v>96666.666666666701</v>
      </c>
    </row>
    <row r="25" spans="7:9">
      <c r="G25" s="38">
        <v>55000</v>
      </c>
      <c r="H25" s="39">
        <v>1666.6666666666699</v>
      </c>
      <c r="I25" s="39">
        <v>113333.33333333299</v>
      </c>
    </row>
    <row r="26" spans="7:9">
      <c r="G26" s="38">
        <v>60000</v>
      </c>
      <c r="H26" s="39">
        <v>2000</v>
      </c>
      <c r="I26" s="39">
        <v>130000</v>
      </c>
    </row>
    <row r="28" spans="7:9" ht="15.75">
      <c r="G28" s="40" t="s">
        <v>105</v>
      </c>
      <c r="H28" s="21"/>
    </row>
    <row r="29" spans="7:9">
      <c r="G29" s="44">
        <f>$C$9</f>
        <v>1333.3333333333333</v>
      </c>
      <c r="H29" s="45">
        <v>240000</v>
      </c>
    </row>
    <row r="30" spans="7:9">
      <c r="G30" s="44">
        <f>$C$9</f>
        <v>1333.3333333333333</v>
      </c>
      <c r="H30" s="45">
        <f>C10</f>
        <v>96666.666666666657</v>
      </c>
    </row>
    <row r="31" spans="7:9">
      <c r="G31" s="44">
        <f>$C$9</f>
        <v>1333.3333333333333</v>
      </c>
      <c r="H31" s="45">
        <v>30000</v>
      </c>
    </row>
  </sheetData>
  <mergeCells count="1">
    <mergeCell ref="H1:I1"/>
  </mergeCells>
  <phoneticPr fontId="24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</xdr:col>
                    <xdr:colOff>2119313</xdr:colOff>
                    <xdr:row>15</xdr:row>
                    <xdr:rowOff>104775</xdr:rowOff>
                  </from>
                  <to>
                    <xdr:col>2</xdr:col>
                    <xdr:colOff>185738</xdr:colOff>
                    <xdr:row>17</xdr:row>
                    <xdr:rowOff>119063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35"/>
  <sheetViews>
    <sheetView tabSelected="1" topLeftCell="A13" workbookViewId="0">
      <selection activeCell="J27" sqref="J27"/>
    </sheetView>
  </sheetViews>
  <sheetFormatPr defaultColWidth="9" defaultRowHeight="13.9"/>
  <cols>
    <col min="2" max="2" width="17.265625" customWidth="1"/>
    <col min="4" max="4" width="11.86328125" customWidth="1"/>
    <col min="5" max="5" width="11" customWidth="1"/>
    <col min="6" max="6" width="7.1328125" customWidth="1"/>
    <col min="8" max="8" width="11" customWidth="1"/>
  </cols>
  <sheetData>
    <row r="2" spans="2:22">
      <c r="B2" s="14" t="s">
        <v>106</v>
      </c>
      <c r="C2" s="15">
        <v>250</v>
      </c>
    </row>
    <row r="3" spans="2:22">
      <c r="B3" s="14" t="s">
        <v>107</v>
      </c>
      <c r="C3" s="15">
        <v>300</v>
      </c>
    </row>
    <row r="4" spans="2:22">
      <c r="B4" s="14" t="s">
        <v>108</v>
      </c>
      <c r="C4" s="16">
        <v>100</v>
      </c>
    </row>
    <row r="5" spans="2:22">
      <c r="B5" s="14" t="s">
        <v>109</v>
      </c>
      <c r="C5" s="16">
        <v>100</v>
      </c>
    </row>
    <row r="6" spans="2:22">
      <c r="B6" s="14" t="s">
        <v>110</v>
      </c>
      <c r="C6" s="16">
        <v>0.8</v>
      </c>
    </row>
    <row r="7" spans="2:22">
      <c r="B7" s="14" t="s">
        <v>111</v>
      </c>
      <c r="C7" s="16">
        <v>10</v>
      </c>
    </row>
    <row r="8" spans="2:22">
      <c r="B8" s="14" t="s">
        <v>112</v>
      </c>
      <c r="C8" s="16">
        <v>3.5</v>
      </c>
    </row>
    <row r="9" spans="2:22">
      <c r="Q9">
        <v>30</v>
      </c>
      <c r="R9">
        <v>40</v>
      </c>
      <c r="S9">
        <v>50</v>
      </c>
      <c r="T9">
        <v>60</v>
      </c>
      <c r="U9">
        <v>70</v>
      </c>
      <c r="V9">
        <v>80</v>
      </c>
    </row>
    <row r="10" spans="2:22">
      <c r="B10" s="14" t="s">
        <v>113</v>
      </c>
      <c r="C10" s="17">
        <f>MIN(Q18:Q33)</f>
        <v>348841.8</v>
      </c>
      <c r="P10">
        <f>1-COUNTIF(I16:I235,"&gt;0")/220</f>
        <v>1</v>
      </c>
      <c r="Q10">
        <v>0.63181818181818195</v>
      </c>
      <c r="R10">
        <v>0.62727272727272698</v>
      </c>
      <c r="S10">
        <v>0.7</v>
      </c>
      <c r="T10">
        <v>0.736363636363636</v>
      </c>
      <c r="U10">
        <v>0.70909090909090899</v>
      </c>
      <c r="V10">
        <v>0.75</v>
      </c>
    </row>
    <row r="11" spans="2:22">
      <c r="B11" s="14" t="s">
        <v>114</v>
      </c>
      <c r="C11" s="17">
        <f>INDEX(P18:P33,MATCH(C10,Q18:Q33,0))</f>
        <v>320</v>
      </c>
    </row>
    <row r="15" spans="2:22">
      <c r="D15" s="18" t="s">
        <v>115</v>
      </c>
      <c r="E15" s="19" t="s">
        <v>108</v>
      </c>
      <c r="F15" s="19" t="s">
        <v>116</v>
      </c>
      <c r="G15" s="19" t="s">
        <v>91</v>
      </c>
      <c r="H15" s="19" t="s">
        <v>117</v>
      </c>
      <c r="I15" s="19" t="s">
        <v>118</v>
      </c>
      <c r="J15" s="19" t="s">
        <v>119</v>
      </c>
      <c r="K15" s="19" t="s">
        <v>120</v>
      </c>
      <c r="L15" s="19" t="s">
        <v>121</v>
      </c>
      <c r="M15" s="20" t="s">
        <v>122</v>
      </c>
      <c r="N15" s="19" t="s">
        <v>97</v>
      </c>
    </row>
    <row r="16" spans="2:22">
      <c r="D16" s="19">
        <v>1</v>
      </c>
      <c r="E16">
        <v>100</v>
      </c>
      <c r="F16">
        <f>$C$3</f>
        <v>300</v>
      </c>
      <c r="G16">
        <v>250</v>
      </c>
      <c r="H16">
        <f>MAX(E16+G16-F16,0)</f>
        <v>50</v>
      </c>
      <c r="I16">
        <f>MAX(0,F16-G16-E16)</f>
        <v>0</v>
      </c>
      <c r="J16">
        <v>0</v>
      </c>
      <c r="K16">
        <f>(E16+H16)/2*$C$6</f>
        <v>60</v>
      </c>
      <c r="L16">
        <f>I16*$C$7</f>
        <v>0</v>
      </c>
      <c r="M16">
        <f>G16*$C$8</f>
        <v>875</v>
      </c>
      <c r="N16">
        <f>SUM(K16:M16)</f>
        <v>935</v>
      </c>
    </row>
    <row r="17" spans="4:17">
      <c r="D17" s="19">
        <v>2</v>
      </c>
      <c r="E17">
        <f>H16</f>
        <v>50</v>
      </c>
      <c r="F17">
        <f t="shared" ref="F17:F80" si="0">$C$3</f>
        <v>300</v>
      </c>
      <c r="G17">
        <f>$C$2+J16*$C$2</f>
        <v>250</v>
      </c>
      <c r="H17">
        <f>MAX(E17+G17-F17,0)</f>
        <v>0</v>
      </c>
      <c r="I17">
        <f>MAX(0,F17-G17-E17)</f>
        <v>0</v>
      </c>
      <c r="J17">
        <f>IF(H16&lt;$C$5,1,0)</f>
        <v>1</v>
      </c>
      <c r="K17">
        <f>(E17+H17)/2*$C$6</f>
        <v>20</v>
      </c>
      <c r="L17">
        <f>I17*$C$7</f>
        <v>0</v>
      </c>
      <c r="M17">
        <f>G17*$C$8</f>
        <v>875</v>
      </c>
      <c r="N17">
        <f>SUM(K17:M17)</f>
        <v>895</v>
      </c>
      <c r="Q17">
        <f>SUM(N16:N235)</f>
        <v>266200</v>
      </c>
    </row>
    <row r="18" spans="4:17">
      <c r="D18" s="19">
        <v>3</v>
      </c>
      <c r="E18">
        <f t="shared" ref="E18:E81" si="1">H17</f>
        <v>0</v>
      </c>
      <c r="F18">
        <f t="shared" si="0"/>
        <v>300</v>
      </c>
      <c r="G18">
        <f t="shared" ref="G18:G81" si="2">$C$2+J17*$C$2</f>
        <v>500</v>
      </c>
      <c r="H18">
        <f t="shared" ref="H18:H81" si="3">MAX(E18+G18-F18,0)</f>
        <v>200</v>
      </c>
      <c r="I18">
        <f t="shared" ref="I18:I81" si="4">MAX(0,F18-G18-E18)</f>
        <v>0</v>
      </c>
      <c r="J18">
        <f t="shared" ref="J18:J81" si="5">IF(H17&lt;$C$5,1,0)</f>
        <v>1</v>
      </c>
      <c r="K18">
        <f t="shared" ref="K18:K81" si="6">(E18+H18)/2*$C$6</f>
        <v>80</v>
      </c>
      <c r="L18">
        <f t="shared" ref="L18:L81" si="7">I18*$C$7</f>
        <v>0</v>
      </c>
      <c r="M18">
        <f t="shared" ref="M18:M81" si="8">G18*$C$8</f>
        <v>1750</v>
      </c>
      <c r="N18">
        <f t="shared" ref="N18:N81" si="9">SUM(K18:M18)</f>
        <v>1830</v>
      </c>
      <c r="P18">
        <v>200</v>
      </c>
      <c r="Q18">
        <v>384981</v>
      </c>
    </row>
    <row r="19" spans="4:17">
      <c r="D19" s="19">
        <v>4</v>
      </c>
      <c r="E19">
        <f t="shared" si="1"/>
        <v>200</v>
      </c>
      <c r="F19">
        <f t="shared" si="0"/>
        <v>300</v>
      </c>
      <c r="G19">
        <f t="shared" si="2"/>
        <v>500</v>
      </c>
      <c r="H19">
        <f t="shared" si="3"/>
        <v>400</v>
      </c>
      <c r="I19">
        <f t="shared" si="4"/>
        <v>0</v>
      </c>
      <c r="J19">
        <f t="shared" si="5"/>
        <v>0</v>
      </c>
      <c r="K19">
        <f t="shared" si="6"/>
        <v>240</v>
      </c>
      <c r="L19">
        <f t="shared" si="7"/>
        <v>0</v>
      </c>
      <c r="M19">
        <f t="shared" si="8"/>
        <v>1750</v>
      </c>
      <c r="N19">
        <f t="shared" si="9"/>
        <v>1990</v>
      </c>
      <c r="P19">
        <v>210</v>
      </c>
      <c r="Q19">
        <v>375293</v>
      </c>
    </row>
    <row r="20" spans="4:17">
      <c r="D20" s="19">
        <v>5</v>
      </c>
      <c r="E20">
        <f t="shared" si="1"/>
        <v>400</v>
      </c>
      <c r="F20">
        <f t="shared" si="0"/>
        <v>300</v>
      </c>
      <c r="G20">
        <f t="shared" si="2"/>
        <v>250</v>
      </c>
      <c r="H20">
        <f t="shared" si="3"/>
        <v>350</v>
      </c>
      <c r="I20">
        <f t="shared" si="4"/>
        <v>0</v>
      </c>
      <c r="J20">
        <f t="shared" si="5"/>
        <v>0</v>
      </c>
      <c r="K20">
        <f t="shared" si="6"/>
        <v>300</v>
      </c>
      <c r="L20">
        <f t="shared" si="7"/>
        <v>0</v>
      </c>
      <c r="M20">
        <f t="shared" si="8"/>
        <v>875</v>
      </c>
      <c r="N20">
        <f t="shared" si="9"/>
        <v>1175</v>
      </c>
      <c r="P20">
        <v>220</v>
      </c>
      <c r="Q20">
        <v>369823</v>
      </c>
    </row>
    <row r="21" spans="4:17">
      <c r="D21" s="19">
        <v>6</v>
      </c>
      <c r="E21">
        <f t="shared" si="1"/>
        <v>350</v>
      </c>
      <c r="F21">
        <f t="shared" si="0"/>
        <v>300</v>
      </c>
      <c r="G21">
        <f t="shared" si="2"/>
        <v>250</v>
      </c>
      <c r="H21">
        <f t="shared" si="3"/>
        <v>300</v>
      </c>
      <c r="I21">
        <f t="shared" si="4"/>
        <v>0</v>
      </c>
      <c r="J21">
        <f t="shared" si="5"/>
        <v>0</v>
      </c>
      <c r="K21">
        <f t="shared" si="6"/>
        <v>260</v>
      </c>
      <c r="L21">
        <f t="shared" si="7"/>
        <v>0</v>
      </c>
      <c r="M21">
        <f t="shared" si="8"/>
        <v>875</v>
      </c>
      <c r="N21">
        <f t="shared" si="9"/>
        <v>1135</v>
      </c>
      <c r="P21">
        <v>230</v>
      </c>
      <c r="Q21">
        <v>365004</v>
      </c>
    </row>
    <row r="22" spans="4:17">
      <c r="D22" s="19">
        <v>7</v>
      </c>
      <c r="E22">
        <f t="shared" si="1"/>
        <v>300</v>
      </c>
      <c r="F22">
        <f t="shared" si="0"/>
        <v>300</v>
      </c>
      <c r="G22">
        <f t="shared" si="2"/>
        <v>250</v>
      </c>
      <c r="H22">
        <f t="shared" si="3"/>
        <v>250</v>
      </c>
      <c r="I22">
        <f t="shared" si="4"/>
        <v>0</v>
      </c>
      <c r="J22">
        <f t="shared" si="5"/>
        <v>0</v>
      </c>
      <c r="K22">
        <f t="shared" si="6"/>
        <v>220</v>
      </c>
      <c r="L22">
        <f t="shared" si="7"/>
        <v>0</v>
      </c>
      <c r="M22">
        <f t="shared" si="8"/>
        <v>875</v>
      </c>
      <c r="N22">
        <f t="shared" si="9"/>
        <v>1095</v>
      </c>
      <c r="P22">
        <v>240</v>
      </c>
      <c r="Q22">
        <v>364843.4</v>
      </c>
    </row>
    <row r="23" spans="4:17">
      <c r="D23" s="19">
        <v>8</v>
      </c>
      <c r="E23">
        <f t="shared" si="1"/>
        <v>250</v>
      </c>
      <c r="F23">
        <f t="shared" si="0"/>
        <v>300</v>
      </c>
      <c r="G23">
        <f t="shared" si="2"/>
        <v>250</v>
      </c>
      <c r="H23">
        <f t="shared" si="3"/>
        <v>200</v>
      </c>
      <c r="I23">
        <f t="shared" si="4"/>
        <v>0</v>
      </c>
      <c r="J23">
        <f t="shared" si="5"/>
        <v>0</v>
      </c>
      <c r="K23">
        <f t="shared" si="6"/>
        <v>180</v>
      </c>
      <c r="L23">
        <f t="shared" si="7"/>
        <v>0</v>
      </c>
      <c r="M23">
        <f t="shared" si="8"/>
        <v>875</v>
      </c>
      <c r="N23">
        <f t="shared" si="9"/>
        <v>1055</v>
      </c>
      <c r="P23">
        <v>250</v>
      </c>
      <c r="Q23">
        <v>366777.2</v>
      </c>
    </row>
    <row r="24" spans="4:17">
      <c r="D24" s="19">
        <v>9</v>
      </c>
      <c r="E24">
        <f t="shared" si="1"/>
        <v>200</v>
      </c>
      <c r="F24">
        <f t="shared" si="0"/>
        <v>300</v>
      </c>
      <c r="G24">
        <f t="shared" si="2"/>
        <v>250</v>
      </c>
      <c r="H24">
        <f t="shared" si="3"/>
        <v>150</v>
      </c>
      <c r="I24">
        <f t="shared" si="4"/>
        <v>0</v>
      </c>
      <c r="J24">
        <f t="shared" si="5"/>
        <v>0</v>
      </c>
      <c r="K24">
        <f t="shared" si="6"/>
        <v>140</v>
      </c>
      <c r="L24">
        <f t="shared" si="7"/>
        <v>0</v>
      </c>
      <c r="M24">
        <f t="shared" si="8"/>
        <v>875</v>
      </c>
      <c r="N24">
        <f t="shared" si="9"/>
        <v>1015</v>
      </c>
      <c r="P24">
        <v>260</v>
      </c>
      <c r="Q24">
        <v>370731.8</v>
      </c>
    </row>
    <row r="25" spans="4:17">
      <c r="D25" s="19">
        <v>10</v>
      </c>
      <c r="E25">
        <f t="shared" si="1"/>
        <v>150</v>
      </c>
      <c r="F25">
        <f t="shared" si="0"/>
        <v>300</v>
      </c>
      <c r="G25">
        <f t="shared" si="2"/>
        <v>250</v>
      </c>
      <c r="H25">
        <f t="shared" si="3"/>
        <v>100</v>
      </c>
      <c r="I25">
        <f t="shared" si="4"/>
        <v>0</v>
      </c>
      <c r="J25">
        <f t="shared" si="5"/>
        <v>0</v>
      </c>
      <c r="K25">
        <f t="shared" si="6"/>
        <v>100</v>
      </c>
      <c r="L25">
        <f t="shared" si="7"/>
        <v>0</v>
      </c>
      <c r="M25">
        <f t="shared" si="8"/>
        <v>875</v>
      </c>
      <c r="N25">
        <f t="shared" si="9"/>
        <v>975</v>
      </c>
      <c r="P25">
        <v>270</v>
      </c>
      <c r="Q25">
        <v>370945.4</v>
      </c>
    </row>
    <row r="26" spans="4:17">
      <c r="D26" s="19">
        <v>11</v>
      </c>
      <c r="E26">
        <f t="shared" si="1"/>
        <v>100</v>
      </c>
      <c r="F26">
        <f t="shared" si="0"/>
        <v>300</v>
      </c>
      <c r="G26">
        <f t="shared" si="2"/>
        <v>250</v>
      </c>
      <c r="H26">
        <f t="shared" si="3"/>
        <v>50</v>
      </c>
      <c r="I26">
        <f t="shared" si="4"/>
        <v>0</v>
      </c>
      <c r="J26">
        <f t="shared" si="5"/>
        <v>0</v>
      </c>
      <c r="K26">
        <f t="shared" si="6"/>
        <v>60</v>
      </c>
      <c r="L26">
        <f t="shared" si="7"/>
        <v>0</v>
      </c>
      <c r="M26">
        <f t="shared" si="8"/>
        <v>875</v>
      </c>
      <c r="N26">
        <f t="shared" si="9"/>
        <v>935</v>
      </c>
      <c r="P26">
        <v>280</v>
      </c>
      <c r="Q26">
        <v>364268.2</v>
      </c>
    </row>
    <row r="27" spans="4:17">
      <c r="D27" s="19">
        <v>12</v>
      </c>
      <c r="E27">
        <f t="shared" si="1"/>
        <v>50</v>
      </c>
      <c r="F27">
        <f t="shared" si="0"/>
        <v>300</v>
      </c>
      <c r="G27">
        <f t="shared" si="2"/>
        <v>250</v>
      </c>
      <c r="H27">
        <f t="shared" si="3"/>
        <v>0</v>
      </c>
      <c r="I27">
        <f t="shared" si="4"/>
        <v>0</v>
      </c>
      <c r="J27">
        <f t="shared" si="5"/>
        <v>1</v>
      </c>
      <c r="K27">
        <f t="shared" si="6"/>
        <v>20</v>
      </c>
      <c r="L27">
        <f t="shared" si="7"/>
        <v>0</v>
      </c>
      <c r="M27">
        <f t="shared" si="8"/>
        <v>875</v>
      </c>
      <c r="N27">
        <f t="shared" si="9"/>
        <v>895</v>
      </c>
      <c r="P27">
        <v>290</v>
      </c>
      <c r="Q27">
        <v>358464.6</v>
      </c>
    </row>
    <row r="28" spans="4:17">
      <c r="D28" s="19">
        <v>13</v>
      </c>
      <c r="E28">
        <f t="shared" si="1"/>
        <v>0</v>
      </c>
      <c r="F28">
        <f t="shared" si="0"/>
        <v>300</v>
      </c>
      <c r="G28">
        <f t="shared" si="2"/>
        <v>500</v>
      </c>
      <c r="H28">
        <f t="shared" si="3"/>
        <v>200</v>
      </c>
      <c r="I28">
        <f t="shared" si="4"/>
        <v>0</v>
      </c>
      <c r="J28">
        <f t="shared" si="5"/>
        <v>1</v>
      </c>
      <c r="K28">
        <f t="shared" si="6"/>
        <v>80</v>
      </c>
      <c r="L28">
        <f t="shared" si="7"/>
        <v>0</v>
      </c>
      <c r="M28">
        <f t="shared" si="8"/>
        <v>1750</v>
      </c>
      <c r="N28">
        <f t="shared" si="9"/>
        <v>1830</v>
      </c>
      <c r="P28">
        <v>300</v>
      </c>
      <c r="Q28">
        <v>353984.6</v>
      </c>
    </row>
    <row r="29" spans="4:17">
      <c r="D29" s="19">
        <v>14</v>
      </c>
      <c r="E29">
        <f t="shared" si="1"/>
        <v>200</v>
      </c>
      <c r="F29">
        <f t="shared" si="0"/>
        <v>300</v>
      </c>
      <c r="G29">
        <f t="shared" si="2"/>
        <v>500</v>
      </c>
      <c r="H29">
        <f t="shared" si="3"/>
        <v>400</v>
      </c>
      <c r="I29">
        <f t="shared" si="4"/>
        <v>0</v>
      </c>
      <c r="J29">
        <f t="shared" si="5"/>
        <v>0</v>
      </c>
      <c r="K29">
        <f t="shared" si="6"/>
        <v>240</v>
      </c>
      <c r="L29">
        <f t="shared" si="7"/>
        <v>0</v>
      </c>
      <c r="M29">
        <f t="shared" si="8"/>
        <v>1750</v>
      </c>
      <c r="N29">
        <f t="shared" si="9"/>
        <v>1990</v>
      </c>
      <c r="P29">
        <v>310</v>
      </c>
      <c r="Q29">
        <v>348898</v>
      </c>
    </row>
    <row r="30" spans="4:17">
      <c r="D30" s="19">
        <v>15</v>
      </c>
      <c r="E30">
        <f t="shared" si="1"/>
        <v>400</v>
      </c>
      <c r="F30">
        <f t="shared" si="0"/>
        <v>300</v>
      </c>
      <c r="G30">
        <f t="shared" si="2"/>
        <v>250</v>
      </c>
      <c r="H30">
        <f t="shared" si="3"/>
        <v>350</v>
      </c>
      <c r="I30">
        <f t="shared" si="4"/>
        <v>0</v>
      </c>
      <c r="J30">
        <f t="shared" si="5"/>
        <v>0</v>
      </c>
      <c r="K30">
        <f t="shared" si="6"/>
        <v>300</v>
      </c>
      <c r="L30">
        <f t="shared" si="7"/>
        <v>0</v>
      </c>
      <c r="M30">
        <f t="shared" si="8"/>
        <v>875</v>
      </c>
      <c r="N30">
        <f t="shared" si="9"/>
        <v>1175</v>
      </c>
      <c r="P30">
        <v>320</v>
      </c>
      <c r="Q30">
        <v>348841.8</v>
      </c>
    </row>
    <row r="31" spans="4:17">
      <c r="D31" s="19">
        <v>16</v>
      </c>
      <c r="E31">
        <f t="shared" si="1"/>
        <v>350</v>
      </c>
      <c r="F31">
        <f t="shared" si="0"/>
        <v>300</v>
      </c>
      <c r="G31">
        <f t="shared" si="2"/>
        <v>250</v>
      </c>
      <c r="H31">
        <f t="shared" si="3"/>
        <v>300</v>
      </c>
      <c r="I31">
        <f t="shared" si="4"/>
        <v>0</v>
      </c>
      <c r="J31">
        <f t="shared" si="5"/>
        <v>0</v>
      </c>
      <c r="K31">
        <f t="shared" si="6"/>
        <v>260</v>
      </c>
      <c r="L31">
        <f t="shared" si="7"/>
        <v>0</v>
      </c>
      <c r="M31">
        <f t="shared" si="8"/>
        <v>875</v>
      </c>
      <c r="N31">
        <f t="shared" si="9"/>
        <v>1135</v>
      </c>
      <c r="P31">
        <v>330</v>
      </c>
      <c r="Q31">
        <v>356749.2</v>
      </c>
    </row>
    <row r="32" spans="4:17">
      <c r="D32" s="19">
        <v>17</v>
      </c>
      <c r="E32">
        <f t="shared" si="1"/>
        <v>300</v>
      </c>
      <c r="F32">
        <f t="shared" si="0"/>
        <v>300</v>
      </c>
      <c r="G32">
        <f t="shared" si="2"/>
        <v>250</v>
      </c>
      <c r="H32">
        <f t="shared" si="3"/>
        <v>250</v>
      </c>
      <c r="I32">
        <f t="shared" si="4"/>
        <v>0</v>
      </c>
      <c r="J32">
        <f t="shared" si="5"/>
        <v>0</v>
      </c>
      <c r="K32">
        <f t="shared" si="6"/>
        <v>220</v>
      </c>
      <c r="L32">
        <f t="shared" si="7"/>
        <v>0</v>
      </c>
      <c r="M32">
        <f t="shared" si="8"/>
        <v>875</v>
      </c>
      <c r="N32">
        <f t="shared" si="9"/>
        <v>1095</v>
      </c>
      <c r="P32">
        <v>340</v>
      </c>
      <c r="Q32">
        <v>375160.6</v>
      </c>
    </row>
    <row r="33" spans="4:17">
      <c r="D33" s="19">
        <v>18</v>
      </c>
      <c r="E33">
        <f t="shared" si="1"/>
        <v>250</v>
      </c>
      <c r="F33">
        <f t="shared" si="0"/>
        <v>300</v>
      </c>
      <c r="G33">
        <f t="shared" si="2"/>
        <v>250</v>
      </c>
      <c r="H33">
        <f t="shared" si="3"/>
        <v>200</v>
      </c>
      <c r="I33">
        <f t="shared" si="4"/>
        <v>0</v>
      </c>
      <c r="J33">
        <f t="shared" si="5"/>
        <v>0</v>
      </c>
      <c r="K33">
        <f t="shared" si="6"/>
        <v>180</v>
      </c>
      <c r="L33">
        <f t="shared" si="7"/>
        <v>0</v>
      </c>
      <c r="M33">
        <f t="shared" si="8"/>
        <v>875</v>
      </c>
      <c r="N33">
        <f t="shared" si="9"/>
        <v>1055</v>
      </c>
      <c r="P33">
        <v>350</v>
      </c>
      <c r="Q33">
        <v>408447.4</v>
      </c>
    </row>
    <row r="34" spans="4:17">
      <c r="D34" s="19">
        <v>19</v>
      </c>
      <c r="E34">
        <f t="shared" si="1"/>
        <v>200</v>
      </c>
      <c r="F34">
        <f t="shared" si="0"/>
        <v>300</v>
      </c>
      <c r="G34">
        <f t="shared" si="2"/>
        <v>250</v>
      </c>
      <c r="H34">
        <f t="shared" si="3"/>
        <v>150</v>
      </c>
      <c r="I34">
        <f t="shared" si="4"/>
        <v>0</v>
      </c>
      <c r="J34">
        <f t="shared" si="5"/>
        <v>0</v>
      </c>
      <c r="K34">
        <f t="shared" si="6"/>
        <v>140</v>
      </c>
      <c r="L34">
        <f t="shared" si="7"/>
        <v>0</v>
      </c>
      <c r="M34">
        <f t="shared" si="8"/>
        <v>875</v>
      </c>
      <c r="N34">
        <f t="shared" si="9"/>
        <v>1015</v>
      </c>
    </row>
    <row r="35" spans="4:17">
      <c r="D35" s="19">
        <v>20</v>
      </c>
      <c r="E35">
        <f t="shared" si="1"/>
        <v>150</v>
      </c>
      <c r="F35">
        <f t="shared" si="0"/>
        <v>300</v>
      </c>
      <c r="G35">
        <f t="shared" si="2"/>
        <v>250</v>
      </c>
      <c r="H35">
        <f t="shared" si="3"/>
        <v>100</v>
      </c>
      <c r="I35">
        <f t="shared" si="4"/>
        <v>0</v>
      </c>
      <c r="J35">
        <f t="shared" si="5"/>
        <v>0</v>
      </c>
      <c r="K35">
        <f t="shared" si="6"/>
        <v>100</v>
      </c>
      <c r="L35">
        <f t="shared" si="7"/>
        <v>0</v>
      </c>
      <c r="M35">
        <f t="shared" si="8"/>
        <v>875</v>
      </c>
      <c r="N35">
        <f t="shared" si="9"/>
        <v>975</v>
      </c>
    </row>
    <row r="36" spans="4:17">
      <c r="D36" s="19">
        <v>21</v>
      </c>
      <c r="E36">
        <f t="shared" si="1"/>
        <v>100</v>
      </c>
      <c r="F36">
        <f t="shared" si="0"/>
        <v>300</v>
      </c>
      <c r="G36">
        <f t="shared" si="2"/>
        <v>250</v>
      </c>
      <c r="H36">
        <f t="shared" si="3"/>
        <v>50</v>
      </c>
      <c r="I36">
        <f t="shared" si="4"/>
        <v>0</v>
      </c>
      <c r="J36">
        <f t="shared" si="5"/>
        <v>0</v>
      </c>
      <c r="K36">
        <f t="shared" si="6"/>
        <v>60</v>
      </c>
      <c r="L36">
        <f t="shared" si="7"/>
        <v>0</v>
      </c>
      <c r="M36">
        <f t="shared" si="8"/>
        <v>875</v>
      </c>
      <c r="N36">
        <f t="shared" si="9"/>
        <v>935</v>
      </c>
    </row>
    <row r="37" spans="4:17">
      <c r="D37" s="19">
        <v>22</v>
      </c>
      <c r="E37">
        <f t="shared" si="1"/>
        <v>50</v>
      </c>
      <c r="F37">
        <f t="shared" si="0"/>
        <v>300</v>
      </c>
      <c r="G37">
        <f t="shared" si="2"/>
        <v>250</v>
      </c>
      <c r="H37">
        <f t="shared" si="3"/>
        <v>0</v>
      </c>
      <c r="I37">
        <f t="shared" si="4"/>
        <v>0</v>
      </c>
      <c r="J37">
        <f t="shared" si="5"/>
        <v>1</v>
      </c>
      <c r="K37">
        <f t="shared" si="6"/>
        <v>20</v>
      </c>
      <c r="L37">
        <f t="shared" si="7"/>
        <v>0</v>
      </c>
      <c r="M37">
        <f t="shared" si="8"/>
        <v>875</v>
      </c>
      <c r="N37">
        <f t="shared" si="9"/>
        <v>895</v>
      </c>
    </row>
    <row r="38" spans="4:17">
      <c r="D38" s="19">
        <v>23</v>
      </c>
      <c r="E38">
        <f t="shared" si="1"/>
        <v>0</v>
      </c>
      <c r="F38">
        <f t="shared" si="0"/>
        <v>300</v>
      </c>
      <c r="G38">
        <f t="shared" si="2"/>
        <v>500</v>
      </c>
      <c r="H38">
        <f t="shared" si="3"/>
        <v>200</v>
      </c>
      <c r="I38">
        <f t="shared" si="4"/>
        <v>0</v>
      </c>
      <c r="J38">
        <f t="shared" si="5"/>
        <v>1</v>
      </c>
      <c r="K38">
        <f t="shared" si="6"/>
        <v>80</v>
      </c>
      <c r="L38">
        <f t="shared" si="7"/>
        <v>0</v>
      </c>
      <c r="M38">
        <f t="shared" si="8"/>
        <v>1750</v>
      </c>
      <c r="N38">
        <f t="shared" si="9"/>
        <v>1830</v>
      </c>
    </row>
    <row r="39" spans="4:17">
      <c r="D39" s="19">
        <v>24</v>
      </c>
      <c r="E39">
        <f t="shared" si="1"/>
        <v>200</v>
      </c>
      <c r="F39">
        <f t="shared" si="0"/>
        <v>300</v>
      </c>
      <c r="G39">
        <f t="shared" si="2"/>
        <v>500</v>
      </c>
      <c r="H39">
        <f t="shared" si="3"/>
        <v>400</v>
      </c>
      <c r="I39">
        <f t="shared" si="4"/>
        <v>0</v>
      </c>
      <c r="J39">
        <f t="shared" si="5"/>
        <v>0</v>
      </c>
      <c r="K39">
        <f t="shared" si="6"/>
        <v>240</v>
      </c>
      <c r="L39">
        <f t="shared" si="7"/>
        <v>0</v>
      </c>
      <c r="M39">
        <f t="shared" si="8"/>
        <v>1750</v>
      </c>
      <c r="N39">
        <f t="shared" si="9"/>
        <v>1990</v>
      </c>
    </row>
    <row r="40" spans="4:17">
      <c r="D40" s="19">
        <v>25</v>
      </c>
      <c r="E40">
        <f t="shared" si="1"/>
        <v>400</v>
      </c>
      <c r="F40">
        <f t="shared" si="0"/>
        <v>300</v>
      </c>
      <c r="G40">
        <f t="shared" si="2"/>
        <v>250</v>
      </c>
      <c r="H40">
        <f t="shared" si="3"/>
        <v>350</v>
      </c>
      <c r="I40">
        <f t="shared" si="4"/>
        <v>0</v>
      </c>
      <c r="J40">
        <f t="shared" si="5"/>
        <v>0</v>
      </c>
      <c r="K40">
        <f t="shared" si="6"/>
        <v>300</v>
      </c>
      <c r="L40">
        <f t="shared" si="7"/>
        <v>0</v>
      </c>
      <c r="M40">
        <f t="shared" si="8"/>
        <v>875</v>
      </c>
      <c r="N40">
        <f t="shared" si="9"/>
        <v>1175</v>
      </c>
    </row>
    <row r="41" spans="4:17">
      <c r="D41" s="19">
        <v>26</v>
      </c>
      <c r="E41">
        <f t="shared" si="1"/>
        <v>350</v>
      </c>
      <c r="F41">
        <f t="shared" si="0"/>
        <v>300</v>
      </c>
      <c r="G41">
        <f t="shared" si="2"/>
        <v>250</v>
      </c>
      <c r="H41">
        <f t="shared" si="3"/>
        <v>300</v>
      </c>
      <c r="I41">
        <f t="shared" si="4"/>
        <v>0</v>
      </c>
      <c r="J41">
        <f t="shared" si="5"/>
        <v>0</v>
      </c>
      <c r="K41">
        <f t="shared" si="6"/>
        <v>260</v>
      </c>
      <c r="L41">
        <f t="shared" si="7"/>
        <v>0</v>
      </c>
      <c r="M41">
        <f t="shared" si="8"/>
        <v>875</v>
      </c>
      <c r="N41">
        <f t="shared" si="9"/>
        <v>1135</v>
      </c>
    </row>
    <row r="42" spans="4:17">
      <c r="D42" s="19">
        <v>27</v>
      </c>
      <c r="E42">
        <f t="shared" si="1"/>
        <v>300</v>
      </c>
      <c r="F42">
        <f t="shared" si="0"/>
        <v>300</v>
      </c>
      <c r="G42">
        <f t="shared" si="2"/>
        <v>250</v>
      </c>
      <c r="H42">
        <f t="shared" si="3"/>
        <v>250</v>
      </c>
      <c r="I42">
        <f t="shared" si="4"/>
        <v>0</v>
      </c>
      <c r="J42">
        <f t="shared" si="5"/>
        <v>0</v>
      </c>
      <c r="K42">
        <f t="shared" si="6"/>
        <v>220</v>
      </c>
      <c r="L42">
        <f t="shared" si="7"/>
        <v>0</v>
      </c>
      <c r="M42">
        <f t="shared" si="8"/>
        <v>875</v>
      </c>
      <c r="N42">
        <f t="shared" si="9"/>
        <v>1095</v>
      </c>
    </row>
    <row r="43" spans="4:17">
      <c r="D43" s="19">
        <v>28</v>
      </c>
      <c r="E43">
        <f t="shared" si="1"/>
        <v>250</v>
      </c>
      <c r="F43">
        <f t="shared" si="0"/>
        <v>300</v>
      </c>
      <c r="G43">
        <f t="shared" si="2"/>
        <v>250</v>
      </c>
      <c r="H43">
        <f t="shared" si="3"/>
        <v>200</v>
      </c>
      <c r="I43">
        <f t="shared" si="4"/>
        <v>0</v>
      </c>
      <c r="J43">
        <f t="shared" si="5"/>
        <v>0</v>
      </c>
      <c r="K43">
        <f t="shared" si="6"/>
        <v>180</v>
      </c>
      <c r="L43">
        <f t="shared" si="7"/>
        <v>0</v>
      </c>
      <c r="M43">
        <f t="shared" si="8"/>
        <v>875</v>
      </c>
      <c r="N43">
        <f t="shared" si="9"/>
        <v>1055</v>
      </c>
    </row>
    <row r="44" spans="4:17">
      <c r="D44" s="19">
        <v>29</v>
      </c>
      <c r="E44">
        <f t="shared" si="1"/>
        <v>200</v>
      </c>
      <c r="F44">
        <f t="shared" si="0"/>
        <v>300</v>
      </c>
      <c r="G44">
        <f t="shared" si="2"/>
        <v>250</v>
      </c>
      <c r="H44">
        <f t="shared" si="3"/>
        <v>150</v>
      </c>
      <c r="I44">
        <f t="shared" si="4"/>
        <v>0</v>
      </c>
      <c r="J44">
        <f t="shared" si="5"/>
        <v>0</v>
      </c>
      <c r="K44">
        <f t="shared" si="6"/>
        <v>140</v>
      </c>
      <c r="L44">
        <f t="shared" si="7"/>
        <v>0</v>
      </c>
      <c r="M44">
        <f t="shared" si="8"/>
        <v>875</v>
      </c>
      <c r="N44">
        <f t="shared" si="9"/>
        <v>1015</v>
      </c>
    </row>
    <row r="45" spans="4:17">
      <c r="D45" s="19">
        <v>30</v>
      </c>
      <c r="E45">
        <f t="shared" si="1"/>
        <v>150</v>
      </c>
      <c r="F45">
        <f t="shared" si="0"/>
        <v>300</v>
      </c>
      <c r="G45">
        <f t="shared" si="2"/>
        <v>250</v>
      </c>
      <c r="H45">
        <f t="shared" si="3"/>
        <v>100</v>
      </c>
      <c r="I45">
        <f t="shared" si="4"/>
        <v>0</v>
      </c>
      <c r="J45">
        <f t="shared" si="5"/>
        <v>0</v>
      </c>
      <c r="K45">
        <f t="shared" si="6"/>
        <v>100</v>
      </c>
      <c r="L45">
        <f t="shared" si="7"/>
        <v>0</v>
      </c>
      <c r="M45">
        <f t="shared" si="8"/>
        <v>875</v>
      </c>
      <c r="N45">
        <f t="shared" si="9"/>
        <v>975</v>
      </c>
    </row>
    <row r="46" spans="4:17">
      <c r="D46" s="19">
        <v>31</v>
      </c>
      <c r="E46">
        <f t="shared" si="1"/>
        <v>100</v>
      </c>
      <c r="F46">
        <f t="shared" si="0"/>
        <v>300</v>
      </c>
      <c r="G46">
        <f t="shared" si="2"/>
        <v>250</v>
      </c>
      <c r="H46">
        <f t="shared" si="3"/>
        <v>50</v>
      </c>
      <c r="I46">
        <f t="shared" si="4"/>
        <v>0</v>
      </c>
      <c r="J46">
        <f t="shared" si="5"/>
        <v>0</v>
      </c>
      <c r="K46">
        <f t="shared" si="6"/>
        <v>60</v>
      </c>
      <c r="L46">
        <f t="shared" si="7"/>
        <v>0</v>
      </c>
      <c r="M46">
        <f t="shared" si="8"/>
        <v>875</v>
      </c>
      <c r="N46">
        <f t="shared" si="9"/>
        <v>935</v>
      </c>
    </row>
    <row r="47" spans="4:17">
      <c r="D47" s="19">
        <v>32</v>
      </c>
      <c r="E47">
        <f t="shared" si="1"/>
        <v>50</v>
      </c>
      <c r="F47">
        <f t="shared" si="0"/>
        <v>300</v>
      </c>
      <c r="G47">
        <f t="shared" si="2"/>
        <v>250</v>
      </c>
      <c r="H47">
        <f t="shared" si="3"/>
        <v>0</v>
      </c>
      <c r="I47">
        <f t="shared" si="4"/>
        <v>0</v>
      </c>
      <c r="J47">
        <f t="shared" si="5"/>
        <v>1</v>
      </c>
      <c r="K47">
        <f t="shared" si="6"/>
        <v>20</v>
      </c>
      <c r="L47">
        <f t="shared" si="7"/>
        <v>0</v>
      </c>
      <c r="M47">
        <f t="shared" si="8"/>
        <v>875</v>
      </c>
      <c r="N47">
        <f t="shared" si="9"/>
        <v>895</v>
      </c>
    </row>
    <row r="48" spans="4:17">
      <c r="D48" s="19">
        <v>33</v>
      </c>
      <c r="E48">
        <f t="shared" si="1"/>
        <v>0</v>
      </c>
      <c r="F48">
        <f t="shared" si="0"/>
        <v>300</v>
      </c>
      <c r="G48">
        <f t="shared" si="2"/>
        <v>500</v>
      </c>
      <c r="H48">
        <f t="shared" si="3"/>
        <v>200</v>
      </c>
      <c r="I48">
        <f t="shared" si="4"/>
        <v>0</v>
      </c>
      <c r="J48">
        <f t="shared" si="5"/>
        <v>1</v>
      </c>
      <c r="K48">
        <f t="shared" si="6"/>
        <v>80</v>
      </c>
      <c r="L48">
        <f t="shared" si="7"/>
        <v>0</v>
      </c>
      <c r="M48">
        <f t="shared" si="8"/>
        <v>1750</v>
      </c>
      <c r="N48">
        <f t="shared" si="9"/>
        <v>1830</v>
      </c>
    </row>
    <row r="49" spans="4:14">
      <c r="D49" s="19">
        <v>34</v>
      </c>
      <c r="E49">
        <f t="shared" si="1"/>
        <v>200</v>
      </c>
      <c r="F49">
        <f t="shared" si="0"/>
        <v>300</v>
      </c>
      <c r="G49">
        <f t="shared" si="2"/>
        <v>500</v>
      </c>
      <c r="H49">
        <f t="shared" si="3"/>
        <v>400</v>
      </c>
      <c r="I49">
        <f t="shared" si="4"/>
        <v>0</v>
      </c>
      <c r="J49">
        <f t="shared" si="5"/>
        <v>0</v>
      </c>
      <c r="K49">
        <f t="shared" si="6"/>
        <v>240</v>
      </c>
      <c r="L49">
        <f t="shared" si="7"/>
        <v>0</v>
      </c>
      <c r="M49">
        <f t="shared" si="8"/>
        <v>1750</v>
      </c>
      <c r="N49">
        <f t="shared" si="9"/>
        <v>1990</v>
      </c>
    </row>
    <row r="50" spans="4:14">
      <c r="D50" s="19">
        <v>35</v>
      </c>
      <c r="E50">
        <f t="shared" si="1"/>
        <v>400</v>
      </c>
      <c r="F50">
        <f t="shared" si="0"/>
        <v>300</v>
      </c>
      <c r="G50">
        <f t="shared" si="2"/>
        <v>250</v>
      </c>
      <c r="H50">
        <f t="shared" si="3"/>
        <v>350</v>
      </c>
      <c r="I50">
        <f t="shared" si="4"/>
        <v>0</v>
      </c>
      <c r="J50">
        <f t="shared" si="5"/>
        <v>0</v>
      </c>
      <c r="K50">
        <f t="shared" si="6"/>
        <v>300</v>
      </c>
      <c r="L50">
        <f t="shared" si="7"/>
        <v>0</v>
      </c>
      <c r="M50">
        <f t="shared" si="8"/>
        <v>875</v>
      </c>
      <c r="N50">
        <f t="shared" si="9"/>
        <v>1175</v>
      </c>
    </row>
    <row r="51" spans="4:14">
      <c r="D51" s="19">
        <v>36</v>
      </c>
      <c r="E51">
        <f t="shared" si="1"/>
        <v>350</v>
      </c>
      <c r="F51">
        <f t="shared" si="0"/>
        <v>300</v>
      </c>
      <c r="G51">
        <f t="shared" si="2"/>
        <v>250</v>
      </c>
      <c r="H51">
        <f t="shared" si="3"/>
        <v>300</v>
      </c>
      <c r="I51">
        <f t="shared" si="4"/>
        <v>0</v>
      </c>
      <c r="J51">
        <f t="shared" si="5"/>
        <v>0</v>
      </c>
      <c r="K51">
        <f t="shared" si="6"/>
        <v>260</v>
      </c>
      <c r="L51">
        <f t="shared" si="7"/>
        <v>0</v>
      </c>
      <c r="M51">
        <f t="shared" si="8"/>
        <v>875</v>
      </c>
      <c r="N51">
        <f t="shared" si="9"/>
        <v>1135</v>
      </c>
    </row>
    <row r="52" spans="4:14">
      <c r="D52" s="19">
        <v>37</v>
      </c>
      <c r="E52">
        <f t="shared" si="1"/>
        <v>300</v>
      </c>
      <c r="F52">
        <f t="shared" si="0"/>
        <v>300</v>
      </c>
      <c r="G52">
        <f t="shared" si="2"/>
        <v>250</v>
      </c>
      <c r="H52">
        <f t="shared" si="3"/>
        <v>250</v>
      </c>
      <c r="I52">
        <f t="shared" si="4"/>
        <v>0</v>
      </c>
      <c r="J52">
        <f t="shared" si="5"/>
        <v>0</v>
      </c>
      <c r="K52">
        <f t="shared" si="6"/>
        <v>220</v>
      </c>
      <c r="L52">
        <f t="shared" si="7"/>
        <v>0</v>
      </c>
      <c r="M52">
        <f t="shared" si="8"/>
        <v>875</v>
      </c>
      <c r="N52">
        <f t="shared" si="9"/>
        <v>1095</v>
      </c>
    </row>
    <row r="53" spans="4:14">
      <c r="D53" s="19">
        <v>38</v>
      </c>
      <c r="E53">
        <f t="shared" si="1"/>
        <v>250</v>
      </c>
      <c r="F53">
        <f t="shared" si="0"/>
        <v>300</v>
      </c>
      <c r="G53">
        <f t="shared" si="2"/>
        <v>250</v>
      </c>
      <c r="H53">
        <f t="shared" si="3"/>
        <v>200</v>
      </c>
      <c r="I53">
        <f t="shared" si="4"/>
        <v>0</v>
      </c>
      <c r="J53">
        <f t="shared" si="5"/>
        <v>0</v>
      </c>
      <c r="K53">
        <f t="shared" si="6"/>
        <v>180</v>
      </c>
      <c r="L53">
        <f t="shared" si="7"/>
        <v>0</v>
      </c>
      <c r="M53">
        <f t="shared" si="8"/>
        <v>875</v>
      </c>
      <c r="N53">
        <f t="shared" si="9"/>
        <v>1055</v>
      </c>
    </row>
    <row r="54" spans="4:14">
      <c r="D54" s="19">
        <v>39</v>
      </c>
      <c r="E54">
        <f t="shared" si="1"/>
        <v>200</v>
      </c>
      <c r="F54">
        <f t="shared" si="0"/>
        <v>300</v>
      </c>
      <c r="G54">
        <f t="shared" si="2"/>
        <v>250</v>
      </c>
      <c r="H54">
        <f t="shared" si="3"/>
        <v>150</v>
      </c>
      <c r="I54">
        <f t="shared" si="4"/>
        <v>0</v>
      </c>
      <c r="J54">
        <f t="shared" si="5"/>
        <v>0</v>
      </c>
      <c r="K54">
        <f t="shared" si="6"/>
        <v>140</v>
      </c>
      <c r="L54">
        <f t="shared" si="7"/>
        <v>0</v>
      </c>
      <c r="M54">
        <f t="shared" si="8"/>
        <v>875</v>
      </c>
      <c r="N54">
        <f t="shared" si="9"/>
        <v>1015</v>
      </c>
    </row>
    <row r="55" spans="4:14">
      <c r="D55" s="19">
        <v>40</v>
      </c>
      <c r="E55">
        <f t="shared" si="1"/>
        <v>150</v>
      </c>
      <c r="F55">
        <f t="shared" si="0"/>
        <v>300</v>
      </c>
      <c r="G55">
        <f t="shared" si="2"/>
        <v>250</v>
      </c>
      <c r="H55">
        <f t="shared" si="3"/>
        <v>100</v>
      </c>
      <c r="I55">
        <f t="shared" si="4"/>
        <v>0</v>
      </c>
      <c r="J55">
        <f t="shared" si="5"/>
        <v>0</v>
      </c>
      <c r="K55">
        <f t="shared" si="6"/>
        <v>100</v>
      </c>
      <c r="L55">
        <f t="shared" si="7"/>
        <v>0</v>
      </c>
      <c r="M55">
        <f t="shared" si="8"/>
        <v>875</v>
      </c>
      <c r="N55">
        <f t="shared" si="9"/>
        <v>975</v>
      </c>
    </row>
    <row r="56" spans="4:14">
      <c r="D56" s="19">
        <v>41</v>
      </c>
      <c r="E56">
        <f t="shared" si="1"/>
        <v>100</v>
      </c>
      <c r="F56">
        <f t="shared" si="0"/>
        <v>300</v>
      </c>
      <c r="G56">
        <f t="shared" si="2"/>
        <v>250</v>
      </c>
      <c r="H56">
        <f t="shared" si="3"/>
        <v>50</v>
      </c>
      <c r="I56">
        <f t="shared" si="4"/>
        <v>0</v>
      </c>
      <c r="J56">
        <f t="shared" si="5"/>
        <v>0</v>
      </c>
      <c r="K56">
        <f t="shared" si="6"/>
        <v>60</v>
      </c>
      <c r="L56">
        <f t="shared" si="7"/>
        <v>0</v>
      </c>
      <c r="M56">
        <f t="shared" si="8"/>
        <v>875</v>
      </c>
      <c r="N56">
        <f t="shared" si="9"/>
        <v>935</v>
      </c>
    </row>
    <row r="57" spans="4:14">
      <c r="D57" s="19">
        <v>42</v>
      </c>
      <c r="E57">
        <f t="shared" si="1"/>
        <v>50</v>
      </c>
      <c r="F57">
        <f t="shared" si="0"/>
        <v>300</v>
      </c>
      <c r="G57">
        <f t="shared" si="2"/>
        <v>250</v>
      </c>
      <c r="H57">
        <f t="shared" si="3"/>
        <v>0</v>
      </c>
      <c r="I57">
        <f t="shared" si="4"/>
        <v>0</v>
      </c>
      <c r="J57">
        <f t="shared" si="5"/>
        <v>1</v>
      </c>
      <c r="K57">
        <f t="shared" si="6"/>
        <v>20</v>
      </c>
      <c r="L57">
        <f t="shared" si="7"/>
        <v>0</v>
      </c>
      <c r="M57">
        <f t="shared" si="8"/>
        <v>875</v>
      </c>
      <c r="N57">
        <f t="shared" si="9"/>
        <v>895</v>
      </c>
    </row>
    <row r="58" spans="4:14" hidden="1">
      <c r="D58" s="19">
        <v>43</v>
      </c>
      <c r="E58">
        <f t="shared" si="1"/>
        <v>0</v>
      </c>
      <c r="F58">
        <f t="shared" si="0"/>
        <v>300</v>
      </c>
      <c r="G58">
        <f t="shared" si="2"/>
        <v>500</v>
      </c>
      <c r="H58">
        <f t="shared" si="3"/>
        <v>200</v>
      </c>
      <c r="I58">
        <f t="shared" si="4"/>
        <v>0</v>
      </c>
      <c r="J58">
        <f t="shared" si="5"/>
        <v>1</v>
      </c>
      <c r="K58">
        <f t="shared" si="6"/>
        <v>80</v>
      </c>
      <c r="L58">
        <f t="shared" si="7"/>
        <v>0</v>
      </c>
      <c r="M58">
        <f t="shared" si="8"/>
        <v>1750</v>
      </c>
      <c r="N58">
        <f t="shared" si="9"/>
        <v>1830</v>
      </c>
    </row>
    <row r="59" spans="4:14" hidden="1">
      <c r="D59" s="19">
        <v>44</v>
      </c>
      <c r="E59">
        <f t="shared" si="1"/>
        <v>200</v>
      </c>
      <c r="F59">
        <f t="shared" si="0"/>
        <v>300</v>
      </c>
      <c r="G59">
        <f t="shared" si="2"/>
        <v>500</v>
      </c>
      <c r="H59">
        <f t="shared" si="3"/>
        <v>400</v>
      </c>
      <c r="I59">
        <f t="shared" si="4"/>
        <v>0</v>
      </c>
      <c r="J59">
        <f t="shared" si="5"/>
        <v>0</v>
      </c>
      <c r="K59">
        <f t="shared" si="6"/>
        <v>240</v>
      </c>
      <c r="L59">
        <f t="shared" si="7"/>
        <v>0</v>
      </c>
      <c r="M59">
        <f t="shared" si="8"/>
        <v>1750</v>
      </c>
      <c r="N59">
        <f t="shared" si="9"/>
        <v>1990</v>
      </c>
    </row>
    <row r="60" spans="4:14" hidden="1">
      <c r="D60" s="19">
        <v>45</v>
      </c>
      <c r="E60">
        <f t="shared" si="1"/>
        <v>400</v>
      </c>
      <c r="F60">
        <f t="shared" si="0"/>
        <v>300</v>
      </c>
      <c r="G60">
        <f t="shared" si="2"/>
        <v>250</v>
      </c>
      <c r="H60">
        <f t="shared" si="3"/>
        <v>350</v>
      </c>
      <c r="I60">
        <f t="shared" si="4"/>
        <v>0</v>
      </c>
      <c r="J60">
        <f t="shared" si="5"/>
        <v>0</v>
      </c>
      <c r="K60">
        <f t="shared" si="6"/>
        <v>300</v>
      </c>
      <c r="L60">
        <f t="shared" si="7"/>
        <v>0</v>
      </c>
      <c r="M60">
        <f t="shared" si="8"/>
        <v>875</v>
      </c>
      <c r="N60">
        <f t="shared" si="9"/>
        <v>1175</v>
      </c>
    </row>
    <row r="61" spans="4:14" hidden="1">
      <c r="D61" s="19">
        <v>46</v>
      </c>
      <c r="E61">
        <f t="shared" si="1"/>
        <v>350</v>
      </c>
      <c r="F61">
        <f t="shared" si="0"/>
        <v>300</v>
      </c>
      <c r="G61">
        <f t="shared" si="2"/>
        <v>250</v>
      </c>
      <c r="H61">
        <f t="shared" si="3"/>
        <v>300</v>
      </c>
      <c r="I61">
        <f t="shared" si="4"/>
        <v>0</v>
      </c>
      <c r="J61">
        <f t="shared" si="5"/>
        <v>0</v>
      </c>
      <c r="K61">
        <f t="shared" si="6"/>
        <v>260</v>
      </c>
      <c r="L61">
        <f t="shared" si="7"/>
        <v>0</v>
      </c>
      <c r="M61">
        <f t="shared" si="8"/>
        <v>875</v>
      </c>
      <c r="N61">
        <f t="shared" si="9"/>
        <v>1135</v>
      </c>
    </row>
    <row r="62" spans="4:14" hidden="1">
      <c r="D62" s="19">
        <v>47</v>
      </c>
      <c r="E62">
        <f t="shared" si="1"/>
        <v>300</v>
      </c>
      <c r="F62">
        <f t="shared" si="0"/>
        <v>300</v>
      </c>
      <c r="G62">
        <f t="shared" si="2"/>
        <v>250</v>
      </c>
      <c r="H62">
        <f t="shared" si="3"/>
        <v>250</v>
      </c>
      <c r="I62">
        <f t="shared" si="4"/>
        <v>0</v>
      </c>
      <c r="J62">
        <f t="shared" si="5"/>
        <v>0</v>
      </c>
      <c r="K62">
        <f t="shared" si="6"/>
        <v>220</v>
      </c>
      <c r="L62">
        <f t="shared" si="7"/>
        <v>0</v>
      </c>
      <c r="M62">
        <f t="shared" si="8"/>
        <v>875</v>
      </c>
      <c r="N62">
        <f t="shared" si="9"/>
        <v>1095</v>
      </c>
    </row>
    <row r="63" spans="4:14" hidden="1">
      <c r="D63" s="19">
        <v>48</v>
      </c>
      <c r="E63">
        <f t="shared" si="1"/>
        <v>250</v>
      </c>
      <c r="F63">
        <f t="shared" si="0"/>
        <v>300</v>
      </c>
      <c r="G63">
        <f t="shared" si="2"/>
        <v>250</v>
      </c>
      <c r="H63">
        <f t="shared" si="3"/>
        <v>200</v>
      </c>
      <c r="I63">
        <f t="shared" si="4"/>
        <v>0</v>
      </c>
      <c r="J63">
        <f t="shared" si="5"/>
        <v>0</v>
      </c>
      <c r="K63">
        <f t="shared" si="6"/>
        <v>180</v>
      </c>
      <c r="L63">
        <f t="shared" si="7"/>
        <v>0</v>
      </c>
      <c r="M63">
        <f t="shared" si="8"/>
        <v>875</v>
      </c>
      <c r="N63">
        <f t="shared" si="9"/>
        <v>1055</v>
      </c>
    </row>
    <row r="64" spans="4:14" hidden="1">
      <c r="D64" s="19">
        <v>49</v>
      </c>
      <c r="E64">
        <f t="shared" si="1"/>
        <v>200</v>
      </c>
      <c r="F64">
        <f t="shared" si="0"/>
        <v>300</v>
      </c>
      <c r="G64">
        <f t="shared" si="2"/>
        <v>250</v>
      </c>
      <c r="H64">
        <f t="shared" si="3"/>
        <v>150</v>
      </c>
      <c r="I64">
        <f t="shared" si="4"/>
        <v>0</v>
      </c>
      <c r="J64">
        <f t="shared" si="5"/>
        <v>0</v>
      </c>
      <c r="K64">
        <f t="shared" si="6"/>
        <v>140</v>
      </c>
      <c r="L64">
        <f t="shared" si="7"/>
        <v>0</v>
      </c>
      <c r="M64">
        <f t="shared" si="8"/>
        <v>875</v>
      </c>
      <c r="N64">
        <f t="shared" si="9"/>
        <v>1015</v>
      </c>
    </row>
    <row r="65" spans="4:14" hidden="1">
      <c r="D65" s="19">
        <v>50</v>
      </c>
      <c r="E65">
        <f t="shared" si="1"/>
        <v>150</v>
      </c>
      <c r="F65">
        <f t="shared" si="0"/>
        <v>300</v>
      </c>
      <c r="G65">
        <f t="shared" si="2"/>
        <v>250</v>
      </c>
      <c r="H65">
        <f t="shared" si="3"/>
        <v>100</v>
      </c>
      <c r="I65">
        <f t="shared" si="4"/>
        <v>0</v>
      </c>
      <c r="J65">
        <f t="shared" si="5"/>
        <v>0</v>
      </c>
      <c r="K65">
        <f t="shared" si="6"/>
        <v>100</v>
      </c>
      <c r="L65">
        <f t="shared" si="7"/>
        <v>0</v>
      </c>
      <c r="M65">
        <f t="shared" si="8"/>
        <v>875</v>
      </c>
      <c r="N65">
        <f t="shared" si="9"/>
        <v>975</v>
      </c>
    </row>
    <row r="66" spans="4:14" hidden="1">
      <c r="D66" s="19">
        <v>51</v>
      </c>
      <c r="E66">
        <f t="shared" si="1"/>
        <v>100</v>
      </c>
      <c r="F66">
        <f t="shared" si="0"/>
        <v>300</v>
      </c>
      <c r="G66">
        <f t="shared" si="2"/>
        <v>250</v>
      </c>
      <c r="H66">
        <f t="shared" si="3"/>
        <v>50</v>
      </c>
      <c r="I66">
        <f t="shared" si="4"/>
        <v>0</v>
      </c>
      <c r="J66">
        <f t="shared" si="5"/>
        <v>0</v>
      </c>
      <c r="K66">
        <f t="shared" si="6"/>
        <v>60</v>
      </c>
      <c r="L66">
        <f t="shared" si="7"/>
        <v>0</v>
      </c>
      <c r="M66">
        <f t="shared" si="8"/>
        <v>875</v>
      </c>
      <c r="N66">
        <f t="shared" si="9"/>
        <v>935</v>
      </c>
    </row>
    <row r="67" spans="4:14" hidden="1">
      <c r="D67" s="19">
        <v>52</v>
      </c>
      <c r="E67">
        <f t="shared" si="1"/>
        <v>50</v>
      </c>
      <c r="F67">
        <f t="shared" si="0"/>
        <v>300</v>
      </c>
      <c r="G67">
        <f t="shared" si="2"/>
        <v>250</v>
      </c>
      <c r="H67">
        <f t="shared" si="3"/>
        <v>0</v>
      </c>
      <c r="I67">
        <f t="shared" si="4"/>
        <v>0</v>
      </c>
      <c r="J67">
        <f t="shared" si="5"/>
        <v>1</v>
      </c>
      <c r="K67">
        <f t="shared" si="6"/>
        <v>20</v>
      </c>
      <c r="L67">
        <f t="shared" si="7"/>
        <v>0</v>
      </c>
      <c r="M67">
        <f t="shared" si="8"/>
        <v>875</v>
      </c>
      <c r="N67">
        <f t="shared" si="9"/>
        <v>895</v>
      </c>
    </row>
    <row r="68" spans="4:14" hidden="1">
      <c r="D68" s="19">
        <v>53</v>
      </c>
      <c r="E68">
        <f t="shared" si="1"/>
        <v>0</v>
      </c>
      <c r="F68">
        <f t="shared" si="0"/>
        <v>300</v>
      </c>
      <c r="G68">
        <f t="shared" si="2"/>
        <v>500</v>
      </c>
      <c r="H68">
        <f t="shared" si="3"/>
        <v>200</v>
      </c>
      <c r="I68">
        <f t="shared" si="4"/>
        <v>0</v>
      </c>
      <c r="J68">
        <f t="shared" si="5"/>
        <v>1</v>
      </c>
      <c r="K68">
        <f t="shared" si="6"/>
        <v>80</v>
      </c>
      <c r="L68">
        <f t="shared" si="7"/>
        <v>0</v>
      </c>
      <c r="M68">
        <f t="shared" si="8"/>
        <v>1750</v>
      </c>
      <c r="N68">
        <f t="shared" si="9"/>
        <v>1830</v>
      </c>
    </row>
    <row r="69" spans="4:14" hidden="1">
      <c r="D69" s="19">
        <v>54</v>
      </c>
      <c r="E69">
        <f t="shared" si="1"/>
        <v>200</v>
      </c>
      <c r="F69">
        <f t="shared" si="0"/>
        <v>300</v>
      </c>
      <c r="G69">
        <f t="shared" si="2"/>
        <v>500</v>
      </c>
      <c r="H69">
        <f t="shared" si="3"/>
        <v>400</v>
      </c>
      <c r="I69">
        <f t="shared" si="4"/>
        <v>0</v>
      </c>
      <c r="J69">
        <f t="shared" si="5"/>
        <v>0</v>
      </c>
      <c r="K69">
        <f t="shared" si="6"/>
        <v>240</v>
      </c>
      <c r="L69">
        <f t="shared" si="7"/>
        <v>0</v>
      </c>
      <c r="M69">
        <f t="shared" si="8"/>
        <v>1750</v>
      </c>
      <c r="N69">
        <f t="shared" si="9"/>
        <v>1990</v>
      </c>
    </row>
    <row r="70" spans="4:14" hidden="1">
      <c r="D70" s="19">
        <v>55</v>
      </c>
      <c r="E70">
        <f t="shared" si="1"/>
        <v>400</v>
      </c>
      <c r="F70">
        <f t="shared" si="0"/>
        <v>300</v>
      </c>
      <c r="G70">
        <f t="shared" si="2"/>
        <v>250</v>
      </c>
      <c r="H70">
        <f t="shared" si="3"/>
        <v>350</v>
      </c>
      <c r="I70">
        <f t="shared" si="4"/>
        <v>0</v>
      </c>
      <c r="J70">
        <f t="shared" si="5"/>
        <v>0</v>
      </c>
      <c r="K70">
        <f t="shared" si="6"/>
        <v>300</v>
      </c>
      <c r="L70">
        <f t="shared" si="7"/>
        <v>0</v>
      </c>
      <c r="M70">
        <f t="shared" si="8"/>
        <v>875</v>
      </c>
      <c r="N70">
        <f t="shared" si="9"/>
        <v>1175</v>
      </c>
    </row>
    <row r="71" spans="4:14" hidden="1">
      <c r="D71" s="19">
        <v>56</v>
      </c>
      <c r="E71">
        <f t="shared" si="1"/>
        <v>350</v>
      </c>
      <c r="F71">
        <f t="shared" si="0"/>
        <v>300</v>
      </c>
      <c r="G71">
        <f t="shared" si="2"/>
        <v>250</v>
      </c>
      <c r="H71">
        <f t="shared" si="3"/>
        <v>300</v>
      </c>
      <c r="I71">
        <f t="shared" si="4"/>
        <v>0</v>
      </c>
      <c r="J71">
        <f t="shared" si="5"/>
        <v>0</v>
      </c>
      <c r="K71">
        <f t="shared" si="6"/>
        <v>260</v>
      </c>
      <c r="L71">
        <f t="shared" si="7"/>
        <v>0</v>
      </c>
      <c r="M71">
        <f t="shared" si="8"/>
        <v>875</v>
      </c>
      <c r="N71">
        <f t="shared" si="9"/>
        <v>1135</v>
      </c>
    </row>
    <row r="72" spans="4:14" hidden="1">
      <c r="D72" s="19">
        <v>57</v>
      </c>
      <c r="E72">
        <f t="shared" si="1"/>
        <v>300</v>
      </c>
      <c r="F72">
        <f t="shared" si="0"/>
        <v>300</v>
      </c>
      <c r="G72">
        <f t="shared" si="2"/>
        <v>250</v>
      </c>
      <c r="H72">
        <f t="shared" si="3"/>
        <v>250</v>
      </c>
      <c r="I72">
        <f t="shared" si="4"/>
        <v>0</v>
      </c>
      <c r="J72">
        <f t="shared" si="5"/>
        <v>0</v>
      </c>
      <c r="K72">
        <f t="shared" si="6"/>
        <v>220</v>
      </c>
      <c r="L72">
        <f t="shared" si="7"/>
        <v>0</v>
      </c>
      <c r="M72">
        <f t="shared" si="8"/>
        <v>875</v>
      </c>
      <c r="N72">
        <f t="shared" si="9"/>
        <v>1095</v>
      </c>
    </row>
    <row r="73" spans="4:14" hidden="1">
      <c r="D73" s="19">
        <v>58</v>
      </c>
      <c r="E73">
        <f t="shared" si="1"/>
        <v>250</v>
      </c>
      <c r="F73">
        <f t="shared" si="0"/>
        <v>300</v>
      </c>
      <c r="G73">
        <f t="shared" si="2"/>
        <v>250</v>
      </c>
      <c r="H73">
        <f t="shared" si="3"/>
        <v>200</v>
      </c>
      <c r="I73">
        <f t="shared" si="4"/>
        <v>0</v>
      </c>
      <c r="J73">
        <f t="shared" si="5"/>
        <v>0</v>
      </c>
      <c r="K73">
        <f t="shared" si="6"/>
        <v>180</v>
      </c>
      <c r="L73">
        <f t="shared" si="7"/>
        <v>0</v>
      </c>
      <c r="M73">
        <f t="shared" si="8"/>
        <v>875</v>
      </c>
      <c r="N73">
        <f t="shared" si="9"/>
        <v>1055</v>
      </c>
    </row>
    <row r="74" spans="4:14" hidden="1">
      <c r="D74" s="19">
        <v>59</v>
      </c>
      <c r="E74">
        <f t="shared" si="1"/>
        <v>200</v>
      </c>
      <c r="F74">
        <f t="shared" si="0"/>
        <v>300</v>
      </c>
      <c r="G74">
        <f t="shared" si="2"/>
        <v>250</v>
      </c>
      <c r="H74">
        <f t="shared" si="3"/>
        <v>150</v>
      </c>
      <c r="I74">
        <f t="shared" si="4"/>
        <v>0</v>
      </c>
      <c r="J74">
        <f t="shared" si="5"/>
        <v>0</v>
      </c>
      <c r="K74">
        <f t="shared" si="6"/>
        <v>140</v>
      </c>
      <c r="L74">
        <f t="shared" si="7"/>
        <v>0</v>
      </c>
      <c r="M74">
        <f t="shared" si="8"/>
        <v>875</v>
      </c>
      <c r="N74">
        <f t="shared" si="9"/>
        <v>1015</v>
      </c>
    </row>
    <row r="75" spans="4:14" hidden="1">
      <c r="D75" s="19">
        <v>60</v>
      </c>
      <c r="E75">
        <f t="shared" si="1"/>
        <v>150</v>
      </c>
      <c r="F75">
        <f t="shared" si="0"/>
        <v>300</v>
      </c>
      <c r="G75">
        <f t="shared" si="2"/>
        <v>250</v>
      </c>
      <c r="H75">
        <f t="shared" si="3"/>
        <v>100</v>
      </c>
      <c r="I75">
        <f t="shared" si="4"/>
        <v>0</v>
      </c>
      <c r="J75">
        <f t="shared" si="5"/>
        <v>0</v>
      </c>
      <c r="K75">
        <f t="shared" si="6"/>
        <v>100</v>
      </c>
      <c r="L75">
        <f t="shared" si="7"/>
        <v>0</v>
      </c>
      <c r="M75">
        <f t="shared" si="8"/>
        <v>875</v>
      </c>
      <c r="N75">
        <f t="shared" si="9"/>
        <v>975</v>
      </c>
    </row>
    <row r="76" spans="4:14" hidden="1">
      <c r="D76" s="19">
        <v>61</v>
      </c>
      <c r="E76">
        <f t="shared" si="1"/>
        <v>100</v>
      </c>
      <c r="F76">
        <f t="shared" si="0"/>
        <v>300</v>
      </c>
      <c r="G76">
        <f t="shared" si="2"/>
        <v>250</v>
      </c>
      <c r="H76">
        <f t="shared" si="3"/>
        <v>50</v>
      </c>
      <c r="I76">
        <f t="shared" si="4"/>
        <v>0</v>
      </c>
      <c r="J76">
        <f t="shared" si="5"/>
        <v>0</v>
      </c>
      <c r="K76">
        <f t="shared" si="6"/>
        <v>60</v>
      </c>
      <c r="L76">
        <f t="shared" si="7"/>
        <v>0</v>
      </c>
      <c r="M76">
        <f t="shared" si="8"/>
        <v>875</v>
      </c>
      <c r="N76">
        <f t="shared" si="9"/>
        <v>935</v>
      </c>
    </row>
    <row r="77" spans="4:14" hidden="1">
      <c r="D77" s="19">
        <v>62</v>
      </c>
      <c r="E77">
        <f t="shared" si="1"/>
        <v>50</v>
      </c>
      <c r="F77">
        <f t="shared" si="0"/>
        <v>300</v>
      </c>
      <c r="G77">
        <f t="shared" si="2"/>
        <v>250</v>
      </c>
      <c r="H77">
        <f t="shared" si="3"/>
        <v>0</v>
      </c>
      <c r="I77">
        <f t="shared" si="4"/>
        <v>0</v>
      </c>
      <c r="J77">
        <f t="shared" si="5"/>
        <v>1</v>
      </c>
      <c r="K77">
        <f t="shared" si="6"/>
        <v>20</v>
      </c>
      <c r="L77">
        <f t="shared" si="7"/>
        <v>0</v>
      </c>
      <c r="M77">
        <f t="shared" si="8"/>
        <v>875</v>
      </c>
      <c r="N77">
        <f t="shared" si="9"/>
        <v>895</v>
      </c>
    </row>
    <row r="78" spans="4:14" hidden="1">
      <c r="D78" s="19">
        <v>63</v>
      </c>
      <c r="E78">
        <f t="shared" si="1"/>
        <v>0</v>
      </c>
      <c r="F78">
        <f t="shared" si="0"/>
        <v>300</v>
      </c>
      <c r="G78">
        <f t="shared" si="2"/>
        <v>500</v>
      </c>
      <c r="H78">
        <f t="shared" si="3"/>
        <v>200</v>
      </c>
      <c r="I78">
        <f t="shared" si="4"/>
        <v>0</v>
      </c>
      <c r="J78">
        <f t="shared" si="5"/>
        <v>1</v>
      </c>
      <c r="K78">
        <f t="shared" si="6"/>
        <v>80</v>
      </c>
      <c r="L78">
        <f t="shared" si="7"/>
        <v>0</v>
      </c>
      <c r="M78">
        <f t="shared" si="8"/>
        <v>1750</v>
      </c>
      <c r="N78">
        <f t="shared" si="9"/>
        <v>1830</v>
      </c>
    </row>
    <row r="79" spans="4:14" hidden="1">
      <c r="D79" s="19">
        <v>64</v>
      </c>
      <c r="E79">
        <f t="shared" si="1"/>
        <v>200</v>
      </c>
      <c r="F79">
        <f t="shared" si="0"/>
        <v>300</v>
      </c>
      <c r="G79">
        <f t="shared" si="2"/>
        <v>500</v>
      </c>
      <c r="H79">
        <f t="shared" si="3"/>
        <v>400</v>
      </c>
      <c r="I79">
        <f t="shared" si="4"/>
        <v>0</v>
      </c>
      <c r="J79">
        <f t="shared" si="5"/>
        <v>0</v>
      </c>
      <c r="K79">
        <f t="shared" si="6"/>
        <v>240</v>
      </c>
      <c r="L79">
        <f t="shared" si="7"/>
        <v>0</v>
      </c>
      <c r="M79">
        <f t="shared" si="8"/>
        <v>1750</v>
      </c>
      <c r="N79">
        <f t="shared" si="9"/>
        <v>1990</v>
      </c>
    </row>
    <row r="80" spans="4:14" hidden="1">
      <c r="D80" s="19">
        <v>65</v>
      </c>
      <c r="E80">
        <f t="shared" si="1"/>
        <v>400</v>
      </c>
      <c r="F80">
        <f t="shared" si="0"/>
        <v>300</v>
      </c>
      <c r="G80">
        <f t="shared" si="2"/>
        <v>250</v>
      </c>
      <c r="H80">
        <f t="shared" si="3"/>
        <v>350</v>
      </c>
      <c r="I80">
        <f t="shared" si="4"/>
        <v>0</v>
      </c>
      <c r="J80">
        <f t="shared" si="5"/>
        <v>0</v>
      </c>
      <c r="K80">
        <f t="shared" si="6"/>
        <v>300</v>
      </c>
      <c r="L80">
        <f t="shared" si="7"/>
        <v>0</v>
      </c>
      <c r="M80">
        <f t="shared" si="8"/>
        <v>875</v>
      </c>
      <c r="N80">
        <f t="shared" si="9"/>
        <v>1175</v>
      </c>
    </row>
    <row r="81" spans="4:14" hidden="1">
      <c r="D81" s="19">
        <v>66</v>
      </c>
      <c r="E81">
        <f t="shared" si="1"/>
        <v>350</v>
      </c>
      <c r="F81">
        <f t="shared" ref="F81:F144" si="10">$C$3</f>
        <v>300</v>
      </c>
      <c r="G81">
        <f t="shared" si="2"/>
        <v>250</v>
      </c>
      <c r="H81">
        <f t="shared" si="3"/>
        <v>300</v>
      </c>
      <c r="I81">
        <f t="shared" si="4"/>
        <v>0</v>
      </c>
      <c r="J81">
        <f t="shared" si="5"/>
        <v>0</v>
      </c>
      <c r="K81">
        <f t="shared" si="6"/>
        <v>260</v>
      </c>
      <c r="L81">
        <f t="shared" si="7"/>
        <v>0</v>
      </c>
      <c r="M81">
        <f t="shared" si="8"/>
        <v>875</v>
      </c>
      <c r="N81">
        <f t="shared" si="9"/>
        <v>1135</v>
      </c>
    </row>
    <row r="82" spans="4:14" hidden="1">
      <c r="D82" s="19">
        <v>67</v>
      </c>
      <c r="E82">
        <f t="shared" ref="E82:E145" si="11">H81</f>
        <v>300</v>
      </c>
      <c r="F82">
        <f t="shared" si="10"/>
        <v>300</v>
      </c>
      <c r="G82">
        <f t="shared" ref="G82:G145" si="12">$C$2+J81*$C$2</f>
        <v>250</v>
      </c>
      <c r="H82">
        <f t="shared" ref="H82:H145" si="13">MAX(E82+G82-F82,0)</f>
        <v>250</v>
      </c>
      <c r="I82">
        <f t="shared" ref="I82:I145" si="14">MAX(0,F82-G82-E82)</f>
        <v>0</v>
      </c>
      <c r="J82">
        <f t="shared" ref="J82:J145" si="15">IF(H81&lt;$C$5,1,0)</f>
        <v>0</v>
      </c>
      <c r="K82">
        <f t="shared" ref="K82:K145" si="16">(E82+H82)/2*$C$6</f>
        <v>220</v>
      </c>
      <c r="L82">
        <f t="shared" ref="L82:L145" si="17">I82*$C$7</f>
        <v>0</v>
      </c>
      <c r="M82">
        <f t="shared" ref="M82:M145" si="18">G82*$C$8</f>
        <v>875</v>
      </c>
      <c r="N82">
        <f t="shared" ref="N82:N145" si="19">SUM(K82:M82)</f>
        <v>1095</v>
      </c>
    </row>
    <row r="83" spans="4:14" hidden="1">
      <c r="D83" s="19">
        <v>68</v>
      </c>
      <c r="E83">
        <f t="shared" si="11"/>
        <v>250</v>
      </c>
      <c r="F83">
        <f t="shared" si="10"/>
        <v>300</v>
      </c>
      <c r="G83">
        <f t="shared" si="12"/>
        <v>250</v>
      </c>
      <c r="H83">
        <f t="shared" si="13"/>
        <v>200</v>
      </c>
      <c r="I83">
        <f t="shared" si="14"/>
        <v>0</v>
      </c>
      <c r="J83">
        <f t="shared" si="15"/>
        <v>0</v>
      </c>
      <c r="K83">
        <f t="shared" si="16"/>
        <v>180</v>
      </c>
      <c r="L83">
        <f t="shared" si="17"/>
        <v>0</v>
      </c>
      <c r="M83">
        <f t="shared" si="18"/>
        <v>875</v>
      </c>
      <c r="N83">
        <f t="shared" si="19"/>
        <v>1055</v>
      </c>
    </row>
    <row r="84" spans="4:14" hidden="1">
      <c r="D84" s="19">
        <v>69</v>
      </c>
      <c r="E84">
        <f t="shared" si="11"/>
        <v>200</v>
      </c>
      <c r="F84">
        <f t="shared" si="10"/>
        <v>300</v>
      </c>
      <c r="G84">
        <f t="shared" si="12"/>
        <v>250</v>
      </c>
      <c r="H84">
        <f t="shared" si="13"/>
        <v>150</v>
      </c>
      <c r="I84">
        <f t="shared" si="14"/>
        <v>0</v>
      </c>
      <c r="J84">
        <f t="shared" si="15"/>
        <v>0</v>
      </c>
      <c r="K84">
        <f t="shared" si="16"/>
        <v>140</v>
      </c>
      <c r="L84">
        <f t="shared" si="17"/>
        <v>0</v>
      </c>
      <c r="M84">
        <f t="shared" si="18"/>
        <v>875</v>
      </c>
      <c r="N84">
        <f t="shared" si="19"/>
        <v>1015</v>
      </c>
    </row>
    <row r="85" spans="4:14" hidden="1">
      <c r="D85" s="19">
        <v>70</v>
      </c>
      <c r="E85">
        <f t="shared" si="11"/>
        <v>150</v>
      </c>
      <c r="F85">
        <f t="shared" si="10"/>
        <v>300</v>
      </c>
      <c r="G85">
        <f t="shared" si="12"/>
        <v>250</v>
      </c>
      <c r="H85">
        <f t="shared" si="13"/>
        <v>100</v>
      </c>
      <c r="I85">
        <f t="shared" si="14"/>
        <v>0</v>
      </c>
      <c r="J85">
        <f t="shared" si="15"/>
        <v>0</v>
      </c>
      <c r="K85">
        <f t="shared" si="16"/>
        <v>100</v>
      </c>
      <c r="L85">
        <f t="shared" si="17"/>
        <v>0</v>
      </c>
      <c r="M85">
        <f t="shared" si="18"/>
        <v>875</v>
      </c>
      <c r="N85">
        <f t="shared" si="19"/>
        <v>975</v>
      </c>
    </row>
    <row r="86" spans="4:14" hidden="1">
      <c r="D86" s="19">
        <v>71</v>
      </c>
      <c r="E86">
        <f t="shared" si="11"/>
        <v>100</v>
      </c>
      <c r="F86">
        <f t="shared" si="10"/>
        <v>300</v>
      </c>
      <c r="G86">
        <f t="shared" si="12"/>
        <v>250</v>
      </c>
      <c r="H86">
        <f t="shared" si="13"/>
        <v>50</v>
      </c>
      <c r="I86">
        <f t="shared" si="14"/>
        <v>0</v>
      </c>
      <c r="J86">
        <f t="shared" si="15"/>
        <v>0</v>
      </c>
      <c r="K86">
        <f t="shared" si="16"/>
        <v>60</v>
      </c>
      <c r="L86">
        <f t="shared" si="17"/>
        <v>0</v>
      </c>
      <c r="M86">
        <f t="shared" si="18"/>
        <v>875</v>
      </c>
      <c r="N86">
        <f t="shared" si="19"/>
        <v>935</v>
      </c>
    </row>
    <row r="87" spans="4:14" hidden="1">
      <c r="D87" s="19">
        <v>72</v>
      </c>
      <c r="E87">
        <f t="shared" si="11"/>
        <v>50</v>
      </c>
      <c r="F87">
        <f t="shared" si="10"/>
        <v>300</v>
      </c>
      <c r="G87">
        <f t="shared" si="12"/>
        <v>250</v>
      </c>
      <c r="H87">
        <f t="shared" si="13"/>
        <v>0</v>
      </c>
      <c r="I87">
        <f t="shared" si="14"/>
        <v>0</v>
      </c>
      <c r="J87">
        <f t="shared" si="15"/>
        <v>1</v>
      </c>
      <c r="K87">
        <f t="shared" si="16"/>
        <v>20</v>
      </c>
      <c r="L87">
        <f t="shared" si="17"/>
        <v>0</v>
      </c>
      <c r="M87">
        <f t="shared" si="18"/>
        <v>875</v>
      </c>
      <c r="N87">
        <f t="shared" si="19"/>
        <v>895</v>
      </c>
    </row>
    <row r="88" spans="4:14" hidden="1">
      <c r="D88" s="19">
        <v>73</v>
      </c>
      <c r="E88">
        <f t="shared" si="11"/>
        <v>0</v>
      </c>
      <c r="F88">
        <f t="shared" si="10"/>
        <v>300</v>
      </c>
      <c r="G88">
        <f t="shared" si="12"/>
        <v>500</v>
      </c>
      <c r="H88">
        <f t="shared" si="13"/>
        <v>200</v>
      </c>
      <c r="I88">
        <f t="shared" si="14"/>
        <v>0</v>
      </c>
      <c r="J88">
        <f t="shared" si="15"/>
        <v>1</v>
      </c>
      <c r="K88">
        <f t="shared" si="16"/>
        <v>80</v>
      </c>
      <c r="L88">
        <f t="shared" si="17"/>
        <v>0</v>
      </c>
      <c r="M88">
        <f t="shared" si="18"/>
        <v>1750</v>
      </c>
      <c r="N88">
        <f t="shared" si="19"/>
        <v>1830</v>
      </c>
    </row>
    <row r="89" spans="4:14" hidden="1">
      <c r="D89" s="19">
        <v>74</v>
      </c>
      <c r="E89">
        <f t="shared" si="11"/>
        <v>200</v>
      </c>
      <c r="F89">
        <f t="shared" si="10"/>
        <v>300</v>
      </c>
      <c r="G89">
        <f t="shared" si="12"/>
        <v>500</v>
      </c>
      <c r="H89">
        <f t="shared" si="13"/>
        <v>400</v>
      </c>
      <c r="I89">
        <f t="shared" si="14"/>
        <v>0</v>
      </c>
      <c r="J89">
        <f t="shared" si="15"/>
        <v>0</v>
      </c>
      <c r="K89">
        <f t="shared" si="16"/>
        <v>240</v>
      </c>
      <c r="L89">
        <f t="shared" si="17"/>
        <v>0</v>
      </c>
      <c r="M89">
        <f t="shared" si="18"/>
        <v>1750</v>
      </c>
      <c r="N89">
        <f t="shared" si="19"/>
        <v>1990</v>
      </c>
    </row>
    <row r="90" spans="4:14" hidden="1">
      <c r="D90" s="19">
        <v>75</v>
      </c>
      <c r="E90">
        <f t="shared" si="11"/>
        <v>400</v>
      </c>
      <c r="F90">
        <f t="shared" si="10"/>
        <v>300</v>
      </c>
      <c r="G90">
        <f t="shared" si="12"/>
        <v>250</v>
      </c>
      <c r="H90">
        <f t="shared" si="13"/>
        <v>350</v>
      </c>
      <c r="I90">
        <f t="shared" si="14"/>
        <v>0</v>
      </c>
      <c r="J90">
        <f t="shared" si="15"/>
        <v>0</v>
      </c>
      <c r="K90">
        <f t="shared" si="16"/>
        <v>300</v>
      </c>
      <c r="L90">
        <f t="shared" si="17"/>
        <v>0</v>
      </c>
      <c r="M90">
        <f t="shared" si="18"/>
        <v>875</v>
      </c>
      <c r="N90">
        <f t="shared" si="19"/>
        <v>1175</v>
      </c>
    </row>
    <row r="91" spans="4:14" hidden="1">
      <c r="D91" s="19">
        <v>76</v>
      </c>
      <c r="E91">
        <f t="shared" si="11"/>
        <v>350</v>
      </c>
      <c r="F91">
        <f t="shared" si="10"/>
        <v>300</v>
      </c>
      <c r="G91">
        <f t="shared" si="12"/>
        <v>250</v>
      </c>
      <c r="H91">
        <f t="shared" si="13"/>
        <v>300</v>
      </c>
      <c r="I91">
        <f t="shared" si="14"/>
        <v>0</v>
      </c>
      <c r="J91">
        <f t="shared" si="15"/>
        <v>0</v>
      </c>
      <c r="K91">
        <f t="shared" si="16"/>
        <v>260</v>
      </c>
      <c r="L91">
        <f t="shared" si="17"/>
        <v>0</v>
      </c>
      <c r="M91">
        <f t="shared" si="18"/>
        <v>875</v>
      </c>
      <c r="N91">
        <f t="shared" si="19"/>
        <v>1135</v>
      </c>
    </row>
    <row r="92" spans="4:14" hidden="1">
      <c r="D92" s="19">
        <v>77</v>
      </c>
      <c r="E92">
        <f t="shared" si="11"/>
        <v>300</v>
      </c>
      <c r="F92">
        <f t="shared" si="10"/>
        <v>300</v>
      </c>
      <c r="G92">
        <f t="shared" si="12"/>
        <v>250</v>
      </c>
      <c r="H92">
        <f t="shared" si="13"/>
        <v>250</v>
      </c>
      <c r="I92">
        <f t="shared" si="14"/>
        <v>0</v>
      </c>
      <c r="J92">
        <f t="shared" si="15"/>
        <v>0</v>
      </c>
      <c r="K92">
        <f t="shared" si="16"/>
        <v>220</v>
      </c>
      <c r="L92">
        <f t="shared" si="17"/>
        <v>0</v>
      </c>
      <c r="M92">
        <f t="shared" si="18"/>
        <v>875</v>
      </c>
      <c r="N92">
        <f t="shared" si="19"/>
        <v>1095</v>
      </c>
    </row>
    <row r="93" spans="4:14" hidden="1">
      <c r="D93" s="19">
        <v>78</v>
      </c>
      <c r="E93">
        <f t="shared" si="11"/>
        <v>250</v>
      </c>
      <c r="F93">
        <f t="shared" si="10"/>
        <v>300</v>
      </c>
      <c r="G93">
        <f t="shared" si="12"/>
        <v>250</v>
      </c>
      <c r="H93">
        <f t="shared" si="13"/>
        <v>200</v>
      </c>
      <c r="I93">
        <f t="shared" si="14"/>
        <v>0</v>
      </c>
      <c r="J93">
        <f t="shared" si="15"/>
        <v>0</v>
      </c>
      <c r="K93">
        <f t="shared" si="16"/>
        <v>180</v>
      </c>
      <c r="L93">
        <f t="shared" si="17"/>
        <v>0</v>
      </c>
      <c r="M93">
        <f t="shared" si="18"/>
        <v>875</v>
      </c>
      <c r="N93">
        <f t="shared" si="19"/>
        <v>1055</v>
      </c>
    </row>
    <row r="94" spans="4:14" hidden="1">
      <c r="D94" s="19">
        <v>79</v>
      </c>
      <c r="E94">
        <f t="shared" si="11"/>
        <v>200</v>
      </c>
      <c r="F94">
        <f t="shared" si="10"/>
        <v>300</v>
      </c>
      <c r="G94">
        <f t="shared" si="12"/>
        <v>250</v>
      </c>
      <c r="H94">
        <f t="shared" si="13"/>
        <v>150</v>
      </c>
      <c r="I94">
        <f t="shared" si="14"/>
        <v>0</v>
      </c>
      <c r="J94">
        <f t="shared" si="15"/>
        <v>0</v>
      </c>
      <c r="K94">
        <f t="shared" si="16"/>
        <v>140</v>
      </c>
      <c r="L94">
        <f t="shared" si="17"/>
        <v>0</v>
      </c>
      <c r="M94">
        <f t="shared" si="18"/>
        <v>875</v>
      </c>
      <c r="N94">
        <f t="shared" si="19"/>
        <v>1015</v>
      </c>
    </row>
    <row r="95" spans="4:14" hidden="1">
      <c r="D95" s="19">
        <v>80</v>
      </c>
      <c r="E95">
        <f t="shared" si="11"/>
        <v>150</v>
      </c>
      <c r="F95">
        <f t="shared" si="10"/>
        <v>300</v>
      </c>
      <c r="G95">
        <f t="shared" si="12"/>
        <v>250</v>
      </c>
      <c r="H95">
        <f t="shared" si="13"/>
        <v>100</v>
      </c>
      <c r="I95">
        <f t="shared" si="14"/>
        <v>0</v>
      </c>
      <c r="J95">
        <f t="shared" si="15"/>
        <v>0</v>
      </c>
      <c r="K95">
        <f t="shared" si="16"/>
        <v>100</v>
      </c>
      <c r="L95">
        <f t="shared" si="17"/>
        <v>0</v>
      </c>
      <c r="M95">
        <f t="shared" si="18"/>
        <v>875</v>
      </c>
      <c r="N95">
        <f t="shared" si="19"/>
        <v>975</v>
      </c>
    </row>
    <row r="96" spans="4:14" hidden="1">
      <c r="D96" s="19">
        <v>81</v>
      </c>
      <c r="E96">
        <f t="shared" si="11"/>
        <v>100</v>
      </c>
      <c r="F96">
        <f t="shared" si="10"/>
        <v>300</v>
      </c>
      <c r="G96">
        <f t="shared" si="12"/>
        <v>250</v>
      </c>
      <c r="H96">
        <f t="shared" si="13"/>
        <v>50</v>
      </c>
      <c r="I96">
        <f t="shared" si="14"/>
        <v>0</v>
      </c>
      <c r="J96">
        <f t="shared" si="15"/>
        <v>0</v>
      </c>
      <c r="K96">
        <f t="shared" si="16"/>
        <v>60</v>
      </c>
      <c r="L96">
        <f t="shared" si="17"/>
        <v>0</v>
      </c>
      <c r="M96">
        <f t="shared" si="18"/>
        <v>875</v>
      </c>
      <c r="N96">
        <f t="shared" si="19"/>
        <v>935</v>
      </c>
    </row>
    <row r="97" spans="4:14" hidden="1">
      <c r="D97" s="19">
        <v>82</v>
      </c>
      <c r="E97">
        <f t="shared" si="11"/>
        <v>50</v>
      </c>
      <c r="F97">
        <f t="shared" si="10"/>
        <v>300</v>
      </c>
      <c r="G97">
        <f t="shared" si="12"/>
        <v>250</v>
      </c>
      <c r="H97">
        <f t="shared" si="13"/>
        <v>0</v>
      </c>
      <c r="I97">
        <f t="shared" si="14"/>
        <v>0</v>
      </c>
      <c r="J97">
        <f t="shared" si="15"/>
        <v>1</v>
      </c>
      <c r="K97">
        <f t="shared" si="16"/>
        <v>20</v>
      </c>
      <c r="L97">
        <f t="shared" si="17"/>
        <v>0</v>
      </c>
      <c r="M97">
        <f t="shared" si="18"/>
        <v>875</v>
      </c>
      <c r="N97">
        <f t="shared" si="19"/>
        <v>895</v>
      </c>
    </row>
    <row r="98" spans="4:14" hidden="1">
      <c r="D98" s="19">
        <v>83</v>
      </c>
      <c r="E98">
        <f t="shared" si="11"/>
        <v>0</v>
      </c>
      <c r="F98">
        <f t="shared" si="10"/>
        <v>300</v>
      </c>
      <c r="G98">
        <f t="shared" si="12"/>
        <v>500</v>
      </c>
      <c r="H98">
        <f t="shared" si="13"/>
        <v>200</v>
      </c>
      <c r="I98">
        <f t="shared" si="14"/>
        <v>0</v>
      </c>
      <c r="J98">
        <f t="shared" si="15"/>
        <v>1</v>
      </c>
      <c r="K98">
        <f t="shared" si="16"/>
        <v>80</v>
      </c>
      <c r="L98">
        <f t="shared" si="17"/>
        <v>0</v>
      </c>
      <c r="M98">
        <f t="shared" si="18"/>
        <v>1750</v>
      </c>
      <c r="N98">
        <f t="shared" si="19"/>
        <v>1830</v>
      </c>
    </row>
    <row r="99" spans="4:14" hidden="1">
      <c r="D99" s="19">
        <v>84</v>
      </c>
      <c r="E99">
        <f t="shared" si="11"/>
        <v>200</v>
      </c>
      <c r="F99">
        <f t="shared" si="10"/>
        <v>300</v>
      </c>
      <c r="G99">
        <f t="shared" si="12"/>
        <v>500</v>
      </c>
      <c r="H99">
        <f t="shared" si="13"/>
        <v>400</v>
      </c>
      <c r="I99">
        <f t="shared" si="14"/>
        <v>0</v>
      </c>
      <c r="J99">
        <f t="shared" si="15"/>
        <v>0</v>
      </c>
      <c r="K99">
        <f t="shared" si="16"/>
        <v>240</v>
      </c>
      <c r="L99">
        <f t="shared" si="17"/>
        <v>0</v>
      </c>
      <c r="M99">
        <f t="shared" si="18"/>
        <v>1750</v>
      </c>
      <c r="N99">
        <f t="shared" si="19"/>
        <v>1990</v>
      </c>
    </row>
    <row r="100" spans="4:14" hidden="1">
      <c r="D100" s="19">
        <v>85</v>
      </c>
      <c r="E100">
        <f t="shared" si="11"/>
        <v>400</v>
      </c>
      <c r="F100">
        <f t="shared" si="10"/>
        <v>300</v>
      </c>
      <c r="G100">
        <f t="shared" si="12"/>
        <v>250</v>
      </c>
      <c r="H100">
        <f t="shared" si="13"/>
        <v>350</v>
      </c>
      <c r="I100">
        <f t="shared" si="14"/>
        <v>0</v>
      </c>
      <c r="J100">
        <f t="shared" si="15"/>
        <v>0</v>
      </c>
      <c r="K100">
        <f t="shared" si="16"/>
        <v>300</v>
      </c>
      <c r="L100">
        <f t="shared" si="17"/>
        <v>0</v>
      </c>
      <c r="M100">
        <f t="shared" si="18"/>
        <v>875</v>
      </c>
      <c r="N100">
        <f t="shared" si="19"/>
        <v>1175</v>
      </c>
    </row>
    <row r="101" spans="4:14" hidden="1">
      <c r="D101" s="19">
        <v>86</v>
      </c>
      <c r="E101">
        <f t="shared" si="11"/>
        <v>350</v>
      </c>
      <c r="F101">
        <f t="shared" si="10"/>
        <v>300</v>
      </c>
      <c r="G101">
        <f t="shared" si="12"/>
        <v>250</v>
      </c>
      <c r="H101">
        <f t="shared" si="13"/>
        <v>300</v>
      </c>
      <c r="I101">
        <f t="shared" si="14"/>
        <v>0</v>
      </c>
      <c r="J101">
        <f t="shared" si="15"/>
        <v>0</v>
      </c>
      <c r="K101">
        <f t="shared" si="16"/>
        <v>260</v>
      </c>
      <c r="L101">
        <f t="shared" si="17"/>
        <v>0</v>
      </c>
      <c r="M101">
        <f t="shared" si="18"/>
        <v>875</v>
      </c>
      <c r="N101">
        <f t="shared" si="19"/>
        <v>1135</v>
      </c>
    </row>
    <row r="102" spans="4:14" hidden="1">
      <c r="D102" s="19">
        <v>87</v>
      </c>
      <c r="E102">
        <f t="shared" si="11"/>
        <v>300</v>
      </c>
      <c r="F102">
        <f t="shared" si="10"/>
        <v>300</v>
      </c>
      <c r="G102">
        <f t="shared" si="12"/>
        <v>250</v>
      </c>
      <c r="H102">
        <f t="shared" si="13"/>
        <v>250</v>
      </c>
      <c r="I102">
        <f t="shared" si="14"/>
        <v>0</v>
      </c>
      <c r="J102">
        <f t="shared" si="15"/>
        <v>0</v>
      </c>
      <c r="K102">
        <f t="shared" si="16"/>
        <v>220</v>
      </c>
      <c r="L102">
        <f t="shared" si="17"/>
        <v>0</v>
      </c>
      <c r="M102">
        <f t="shared" si="18"/>
        <v>875</v>
      </c>
      <c r="N102">
        <f t="shared" si="19"/>
        <v>1095</v>
      </c>
    </row>
    <row r="103" spans="4:14" hidden="1">
      <c r="D103" s="19">
        <v>88</v>
      </c>
      <c r="E103">
        <f t="shared" si="11"/>
        <v>250</v>
      </c>
      <c r="F103">
        <f t="shared" si="10"/>
        <v>300</v>
      </c>
      <c r="G103">
        <f t="shared" si="12"/>
        <v>250</v>
      </c>
      <c r="H103">
        <f t="shared" si="13"/>
        <v>200</v>
      </c>
      <c r="I103">
        <f t="shared" si="14"/>
        <v>0</v>
      </c>
      <c r="J103">
        <f t="shared" si="15"/>
        <v>0</v>
      </c>
      <c r="K103">
        <f t="shared" si="16"/>
        <v>180</v>
      </c>
      <c r="L103">
        <f t="shared" si="17"/>
        <v>0</v>
      </c>
      <c r="M103">
        <f t="shared" si="18"/>
        <v>875</v>
      </c>
      <c r="N103">
        <f t="shared" si="19"/>
        <v>1055</v>
      </c>
    </row>
    <row r="104" spans="4:14" hidden="1">
      <c r="D104" s="19">
        <v>89</v>
      </c>
      <c r="E104">
        <f t="shared" si="11"/>
        <v>200</v>
      </c>
      <c r="F104">
        <f t="shared" si="10"/>
        <v>300</v>
      </c>
      <c r="G104">
        <f t="shared" si="12"/>
        <v>250</v>
      </c>
      <c r="H104">
        <f t="shared" si="13"/>
        <v>150</v>
      </c>
      <c r="I104">
        <f t="shared" si="14"/>
        <v>0</v>
      </c>
      <c r="J104">
        <f t="shared" si="15"/>
        <v>0</v>
      </c>
      <c r="K104">
        <f t="shared" si="16"/>
        <v>140</v>
      </c>
      <c r="L104">
        <f t="shared" si="17"/>
        <v>0</v>
      </c>
      <c r="M104">
        <f t="shared" si="18"/>
        <v>875</v>
      </c>
      <c r="N104">
        <f t="shared" si="19"/>
        <v>1015</v>
      </c>
    </row>
    <row r="105" spans="4:14" hidden="1">
      <c r="D105" s="19">
        <v>90</v>
      </c>
      <c r="E105">
        <f t="shared" si="11"/>
        <v>150</v>
      </c>
      <c r="F105">
        <f t="shared" si="10"/>
        <v>300</v>
      </c>
      <c r="G105">
        <f t="shared" si="12"/>
        <v>250</v>
      </c>
      <c r="H105">
        <f t="shared" si="13"/>
        <v>100</v>
      </c>
      <c r="I105">
        <f t="shared" si="14"/>
        <v>0</v>
      </c>
      <c r="J105">
        <f t="shared" si="15"/>
        <v>0</v>
      </c>
      <c r="K105">
        <f t="shared" si="16"/>
        <v>100</v>
      </c>
      <c r="L105">
        <f t="shared" si="17"/>
        <v>0</v>
      </c>
      <c r="M105">
        <f t="shared" si="18"/>
        <v>875</v>
      </c>
      <c r="N105">
        <f t="shared" si="19"/>
        <v>975</v>
      </c>
    </row>
    <row r="106" spans="4:14" hidden="1">
      <c r="D106" s="19">
        <v>91</v>
      </c>
      <c r="E106">
        <f t="shared" si="11"/>
        <v>100</v>
      </c>
      <c r="F106">
        <f t="shared" si="10"/>
        <v>300</v>
      </c>
      <c r="G106">
        <f t="shared" si="12"/>
        <v>250</v>
      </c>
      <c r="H106">
        <f t="shared" si="13"/>
        <v>50</v>
      </c>
      <c r="I106">
        <f t="shared" si="14"/>
        <v>0</v>
      </c>
      <c r="J106">
        <f t="shared" si="15"/>
        <v>0</v>
      </c>
      <c r="K106">
        <f t="shared" si="16"/>
        <v>60</v>
      </c>
      <c r="L106">
        <f t="shared" si="17"/>
        <v>0</v>
      </c>
      <c r="M106">
        <f t="shared" si="18"/>
        <v>875</v>
      </c>
      <c r="N106">
        <f t="shared" si="19"/>
        <v>935</v>
      </c>
    </row>
    <row r="107" spans="4:14" hidden="1">
      <c r="D107" s="19">
        <v>92</v>
      </c>
      <c r="E107">
        <f t="shared" si="11"/>
        <v>50</v>
      </c>
      <c r="F107">
        <f t="shared" si="10"/>
        <v>300</v>
      </c>
      <c r="G107">
        <f t="shared" si="12"/>
        <v>250</v>
      </c>
      <c r="H107">
        <f t="shared" si="13"/>
        <v>0</v>
      </c>
      <c r="I107">
        <f t="shared" si="14"/>
        <v>0</v>
      </c>
      <c r="J107">
        <f t="shared" si="15"/>
        <v>1</v>
      </c>
      <c r="K107">
        <f t="shared" si="16"/>
        <v>20</v>
      </c>
      <c r="L107">
        <f t="shared" si="17"/>
        <v>0</v>
      </c>
      <c r="M107">
        <f t="shared" si="18"/>
        <v>875</v>
      </c>
      <c r="N107">
        <f t="shared" si="19"/>
        <v>895</v>
      </c>
    </row>
    <row r="108" spans="4:14" hidden="1">
      <c r="D108" s="19">
        <v>93</v>
      </c>
      <c r="E108">
        <f t="shared" si="11"/>
        <v>0</v>
      </c>
      <c r="F108">
        <f t="shared" si="10"/>
        <v>300</v>
      </c>
      <c r="G108">
        <f t="shared" si="12"/>
        <v>500</v>
      </c>
      <c r="H108">
        <f t="shared" si="13"/>
        <v>200</v>
      </c>
      <c r="I108">
        <f t="shared" si="14"/>
        <v>0</v>
      </c>
      <c r="J108">
        <f t="shared" si="15"/>
        <v>1</v>
      </c>
      <c r="K108">
        <f t="shared" si="16"/>
        <v>80</v>
      </c>
      <c r="L108">
        <f t="shared" si="17"/>
        <v>0</v>
      </c>
      <c r="M108">
        <f t="shared" si="18"/>
        <v>1750</v>
      </c>
      <c r="N108">
        <f t="shared" si="19"/>
        <v>1830</v>
      </c>
    </row>
    <row r="109" spans="4:14" hidden="1">
      <c r="D109" s="19">
        <v>94</v>
      </c>
      <c r="E109">
        <f t="shared" si="11"/>
        <v>200</v>
      </c>
      <c r="F109">
        <f t="shared" si="10"/>
        <v>300</v>
      </c>
      <c r="G109">
        <f t="shared" si="12"/>
        <v>500</v>
      </c>
      <c r="H109">
        <f t="shared" si="13"/>
        <v>400</v>
      </c>
      <c r="I109">
        <f t="shared" si="14"/>
        <v>0</v>
      </c>
      <c r="J109">
        <f t="shared" si="15"/>
        <v>0</v>
      </c>
      <c r="K109">
        <f t="shared" si="16"/>
        <v>240</v>
      </c>
      <c r="L109">
        <f t="shared" si="17"/>
        <v>0</v>
      </c>
      <c r="M109">
        <f t="shared" si="18"/>
        <v>1750</v>
      </c>
      <c r="N109">
        <f t="shared" si="19"/>
        <v>1990</v>
      </c>
    </row>
    <row r="110" spans="4:14" hidden="1">
      <c r="D110" s="19">
        <v>95</v>
      </c>
      <c r="E110">
        <f t="shared" si="11"/>
        <v>400</v>
      </c>
      <c r="F110">
        <f t="shared" si="10"/>
        <v>300</v>
      </c>
      <c r="G110">
        <f t="shared" si="12"/>
        <v>250</v>
      </c>
      <c r="H110">
        <f t="shared" si="13"/>
        <v>350</v>
      </c>
      <c r="I110">
        <f t="shared" si="14"/>
        <v>0</v>
      </c>
      <c r="J110">
        <f t="shared" si="15"/>
        <v>0</v>
      </c>
      <c r="K110">
        <f t="shared" si="16"/>
        <v>300</v>
      </c>
      <c r="L110">
        <f t="shared" si="17"/>
        <v>0</v>
      </c>
      <c r="M110">
        <f t="shared" si="18"/>
        <v>875</v>
      </c>
      <c r="N110">
        <f t="shared" si="19"/>
        <v>1175</v>
      </c>
    </row>
    <row r="111" spans="4:14" hidden="1">
      <c r="D111" s="19">
        <v>96</v>
      </c>
      <c r="E111">
        <f t="shared" si="11"/>
        <v>350</v>
      </c>
      <c r="F111">
        <f t="shared" si="10"/>
        <v>300</v>
      </c>
      <c r="G111">
        <f t="shared" si="12"/>
        <v>250</v>
      </c>
      <c r="H111">
        <f t="shared" si="13"/>
        <v>300</v>
      </c>
      <c r="I111">
        <f t="shared" si="14"/>
        <v>0</v>
      </c>
      <c r="J111">
        <f t="shared" si="15"/>
        <v>0</v>
      </c>
      <c r="K111">
        <f t="shared" si="16"/>
        <v>260</v>
      </c>
      <c r="L111">
        <f t="shared" si="17"/>
        <v>0</v>
      </c>
      <c r="M111">
        <f t="shared" si="18"/>
        <v>875</v>
      </c>
      <c r="N111">
        <f t="shared" si="19"/>
        <v>1135</v>
      </c>
    </row>
    <row r="112" spans="4:14" hidden="1">
      <c r="D112" s="19">
        <v>97</v>
      </c>
      <c r="E112">
        <f t="shared" si="11"/>
        <v>300</v>
      </c>
      <c r="F112">
        <f t="shared" si="10"/>
        <v>300</v>
      </c>
      <c r="G112">
        <f t="shared" si="12"/>
        <v>250</v>
      </c>
      <c r="H112">
        <f t="shared" si="13"/>
        <v>250</v>
      </c>
      <c r="I112">
        <f t="shared" si="14"/>
        <v>0</v>
      </c>
      <c r="J112">
        <f t="shared" si="15"/>
        <v>0</v>
      </c>
      <c r="K112">
        <f t="shared" si="16"/>
        <v>220</v>
      </c>
      <c r="L112">
        <f t="shared" si="17"/>
        <v>0</v>
      </c>
      <c r="M112">
        <f t="shared" si="18"/>
        <v>875</v>
      </c>
      <c r="N112">
        <f t="shared" si="19"/>
        <v>1095</v>
      </c>
    </row>
    <row r="113" spans="4:14" hidden="1">
      <c r="D113" s="19">
        <v>98</v>
      </c>
      <c r="E113">
        <f t="shared" si="11"/>
        <v>250</v>
      </c>
      <c r="F113">
        <f t="shared" si="10"/>
        <v>300</v>
      </c>
      <c r="G113">
        <f t="shared" si="12"/>
        <v>250</v>
      </c>
      <c r="H113">
        <f t="shared" si="13"/>
        <v>200</v>
      </c>
      <c r="I113">
        <f t="shared" si="14"/>
        <v>0</v>
      </c>
      <c r="J113">
        <f t="shared" si="15"/>
        <v>0</v>
      </c>
      <c r="K113">
        <f t="shared" si="16"/>
        <v>180</v>
      </c>
      <c r="L113">
        <f t="shared" si="17"/>
        <v>0</v>
      </c>
      <c r="M113">
        <f t="shared" si="18"/>
        <v>875</v>
      </c>
      <c r="N113">
        <f t="shared" si="19"/>
        <v>1055</v>
      </c>
    </row>
    <row r="114" spans="4:14" hidden="1">
      <c r="D114" s="19">
        <v>99</v>
      </c>
      <c r="E114">
        <f t="shared" si="11"/>
        <v>200</v>
      </c>
      <c r="F114">
        <f t="shared" si="10"/>
        <v>300</v>
      </c>
      <c r="G114">
        <f t="shared" si="12"/>
        <v>250</v>
      </c>
      <c r="H114">
        <f t="shared" si="13"/>
        <v>150</v>
      </c>
      <c r="I114">
        <f t="shared" si="14"/>
        <v>0</v>
      </c>
      <c r="J114">
        <f t="shared" si="15"/>
        <v>0</v>
      </c>
      <c r="K114">
        <f t="shared" si="16"/>
        <v>140</v>
      </c>
      <c r="L114">
        <f t="shared" si="17"/>
        <v>0</v>
      </c>
      <c r="M114">
        <f t="shared" si="18"/>
        <v>875</v>
      </c>
      <c r="N114">
        <f t="shared" si="19"/>
        <v>1015</v>
      </c>
    </row>
    <row r="115" spans="4:14" hidden="1">
      <c r="D115" s="19">
        <v>100</v>
      </c>
      <c r="E115">
        <f t="shared" si="11"/>
        <v>150</v>
      </c>
      <c r="F115">
        <f t="shared" si="10"/>
        <v>300</v>
      </c>
      <c r="G115">
        <f t="shared" si="12"/>
        <v>250</v>
      </c>
      <c r="H115">
        <f t="shared" si="13"/>
        <v>100</v>
      </c>
      <c r="I115">
        <f t="shared" si="14"/>
        <v>0</v>
      </c>
      <c r="J115">
        <f t="shared" si="15"/>
        <v>0</v>
      </c>
      <c r="K115">
        <f t="shared" si="16"/>
        <v>100</v>
      </c>
      <c r="L115">
        <f t="shared" si="17"/>
        <v>0</v>
      </c>
      <c r="M115">
        <f t="shared" si="18"/>
        <v>875</v>
      </c>
      <c r="N115">
        <f t="shared" si="19"/>
        <v>975</v>
      </c>
    </row>
    <row r="116" spans="4:14" hidden="1">
      <c r="D116" s="19">
        <v>101</v>
      </c>
      <c r="E116">
        <f t="shared" si="11"/>
        <v>100</v>
      </c>
      <c r="F116">
        <f t="shared" si="10"/>
        <v>300</v>
      </c>
      <c r="G116">
        <f t="shared" si="12"/>
        <v>250</v>
      </c>
      <c r="H116">
        <f t="shared" si="13"/>
        <v>50</v>
      </c>
      <c r="I116">
        <f t="shared" si="14"/>
        <v>0</v>
      </c>
      <c r="J116">
        <f t="shared" si="15"/>
        <v>0</v>
      </c>
      <c r="K116">
        <f t="shared" si="16"/>
        <v>60</v>
      </c>
      <c r="L116">
        <f t="shared" si="17"/>
        <v>0</v>
      </c>
      <c r="M116">
        <f t="shared" si="18"/>
        <v>875</v>
      </c>
      <c r="N116">
        <f t="shared" si="19"/>
        <v>935</v>
      </c>
    </row>
    <row r="117" spans="4:14" hidden="1">
      <c r="D117" s="19">
        <v>102</v>
      </c>
      <c r="E117">
        <f t="shared" si="11"/>
        <v>50</v>
      </c>
      <c r="F117">
        <f t="shared" si="10"/>
        <v>300</v>
      </c>
      <c r="G117">
        <f t="shared" si="12"/>
        <v>250</v>
      </c>
      <c r="H117">
        <f t="shared" si="13"/>
        <v>0</v>
      </c>
      <c r="I117">
        <f t="shared" si="14"/>
        <v>0</v>
      </c>
      <c r="J117">
        <f t="shared" si="15"/>
        <v>1</v>
      </c>
      <c r="K117">
        <f t="shared" si="16"/>
        <v>20</v>
      </c>
      <c r="L117">
        <f t="shared" si="17"/>
        <v>0</v>
      </c>
      <c r="M117">
        <f t="shared" si="18"/>
        <v>875</v>
      </c>
      <c r="N117">
        <f t="shared" si="19"/>
        <v>895</v>
      </c>
    </row>
    <row r="118" spans="4:14" hidden="1">
      <c r="D118" s="19">
        <v>103</v>
      </c>
      <c r="E118">
        <f t="shared" si="11"/>
        <v>0</v>
      </c>
      <c r="F118">
        <f t="shared" si="10"/>
        <v>300</v>
      </c>
      <c r="G118">
        <f t="shared" si="12"/>
        <v>500</v>
      </c>
      <c r="H118">
        <f t="shared" si="13"/>
        <v>200</v>
      </c>
      <c r="I118">
        <f t="shared" si="14"/>
        <v>0</v>
      </c>
      <c r="J118">
        <f t="shared" si="15"/>
        <v>1</v>
      </c>
      <c r="K118">
        <f t="shared" si="16"/>
        <v>80</v>
      </c>
      <c r="L118">
        <f t="shared" si="17"/>
        <v>0</v>
      </c>
      <c r="M118">
        <f t="shared" si="18"/>
        <v>1750</v>
      </c>
      <c r="N118">
        <f t="shared" si="19"/>
        <v>1830</v>
      </c>
    </row>
    <row r="119" spans="4:14" hidden="1">
      <c r="D119" s="19">
        <v>104</v>
      </c>
      <c r="E119">
        <f t="shared" si="11"/>
        <v>200</v>
      </c>
      <c r="F119">
        <f t="shared" si="10"/>
        <v>300</v>
      </c>
      <c r="G119">
        <f t="shared" si="12"/>
        <v>500</v>
      </c>
      <c r="H119">
        <f t="shared" si="13"/>
        <v>400</v>
      </c>
      <c r="I119">
        <f t="shared" si="14"/>
        <v>0</v>
      </c>
      <c r="J119">
        <f t="shared" si="15"/>
        <v>0</v>
      </c>
      <c r="K119">
        <f t="shared" si="16"/>
        <v>240</v>
      </c>
      <c r="L119">
        <f t="shared" si="17"/>
        <v>0</v>
      </c>
      <c r="M119">
        <f t="shared" si="18"/>
        <v>1750</v>
      </c>
      <c r="N119">
        <f t="shared" si="19"/>
        <v>1990</v>
      </c>
    </row>
    <row r="120" spans="4:14" hidden="1">
      <c r="D120" s="19">
        <v>105</v>
      </c>
      <c r="E120">
        <f t="shared" si="11"/>
        <v>400</v>
      </c>
      <c r="F120">
        <f t="shared" si="10"/>
        <v>300</v>
      </c>
      <c r="G120">
        <f t="shared" si="12"/>
        <v>250</v>
      </c>
      <c r="H120">
        <f t="shared" si="13"/>
        <v>350</v>
      </c>
      <c r="I120">
        <f t="shared" si="14"/>
        <v>0</v>
      </c>
      <c r="J120">
        <f t="shared" si="15"/>
        <v>0</v>
      </c>
      <c r="K120">
        <f t="shared" si="16"/>
        <v>300</v>
      </c>
      <c r="L120">
        <f t="shared" si="17"/>
        <v>0</v>
      </c>
      <c r="M120">
        <f t="shared" si="18"/>
        <v>875</v>
      </c>
      <c r="N120">
        <f t="shared" si="19"/>
        <v>1175</v>
      </c>
    </row>
    <row r="121" spans="4:14" hidden="1">
      <c r="D121" s="19">
        <v>106</v>
      </c>
      <c r="E121">
        <f t="shared" si="11"/>
        <v>350</v>
      </c>
      <c r="F121">
        <f t="shared" si="10"/>
        <v>300</v>
      </c>
      <c r="G121">
        <f t="shared" si="12"/>
        <v>250</v>
      </c>
      <c r="H121">
        <f t="shared" si="13"/>
        <v>300</v>
      </c>
      <c r="I121">
        <f t="shared" si="14"/>
        <v>0</v>
      </c>
      <c r="J121">
        <f t="shared" si="15"/>
        <v>0</v>
      </c>
      <c r="K121">
        <f t="shared" si="16"/>
        <v>260</v>
      </c>
      <c r="L121">
        <f t="shared" si="17"/>
        <v>0</v>
      </c>
      <c r="M121">
        <f t="shared" si="18"/>
        <v>875</v>
      </c>
      <c r="N121">
        <f t="shared" si="19"/>
        <v>1135</v>
      </c>
    </row>
    <row r="122" spans="4:14" hidden="1">
      <c r="D122" s="19">
        <v>107</v>
      </c>
      <c r="E122">
        <f t="shared" si="11"/>
        <v>300</v>
      </c>
      <c r="F122">
        <f t="shared" si="10"/>
        <v>300</v>
      </c>
      <c r="G122">
        <f t="shared" si="12"/>
        <v>250</v>
      </c>
      <c r="H122">
        <f t="shared" si="13"/>
        <v>250</v>
      </c>
      <c r="I122">
        <f t="shared" si="14"/>
        <v>0</v>
      </c>
      <c r="J122">
        <f t="shared" si="15"/>
        <v>0</v>
      </c>
      <c r="K122">
        <f t="shared" si="16"/>
        <v>220</v>
      </c>
      <c r="L122">
        <f t="shared" si="17"/>
        <v>0</v>
      </c>
      <c r="M122">
        <f t="shared" si="18"/>
        <v>875</v>
      </c>
      <c r="N122">
        <f t="shared" si="19"/>
        <v>1095</v>
      </c>
    </row>
    <row r="123" spans="4:14" hidden="1">
      <c r="D123" s="19">
        <v>108</v>
      </c>
      <c r="E123">
        <f t="shared" si="11"/>
        <v>250</v>
      </c>
      <c r="F123">
        <f t="shared" si="10"/>
        <v>300</v>
      </c>
      <c r="G123">
        <f t="shared" si="12"/>
        <v>250</v>
      </c>
      <c r="H123">
        <f t="shared" si="13"/>
        <v>200</v>
      </c>
      <c r="I123">
        <f t="shared" si="14"/>
        <v>0</v>
      </c>
      <c r="J123">
        <f t="shared" si="15"/>
        <v>0</v>
      </c>
      <c r="K123">
        <f t="shared" si="16"/>
        <v>180</v>
      </c>
      <c r="L123">
        <f t="shared" si="17"/>
        <v>0</v>
      </c>
      <c r="M123">
        <f t="shared" si="18"/>
        <v>875</v>
      </c>
      <c r="N123">
        <f t="shared" si="19"/>
        <v>1055</v>
      </c>
    </row>
    <row r="124" spans="4:14" hidden="1">
      <c r="D124" s="19">
        <v>109</v>
      </c>
      <c r="E124">
        <f t="shared" si="11"/>
        <v>200</v>
      </c>
      <c r="F124">
        <f t="shared" si="10"/>
        <v>300</v>
      </c>
      <c r="G124">
        <f t="shared" si="12"/>
        <v>250</v>
      </c>
      <c r="H124">
        <f t="shared" si="13"/>
        <v>150</v>
      </c>
      <c r="I124">
        <f t="shared" si="14"/>
        <v>0</v>
      </c>
      <c r="J124">
        <f t="shared" si="15"/>
        <v>0</v>
      </c>
      <c r="K124">
        <f t="shared" si="16"/>
        <v>140</v>
      </c>
      <c r="L124">
        <f t="shared" si="17"/>
        <v>0</v>
      </c>
      <c r="M124">
        <f t="shared" si="18"/>
        <v>875</v>
      </c>
      <c r="N124">
        <f t="shared" si="19"/>
        <v>1015</v>
      </c>
    </row>
    <row r="125" spans="4:14" hidden="1">
      <c r="D125" s="19">
        <v>110</v>
      </c>
      <c r="E125">
        <f t="shared" si="11"/>
        <v>150</v>
      </c>
      <c r="F125">
        <f t="shared" si="10"/>
        <v>300</v>
      </c>
      <c r="G125">
        <f t="shared" si="12"/>
        <v>250</v>
      </c>
      <c r="H125">
        <f t="shared" si="13"/>
        <v>100</v>
      </c>
      <c r="I125">
        <f t="shared" si="14"/>
        <v>0</v>
      </c>
      <c r="J125">
        <f t="shared" si="15"/>
        <v>0</v>
      </c>
      <c r="K125">
        <f t="shared" si="16"/>
        <v>100</v>
      </c>
      <c r="L125">
        <f t="shared" si="17"/>
        <v>0</v>
      </c>
      <c r="M125">
        <f t="shared" si="18"/>
        <v>875</v>
      </c>
      <c r="N125">
        <f t="shared" si="19"/>
        <v>975</v>
      </c>
    </row>
    <row r="126" spans="4:14" hidden="1">
      <c r="D126" s="19">
        <v>111</v>
      </c>
      <c r="E126">
        <f t="shared" si="11"/>
        <v>100</v>
      </c>
      <c r="F126">
        <f t="shared" si="10"/>
        <v>300</v>
      </c>
      <c r="G126">
        <f t="shared" si="12"/>
        <v>250</v>
      </c>
      <c r="H126">
        <f t="shared" si="13"/>
        <v>50</v>
      </c>
      <c r="I126">
        <f t="shared" si="14"/>
        <v>0</v>
      </c>
      <c r="J126">
        <f t="shared" si="15"/>
        <v>0</v>
      </c>
      <c r="K126">
        <f t="shared" si="16"/>
        <v>60</v>
      </c>
      <c r="L126">
        <f t="shared" si="17"/>
        <v>0</v>
      </c>
      <c r="M126">
        <f t="shared" si="18"/>
        <v>875</v>
      </c>
      <c r="N126">
        <f t="shared" si="19"/>
        <v>935</v>
      </c>
    </row>
    <row r="127" spans="4:14" hidden="1">
      <c r="D127" s="19">
        <v>112</v>
      </c>
      <c r="E127">
        <f t="shared" si="11"/>
        <v>50</v>
      </c>
      <c r="F127">
        <f t="shared" si="10"/>
        <v>300</v>
      </c>
      <c r="G127">
        <f t="shared" si="12"/>
        <v>250</v>
      </c>
      <c r="H127">
        <f t="shared" si="13"/>
        <v>0</v>
      </c>
      <c r="I127">
        <f t="shared" si="14"/>
        <v>0</v>
      </c>
      <c r="J127">
        <f t="shared" si="15"/>
        <v>1</v>
      </c>
      <c r="K127">
        <f t="shared" si="16"/>
        <v>20</v>
      </c>
      <c r="L127">
        <f t="shared" si="17"/>
        <v>0</v>
      </c>
      <c r="M127">
        <f t="shared" si="18"/>
        <v>875</v>
      </c>
      <c r="N127">
        <f t="shared" si="19"/>
        <v>895</v>
      </c>
    </row>
    <row r="128" spans="4:14" hidden="1">
      <c r="D128" s="19">
        <v>113</v>
      </c>
      <c r="E128">
        <f t="shared" si="11"/>
        <v>0</v>
      </c>
      <c r="F128">
        <f t="shared" si="10"/>
        <v>300</v>
      </c>
      <c r="G128">
        <f t="shared" si="12"/>
        <v>500</v>
      </c>
      <c r="H128">
        <f t="shared" si="13"/>
        <v>200</v>
      </c>
      <c r="I128">
        <f t="shared" si="14"/>
        <v>0</v>
      </c>
      <c r="J128">
        <f t="shared" si="15"/>
        <v>1</v>
      </c>
      <c r="K128">
        <f t="shared" si="16"/>
        <v>80</v>
      </c>
      <c r="L128">
        <f t="shared" si="17"/>
        <v>0</v>
      </c>
      <c r="M128">
        <f t="shared" si="18"/>
        <v>1750</v>
      </c>
      <c r="N128">
        <f t="shared" si="19"/>
        <v>1830</v>
      </c>
    </row>
    <row r="129" spans="4:14" hidden="1">
      <c r="D129" s="19">
        <v>114</v>
      </c>
      <c r="E129">
        <f t="shared" si="11"/>
        <v>200</v>
      </c>
      <c r="F129">
        <f t="shared" si="10"/>
        <v>300</v>
      </c>
      <c r="G129">
        <f t="shared" si="12"/>
        <v>500</v>
      </c>
      <c r="H129">
        <f t="shared" si="13"/>
        <v>400</v>
      </c>
      <c r="I129">
        <f t="shared" si="14"/>
        <v>0</v>
      </c>
      <c r="J129">
        <f t="shared" si="15"/>
        <v>0</v>
      </c>
      <c r="K129">
        <f t="shared" si="16"/>
        <v>240</v>
      </c>
      <c r="L129">
        <f t="shared" si="17"/>
        <v>0</v>
      </c>
      <c r="M129">
        <f t="shared" si="18"/>
        <v>1750</v>
      </c>
      <c r="N129">
        <f t="shared" si="19"/>
        <v>1990</v>
      </c>
    </row>
    <row r="130" spans="4:14" hidden="1">
      <c r="D130" s="19">
        <v>115</v>
      </c>
      <c r="E130">
        <f t="shared" si="11"/>
        <v>400</v>
      </c>
      <c r="F130">
        <f t="shared" si="10"/>
        <v>300</v>
      </c>
      <c r="G130">
        <f t="shared" si="12"/>
        <v>250</v>
      </c>
      <c r="H130">
        <f t="shared" si="13"/>
        <v>350</v>
      </c>
      <c r="I130">
        <f t="shared" si="14"/>
        <v>0</v>
      </c>
      <c r="J130">
        <f t="shared" si="15"/>
        <v>0</v>
      </c>
      <c r="K130">
        <f t="shared" si="16"/>
        <v>300</v>
      </c>
      <c r="L130">
        <f t="shared" si="17"/>
        <v>0</v>
      </c>
      <c r="M130">
        <f t="shared" si="18"/>
        <v>875</v>
      </c>
      <c r="N130">
        <f t="shared" si="19"/>
        <v>1175</v>
      </c>
    </row>
    <row r="131" spans="4:14" hidden="1">
      <c r="D131" s="19">
        <v>116</v>
      </c>
      <c r="E131">
        <f t="shared" si="11"/>
        <v>350</v>
      </c>
      <c r="F131">
        <f t="shared" si="10"/>
        <v>300</v>
      </c>
      <c r="G131">
        <f t="shared" si="12"/>
        <v>250</v>
      </c>
      <c r="H131">
        <f t="shared" si="13"/>
        <v>300</v>
      </c>
      <c r="I131">
        <f t="shared" si="14"/>
        <v>0</v>
      </c>
      <c r="J131">
        <f t="shared" si="15"/>
        <v>0</v>
      </c>
      <c r="K131">
        <f t="shared" si="16"/>
        <v>260</v>
      </c>
      <c r="L131">
        <f t="shared" si="17"/>
        <v>0</v>
      </c>
      <c r="M131">
        <f t="shared" si="18"/>
        <v>875</v>
      </c>
      <c r="N131">
        <f t="shared" si="19"/>
        <v>1135</v>
      </c>
    </row>
    <row r="132" spans="4:14" hidden="1">
      <c r="D132" s="19">
        <v>117</v>
      </c>
      <c r="E132">
        <f t="shared" si="11"/>
        <v>300</v>
      </c>
      <c r="F132">
        <f t="shared" si="10"/>
        <v>300</v>
      </c>
      <c r="G132">
        <f t="shared" si="12"/>
        <v>250</v>
      </c>
      <c r="H132">
        <f t="shared" si="13"/>
        <v>250</v>
      </c>
      <c r="I132">
        <f t="shared" si="14"/>
        <v>0</v>
      </c>
      <c r="J132">
        <f t="shared" si="15"/>
        <v>0</v>
      </c>
      <c r="K132">
        <f t="shared" si="16"/>
        <v>220</v>
      </c>
      <c r="L132">
        <f t="shared" si="17"/>
        <v>0</v>
      </c>
      <c r="M132">
        <f t="shared" si="18"/>
        <v>875</v>
      </c>
      <c r="N132">
        <f t="shared" si="19"/>
        <v>1095</v>
      </c>
    </row>
    <row r="133" spans="4:14" hidden="1">
      <c r="D133" s="19">
        <v>118</v>
      </c>
      <c r="E133">
        <f t="shared" si="11"/>
        <v>250</v>
      </c>
      <c r="F133">
        <f t="shared" si="10"/>
        <v>300</v>
      </c>
      <c r="G133">
        <f t="shared" si="12"/>
        <v>250</v>
      </c>
      <c r="H133">
        <f t="shared" si="13"/>
        <v>200</v>
      </c>
      <c r="I133">
        <f t="shared" si="14"/>
        <v>0</v>
      </c>
      <c r="J133">
        <f t="shared" si="15"/>
        <v>0</v>
      </c>
      <c r="K133">
        <f t="shared" si="16"/>
        <v>180</v>
      </c>
      <c r="L133">
        <f t="shared" si="17"/>
        <v>0</v>
      </c>
      <c r="M133">
        <f t="shared" si="18"/>
        <v>875</v>
      </c>
      <c r="N133">
        <f t="shared" si="19"/>
        <v>1055</v>
      </c>
    </row>
    <row r="134" spans="4:14" hidden="1">
      <c r="D134" s="19">
        <v>119</v>
      </c>
      <c r="E134">
        <f t="shared" si="11"/>
        <v>200</v>
      </c>
      <c r="F134">
        <f t="shared" si="10"/>
        <v>300</v>
      </c>
      <c r="G134">
        <f t="shared" si="12"/>
        <v>250</v>
      </c>
      <c r="H134">
        <f t="shared" si="13"/>
        <v>150</v>
      </c>
      <c r="I134">
        <f t="shared" si="14"/>
        <v>0</v>
      </c>
      <c r="J134">
        <f t="shared" si="15"/>
        <v>0</v>
      </c>
      <c r="K134">
        <f t="shared" si="16"/>
        <v>140</v>
      </c>
      <c r="L134">
        <f t="shared" si="17"/>
        <v>0</v>
      </c>
      <c r="M134">
        <f t="shared" si="18"/>
        <v>875</v>
      </c>
      <c r="N134">
        <f t="shared" si="19"/>
        <v>1015</v>
      </c>
    </row>
    <row r="135" spans="4:14" hidden="1">
      <c r="D135" s="19">
        <v>120</v>
      </c>
      <c r="E135">
        <f t="shared" si="11"/>
        <v>150</v>
      </c>
      <c r="F135">
        <f t="shared" si="10"/>
        <v>300</v>
      </c>
      <c r="G135">
        <f t="shared" si="12"/>
        <v>250</v>
      </c>
      <c r="H135">
        <f t="shared" si="13"/>
        <v>100</v>
      </c>
      <c r="I135">
        <f t="shared" si="14"/>
        <v>0</v>
      </c>
      <c r="J135">
        <f t="shared" si="15"/>
        <v>0</v>
      </c>
      <c r="K135">
        <f t="shared" si="16"/>
        <v>100</v>
      </c>
      <c r="L135">
        <f t="shared" si="17"/>
        <v>0</v>
      </c>
      <c r="M135">
        <f t="shared" si="18"/>
        <v>875</v>
      </c>
      <c r="N135">
        <f t="shared" si="19"/>
        <v>975</v>
      </c>
    </row>
    <row r="136" spans="4:14" hidden="1">
      <c r="D136" s="19">
        <v>121</v>
      </c>
      <c r="E136">
        <f t="shared" si="11"/>
        <v>100</v>
      </c>
      <c r="F136">
        <f t="shared" si="10"/>
        <v>300</v>
      </c>
      <c r="G136">
        <f t="shared" si="12"/>
        <v>250</v>
      </c>
      <c r="H136">
        <f t="shared" si="13"/>
        <v>50</v>
      </c>
      <c r="I136">
        <f t="shared" si="14"/>
        <v>0</v>
      </c>
      <c r="J136">
        <f t="shared" si="15"/>
        <v>0</v>
      </c>
      <c r="K136">
        <f t="shared" si="16"/>
        <v>60</v>
      </c>
      <c r="L136">
        <f t="shared" si="17"/>
        <v>0</v>
      </c>
      <c r="M136">
        <f t="shared" si="18"/>
        <v>875</v>
      </c>
      <c r="N136">
        <f t="shared" si="19"/>
        <v>935</v>
      </c>
    </row>
    <row r="137" spans="4:14" hidden="1">
      <c r="D137" s="19">
        <v>122</v>
      </c>
      <c r="E137">
        <f t="shared" si="11"/>
        <v>50</v>
      </c>
      <c r="F137">
        <f t="shared" si="10"/>
        <v>300</v>
      </c>
      <c r="G137">
        <f t="shared" si="12"/>
        <v>250</v>
      </c>
      <c r="H137">
        <f t="shared" si="13"/>
        <v>0</v>
      </c>
      <c r="I137">
        <f t="shared" si="14"/>
        <v>0</v>
      </c>
      <c r="J137">
        <f t="shared" si="15"/>
        <v>1</v>
      </c>
      <c r="K137">
        <f t="shared" si="16"/>
        <v>20</v>
      </c>
      <c r="L137">
        <f t="shared" si="17"/>
        <v>0</v>
      </c>
      <c r="M137">
        <f t="shared" si="18"/>
        <v>875</v>
      </c>
      <c r="N137">
        <f t="shared" si="19"/>
        <v>895</v>
      </c>
    </row>
    <row r="138" spans="4:14" hidden="1">
      <c r="D138" s="19">
        <v>123</v>
      </c>
      <c r="E138">
        <f t="shared" si="11"/>
        <v>0</v>
      </c>
      <c r="F138">
        <f t="shared" si="10"/>
        <v>300</v>
      </c>
      <c r="G138">
        <f t="shared" si="12"/>
        <v>500</v>
      </c>
      <c r="H138">
        <f t="shared" si="13"/>
        <v>200</v>
      </c>
      <c r="I138">
        <f t="shared" si="14"/>
        <v>0</v>
      </c>
      <c r="J138">
        <f t="shared" si="15"/>
        <v>1</v>
      </c>
      <c r="K138">
        <f t="shared" si="16"/>
        <v>80</v>
      </c>
      <c r="L138">
        <f t="shared" si="17"/>
        <v>0</v>
      </c>
      <c r="M138">
        <f t="shared" si="18"/>
        <v>1750</v>
      </c>
      <c r="N138">
        <f t="shared" si="19"/>
        <v>1830</v>
      </c>
    </row>
    <row r="139" spans="4:14" hidden="1">
      <c r="D139" s="19">
        <v>124</v>
      </c>
      <c r="E139">
        <f t="shared" si="11"/>
        <v>200</v>
      </c>
      <c r="F139">
        <f t="shared" si="10"/>
        <v>300</v>
      </c>
      <c r="G139">
        <f t="shared" si="12"/>
        <v>500</v>
      </c>
      <c r="H139">
        <f t="shared" si="13"/>
        <v>400</v>
      </c>
      <c r="I139">
        <f t="shared" si="14"/>
        <v>0</v>
      </c>
      <c r="J139">
        <f t="shared" si="15"/>
        <v>0</v>
      </c>
      <c r="K139">
        <f t="shared" si="16"/>
        <v>240</v>
      </c>
      <c r="L139">
        <f t="shared" si="17"/>
        <v>0</v>
      </c>
      <c r="M139">
        <f t="shared" si="18"/>
        <v>1750</v>
      </c>
      <c r="N139">
        <f t="shared" si="19"/>
        <v>1990</v>
      </c>
    </row>
    <row r="140" spans="4:14" hidden="1">
      <c r="D140" s="19">
        <v>125</v>
      </c>
      <c r="E140">
        <f t="shared" si="11"/>
        <v>400</v>
      </c>
      <c r="F140">
        <f t="shared" si="10"/>
        <v>300</v>
      </c>
      <c r="G140">
        <f t="shared" si="12"/>
        <v>250</v>
      </c>
      <c r="H140">
        <f t="shared" si="13"/>
        <v>350</v>
      </c>
      <c r="I140">
        <f t="shared" si="14"/>
        <v>0</v>
      </c>
      <c r="J140">
        <f t="shared" si="15"/>
        <v>0</v>
      </c>
      <c r="K140">
        <f t="shared" si="16"/>
        <v>300</v>
      </c>
      <c r="L140">
        <f t="shared" si="17"/>
        <v>0</v>
      </c>
      <c r="M140">
        <f t="shared" si="18"/>
        <v>875</v>
      </c>
      <c r="N140">
        <f t="shared" si="19"/>
        <v>1175</v>
      </c>
    </row>
    <row r="141" spans="4:14" hidden="1">
      <c r="D141" s="19">
        <v>126</v>
      </c>
      <c r="E141">
        <f t="shared" si="11"/>
        <v>350</v>
      </c>
      <c r="F141">
        <f t="shared" si="10"/>
        <v>300</v>
      </c>
      <c r="G141">
        <f t="shared" si="12"/>
        <v>250</v>
      </c>
      <c r="H141">
        <f t="shared" si="13"/>
        <v>300</v>
      </c>
      <c r="I141">
        <f t="shared" si="14"/>
        <v>0</v>
      </c>
      <c r="J141">
        <f t="shared" si="15"/>
        <v>0</v>
      </c>
      <c r="K141">
        <f t="shared" si="16"/>
        <v>260</v>
      </c>
      <c r="L141">
        <f t="shared" si="17"/>
        <v>0</v>
      </c>
      <c r="M141">
        <f t="shared" si="18"/>
        <v>875</v>
      </c>
      <c r="N141">
        <f t="shared" si="19"/>
        <v>1135</v>
      </c>
    </row>
    <row r="142" spans="4:14" hidden="1">
      <c r="D142" s="19">
        <v>127</v>
      </c>
      <c r="E142">
        <f t="shared" si="11"/>
        <v>300</v>
      </c>
      <c r="F142">
        <f t="shared" si="10"/>
        <v>300</v>
      </c>
      <c r="G142">
        <f t="shared" si="12"/>
        <v>250</v>
      </c>
      <c r="H142">
        <f t="shared" si="13"/>
        <v>250</v>
      </c>
      <c r="I142">
        <f t="shared" si="14"/>
        <v>0</v>
      </c>
      <c r="J142">
        <f t="shared" si="15"/>
        <v>0</v>
      </c>
      <c r="K142">
        <f t="shared" si="16"/>
        <v>220</v>
      </c>
      <c r="L142">
        <f t="shared" si="17"/>
        <v>0</v>
      </c>
      <c r="M142">
        <f t="shared" si="18"/>
        <v>875</v>
      </c>
      <c r="N142">
        <f t="shared" si="19"/>
        <v>1095</v>
      </c>
    </row>
    <row r="143" spans="4:14" hidden="1">
      <c r="D143" s="19">
        <v>128</v>
      </c>
      <c r="E143">
        <f t="shared" si="11"/>
        <v>250</v>
      </c>
      <c r="F143">
        <f t="shared" si="10"/>
        <v>300</v>
      </c>
      <c r="G143">
        <f t="shared" si="12"/>
        <v>250</v>
      </c>
      <c r="H143">
        <f t="shared" si="13"/>
        <v>200</v>
      </c>
      <c r="I143">
        <f t="shared" si="14"/>
        <v>0</v>
      </c>
      <c r="J143">
        <f t="shared" si="15"/>
        <v>0</v>
      </c>
      <c r="K143">
        <f t="shared" si="16"/>
        <v>180</v>
      </c>
      <c r="L143">
        <f t="shared" si="17"/>
        <v>0</v>
      </c>
      <c r="M143">
        <f t="shared" si="18"/>
        <v>875</v>
      </c>
      <c r="N143">
        <f t="shared" si="19"/>
        <v>1055</v>
      </c>
    </row>
    <row r="144" spans="4:14" hidden="1">
      <c r="D144" s="19">
        <v>129</v>
      </c>
      <c r="E144">
        <f t="shared" si="11"/>
        <v>200</v>
      </c>
      <c r="F144">
        <f t="shared" si="10"/>
        <v>300</v>
      </c>
      <c r="G144">
        <f t="shared" si="12"/>
        <v>250</v>
      </c>
      <c r="H144">
        <f t="shared" si="13"/>
        <v>150</v>
      </c>
      <c r="I144">
        <f t="shared" si="14"/>
        <v>0</v>
      </c>
      <c r="J144">
        <f t="shared" si="15"/>
        <v>0</v>
      </c>
      <c r="K144">
        <f t="shared" si="16"/>
        <v>140</v>
      </c>
      <c r="L144">
        <f t="shared" si="17"/>
        <v>0</v>
      </c>
      <c r="M144">
        <f t="shared" si="18"/>
        <v>875</v>
      </c>
      <c r="N144">
        <f t="shared" si="19"/>
        <v>1015</v>
      </c>
    </row>
    <row r="145" spans="4:14" hidden="1">
      <c r="D145" s="19">
        <v>130</v>
      </c>
      <c r="E145">
        <f t="shared" si="11"/>
        <v>150</v>
      </c>
      <c r="F145">
        <f t="shared" ref="F145:F208" si="20">$C$3</f>
        <v>300</v>
      </c>
      <c r="G145">
        <f t="shared" si="12"/>
        <v>250</v>
      </c>
      <c r="H145">
        <f t="shared" si="13"/>
        <v>100</v>
      </c>
      <c r="I145">
        <f t="shared" si="14"/>
        <v>0</v>
      </c>
      <c r="J145">
        <f t="shared" si="15"/>
        <v>0</v>
      </c>
      <c r="K145">
        <f t="shared" si="16"/>
        <v>100</v>
      </c>
      <c r="L145">
        <f t="shared" si="17"/>
        <v>0</v>
      </c>
      <c r="M145">
        <f t="shared" si="18"/>
        <v>875</v>
      </c>
      <c r="N145">
        <f t="shared" si="19"/>
        <v>975</v>
      </c>
    </row>
    <row r="146" spans="4:14" hidden="1">
      <c r="D146" s="19">
        <v>131</v>
      </c>
      <c r="E146">
        <f t="shared" ref="E146:E209" si="21">H145</f>
        <v>100</v>
      </c>
      <c r="F146">
        <f t="shared" si="20"/>
        <v>300</v>
      </c>
      <c r="G146">
        <f t="shared" ref="G146:G209" si="22">$C$2+J145*$C$2</f>
        <v>250</v>
      </c>
      <c r="H146">
        <f t="shared" ref="H146:H209" si="23">MAX(E146+G146-F146,0)</f>
        <v>50</v>
      </c>
      <c r="I146">
        <f t="shared" ref="I146:I209" si="24">MAX(0,F146-G146-E146)</f>
        <v>0</v>
      </c>
      <c r="J146">
        <f t="shared" ref="J146:J209" si="25">IF(H145&lt;$C$5,1,0)</f>
        <v>0</v>
      </c>
      <c r="K146">
        <f t="shared" ref="K146:K209" si="26">(E146+H146)/2*$C$6</f>
        <v>60</v>
      </c>
      <c r="L146">
        <f t="shared" ref="L146:L209" si="27">I146*$C$7</f>
        <v>0</v>
      </c>
      <c r="M146">
        <f t="shared" ref="M146:M209" si="28">G146*$C$8</f>
        <v>875</v>
      </c>
      <c r="N146">
        <f t="shared" ref="N146:N209" si="29">SUM(K146:M146)</f>
        <v>935</v>
      </c>
    </row>
    <row r="147" spans="4:14" hidden="1">
      <c r="D147" s="19">
        <v>132</v>
      </c>
      <c r="E147">
        <f t="shared" si="21"/>
        <v>50</v>
      </c>
      <c r="F147">
        <f t="shared" si="20"/>
        <v>300</v>
      </c>
      <c r="G147">
        <f t="shared" si="22"/>
        <v>250</v>
      </c>
      <c r="H147">
        <f t="shared" si="23"/>
        <v>0</v>
      </c>
      <c r="I147">
        <f t="shared" si="24"/>
        <v>0</v>
      </c>
      <c r="J147">
        <f t="shared" si="25"/>
        <v>1</v>
      </c>
      <c r="K147">
        <f t="shared" si="26"/>
        <v>20</v>
      </c>
      <c r="L147">
        <f t="shared" si="27"/>
        <v>0</v>
      </c>
      <c r="M147">
        <f t="shared" si="28"/>
        <v>875</v>
      </c>
      <c r="N147">
        <f t="shared" si="29"/>
        <v>895</v>
      </c>
    </row>
    <row r="148" spans="4:14" hidden="1">
      <c r="D148" s="19">
        <v>133</v>
      </c>
      <c r="E148">
        <f t="shared" si="21"/>
        <v>0</v>
      </c>
      <c r="F148">
        <f t="shared" si="20"/>
        <v>300</v>
      </c>
      <c r="G148">
        <f t="shared" si="22"/>
        <v>500</v>
      </c>
      <c r="H148">
        <f t="shared" si="23"/>
        <v>200</v>
      </c>
      <c r="I148">
        <f t="shared" si="24"/>
        <v>0</v>
      </c>
      <c r="J148">
        <f t="shared" si="25"/>
        <v>1</v>
      </c>
      <c r="K148">
        <f t="shared" si="26"/>
        <v>80</v>
      </c>
      <c r="L148">
        <f t="shared" si="27"/>
        <v>0</v>
      </c>
      <c r="M148">
        <f t="shared" si="28"/>
        <v>1750</v>
      </c>
      <c r="N148">
        <f t="shared" si="29"/>
        <v>1830</v>
      </c>
    </row>
    <row r="149" spans="4:14" hidden="1">
      <c r="D149" s="19">
        <v>134</v>
      </c>
      <c r="E149">
        <f t="shared" si="21"/>
        <v>200</v>
      </c>
      <c r="F149">
        <f t="shared" si="20"/>
        <v>300</v>
      </c>
      <c r="G149">
        <f t="shared" si="22"/>
        <v>500</v>
      </c>
      <c r="H149">
        <f t="shared" si="23"/>
        <v>400</v>
      </c>
      <c r="I149">
        <f t="shared" si="24"/>
        <v>0</v>
      </c>
      <c r="J149">
        <f t="shared" si="25"/>
        <v>0</v>
      </c>
      <c r="K149">
        <f t="shared" si="26"/>
        <v>240</v>
      </c>
      <c r="L149">
        <f t="shared" si="27"/>
        <v>0</v>
      </c>
      <c r="M149">
        <f t="shared" si="28"/>
        <v>1750</v>
      </c>
      <c r="N149">
        <f t="shared" si="29"/>
        <v>1990</v>
      </c>
    </row>
    <row r="150" spans="4:14" hidden="1">
      <c r="D150" s="19">
        <v>135</v>
      </c>
      <c r="E150">
        <f t="shared" si="21"/>
        <v>400</v>
      </c>
      <c r="F150">
        <f t="shared" si="20"/>
        <v>300</v>
      </c>
      <c r="G150">
        <f t="shared" si="22"/>
        <v>250</v>
      </c>
      <c r="H150">
        <f t="shared" si="23"/>
        <v>350</v>
      </c>
      <c r="I150">
        <f t="shared" si="24"/>
        <v>0</v>
      </c>
      <c r="J150">
        <f t="shared" si="25"/>
        <v>0</v>
      </c>
      <c r="K150">
        <f t="shared" si="26"/>
        <v>300</v>
      </c>
      <c r="L150">
        <f t="shared" si="27"/>
        <v>0</v>
      </c>
      <c r="M150">
        <f t="shared" si="28"/>
        <v>875</v>
      </c>
      <c r="N150">
        <f t="shared" si="29"/>
        <v>1175</v>
      </c>
    </row>
    <row r="151" spans="4:14" hidden="1">
      <c r="D151" s="19">
        <v>136</v>
      </c>
      <c r="E151">
        <f t="shared" si="21"/>
        <v>350</v>
      </c>
      <c r="F151">
        <f t="shared" si="20"/>
        <v>300</v>
      </c>
      <c r="G151">
        <f t="shared" si="22"/>
        <v>250</v>
      </c>
      <c r="H151">
        <f t="shared" si="23"/>
        <v>300</v>
      </c>
      <c r="I151">
        <f t="shared" si="24"/>
        <v>0</v>
      </c>
      <c r="J151">
        <f t="shared" si="25"/>
        <v>0</v>
      </c>
      <c r="K151">
        <f t="shared" si="26"/>
        <v>260</v>
      </c>
      <c r="L151">
        <f t="shared" si="27"/>
        <v>0</v>
      </c>
      <c r="M151">
        <f t="shared" si="28"/>
        <v>875</v>
      </c>
      <c r="N151">
        <f t="shared" si="29"/>
        <v>1135</v>
      </c>
    </row>
    <row r="152" spans="4:14" hidden="1">
      <c r="D152" s="19">
        <v>137</v>
      </c>
      <c r="E152">
        <f t="shared" si="21"/>
        <v>300</v>
      </c>
      <c r="F152">
        <f t="shared" si="20"/>
        <v>300</v>
      </c>
      <c r="G152">
        <f t="shared" si="22"/>
        <v>250</v>
      </c>
      <c r="H152">
        <f t="shared" si="23"/>
        <v>250</v>
      </c>
      <c r="I152">
        <f t="shared" si="24"/>
        <v>0</v>
      </c>
      <c r="J152">
        <f t="shared" si="25"/>
        <v>0</v>
      </c>
      <c r="K152">
        <f t="shared" si="26"/>
        <v>220</v>
      </c>
      <c r="L152">
        <f t="shared" si="27"/>
        <v>0</v>
      </c>
      <c r="M152">
        <f t="shared" si="28"/>
        <v>875</v>
      </c>
      <c r="N152">
        <f t="shared" si="29"/>
        <v>1095</v>
      </c>
    </row>
    <row r="153" spans="4:14" hidden="1">
      <c r="D153" s="19">
        <v>138</v>
      </c>
      <c r="E153">
        <f t="shared" si="21"/>
        <v>250</v>
      </c>
      <c r="F153">
        <f t="shared" si="20"/>
        <v>300</v>
      </c>
      <c r="G153">
        <f t="shared" si="22"/>
        <v>250</v>
      </c>
      <c r="H153">
        <f t="shared" si="23"/>
        <v>200</v>
      </c>
      <c r="I153">
        <f t="shared" si="24"/>
        <v>0</v>
      </c>
      <c r="J153">
        <f t="shared" si="25"/>
        <v>0</v>
      </c>
      <c r="K153">
        <f t="shared" si="26"/>
        <v>180</v>
      </c>
      <c r="L153">
        <f t="shared" si="27"/>
        <v>0</v>
      </c>
      <c r="M153">
        <f t="shared" si="28"/>
        <v>875</v>
      </c>
      <c r="N153">
        <f t="shared" si="29"/>
        <v>1055</v>
      </c>
    </row>
    <row r="154" spans="4:14" hidden="1">
      <c r="D154" s="19">
        <v>139</v>
      </c>
      <c r="E154">
        <f t="shared" si="21"/>
        <v>200</v>
      </c>
      <c r="F154">
        <f t="shared" si="20"/>
        <v>300</v>
      </c>
      <c r="G154">
        <f t="shared" si="22"/>
        <v>250</v>
      </c>
      <c r="H154">
        <f t="shared" si="23"/>
        <v>150</v>
      </c>
      <c r="I154">
        <f t="shared" si="24"/>
        <v>0</v>
      </c>
      <c r="J154">
        <f t="shared" si="25"/>
        <v>0</v>
      </c>
      <c r="K154">
        <f t="shared" si="26"/>
        <v>140</v>
      </c>
      <c r="L154">
        <f t="shared" si="27"/>
        <v>0</v>
      </c>
      <c r="M154">
        <f t="shared" si="28"/>
        <v>875</v>
      </c>
      <c r="N154">
        <f t="shared" si="29"/>
        <v>1015</v>
      </c>
    </row>
    <row r="155" spans="4:14" hidden="1">
      <c r="D155" s="19">
        <v>140</v>
      </c>
      <c r="E155">
        <f t="shared" si="21"/>
        <v>150</v>
      </c>
      <c r="F155">
        <f t="shared" si="20"/>
        <v>300</v>
      </c>
      <c r="G155">
        <f t="shared" si="22"/>
        <v>250</v>
      </c>
      <c r="H155">
        <f t="shared" si="23"/>
        <v>100</v>
      </c>
      <c r="I155">
        <f t="shared" si="24"/>
        <v>0</v>
      </c>
      <c r="J155">
        <f t="shared" si="25"/>
        <v>0</v>
      </c>
      <c r="K155">
        <f t="shared" si="26"/>
        <v>100</v>
      </c>
      <c r="L155">
        <f t="shared" si="27"/>
        <v>0</v>
      </c>
      <c r="M155">
        <f t="shared" si="28"/>
        <v>875</v>
      </c>
      <c r="N155">
        <f t="shared" si="29"/>
        <v>975</v>
      </c>
    </row>
    <row r="156" spans="4:14" hidden="1">
      <c r="D156" s="19">
        <v>141</v>
      </c>
      <c r="E156">
        <f t="shared" si="21"/>
        <v>100</v>
      </c>
      <c r="F156">
        <f t="shared" si="20"/>
        <v>300</v>
      </c>
      <c r="G156">
        <f t="shared" si="22"/>
        <v>250</v>
      </c>
      <c r="H156">
        <f t="shared" si="23"/>
        <v>50</v>
      </c>
      <c r="I156">
        <f t="shared" si="24"/>
        <v>0</v>
      </c>
      <c r="J156">
        <f t="shared" si="25"/>
        <v>0</v>
      </c>
      <c r="K156">
        <f t="shared" si="26"/>
        <v>60</v>
      </c>
      <c r="L156">
        <f t="shared" si="27"/>
        <v>0</v>
      </c>
      <c r="M156">
        <f t="shared" si="28"/>
        <v>875</v>
      </c>
      <c r="N156">
        <f t="shared" si="29"/>
        <v>935</v>
      </c>
    </row>
    <row r="157" spans="4:14" hidden="1">
      <c r="D157" s="19">
        <v>142</v>
      </c>
      <c r="E157">
        <f t="shared" si="21"/>
        <v>50</v>
      </c>
      <c r="F157">
        <f t="shared" si="20"/>
        <v>300</v>
      </c>
      <c r="G157">
        <f t="shared" si="22"/>
        <v>250</v>
      </c>
      <c r="H157">
        <f t="shared" si="23"/>
        <v>0</v>
      </c>
      <c r="I157">
        <f t="shared" si="24"/>
        <v>0</v>
      </c>
      <c r="J157">
        <f t="shared" si="25"/>
        <v>1</v>
      </c>
      <c r="K157">
        <f t="shared" si="26"/>
        <v>20</v>
      </c>
      <c r="L157">
        <f t="shared" si="27"/>
        <v>0</v>
      </c>
      <c r="M157">
        <f t="shared" si="28"/>
        <v>875</v>
      </c>
      <c r="N157">
        <f t="shared" si="29"/>
        <v>895</v>
      </c>
    </row>
    <row r="158" spans="4:14" hidden="1">
      <c r="D158" s="19">
        <v>143</v>
      </c>
      <c r="E158">
        <f t="shared" si="21"/>
        <v>0</v>
      </c>
      <c r="F158">
        <f t="shared" si="20"/>
        <v>300</v>
      </c>
      <c r="G158">
        <f t="shared" si="22"/>
        <v>500</v>
      </c>
      <c r="H158">
        <f t="shared" si="23"/>
        <v>200</v>
      </c>
      <c r="I158">
        <f t="shared" si="24"/>
        <v>0</v>
      </c>
      <c r="J158">
        <f t="shared" si="25"/>
        <v>1</v>
      </c>
      <c r="K158">
        <f t="shared" si="26"/>
        <v>80</v>
      </c>
      <c r="L158">
        <f t="shared" si="27"/>
        <v>0</v>
      </c>
      <c r="M158">
        <f t="shared" si="28"/>
        <v>1750</v>
      </c>
      <c r="N158">
        <f t="shared" si="29"/>
        <v>1830</v>
      </c>
    </row>
    <row r="159" spans="4:14" hidden="1">
      <c r="D159" s="19">
        <v>144</v>
      </c>
      <c r="E159">
        <f t="shared" si="21"/>
        <v>200</v>
      </c>
      <c r="F159">
        <f t="shared" si="20"/>
        <v>300</v>
      </c>
      <c r="G159">
        <f t="shared" si="22"/>
        <v>500</v>
      </c>
      <c r="H159">
        <f t="shared" si="23"/>
        <v>400</v>
      </c>
      <c r="I159">
        <f t="shared" si="24"/>
        <v>0</v>
      </c>
      <c r="J159">
        <f t="shared" si="25"/>
        <v>0</v>
      </c>
      <c r="K159">
        <f t="shared" si="26"/>
        <v>240</v>
      </c>
      <c r="L159">
        <f t="shared" si="27"/>
        <v>0</v>
      </c>
      <c r="M159">
        <f t="shared" si="28"/>
        <v>1750</v>
      </c>
      <c r="N159">
        <f t="shared" si="29"/>
        <v>1990</v>
      </c>
    </row>
    <row r="160" spans="4:14" hidden="1">
      <c r="D160" s="19">
        <v>145</v>
      </c>
      <c r="E160">
        <f t="shared" si="21"/>
        <v>400</v>
      </c>
      <c r="F160">
        <f t="shared" si="20"/>
        <v>300</v>
      </c>
      <c r="G160">
        <f t="shared" si="22"/>
        <v>250</v>
      </c>
      <c r="H160">
        <f t="shared" si="23"/>
        <v>350</v>
      </c>
      <c r="I160">
        <f t="shared" si="24"/>
        <v>0</v>
      </c>
      <c r="J160">
        <f t="shared" si="25"/>
        <v>0</v>
      </c>
      <c r="K160">
        <f t="shared" si="26"/>
        <v>300</v>
      </c>
      <c r="L160">
        <f t="shared" si="27"/>
        <v>0</v>
      </c>
      <c r="M160">
        <f t="shared" si="28"/>
        <v>875</v>
      </c>
      <c r="N160">
        <f t="shared" si="29"/>
        <v>1175</v>
      </c>
    </row>
    <row r="161" spans="4:14" hidden="1">
      <c r="D161" s="19">
        <v>146</v>
      </c>
      <c r="E161">
        <f t="shared" si="21"/>
        <v>350</v>
      </c>
      <c r="F161">
        <f t="shared" si="20"/>
        <v>300</v>
      </c>
      <c r="G161">
        <f t="shared" si="22"/>
        <v>250</v>
      </c>
      <c r="H161">
        <f t="shared" si="23"/>
        <v>300</v>
      </c>
      <c r="I161">
        <f t="shared" si="24"/>
        <v>0</v>
      </c>
      <c r="J161">
        <f t="shared" si="25"/>
        <v>0</v>
      </c>
      <c r="K161">
        <f t="shared" si="26"/>
        <v>260</v>
      </c>
      <c r="L161">
        <f t="shared" si="27"/>
        <v>0</v>
      </c>
      <c r="M161">
        <f t="shared" si="28"/>
        <v>875</v>
      </c>
      <c r="N161">
        <f t="shared" si="29"/>
        <v>1135</v>
      </c>
    </row>
    <row r="162" spans="4:14" hidden="1">
      <c r="D162" s="19">
        <v>147</v>
      </c>
      <c r="E162">
        <f t="shared" si="21"/>
        <v>300</v>
      </c>
      <c r="F162">
        <f t="shared" si="20"/>
        <v>300</v>
      </c>
      <c r="G162">
        <f t="shared" si="22"/>
        <v>250</v>
      </c>
      <c r="H162">
        <f t="shared" si="23"/>
        <v>250</v>
      </c>
      <c r="I162">
        <f t="shared" si="24"/>
        <v>0</v>
      </c>
      <c r="J162">
        <f t="shared" si="25"/>
        <v>0</v>
      </c>
      <c r="K162">
        <f t="shared" si="26"/>
        <v>220</v>
      </c>
      <c r="L162">
        <f t="shared" si="27"/>
        <v>0</v>
      </c>
      <c r="M162">
        <f t="shared" si="28"/>
        <v>875</v>
      </c>
      <c r="N162">
        <f t="shared" si="29"/>
        <v>1095</v>
      </c>
    </row>
    <row r="163" spans="4:14" hidden="1">
      <c r="D163" s="19">
        <v>148</v>
      </c>
      <c r="E163">
        <f t="shared" si="21"/>
        <v>250</v>
      </c>
      <c r="F163">
        <f t="shared" si="20"/>
        <v>300</v>
      </c>
      <c r="G163">
        <f t="shared" si="22"/>
        <v>250</v>
      </c>
      <c r="H163">
        <f t="shared" si="23"/>
        <v>200</v>
      </c>
      <c r="I163">
        <f t="shared" si="24"/>
        <v>0</v>
      </c>
      <c r="J163">
        <f t="shared" si="25"/>
        <v>0</v>
      </c>
      <c r="K163">
        <f t="shared" si="26"/>
        <v>180</v>
      </c>
      <c r="L163">
        <f t="shared" si="27"/>
        <v>0</v>
      </c>
      <c r="M163">
        <f t="shared" si="28"/>
        <v>875</v>
      </c>
      <c r="N163">
        <f t="shared" si="29"/>
        <v>1055</v>
      </c>
    </row>
    <row r="164" spans="4:14" hidden="1">
      <c r="D164" s="19">
        <v>149</v>
      </c>
      <c r="E164">
        <f t="shared" si="21"/>
        <v>200</v>
      </c>
      <c r="F164">
        <f t="shared" si="20"/>
        <v>300</v>
      </c>
      <c r="G164">
        <f t="shared" si="22"/>
        <v>250</v>
      </c>
      <c r="H164">
        <f t="shared" si="23"/>
        <v>150</v>
      </c>
      <c r="I164">
        <f t="shared" si="24"/>
        <v>0</v>
      </c>
      <c r="J164">
        <f t="shared" si="25"/>
        <v>0</v>
      </c>
      <c r="K164">
        <f t="shared" si="26"/>
        <v>140</v>
      </c>
      <c r="L164">
        <f t="shared" si="27"/>
        <v>0</v>
      </c>
      <c r="M164">
        <f t="shared" si="28"/>
        <v>875</v>
      </c>
      <c r="N164">
        <f t="shared" si="29"/>
        <v>1015</v>
      </c>
    </row>
    <row r="165" spans="4:14" hidden="1">
      <c r="D165" s="19">
        <v>150</v>
      </c>
      <c r="E165">
        <f t="shared" si="21"/>
        <v>150</v>
      </c>
      <c r="F165">
        <f t="shared" si="20"/>
        <v>300</v>
      </c>
      <c r="G165">
        <f t="shared" si="22"/>
        <v>250</v>
      </c>
      <c r="H165">
        <f t="shared" si="23"/>
        <v>100</v>
      </c>
      <c r="I165">
        <f t="shared" si="24"/>
        <v>0</v>
      </c>
      <c r="J165">
        <f t="shared" si="25"/>
        <v>0</v>
      </c>
      <c r="K165">
        <f t="shared" si="26"/>
        <v>100</v>
      </c>
      <c r="L165">
        <f t="shared" si="27"/>
        <v>0</v>
      </c>
      <c r="M165">
        <f t="shared" si="28"/>
        <v>875</v>
      </c>
      <c r="N165">
        <f t="shared" si="29"/>
        <v>975</v>
      </c>
    </row>
    <row r="166" spans="4:14" hidden="1">
      <c r="D166" s="19">
        <v>151</v>
      </c>
      <c r="E166">
        <f t="shared" si="21"/>
        <v>100</v>
      </c>
      <c r="F166">
        <f t="shared" si="20"/>
        <v>300</v>
      </c>
      <c r="G166">
        <f t="shared" si="22"/>
        <v>250</v>
      </c>
      <c r="H166">
        <f t="shared" si="23"/>
        <v>50</v>
      </c>
      <c r="I166">
        <f t="shared" si="24"/>
        <v>0</v>
      </c>
      <c r="J166">
        <f t="shared" si="25"/>
        <v>0</v>
      </c>
      <c r="K166">
        <f t="shared" si="26"/>
        <v>60</v>
      </c>
      <c r="L166">
        <f t="shared" si="27"/>
        <v>0</v>
      </c>
      <c r="M166">
        <f t="shared" si="28"/>
        <v>875</v>
      </c>
      <c r="N166">
        <f t="shared" si="29"/>
        <v>935</v>
      </c>
    </row>
    <row r="167" spans="4:14" hidden="1">
      <c r="D167" s="19">
        <v>152</v>
      </c>
      <c r="E167">
        <f t="shared" si="21"/>
        <v>50</v>
      </c>
      <c r="F167">
        <f t="shared" si="20"/>
        <v>300</v>
      </c>
      <c r="G167">
        <f t="shared" si="22"/>
        <v>250</v>
      </c>
      <c r="H167">
        <f t="shared" si="23"/>
        <v>0</v>
      </c>
      <c r="I167">
        <f t="shared" si="24"/>
        <v>0</v>
      </c>
      <c r="J167">
        <f t="shared" si="25"/>
        <v>1</v>
      </c>
      <c r="K167">
        <f t="shared" si="26"/>
        <v>20</v>
      </c>
      <c r="L167">
        <f t="shared" si="27"/>
        <v>0</v>
      </c>
      <c r="M167">
        <f t="shared" si="28"/>
        <v>875</v>
      </c>
      <c r="N167">
        <f t="shared" si="29"/>
        <v>895</v>
      </c>
    </row>
    <row r="168" spans="4:14" hidden="1">
      <c r="D168" s="19">
        <v>153</v>
      </c>
      <c r="E168">
        <f t="shared" si="21"/>
        <v>0</v>
      </c>
      <c r="F168">
        <f t="shared" si="20"/>
        <v>300</v>
      </c>
      <c r="G168">
        <f t="shared" si="22"/>
        <v>500</v>
      </c>
      <c r="H168">
        <f t="shared" si="23"/>
        <v>200</v>
      </c>
      <c r="I168">
        <f t="shared" si="24"/>
        <v>0</v>
      </c>
      <c r="J168">
        <f t="shared" si="25"/>
        <v>1</v>
      </c>
      <c r="K168">
        <f t="shared" si="26"/>
        <v>80</v>
      </c>
      <c r="L168">
        <f t="shared" si="27"/>
        <v>0</v>
      </c>
      <c r="M168">
        <f t="shared" si="28"/>
        <v>1750</v>
      </c>
      <c r="N168">
        <f t="shared" si="29"/>
        <v>1830</v>
      </c>
    </row>
    <row r="169" spans="4:14" hidden="1">
      <c r="D169" s="19">
        <v>154</v>
      </c>
      <c r="E169">
        <f t="shared" si="21"/>
        <v>200</v>
      </c>
      <c r="F169">
        <f t="shared" si="20"/>
        <v>300</v>
      </c>
      <c r="G169">
        <f t="shared" si="22"/>
        <v>500</v>
      </c>
      <c r="H169">
        <f t="shared" si="23"/>
        <v>400</v>
      </c>
      <c r="I169">
        <f t="shared" si="24"/>
        <v>0</v>
      </c>
      <c r="J169">
        <f t="shared" si="25"/>
        <v>0</v>
      </c>
      <c r="K169">
        <f t="shared" si="26"/>
        <v>240</v>
      </c>
      <c r="L169">
        <f t="shared" si="27"/>
        <v>0</v>
      </c>
      <c r="M169">
        <f t="shared" si="28"/>
        <v>1750</v>
      </c>
      <c r="N169">
        <f t="shared" si="29"/>
        <v>1990</v>
      </c>
    </row>
    <row r="170" spans="4:14" hidden="1">
      <c r="D170" s="19">
        <v>155</v>
      </c>
      <c r="E170">
        <f t="shared" si="21"/>
        <v>400</v>
      </c>
      <c r="F170">
        <f t="shared" si="20"/>
        <v>300</v>
      </c>
      <c r="G170">
        <f t="shared" si="22"/>
        <v>250</v>
      </c>
      <c r="H170">
        <f t="shared" si="23"/>
        <v>350</v>
      </c>
      <c r="I170">
        <f t="shared" si="24"/>
        <v>0</v>
      </c>
      <c r="J170">
        <f t="shared" si="25"/>
        <v>0</v>
      </c>
      <c r="K170">
        <f t="shared" si="26"/>
        <v>300</v>
      </c>
      <c r="L170">
        <f t="shared" si="27"/>
        <v>0</v>
      </c>
      <c r="M170">
        <f t="shared" si="28"/>
        <v>875</v>
      </c>
      <c r="N170">
        <f t="shared" si="29"/>
        <v>1175</v>
      </c>
    </row>
    <row r="171" spans="4:14" hidden="1">
      <c r="D171" s="19">
        <v>156</v>
      </c>
      <c r="E171">
        <f t="shared" si="21"/>
        <v>350</v>
      </c>
      <c r="F171">
        <f t="shared" si="20"/>
        <v>300</v>
      </c>
      <c r="G171">
        <f t="shared" si="22"/>
        <v>250</v>
      </c>
      <c r="H171">
        <f t="shared" si="23"/>
        <v>300</v>
      </c>
      <c r="I171">
        <f t="shared" si="24"/>
        <v>0</v>
      </c>
      <c r="J171">
        <f t="shared" si="25"/>
        <v>0</v>
      </c>
      <c r="K171">
        <f t="shared" si="26"/>
        <v>260</v>
      </c>
      <c r="L171">
        <f t="shared" si="27"/>
        <v>0</v>
      </c>
      <c r="M171">
        <f t="shared" si="28"/>
        <v>875</v>
      </c>
      <c r="N171">
        <f t="shared" si="29"/>
        <v>1135</v>
      </c>
    </row>
    <row r="172" spans="4:14" hidden="1">
      <c r="D172" s="19">
        <v>157</v>
      </c>
      <c r="E172">
        <f t="shared" si="21"/>
        <v>300</v>
      </c>
      <c r="F172">
        <f t="shared" si="20"/>
        <v>300</v>
      </c>
      <c r="G172">
        <f t="shared" si="22"/>
        <v>250</v>
      </c>
      <c r="H172">
        <f t="shared" si="23"/>
        <v>250</v>
      </c>
      <c r="I172">
        <f t="shared" si="24"/>
        <v>0</v>
      </c>
      <c r="J172">
        <f t="shared" si="25"/>
        <v>0</v>
      </c>
      <c r="K172">
        <f t="shared" si="26"/>
        <v>220</v>
      </c>
      <c r="L172">
        <f t="shared" si="27"/>
        <v>0</v>
      </c>
      <c r="M172">
        <f t="shared" si="28"/>
        <v>875</v>
      </c>
      <c r="N172">
        <f t="shared" si="29"/>
        <v>1095</v>
      </c>
    </row>
    <row r="173" spans="4:14" hidden="1">
      <c r="D173" s="19">
        <v>158</v>
      </c>
      <c r="E173">
        <f t="shared" si="21"/>
        <v>250</v>
      </c>
      <c r="F173">
        <f t="shared" si="20"/>
        <v>300</v>
      </c>
      <c r="G173">
        <f t="shared" si="22"/>
        <v>250</v>
      </c>
      <c r="H173">
        <f t="shared" si="23"/>
        <v>200</v>
      </c>
      <c r="I173">
        <f t="shared" si="24"/>
        <v>0</v>
      </c>
      <c r="J173">
        <f t="shared" si="25"/>
        <v>0</v>
      </c>
      <c r="K173">
        <f t="shared" si="26"/>
        <v>180</v>
      </c>
      <c r="L173">
        <f t="shared" si="27"/>
        <v>0</v>
      </c>
      <c r="M173">
        <f t="shared" si="28"/>
        <v>875</v>
      </c>
      <c r="N173">
        <f t="shared" si="29"/>
        <v>1055</v>
      </c>
    </row>
    <row r="174" spans="4:14" hidden="1">
      <c r="D174" s="19">
        <v>159</v>
      </c>
      <c r="E174">
        <f t="shared" si="21"/>
        <v>200</v>
      </c>
      <c r="F174">
        <f t="shared" si="20"/>
        <v>300</v>
      </c>
      <c r="G174">
        <f t="shared" si="22"/>
        <v>250</v>
      </c>
      <c r="H174">
        <f t="shared" si="23"/>
        <v>150</v>
      </c>
      <c r="I174">
        <f t="shared" si="24"/>
        <v>0</v>
      </c>
      <c r="J174">
        <f t="shared" si="25"/>
        <v>0</v>
      </c>
      <c r="K174">
        <f t="shared" si="26"/>
        <v>140</v>
      </c>
      <c r="L174">
        <f t="shared" si="27"/>
        <v>0</v>
      </c>
      <c r="M174">
        <f t="shared" si="28"/>
        <v>875</v>
      </c>
      <c r="N174">
        <f t="shared" si="29"/>
        <v>1015</v>
      </c>
    </row>
    <row r="175" spans="4:14" hidden="1">
      <c r="D175" s="19">
        <v>160</v>
      </c>
      <c r="E175">
        <f t="shared" si="21"/>
        <v>150</v>
      </c>
      <c r="F175">
        <f t="shared" si="20"/>
        <v>300</v>
      </c>
      <c r="G175">
        <f t="shared" si="22"/>
        <v>250</v>
      </c>
      <c r="H175">
        <f t="shared" si="23"/>
        <v>100</v>
      </c>
      <c r="I175">
        <f t="shared" si="24"/>
        <v>0</v>
      </c>
      <c r="J175">
        <f t="shared" si="25"/>
        <v>0</v>
      </c>
      <c r="K175">
        <f t="shared" si="26"/>
        <v>100</v>
      </c>
      <c r="L175">
        <f t="shared" si="27"/>
        <v>0</v>
      </c>
      <c r="M175">
        <f t="shared" si="28"/>
        <v>875</v>
      </c>
      <c r="N175">
        <f t="shared" si="29"/>
        <v>975</v>
      </c>
    </row>
    <row r="176" spans="4:14" hidden="1">
      <c r="D176" s="19">
        <v>161</v>
      </c>
      <c r="E176">
        <f t="shared" si="21"/>
        <v>100</v>
      </c>
      <c r="F176">
        <f t="shared" si="20"/>
        <v>300</v>
      </c>
      <c r="G176">
        <f t="shared" si="22"/>
        <v>250</v>
      </c>
      <c r="H176">
        <f t="shared" si="23"/>
        <v>50</v>
      </c>
      <c r="I176">
        <f t="shared" si="24"/>
        <v>0</v>
      </c>
      <c r="J176">
        <f t="shared" si="25"/>
        <v>0</v>
      </c>
      <c r="K176">
        <f t="shared" si="26"/>
        <v>60</v>
      </c>
      <c r="L176">
        <f t="shared" si="27"/>
        <v>0</v>
      </c>
      <c r="M176">
        <f t="shared" si="28"/>
        <v>875</v>
      </c>
      <c r="N176">
        <f t="shared" si="29"/>
        <v>935</v>
      </c>
    </row>
    <row r="177" spans="4:14" hidden="1">
      <c r="D177" s="19">
        <v>162</v>
      </c>
      <c r="E177">
        <f t="shared" si="21"/>
        <v>50</v>
      </c>
      <c r="F177">
        <f t="shared" si="20"/>
        <v>300</v>
      </c>
      <c r="G177">
        <f t="shared" si="22"/>
        <v>250</v>
      </c>
      <c r="H177">
        <f t="shared" si="23"/>
        <v>0</v>
      </c>
      <c r="I177">
        <f t="shared" si="24"/>
        <v>0</v>
      </c>
      <c r="J177">
        <f t="shared" si="25"/>
        <v>1</v>
      </c>
      <c r="K177">
        <f t="shared" si="26"/>
        <v>20</v>
      </c>
      <c r="L177">
        <f t="shared" si="27"/>
        <v>0</v>
      </c>
      <c r="M177">
        <f t="shared" si="28"/>
        <v>875</v>
      </c>
      <c r="N177">
        <f t="shared" si="29"/>
        <v>895</v>
      </c>
    </row>
    <row r="178" spans="4:14" hidden="1">
      <c r="D178" s="19">
        <v>163</v>
      </c>
      <c r="E178">
        <f t="shared" si="21"/>
        <v>0</v>
      </c>
      <c r="F178">
        <f t="shared" si="20"/>
        <v>300</v>
      </c>
      <c r="G178">
        <f t="shared" si="22"/>
        <v>500</v>
      </c>
      <c r="H178">
        <f t="shared" si="23"/>
        <v>200</v>
      </c>
      <c r="I178">
        <f t="shared" si="24"/>
        <v>0</v>
      </c>
      <c r="J178">
        <f t="shared" si="25"/>
        <v>1</v>
      </c>
      <c r="K178">
        <f t="shared" si="26"/>
        <v>80</v>
      </c>
      <c r="L178">
        <f t="shared" si="27"/>
        <v>0</v>
      </c>
      <c r="M178">
        <f t="shared" si="28"/>
        <v>1750</v>
      </c>
      <c r="N178">
        <f t="shared" si="29"/>
        <v>1830</v>
      </c>
    </row>
    <row r="179" spans="4:14" hidden="1">
      <c r="D179" s="19">
        <v>164</v>
      </c>
      <c r="E179">
        <f t="shared" si="21"/>
        <v>200</v>
      </c>
      <c r="F179">
        <f t="shared" si="20"/>
        <v>300</v>
      </c>
      <c r="G179">
        <f t="shared" si="22"/>
        <v>500</v>
      </c>
      <c r="H179">
        <f t="shared" si="23"/>
        <v>400</v>
      </c>
      <c r="I179">
        <f t="shared" si="24"/>
        <v>0</v>
      </c>
      <c r="J179">
        <f t="shared" si="25"/>
        <v>0</v>
      </c>
      <c r="K179">
        <f t="shared" si="26"/>
        <v>240</v>
      </c>
      <c r="L179">
        <f t="shared" si="27"/>
        <v>0</v>
      </c>
      <c r="M179">
        <f t="shared" si="28"/>
        <v>1750</v>
      </c>
      <c r="N179">
        <f t="shared" si="29"/>
        <v>1990</v>
      </c>
    </row>
    <row r="180" spans="4:14" hidden="1">
      <c r="D180" s="19">
        <v>165</v>
      </c>
      <c r="E180">
        <f t="shared" si="21"/>
        <v>400</v>
      </c>
      <c r="F180">
        <f t="shared" si="20"/>
        <v>300</v>
      </c>
      <c r="G180">
        <f t="shared" si="22"/>
        <v>250</v>
      </c>
      <c r="H180">
        <f t="shared" si="23"/>
        <v>350</v>
      </c>
      <c r="I180">
        <f t="shared" si="24"/>
        <v>0</v>
      </c>
      <c r="J180">
        <f t="shared" si="25"/>
        <v>0</v>
      </c>
      <c r="K180">
        <f t="shared" si="26"/>
        <v>300</v>
      </c>
      <c r="L180">
        <f t="shared" si="27"/>
        <v>0</v>
      </c>
      <c r="M180">
        <f t="shared" si="28"/>
        <v>875</v>
      </c>
      <c r="N180">
        <f t="shared" si="29"/>
        <v>1175</v>
      </c>
    </row>
    <row r="181" spans="4:14" hidden="1">
      <c r="D181" s="19">
        <v>166</v>
      </c>
      <c r="E181">
        <f t="shared" si="21"/>
        <v>350</v>
      </c>
      <c r="F181">
        <f t="shared" si="20"/>
        <v>300</v>
      </c>
      <c r="G181">
        <f t="shared" si="22"/>
        <v>250</v>
      </c>
      <c r="H181">
        <f t="shared" si="23"/>
        <v>300</v>
      </c>
      <c r="I181">
        <f t="shared" si="24"/>
        <v>0</v>
      </c>
      <c r="J181">
        <f t="shared" si="25"/>
        <v>0</v>
      </c>
      <c r="K181">
        <f t="shared" si="26"/>
        <v>260</v>
      </c>
      <c r="L181">
        <f t="shared" si="27"/>
        <v>0</v>
      </c>
      <c r="M181">
        <f t="shared" si="28"/>
        <v>875</v>
      </c>
      <c r="N181">
        <f t="shared" si="29"/>
        <v>1135</v>
      </c>
    </row>
    <row r="182" spans="4:14" hidden="1">
      <c r="D182" s="19">
        <v>167</v>
      </c>
      <c r="E182">
        <f t="shared" si="21"/>
        <v>300</v>
      </c>
      <c r="F182">
        <f t="shared" si="20"/>
        <v>300</v>
      </c>
      <c r="G182">
        <f t="shared" si="22"/>
        <v>250</v>
      </c>
      <c r="H182">
        <f t="shared" si="23"/>
        <v>250</v>
      </c>
      <c r="I182">
        <f t="shared" si="24"/>
        <v>0</v>
      </c>
      <c r="J182">
        <f t="shared" si="25"/>
        <v>0</v>
      </c>
      <c r="K182">
        <f t="shared" si="26"/>
        <v>220</v>
      </c>
      <c r="L182">
        <f t="shared" si="27"/>
        <v>0</v>
      </c>
      <c r="M182">
        <f t="shared" si="28"/>
        <v>875</v>
      </c>
      <c r="N182">
        <f t="shared" si="29"/>
        <v>1095</v>
      </c>
    </row>
    <row r="183" spans="4:14" hidden="1">
      <c r="D183" s="19">
        <v>168</v>
      </c>
      <c r="E183">
        <f t="shared" si="21"/>
        <v>250</v>
      </c>
      <c r="F183">
        <f t="shared" si="20"/>
        <v>300</v>
      </c>
      <c r="G183">
        <f t="shared" si="22"/>
        <v>250</v>
      </c>
      <c r="H183">
        <f t="shared" si="23"/>
        <v>200</v>
      </c>
      <c r="I183">
        <f t="shared" si="24"/>
        <v>0</v>
      </c>
      <c r="J183">
        <f t="shared" si="25"/>
        <v>0</v>
      </c>
      <c r="K183">
        <f t="shared" si="26"/>
        <v>180</v>
      </c>
      <c r="L183">
        <f t="shared" si="27"/>
        <v>0</v>
      </c>
      <c r="M183">
        <f t="shared" si="28"/>
        <v>875</v>
      </c>
      <c r="N183">
        <f t="shared" si="29"/>
        <v>1055</v>
      </c>
    </row>
    <row r="184" spans="4:14" hidden="1">
      <c r="D184" s="19">
        <v>169</v>
      </c>
      <c r="E184">
        <f t="shared" si="21"/>
        <v>200</v>
      </c>
      <c r="F184">
        <f t="shared" si="20"/>
        <v>300</v>
      </c>
      <c r="G184">
        <f t="shared" si="22"/>
        <v>250</v>
      </c>
      <c r="H184">
        <f t="shared" si="23"/>
        <v>150</v>
      </c>
      <c r="I184">
        <f t="shared" si="24"/>
        <v>0</v>
      </c>
      <c r="J184">
        <f t="shared" si="25"/>
        <v>0</v>
      </c>
      <c r="K184">
        <f t="shared" si="26"/>
        <v>140</v>
      </c>
      <c r="L184">
        <f t="shared" si="27"/>
        <v>0</v>
      </c>
      <c r="M184">
        <f t="shared" si="28"/>
        <v>875</v>
      </c>
      <c r="N184">
        <f t="shared" si="29"/>
        <v>1015</v>
      </c>
    </row>
    <row r="185" spans="4:14" hidden="1">
      <c r="D185" s="19">
        <v>170</v>
      </c>
      <c r="E185">
        <f t="shared" si="21"/>
        <v>150</v>
      </c>
      <c r="F185">
        <f t="shared" si="20"/>
        <v>300</v>
      </c>
      <c r="G185">
        <f t="shared" si="22"/>
        <v>250</v>
      </c>
      <c r="H185">
        <f t="shared" si="23"/>
        <v>100</v>
      </c>
      <c r="I185">
        <f t="shared" si="24"/>
        <v>0</v>
      </c>
      <c r="J185">
        <f t="shared" si="25"/>
        <v>0</v>
      </c>
      <c r="K185">
        <f t="shared" si="26"/>
        <v>100</v>
      </c>
      <c r="L185">
        <f t="shared" si="27"/>
        <v>0</v>
      </c>
      <c r="M185">
        <f t="shared" si="28"/>
        <v>875</v>
      </c>
      <c r="N185">
        <f t="shared" si="29"/>
        <v>975</v>
      </c>
    </row>
    <row r="186" spans="4:14" hidden="1">
      <c r="D186" s="19">
        <v>171</v>
      </c>
      <c r="E186">
        <f t="shared" si="21"/>
        <v>100</v>
      </c>
      <c r="F186">
        <f t="shared" si="20"/>
        <v>300</v>
      </c>
      <c r="G186">
        <f t="shared" si="22"/>
        <v>250</v>
      </c>
      <c r="H186">
        <f t="shared" si="23"/>
        <v>50</v>
      </c>
      <c r="I186">
        <f t="shared" si="24"/>
        <v>0</v>
      </c>
      <c r="J186">
        <f t="shared" si="25"/>
        <v>0</v>
      </c>
      <c r="K186">
        <f t="shared" si="26"/>
        <v>60</v>
      </c>
      <c r="L186">
        <f t="shared" si="27"/>
        <v>0</v>
      </c>
      <c r="M186">
        <f t="shared" si="28"/>
        <v>875</v>
      </c>
      <c r="N186">
        <f t="shared" si="29"/>
        <v>935</v>
      </c>
    </row>
    <row r="187" spans="4:14" hidden="1">
      <c r="D187" s="19">
        <v>172</v>
      </c>
      <c r="E187">
        <f t="shared" si="21"/>
        <v>50</v>
      </c>
      <c r="F187">
        <f t="shared" si="20"/>
        <v>300</v>
      </c>
      <c r="G187">
        <f t="shared" si="22"/>
        <v>250</v>
      </c>
      <c r="H187">
        <f t="shared" si="23"/>
        <v>0</v>
      </c>
      <c r="I187">
        <f t="shared" si="24"/>
        <v>0</v>
      </c>
      <c r="J187">
        <f t="shared" si="25"/>
        <v>1</v>
      </c>
      <c r="K187">
        <f t="shared" si="26"/>
        <v>20</v>
      </c>
      <c r="L187">
        <f t="shared" si="27"/>
        <v>0</v>
      </c>
      <c r="M187">
        <f t="shared" si="28"/>
        <v>875</v>
      </c>
      <c r="N187">
        <f t="shared" si="29"/>
        <v>895</v>
      </c>
    </row>
    <row r="188" spans="4:14" hidden="1">
      <c r="D188" s="19">
        <v>173</v>
      </c>
      <c r="E188">
        <f t="shared" si="21"/>
        <v>0</v>
      </c>
      <c r="F188">
        <f t="shared" si="20"/>
        <v>300</v>
      </c>
      <c r="G188">
        <f t="shared" si="22"/>
        <v>500</v>
      </c>
      <c r="H188">
        <f t="shared" si="23"/>
        <v>200</v>
      </c>
      <c r="I188">
        <f t="shared" si="24"/>
        <v>0</v>
      </c>
      <c r="J188">
        <f t="shared" si="25"/>
        <v>1</v>
      </c>
      <c r="K188">
        <f t="shared" si="26"/>
        <v>80</v>
      </c>
      <c r="L188">
        <f t="shared" si="27"/>
        <v>0</v>
      </c>
      <c r="M188">
        <f t="shared" si="28"/>
        <v>1750</v>
      </c>
      <c r="N188">
        <f t="shared" si="29"/>
        <v>1830</v>
      </c>
    </row>
    <row r="189" spans="4:14" hidden="1">
      <c r="D189" s="19">
        <v>174</v>
      </c>
      <c r="E189">
        <f t="shared" si="21"/>
        <v>200</v>
      </c>
      <c r="F189">
        <f t="shared" si="20"/>
        <v>300</v>
      </c>
      <c r="G189">
        <f t="shared" si="22"/>
        <v>500</v>
      </c>
      <c r="H189">
        <f t="shared" si="23"/>
        <v>400</v>
      </c>
      <c r="I189">
        <f t="shared" si="24"/>
        <v>0</v>
      </c>
      <c r="J189">
        <f t="shared" si="25"/>
        <v>0</v>
      </c>
      <c r="K189">
        <f t="shared" si="26"/>
        <v>240</v>
      </c>
      <c r="L189">
        <f t="shared" si="27"/>
        <v>0</v>
      </c>
      <c r="M189">
        <f t="shared" si="28"/>
        <v>1750</v>
      </c>
      <c r="N189">
        <f t="shared" si="29"/>
        <v>1990</v>
      </c>
    </row>
    <row r="190" spans="4:14" hidden="1">
      <c r="D190" s="19">
        <v>175</v>
      </c>
      <c r="E190">
        <f t="shared" si="21"/>
        <v>400</v>
      </c>
      <c r="F190">
        <f t="shared" si="20"/>
        <v>300</v>
      </c>
      <c r="G190">
        <f t="shared" si="22"/>
        <v>250</v>
      </c>
      <c r="H190">
        <f t="shared" si="23"/>
        <v>350</v>
      </c>
      <c r="I190">
        <f t="shared" si="24"/>
        <v>0</v>
      </c>
      <c r="J190">
        <f t="shared" si="25"/>
        <v>0</v>
      </c>
      <c r="K190">
        <f t="shared" si="26"/>
        <v>300</v>
      </c>
      <c r="L190">
        <f t="shared" si="27"/>
        <v>0</v>
      </c>
      <c r="M190">
        <f t="shared" si="28"/>
        <v>875</v>
      </c>
      <c r="N190">
        <f t="shared" si="29"/>
        <v>1175</v>
      </c>
    </row>
    <row r="191" spans="4:14" hidden="1">
      <c r="D191" s="19">
        <v>176</v>
      </c>
      <c r="E191">
        <f t="shared" si="21"/>
        <v>350</v>
      </c>
      <c r="F191">
        <f t="shared" si="20"/>
        <v>300</v>
      </c>
      <c r="G191">
        <f t="shared" si="22"/>
        <v>250</v>
      </c>
      <c r="H191">
        <f t="shared" si="23"/>
        <v>300</v>
      </c>
      <c r="I191">
        <f t="shared" si="24"/>
        <v>0</v>
      </c>
      <c r="J191">
        <f t="shared" si="25"/>
        <v>0</v>
      </c>
      <c r="K191">
        <f t="shared" si="26"/>
        <v>260</v>
      </c>
      <c r="L191">
        <f t="shared" si="27"/>
        <v>0</v>
      </c>
      <c r="M191">
        <f t="shared" si="28"/>
        <v>875</v>
      </c>
      <c r="N191">
        <f t="shared" si="29"/>
        <v>1135</v>
      </c>
    </row>
    <row r="192" spans="4:14" hidden="1">
      <c r="D192" s="19">
        <v>177</v>
      </c>
      <c r="E192">
        <f t="shared" si="21"/>
        <v>300</v>
      </c>
      <c r="F192">
        <f t="shared" si="20"/>
        <v>300</v>
      </c>
      <c r="G192">
        <f t="shared" si="22"/>
        <v>250</v>
      </c>
      <c r="H192">
        <f t="shared" si="23"/>
        <v>250</v>
      </c>
      <c r="I192">
        <f t="shared" si="24"/>
        <v>0</v>
      </c>
      <c r="J192">
        <f t="shared" si="25"/>
        <v>0</v>
      </c>
      <c r="K192">
        <f t="shared" si="26"/>
        <v>220</v>
      </c>
      <c r="L192">
        <f t="shared" si="27"/>
        <v>0</v>
      </c>
      <c r="M192">
        <f t="shared" si="28"/>
        <v>875</v>
      </c>
      <c r="N192">
        <f t="shared" si="29"/>
        <v>1095</v>
      </c>
    </row>
    <row r="193" spans="4:14" hidden="1">
      <c r="D193" s="19">
        <v>178</v>
      </c>
      <c r="E193">
        <f t="shared" si="21"/>
        <v>250</v>
      </c>
      <c r="F193">
        <f t="shared" si="20"/>
        <v>300</v>
      </c>
      <c r="G193">
        <f t="shared" si="22"/>
        <v>250</v>
      </c>
      <c r="H193">
        <f t="shared" si="23"/>
        <v>200</v>
      </c>
      <c r="I193">
        <f t="shared" si="24"/>
        <v>0</v>
      </c>
      <c r="J193">
        <f t="shared" si="25"/>
        <v>0</v>
      </c>
      <c r="K193">
        <f t="shared" si="26"/>
        <v>180</v>
      </c>
      <c r="L193">
        <f t="shared" si="27"/>
        <v>0</v>
      </c>
      <c r="M193">
        <f t="shared" si="28"/>
        <v>875</v>
      </c>
      <c r="N193">
        <f t="shared" si="29"/>
        <v>1055</v>
      </c>
    </row>
    <row r="194" spans="4:14" hidden="1">
      <c r="D194" s="19">
        <v>179</v>
      </c>
      <c r="E194">
        <f t="shared" si="21"/>
        <v>200</v>
      </c>
      <c r="F194">
        <f t="shared" si="20"/>
        <v>300</v>
      </c>
      <c r="G194">
        <f t="shared" si="22"/>
        <v>250</v>
      </c>
      <c r="H194">
        <f t="shared" si="23"/>
        <v>150</v>
      </c>
      <c r="I194">
        <f t="shared" si="24"/>
        <v>0</v>
      </c>
      <c r="J194">
        <f t="shared" si="25"/>
        <v>0</v>
      </c>
      <c r="K194">
        <f t="shared" si="26"/>
        <v>140</v>
      </c>
      <c r="L194">
        <f t="shared" si="27"/>
        <v>0</v>
      </c>
      <c r="M194">
        <f t="shared" si="28"/>
        <v>875</v>
      </c>
      <c r="N194">
        <f t="shared" si="29"/>
        <v>1015</v>
      </c>
    </row>
    <row r="195" spans="4:14" hidden="1">
      <c r="D195" s="19">
        <v>180</v>
      </c>
      <c r="E195">
        <f t="shared" si="21"/>
        <v>150</v>
      </c>
      <c r="F195">
        <f t="shared" si="20"/>
        <v>300</v>
      </c>
      <c r="G195">
        <f t="shared" si="22"/>
        <v>250</v>
      </c>
      <c r="H195">
        <f t="shared" si="23"/>
        <v>100</v>
      </c>
      <c r="I195">
        <f t="shared" si="24"/>
        <v>0</v>
      </c>
      <c r="J195">
        <f t="shared" si="25"/>
        <v>0</v>
      </c>
      <c r="K195">
        <f t="shared" si="26"/>
        <v>100</v>
      </c>
      <c r="L195">
        <f t="shared" si="27"/>
        <v>0</v>
      </c>
      <c r="M195">
        <f t="shared" si="28"/>
        <v>875</v>
      </c>
      <c r="N195">
        <f t="shared" si="29"/>
        <v>975</v>
      </c>
    </row>
    <row r="196" spans="4:14" hidden="1">
      <c r="D196" s="19">
        <v>181</v>
      </c>
      <c r="E196">
        <f t="shared" si="21"/>
        <v>100</v>
      </c>
      <c r="F196">
        <f t="shared" si="20"/>
        <v>300</v>
      </c>
      <c r="G196">
        <f t="shared" si="22"/>
        <v>250</v>
      </c>
      <c r="H196">
        <f t="shared" si="23"/>
        <v>50</v>
      </c>
      <c r="I196">
        <f t="shared" si="24"/>
        <v>0</v>
      </c>
      <c r="J196">
        <f t="shared" si="25"/>
        <v>0</v>
      </c>
      <c r="K196">
        <f t="shared" si="26"/>
        <v>60</v>
      </c>
      <c r="L196">
        <f t="shared" si="27"/>
        <v>0</v>
      </c>
      <c r="M196">
        <f t="shared" si="28"/>
        <v>875</v>
      </c>
      <c r="N196">
        <f t="shared" si="29"/>
        <v>935</v>
      </c>
    </row>
    <row r="197" spans="4:14" hidden="1">
      <c r="D197" s="19">
        <v>182</v>
      </c>
      <c r="E197">
        <f t="shared" si="21"/>
        <v>50</v>
      </c>
      <c r="F197">
        <f t="shared" si="20"/>
        <v>300</v>
      </c>
      <c r="G197">
        <f t="shared" si="22"/>
        <v>250</v>
      </c>
      <c r="H197">
        <f t="shared" si="23"/>
        <v>0</v>
      </c>
      <c r="I197">
        <f t="shared" si="24"/>
        <v>0</v>
      </c>
      <c r="J197">
        <f t="shared" si="25"/>
        <v>1</v>
      </c>
      <c r="K197">
        <f t="shared" si="26"/>
        <v>20</v>
      </c>
      <c r="L197">
        <f t="shared" si="27"/>
        <v>0</v>
      </c>
      <c r="M197">
        <f t="shared" si="28"/>
        <v>875</v>
      </c>
      <c r="N197">
        <f t="shared" si="29"/>
        <v>895</v>
      </c>
    </row>
    <row r="198" spans="4:14" hidden="1">
      <c r="D198" s="19">
        <v>183</v>
      </c>
      <c r="E198">
        <f t="shared" si="21"/>
        <v>0</v>
      </c>
      <c r="F198">
        <f t="shared" si="20"/>
        <v>300</v>
      </c>
      <c r="G198">
        <f t="shared" si="22"/>
        <v>500</v>
      </c>
      <c r="H198">
        <f t="shared" si="23"/>
        <v>200</v>
      </c>
      <c r="I198">
        <f t="shared" si="24"/>
        <v>0</v>
      </c>
      <c r="J198">
        <f t="shared" si="25"/>
        <v>1</v>
      </c>
      <c r="K198">
        <f t="shared" si="26"/>
        <v>80</v>
      </c>
      <c r="L198">
        <f t="shared" si="27"/>
        <v>0</v>
      </c>
      <c r="M198">
        <f t="shared" si="28"/>
        <v>1750</v>
      </c>
      <c r="N198">
        <f t="shared" si="29"/>
        <v>1830</v>
      </c>
    </row>
    <row r="199" spans="4:14" hidden="1">
      <c r="D199" s="19">
        <v>184</v>
      </c>
      <c r="E199">
        <f t="shared" si="21"/>
        <v>200</v>
      </c>
      <c r="F199">
        <f t="shared" si="20"/>
        <v>300</v>
      </c>
      <c r="G199">
        <f t="shared" si="22"/>
        <v>500</v>
      </c>
      <c r="H199">
        <f t="shared" si="23"/>
        <v>400</v>
      </c>
      <c r="I199">
        <f t="shared" si="24"/>
        <v>0</v>
      </c>
      <c r="J199">
        <f t="shared" si="25"/>
        <v>0</v>
      </c>
      <c r="K199">
        <f t="shared" si="26"/>
        <v>240</v>
      </c>
      <c r="L199">
        <f t="shared" si="27"/>
        <v>0</v>
      </c>
      <c r="M199">
        <f t="shared" si="28"/>
        <v>1750</v>
      </c>
      <c r="N199">
        <f t="shared" si="29"/>
        <v>1990</v>
      </c>
    </row>
    <row r="200" spans="4:14" hidden="1">
      <c r="D200" s="19">
        <v>185</v>
      </c>
      <c r="E200">
        <f t="shared" si="21"/>
        <v>400</v>
      </c>
      <c r="F200">
        <f t="shared" si="20"/>
        <v>300</v>
      </c>
      <c r="G200">
        <f t="shared" si="22"/>
        <v>250</v>
      </c>
      <c r="H200">
        <f t="shared" si="23"/>
        <v>350</v>
      </c>
      <c r="I200">
        <f t="shared" si="24"/>
        <v>0</v>
      </c>
      <c r="J200">
        <f t="shared" si="25"/>
        <v>0</v>
      </c>
      <c r="K200">
        <f t="shared" si="26"/>
        <v>300</v>
      </c>
      <c r="L200">
        <f t="shared" si="27"/>
        <v>0</v>
      </c>
      <c r="M200">
        <f t="shared" si="28"/>
        <v>875</v>
      </c>
      <c r="N200">
        <f t="shared" si="29"/>
        <v>1175</v>
      </c>
    </row>
    <row r="201" spans="4:14" hidden="1">
      <c r="D201" s="19">
        <v>186</v>
      </c>
      <c r="E201">
        <f t="shared" si="21"/>
        <v>350</v>
      </c>
      <c r="F201">
        <f t="shared" si="20"/>
        <v>300</v>
      </c>
      <c r="G201">
        <f t="shared" si="22"/>
        <v>250</v>
      </c>
      <c r="H201">
        <f t="shared" si="23"/>
        <v>300</v>
      </c>
      <c r="I201">
        <f t="shared" si="24"/>
        <v>0</v>
      </c>
      <c r="J201">
        <f t="shared" si="25"/>
        <v>0</v>
      </c>
      <c r="K201">
        <f t="shared" si="26"/>
        <v>260</v>
      </c>
      <c r="L201">
        <f t="shared" si="27"/>
        <v>0</v>
      </c>
      <c r="M201">
        <f t="shared" si="28"/>
        <v>875</v>
      </c>
      <c r="N201">
        <f t="shared" si="29"/>
        <v>1135</v>
      </c>
    </row>
    <row r="202" spans="4:14" hidden="1">
      <c r="D202" s="19">
        <v>187</v>
      </c>
      <c r="E202">
        <f t="shared" si="21"/>
        <v>300</v>
      </c>
      <c r="F202">
        <f t="shared" si="20"/>
        <v>300</v>
      </c>
      <c r="G202">
        <f t="shared" si="22"/>
        <v>250</v>
      </c>
      <c r="H202">
        <f t="shared" si="23"/>
        <v>250</v>
      </c>
      <c r="I202">
        <f t="shared" si="24"/>
        <v>0</v>
      </c>
      <c r="J202">
        <f t="shared" si="25"/>
        <v>0</v>
      </c>
      <c r="K202">
        <f t="shared" si="26"/>
        <v>220</v>
      </c>
      <c r="L202">
        <f t="shared" si="27"/>
        <v>0</v>
      </c>
      <c r="M202">
        <f t="shared" si="28"/>
        <v>875</v>
      </c>
      <c r="N202">
        <f t="shared" si="29"/>
        <v>1095</v>
      </c>
    </row>
    <row r="203" spans="4:14" hidden="1">
      <c r="D203" s="19">
        <v>188</v>
      </c>
      <c r="E203">
        <f t="shared" si="21"/>
        <v>250</v>
      </c>
      <c r="F203">
        <f t="shared" si="20"/>
        <v>300</v>
      </c>
      <c r="G203">
        <f t="shared" si="22"/>
        <v>250</v>
      </c>
      <c r="H203">
        <f t="shared" si="23"/>
        <v>200</v>
      </c>
      <c r="I203">
        <f t="shared" si="24"/>
        <v>0</v>
      </c>
      <c r="J203">
        <f t="shared" si="25"/>
        <v>0</v>
      </c>
      <c r="K203">
        <f t="shared" si="26"/>
        <v>180</v>
      </c>
      <c r="L203">
        <f t="shared" si="27"/>
        <v>0</v>
      </c>
      <c r="M203">
        <f t="shared" si="28"/>
        <v>875</v>
      </c>
      <c r="N203">
        <f t="shared" si="29"/>
        <v>1055</v>
      </c>
    </row>
    <row r="204" spans="4:14" hidden="1">
      <c r="D204" s="19">
        <v>189</v>
      </c>
      <c r="E204">
        <f t="shared" si="21"/>
        <v>200</v>
      </c>
      <c r="F204">
        <f t="shared" si="20"/>
        <v>300</v>
      </c>
      <c r="G204">
        <f t="shared" si="22"/>
        <v>250</v>
      </c>
      <c r="H204">
        <f t="shared" si="23"/>
        <v>150</v>
      </c>
      <c r="I204">
        <f t="shared" si="24"/>
        <v>0</v>
      </c>
      <c r="J204">
        <f t="shared" si="25"/>
        <v>0</v>
      </c>
      <c r="K204">
        <f t="shared" si="26"/>
        <v>140</v>
      </c>
      <c r="L204">
        <f t="shared" si="27"/>
        <v>0</v>
      </c>
      <c r="M204">
        <f t="shared" si="28"/>
        <v>875</v>
      </c>
      <c r="N204">
        <f t="shared" si="29"/>
        <v>1015</v>
      </c>
    </row>
    <row r="205" spans="4:14" hidden="1">
      <c r="D205" s="19">
        <v>190</v>
      </c>
      <c r="E205">
        <f t="shared" si="21"/>
        <v>150</v>
      </c>
      <c r="F205">
        <f t="shared" si="20"/>
        <v>300</v>
      </c>
      <c r="G205">
        <f t="shared" si="22"/>
        <v>250</v>
      </c>
      <c r="H205">
        <f t="shared" si="23"/>
        <v>100</v>
      </c>
      <c r="I205">
        <f t="shared" si="24"/>
        <v>0</v>
      </c>
      <c r="J205">
        <f t="shared" si="25"/>
        <v>0</v>
      </c>
      <c r="K205">
        <f t="shared" si="26"/>
        <v>100</v>
      </c>
      <c r="L205">
        <f t="shared" si="27"/>
        <v>0</v>
      </c>
      <c r="M205">
        <f t="shared" si="28"/>
        <v>875</v>
      </c>
      <c r="N205">
        <f t="shared" si="29"/>
        <v>975</v>
      </c>
    </row>
    <row r="206" spans="4:14" hidden="1">
      <c r="D206" s="19">
        <v>191</v>
      </c>
      <c r="E206">
        <f t="shared" si="21"/>
        <v>100</v>
      </c>
      <c r="F206">
        <f t="shared" si="20"/>
        <v>300</v>
      </c>
      <c r="G206">
        <f t="shared" si="22"/>
        <v>250</v>
      </c>
      <c r="H206">
        <f t="shared" si="23"/>
        <v>50</v>
      </c>
      <c r="I206">
        <f t="shared" si="24"/>
        <v>0</v>
      </c>
      <c r="J206">
        <f t="shared" si="25"/>
        <v>0</v>
      </c>
      <c r="K206">
        <f t="shared" si="26"/>
        <v>60</v>
      </c>
      <c r="L206">
        <f t="shared" si="27"/>
        <v>0</v>
      </c>
      <c r="M206">
        <f t="shared" si="28"/>
        <v>875</v>
      </c>
      <c r="N206">
        <f t="shared" si="29"/>
        <v>935</v>
      </c>
    </row>
    <row r="207" spans="4:14" hidden="1">
      <c r="D207" s="19">
        <v>192</v>
      </c>
      <c r="E207">
        <f t="shared" si="21"/>
        <v>50</v>
      </c>
      <c r="F207">
        <f t="shared" si="20"/>
        <v>300</v>
      </c>
      <c r="G207">
        <f t="shared" si="22"/>
        <v>250</v>
      </c>
      <c r="H207">
        <f t="shared" si="23"/>
        <v>0</v>
      </c>
      <c r="I207">
        <f t="shared" si="24"/>
        <v>0</v>
      </c>
      <c r="J207">
        <f t="shared" si="25"/>
        <v>1</v>
      </c>
      <c r="K207">
        <f t="shared" si="26"/>
        <v>20</v>
      </c>
      <c r="L207">
        <f t="shared" si="27"/>
        <v>0</v>
      </c>
      <c r="M207">
        <f t="shared" si="28"/>
        <v>875</v>
      </c>
      <c r="N207">
        <f t="shared" si="29"/>
        <v>895</v>
      </c>
    </row>
    <row r="208" spans="4:14" hidden="1">
      <c r="D208" s="19">
        <v>193</v>
      </c>
      <c r="E208">
        <f t="shared" si="21"/>
        <v>0</v>
      </c>
      <c r="F208">
        <f t="shared" si="20"/>
        <v>300</v>
      </c>
      <c r="G208">
        <f t="shared" si="22"/>
        <v>500</v>
      </c>
      <c r="H208">
        <f t="shared" si="23"/>
        <v>200</v>
      </c>
      <c r="I208">
        <f t="shared" si="24"/>
        <v>0</v>
      </c>
      <c r="J208">
        <f t="shared" si="25"/>
        <v>1</v>
      </c>
      <c r="K208">
        <f t="shared" si="26"/>
        <v>80</v>
      </c>
      <c r="L208">
        <f t="shared" si="27"/>
        <v>0</v>
      </c>
      <c r="M208">
        <f t="shared" si="28"/>
        <v>1750</v>
      </c>
      <c r="N208">
        <f t="shared" si="29"/>
        <v>1830</v>
      </c>
    </row>
    <row r="209" spans="4:14" hidden="1">
      <c r="D209" s="19">
        <v>194</v>
      </c>
      <c r="E209">
        <f t="shared" si="21"/>
        <v>200</v>
      </c>
      <c r="F209">
        <f t="shared" ref="F209:F235" si="30">$C$3</f>
        <v>300</v>
      </c>
      <c r="G209">
        <f t="shared" si="22"/>
        <v>500</v>
      </c>
      <c r="H209">
        <f t="shared" si="23"/>
        <v>400</v>
      </c>
      <c r="I209">
        <f t="shared" si="24"/>
        <v>0</v>
      </c>
      <c r="J209">
        <f t="shared" si="25"/>
        <v>0</v>
      </c>
      <c r="K209">
        <f t="shared" si="26"/>
        <v>240</v>
      </c>
      <c r="L209">
        <f t="shared" si="27"/>
        <v>0</v>
      </c>
      <c r="M209">
        <f t="shared" si="28"/>
        <v>1750</v>
      </c>
      <c r="N209">
        <f t="shared" si="29"/>
        <v>1990</v>
      </c>
    </row>
    <row r="210" spans="4:14" hidden="1">
      <c r="D210" s="19">
        <v>195</v>
      </c>
      <c r="E210">
        <f t="shared" ref="E210:E235" si="31">H209</f>
        <v>400</v>
      </c>
      <c r="F210">
        <f t="shared" si="30"/>
        <v>300</v>
      </c>
      <c r="G210">
        <f t="shared" ref="G210:G235" si="32">$C$2+J209*$C$2</f>
        <v>250</v>
      </c>
      <c r="H210">
        <f t="shared" ref="H210:H235" si="33">MAX(E210+G210-F210,0)</f>
        <v>350</v>
      </c>
      <c r="I210">
        <f t="shared" ref="I210:I235" si="34">MAX(0,F210-G210-E210)</f>
        <v>0</v>
      </c>
      <c r="J210">
        <f t="shared" ref="J210:J235" si="35">IF(H209&lt;$C$5,1,0)</f>
        <v>0</v>
      </c>
      <c r="K210">
        <f t="shared" ref="K210:K235" si="36">(E210+H210)/2*$C$6</f>
        <v>300</v>
      </c>
      <c r="L210">
        <f t="shared" ref="L210:L235" si="37">I210*$C$7</f>
        <v>0</v>
      </c>
      <c r="M210">
        <f t="shared" ref="M210:M235" si="38">G210*$C$8</f>
        <v>875</v>
      </c>
      <c r="N210">
        <f t="shared" ref="N210:N235" si="39">SUM(K210:M210)</f>
        <v>1175</v>
      </c>
    </row>
    <row r="211" spans="4:14" hidden="1">
      <c r="D211" s="19">
        <v>196</v>
      </c>
      <c r="E211">
        <f t="shared" si="31"/>
        <v>350</v>
      </c>
      <c r="F211">
        <f t="shared" si="30"/>
        <v>300</v>
      </c>
      <c r="G211">
        <f t="shared" si="32"/>
        <v>250</v>
      </c>
      <c r="H211">
        <f t="shared" si="33"/>
        <v>300</v>
      </c>
      <c r="I211">
        <f t="shared" si="34"/>
        <v>0</v>
      </c>
      <c r="J211">
        <f t="shared" si="35"/>
        <v>0</v>
      </c>
      <c r="K211">
        <f t="shared" si="36"/>
        <v>260</v>
      </c>
      <c r="L211">
        <f t="shared" si="37"/>
        <v>0</v>
      </c>
      <c r="M211">
        <f t="shared" si="38"/>
        <v>875</v>
      </c>
      <c r="N211">
        <f t="shared" si="39"/>
        <v>1135</v>
      </c>
    </row>
    <row r="212" spans="4:14" hidden="1">
      <c r="D212" s="19">
        <v>197</v>
      </c>
      <c r="E212">
        <f t="shared" si="31"/>
        <v>300</v>
      </c>
      <c r="F212">
        <f t="shared" si="30"/>
        <v>300</v>
      </c>
      <c r="G212">
        <f t="shared" si="32"/>
        <v>250</v>
      </c>
      <c r="H212">
        <f t="shared" si="33"/>
        <v>250</v>
      </c>
      <c r="I212">
        <f t="shared" si="34"/>
        <v>0</v>
      </c>
      <c r="J212">
        <f t="shared" si="35"/>
        <v>0</v>
      </c>
      <c r="K212">
        <f t="shared" si="36"/>
        <v>220</v>
      </c>
      <c r="L212">
        <f t="shared" si="37"/>
        <v>0</v>
      </c>
      <c r="M212">
        <f t="shared" si="38"/>
        <v>875</v>
      </c>
      <c r="N212">
        <f t="shared" si="39"/>
        <v>1095</v>
      </c>
    </row>
    <row r="213" spans="4:14" hidden="1">
      <c r="D213" s="19">
        <v>198</v>
      </c>
      <c r="E213">
        <f t="shared" si="31"/>
        <v>250</v>
      </c>
      <c r="F213">
        <f t="shared" si="30"/>
        <v>300</v>
      </c>
      <c r="G213">
        <f t="shared" si="32"/>
        <v>250</v>
      </c>
      <c r="H213">
        <f t="shared" si="33"/>
        <v>200</v>
      </c>
      <c r="I213">
        <f t="shared" si="34"/>
        <v>0</v>
      </c>
      <c r="J213">
        <f t="shared" si="35"/>
        <v>0</v>
      </c>
      <c r="K213">
        <f t="shared" si="36"/>
        <v>180</v>
      </c>
      <c r="L213">
        <f t="shared" si="37"/>
        <v>0</v>
      </c>
      <c r="M213">
        <f t="shared" si="38"/>
        <v>875</v>
      </c>
      <c r="N213">
        <f t="shared" si="39"/>
        <v>1055</v>
      </c>
    </row>
    <row r="214" spans="4:14" hidden="1">
      <c r="D214" s="19">
        <v>199</v>
      </c>
      <c r="E214">
        <f t="shared" si="31"/>
        <v>200</v>
      </c>
      <c r="F214">
        <f t="shared" si="30"/>
        <v>300</v>
      </c>
      <c r="G214">
        <f t="shared" si="32"/>
        <v>250</v>
      </c>
      <c r="H214">
        <f t="shared" si="33"/>
        <v>150</v>
      </c>
      <c r="I214">
        <f t="shared" si="34"/>
        <v>0</v>
      </c>
      <c r="J214">
        <f t="shared" si="35"/>
        <v>0</v>
      </c>
      <c r="K214">
        <f t="shared" si="36"/>
        <v>140</v>
      </c>
      <c r="L214">
        <f t="shared" si="37"/>
        <v>0</v>
      </c>
      <c r="M214">
        <f t="shared" si="38"/>
        <v>875</v>
      </c>
      <c r="N214">
        <f t="shared" si="39"/>
        <v>1015</v>
      </c>
    </row>
    <row r="215" spans="4:14" hidden="1">
      <c r="D215" s="19">
        <v>200</v>
      </c>
      <c r="E215">
        <f t="shared" si="31"/>
        <v>150</v>
      </c>
      <c r="F215">
        <f t="shared" si="30"/>
        <v>300</v>
      </c>
      <c r="G215">
        <f t="shared" si="32"/>
        <v>250</v>
      </c>
      <c r="H215">
        <f t="shared" si="33"/>
        <v>100</v>
      </c>
      <c r="I215">
        <f t="shared" si="34"/>
        <v>0</v>
      </c>
      <c r="J215">
        <f t="shared" si="35"/>
        <v>0</v>
      </c>
      <c r="K215">
        <f t="shared" si="36"/>
        <v>100</v>
      </c>
      <c r="L215">
        <f t="shared" si="37"/>
        <v>0</v>
      </c>
      <c r="M215">
        <f t="shared" si="38"/>
        <v>875</v>
      </c>
      <c r="N215">
        <f t="shared" si="39"/>
        <v>975</v>
      </c>
    </row>
    <row r="216" spans="4:14" hidden="1">
      <c r="D216" s="19">
        <v>201</v>
      </c>
      <c r="E216">
        <f t="shared" si="31"/>
        <v>100</v>
      </c>
      <c r="F216">
        <f t="shared" si="30"/>
        <v>300</v>
      </c>
      <c r="G216">
        <f t="shared" si="32"/>
        <v>250</v>
      </c>
      <c r="H216">
        <f t="shared" si="33"/>
        <v>50</v>
      </c>
      <c r="I216">
        <f t="shared" si="34"/>
        <v>0</v>
      </c>
      <c r="J216">
        <f t="shared" si="35"/>
        <v>0</v>
      </c>
      <c r="K216">
        <f t="shared" si="36"/>
        <v>60</v>
      </c>
      <c r="L216">
        <f t="shared" si="37"/>
        <v>0</v>
      </c>
      <c r="M216">
        <f t="shared" si="38"/>
        <v>875</v>
      </c>
      <c r="N216">
        <f t="shared" si="39"/>
        <v>935</v>
      </c>
    </row>
    <row r="217" spans="4:14" hidden="1">
      <c r="D217" s="19">
        <v>202</v>
      </c>
      <c r="E217">
        <f t="shared" si="31"/>
        <v>50</v>
      </c>
      <c r="F217">
        <f t="shared" si="30"/>
        <v>300</v>
      </c>
      <c r="G217">
        <f t="shared" si="32"/>
        <v>250</v>
      </c>
      <c r="H217">
        <f t="shared" si="33"/>
        <v>0</v>
      </c>
      <c r="I217">
        <f t="shared" si="34"/>
        <v>0</v>
      </c>
      <c r="J217">
        <f t="shared" si="35"/>
        <v>1</v>
      </c>
      <c r="K217">
        <f t="shared" si="36"/>
        <v>20</v>
      </c>
      <c r="L217">
        <f t="shared" si="37"/>
        <v>0</v>
      </c>
      <c r="M217">
        <f t="shared" si="38"/>
        <v>875</v>
      </c>
      <c r="N217">
        <f t="shared" si="39"/>
        <v>895</v>
      </c>
    </row>
    <row r="218" spans="4:14" hidden="1">
      <c r="D218" s="19">
        <v>203</v>
      </c>
      <c r="E218">
        <f t="shared" si="31"/>
        <v>0</v>
      </c>
      <c r="F218">
        <f t="shared" si="30"/>
        <v>300</v>
      </c>
      <c r="G218">
        <f t="shared" si="32"/>
        <v>500</v>
      </c>
      <c r="H218">
        <f t="shared" si="33"/>
        <v>200</v>
      </c>
      <c r="I218">
        <f t="shared" si="34"/>
        <v>0</v>
      </c>
      <c r="J218">
        <f t="shared" si="35"/>
        <v>1</v>
      </c>
      <c r="K218">
        <f t="shared" si="36"/>
        <v>80</v>
      </c>
      <c r="L218">
        <f t="shared" si="37"/>
        <v>0</v>
      </c>
      <c r="M218">
        <f t="shared" si="38"/>
        <v>1750</v>
      </c>
      <c r="N218">
        <f t="shared" si="39"/>
        <v>1830</v>
      </c>
    </row>
    <row r="219" spans="4:14" hidden="1">
      <c r="D219" s="19">
        <v>204</v>
      </c>
      <c r="E219">
        <f t="shared" si="31"/>
        <v>200</v>
      </c>
      <c r="F219">
        <f t="shared" si="30"/>
        <v>300</v>
      </c>
      <c r="G219">
        <f t="shared" si="32"/>
        <v>500</v>
      </c>
      <c r="H219">
        <f t="shared" si="33"/>
        <v>400</v>
      </c>
      <c r="I219">
        <f t="shared" si="34"/>
        <v>0</v>
      </c>
      <c r="J219">
        <f t="shared" si="35"/>
        <v>0</v>
      </c>
      <c r="K219">
        <f t="shared" si="36"/>
        <v>240</v>
      </c>
      <c r="L219">
        <f t="shared" si="37"/>
        <v>0</v>
      </c>
      <c r="M219">
        <f t="shared" si="38"/>
        <v>1750</v>
      </c>
      <c r="N219">
        <f t="shared" si="39"/>
        <v>1990</v>
      </c>
    </row>
    <row r="220" spans="4:14" hidden="1">
      <c r="D220" s="19">
        <v>205</v>
      </c>
      <c r="E220">
        <f t="shared" si="31"/>
        <v>400</v>
      </c>
      <c r="F220">
        <f t="shared" si="30"/>
        <v>300</v>
      </c>
      <c r="G220">
        <f t="shared" si="32"/>
        <v>250</v>
      </c>
      <c r="H220">
        <f t="shared" si="33"/>
        <v>350</v>
      </c>
      <c r="I220">
        <f t="shared" si="34"/>
        <v>0</v>
      </c>
      <c r="J220">
        <f t="shared" si="35"/>
        <v>0</v>
      </c>
      <c r="K220">
        <f t="shared" si="36"/>
        <v>300</v>
      </c>
      <c r="L220">
        <f t="shared" si="37"/>
        <v>0</v>
      </c>
      <c r="M220">
        <f t="shared" si="38"/>
        <v>875</v>
      </c>
      <c r="N220">
        <f t="shared" si="39"/>
        <v>1175</v>
      </c>
    </row>
    <row r="221" spans="4:14" hidden="1">
      <c r="D221" s="19">
        <v>206</v>
      </c>
      <c r="E221">
        <f t="shared" si="31"/>
        <v>350</v>
      </c>
      <c r="F221">
        <f t="shared" si="30"/>
        <v>300</v>
      </c>
      <c r="G221">
        <f t="shared" si="32"/>
        <v>250</v>
      </c>
      <c r="H221">
        <f t="shared" si="33"/>
        <v>300</v>
      </c>
      <c r="I221">
        <f t="shared" si="34"/>
        <v>0</v>
      </c>
      <c r="J221">
        <f t="shared" si="35"/>
        <v>0</v>
      </c>
      <c r="K221">
        <f t="shared" si="36"/>
        <v>260</v>
      </c>
      <c r="L221">
        <f t="shared" si="37"/>
        <v>0</v>
      </c>
      <c r="M221">
        <f t="shared" si="38"/>
        <v>875</v>
      </c>
      <c r="N221">
        <f t="shared" si="39"/>
        <v>1135</v>
      </c>
    </row>
    <row r="222" spans="4:14" hidden="1">
      <c r="D222" s="19">
        <v>207</v>
      </c>
      <c r="E222">
        <f t="shared" si="31"/>
        <v>300</v>
      </c>
      <c r="F222">
        <f t="shared" si="30"/>
        <v>300</v>
      </c>
      <c r="G222">
        <f t="shared" si="32"/>
        <v>250</v>
      </c>
      <c r="H222">
        <f t="shared" si="33"/>
        <v>250</v>
      </c>
      <c r="I222">
        <f t="shared" si="34"/>
        <v>0</v>
      </c>
      <c r="J222">
        <f t="shared" si="35"/>
        <v>0</v>
      </c>
      <c r="K222">
        <f t="shared" si="36"/>
        <v>220</v>
      </c>
      <c r="L222">
        <f t="shared" si="37"/>
        <v>0</v>
      </c>
      <c r="M222">
        <f t="shared" si="38"/>
        <v>875</v>
      </c>
      <c r="N222">
        <f t="shared" si="39"/>
        <v>1095</v>
      </c>
    </row>
    <row r="223" spans="4:14" hidden="1">
      <c r="D223" s="19">
        <v>208</v>
      </c>
      <c r="E223">
        <f t="shared" si="31"/>
        <v>250</v>
      </c>
      <c r="F223">
        <f t="shared" si="30"/>
        <v>300</v>
      </c>
      <c r="G223">
        <f t="shared" si="32"/>
        <v>250</v>
      </c>
      <c r="H223">
        <f t="shared" si="33"/>
        <v>200</v>
      </c>
      <c r="I223">
        <f t="shared" si="34"/>
        <v>0</v>
      </c>
      <c r="J223">
        <f t="shared" si="35"/>
        <v>0</v>
      </c>
      <c r="K223">
        <f t="shared" si="36"/>
        <v>180</v>
      </c>
      <c r="L223">
        <f t="shared" si="37"/>
        <v>0</v>
      </c>
      <c r="M223">
        <f t="shared" si="38"/>
        <v>875</v>
      </c>
      <c r="N223">
        <f t="shared" si="39"/>
        <v>1055</v>
      </c>
    </row>
    <row r="224" spans="4:14" hidden="1">
      <c r="D224" s="19">
        <v>209</v>
      </c>
      <c r="E224">
        <f t="shared" si="31"/>
        <v>200</v>
      </c>
      <c r="F224">
        <f t="shared" si="30"/>
        <v>300</v>
      </c>
      <c r="G224">
        <f t="shared" si="32"/>
        <v>250</v>
      </c>
      <c r="H224">
        <f t="shared" si="33"/>
        <v>150</v>
      </c>
      <c r="I224">
        <f t="shared" si="34"/>
        <v>0</v>
      </c>
      <c r="J224">
        <f t="shared" si="35"/>
        <v>0</v>
      </c>
      <c r="K224">
        <f t="shared" si="36"/>
        <v>140</v>
      </c>
      <c r="L224">
        <f t="shared" si="37"/>
        <v>0</v>
      </c>
      <c r="M224">
        <f t="shared" si="38"/>
        <v>875</v>
      </c>
      <c r="N224">
        <f t="shared" si="39"/>
        <v>1015</v>
      </c>
    </row>
    <row r="225" spans="4:14" hidden="1">
      <c r="D225" s="19">
        <v>210</v>
      </c>
      <c r="E225">
        <f t="shared" si="31"/>
        <v>150</v>
      </c>
      <c r="F225">
        <f t="shared" si="30"/>
        <v>300</v>
      </c>
      <c r="G225">
        <f t="shared" si="32"/>
        <v>250</v>
      </c>
      <c r="H225">
        <f t="shared" si="33"/>
        <v>100</v>
      </c>
      <c r="I225">
        <f t="shared" si="34"/>
        <v>0</v>
      </c>
      <c r="J225">
        <f t="shared" si="35"/>
        <v>0</v>
      </c>
      <c r="K225">
        <f t="shared" si="36"/>
        <v>100</v>
      </c>
      <c r="L225">
        <f t="shared" si="37"/>
        <v>0</v>
      </c>
      <c r="M225">
        <f t="shared" si="38"/>
        <v>875</v>
      </c>
      <c r="N225">
        <f t="shared" si="39"/>
        <v>975</v>
      </c>
    </row>
    <row r="226" spans="4:14" hidden="1">
      <c r="D226" s="19">
        <v>211</v>
      </c>
      <c r="E226">
        <f t="shared" si="31"/>
        <v>100</v>
      </c>
      <c r="F226">
        <f t="shared" si="30"/>
        <v>300</v>
      </c>
      <c r="G226">
        <f t="shared" si="32"/>
        <v>250</v>
      </c>
      <c r="H226">
        <f t="shared" si="33"/>
        <v>50</v>
      </c>
      <c r="I226">
        <f t="shared" si="34"/>
        <v>0</v>
      </c>
      <c r="J226">
        <f t="shared" si="35"/>
        <v>0</v>
      </c>
      <c r="K226">
        <f t="shared" si="36"/>
        <v>60</v>
      </c>
      <c r="L226">
        <f t="shared" si="37"/>
        <v>0</v>
      </c>
      <c r="M226">
        <f t="shared" si="38"/>
        <v>875</v>
      </c>
      <c r="N226">
        <f t="shared" si="39"/>
        <v>935</v>
      </c>
    </row>
    <row r="227" spans="4:14" hidden="1">
      <c r="D227" s="19">
        <v>212</v>
      </c>
      <c r="E227">
        <f t="shared" si="31"/>
        <v>50</v>
      </c>
      <c r="F227">
        <f t="shared" si="30"/>
        <v>300</v>
      </c>
      <c r="G227">
        <f t="shared" si="32"/>
        <v>250</v>
      </c>
      <c r="H227">
        <f t="shared" si="33"/>
        <v>0</v>
      </c>
      <c r="I227">
        <f t="shared" si="34"/>
        <v>0</v>
      </c>
      <c r="J227">
        <f t="shared" si="35"/>
        <v>1</v>
      </c>
      <c r="K227">
        <f t="shared" si="36"/>
        <v>20</v>
      </c>
      <c r="L227">
        <f t="shared" si="37"/>
        <v>0</v>
      </c>
      <c r="M227">
        <f t="shared" si="38"/>
        <v>875</v>
      </c>
      <c r="N227">
        <f t="shared" si="39"/>
        <v>895</v>
      </c>
    </row>
    <row r="228" spans="4:14" hidden="1">
      <c r="D228" s="19">
        <v>213</v>
      </c>
      <c r="E228">
        <f t="shared" si="31"/>
        <v>0</v>
      </c>
      <c r="F228">
        <f t="shared" si="30"/>
        <v>300</v>
      </c>
      <c r="G228">
        <f t="shared" si="32"/>
        <v>500</v>
      </c>
      <c r="H228">
        <f t="shared" si="33"/>
        <v>200</v>
      </c>
      <c r="I228">
        <f t="shared" si="34"/>
        <v>0</v>
      </c>
      <c r="J228">
        <f t="shared" si="35"/>
        <v>1</v>
      </c>
      <c r="K228">
        <f t="shared" si="36"/>
        <v>80</v>
      </c>
      <c r="L228">
        <f t="shared" si="37"/>
        <v>0</v>
      </c>
      <c r="M228">
        <f t="shared" si="38"/>
        <v>1750</v>
      </c>
      <c r="N228">
        <f t="shared" si="39"/>
        <v>1830</v>
      </c>
    </row>
    <row r="229" spans="4:14" hidden="1">
      <c r="D229" s="19">
        <v>214</v>
      </c>
      <c r="E229">
        <f t="shared" si="31"/>
        <v>200</v>
      </c>
      <c r="F229">
        <f t="shared" si="30"/>
        <v>300</v>
      </c>
      <c r="G229">
        <f t="shared" si="32"/>
        <v>500</v>
      </c>
      <c r="H229">
        <f t="shared" si="33"/>
        <v>400</v>
      </c>
      <c r="I229">
        <f t="shared" si="34"/>
        <v>0</v>
      </c>
      <c r="J229">
        <f t="shared" si="35"/>
        <v>0</v>
      </c>
      <c r="K229">
        <f t="shared" si="36"/>
        <v>240</v>
      </c>
      <c r="L229">
        <f t="shared" si="37"/>
        <v>0</v>
      </c>
      <c r="M229">
        <f t="shared" si="38"/>
        <v>1750</v>
      </c>
      <c r="N229">
        <f t="shared" si="39"/>
        <v>1990</v>
      </c>
    </row>
    <row r="230" spans="4:14" hidden="1">
      <c r="D230" s="19">
        <v>215</v>
      </c>
      <c r="E230">
        <f t="shared" si="31"/>
        <v>400</v>
      </c>
      <c r="F230">
        <f t="shared" si="30"/>
        <v>300</v>
      </c>
      <c r="G230">
        <f t="shared" si="32"/>
        <v>250</v>
      </c>
      <c r="H230">
        <f t="shared" si="33"/>
        <v>350</v>
      </c>
      <c r="I230">
        <f t="shared" si="34"/>
        <v>0</v>
      </c>
      <c r="J230">
        <f t="shared" si="35"/>
        <v>0</v>
      </c>
      <c r="K230">
        <f t="shared" si="36"/>
        <v>300</v>
      </c>
      <c r="L230">
        <f t="shared" si="37"/>
        <v>0</v>
      </c>
      <c r="M230">
        <f t="shared" si="38"/>
        <v>875</v>
      </c>
      <c r="N230">
        <f t="shared" si="39"/>
        <v>1175</v>
      </c>
    </row>
    <row r="231" spans="4:14" hidden="1">
      <c r="D231" s="19">
        <v>216</v>
      </c>
      <c r="E231">
        <f t="shared" si="31"/>
        <v>350</v>
      </c>
      <c r="F231">
        <f t="shared" si="30"/>
        <v>300</v>
      </c>
      <c r="G231">
        <f t="shared" si="32"/>
        <v>250</v>
      </c>
      <c r="H231">
        <f t="shared" si="33"/>
        <v>300</v>
      </c>
      <c r="I231">
        <f t="shared" si="34"/>
        <v>0</v>
      </c>
      <c r="J231">
        <f t="shared" si="35"/>
        <v>0</v>
      </c>
      <c r="K231">
        <f t="shared" si="36"/>
        <v>260</v>
      </c>
      <c r="L231">
        <f t="shared" si="37"/>
        <v>0</v>
      </c>
      <c r="M231">
        <f t="shared" si="38"/>
        <v>875</v>
      </c>
      <c r="N231">
        <f t="shared" si="39"/>
        <v>1135</v>
      </c>
    </row>
    <row r="232" spans="4:14" hidden="1">
      <c r="D232" s="19">
        <v>217</v>
      </c>
      <c r="E232">
        <f t="shared" si="31"/>
        <v>300</v>
      </c>
      <c r="F232">
        <f t="shared" si="30"/>
        <v>300</v>
      </c>
      <c r="G232">
        <f t="shared" si="32"/>
        <v>250</v>
      </c>
      <c r="H232">
        <f t="shared" si="33"/>
        <v>250</v>
      </c>
      <c r="I232">
        <f t="shared" si="34"/>
        <v>0</v>
      </c>
      <c r="J232">
        <f t="shared" si="35"/>
        <v>0</v>
      </c>
      <c r="K232">
        <f t="shared" si="36"/>
        <v>220</v>
      </c>
      <c r="L232">
        <f t="shared" si="37"/>
        <v>0</v>
      </c>
      <c r="M232">
        <f t="shared" si="38"/>
        <v>875</v>
      </c>
      <c r="N232">
        <f t="shared" si="39"/>
        <v>1095</v>
      </c>
    </row>
    <row r="233" spans="4:14" hidden="1">
      <c r="D233" s="19">
        <v>218</v>
      </c>
      <c r="E233">
        <f t="shared" si="31"/>
        <v>250</v>
      </c>
      <c r="F233">
        <f t="shared" si="30"/>
        <v>300</v>
      </c>
      <c r="G233">
        <f t="shared" si="32"/>
        <v>250</v>
      </c>
      <c r="H233">
        <f t="shared" si="33"/>
        <v>200</v>
      </c>
      <c r="I233">
        <f t="shared" si="34"/>
        <v>0</v>
      </c>
      <c r="J233">
        <f t="shared" si="35"/>
        <v>0</v>
      </c>
      <c r="K233">
        <f t="shared" si="36"/>
        <v>180</v>
      </c>
      <c r="L233">
        <f t="shared" si="37"/>
        <v>0</v>
      </c>
      <c r="M233">
        <f t="shared" si="38"/>
        <v>875</v>
      </c>
      <c r="N233">
        <f t="shared" si="39"/>
        <v>1055</v>
      </c>
    </row>
    <row r="234" spans="4:14">
      <c r="D234" s="19">
        <v>219</v>
      </c>
      <c r="E234">
        <f t="shared" si="31"/>
        <v>200</v>
      </c>
      <c r="F234">
        <f t="shared" si="30"/>
        <v>300</v>
      </c>
      <c r="G234">
        <f t="shared" si="32"/>
        <v>250</v>
      </c>
      <c r="H234">
        <f t="shared" si="33"/>
        <v>150</v>
      </c>
      <c r="I234">
        <f t="shared" si="34"/>
        <v>0</v>
      </c>
      <c r="J234">
        <f t="shared" si="35"/>
        <v>0</v>
      </c>
      <c r="K234">
        <f t="shared" si="36"/>
        <v>140</v>
      </c>
      <c r="L234">
        <f t="shared" si="37"/>
        <v>0</v>
      </c>
      <c r="M234">
        <f t="shared" si="38"/>
        <v>875</v>
      </c>
      <c r="N234">
        <f t="shared" si="39"/>
        <v>1015</v>
      </c>
    </row>
    <row r="235" spans="4:14">
      <c r="D235" s="19">
        <v>220</v>
      </c>
      <c r="E235">
        <f t="shared" si="31"/>
        <v>150</v>
      </c>
      <c r="F235">
        <f t="shared" si="30"/>
        <v>300</v>
      </c>
      <c r="G235">
        <f t="shared" si="32"/>
        <v>250</v>
      </c>
      <c r="H235">
        <f t="shared" si="33"/>
        <v>100</v>
      </c>
      <c r="I235">
        <f t="shared" si="34"/>
        <v>0</v>
      </c>
      <c r="J235">
        <f t="shared" si="35"/>
        <v>0</v>
      </c>
      <c r="K235">
        <f t="shared" si="36"/>
        <v>100</v>
      </c>
      <c r="L235">
        <f t="shared" si="37"/>
        <v>0</v>
      </c>
      <c r="M235">
        <f t="shared" si="38"/>
        <v>875</v>
      </c>
      <c r="N235">
        <f t="shared" si="39"/>
        <v>975</v>
      </c>
    </row>
  </sheetData>
  <phoneticPr fontId="2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opLeftCell="G1" workbookViewId="0">
      <selection activeCell="S30" sqref="S30"/>
    </sheetView>
  </sheetViews>
  <sheetFormatPr defaultColWidth="9" defaultRowHeight="13.9"/>
  <cols>
    <col min="1" max="1" width="17.46484375" customWidth="1"/>
    <col min="2" max="3" width="9.46484375" customWidth="1"/>
    <col min="4" max="4" width="8.73046875" customWidth="1"/>
    <col min="9" max="9" width="9.46484375" customWidth="1"/>
  </cols>
  <sheetData>
    <row r="1" spans="1:14">
      <c r="A1" s="6" t="s">
        <v>123</v>
      </c>
      <c r="B1" s="7">
        <v>0.05</v>
      </c>
      <c r="D1" s="6"/>
      <c r="E1" s="6" t="s">
        <v>124</v>
      </c>
      <c r="F1" s="6" t="s">
        <v>125</v>
      </c>
      <c r="I1" s="12">
        <f ca="1">B19</f>
        <v>7688.1686819944025</v>
      </c>
    </row>
    <row r="2" spans="1:14">
      <c r="A2" s="6" t="s">
        <v>126</v>
      </c>
      <c r="B2" s="8">
        <v>3000</v>
      </c>
      <c r="D2" s="6">
        <v>0</v>
      </c>
      <c r="E2" s="84">
        <v>0.05</v>
      </c>
      <c r="F2" s="84">
        <v>0.2</v>
      </c>
      <c r="H2">
        <v>1</v>
      </c>
      <c r="I2" s="12">
        <v>5621.4615039096898</v>
      </c>
      <c r="K2">
        <v>1</v>
      </c>
      <c r="L2">
        <f>B22-B24/2</f>
        <v>-8749.8601084004986</v>
      </c>
      <c r="M2" s="13">
        <f t="array" ref="M2:M23">FREQUENCY(I2:I101,L2:L23)/100</f>
        <v>0</v>
      </c>
      <c r="N2" s="9">
        <f>M2</f>
        <v>0</v>
      </c>
    </row>
    <row r="3" spans="1:14">
      <c r="A3" s="6" t="s">
        <v>127</v>
      </c>
      <c r="B3" s="8">
        <v>30</v>
      </c>
      <c r="D3" s="84">
        <f>D2+F2</f>
        <v>0.2</v>
      </c>
      <c r="E3" s="84">
        <v>0.08</v>
      </c>
      <c r="F3" s="84">
        <v>0.5</v>
      </c>
      <c r="H3">
        <v>2</v>
      </c>
      <c r="I3" s="12">
        <v>-2423.88869903161</v>
      </c>
      <c r="K3">
        <v>2</v>
      </c>
      <c r="L3" s="12">
        <f t="shared" ref="L3:L23" si="0">L2+$B$24</f>
        <v>-7325.1102162008592</v>
      </c>
      <c r="M3" s="13">
        <v>0.01</v>
      </c>
      <c r="N3" s="9">
        <f>N2+M3</f>
        <v>0.01</v>
      </c>
    </row>
    <row r="4" spans="1:14">
      <c r="A4" s="6" t="s">
        <v>128</v>
      </c>
      <c r="B4" s="8">
        <v>380</v>
      </c>
      <c r="D4" s="84">
        <f t="shared" ref="D4:D5" si="1">D3+F3</f>
        <v>0.7</v>
      </c>
      <c r="E4" s="84">
        <v>0.1</v>
      </c>
      <c r="F4" s="84">
        <v>0.3</v>
      </c>
      <c r="H4">
        <v>3</v>
      </c>
      <c r="I4" s="12">
        <v>-820.31880980685605</v>
      </c>
      <c r="K4">
        <v>3</v>
      </c>
      <c r="L4" s="12">
        <f t="shared" si="0"/>
        <v>-5900.3603240012199</v>
      </c>
      <c r="M4" s="13">
        <v>0.03</v>
      </c>
      <c r="N4" s="9">
        <f t="shared" ref="N4:N23" si="2">N3+M4</f>
        <v>0.04</v>
      </c>
    </row>
    <row r="5" spans="1:14">
      <c r="A5" s="6" t="s">
        <v>129</v>
      </c>
      <c r="B5" s="8">
        <v>300</v>
      </c>
      <c r="D5" s="9">
        <f t="shared" si="1"/>
        <v>1</v>
      </c>
      <c r="H5">
        <v>4</v>
      </c>
      <c r="I5" s="12">
        <v>8019.4386421078498</v>
      </c>
      <c r="K5">
        <v>4</v>
      </c>
      <c r="L5" s="12">
        <f t="shared" si="0"/>
        <v>-4475.6104318015805</v>
      </c>
      <c r="M5" s="13">
        <v>0.02</v>
      </c>
      <c r="N5" s="9">
        <f t="shared" si="2"/>
        <v>0.06</v>
      </c>
    </row>
    <row r="6" spans="1:14">
      <c r="A6" s="6" t="s">
        <v>130</v>
      </c>
      <c r="B6" s="8">
        <v>100</v>
      </c>
      <c r="H6">
        <v>5</v>
      </c>
      <c r="I6" s="12">
        <v>8593.9206694573004</v>
      </c>
      <c r="K6">
        <v>5</v>
      </c>
      <c r="L6" s="12">
        <f t="shared" si="0"/>
        <v>-3050.8605396019416</v>
      </c>
      <c r="M6" s="13">
        <v>0.03</v>
      </c>
      <c r="N6" s="9">
        <f t="shared" si="2"/>
        <v>0.09</v>
      </c>
    </row>
    <row r="7" spans="1:14">
      <c r="A7" s="6" t="s">
        <v>96</v>
      </c>
      <c r="B7" s="8">
        <v>600</v>
      </c>
      <c r="H7">
        <v>6</v>
      </c>
      <c r="I7" s="12">
        <v>9456.5236634721205</v>
      </c>
      <c r="K7">
        <v>6</v>
      </c>
      <c r="L7" s="12">
        <f t="shared" si="0"/>
        <v>-1626.1106474023027</v>
      </c>
      <c r="M7" s="13">
        <v>0.08</v>
      </c>
      <c r="N7" s="9">
        <f t="shared" si="2"/>
        <v>0.16999999999999998</v>
      </c>
    </row>
    <row r="8" spans="1:14">
      <c r="H8">
        <v>7</v>
      </c>
      <c r="I8" s="12">
        <v>5052.6952122472603</v>
      </c>
      <c r="K8">
        <v>7</v>
      </c>
      <c r="L8" s="12">
        <f t="shared" si="0"/>
        <v>-201.36075520266377</v>
      </c>
      <c r="M8" s="13">
        <v>7.0000000000000007E-2</v>
      </c>
      <c r="N8" s="9">
        <f t="shared" si="2"/>
        <v>0.24</v>
      </c>
    </row>
    <row r="9" spans="1:14">
      <c r="A9" s="6"/>
      <c r="B9" s="6" t="s">
        <v>131</v>
      </c>
      <c r="C9" s="6" t="s">
        <v>132</v>
      </c>
      <c r="D9" s="6" t="s">
        <v>133</v>
      </c>
      <c r="E9" s="6" t="s">
        <v>134</v>
      </c>
      <c r="H9">
        <v>8</v>
      </c>
      <c r="I9" s="12">
        <v>-2469.8290634771301</v>
      </c>
      <c r="K9">
        <v>8</v>
      </c>
      <c r="L9" s="12">
        <f t="shared" si="0"/>
        <v>1223.3891369969751</v>
      </c>
      <c r="M9" s="13">
        <v>0.06</v>
      </c>
      <c r="N9" s="9">
        <f t="shared" si="2"/>
        <v>0.3</v>
      </c>
    </row>
    <row r="10" spans="1:14">
      <c r="A10" s="6" t="s">
        <v>135</v>
      </c>
      <c r="B10" s="10">
        <f>$B$4</f>
        <v>380</v>
      </c>
      <c r="C10" s="10">
        <f t="shared" ref="C10:E10" si="3">$B$4</f>
        <v>380</v>
      </c>
      <c r="D10" s="10">
        <f t="shared" si="3"/>
        <v>380</v>
      </c>
      <c r="E10" s="10">
        <f t="shared" si="3"/>
        <v>380</v>
      </c>
      <c r="H10">
        <v>9</v>
      </c>
      <c r="I10" s="12">
        <v>16658.0811346474</v>
      </c>
      <c r="K10">
        <v>9</v>
      </c>
      <c r="L10" s="12">
        <f t="shared" si="0"/>
        <v>2648.139029196614</v>
      </c>
      <c r="M10" s="13">
        <v>0.03</v>
      </c>
      <c r="N10" s="9">
        <f t="shared" si="2"/>
        <v>0.32999999999999996</v>
      </c>
    </row>
    <row r="11" spans="1:14">
      <c r="A11" s="6" t="s">
        <v>124</v>
      </c>
      <c r="B11" s="10"/>
      <c r="C11" s="11">
        <f ca="1">VLOOKUP(RAND(),$D$2:$F$4,2)</f>
        <v>0.08</v>
      </c>
      <c r="D11" s="11">
        <f ca="1">VLOOKUP(RAND(),$D$2:$F$4,2)</f>
        <v>0.08</v>
      </c>
      <c r="E11" s="11">
        <f ca="1">VLOOKUP(RAND(),$D$2:$F$4,2)</f>
        <v>0.08</v>
      </c>
      <c r="H11">
        <v>10</v>
      </c>
      <c r="I11" s="12">
        <v>8792.4508248784005</v>
      </c>
      <c r="K11">
        <v>10</v>
      </c>
      <c r="L11" s="12">
        <f t="shared" si="0"/>
        <v>4072.888921396253</v>
      </c>
      <c r="M11" s="13">
        <v>0.08</v>
      </c>
      <c r="N11" s="9">
        <f t="shared" si="2"/>
        <v>0.41</v>
      </c>
    </row>
    <row r="12" spans="1:14">
      <c r="A12" s="6" t="s">
        <v>136</v>
      </c>
      <c r="B12" s="10">
        <f>B3</f>
        <v>30</v>
      </c>
      <c r="C12" s="10">
        <f ca="1">B12*(1+C11)</f>
        <v>32.400000000000006</v>
      </c>
      <c r="D12" s="10">
        <f ca="1">C12*(1+D11)</f>
        <v>34.992000000000012</v>
      </c>
      <c r="E12" s="10">
        <f ca="1">D12*(1+E11)</f>
        <v>37.791360000000012</v>
      </c>
      <c r="H12">
        <v>11</v>
      </c>
      <c r="I12" s="12">
        <v>3950.7073086558298</v>
      </c>
      <c r="K12">
        <v>11</v>
      </c>
      <c r="L12" s="12">
        <f t="shared" si="0"/>
        <v>5497.6388135958914</v>
      </c>
      <c r="M12" s="13">
        <v>0.12</v>
      </c>
      <c r="N12" s="9">
        <f t="shared" si="2"/>
        <v>0.53</v>
      </c>
    </row>
    <row r="13" spans="1:14">
      <c r="A13" s="6" t="s">
        <v>137</v>
      </c>
      <c r="B13" s="10">
        <f>B10*B12</f>
        <v>11400</v>
      </c>
      <c r="C13" s="10">
        <f ca="1">C10*C12</f>
        <v>12312.000000000002</v>
      </c>
      <c r="D13" s="10">
        <f ca="1">D10*D12</f>
        <v>13296.960000000005</v>
      </c>
      <c r="E13" s="10">
        <f ca="1">E10*E12</f>
        <v>14360.716800000004</v>
      </c>
      <c r="H13">
        <v>12</v>
      </c>
      <c r="I13" s="12">
        <v>-51.721386749573398</v>
      </c>
      <c r="K13">
        <v>12</v>
      </c>
      <c r="L13" s="12">
        <f t="shared" si="0"/>
        <v>6922.3887057955308</v>
      </c>
      <c r="M13" s="13">
        <v>0.1</v>
      </c>
      <c r="N13" s="9">
        <f t="shared" si="2"/>
        <v>0.63</v>
      </c>
    </row>
    <row r="14" spans="1:14">
      <c r="A14" s="6" t="s">
        <v>138</v>
      </c>
      <c r="B14" s="10">
        <f>$B$7</f>
        <v>600</v>
      </c>
      <c r="C14" s="10">
        <f>$B$7</f>
        <v>600</v>
      </c>
      <c r="D14" s="10">
        <f>$B$7</f>
        <v>600</v>
      </c>
      <c r="E14" s="10">
        <f>$B$7</f>
        <v>600</v>
      </c>
      <c r="H14">
        <v>13</v>
      </c>
      <c r="I14" s="12">
        <v>4362.7110452390698</v>
      </c>
      <c r="K14">
        <v>13</v>
      </c>
      <c r="L14" s="12">
        <f t="shared" si="0"/>
        <v>8347.1385979951701</v>
      </c>
      <c r="M14" s="13">
        <v>0.05</v>
      </c>
      <c r="N14" s="9">
        <f t="shared" si="2"/>
        <v>0.68</v>
      </c>
    </row>
    <row r="15" spans="1:14">
      <c r="A15" s="6" t="s">
        <v>139</v>
      </c>
      <c r="B15" s="10">
        <f ca="1">_xlfn.NORM.INV(RAND(),$B$5,$B$6)</f>
        <v>157.21558614606835</v>
      </c>
      <c r="C15" s="10">
        <f ca="1">_xlfn.NORM.INV(RAND(),$B$5,$B$6)</f>
        <v>361.37005352679154</v>
      </c>
      <c r="D15" s="10">
        <f ca="1">_xlfn.NORM.INV(RAND(),$B$5,$B$6)</f>
        <v>259.48364462943346</v>
      </c>
      <c r="E15" s="10">
        <f ca="1">_xlfn.NORM.INV(RAND(),$B$5,$B$6)</f>
        <v>307.30765495245367</v>
      </c>
      <c r="H15">
        <v>14</v>
      </c>
      <c r="I15" s="12">
        <v>-3411.9158075802502</v>
      </c>
      <c r="K15">
        <v>14</v>
      </c>
      <c r="L15" s="12">
        <f t="shared" si="0"/>
        <v>9771.8884901948095</v>
      </c>
      <c r="M15" s="13">
        <v>0.06</v>
      </c>
      <c r="N15" s="9">
        <f t="shared" si="2"/>
        <v>0.74</v>
      </c>
    </row>
    <row r="16" spans="1:14">
      <c r="A16" s="6" t="s">
        <v>140</v>
      </c>
      <c r="B16" s="10">
        <f ca="1">B14+B15*B12</f>
        <v>5316.4675843820505</v>
      </c>
      <c r="C16" s="10">
        <f t="shared" ref="C16:E16" ca="1" si="4">C14+C15*C12</f>
        <v>12308.389734268048</v>
      </c>
      <c r="D16" s="10">
        <f t="shared" ca="1" si="4"/>
        <v>9679.8516928731387</v>
      </c>
      <c r="E16" s="10">
        <f t="shared" ca="1" si="4"/>
        <v>12213.574219063963</v>
      </c>
      <c r="H16">
        <v>15</v>
      </c>
      <c r="I16" s="12">
        <v>4616.9229068643199</v>
      </c>
      <c r="K16">
        <v>15</v>
      </c>
      <c r="L16" s="12">
        <f t="shared" si="0"/>
        <v>11196.638382394449</v>
      </c>
      <c r="M16" s="13">
        <v>0.09</v>
      </c>
      <c r="N16" s="9">
        <f t="shared" si="2"/>
        <v>0.83</v>
      </c>
    </row>
    <row r="17" spans="1:14">
      <c r="A17" s="6" t="s">
        <v>141</v>
      </c>
      <c r="B17" s="10">
        <f ca="1">B13-B16</f>
        <v>6083.5324156179495</v>
      </c>
      <c r="C17" s="10">
        <f t="shared" ref="C17:E17" ca="1" si="5">C13-C16</f>
        <v>3.6102657319534046</v>
      </c>
      <c r="D17" s="10">
        <f t="shared" ca="1" si="5"/>
        <v>3617.1083071268658</v>
      </c>
      <c r="E17" s="10">
        <f t="shared" ca="1" si="5"/>
        <v>2147.1425809360408</v>
      </c>
      <c r="H17">
        <v>16</v>
      </c>
      <c r="I17" s="12">
        <v>4855.3975608671599</v>
      </c>
      <c r="K17">
        <v>16</v>
      </c>
      <c r="L17" s="12">
        <f t="shared" si="0"/>
        <v>12621.388274594088</v>
      </c>
      <c r="M17" s="13">
        <v>0.05</v>
      </c>
      <c r="N17" s="9">
        <f t="shared" si="2"/>
        <v>0.88</v>
      </c>
    </row>
    <row r="18" spans="1:14">
      <c r="H18">
        <v>17</v>
      </c>
      <c r="I18" s="12">
        <v>-2967.2806562249102</v>
      </c>
      <c r="K18">
        <v>17</v>
      </c>
      <c r="L18" s="12">
        <f t="shared" si="0"/>
        <v>14046.138166793728</v>
      </c>
      <c r="M18" s="13">
        <v>0.03</v>
      </c>
      <c r="N18" s="9">
        <f t="shared" si="2"/>
        <v>0.91</v>
      </c>
    </row>
    <row r="19" spans="1:14">
      <c r="A19" s="6" t="s">
        <v>142</v>
      </c>
      <c r="B19" s="10">
        <f ca="1">NPV(B1,B17:E17)-B2</f>
        <v>7688.1686819944025</v>
      </c>
      <c r="H19">
        <v>18</v>
      </c>
      <c r="I19" s="12">
        <v>15455.378104977801</v>
      </c>
      <c r="K19">
        <v>18</v>
      </c>
      <c r="L19" s="12">
        <f t="shared" si="0"/>
        <v>15470.888058993367</v>
      </c>
      <c r="M19" s="13">
        <v>0.03</v>
      </c>
      <c r="N19" s="9">
        <f t="shared" si="2"/>
        <v>0.94000000000000006</v>
      </c>
    </row>
    <row r="20" spans="1:14">
      <c r="H20">
        <v>19</v>
      </c>
      <c r="I20" s="12">
        <v>1724.23647118338</v>
      </c>
      <c r="K20">
        <v>19</v>
      </c>
      <c r="L20" s="12">
        <f t="shared" si="0"/>
        <v>16895.637951193006</v>
      </c>
      <c r="M20" s="13">
        <v>0.02</v>
      </c>
      <c r="N20" s="9">
        <f t="shared" si="2"/>
        <v>0.96000000000000008</v>
      </c>
    </row>
    <row r="21" spans="1:14">
      <c r="A21" s="6" t="s">
        <v>143</v>
      </c>
      <c r="B21" s="10">
        <f>MAX(I2:I101)</f>
        <v>20457.5126816921</v>
      </c>
      <c r="H21">
        <v>20</v>
      </c>
      <c r="I21" s="12">
        <v>7724.6033745055702</v>
      </c>
      <c r="K21">
        <v>20</v>
      </c>
      <c r="L21" s="12">
        <f t="shared" si="0"/>
        <v>18320.387843392644</v>
      </c>
      <c r="M21" s="13">
        <v>0.02</v>
      </c>
      <c r="N21" s="9">
        <f t="shared" si="2"/>
        <v>0.98000000000000009</v>
      </c>
    </row>
    <row r="22" spans="1:14">
      <c r="A22" s="6" t="s">
        <v>144</v>
      </c>
      <c r="B22" s="10">
        <f>MIN(I2:I101)</f>
        <v>-8037.4851623006798</v>
      </c>
      <c r="H22">
        <v>21</v>
      </c>
      <c r="I22" s="12">
        <v>6167.7031242665898</v>
      </c>
      <c r="K22">
        <v>21</v>
      </c>
      <c r="L22" s="12">
        <f t="shared" si="0"/>
        <v>19745.137735592281</v>
      </c>
      <c r="M22" s="13">
        <v>0.01</v>
      </c>
      <c r="N22" s="9">
        <f t="shared" si="2"/>
        <v>0.9900000000000001</v>
      </c>
    </row>
    <row r="23" spans="1:14">
      <c r="A23" s="6" t="s">
        <v>145</v>
      </c>
      <c r="B23" s="8">
        <v>20</v>
      </c>
      <c r="H23">
        <v>22</v>
      </c>
      <c r="I23" s="12">
        <v>14901.419462297101</v>
      </c>
      <c r="K23">
        <v>22</v>
      </c>
      <c r="L23" s="12">
        <f t="shared" si="0"/>
        <v>21169.887627791919</v>
      </c>
      <c r="M23" s="13">
        <v>0.01</v>
      </c>
      <c r="N23" s="9">
        <f t="shared" si="2"/>
        <v>1</v>
      </c>
    </row>
    <row r="24" spans="1:14">
      <c r="A24" s="6" t="s">
        <v>146</v>
      </c>
      <c r="B24" s="10">
        <f>(B21-B22)/B23</f>
        <v>1424.7498921996389</v>
      </c>
      <c r="H24">
        <v>23</v>
      </c>
      <c r="I24" s="12">
        <v>11717.0003308539</v>
      </c>
    </row>
    <row r="25" spans="1:14">
      <c r="H25">
        <v>24</v>
      </c>
      <c r="I25" s="12">
        <v>5746.8339323677101</v>
      </c>
    </row>
    <row r="26" spans="1:14">
      <c r="H26">
        <v>25</v>
      </c>
      <c r="I26" s="12">
        <v>-2766.38457705052</v>
      </c>
    </row>
    <row r="27" spans="1:14">
      <c r="H27">
        <v>26</v>
      </c>
      <c r="I27" s="12">
        <v>5924.2509362030496</v>
      </c>
    </row>
    <row r="28" spans="1:14">
      <c r="H28">
        <v>27</v>
      </c>
      <c r="I28" s="12">
        <v>-1276.9660604174601</v>
      </c>
    </row>
    <row r="29" spans="1:14">
      <c r="H29">
        <v>28</v>
      </c>
      <c r="I29" s="12">
        <v>-3189.3559819431298</v>
      </c>
    </row>
    <row r="30" spans="1:14">
      <c r="H30">
        <v>29</v>
      </c>
      <c r="I30" s="12">
        <v>9089.6496164004493</v>
      </c>
    </row>
    <row r="31" spans="1:14">
      <c r="H31">
        <v>30</v>
      </c>
      <c r="I31" s="12">
        <v>3147.6427667186599</v>
      </c>
    </row>
    <row r="32" spans="1:14">
      <c r="H32">
        <v>31</v>
      </c>
      <c r="I32" s="12">
        <v>9137.2871143072007</v>
      </c>
    </row>
    <row r="33" spans="8:9">
      <c r="H33">
        <v>32</v>
      </c>
      <c r="I33" s="12">
        <v>20457.5126816921</v>
      </c>
    </row>
    <row r="34" spans="8:9">
      <c r="H34">
        <v>33</v>
      </c>
      <c r="I34" s="12">
        <v>17862.426062224</v>
      </c>
    </row>
    <row r="35" spans="8:9">
      <c r="H35">
        <v>34</v>
      </c>
      <c r="I35" s="12">
        <v>10214.305763672301</v>
      </c>
    </row>
    <row r="36" spans="8:9">
      <c r="H36">
        <v>35</v>
      </c>
      <c r="I36" s="12">
        <v>-7232.6951883600104</v>
      </c>
    </row>
    <row r="37" spans="8:9">
      <c r="H37">
        <v>36</v>
      </c>
      <c r="I37" s="12">
        <v>3093.6779798624002</v>
      </c>
    </row>
    <row r="38" spans="8:9">
      <c r="H38">
        <v>37</v>
      </c>
      <c r="I38" s="12">
        <v>11895.2049981009</v>
      </c>
    </row>
    <row r="39" spans="8:9">
      <c r="H39">
        <v>38</v>
      </c>
      <c r="I39" s="12">
        <v>4582.5546621556396</v>
      </c>
    </row>
    <row r="40" spans="8:9">
      <c r="H40">
        <v>39</v>
      </c>
      <c r="I40" s="12">
        <v>813.78914330037105</v>
      </c>
    </row>
    <row r="41" spans="8:9">
      <c r="H41">
        <v>40</v>
      </c>
      <c r="I41" s="12">
        <v>18908.8736369824</v>
      </c>
    </row>
    <row r="42" spans="8:9">
      <c r="H42">
        <v>41</v>
      </c>
      <c r="I42" s="12">
        <v>6647.41871654025</v>
      </c>
    </row>
    <row r="43" spans="8:9">
      <c r="H43">
        <v>42</v>
      </c>
      <c r="I43" s="12">
        <v>17274.532193765499</v>
      </c>
    </row>
    <row r="44" spans="8:9">
      <c r="H44">
        <v>43</v>
      </c>
      <c r="I44" s="12">
        <v>-8037.4851623006798</v>
      </c>
    </row>
    <row r="45" spans="8:9">
      <c r="H45">
        <v>44</v>
      </c>
      <c r="I45" s="12">
        <v>5224.4714539577599</v>
      </c>
    </row>
    <row r="46" spans="8:9">
      <c r="H46">
        <v>45</v>
      </c>
      <c r="I46" s="12">
        <v>3447.3508151172</v>
      </c>
    </row>
    <row r="47" spans="8:9">
      <c r="H47">
        <v>46</v>
      </c>
      <c r="I47" s="12">
        <v>-5326.6689645610004</v>
      </c>
    </row>
    <row r="48" spans="8:9">
      <c r="H48">
        <v>47</v>
      </c>
      <c r="I48" s="12">
        <v>6692.8338798924296</v>
      </c>
    </row>
    <row r="49" spans="8:9">
      <c r="H49">
        <v>48</v>
      </c>
      <c r="I49" s="12">
        <v>-2168.74223245556</v>
      </c>
    </row>
    <row r="50" spans="8:9">
      <c r="H50">
        <v>49</v>
      </c>
      <c r="I50" s="12">
        <v>8183.7565143738202</v>
      </c>
    </row>
    <row r="51" spans="8:9">
      <c r="H51">
        <v>50</v>
      </c>
      <c r="I51" s="12">
        <v>6445.8686936880804</v>
      </c>
    </row>
    <row r="52" spans="8:9">
      <c r="H52">
        <v>51</v>
      </c>
      <c r="I52" s="12">
        <v>5392.8144974414599</v>
      </c>
    </row>
    <row r="53" spans="8:9">
      <c r="H53">
        <v>52</v>
      </c>
      <c r="I53" s="12">
        <v>-562.62998650328598</v>
      </c>
    </row>
    <row r="54" spans="8:9">
      <c r="H54">
        <v>53</v>
      </c>
      <c r="I54" s="12">
        <v>14025.143208056301</v>
      </c>
    </row>
    <row r="55" spans="8:9">
      <c r="H55">
        <v>54</v>
      </c>
      <c r="I55" s="12">
        <v>-1377.81624689155</v>
      </c>
    </row>
    <row r="56" spans="8:9">
      <c r="H56">
        <v>55</v>
      </c>
      <c r="I56" s="12">
        <v>-101.16674852035101</v>
      </c>
    </row>
    <row r="57" spans="8:9">
      <c r="H57">
        <v>56</v>
      </c>
      <c r="I57" s="12">
        <v>14515.1017998797</v>
      </c>
    </row>
    <row r="58" spans="8:9">
      <c r="H58">
        <v>57</v>
      </c>
      <c r="I58" s="12">
        <v>10210.124611355201</v>
      </c>
    </row>
    <row r="59" spans="8:9">
      <c r="H59">
        <v>58</v>
      </c>
      <c r="I59" s="12">
        <v>-488.91394326496902</v>
      </c>
    </row>
    <row r="60" spans="8:9">
      <c r="H60">
        <v>59</v>
      </c>
      <c r="I60" s="12">
        <v>-1318.4555531818201</v>
      </c>
    </row>
    <row r="61" spans="8:9">
      <c r="H61">
        <v>60</v>
      </c>
      <c r="I61" s="12">
        <v>620.63658017897399</v>
      </c>
    </row>
    <row r="62" spans="8:9">
      <c r="H62">
        <v>61</v>
      </c>
      <c r="I62" s="12">
        <v>1251.08241445264</v>
      </c>
    </row>
    <row r="63" spans="8:9">
      <c r="H63">
        <v>62</v>
      </c>
      <c r="I63" s="12">
        <v>3823.01367447851</v>
      </c>
    </row>
    <row r="64" spans="8:9">
      <c r="H64">
        <v>63</v>
      </c>
      <c r="I64" s="12">
        <v>532.79638402453099</v>
      </c>
    </row>
    <row r="65" spans="8:9">
      <c r="H65">
        <v>64</v>
      </c>
      <c r="I65" s="12">
        <v>7185.1398027768701</v>
      </c>
    </row>
    <row r="66" spans="8:9">
      <c r="H66">
        <v>65</v>
      </c>
      <c r="I66" s="12">
        <v>3302.3057842715202</v>
      </c>
    </row>
    <row r="67" spans="8:9">
      <c r="H67">
        <v>66</v>
      </c>
      <c r="I67" s="12">
        <v>10330.8535435221</v>
      </c>
    </row>
    <row r="68" spans="8:9">
      <c r="H68">
        <v>67</v>
      </c>
      <c r="I68" s="12">
        <v>13619.7414376574</v>
      </c>
    </row>
    <row r="69" spans="8:9">
      <c r="H69">
        <v>68</v>
      </c>
      <c r="I69" s="12">
        <v>16840.445942792299</v>
      </c>
    </row>
    <row r="70" spans="8:9">
      <c r="H70">
        <v>69</v>
      </c>
      <c r="I70" s="12">
        <v>9943.1080950804408</v>
      </c>
    </row>
    <row r="71" spans="8:9">
      <c r="H71">
        <v>70</v>
      </c>
      <c r="I71" s="12">
        <v>10426.7836981788</v>
      </c>
    </row>
    <row r="72" spans="8:9">
      <c r="H72">
        <v>71</v>
      </c>
      <c r="I72" s="12">
        <v>4932.0624852582996</v>
      </c>
    </row>
    <row r="73" spans="8:9">
      <c r="H73">
        <v>72</v>
      </c>
      <c r="I73" s="12">
        <v>4098.65006783222</v>
      </c>
    </row>
    <row r="74" spans="8:9">
      <c r="H74">
        <v>73</v>
      </c>
      <c r="I74" s="12">
        <v>5882.5963868692097</v>
      </c>
    </row>
    <row r="75" spans="8:9">
      <c r="H75">
        <v>74</v>
      </c>
      <c r="I75" s="12">
        <v>13903.845986957</v>
      </c>
    </row>
    <row r="76" spans="8:9">
      <c r="H76">
        <v>75</v>
      </c>
      <c r="I76" s="12">
        <v>10865.0890243583</v>
      </c>
    </row>
    <row r="77" spans="8:9">
      <c r="H77">
        <v>76</v>
      </c>
      <c r="I77" s="12">
        <v>5786.0120452900201</v>
      </c>
    </row>
    <row r="78" spans="8:9">
      <c r="H78">
        <v>77</v>
      </c>
      <c r="I78" s="12">
        <v>-5414.6365280112605</v>
      </c>
    </row>
    <row r="79" spans="8:9">
      <c r="H79">
        <v>78</v>
      </c>
      <c r="I79" s="12">
        <v>12385.701642346299</v>
      </c>
    </row>
    <row r="80" spans="8:9">
      <c r="H80">
        <v>79</v>
      </c>
      <c r="I80" s="12">
        <v>5077.5631461214098</v>
      </c>
    </row>
    <row r="81" spans="8:9">
      <c r="H81">
        <v>80</v>
      </c>
      <c r="I81" s="12">
        <v>2033.14550421031</v>
      </c>
    </row>
    <row r="82" spans="8:9">
      <c r="H82">
        <v>81</v>
      </c>
      <c r="I82" s="12">
        <v>11912.7029633811</v>
      </c>
    </row>
    <row r="83" spans="8:9">
      <c r="H83">
        <v>82</v>
      </c>
      <c r="I83" s="12">
        <v>-6026.1126130861503</v>
      </c>
    </row>
    <row r="84" spans="8:9">
      <c r="H84">
        <v>83</v>
      </c>
      <c r="I84" s="12">
        <v>-3252.90060623707</v>
      </c>
    </row>
    <row r="85" spans="8:9">
      <c r="H85">
        <v>84</v>
      </c>
      <c r="I85" s="12">
        <v>-2601.08991926729</v>
      </c>
    </row>
    <row r="86" spans="8:9">
      <c r="H86">
        <v>85</v>
      </c>
      <c r="I86" s="12">
        <v>11075.120723559899</v>
      </c>
    </row>
    <row r="87" spans="8:9">
      <c r="H87">
        <v>86</v>
      </c>
      <c r="I87" s="12">
        <v>11868.806635097701</v>
      </c>
    </row>
    <row r="88" spans="8:9">
      <c r="H88">
        <v>87</v>
      </c>
      <c r="I88" s="12">
        <v>389.99602894167799</v>
      </c>
    </row>
    <row r="89" spans="8:9">
      <c r="H89">
        <v>88</v>
      </c>
      <c r="I89" s="12">
        <v>3926.1006192137902</v>
      </c>
    </row>
    <row r="90" spans="8:9">
      <c r="H90">
        <v>89</v>
      </c>
      <c r="I90" s="12">
        <v>-6140.3170770003699</v>
      </c>
    </row>
    <row r="91" spans="8:9">
      <c r="H91">
        <v>90</v>
      </c>
      <c r="I91" s="12">
        <v>10819.266799129</v>
      </c>
    </row>
    <row r="92" spans="8:9">
      <c r="H92">
        <v>91</v>
      </c>
      <c r="I92" s="12">
        <v>5349.2382735109404</v>
      </c>
    </row>
    <row r="93" spans="8:9">
      <c r="H93">
        <v>92</v>
      </c>
      <c r="I93" s="12">
        <v>-1824.82091701442</v>
      </c>
    </row>
    <row r="94" spans="8:9">
      <c r="H94">
        <v>93</v>
      </c>
      <c r="I94" s="12">
        <v>5467.0800031033295</v>
      </c>
    </row>
    <row r="95" spans="8:9">
      <c r="H95">
        <v>94</v>
      </c>
      <c r="I95" s="12">
        <v>8189.7151683666198</v>
      </c>
    </row>
    <row r="96" spans="8:9">
      <c r="H96">
        <v>95</v>
      </c>
      <c r="I96" s="12">
        <v>-640.23135788494994</v>
      </c>
    </row>
    <row r="97" spans="8:9">
      <c r="H97">
        <v>96</v>
      </c>
      <c r="I97" s="12">
        <v>10443.780632289299</v>
      </c>
    </row>
    <row r="98" spans="8:9">
      <c r="H98">
        <v>97</v>
      </c>
      <c r="I98" s="12">
        <v>9058.6637551745898</v>
      </c>
    </row>
    <row r="99" spans="8:9">
      <c r="H99">
        <v>98</v>
      </c>
      <c r="I99" s="12">
        <v>-1765.1944905401899</v>
      </c>
    </row>
    <row r="100" spans="8:9">
      <c r="H100">
        <v>99</v>
      </c>
      <c r="I100" s="12">
        <v>5619.9054274685996</v>
      </c>
    </row>
    <row r="101" spans="8:9">
      <c r="H101">
        <v>100</v>
      </c>
      <c r="I101" s="12">
        <v>2941.1751991383599</v>
      </c>
    </row>
  </sheetData>
  <phoneticPr fontId="2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8" sqref="F18"/>
    </sheetView>
  </sheetViews>
  <sheetFormatPr defaultColWidth="8.86328125" defaultRowHeight="13.5"/>
  <cols>
    <col min="1" max="1" width="13.86328125" style="1" customWidth="1"/>
    <col min="2" max="2" width="4.265625" style="1" customWidth="1"/>
    <col min="3" max="3" width="13.46484375" style="1" customWidth="1"/>
    <col min="4" max="4" width="16.73046875" style="1" customWidth="1"/>
    <col min="5" max="5" width="12.46484375" style="1" customWidth="1"/>
    <col min="6" max="6" width="15.59765625" style="1" customWidth="1"/>
    <col min="7" max="16384" width="8.86328125" style="1"/>
  </cols>
  <sheetData>
    <row r="1" spans="1:6">
      <c r="A1" s="2" t="s">
        <v>147</v>
      </c>
    </row>
    <row r="2" spans="1:6">
      <c r="A2" s="1">
        <f>MIN($E$9)</f>
        <v>150</v>
      </c>
      <c r="C2" s="3" t="s">
        <v>148</v>
      </c>
      <c r="D2" s="3" t="s">
        <v>149</v>
      </c>
      <c r="E2" s="4" t="s">
        <v>150</v>
      </c>
      <c r="F2" s="4" t="s">
        <v>151</v>
      </c>
    </row>
    <row r="3" spans="1:6">
      <c r="A3" s="1">
        <f>COUNT($E$3:$E$8)</f>
        <v>6</v>
      </c>
      <c r="C3" s="5" t="s">
        <v>152</v>
      </c>
      <c r="D3" s="85">
        <v>60</v>
      </c>
      <c r="E3" s="86">
        <v>60</v>
      </c>
      <c r="F3" s="4">
        <f>SUM(E8+E3)</f>
        <v>60</v>
      </c>
    </row>
    <row r="4" spans="1:6">
      <c r="A4" s="1" t="b">
        <f t="array" ref="A4">$E$3:$E$8=INT($E$3:$E$8)</f>
        <v>1</v>
      </c>
      <c r="C4" s="5" t="s">
        <v>153</v>
      </c>
      <c r="D4" s="85">
        <v>70</v>
      </c>
      <c r="E4" s="86">
        <v>10</v>
      </c>
      <c r="F4" s="4">
        <f>SUM(E3:E4)</f>
        <v>70</v>
      </c>
    </row>
    <row r="5" spans="1:6">
      <c r="A5" s="1" t="b">
        <f t="array" ref="A5">$F$3:$F$8&gt;=$D$3:$D$8</f>
        <v>1</v>
      </c>
      <c r="C5" s="5" t="s">
        <v>154</v>
      </c>
      <c r="D5" s="85">
        <v>60</v>
      </c>
      <c r="E5" s="86">
        <v>50</v>
      </c>
      <c r="F5" s="4">
        <f t="shared" ref="F5:F8" si="0">SUM(E4:E5)</f>
        <v>60</v>
      </c>
    </row>
    <row r="6" spans="1:6">
      <c r="A6" s="1">
        <f>{32767,32767,0.000001,0.01,TRUE,FALSE,TRUE,1,1,1,0.0001,TRUE}</f>
        <v>32767</v>
      </c>
      <c r="C6" s="5" t="s">
        <v>155</v>
      </c>
      <c r="D6" s="85">
        <v>50</v>
      </c>
      <c r="E6" s="86">
        <v>0</v>
      </c>
      <c r="F6" s="4">
        <f t="shared" si="0"/>
        <v>50</v>
      </c>
    </row>
    <row r="7" spans="1:6">
      <c r="A7" s="1">
        <f>{0,0,2,100,0,FALSE,TRUE,0.075,0,0,FALSE,30}</f>
        <v>0</v>
      </c>
      <c r="C7" s="5" t="s">
        <v>156</v>
      </c>
      <c r="D7" s="85">
        <v>20</v>
      </c>
      <c r="E7" s="86">
        <v>30</v>
      </c>
      <c r="F7" s="4">
        <f t="shared" si="0"/>
        <v>30</v>
      </c>
    </row>
    <row r="8" spans="1:6">
      <c r="C8" s="5" t="s">
        <v>157</v>
      </c>
      <c r="D8" s="85">
        <v>30</v>
      </c>
      <c r="E8" s="86">
        <v>0</v>
      </c>
      <c r="F8" s="4">
        <f t="shared" si="0"/>
        <v>30</v>
      </c>
    </row>
    <row r="9" spans="1:6">
      <c r="D9" s="1" t="s">
        <v>158</v>
      </c>
      <c r="E9" s="1">
        <f>SUM(E3:E8)</f>
        <v>150</v>
      </c>
    </row>
  </sheetData>
  <phoneticPr fontId="2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第9题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Cui</dc:creator>
  <cp:lastModifiedBy>丛曙光</cp:lastModifiedBy>
  <dcterms:created xsi:type="dcterms:W3CDTF">2023-07-02T06:46:00Z</dcterms:created>
  <dcterms:modified xsi:type="dcterms:W3CDTF">2024-06-16T12:26:41Z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41F3B800B8934A3085B8252D573C1EB5_12</vt:lpwstr>
  </property>
  <property fmtid="{D5CDD505-2E9C-101B-9397-08002B2CF9AE}" pid="3" name="KSOProductBuildVer">
    <vt:lpwstr>2052-12.1.0.15374</vt:lpwstr>
  </property>
</Properties>
</file>