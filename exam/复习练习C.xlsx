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86158\Desktop\经管机作业\"/>
    </mc:Choice>
  </mc:AlternateContent>
  <xr:revisionPtr revIDLastSave="0" documentId="13_ncr:1_{B65FB78C-DB81-4E72-889E-1B0C32C804FB}" xr6:coauthVersionLast="47" xr6:coauthVersionMax="47" xr10:uidLastSave="{00000000-0000-0000-0000-000000000000}"/>
  <bookViews>
    <workbookView xWindow="-98" yWindow="-98" windowWidth="21795" windowHeight="12975" tabRatio="692" firstSheet="3" activeTab="7" xr2:uid="{00000000-000D-0000-FFFF-FFFF00000000}"/>
  </bookViews>
  <sheets>
    <sheet name="第1题" sheetId="23" r:id="rId1"/>
    <sheet name="第2题" sheetId="24" r:id="rId2"/>
    <sheet name="第3题" sheetId="32" r:id="rId3"/>
    <sheet name="第4题" sheetId="33" r:id="rId4"/>
    <sheet name="第5题" sheetId="34" r:id="rId5"/>
    <sheet name="第6题" sheetId="35" r:id="rId6"/>
    <sheet name="第7题" sheetId="36" r:id="rId7"/>
    <sheet name="第8题" sheetId="37" r:id="rId8"/>
    <sheet name="第9题" sheetId="38" r:id="rId9"/>
  </sheets>
  <definedNames>
    <definedName name="_xlnm._FilterDatabase" localSheetId="1" hidden="1">第2题!#REF!</definedName>
    <definedName name="_xlnm._FilterDatabase" localSheetId="2" hidden="1">第3题!#REF!</definedName>
    <definedName name="solver_adj" localSheetId="8" hidden="1">第9题!$B$3:$E$5</definedName>
    <definedName name="solver_cvg" localSheetId="8" hidden="1">0.0001</definedName>
    <definedName name="solver_drv" localSheetId="8" hidden="1">2</definedName>
    <definedName name="solver_eng" localSheetId="8" hidden="1">2</definedName>
    <definedName name="solver_est" localSheetId="8" hidden="1">1</definedName>
    <definedName name="solver_itr" localSheetId="8" hidden="1">2147483647</definedName>
    <definedName name="solver_lhs1" localSheetId="8" hidden="1">第9题!$B$3:$E$5</definedName>
    <definedName name="solver_lhs2" localSheetId="8" hidden="1">第9题!$B$7:$C$7</definedName>
    <definedName name="solver_lhs3" localSheetId="8" hidden="1">第9题!$F$3:$F$5</definedName>
    <definedName name="solver_lhs4" localSheetId="8" hidden="1">第9题!$F$6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4</definedName>
    <definedName name="solver_nwt" localSheetId="8" hidden="1">1</definedName>
    <definedName name="solver_opt" localSheetId="8" hidden="1">第9题!$F$7</definedName>
    <definedName name="solver_pre" localSheetId="8" hidden="1">0.000001</definedName>
    <definedName name="solver_rbv" localSheetId="8" hidden="1">2</definedName>
    <definedName name="solver_rel1" localSheetId="8" hidden="1">4</definedName>
    <definedName name="solver_rel2" localSheetId="8" hidden="1">2</definedName>
    <definedName name="solver_rel3" localSheetId="8" hidden="1">2</definedName>
    <definedName name="solver_rel4" localSheetId="8" hidden="1">2</definedName>
    <definedName name="solver_rhs1" localSheetId="8" hidden="1">"整数"</definedName>
    <definedName name="solver_rhs2" localSheetId="8" hidden="1">第9题!$B$6:$C$6</definedName>
    <definedName name="solver_rhs3" localSheetId="8" hidden="1">第9题!$G$3:$G$5</definedName>
    <definedName name="solver_rhs4" localSheetId="8" hidden="1">第9题!$G$6</definedName>
    <definedName name="solver_rlx" localSheetId="8" hidden="1">2</definedName>
    <definedName name="solver_rsd" localSheetId="8" hidden="1">0</definedName>
    <definedName name="solver_scl" localSheetId="8" hidden="1">2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1</definedName>
    <definedName name="solver_val" localSheetId="8" hidden="1">0</definedName>
    <definedName name="solver_ver" localSheetId="8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37" l="1"/>
  <c r="B14" i="37"/>
  <c r="B15" i="37"/>
  <c r="B16" i="37"/>
  <c r="B17" i="37"/>
  <c r="C13" i="37"/>
  <c r="C14" i="37"/>
  <c r="C15" i="37"/>
  <c r="C16" i="37"/>
  <c r="C17" i="37"/>
  <c r="F5" i="37"/>
  <c r="F6" i="37"/>
  <c r="F4" i="37"/>
  <c r="F3" i="37"/>
  <c r="B6" i="37"/>
  <c r="C7" i="38"/>
  <c r="B7" i="38"/>
  <c r="F5" i="38"/>
  <c r="F4" i="38"/>
  <c r="F3" i="38"/>
  <c r="G6" i="38"/>
  <c r="F7" i="38"/>
  <c r="E6" i="38"/>
  <c r="D6" i="38"/>
  <c r="E50" i="33" a="1"/>
  <c r="E50" i="33" s="1"/>
  <c r="E53" i="33"/>
  <c r="F50" i="33"/>
  <c r="F51" i="33"/>
  <c r="F52" i="33"/>
  <c r="F53" i="33"/>
  <c r="G50" i="33" a="1"/>
  <c r="G50" i="33" s="1"/>
  <c r="G6" i="33" a="1"/>
  <c r="G6" i="33" s="1"/>
  <c r="G10" i="33" a="1"/>
  <c r="G10" i="33" s="1"/>
  <c r="G13" i="33"/>
  <c r="G14" i="33" a="1"/>
  <c r="G14" i="33"/>
  <c r="G15" i="33"/>
  <c r="G16" i="33"/>
  <c r="G17" i="33"/>
  <c r="G18" i="33" a="1"/>
  <c r="G18" i="33" s="1"/>
  <c r="G22" i="33" a="1"/>
  <c r="G22" i="33"/>
  <c r="G23" i="33"/>
  <c r="G24" i="33"/>
  <c r="G25" i="33"/>
  <c r="G26" i="33" a="1"/>
  <c r="G26" i="33" s="1"/>
  <c r="G27" i="33"/>
  <c r="G28" i="33"/>
  <c r="G29" i="33"/>
  <c r="G30" i="33" a="1"/>
  <c r="G31" i="33" s="1"/>
  <c r="G30" i="33"/>
  <c r="G34" i="33" a="1"/>
  <c r="G34" i="33" s="1"/>
  <c r="G35" i="33"/>
  <c r="G36" i="33"/>
  <c r="G37" i="33"/>
  <c r="G38" i="33" a="1"/>
  <c r="G38" i="33"/>
  <c r="G39" i="33"/>
  <c r="G40" i="33"/>
  <c r="G41" i="33"/>
  <c r="G42" i="33" a="1"/>
  <c r="G44" i="33" s="1"/>
  <c r="G43" i="33"/>
  <c r="G46" i="33" a="1"/>
  <c r="G46" i="33" s="1"/>
  <c r="G48" i="33"/>
  <c r="G49" i="33"/>
  <c r="G2" i="33" a="1"/>
  <c r="G2" i="33" s="1"/>
  <c r="F3" i="33"/>
  <c r="F4" i="33"/>
  <c r="F5" i="33"/>
  <c r="F6" i="33"/>
  <c r="F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F37" i="33"/>
  <c r="F38" i="33"/>
  <c r="F39" i="33"/>
  <c r="F40" i="33"/>
  <c r="F41" i="33"/>
  <c r="F42" i="33"/>
  <c r="F43" i="33"/>
  <c r="F44" i="33"/>
  <c r="F45" i="33"/>
  <c r="F46" i="33"/>
  <c r="F47" i="33"/>
  <c r="F48" i="33"/>
  <c r="F49" i="33"/>
  <c r="F2" i="33"/>
  <c r="K27" i="33"/>
  <c r="K28" i="33"/>
  <c r="K29" i="33"/>
  <c r="K25" i="33"/>
  <c r="K26" i="33" s="1"/>
  <c r="J25" i="33"/>
  <c r="A14" i="36"/>
  <c r="A13" i="36"/>
  <c r="I16" i="35"/>
  <c r="H16" i="35"/>
  <c r="I15" i="35"/>
  <c r="H15" i="35"/>
  <c r="I14" i="35"/>
  <c r="H14" i="35"/>
  <c r="F6" i="38" l="1"/>
  <c r="E51" i="33"/>
  <c r="E52" i="33"/>
  <c r="G53" i="33"/>
  <c r="G52" i="33"/>
  <c r="G51" i="33"/>
  <c r="G42" i="33"/>
  <c r="G9" i="33"/>
  <c r="G47" i="33"/>
  <c r="G8" i="33"/>
  <c r="G11" i="33"/>
  <c r="G33" i="33"/>
  <c r="G20" i="33"/>
  <c r="G7" i="33"/>
  <c r="G12" i="33"/>
  <c r="G21" i="33"/>
  <c r="G45" i="33"/>
  <c r="G32" i="33"/>
  <c r="G19" i="33"/>
  <c r="G4" i="33"/>
  <c r="G5" i="33"/>
  <c r="G3" i="33"/>
  <c r="E6" i="33" a="1"/>
  <c r="E26" i="33" a="1"/>
  <c r="E10" i="33" a="1"/>
  <c r="E42" i="33" a="1"/>
  <c r="E14" i="33" a="1"/>
  <c r="E30" i="33" a="1"/>
  <c r="E46" i="33" a="1"/>
  <c r="E18" i="33" a="1"/>
  <c r="E18" i="33" s="1"/>
  <c r="E2" i="33" a="1"/>
  <c r="E2" i="33" s="1"/>
  <c r="E22" i="33" a="1"/>
  <c r="E38" i="33" a="1"/>
  <c r="E34" i="33" a="1"/>
  <c r="E21" i="33"/>
  <c r="E8" i="33"/>
  <c r="E7" i="33"/>
  <c r="E33" i="33"/>
  <c r="E34" i="33" l="1"/>
  <c r="E35" i="33"/>
  <c r="E36" i="33"/>
  <c r="E37" i="33"/>
  <c r="E46" i="33"/>
  <c r="E47" i="33"/>
  <c r="E48" i="33"/>
  <c r="E49" i="33"/>
  <c r="E32" i="33"/>
  <c r="E30" i="33"/>
  <c r="E31" i="33"/>
  <c r="E24" i="33"/>
  <c r="E25" i="33"/>
  <c r="E23" i="33"/>
  <c r="E22" i="33"/>
  <c r="E3" i="33"/>
  <c r="E14" i="33"/>
  <c r="E15" i="33"/>
  <c r="E16" i="33"/>
  <c r="E17" i="33"/>
  <c r="E4" i="33"/>
  <c r="E45" i="33"/>
  <c r="E42" i="33"/>
  <c r="E43" i="33"/>
  <c r="E44" i="33"/>
  <c r="E5" i="33"/>
  <c r="E10" i="33"/>
  <c r="E13" i="33"/>
  <c r="E11" i="33"/>
  <c r="E12" i="33"/>
  <c r="E39" i="33"/>
  <c r="E40" i="33"/>
  <c r="E41" i="33"/>
  <c r="E38" i="33"/>
  <c r="E19" i="33"/>
  <c r="E26" i="33"/>
  <c r="E27" i="33"/>
  <c r="E28" i="33"/>
  <c r="E29" i="33"/>
  <c r="E20" i="33"/>
  <c r="E6" i="33"/>
  <c r="E9" i="33"/>
</calcChain>
</file>

<file path=xl/sharedStrings.xml><?xml version="1.0" encoding="utf-8"?>
<sst xmlns="http://schemas.openxmlformats.org/spreadsheetml/2006/main" count="2109" uniqueCount="129">
  <si>
    <t>输入区</t>
    <phoneticPr fontId="8" type="noConversion"/>
  </si>
  <si>
    <t>首付（万）</t>
    <phoneticPr fontId="8" type="noConversion"/>
  </si>
  <si>
    <t>租金（万）</t>
    <phoneticPr fontId="8" type="noConversion"/>
  </si>
  <si>
    <t>概率</t>
    <phoneticPr fontId="8" type="noConversion"/>
  </si>
  <si>
    <t>贷款（万）</t>
    <phoneticPr fontId="8" type="noConversion"/>
  </si>
  <si>
    <t>期限（年）</t>
    <phoneticPr fontId="8" type="noConversion"/>
  </si>
  <si>
    <t>贴现率</t>
  </si>
  <si>
    <t>每年等额还款额（万）</t>
    <phoneticPr fontId="8" type="noConversion"/>
  </si>
  <si>
    <t>每年房子的物业费最小值（万）</t>
    <phoneticPr fontId="8" type="noConversion"/>
  </si>
  <si>
    <t>每年房子的物业费最大值（万）</t>
    <phoneticPr fontId="8" type="noConversion"/>
  </si>
  <si>
    <t>五年后卖出房子收入（万）</t>
    <phoneticPr fontId="8" type="noConversion"/>
  </si>
  <si>
    <t>期数（年）</t>
    <phoneticPr fontId="8" type="noConversion"/>
  </si>
  <si>
    <t>统计区</t>
    <phoneticPr fontId="8" type="noConversion"/>
  </si>
  <si>
    <r>
      <t>50</t>
    </r>
    <r>
      <rPr>
        <sz val="11"/>
        <rFont val="宋体"/>
        <family val="3"/>
        <charset val="134"/>
      </rPr>
      <t>次模拟净现值均值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8" type="noConversion"/>
  </si>
  <si>
    <r>
      <t>50</t>
    </r>
    <r>
      <rPr>
        <sz val="11"/>
        <rFont val="宋体"/>
        <family val="3"/>
        <charset val="134"/>
      </rPr>
      <t>次模拟净现值标准差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8" type="noConversion"/>
  </si>
  <si>
    <r>
      <t>50</t>
    </r>
    <r>
      <rPr>
        <sz val="11"/>
        <rFont val="宋体"/>
        <family val="3"/>
        <charset val="134"/>
      </rPr>
      <t>次模拟净现值最小值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8" type="noConversion"/>
  </si>
  <si>
    <r>
      <t>50</t>
    </r>
    <r>
      <rPr>
        <sz val="11"/>
        <rFont val="宋体"/>
        <family val="3"/>
        <charset val="134"/>
      </rPr>
      <t>次模拟净现值最大值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8" type="noConversion"/>
  </si>
  <si>
    <t>分段统计点之间的间隔</t>
    <phoneticPr fontId="8" type="noConversion"/>
  </si>
  <si>
    <t>日期</t>
    <phoneticPr fontId="8" type="noConversion"/>
  </si>
  <si>
    <t>销售人员</t>
  </si>
  <si>
    <t>城市</t>
    <phoneticPr fontId="8" type="noConversion"/>
  </si>
  <si>
    <t>产品</t>
    <phoneticPr fontId="8" type="noConversion"/>
  </si>
  <si>
    <t>销量</t>
    <phoneticPr fontId="8" type="noConversion"/>
  </si>
  <si>
    <t>价格</t>
    <phoneticPr fontId="8" type="noConversion"/>
  </si>
  <si>
    <t>销售额</t>
    <phoneticPr fontId="8" type="noConversion"/>
  </si>
  <si>
    <t>曹泽鑫</t>
  </si>
  <si>
    <t>武汉</t>
    <phoneticPr fontId="8" type="noConversion"/>
  </si>
  <si>
    <t>苹果电脑</t>
    <phoneticPr fontId="8" type="noConversion"/>
  </si>
  <si>
    <t>iPhone</t>
    <phoneticPr fontId="8" type="noConversion"/>
  </si>
  <si>
    <t>1、杭州市2023年3月的销售额</t>
    <phoneticPr fontId="8" type="noConversion"/>
  </si>
  <si>
    <t>武汉</t>
  </si>
  <si>
    <t>iPad</t>
    <phoneticPr fontId="8" type="noConversion"/>
  </si>
  <si>
    <t>刘敬堃</t>
  </si>
  <si>
    <t>沈阳</t>
    <phoneticPr fontId="8" type="noConversion"/>
  </si>
  <si>
    <t>iPhone</t>
  </si>
  <si>
    <t>苹果电脑</t>
  </si>
  <si>
    <t>王腾宇</t>
  </si>
  <si>
    <t>杭州</t>
    <phoneticPr fontId="8" type="noConversion"/>
  </si>
  <si>
    <t>AppleWatch</t>
    <phoneticPr fontId="8" type="noConversion"/>
  </si>
  <si>
    <t>周德宇</t>
  </si>
  <si>
    <t>广州</t>
  </si>
  <si>
    <t>iPad</t>
  </si>
  <si>
    <t>AirPods</t>
    <phoneticPr fontId="8" type="noConversion"/>
  </si>
  <si>
    <t>福州</t>
  </si>
  <si>
    <t>AppleWatch</t>
  </si>
  <si>
    <t>产品价格表</t>
    <phoneticPr fontId="8" type="noConversion"/>
  </si>
  <si>
    <t>天津</t>
    <phoneticPr fontId="8" type="noConversion"/>
  </si>
  <si>
    <t>房天琦</t>
  </si>
  <si>
    <t>上海</t>
    <phoneticPr fontId="8" type="noConversion"/>
  </si>
  <si>
    <t>AirPods</t>
  </si>
  <si>
    <t>2、苏州和南京AirPods总销量</t>
    <phoneticPr fontId="8" type="noConversion"/>
  </si>
  <si>
    <t>南京</t>
    <phoneticPr fontId="8" type="noConversion"/>
  </si>
  <si>
    <t>王学敏</t>
  </si>
  <si>
    <t>郑州</t>
    <phoneticPr fontId="8" type="noConversion"/>
  </si>
  <si>
    <t>郝宗泉</t>
  </si>
  <si>
    <t>北京</t>
    <phoneticPr fontId="8" type="noConversion"/>
  </si>
  <si>
    <t>苏州</t>
    <phoneticPr fontId="8" type="noConversion"/>
  </si>
  <si>
    <t>昆明</t>
    <phoneticPr fontId="8" type="noConversion"/>
  </si>
  <si>
    <t>深圳</t>
  </si>
  <si>
    <t>周</t>
    <phoneticPr fontId="8" type="noConversion"/>
  </si>
  <si>
    <t>价格指数</t>
    <phoneticPr fontId="13" type="noConversion"/>
  </si>
  <si>
    <t>供给量</t>
    <phoneticPr fontId="13" type="noConversion"/>
  </si>
  <si>
    <t>线性模型预测值</t>
    <phoneticPr fontId="13" type="noConversion"/>
  </si>
  <si>
    <t>多项式模型预测值</t>
    <phoneticPr fontId="13" type="noConversion"/>
  </si>
  <si>
    <t>零件需要量</t>
  </si>
  <si>
    <t>外购</t>
  </si>
  <si>
    <t>自制</t>
  </si>
  <si>
    <t>专用设备购置费用</t>
  </si>
  <si>
    <t>/</t>
    <phoneticPr fontId="13" type="noConversion"/>
  </si>
  <si>
    <t>单位变动成本/外购单价</t>
    <phoneticPr fontId="13" type="noConversion"/>
  </si>
  <si>
    <t>总成本</t>
  </si>
  <si>
    <t>文字结论</t>
    <phoneticPr fontId="13" type="noConversion"/>
  </si>
  <si>
    <t>外购价格优惠策略表</t>
    <phoneticPr fontId="13" type="noConversion"/>
  </si>
  <si>
    <t>单价（元）</t>
  </si>
  <si>
    <r>
      <t>0&lt;且&lt;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family val="3"/>
        <charset val="134"/>
        <scheme val="minor"/>
      </rPr>
      <t>000</t>
    </r>
    <phoneticPr fontId="13" type="noConversion"/>
  </si>
  <si>
    <t>盈亏平衡点计算</t>
    <phoneticPr fontId="13" type="noConversion"/>
  </si>
  <si>
    <t>平衡点1</t>
    <phoneticPr fontId="13" type="noConversion"/>
  </si>
  <si>
    <t>平衡点2</t>
    <phoneticPr fontId="13" type="noConversion"/>
  </si>
  <si>
    <t>平衡点3</t>
    <phoneticPr fontId="13" type="noConversion"/>
  </si>
  <si>
    <t>日需求量</t>
    <phoneticPr fontId="8" type="noConversion"/>
  </si>
  <si>
    <t>订货周期</t>
    <phoneticPr fontId="8" type="noConversion"/>
  </si>
  <si>
    <t>订货量</t>
  </si>
  <si>
    <t>平均库存量</t>
    <phoneticPr fontId="8" type="noConversion"/>
  </si>
  <si>
    <t>初始库存量</t>
    <phoneticPr fontId="8" type="noConversion"/>
  </si>
  <si>
    <t>第N天</t>
    <phoneticPr fontId="8" type="noConversion"/>
  </si>
  <si>
    <t>已过去周期数</t>
    <phoneticPr fontId="8" type="noConversion"/>
  </si>
  <si>
    <t>本周期已过去天数</t>
    <phoneticPr fontId="8" type="noConversion"/>
  </si>
  <si>
    <t>第N天的库存量</t>
    <phoneticPr fontId="8" type="noConversion"/>
  </si>
  <si>
    <t>扫描5年</t>
    <phoneticPr fontId="8" type="noConversion"/>
  </si>
  <si>
    <t>物业费</t>
    <phoneticPr fontId="8" type="noConversion"/>
  </si>
  <si>
    <t>租金</t>
    <phoneticPr fontId="8" type="noConversion"/>
  </si>
  <si>
    <t>净现金流</t>
    <phoneticPr fontId="8" type="noConversion"/>
  </si>
  <si>
    <t>输出区（结果区）</t>
    <phoneticPr fontId="8" type="noConversion"/>
  </si>
  <si>
    <t>净现值(万元)</t>
    <phoneticPr fontId="8" type="noConversion"/>
  </si>
  <si>
    <t>单位运价表</t>
  </si>
  <si>
    <t>工厂           顾客</t>
  </si>
  <si>
    <t>配送中心1</t>
  </si>
  <si>
    <t>配送中心2</t>
  </si>
  <si>
    <t>配送中心3</t>
  </si>
  <si>
    <t>配送中心4</t>
  </si>
  <si>
    <t>A</t>
  </si>
  <si>
    <t>B</t>
  </si>
  <si>
    <t>C</t>
  </si>
  <si>
    <t>&gt;=6000且&lt;12000</t>
    <phoneticPr fontId="13" type="noConversion"/>
  </si>
  <si>
    <t>&gt;=12000及以上</t>
    <phoneticPr fontId="13" type="noConversion"/>
  </si>
  <si>
    <t>月份</t>
    <phoneticPr fontId="8" type="noConversion"/>
  </si>
  <si>
    <t>季节指数</t>
    <phoneticPr fontId="21" type="noConversion"/>
  </si>
  <si>
    <t>预测结果</t>
    <phoneticPr fontId="21" type="noConversion"/>
  </si>
  <si>
    <t>第13月</t>
    <phoneticPr fontId="21" type="noConversion"/>
  </si>
  <si>
    <t>第1周</t>
    <phoneticPr fontId="21" type="noConversion"/>
  </si>
  <si>
    <t>第2周</t>
    <phoneticPr fontId="21" type="noConversion"/>
  </si>
  <si>
    <t>第3周</t>
  </si>
  <si>
    <t>第4周</t>
  </si>
  <si>
    <t>趋势值</t>
    <phoneticPr fontId="8" type="noConversion"/>
  </si>
  <si>
    <t>趋势预测值</t>
    <phoneticPr fontId="8" type="noConversion"/>
  </si>
  <si>
    <t>带季节指数的趋势预测值</t>
    <phoneticPr fontId="8" type="noConversion"/>
  </si>
  <si>
    <t>序号</t>
    <phoneticPr fontId="8" type="noConversion"/>
  </si>
  <si>
    <t>A</t>
    <phoneticPr fontId="8" type="noConversion"/>
  </si>
  <si>
    <t>B</t>
    <phoneticPr fontId="8" type="noConversion"/>
  </si>
  <si>
    <t>C</t>
    <phoneticPr fontId="8" type="noConversion"/>
  </si>
  <si>
    <t>配送中心1</t>
    <phoneticPr fontId="8" type="noConversion"/>
  </si>
  <si>
    <t>配送中心2</t>
    <phoneticPr fontId="8" type="noConversion"/>
  </si>
  <si>
    <t>运到量</t>
    <phoneticPr fontId="8" type="noConversion"/>
  </si>
  <si>
    <t>产量</t>
    <phoneticPr fontId="8" type="noConversion"/>
  </si>
  <si>
    <t>最大利润</t>
    <phoneticPr fontId="8" type="noConversion"/>
  </si>
  <si>
    <t>pv</t>
    <phoneticPr fontId="13" type="noConversion"/>
  </si>
  <si>
    <t>nper</t>
    <phoneticPr fontId="13" type="noConversion"/>
  </si>
  <si>
    <t>rate</t>
    <phoneticPr fontId="13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</si>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</sst>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&quot;¥&quot;#,##0.00_);[Red]\(&quot;¥&quot;#,##0.00\)"/>
    <numFmt numFmtId="177" formatCode="_(* #,##0.00_);_(* \(#,##0.00\);_(* &quot;-&quot;??_);_(@_)"/>
    <numFmt numFmtId="178" formatCode="#,##0.00_ "/>
    <numFmt numFmtId="179" formatCode="#,##0.000_ "/>
    <numFmt numFmtId="180" formatCode="0.0000"/>
  </numFmts>
  <fonts count="22" x14ac:knownFonts="1">
    <font>
      <sz val="12"/>
      <name val="宋体"/>
      <charset val="134"/>
    </font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Arial"/>
      <family val="2"/>
    </font>
    <font>
      <b/>
      <sz val="11"/>
      <color theme="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Arial"/>
      <family val="2"/>
    </font>
    <font>
      <sz val="11"/>
      <name val="Times New Roman"/>
      <family val="1"/>
    </font>
    <font>
      <b/>
      <sz val="11"/>
      <color theme="4"/>
      <name val="黑体"/>
      <family val="3"/>
      <charset val="134"/>
    </font>
    <font>
      <sz val="9"/>
      <name val="宋体"/>
      <family val="2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7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9" fillId="0" borderId="0"/>
    <xf numFmtId="9" fontId="9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9" fillId="0" borderId="0"/>
    <xf numFmtId="0" fontId="5" fillId="0" borderId="0">
      <alignment vertical="center"/>
    </xf>
    <xf numFmtId="0" fontId="7" fillId="0" borderId="0"/>
    <xf numFmtId="0" fontId="7" fillId="0" borderId="0">
      <alignment vertical="center"/>
    </xf>
    <xf numFmtId="0" fontId="12" fillId="0" borderId="0"/>
    <xf numFmtId="0" fontId="4" fillId="0" borderId="0">
      <alignment vertical="center"/>
    </xf>
    <xf numFmtId="0" fontId="4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/>
    <xf numFmtId="0" fontId="2" fillId="0" borderId="0">
      <alignment vertical="center"/>
    </xf>
    <xf numFmtId="0" fontId="12" fillId="0" borderId="0"/>
    <xf numFmtId="9" fontId="12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0" fontId="12" fillId="0" borderId="0"/>
  </cellStyleXfs>
  <cellXfs count="87">
    <xf numFmtId="0" fontId="0" fillId="0" borderId="0" xfId="0">
      <alignment vertical="center"/>
    </xf>
    <xf numFmtId="0" fontId="9" fillId="0" borderId="0" xfId="11"/>
    <xf numFmtId="0" fontId="0" fillId="0" borderId="0" xfId="0" applyAlignment="1"/>
    <xf numFmtId="0" fontId="2" fillId="0" borderId="0" xfId="20">
      <alignment vertical="center"/>
    </xf>
    <xf numFmtId="0" fontId="14" fillId="0" borderId="0" xfId="21" applyFont="1"/>
    <xf numFmtId="0" fontId="1" fillId="0" borderId="0" xfId="21"/>
    <xf numFmtId="0" fontId="2" fillId="0" borderId="0" xfId="22">
      <alignment vertical="center"/>
    </xf>
    <xf numFmtId="0" fontId="15" fillId="0" borderId="0" xfId="23" applyFont="1"/>
    <xf numFmtId="0" fontId="7" fillId="5" borderId="0" xfId="26" applyFont="1" applyFill="1"/>
    <xf numFmtId="0" fontId="7" fillId="4" borderId="1" xfId="26" applyFont="1" applyFill="1" applyBorder="1"/>
    <xf numFmtId="0" fontId="7" fillId="6" borderId="1" xfId="26" applyFont="1" applyFill="1" applyBorder="1"/>
    <xf numFmtId="0" fontId="11" fillId="0" borderId="0" xfId="0" applyFont="1">
      <alignment vertical="center"/>
    </xf>
    <xf numFmtId="0" fontId="11" fillId="0" borderId="0" xfId="0" applyFont="1" applyAlignment="1"/>
    <xf numFmtId="0" fontId="11" fillId="8" borderId="1" xfId="0" applyFont="1" applyFill="1" applyBorder="1">
      <alignment vertical="center"/>
    </xf>
    <xf numFmtId="0" fontId="11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11" fillId="8" borderId="2" xfId="0" applyFont="1" applyFill="1" applyBorder="1">
      <alignment vertical="center"/>
    </xf>
    <xf numFmtId="0" fontId="19" fillId="8" borderId="1" xfId="0" applyFont="1" applyFill="1" applyBorder="1">
      <alignment vertical="center"/>
    </xf>
    <xf numFmtId="9" fontId="0" fillId="0" borderId="0" xfId="0" applyNumberFormat="1" applyAlignment="1"/>
    <xf numFmtId="0" fontId="0" fillId="11" borderId="1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14" fillId="8" borderId="1" xfId="0" applyFont="1" applyFill="1" applyBorder="1" applyAlignment="1">
      <alignment horizontal="center"/>
    </xf>
    <xf numFmtId="0" fontId="14" fillId="0" borderId="0" xfId="0" applyFont="1" applyAlignment="1"/>
    <xf numFmtId="0" fontId="18" fillId="0" borderId="5" xfId="0" applyFont="1" applyBorder="1" applyAlignment="1"/>
    <xf numFmtId="0" fontId="18" fillId="0" borderId="6" xfId="0" applyFont="1" applyBorder="1" applyAlignment="1"/>
    <xf numFmtId="0" fontId="14" fillId="0" borderId="1" xfId="0" applyFont="1" applyBorder="1" applyAlignment="1"/>
    <xf numFmtId="0" fontId="16" fillId="0" borderId="1" xfId="0" applyFont="1" applyBorder="1" applyAlignment="1"/>
    <xf numFmtId="0" fontId="18" fillId="0" borderId="7" xfId="0" applyFont="1" applyBorder="1" applyAlignment="1"/>
    <xf numFmtId="2" fontId="14" fillId="7" borderId="1" xfId="0" applyNumberFormat="1" applyFont="1" applyFill="1" applyBorder="1" applyAlignment="1"/>
    <xf numFmtId="2" fontId="14" fillId="3" borderId="1" xfId="0" applyNumberFormat="1" applyFont="1" applyFill="1" applyBorder="1" applyAlignment="1"/>
    <xf numFmtId="0" fontId="10" fillId="0" borderId="0" xfId="0" applyFont="1">
      <alignment vertical="center"/>
    </xf>
    <xf numFmtId="0" fontId="7" fillId="2" borderId="2" xfId="26" applyFont="1" applyFill="1" applyBorder="1"/>
    <xf numFmtId="0" fontId="7" fillId="2" borderId="1" xfId="26" applyFont="1" applyFill="1" applyBorder="1"/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0" fillId="14" borderId="3" xfId="0" applyFont="1" applyFill="1" applyBorder="1" applyAlignment="1">
      <alignment horizontal="center" vertical="center"/>
    </xf>
    <xf numFmtId="0" fontId="0" fillId="14" borderId="1" xfId="0" applyFill="1" applyBorder="1">
      <alignment vertical="center"/>
    </xf>
    <xf numFmtId="0" fontId="10" fillId="0" borderId="1" xfId="0" applyFont="1" applyBorder="1">
      <alignment vertical="center"/>
    </xf>
    <xf numFmtId="1" fontId="11" fillId="15" borderId="1" xfId="0" applyNumberFormat="1" applyFont="1" applyFill="1" applyBorder="1" applyAlignment="1">
      <alignment horizontal="center" vertical="center"/>
    </xf>
    <xf numFmtId="9" fontId="11" fillId="0" borderId="1" xfId="25" applyFont="1" applyFill="1" applyBorder="1" applyAlignment="1">
      <alignment horizontal="center" vertical="center"/>
    </xf>
    <xf numFmtId="178" fontId="11" fillId="9" borderId="1" xfId="0" applyNumberFormat="1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/>
    </xf>
    <xf numFmtId="178" fontId="11" fillId="10" borderId="1" xfId="0" applyNumberFormat="1" applyFont="1" applyFill="1" applyBorder="1" applyAlignment="1">
      <alignment horizontal="center"/>
    </xf>
    <xf numFmtId="176" fontId="0" fillId="0" borderId="0" xfId="0" applyNumberFormat="1" applyAlignment="1"/>
    <xf numFmtId="179" fontId="11" fillId="9" borderId="1" xfId="0" applyNumberFormat="1" applyFont="1" applyFill="1" applyBorder="1" applyAlignment="1">
      <alignment horizontal="center"/>
    </xf>
    <xf numFmtId="176" fontId="11" fillId="0" borderId="0" xfId="0" applyNumberFormat="1" applyFont="1" applyAlignment="1"/>
    <xf numFmtId="2" fontId="0" fillId="9" borderId="1" xfId="0" applyNumberFormat="1" applyFill="1" applyBorder="1" applyAlignment="1">
      <alignment horizontal="center"/>
    </xf>
    <xf numFmtId="180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9" xfId="0" applyBorder="1">
      <alignment vertical="center"/>
    </xf>
    <xf numFmtId="0" fontId="11" fillId="10" borderId="1" xfId="0" applyFont="1" applyFill="1" applyBorder="1" applyAlignment="1">
      <alignment horizontal="center"/>
    </xf>
    <xf numFmtId="0" fontId="11" fillId="10" borderId="6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16" borderId="1" xfId="0" applyFont="1" applyFill="1" applyBorder="1">
      <alignment vertical="center"/>
    </xf>
    <xf numFmtId="0" fontId="11" fillId="10" borderId="7" xfId="0" applyFont="1" applyFill="1" applyBorder="1" applyAlignment="1">
      <alignment horizontal="center"/>
    </xf>
    <xf numFmtId="0" fontId="11" fillId="10" borderId="3" xfId="0" applyFont="1" applyFill="1" applyBorder="1" applyAlignment="1">
      <alignment horizontal="center"/>
    </xf>
    <xf numFmtId="0" fontId="11" fillId="10" borderId="5" xfId="0" applyFont="1" applyFill="1" applyBorder="1" applyAlignment="1">
      <alignment horizontal="center"/>
    </xf>
    <xf numFmtId="0" fontId="11" fillId="10" borderId="6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/>
    </xf>
    <xf numFmtId="0" fontId="7" fillId="4" borderId="2" xfId="26" applyFont="1" applyFill="1" applyBorder="1" applyAlignment="1">
      <alignment horizontal="center"/>
    </xf>
    <xf numFmtId="0" fontId="7" fillId="4" borderId="3" xfId="26" applyFont="1" applyFill="1" applyBorder="1" applyAlignment="1">
      <alignment horizontal="center"/>
    </xf>
    <xf numFmtId="0" fontId="7" fillId="2" borderId="2" xfId="26" applyFont="1" applyFill="1" applyBorder="1" applyAlignment="1">
      <alignment horizontal="center"/>
    </xf>
    <xf numFmtId="0" fontId="7" fillId="2" borderId="3" xfId="26" applyFont="1" applyFill="1" applyBorder="1" applyAlignment="1">
      <alignment horizontal="center"/>
    </xf>
    <xf numFmtId="0" fontId="7" fillId="6" borderId="2" xfId="26" applyFont="1" applyFill="1" applyBorder="1" applyAlignment="1">
      <alignment horizontal="center"/>
    </xf>
    <xf numFmtId="0" fontId="7" fillId="6" borderId="4" xfId="26" applyFont="1" applyFill="1" applyBorder="1" applyAlignment="1">
      <alignment horizontal="center"/>
    </xf>
    <xf numFmtId="0" fontId="7" fillId="6" borderId="3" xfId="26" applyFont="1" applyFill="1" applyBorder="1" applyAlignment="1">
      <alignment horizontal="center"/>
    </xf>
    <xf numFmtId="0" fontId="20" fillId="14" borderId="2" xfId="0" applyFont="1" applyFill="1" applyBorder="1" applyAlignment="1">
      <alignment horizontal="center" vertical="center"/>
    </xf>
    <xf numFmtId="0" fontId="20" fillId="14" borderId="4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center" vertical="center"/>
    </xf>
    <xf numFmtId="0" fontId="11" fillId="10" borderId="1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/>
    <xf numFmtId="178" fontId="11" fillId="10" borderId="1" xfId="0" quotePrefix="1" applyNumberFormat="1" applyFont="1" applyFill="1" applyBorder="1" applyAlignment="1">
      <alignment horizontal="center"/>
    </xf>
  </cellXfs>
  <cellStyles count="27">
    <cellStyle name="Normal 5" xfId="6" xr:uid="{00000000-0005-0000-0000-000000000000}"/>
    <cellStyle name="百分比" xfId="25" builtinId="5"/>
    <cellStyle name="百分比 2" xfId="1" xr:uid="{00000000-0005-0000-0000-000001000000}"/>
    <cellStyle name="百分比 2 2" xfId="24" xr:uid="{94615D43-7B88-4368-A1E9-D630DF66D668}"/>
    <cellStyle name="百分比 2 3" xfId="10" xr:uid="{00000000-0005-0000-0000-000002000000}"/>
    <cellStyle name="百分比 3" xfId="5" xr:uid="{00000000-0005-0000-0000-000003000000}"/>
    <cellStyle name="常规" xfId="0" builtinId="0"/>
    <cellStyle name="常规 2" xfId="2" xr:uid="{00000000-0005-0000-0000-000005000000}"/>
    <cellStyle name="常规 2 2" xfId="9" xr:uid="{00000000-0005-0000-0000-000006000000}"/>
    <cellStyle name="常规 2 2 2" xfId="14" xr:uid="{00000000-0005-0000-0000-000007000000}"/>
    <cellStyle name="常规 2 3" xfId="7" xr:uid="{00000000-0005-0000-0000-000008000000}"/>
    <cellStyle name="常规 2 3 2" xfId="15" xr:uid="{00000000-0005-0000-0000-000009000000}"/>
    <cellStyle name="常规 3" xfId="3" xr:uid="{00000000-0005-0000-0000-00000A000000}"/>
    <cellStyle name="常规 3 2" xfId="11" xr:uid="{00000000-0005-0000-0000-00000B000000}"/>
    <cellStyle name="常规 3 2 2" xfId="16" xr:uid="{00000000-0005-0000-0000-00000C000000}"/>
    <cellStyle name="常规 3_第2次第3场-答案和评分标准" xfId="13" xr:uid="{00000000-0005-0000-0000-00000D000000}"/>
    <cellStyle name="常规 4" xfId="4" xr:uid="{00000000-0005-0000-0000-00000E000000}"/>
    <cellStyle name="常规 4 2" xfId="17" xr:uid="{00000000-0005-0000-0000-00000F000000}"/>
    <cellStyle name="常规 4 3" xfId="23" xr:uid="{099D9139-6902-4424-84DD-81E78385C4E9}"/>
    <cellStyle name="常规 5" xfId="12" xr:uid="{00000000-0005-0000-0000-000010000000}"/>
    <cellStyle name="常规 5 2" xfId="22" xr:uid="{D92DED8F-EC0E-4A67-935E-9EDCFBAF7964}"/>
    <cellStyle name="常规 6" xfId="19" xr:uid="{00000000-0005-0000-0000-000011000000}"/>
    <cellStyle name="常规 7" xfId="20" xr:uid="{6DE21F0B-A6EC-46D7-9F95-2133B4FFFAEC}"/>
    <cellStyle name="常规 8" xfId="21" xr:uid="{ABB8A7ED-F2C5-4E63-A084-6B0A9D48661A}"/>
    <cellStyle name="常规_盈亏平衡第2题答案" xfId="26" xr:uid="{F7F4C4A1-11A3-45CD-9103-B3E891281D34}"/>
    <cellStyle name="千位分隔 2" xfId="18" xr:uid="{00000000-0005-0000-0000-000014000000}"/>
    <cellStyle name="千位分隔 4" xfId="8" xr:uid="{00000000-0005-0000-0000-000015000000}"/>
  </cellStyles>
  <dxfs count="0"/>
  <tableStyles count="0" defaultTableStyle="TableStyleMedium2" defaultPivotStyle="PivotStyleLight16"/>
  <colors>
    <mruColors>
      <color rgb="FFFFFFFF"/>
      <color rgb="FFDBEEF4"/>
      <color rgb="FFCC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emf"/><Relationship Id="rId1" Type="http://schemas.openxmlformats.org/officeDocument/2006/relationships/image" Target="../media/image1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13</xdr:col>
      <xdr:colOff>238125</xdr:colOff>
      <xdr:row>12</xdr:row>
      <xdr:rowOff>9525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CC07F2EE-2A2F-414A-BA2A-B3C329D620D6}"/>
            </a:ext>
          </a:extLst>
        </xdr:cNvPr>
        <xdr:cNvGrpSpPr/>
      </xdr:nvGrpSpPr>
      <xdr:grpSpPr>
        <a:xfrm>
          <a:off x="3429000" y="342900"/>
          <a:ext cx="5724525" cy="1724025"/>
          <a:chOff x="3429000" y="342900"/>
          <a:chExt cx="5724525" cy="1724025"/>
        </a:xfrm>
      </xdr:grpSpPr>
      <xdr:sp macro="" textlink="">
        <xdr:nvSpPr>
          <xdr:cNvPr id="6" name="文本框 5">
            <a:extLst>
              <a:ext uri="{FF2B5EF4-FFF2-40B4-BE49-F238E27FC236}">
                <a16:creationId xmlns:a16="http://schemas.microsoft.com/office/drawing/2014/main" id="{D69E8100-E1C4-4562-A9E6-DF7B16F167B2}"/>
              </a:ext>
            </a:extLst>
          </xdr:cNvPr>
          <xdr:cNvSpPr txBox="1"/>
        </xdr:nvSpPr>
        <xdr:spPr>
          <a:xfrm>
            <a:off x="3429000" y="342900"/>
            <a:ext cx="5724525" cy="1724025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rtl="0" eaLnBrk="1" fontAlgn="auto" latinLnBrk="0" hangingPunct="1"/>
            <a:r>
              <a:rPr lang="zh-CN" altLang="zh-CN" sz="14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</a:t>
            </a:r>
            <a:r>
              <a:rPr lang="en-US" altLang="zh-CN" sz="14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【</a:t>
            </a:r>
            <a:r>
              <a:rPr lang="zh-CN" altLang="zh-CN" sz="14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zh-CN" altLang="zh-CN" sz="14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第</a:t>
            </a:r>
            <a:r>
              <a:rPr lang="en-US" altLang="zh-CN" sz="14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</a:t>
            </a:r>
            <a:r>
              <a:rPr lang="zh-CN" altLang="zh-CN" sz="14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题</a:t>
            </a:r>
            <a:r>
              <a:rPr lang="en-US" altLang="zh-CN" sz="14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】</a:t>
            </a:r>
            <a:r>
              <a:rPr lang="zh-CN" altLang="zh-CN" sz="14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利用Northwind数据库，查询在1997年一季度发货的订购数量不超过</a:t>
            </a:r>
            <a:r>
              <a:rPr lang="en-US" altLang="zh-CN" sz="14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5</a:t>
            </a:r>
            <a:r>
              <a:rPr lang="zh-CN" altLang="zh-CN" sz="14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的订单</a:t>
            </a:r>
            <a:r>
              <a:rPr lang="en-US" altLang="zh-CN" sz="14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ID</a:t>
            </a:r>
            <a:r>
              <a:rPr lang="zh-CN" altLang="zh-CN" sz="14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、客户公司名称和订单金额，并按发货日期与客户公司名称进行升序排列，数据放置在</a:t>
            </a:r>
            <a:r>
              <a:rPr lang="en-US" altLang="zh-CN" sz="14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A1</a:t>
            </a:r>
            <a:r>
              <a:rPr lang="zh-CN" altLang="zh-CN" sz="14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开始处，返回</a:t>
            </a:r>
            <a:r>
              <a:rPr lang="en-US" altLang="zh-CN" sz="14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Excel</a:t>
            </a:r>
            <a:r>
              <a:rPr lang="zh-CN" altLang="zh-CN" sz="14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后不允许进行任何操作。</a:t>
            </a:r>
            <a:endParaRPr lang="zh-CN" altLang="zh-CN" sz="1400">
              <a:effectLst/>
            </a:endParaRPr>
          </a:p>
        </xdr:txBody>
      </xdr:sp>
      <xdr:pic>
        <xdr:nvPicPr>
          <xdr:cNvPr id="7" name="图片 6">
            <a:extLst>
              <a:ext uri="{FF2B5EF4-FFF2-40B4-BE49-F238E27FC236}">
                <a16:creationId xmlns:a16="http://schemas.microsoft.com/office/drawing/2014/main" id="{2F720AE3-16CF-4AB0-AD54-4567F322A5A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95675" y="1438275"/>
            <a:ext cx="5619750" cy="4095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13</xdr:col>
      <xdr:colOff>419100</xdr:colOff>
      <xdr:row>20</xdr:row>
      <xdr:rowOff>130175</xdr:rowOff>
    </xdr:to>
    <xdr:grpSp>
      <xdr:nvGrpSpPr>
        <xdr:cNvPr id="3" name="组合 2">
          <a:extLst>
            <a:ext uri="{FF2B5EF4-FFF2-40B4-BE49-F238E27FC236}">
              <a16:creationId xmlns:a16="http://schemas.microsoft.com/office/drawing/2014/main" id="{CD17DBAE-6178-4EC7-9CDC-DDC7A081FF17}"/>
            </a:ext>
          </a:extLst>
        </xdr:cNvPr>
        <xdr:cNvGrpSpPr/>
      </xdr:nvGrpSpPr>
      <xdr:grpSpPr>
        <a:xfrm>
          <a:off x="3169526" y="601061"/>
          <a:ext cx="5086350" cy="3536183"/>
          <a:chOff x="3171825" y="542925"/>
          <a:chExt cx="5086350" cy="3206750"/>
        </a:xfrm>
      </xdr:grpSpPr>
      <xdr:sp macro="" textlink="">
        <xdr:nvSpPr>
          <xdr:cNvPr id="8" name="Text Box 6">
            <a:extLst>
              <a:ext uri="{FF2B5EF4-FFF2-40B4-BE49-F238E27FC236}">
                <a16:creationId xmlns:a16="http://schemas.microsoft.com/office/drawing/2014/main" id="{7B0B549A-5763-496E-818D-3635FAFC871F}"/>
              </a:ext>
            </a:extLst>
          </xdr:cNvPr>
          <xdr:cNvSpPr txBox="1">
            <a:spLocks noChangeArrowheads="1"/>
          </xdr:cNvSpPr>
        </xdr:nvSpPr>
        <xdr:spPr bwMode="auto">
          <a:xfrm>
            <a:off x="3171825" y="542925"/>
            <a:ext cx="5086350" cy="3206750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lnSpc>
                <a:spcPts val="2000"/>
              </a:lnSpc>
              <a:defRPr sz="1000"/>
            </a:pPr>
            <a:r>
              <a:rPr lang="zh-CN" altLang="en-US" sz="18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 </a:t>
            </a:r>
            <a:r>
              <a:rPr lang="en-US" altLang="zh-CN" sz="18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【</a:t>
            </a:r>
            <a:r>
              <a:rPr lang="zh-CN" altLang="en-US" sz="18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第2题</a:t>
            </a:r>
            <a:r>
              <a:rPr lang="zh-CN" altLang="en-US" sz="18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利用的Northwind数据库，生成如下图所示的一个数据透视表。</a:t>
            </a:r>
          </a:p>
        </xdr:txBody>
      </xdr:sp>
      <xdr:pic>
        <xdr:nvPicPr>
          <xdr:cNvPr id="9" name="图片 8">
            <a:extLst>
              <a:ext uri="{FF2B5EF4-FFF2-40B4-BE49-F238E27FC236}">
                <a16:creationId xmlns:a16="http://schemas.microsoft.com/office/drawing/2014/main" id="{C3A91D39-8ACF-463E-BB15-294DB7E92E5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74777" y="1497653"/>
            <a:ext cx="2065235" cy="3935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</xdr:spPr>
      </xdr:pic>
      <xdr:pic>
        <xdr:nvPicPr>
          <xdr:cNvPr id="10" name="图片 9">
            <a:extLst>
              <a:ext uri="{FF2B5EF4-FFF2-40B4-BE49-F238E27FC236}">
                <a16:creationId xmlns:a16="http://schemas.microsoft.com/office/drawing/2014/main" id="{B2C15173-2F56-4F6F-A7A1-592F1CF00C7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72932" y="1876281"/>
            <a:ext cx="2065235" cy="1327296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</xdr:spPr>
      </xdr:pic>
      <xdr:pic>
        <xdr:nvPicPr>
          <xdr:cNvPr id="11" name="图片 10">
            <a:extLst>
              <a:ext uri="{FF2B5EF4-FFF2-40B4-BE49-F238E27FC236}">
                <a16:creationId xmlns:a16="http://schemas.microsoft.com/office/drawing/2014/main" id="{531ED84C-FFD5-4998-86AD-D11943F3C8C2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44272" b="8205"/>
          <a:stretch/>
        </xdr:blipFill>
        <xdr:spPr bwMode="auto">
          <a:xfrm>
            <a:off x="5334477" y="1883901"/>
            <a:ext cx="1342548" cy="181119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</xdr:spPr>
      </xdr:pic>
      <xdr:pic>
        <xdr:nvPicPr>
          <xdr:cNvPr id="12" name="图片 11">
            <a:extLst>
              <a:ext uri="{FF2B5EF4-FFF2-40B4-BE49-F238E27FC236}">
                <a16:creationId xmlns:a16="http://schemas.microsoft.com/office/drawing/2014/main" id="{2EC890B3-0F45-40B9-BF13-497658BDE628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43958"/>
          <a:stretch/>
        </xdr:blipFill>
        <xdr:spPr bwMode="auto">
          <a:xfrm>
            <a:off x="5282060" y="2063022"/>
            <a:ext cx="1349245" cy="1140556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629479</xdr:colOff>
      <xdr:row>0</xdr:row>
      <xdr:rowOff>0</xdr:rowOff>
    </xdr:from>
    <xdr:to>
      <xdr:col>24</xdr:col>
      <xdr:colOff>187301</xdr:colOff>
      <xdr:row>43</xdr:row>
      <xdr:rowOff>60318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82687424-C143-8882-DD6A-D0C932B5468D}"/>
            </a:ext>
          </a:extLst>
        </xdr:cNvPr>
        <xdr:cNvGrpSpPr/>
      </xdr:nvGrpSpPr>
      <xdr:grpSpPr>
        <a:xfrm>
          <a:off x="10005392" y="0"/>
          <a:ext cx="5558572" cy="8607970"/>
          <a:chOff x="10021957" y="0"/>
          <a:chExt cx="5595844" cy="7895666"/>
        </a:xfrm>
      </xdr:grpSpPr>
      <xdr:grpSp>
        <xdr:nvGrpSpPr>
          <xdr:cNvPr id="2" name="组合 1">
            <a:extLst>
              <a:ext uri="{FF2B5EF4-FFF2-40B4-BE49-F238E27FC236}">
                <a16:creationId xmlns:a16="http://schemas.microsoft.com/office/drawing/2014/main" id="{C65D6E67-B1A3-41CB-AB0E-CF090B172C06}"/>
              </a:ext>
            </a:extLst>
          </xdr:cNvPr>
          <xdr:cNvGrpSpPr/>
        </xdr:nvGrpSpPr>
        <xdr:grpSpPr>
          <a:xfrm>
            <a:off x="10021957" y="0"/>
            <a:ext cx="5595844" cy="7895666"/>
            <a:chOff x="10021957" y="0"/>
            <a:chExt cx="5595844" cy="7895666"/>
          </a:xfrm>
          <a:solidFill>
            <a:schemeClr val="accent6">
              <a:lumMod val="40000"/>
              <a:lumOff val="60000"/>
            </a:schemeClr>
          </a:solidFill>
        </xdr:grpSpPr>
        <xdr:sp macro="" textlink="">
          <xdr:nvSpPr>
            <xdr:cNvPr id="6" name="Text Box 10">
              <a:extLst>
                <a:ext uri="{FF2B5EF4-FFF2-40B4-BE49-F238E27FC236}">
                  <a16:creationId xmlns:a16="http://schemas.microsoft.com/office/drawing/2014/main" id="{31AF518C-EA62-4109-81BD-B3821760CA8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021957" y="0"/>
              <a:ext cx="5595844" cy="7895666"/>
            </a:xfrm>
            <a:prstGeom prst="rect">
              <a:avLst/>
            </a:prstGeom>
            <a:grpFill/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72000" tIns="72000" rIns="72000" bIns="72000" anchor="t" upright="1"/>
            <a:lstStyle/>
            <a:p>
              <a:pPr algn="l" rtl="0">
                <a:lnSpc>
                  <a:spcPts val="1400"/>
                </a:lnSpc>
                <a:defRPr sz="1000"/>
              </a:pPr>
              <a:r>
                <a:rPr lang="en-US" altLang="zh-CN" sz="1200" b="1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【</a:t>
              </a:r>
              <a:r>
                <a:rPr lang="zh-CN" altLang="en-US" sz="1200" b="1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第</a:t>
              </a:r>
              <a:r>
                <a:rPr lang="en-US" altLang="zh-CN" sz="1200" b="1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3</a:t>
              </a:r>
              <a:r>
                <a:rPr lang="zh-CN" altLang="en-US" sz="1200" b="1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题</a:t>
              </a:r>
              <a:r>
                <a:rPr lang="en-US" altLang="zh-CN" sz="1200" b="1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】</a:t>
              </a: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利用本工作表数据完成如下操作：</a:t>
              </a:r>
              <a:endParaRPr lang="en-US" altLang="zh-CN" sz="1200" b="0" i="0" u="none" strike="noStrike" baseline="0">
                <a:solidFill>
                  <a:srgbClr val="000000"/>
                </a:solidFill>
                <a:latin typeface="+mn-ea"/>
                <a:ea typeface="+mn-ea"/>
              </a:endParaRPr>
            </a:p>
            <a:p>
              <a:pPr algn="l" rtl="0">
                <a:lnSpc>
                  <a:spcPts val="1400"/>
                </a:lnSpc>
                <a:defRPr sz="1000"/>
              </a:pPr>
              <a:r>
                <a:rPr lang="en-US" altLang="zh-CN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1</a:t>
              </a: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、利用产品价格表中的数据计算产品的价格和销售额，然后</a:t>
              </a:r>
              <a:r>
                <a:rPr lang="zh-CN" altLang="zh-CN" sz="1200" b="0" i="0" baseline="0">
                  <a:effectLst/>
                  <a:latin typeface="+mn-ea"/>
                  <a:ea typeface="+mn-ea"/>
                  <a:cs typeface="+mn-cs"/>
                </a:rPr>
                <a:t>用</a:t>
              </a:r>
              <a:r>
                <a:rPr lang="en-US" altLang="zh-CN" sz="1200" b="0" i="0" baseline="0">
                  <a:effectLst/>
                  <a:latin typeface="+mn-ea"/>
                  <a:ea typeface="+mn-ea"/>
                  <a:cs typeface="+mn-cs"/>
                </a:rPr>
                <a:t>DSUM()</a:t>
              </a:r>
              <a:r>
                <a:rPr lang="zh-CN" altLang="zh-CN" sz="1200" b="0" i="0" baseline="0">
                  <a:effectLst/>
                  <a:latin typeface="+mn-ea"/>
                  <a:ea typeface="+mn-ea"/>
                  <a:cs typeface="+mn-cs"/>
                </a:rPr>
                <a:t>函数</a:t>
              </a: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汇总杭州市</a:t>
              </a:r>
              <a:r>
                <a:rPr lang="en-US" altLang="zh-CN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2023</a:t>
              </a: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年</a:t>
              </a:r>
              <a:r>
                <a:rPr lang="en-US" altLang="zh-CN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3</a:t>
              </a: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月的销售额，答案写在</a:t>
              </a:r>
              <a:r>
                <a:rPr lang="en-US" altLang="zh-CN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N2</a:t>
              </a: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单元格内；</a:t>
              </a:r>
              <a:endParaRPr lang="en-US" altLang="zh-CN" sz="1200" b="0" i="0" u="none" strike="noStrike" baseline="0">
                <a:solidFill>
                  <a:srgbClr val="000000"/>
                </a:solidFill>
                <a:latin typeface="+mn-ea"/>
                <a:ea typeface="+mn-ea"/>
              </a:endParaRPr>
            </a:p>
            <a:p>
              <a:pPr marL="0" marR="0" indent="0" algn="l" defTabSz="914400" rtl="0" eaLnBrk="1" fontAlgn="auto" latinLnBrk="0" hangingPunct="1">
                <a:lnSpc>
                  <a:spcPts val="14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lang="en-US" altLang="zh-CN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2</a:t>
              </a: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、</a:t>
              </a:r>
              <a:r>
                <a:rPr lang="zh-CN" altLang="zh-CN" sz="1200" b="0" i="0" baseline="0">
                  <a:effectLst/>
                  <a:latin typeface="+mn-ea"/>
                  <a:ea typeface="+mn-ea"/>
                  <a:cs typeface="+mn-cs"/>
                </a:rPr>
                <a:t>用</a:t>
              </a:r>
              <a:r>
                <a:rPr lang="en-US" altLang="zh-CN" sz="1200" b="0" i="0" baseline="0">
                  <a:effectLst/>
                  <a:latin typeface="+mn-ea"/>
                  <a:ea typeface="+mn-ea"/>
                  <a:cs typeface="+mn-cs"/>
                </a:rPr>
                <a:t>DSUM()</a:t>
              </a:r>
              <a:r>
                <a:rPr lang="zh-CN" altLang="zh-CN" sz="1200" b="0" i="0" baseline="0">
                  <a:effectLst/>
                  <a:latin typeface="+mn-ea"/>
                  <a:ea typeface="+mn-ea"/>
                  <a:cs typeface="+mn-cs"/>
                </a:rPr>
                <a:t>函数</a:t>
              </a: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汇总苏州和南京市</a:t>
              </a:r>
              <a:r>
                <a:rPr lang="en-US" altLang="zh-CN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  <a:cs typeface="+mn-cs"/>
                </a:rPr>
                <a:t>AirPods</a:t>
              </a: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的总销量</a:t>
              </a:r>
              <a:r>
                <a:rPr lang="zh-CN" altLang="zh-CN" sz="1200" b="0" i="0" baseline="0">
                  <a:effectLst/>
                  <a:latin typeface="+mn-ea"/>
                  <a:ea typeface="+mn-ea"/>
                  <a:cs typeface="+mn-cs"/>
                </a:rPr>
                <a:t>，答案写在</a:t>
              </a:r>
              <a:r>
                <a:rPr lang="en-US" altLang="zh-CN" sz="1200" b="0" i="0" baseline="0">
                  <a:effectLst/>
                  <a:latin typeface="+mn-ea"/>
                  <a:ea typeface="+mn-ea"/>
                  <a:cs typeface="+mn-cs"/>
                </a:rPr>
                <a:t>N9</a:t>
              </a:r>
              <a:r>
                <a:rPr lang="zh-CN" altLang="zh-CN" sz="1200" b="0" i="0" baseline="0">
                  <a:effectLst/>
                  <a:latin typeface="+mn-ea"/>
                  <a:ea typeface="+mn-ea"/>
                  <a:cs typeface="+mn-cs"/>
                </a:rPr>
                <a:t>单元格内；</a:t>
              </a:r>
              <a:endParaRPr lang="zh-CN" altLang="zh-CN" sz="1200">
                <a:effectLst/>
                <a:latin typeface="+mn-ea"/>
                <a:ea typeface="+mn-ea"/>
              </a:endParaRPr>
            </a:p>
            <a:p>
              <a:pPr algn="l" rtl="0">
                <a:lnSpc>
                  <a:spcPts val="1400"/>
                </a:lnSpc>
                <a:defRPr sz="1000"/>
              </a:pPr>
              <a:r>
                <a:rPr lang="en-US" altLang="zh-CN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3</a:t>
              </a: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、</a:t>
              </a:r>
              <a:r>
                <a:rPr lang="zh-CN" altLang="zh-CN" sz="1200" b="0" i="0" baseline="0">
                  <a:effectLst/>
                  <a:latin typeface="+mn-ea"/>
                  <a:ea typeface="+mn-ea"/>
                  <a:cs typeface="+mn-cs"/>
                </a:rPr>
                <a:t>用</a:t>
              </a:r>
              <a:r>
                <a:rPr lang="en-US" altLang="zh-CN" sz="1200" b="0" i="0" baseline="0">
                  <a:effectLst/>
                  <a:latin typeface="+mn-ea"/>
                  <a:ea typeface="+mn-ea"/>
                  <a:cs typeface="+mn-cs"/>
                </a:rPr>
                <a:t>DSUM()</a:t>
              </a:r>
              <a:r>
                <a:rPr lang="zh-CN" altLang="zh-CN" sz="1200" b="0" i="0" baseline="0">
                  <a:effectLst/>
                  <a:latin typeface="+mn-ea"/>
                  <a:ea typeface="+mn-ea"/>
                  <a:cs typeface="+mn-cs"/>
                </a:rPr>
                <a:t>函数加数据模拟运算表进行汇总</a:t>
              </a:r>
              <a:r>
                <a:rPr lang="zh-CN" altLang="en-US" sz="1200" b="0" i="0" baseline="0">
                  <a:effectLst/>
                  <a:latin typeface="+mn-ea"/>
                  <a:ea typeface="+mn-ea"/>
                  <a:cs typeface="+mn-cs"/>
                </a:rPr>
                <a:t>分析</a:t>
              </a:r>
              <a:r>
                <a:rPr lang="zh-CN" altLang="zh-CN" sz="1200" b="0" i="0" baseline="0">
                  <a:effectLst/>
                  <a:latin typeface="+mn-ea"/>
                  <a:ea typeface="+mn-ea"/>
                  <a:cs typeface="+mn-cs"/>
                </a:rPr>
                <a:t>，</a:t>
              </a:r>
              <a:r>
                <a:rPr lang="zh-CN" altLang="en-US" sz="1200" b="0" i="0" baseline="0">
                  <a:effectLst/>
                  <a:latin typeface="+mn-ea"/>
                  <a:ea typeface="+mn-ea"/>
                  <a:cs typeface="+mn-cs"/>
                </a:rPr>
                <a:t>再将数据按一定顺序排序后，</a:t>
              </a: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绘制如下</a:t>
              </a:r>
              <a:r>
                <a:rPr lang="en-US" altLang="zh-CN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2</a:t>
              </a: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个图表。</a:t>
              </a:r>
            </a:p>
            <a:p>
              <a:pPr algn="l" rtl="0">
                <a:lnSpc>
                  <a:spcPts val="1400"/>
                </a:lnSpc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（</a:t>
              </a:r>
              <a:r>
                <a:rPr lang="en-US" altLang="zh-CN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1</a:t>
              </a: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）第</a:t>
              </a:r>
              <a:r>
                <a:rPr lang="en-US" altLang="zh-CN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1</a:t>
              </a: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个图显示各种产品的销量，其中销量大的产品的柱形绘制在前面。该图中有一个组合框用于选择产品名称，被选中的产品柱形变成红色。</a:t>
              </a:r>
            </a:p>
            <a:p>
              <a:pPr algn="l" rtl="0">
                <a:lnSpc>
                  <a:spcPts val="1400"/>
                </a:lnSpc>
                <a:defRPr sz="1000"/>
              </a:pPr>
              <a:endParaRPr lang="zh-CN" altLang="en-US" sz="1200" b="0" i="0" u="none" strike="noStrike" baseline="0">
                <a:solidFill>
                  <a:srgbClr val="000000"/>
                </a:solidFill>
                <a:latin typeface="+mn-ea"/>
                <a:ea typeface="+mn-ea"/>
              </a:endParaRPr>
            </a:p>
            <a:p>
              <a:pPr algn="l" rtl="0">
                <a:lnSpc>
                  <a:spcPts val="1400"/>
                </a:lnSpc>
                <a:defRPr sz="1000"/>
              </a:pPr>
              <a:endParaRPr lang="zh-CN" altLang="en-US" sz="1200" b="0" i="0" u="none" strike="noStrike" baseline="0">
                <a:solidFill>
                  <a:srgbClr val="000000"/>
                </a:solidFill>
                <a:latin typeface="+mn-ea"/>
                <a:ea typeface="+mn-ea"/>
              </a:endParaRPr>
            </a:p>
            <a:p>
              <a:pPr algn="l" rtl="0">
                <a:lnSpc>
                  <a:spcPts val="1400"/>
                </a:lnSpc>
                <a:defRPr sz="1000"/>
              </a:pPr>
              <a:endParaRPr lang="zh-CN" altLang="en-US" sz="1200" b="0" i="0" u="none" strike="noStrike" baseline="0">
                <a:solidFill>
                  <a:srgbClr val="000000"/>
                </a:solidFill>
                <a:latin typeface="+mn-ea"/>
                <a:ea typeface="+mn-ea"/>
              </a:endParaRPr>
            </a:p>
            <a:p>
              <a:pPr algn="l" rtl="0">
                <a:lnSpc>
                  <a:spcPts val="1400"/>
                </a:lnSpc>
                <a:defRPr sz="1000"/>
              </a:pPr>
              <a:endParaRPr lang="zh-CN" altLang="en-US" sz="1200" b="0" i="0" u="none" strike="noStrike" baseline="0">
                <a:solidFill>
                  <a:srgbClr val="000000"/>
                </a:solidFill>
                <a:latin typeface="+mn-ea"/>
                <a:ea typeface="+mn-ea"/>
              </a:endParaRPr>
            </a:p>
            <a:p>
              <a:pPr algn="l" rtl="0">
                <a:lnSpc>
                  <a:spcPts val="1400"/>
                </a:lnSpc>
                <a:defRPr sz="1000"/>
              </a:pPr>
              <a:endParaRPr lang="zh-CN" altLang="en-US" sz="1200" b="0" i="0" u="none" strike="noStrike" baseline="0">
                <a:solidFill>
                  <a:srgbClr val="000000"/>
                </a:solidFill>
                <a:latin typeface="+mn-ea"/>
                <a:ea typeface="+mn-ea"/>
              </a:endParaRPr>
            </a:p>
            <a:p>
              <a:pPr algn="l" rtl="0">
                <a:lnSpc>
                  <a:spcPts val="1400"/>
                </a:lnSpc>
                <a:defRPr sz="1000"/>
              </a:pPr>
              <a:endParaRPr lang="zh-CN" altLang="en-US" sz="1200" b="0" i="0" u="none" strike="noStrike" baseline="0">
                <a:solidFill>
                  <a:srgbClr val="000000"/>
                </a:solidFill>
                <a:latin typeface="+mn-ea"/>
                <a:ea typeface="+mn-ea"/>
              </a:endParaRPr>
            </a:p>
            <a:p>
              <a:pPr algn="l" rtl="0">
                <a:lnSpc>
                  <a:spcPts val="1400"/>
                </a:lnSpc>
                <a:defRPr sz="1000"/>
              </a:pPr>
              <a:endParaRPr lang="zh-CN" altLang="en-US" sz="1200" b="0" i="0" u="none" strike="noStrike" baseline="0">
                <a:solidFill>
                  <a:srgbClr val="000000"/>
                </a:solidFill>
                <a:latin typeface="+mn-ea"/>
                <a:ea typeface="+mn-ea"/>
              </a:endParaRPr>
            </a:p>
            <a:p>
              <a:pPr algn="l" rtl="0">
                <a:lnSpc>
                  <a:spcPts val="1400"/>
                </a:lnSpc>
                <a:defRPr sz="1000"/>
              </a:pPr>
              <a:endParaRPr lang="zh-CN" altLang="en-US" sz="1200" b="0" i="0" u="none" strike="noStrike" baseline="0">
                <a:solidFill>
                  <a:srgbClr val="000000"/>
                </a:solidFill>
                <a:latin typeface="+mn-ea"/>
                <a:ea typeface="+mn-ea"/>
              </a:endParaRPr>
            </a:p>
            <a:p>
              <a:pPr algn="l" rtl="0">
                <a:lnSpc>
                  <a:spcPts val="1400"/>
                </a:lnSpc>
                <a:defRPr sz="1000"/>
              </a:pPr>
              <a:endParaRPr lang="zh-CN" altLang="en-US" sz="1200" b="0" i="0" u="none" strike="noStrike" baseline="0">
                <a:solidFill>
                  <a:srgbClr val="000000"/>
                </a:solidFill>
                <a:latin typeface="+mn-ea"/>
                <a:ea typeface="+mn-ea"/>
              </a:endParaRPr>
            </a:p>
            <a:p>
              <a:pPr algn="l" rtl="0">
                <a:lnSpc>
                  <a:spcPts val="1400"/>
                </a:lnSpc>
                <a:defRPr sz="1000"/>
              </a:pPr>
              <a:endParaRPr lang="zh-CN" altLang="en-US" sz="1200" b="0" i="0" u="none" strike="noStrike" baseline="0">
                <a:solidFill>
                  <a:srgbClr val="000000"/>
                </a:solidFill>
                <a:latin typeface="+mn-ea"/>
                <a:ea typeface="+mn-ea"/>
              </a:endParaRPr>
            </a:p>
            <a:p>
              <a:pPr algn="l" rtl="0">
                <a:lnSpc>
                  <a:spcPts val="1500"/>
                </a:lnSpc>
                <a:defRPr sz="1000"/>
              </a:pPr>
              <a:endParaRPr lang="zh-CN" altLang="en-US" sz="1200" b="0" i="0" u="none" strike="noStrike" baseline="0">
                <a:solidFill>
                  <a:srgbClr val="000000"/>
                </a:solidFill>
                <a:latin typeface="+mn-ea"/>
                <a:ea typeface="+mn-ea"/>
              </a:endParaRPr>
            </a:p>
            <a:p>
              <a:pPr algn="l" rtl="0">
                <a:lnSpc>
                  <a:spcPts val="1400"/>
                </a:lnSpc>
                <a:defRPr sz="1000"/>
              </a:pPr>
              <a:endParaRPr lang="zh-CN" altLang="en-US" sz="1200" b="0" i="0" u="none" strike="noStrike" baseline="0">
                <a:solidFill>
                  <a:srgbClr val="000000"/>
                </a:solidFill>
                <a:latin typeface="+mn-ea"/>
                <a:ea typeface="+mn-ea"/>
              </a:endParaRPr>
            </a:p>
            <a:p>
              <a:pPr algn="l" rtl="0">
                <a:lnSpc>
                  <a:spcPts val="1500"/>
                </a:lnSpc>
                <a:defRPr sz="1000"/>
              </a:pPr>
              <a:endParaRPr lang="zh-CN" altLang="en-US" sz="1200" b="0" i="0" u="none" strike="noStrike" baseline="0">
                <a:solidFill>
                  <a:srgbClr val="000000"/>
                </a:solidFill>
                <a:latin typeface="+mn-ea"/>
                <a:ea typeface="+mn-ea"/>
              </a:endParaRPr>
            </a:p>
            <a:p>
              <a:pPr algn="l" rtl="0">
                <a:lnSpc>
                  <a:spcPts val="1400"/>
                </a:lnSpc>
                <a:defRPr sz="1000"/>
              </a:pPr>
              <a:endParaRPr lang="zh-CN" altLang="en-US" sz="1200" b="0" i="0" u="none" strike="noStrike" baseline="0">
                <a:solidFill>
                  <a:srgbClr val="000000"/>
                </a:solidFill>
                <a:latin typeface="+mn-ea"/>
                <a:ea typeface="+mn-ea"/>
              </a:endParaRPr>
            </a:p>
            <a:p>
              <a:pPr algn="l" rtl="0">
                <a:lnSpc>
                  <a:spcPts val="1500"/>
                </a:lnSpc>
                <a:defRPr sz="1000"/>
              </a:pPr>
              <a:endParaRPr lang="zh-CN" altLang="en-US" sz="1200" b="0" i="0" u="none" strike="noStrike" baseline="0">
                <a:solidFill>
                  <a:srgbClr val="000000"/>
                </a:solidFill>
                <a:latin typeface="+mn-ea"/>
                <a:ea typeface="+mn-ea"/>
              </a:endParaRPr>
            </a:p>
            <a:p>
              <a:pPr algn="l" rtl="0">
                <a:lnSpc>
                  <a:spcPts val="1400"/>
                </a:lnSpc>
                <a:defRPr sz="1000"/>
              </a:pPr>
              <a:endParaRPr lang="zh-CN" altLang="en-US" sz="1200" b="0" i="0" u="none" strike="noStrike" baseline="0">
                <a:solidFill>
                  <a:srgbClr val="000000"/>
                </a:solidFill>
                <a:latin typeface="+mn-ea"/>
                <a:ea typeface="+mn-ea"/>
              </a:endParaRPr>
            </a:p>
            <a:p>
              <a:pPr algn="l" rtl="0">
                <a:lnSpc>
                  <a:spcPts val="1500"/>
                </a:lnSpc>
                <a:defRPr sz="1000"/>
              </a:pPr>
              <a:r>
                <a:rPr lang="en-US" altLang="zh-CN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    </a:t>
              </a:r>
            </a:p>
            <a:p>
              <a:pPr algn="l" rtl="0">
                <a:lnSpc>
                  <a:spcPts val="1500"/>
                </a:lnSpc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（</a:t>
              </a:r>
              <a:r>
                <a:rPr lang="en-US" altLang="zh-CN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2</a:t>
              </a: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）当第</a:t>
              </a:r>
              <a:r>
                <a:rPr lang="en-US" altLang="zh-CN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1</a:t>
              </a: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个图的组合框选定了一种产品名称后，第</a:t>
              </a:r>
              <a:r>
                <a:rPr lang="en-US" altLang="zh-CN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2</a:t>
              </a: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+mn-ea"/>
                  <a:ea typeface="+mn-ea"/>
                </a:rPr>
                <a:t>个图表将显示关于该产品在各个不同城市的销量图表，其中横坐标显示城市名，纵坐标代表总销量。</a:t>
              </a:r>
            </a:p>
          </xdr:txBody>
        </xdr:sp>
        <xdr:pic>
          <xdr:nvPicPr>
            <xdr:cNvPr id="11" name="图片 10">
              <a:extLst>
                <a:ext uri="{FF2B5EF4-FFF2-40B4-BE49-F238E27FC236}">
                  <a16:creationId xmlns:a16="http://schemas.microsoft.com/office/drawing/2014/main" id="{F88961C8-442C-4525-ADD8-7E3CDD954C02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0554525" y="1560689"/>
              <a:ext cx="4328378" cy="2596419"/>
            </a:xfrm>
            <a:prstGeom prst="rect">
              <a:avLst/>
            </a:prstGeom>
            <a:grpFill/>
          </xdr:spPr>
        </xdr:pic>
        <xdr:pic>
          <xdr:nvPicPr>
            <xdr:cNvPr id="12" name="图片 11">
              <a:extLst>
                <a:ext uri="{FF2B5EF4-FFF2-40B4-BE49-F238E27FC236}">
                  <a16:creationId xmlns:a16="http://schemas.microsoft.com/office/drawing/2014/main" id="{72079293-8F87-401E-A942-27AA89F7E1E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0361254" y="5025068"/>
              <a:ext cx="5025679" cy="2851094"/>
            </a:xfrm>
            <a:prstGeom prst="rect">
              <a:avLst/>
            </a:prstGeom>
            <a:grpFill/>
          </xdr:spPr>
        </xdr:pic>
      </xdr:grpSp>
      <xdr:pic>
        <xdr:nvPicPr>
          <xdr:cNvPr id="4" name="图片 3">
            <a:extLst>
              <a:ext uri="{FF2B5EF4-FFF2-40B4-BE49-F238E27FC236}">
                <a16:creationId xmlns:a16="http://schemas.microsoft.com/office/drawing/2014/main" id="{B79EE153-4849-40FF-A09B-6879E434160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459240" y="1979543"/>
            <a:ext cx="922638" cy="27527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186231</xdr:colOff>
      <xdr:row>1</xdr:row>
      <xdr:rowOff>13794</xdr:rowOff>
    </xdr:from>
    <xdr:to>
      <xdr:col>18</xdr:col>
      <xdr:colOff>257174</xdr:colOff>
      <xdr:row>10</xdr:row>
      <xdr:rowOff>38100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7778349-A0E5-4218-9E1D-A0938804FC8F}"/>
            </a:ext>
          </a:extLst>
        </xdr:cNvPr>
        <xdr:cNvSpPr txBox="1"/>
      </xdr:nvSpPr>
      <xdr:spPr>
        <a:xfrm>
          <a:off x="5672631" y="185244"/>
          <a:ext cx="4871543" cy="1586406"/>
        </a:xfrm>
        <a:prstGeom prst="rect">
          <a:avLst/>
        </a:prstGeom>
        <a:solidFill>
          <a:srgbClr val="D3F5F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第</a:t>
          </a:r>
          <a:r>
            <a:rPr lang="en-US" altLang="zh-CN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zh-CN" altLang="en-US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题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本工作表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A1:C49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是某公司近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12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个月冰箱销售数据库，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负责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冰箱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销售的经理，发现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本工作表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A1:C49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销售数据整体上有增长趋势，但他不仅想预测第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13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个月的销量，还想预测第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13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个月每周的销量，为此他收集了过去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12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个月每周的销量的明细数据，数据显示每周的销量既有规律的变化，具有明显的季节成分。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请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用季节指数预测模型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计算季节指数并预测未来第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13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月各周的销量。</a:t>
          </a:r>
          <a:endParaRPr lang="zh-CN" altLang="zh-CN" sz="1200">
            <a:effectLst/>
            <a:latin typeface="+mn-ea"/>
            <a:ea typeface="+mn-ea"/>
          </a:endParaRPr>
        </a:p>
        <a:p>
          <a:endParaRPr lang="zh-CN" altLang="en-US" sz="1200">
            <a:latin typeface="+mn-ea"/>
            <a:ea typeface="+mn-ea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654843</xdr:colOff>
      <xdr:row>10</xdr:row>
      <xdr:rowOff>92365</xdr:rowOff>
    </xdr:from>
    <xdr:to>
      <xdr:col>10</xdr:col>
      <xdr:colOff>603440</xdr:colOff>
      <xdr:row>22</xdr:row>
      <xdr:rowOff>5954</xdr:rowOff>
    </xdr:to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83159105-0AF7-4A85-B6E7-92AC6618BA96}"/>
            </a:ext>
          </a:extLst>
        </xdr:cNvPr>
        <xdr:cNvSpPr txBox="1"/>
      </xdr:nvSpPr>
      <xdr:spPr>
        <a:xfrm>
          <a:off x="3321843" y="1961646"/>
          <a:ext cx="4699191" cy="2056714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1">
              <a:latin typeface="宋体" panose="02010600030101010101" pitchFamily="2" charset="-122"/>
              <a:ea typeface="宋体" panose="02010600030101010101" pitchFamily="2" charset="-122"/>
            </a:rPr>
            <a:t>【</a:t>
          </a:r>
          <a:r>
            <a:rPr lang="zh-CN" altLang="en-US" sz="1100" b="1">
              <a:latin typeface="宋体" panose="02010600030101010101" pitchFamily="2" charset="-122"/>
              <a:ea typeface="宋体" panose="02010600030101010101" pitchFamily="2" charset="-122"/>
            </a:rPr>
            <a:t>第</a:t>
          </a:r>
          <a:r>
            <a:rPr lang="en-US" altLang="zh-CN" sz="1100" b="1">
              <a:latin typeface="宋体" panose="02010600030101010101" pitchFamily="2" charset="-122"/>
              <a:ea typeface="宋体" panose="02010600030101010101" pitchFamily="2" charset="-122"/>
            </a:rPr>
            <a:t>5</a:t>
          </a:r>
          <a:r>
            <a:rPr lang="zh-CN" altLang="en-US" sz="1100" b="1">
              <a:latin typeface="宋体" panose="02010600030101010101" pitchFamily="2" charset="-122"/>
              <a:ea typeface="宋体" panose="02010600030101010101" pitchFamily="2" charset="-122"/>
            </a:rPr>
            <a:t>题</a:t>
          </a:r>
          <a:r>
            <a:rPr lang="en-US" altLang="zh-CN" sz="1100" b="1">
              <a:latin typeface="宋体" panose="02010600030101010101" pitchFamily="2" charset="-122"/>
              <a:ea typeface="宋体" panose="02010600030101010101" pitchFamily="2" charset="-122"/>
            </a:rPr>
            <a:t>】</a:t>
          </a:r>
          <a:r>
            <a:rPr lang="zh-CN" altLang="en-US" sz="1100" b="0">
              <a:latin typeface="宋体" panose="02010600030101010101" pitchFamily="2" charset="-122"/>
              <a:ea typeface="宋体" panose="02010600030101010101" pitchFamily="2" charset="-122"/>
            </a:rPr>
            <a:t>某市</a:t>
          </a:r>
          <a:r>
            <a:rPr lang="zh-CN" altLang="en-US" sz="1100">
              <a:latin typeface="宋体" panose="02010600030101010101" pitchFamily="2" charset="-122"/>
              <a:ea typeface="宋体" panose="02010600030101010101" pitchFamily="2" charset="-122"/>
            </a:rPr>
            <a:t>某类别商品过去</a:t>
          </a:r>
          <a:r>
            <a:rPr lang="en-US" altLang="zh-CN" sz="1100">
              <a:latin typeface="宋体" panose="02010600030101010101" pitchFamily="2" charset="-122"/>
              <a:ea typeface="宋体" panose="02010600030101010101" pitchFamily="2" charset="-122"/>
            </a:rPr>
            <a:t>7</a:t>
          </a:r>
          <a:r>
            <a:rPr lang="zh-CN" altLang="en-US" sz="1100">
              <a:latin typeface="宋体" panose="02010600030101010101" pitchFamily="2" charset="-122"/>
              <a:ea typeface="宋体" panose="02010600030101010101" pitchFamily="2" charset="-122"/>
            </a:rPr>
            <a:t>个月的价格指数与供给量数据放置在本工作表</a:t>
          </a:r>
          <a:r>
            <a:rPr lang="en-US" altLang="zh-CN" sz="1100">
              <a:latin typeface="宋体" panose="02010600030101010101" pitchFamily="2" charset="-122"/>
              <a:ea typeface="宋体" panose="02010600030101010101" pitchFamily="2" charset="-122"/>
            </a:rPr>
            <a:t>A1</a:t>
          </a:r>
          <a:r>
            <a:rPr lang="zh-CN" altLang="en-US" sz="1100">
              <a:latin typeface="宋体" panose="02010600030101010101" pitchFamily="2" charset="-122"/>
              <a:ea typeface="宋体" panose="02010600030101010101" pitchFamily="2" charset="-122"/>
            </a:rPr>
            <a:t>：</a:t>
          </a:r>
          <a:r>
            <a:rPr lang="en-US" altLang="zh-CN" sz="1100">
              <a:latin typeface="宋体" panose="02010600030101010101" pitchFamily="2" charset="-122"/>
              <a:ea typeface="宋体" panose="02010600030101010101" pitchFamily="2" charset="-122"/>
            </a:rPr>
            <a:t>B8</a:t>
          </a:r>
          <a:r>
            <a:rPr lang="zh-CN" altLang="en-US" sz="1100">
              <a:latin typeface="宋体" panose="02010600030101010101" pitchFamily="2" charset="-122"/>
              <a:ea typeface="宋体" panose="02010600030101010101" pitchFamily="2" charset="-122"/>
            </a:rPr>
            <a:t>。试用线性方程和二次多项式方程来进行回归分析。</a:t>
          </a:r>
          <a:r>
            <a:rPr lang="zh-CN" altLang="en-US" sz="1100">
              <a:solidFill>
                <a:schemeClr val="dk1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具体要求如下：</a:t>
          </a:r>
          <a:endParaRPr lang="en-US" altLang="zh-CN" sz="1100">
            <a:solidFill>
              <a:schemeClr val="dk1"/>
            </a:solidFill>
            <a:effectLst/>
            <a:latin typeface="宋体" panose="02010600030101010101" pitchFamily="2" charset="-122"/>
            <a:ea typeface="宋体" panose="02010600030101010101" pitchFamily="2" charset="-122"/>
            <a:cs typeface="+mn-cs"/>
          </a:endParaRPr>
        </a:p>
        <a:p>
          <a:pPr>
            <a:spcBef>
              <a:spcPts val="600"/>
            </a:spcBef>
          </a:pPr>
          <a:r>
            <a:rPr lang="en-US" altLang="zh-CN" sz="1100">
              <a:solidFill>
                <a:schemeClr val="dk1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1</a:t>
          </a:r>
          <a:r>
            <a:rPr lang="zh-CN" altLang="zh-CN" sz="1100">
              <a:solidFill>
                <a:schemeClr val="dk1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、绘制图表，观察数据变化规律</a:t>
          </a:r>
          <a:r>
            <a:rPr lang="en-US" altLang="zh-CN" sz="1100">
              <a:solidFill>
                <a:schemeClr val="dk1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;</a:t>
          </a:r>
          <a:endParaRPr lang="zh-CN" altLang="zh-CN" sz="1100">
            <a:effectLst/>
            <a:latin typeface="宋体" panose="02010600030101010101" pitchFamily="2" charset="-122"/>
            <a:ea typeface="宋体" panose="02010600030101010101" pitchFamily="2" charset="-122"/>
          </a:endParaRPr>
        </a:p>
        <a:p>
          <a:pPr>
            <a:spcBef>
              <a:spcPts val="600"/>
            </a:spcBef>
          </a:pPr>
          <a:r>
            <a:rPr lang="en-US" altLang="zh-CN" sz="1100">
              <a:solidFill>
                <a:schemeClr val="dk1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2</a:t>
          </a:r>
          <a:r>
            <a:rPr lang="zh-CN" altLang="zh-CN" sz="1100">
              <a:solidFill>
                <a:schemeClr val="dk1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、</a:t>
          </a:r>
          <a:r>
            <a:rPr lang="zh-CN" altLang="en-US" sz="1100">
              <a:solidFill>
                <a:schemeClr val="dk1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计算</a:t>
          </a:r>
          <a:r>
            <a:rPr lang="zh-CN" altLang="en-US" sz="1100">
              <a:solidFill>
                <a:srgbClr val="C00000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线性回归</a:t>
          </a:r>
          <a:r>
            <a:rPr lang="zh-CN" altLang="en-US" sz="1100">
              <a:solidFill>
                <a:schemeClr val="dk1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方程的参数，使用这些参数预测价格指数为</a:t>
          </a:r>
          <a:r>
            <a:rPr lang="en-US" altLang="zh-CN" sz="1100">
              <a:solidFill>
                <a:schemeClr val="dk1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1.8</a:t>
          </a:r>
          <a:r>
            <a:rPr lang="zh-CN" altLang="en-US" sz="1100">
              <a:solidFill>
                <a:schemeClr val="dk1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时的供给量，放置在单元格</a:t>
          </a:r>
          <a:r>
            <a:rPr lang="en-US" altLang="zh-CN" sz="1100">
              <a:solidFill>
                <a:schemeClr val="dk1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G8</a:t>
          </a:r>
          <a:r>
            <a:rPr lang="zh-CN" altLang="en-US" sz="1100">
              <a:solidFill>
                <a:schemeClr val="dk1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；</a:t>
          </a:r>
          <a:endParaRPr lang="en-US" altLang="zh-CN" sz="1100">
            <a:solidFill>
              <a:schemeClr val="dk1"/>
            </a:solidFill>
            <a:effectLst/>
            <a:latin typeface="宋体" panose="02010600030101010101" pitchFamily="2" charset="-122"/>
            <a:ea typeface="宋体" panose="02010600030101010101" pitchFamily="2" charset="-122"/>
            <a:cs typeface="+mn-cs"/>
          </a:endParaRPr>
        </a:p>
        <a:p>
          <a:pPr>
            <a:spcBef>
              <a:spcPts val="600"/>
            </a:spcBef>
          </a:pPr>
          <a:r>
            <a:rPr lang="en-US" altLang="zh-CN" sz="1100">
              <a:solidFill>
                <a:schemeClr val="dk1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3</a:t>
          </a:r>
          <a:r>
            <a:rPr lang="zh-CN" altLang="en-US" sz="1100">
              <a:solidFill>
                <a:schemeClr val="dk1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、</a:t>
          </a:r>
          <a:r>
            <a:rPr lang="zh-CN" altLang="zh-CN" sz="1100">
              <a:solidFill>
                <a:schemeClr val="dk1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试用</a:t>
          </a:r>
          <a:r>
            <a:rPr lang="zh-CN" altLang="zh-CN" sz="1100" b="1" u="sng">
              <a:solidFill>
                <a:schemeClr val="dk1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变量替换法</a:t>
          </a:r>
          <a:r>
            <a:rPr lang="zh-CN" altLang="zh-CN" sz="1100">
              <a:solidFill>
                <a:schemeClr val="dk1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计算</a:t>
          </a:r>
          <a:r>
            <a:rPr lang="zh-CN" altLang="en-US" sz="1100">
              <a:solidFill>
                <a:srgbClr val="C00000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二次多项式回归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方程</a:t>
          </a:r>
          <a:r>
            <a:rPr lang="zh-CN" altLang="zh-CN" sz="1100">
              <a:solidFill>
                <a:schemeClr val="dk1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的参数；使用这些参数预测价格指数为</a:t>
          </a:r>
          <a:r>
            <a:rPr lang="en-US" altLang="zh-CN" sz="1100">
              <a:solidFill>
                <a:schemeClr val="dk1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1.8</a:t>
          </a:r>
          <a:r>
            <a:rPr lang="zh-CN" altLang="zh-CN" sz="1100">
              <a:solidFill>
                <a:schemeClr val="dk1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时的供给量，放置在单元格</a:t>
          </a:r>
          <a:r>
            <a:rPr lang="en-US" altLang="zh-CN" sz="1100">
              <a:solidFill>
                <a:schemeClr val="dk1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G9</a:t>
          </a:r>
          <a:r>
            <a:rPr lang="zh-CN" altLang="zh-CN" sz="1100">
              <a:solidFill>
                <a:schemeClr val="dk1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；</a:t>
          </a:r>
          <a:endParaRPr lang="en-US" altLang="zh-CN" sz="1100">
            <a:solidFill>
              <a:schemeClr val="dk1"/>
            </a:solidFill>
            <a:effectLst/>
            <a:latin typeface="宋体" panose="02010600030101010101" pitchFamily="2" charset="-122"/>
            <a:ea typeface="宋体" panose="02010600030101010101" pitchFamily="2" charset="-122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249555</xdr:colOff>
      <xdr:row>0</xdr:row>
      <xdr:rowOff>116204</xdr:rowOff>
    </xdr:from>
    <xdr:to>
      <xdr:col>20</xdr:col>
      <xdr:colOff>573405</xdr:colOff>
      <xdr:row>39</xdr:row>
      <xdr:rowOff>97155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52632A2C-F110-41C0-A1D8-97C33D9F0659}"/>
            </a:ext>
          </a:extLst>
        </xdr:cNvPr>
        <xdr:cNvSpPr txBox="1"/>
      </xdr:nvSpPr>
      <xdr:spPr>
        <a:xfrm>
          <a:off x="7221855" y="116204"/>
          <a:ext cx="6324600" cy="681037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ts val="600"/>
            </a:spcBef>
          </a:pPr>
          <a:r>
            <a:rPr lang="en-US" altLang="zh-CN" sz="1200" b="1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【</a:t>
          </a:r>
          <a:r>
            <a:rPr lang="zh-CN" altLang="en-US" sz="1200" b="1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第</a:t>
          </a:r>
          <a:r>
            <a:rPr lang="en-US" altLang="zh-CN" sz="1200" b="1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6</a:t>
          </a:r>
          <a:r>
            <a:rPr lang="zh-CN" altLang="en-US" sz="1200" b="1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题</a:t>
          </a:r>
          <a:r>
            <a:rPr lang="en-US" altLang="zh-CN" sz="1200" b="1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】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某电机厂在生产中需要一个关键零件，可自制也可外购。如果自制需要增添一台价值</a:t>
          </a: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30000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元的专用设备而单位变动成本为</a:t>
          </a: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12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元</a:t>
          </a: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/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件。如果外购，由于零件供应商实施批量折扣优惠策略（外购价格优惠策略表）。试分析在不同零件需要量下，哪种零件获取方案是成本较低的优选方案。</a:t>
          </a:r>
          <a:endParaRPr lang="en-US" altLang="zh-CN" sz="1200">
            <a:solidFill>
              <a:schemeClr val="dk1"/>
            </a:solidFill>
            <a:effectLst/>
            <a:latin typeface="宋体" panose="02010600030101010101" pitchFamily="7" charset="-122"/>
            <a:ea typeface="宋体" panose="02010600030101010101" pitchFamily="7" charset="-122"/>
            <a:cs typeface="+mn-cs"/>
          </a:endParaRPr>
        </a:p>
        <a:p>
          <a:pPr>
            <a:spcBef>
              <a:spcPts val="600"/>
            </a:spcBef>
          </a:pP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1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）计算销量为</a:t>
          </a: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6000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时两种方案的成本。</a:t>
          </a:r>
          <a:endParaRPr lang="en-US" altLang="zh-CN" sz="1200">
            <a:solidFill>
              <a:schemeClr val="dk1"/>
            </a:solidFill>
            <a:effectLst/>
            <a:latin typeface="宋体" panose="02010600030101010101" pitchFamily="7" charset="-122"/>
            <a:ea typeface="宋体" panose="02010600030101010101" pitchFamily="7" charset="-122"/>
            <a:cs typeface="+mn-cs"/>
          </a:endParaRPr>
        </a:p>
        <a:p>
          <a:pPr>
            <a:spcBef>
              <a:spcPts val="600"/>
            </a:spcBef>
          </a:pP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2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）绘制图表反映零件需要量从</a:t>
          </a: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0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变换到</a:t>
          </a: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20000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件时，两种</a:t>
          </a:r>
          <a:r>
            <a:rPr lang="zh-CN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总成本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的变化情况。</a:t>
          </a:r>
          <a:endParaRPr lang="en-US" altLang="zh-CN" sz="1200">
            <a:solidFill>
              <a:schemeClr val="dk1"/>
            </a:solidFill>
            <a:effectLst/>
            <a:latin typeface="宋体" panose="02010600030101010101" pitchFamily="7" charset="-122"/>
            <a:ea typeface="宋体" panose="02010600030101010101" pitchFamily="7" charset="-122"/>
            <a:cs typeface="+mn-cs"/>
          </a:endParaRPr>
        </a:p>
        <a:p>
          <a:pPr>
            <a:spcBef>
              <a:spcPts val="600"/>
            </a:spcBef>
          </a:pP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3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）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单位变动成本可能因为市场情况的变动在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元几种情况中发生波动。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添加控件控制单位变动成本的这种变化，并</a:t>
          </a:r>
          <a:r>
            <a:rPr lang="zh-CN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采用内插值方法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计算不同情况下两种方案的可能平衡点</a:t>
          </a: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1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、</a:t>
          </a: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2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和</a:t>
          </a: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3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（需要量与相应的成本），并在图中以红色标出。</a:t>
          </a:r>
          <a:endParaRPr lang="en-US" altLang="zh-CN" sz="1200">
            <a:solidFill>
              <a:schemeClr val="dk1"/>
            </a:solidFill>
            <a:effectLst/>
            <a:latin typeface="宋体" panose="02010600030101010101" pitchFamily="7" charset="-122"/>
            <a:ea typeface="宋体" panose="02010600030101010101" pitchFamily="7" charset="-122"/>
            <a:cs typeface="+mn-cs"/>
          </a:endParaRPr>
        </a:p>
        <a:p>
          <a:pPr>
            <a:spcBef>
              <a:spcPts val="600"/>
            </a:spcBef>
          </a:pP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4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）添加对零件需要量进行调整的数值调节钮，使零件需要量从</a:t>
          </a: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0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变化到</a:t>
          </a: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20000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，步长为</a:t>
          </a: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500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件，同时添加一条垂直参考线，</a:t>
          </a:r>
          <a:r>
            <a:rPr lang="zh-CN" altLang="en-US" sz="1200" b="1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反映当前优选方案的交点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。</a:t>
          </a:r>
          <a:endParaRPr lang="en-US" altLang="zh-CN" sz="1200">
            <a:solidFill>
              <a:schemeClr val="dk1"/>
            </a:solidFill>
            <a:effectLst/>
            <a:latin typeface="宋体" panose="02010600030101010101" pitchFamily="7" charset="-122"/>
            <a:ea typeface="宋体" panose="02010600030101010101" pitchFamily="7" charset="-122"/>
            <a:cs typeface="+mn-cs"/>
          </a:endParaRPr>
        </a:p>
        <a:p>
          <a:pPr>
            <a:spcBef>
              <a:spcPts val="600"/>
            </a:spcBef>
          </a:pPr>
          <a:r>
            <a:rPr lang="en-US" altLang="zh-CN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5</a:t>
          </a:r>
          <a:r>
            <a:rPr lang="zh-CN" altLang="en-US" sz="1200">
              <a:solidFill>
                <a:schemeClr val="dk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）在图上添加文本框，反映两种方案的平衡点数量，以及在当前的零件需要量下的优选决策方案情况。</a:t>
          </a:r>
          <a:endParaRPr lang="zh-CN" altLang="zh-CN" sz="1200">
            <a:solidFill>
              <a:schemeClr val="dk1"/>
            </a:solidFill>
            <a:effectLst/>
            <a:latin typeface="宋体" panose="02010600030101010101" pitchFamily="7" charset="-122"/>
            <a:ea typeface="宋体" panose="02010600030101010101" pitchFamily="7" charset="-122"/>
            <a:cs typeface="+mn-cs"/>
          </a:endParaRPr>
        </a:p>
      </xdr:txBody>
    </xdr:sp>
    <xdr:clientData/>
  </xdr:twoCellAnchor>
  <xdr:twoCellAnchor editAs="oneCell">
    <xdr:from>
      <xdr:col>11</xdr:col>
      <xdr:colOff>525780</xdr:colOff>
      <xdr:row>17</xdr:row>
      <xdr:rowOff>15240</xdr:rowOff>
    </xdr:from>
    <xdr:to>
      <xdr:col>19</xdr:col>
      <xdr:colOff>411887</xdr:colOff>
      <xdr:row>36</xdr:row>
      <xdr:rowOff>129851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1ECE749-8A54-47CA-9BD0-18B30774B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8080" y="3072765"/>
          <a:ext cx="5220107" cy="337216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57150</xdr:colOff>
      <xdr:row>30</xdr:row>
      <xdr:rowOff>53975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F54BB9C9-A788-461A-891B-568B2218D803}"/>
            </a:ext>
          </a:extLst>
        </xdr:cNvPr>
        <xdr:cNvGrpSpPr/>
      </xdr:nvGrpSpPr>
      <xdr:grpSpPr>
        <a:xfrm>
          <a:off x="3315433" y="0"/>
          <a:ext cx="7391400" cy="5464908"/>
          <a:chOff x="0" y="3165475"/>
          <a:chExt cx="7600950" cy="5387975"/>
        </a:xfrm>
        <a:solidFill>
          <a:schemeClr val="accent6">
            <a:lumMod val="40000"/>
            <a:lumOff val="60000"/>
          </a:schemeClr>
        </a:solidFill>
      </xdr:grpSpPr>
      <xdr:sp macro="" textlink="">
        <xdr:nvSpPr>
          <xdr:cNvPr id="6" name="Text Box 7">
            <a:extLst>
              <a:ext uri="{FF2B5EF4-FFF2-40B4-BE49-F238E27FC236}">
                <a16:creationId xmlns:a16="http://schemas.microsoft.com/office/drawing/2014/main" id="{00E776E0-5947-4FBB-9CAD-0B3B771ADDA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3165475"/>
            <a:ext cx="7600950" cy="5387975"/>
          </a:xfrm>
          <a:prstGeom prst="rect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altLang="zh-CN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【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第</a:t>
            </a:r>
            <a:r>
              <a:rPr lang="en-US" altLang="zh-CN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7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题</a:t>
            </a:r>
            <a:r>
              <a:rPr lang="en-US" altLang="zh-CN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】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）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已知某企业原材料的日需求量为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20 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，采购的订货周期为20天。假设初始库存量为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，请在本工作表中完成如下操作：</a:t>
            </a:r>
          </a:p>
          <a:p>
            <a:pPr algn="l" rtl="0"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1、计算一次订货量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,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平均库存量；</a:t>
            </a:r>
          </a:p>
          <a:p>
            <a:pPr algn="l" rtl="0"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2、在第N天（假设12）时，计算当时已过去的周期数，本周期已过去的天数，以及这天的库存量；</a:t>
            </a:r>
          </a:p>
          <a:p>
            <a:pPr algn="l" rtl="0"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3、如样图所示，画出第0-100天的库存模拟变化图，其中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X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轴每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5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天标出；</a:t>
            </a:r>
          </a:p>
          <a:p>
            <a:pPr algn="l" rtl="0"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4、以组合图方式在图中添加代表平均库存的黄色折线；</a:t>
            </a:r>
            <a:endPara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5、以微调项选择0-100天间以1为步长变化的任何一天，如图所示，若当天库存高于平均库存，则以绿色柱形表示，否则以红色柱形表示；</a:t>
            </a:r>
            <a:endPara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r>
              <a:rPr lang="en-US" altLang="zh-CN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6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、以微调项调节订货周期在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5-50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天间以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为步长变化，反映库存的动态变化。</a:t>
            </a: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3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3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3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3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3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3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3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3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3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3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3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3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3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3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3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</xdr:txBody>
      </xdr:sp>
      <xdr:pic>
        <xdr:nvPicPr>
          <xdr:cNvPr id="10" name="图片 9">
            <a:extLst>
              <a:ext uri="{FF2B5EF4-FFF2-40B4-BE49-F238E27FC236}">
                <a16:creationId xmlns:a16="http://schemas.microsoft.com/office/drawing/2014/main" id="{3C6959E5-620E-4ADC-819A-4966E6526A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06401" y="4828876"/>
            <a:ext cx="6419850" cy="3707914"/>
          </a:xfrm>
          <a:prstGeom prst="rect">
            <a:avLst/>
          </a:prstGeom>
          <a:grpFill/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314325</xdr:colOff>
      <xdr:row>2</xdr:row>
      <xdr:rowOff>4761</xdr:rowOff>
    </xdr:from>
    <xdr:to>
      <xdr:col>22</xdr:col>
      <xdr:colOff>419100</xdr:colOff>
      <xdr:row>29</xdr:row>
      <xdr:rowOff>38100</xdr:rowOff>
    </xdr:to>
    <xdr:grpSp>
      <xdr:nvGrpSpPr>
        <xdr:cNvPr id="7" name="组合 6">
          <a:extLst>
            <a:ext uri="{FF2B5EF4-FFF2-40B4-BE49-F238E27FC236}">
              <a16:creationId xmlns:a16="http://schemas.microsoft.com/office/drawing/2014/main" id="{F3DE63CE-CD32-4A86-8762-BBEA4AE3353D}"/>
            </a:ext>
          </a:extLst>
        </xdr:cNvPr>
        <xdr:cNvGrpSpPr/>
      </xdr:nvGrpSpPr>
      <xdr:grpSpPr>
        <a:xfrm>
          <a:off x="10434638" y="409574"/>
          <a:ext cx="4819650" cy="5498307"/>
          <a:chOff x="6756167" y="2552699"/>
          <a:chExt cx="4845283" cy="6122454"/>
        </a:xfrm>
        <a:solidFill>
          <a:schemeClr val="accent6">
            <a:lumMod val="40000"/>
            <a:lumOff val="60000"/>
          </a:schemeClr>
        </a:solidFill>
      </xdr:grpSpPr>
      <xdr:sp macro="" textlink="">
        <xdr:nvSpPr>
          <xdr:cNvPr id="8" name="Text Box 1">
            <a:extLst>
              <a:ext uri="{FF2B5EF4-FFF2-40B4-BE49-F238E27FC236}">
                <a16:creationId xmlns:a16="http://schemas.microsoft.com/office/drawing/2014/main" id="{2D9BA408-2EBB-40FA-B7ED-A374D705BF7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756167" y="2552699"/>
            <a:ext cx="4845283" cy="6122454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【</a:t>
            </a:r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第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8</a:t>
            </a:r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题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】</a:t>
            </a:r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某</a:t>
            </a:r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投资客购买一处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300</a:t>
            </a:r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万房产，首付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90</a:t>
            </a:r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万元，向银行贷款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210</a:t>
            </a:r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万元，贷款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5</a:t>
            </a:r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年，贷款年利率为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7%</a:t>
            </a:r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。</a:t>
            </a:r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此投资客与租赁公司每年签租赁合同</a:t>
            </a:r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，</a:t>
            </a:r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五年间的（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1</a:t>
            </a:r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至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5</a:t>
            </a:r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年）的每年物业费和每年房租随市场情况一年变化一次。每年物业费是服从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3000</a:t>
            </a:r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元至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6000</a:t>
            </a:r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变化的均匀分布的随机数，租金是服从</a:t>
            </a:r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下</a:t>
            </a:r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表中的离散分布的随机数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,</a:t>
            </a:r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五年后卖出房屋收入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400</a:t>
            </a:r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万</a:t>
            </a:r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。</a:t>
            </a:r>
            <a:endParaRPr lang="zh-CN" altLang="zh-CN">
              <a:effectLst/>
              <a:latin typeface="宋体" panose="02010600030101010101" pitchFamily="2" charset="-122"/>
              <a:ea typeface="宋体" panose="02010600030101010101" pitchFamily="2" charset="-122"/>
            </a:endParaRPr>
          </a:p>
          <a:p>
            <a:pPr eaLnBrk="1" fontAlgn="auto" latinLnBrk="0" hangingPunct="1"/>
            <a:endParaRPr lang="en-US" altLang="zh-CN" sz="110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endParaRPr>
          </a:p>
          <a:p>
            <a:pPr eaLnBrk="1" fontAlgn="auto" latinLnBrk="0" hangingPunct="1"/>
            <a:endParaRPr lang="en-US" altLang="zh-CN" sz="110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endParaRPr>
          </a:p>
          <a:p>
            <a:pPr eaLnBrk="1" fontAlgn="auto" latinLnBrk="0" hangingPunct="1"/>
            <a:endParaRPr lang="en-US" altLang="zh-CN" sz="110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endParaRPr>
          </a:p>
          <a:p>
            <a:pPr eaLnBrk="1" fontAlgn="auto" latinLnBrk="0" hangingPunct="1"/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当贴现率为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7%</a:t>
            </a:r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时，需要对此投资的风险进行评估。</a:t>
            </a:r>
            <a:endParaRPr lang="zh-CN" altLang="zh-CN">
              <a:effectLst/>
              <a:latin typeface="宋体" panose="02010600030101010101" pitchFamily="2" charset="-122"/>
              <a:ea typeface="宋体" panose="02010600030101010101" pitchFamily="2" charset="-122"/>
            </a:endParaRPr>
          </a:p>
          <a:p>
            <a:pPr eaLnBrk="1" fontAlgn="auto" latinLnBrk="0" hangingPunct="1"/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（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1</a:t>
            </a:r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）请根据上述条件，在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B7</a:t>
            </a:r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单元格中计算投资客每年给银行的等额还款额</a:t>
            </a:r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；</a:t>
            </a:r>
            <a:endParaRPr lang="zh-CN" altLang="zh-CN">
              <a:effectLst/>
              <a:latin typeface="宋体" panose="02010600030101010101" pitchFamily="2" charset="-122"/>
              <a:ea typeface="宋体" panose="02010600030101010101" pitchFamily="2" charset="-122"/>
            </a:endParaRPr>
          </a:p>
          <a:p>
            <a:pPr eaLnBrk="1" fontAlgn="auto" latinLnBrk="0" hangingPunct="1"/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（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2</a:t>
            </a:r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）</a:t>
            </a:r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请扫描模拟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5</a:t>
            </a:r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年中每一年的净现金流，在扫描模拟过程中生成每一年的物业费和租金的随机数；</a:t>
            </a:r>
            <a:endParaRPr lang="en-US" altLang="zh-CN" sz="110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endParaRPr>
          </a:p>
          <a:p>
            <a:pPr eaLnBrk="1" fontAlgn="auto" latinLnBrk="0" hangingPunct="1"/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（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3</a:t>
            </a:r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）在输出区中，输出净现值；</a:t>
            </a:r>
            <a:endParaRPr lang="en-US" altLang="zh-CN" sz="110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endParaRPr>
          </a:p>
          <a:p>
            <a:pPr eaLnBrk="1" fontAlgn="auto" latinLnBrk="0" hangingPunct="1"/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（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4</a:t>
            </a:r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）</a:t>
            </a:r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并在试验区对净现值进行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50</a:t>
            </a:r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次模拟；</a:t>
            </a:r>
            <a:endParaRPr lang="zh-CN" altLang="zh-CN">
              <a:effectLst/>
              <a:latin typeface="宋体" panose="02010600030101010101" pitchFamily="2" charset="-122"/>
              <a:ea typeface="宋体" panose="02010600030101010101" pitchFamily="2" charset="-122"/>
            </a:endParaRPr>
          </a:p>
          <a:p>
            <a:pPr eaLnBrk="1" fontAlgn="auto" latinLnBrk="0" hangingPunct="1"/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（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5</a:t>
            </a:r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）</a:t>
            </a:r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在</a:t>
            </a:r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统计区中</a:t>
            </a:r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统计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50</a:t>
            </a:r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次</a:t>
            </a:r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模拟</a:t>
            </a:r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净现值的均值、标准差、最小值、最大值</a:t>
            </a:r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；</a:t>
            </a:r>
            <a:endParaRPr lang="en-US" altLang="zh-CN" sz="110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endParaRPr>
          </a:p>
          <a:p>
            <a:pPr eaLnBrk="1" fontAlgn="auto" latinLnBrk="0" hangingPunct="1"/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（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6</a:t>
            </a:r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）设定最大净现值和最小净现值之间的行数为</a:t>
            </a:r>
            <a:r>
              <a:rPr lang="en-US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7</a:t>
            </a:r>
            <a:r>
              <a:rPr lang="zh-CN" altLang="en-US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，请画出如下图所示的投资净现值累计频率图</a:t>
            </a:r>
            <a:r>
              <a:rPr lang="zh-CN" altLang="zh-CN" sz="1100">
                <a:effectLst/>
                <a:latin typeface="宋体" panose="02010600030101010101" pitchFamily="2" charset="-122"/>
                <a:ea typeface="宋体" panose="02010600030101010101" pitchFamily="2" charset="-122"/>
                <a:cs typeface="+mn-cs"/>
              </a:rPr>
              <a:t>。</a:t>
            </a:r>
            <a:endParaRPr lang="zh-CN" altLang="zh-CN">
              <a:effectLst/>
              <a:latin typeface="宋体" panose="02010600030101010101" pitchFamily="2" charset="-122"/>
              <a:ea typeface="宋体" panose="02010600030101010101" pitchFamily="2" charset="-122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</xdr:txBody>
      </xdr:sp>
      <xdr:pic>
        <xdr:nvPicPr>
          <xdr:cNvPr id="9" name="图片 8">
            <a:extLst>
              <a:ext uri="{FF2B5EF4-FFF2-40B4-BE49-F238E27FC236}">
                <a16:creationId xmlns:a16="http://schemas.microsoft.com/office/drawing/2014/main" id="{B6ABF6DB-3BA8-4B23-AC9B-A0F276DFEA1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094002" y="3753665"/>
            <a:ext cx="2089150" cy="387350"/>
          </a:xfrm>
          <a:prstGeom prst="rect">
            <a:avLst/>
          </a:prstGeom>
          <a:grpFill/>
        </xdr:spPr>
      </xdr:pic>
      <xdr:pic>
        <xdr:nvPicPr>
          <xdr:cNvPr id="10" name="图片 9">
            <a:extLst>
              <a:ext uri="{FF2B5EF4-FFF2-40B4-BE49-F238E27FC236}">
                <a16:creationId xmlns:a16="http://schemas.microsoft.com/office/drawing/2014/main" id="{44FAEC12-FFB2-4745-97F0-70C682F7E19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362861" y="6236345"/>
            <a:ext cx="3962400" cy="2379638"/>
          </a:xfrm>
          <a:prstGeom prst="rect">
            <a:avLst/>
          </a:prstGeom>
          <a:grpFill/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1</xdr:row>
      <xdr:rowOff>120650</xdr:rowOff>
    </xdr:from>
    <xdr:to>
      <xdr:col>23</xdr:col>
      <xdr:colOff>286385</xdr:colOff>
      <xdr:row>20</xdr:row>
      <xdr:rowOff>51435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718DAEB1-C3A6-4C2B-9853-916A6AAA1CDF}"/>
            </a:ext>
          </a:extLst>
        </xdr:cNvPr>
        <xdr:cNvGrpSpPr/>
      </xdr:nvGrpSpPr>
      <xdr:grpSpPr>
        <a:xfrm>
          <a:off x="9938809" y="321733"/>
          <a:ext cx="7624868" cy="4391661"/>
          <a:chOff x="2546350" y="114300"/>
          <a:chExt cx="7601585" cy="3582035"/>
        </a:xfrm>
        <a:solidFill>
          <a:schemeClr val="accent6">
            <a:lumMod val="40000"/>
            <a:lumOff val="60000"/>
          </a:schemeClr>
        </a:solidFill>
      </xdr:grpSpPr>
      <xdr:sp macro="" textlink="">
        <xdr:nvSpPr>
          <xdr:cNvPr id="5" name="文本框 4">
            <a:extLst>
              <a:ext uri="{FF2B5EF4-FFF2-40B4-BE49-F238E27FC236}">
                <a16:creationId xmlns:a16="http://schemas.microsoft.com/office/drawing/2014/main" id="{D43B98D8-D012-4517-9EA9-B12DEBA205E3}"/>
              </a:ext>
            </a:extLst>
          </xdr:cNvPr>
          <xdr:cNvSpPr txBox="1"/>
        </xdr:nvSpPr>
        <xdr:spPr>
          <a:xfrm>
            <a:off x="2546350" y="114300"/>
            <a:ext cx="7601585" cy="3582035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just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zh-CN" sz="15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【</a:t>
            </a:r>
            <a:r>
              <a:rPr lang="zh-CN" altLang="en-US" sz="15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第</a:t>
            </a:r>
            <a:r>
              <a:rPr lang="en-US" altLang="zh-CN" sz="15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9</a:t>
            </a:r>
            <a:r>
              <a:rPr lang="zh-CN" altLang="en-US" sz="15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题</a:t>
            </a:r>
            <a:r>
              <a:rPr lang="en-US" altLang="zh-CN" sz="15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】</a:t>
            </a:r>
            <a:r>
              <a:rPr lang="zh-CN" altLang="zh-CN" sz="15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某公司下设Ａ、Ｂ、Ｃ三个工厂，它们生产的产品是同质的。下个月这三个工厂的产量分别为60、80、40单位。公司决定下个月向四个配送中心供货，向配送中心1提供40个单位，向配送中心2提供60个单位，向配送中心3至少要供应20个单位。配送中心3和4都想要尽可能多地购买剩下的产品。各个工厂运送单位数量的产品到各个配送中心的净利润如下表所示。将规划求解模型保存在</a:t>
            </a:r>
            <a:r>
              <a:rPr lang="en-US" altLang="zh-CN" sz="15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A2</a:t>
            </a:r>
            <a:r>
              <a:rPr lang="zh-CN" altLang="zh-CN" sz="15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开始的单元格。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zh-CN" sz="1500">
                <a:effectLst/>
              </a:rPr>
              <a:t>                                                                   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zh-CN" altLang="zh-CN" sz="1500">
                <a:effectLst/>
              </a:rPr>
              <a:t>单位利润表（单位：元）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endParaRPr lang="zh-CN" altLang="en-US" sz="1100"/>
          </a:p>
        </xdr:txBody>
      </xdr:sp>
      <xdr:pic>
        <xdr:nvPicPr>
          <xdr:cNvPr id="6" name="图片 5">
            <a:extLst>
              <a:ext uri="{FF2B5EF4-FFF2-40B4-BE49-F238E27FC236}">
                <a16:creationId xmlns:a16="http://schemas.microsoft.com/office/drawing/2014/main" id="{81DFCDCE-6E83-4C4C-9B40-F3DE3ED688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736850" y="1848202"/>
            <a:ext cx="7117080" cy="1613535"/>
          </a:xfrm>
          <a:prstGeom prst="rect">
            <a:avLst/>
          </a:prstGeom>
          <a:grpFill/>
          <a:ln w="9525">
            <a:noFill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activeCell="C25" sqref="C25"/>
    </sheetView>
  </sheetViews>
  <sheetFormatPr defaultColWidth="9" defaultRowHeight="13.5" x14ac:dyDescent="0.3"/>
  <cols>
    <col min="1" max="16384" width="9" style="1"/>
  </cols>
  <sheetData/>
  <phoneticPr fontId="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7" zoomScale="145" zoomScaleNormal="145" workbookViewId="0">
      <selection activeCell="F24" sqref="F24"/>
    </sheetView>
  </sheetViews>
  <sheetFormatPr defaultColWidth="8.75" defaultRowHeight="15.75" x14ac:dyDescent="0.4"/>
  <cols>
    <col min="1" max="1" width="8.25" style="2" customWidth="1"/>
    <col min="2" max="2" width="8.125" style="2" customWidth="1"/>
    <col min="3" max="3" width="6.125" style="2" customWidth="1"/>
    <col min="4" max="4" width="5.75" style="2" customWidth="1"/>
    <col min="5" max="5" width="6.375" style="2" customWidth="1"/>
    <col min="6" max="6" width="7" style="2" customWidth="1"/>
    <col min="7" max="7" width="8.75" style="2" customWidth="1"/>
    <col min="8" max="16384" width="8.75" style="2"/>
  </cols>
  <sheetData/>
  <phoneticPr fontId="8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62DE-CA44-477C-AA97-35D4AB6D0D92}">
  <dimension ref="A1:N666"/>
  <sheetViews>
    <sheetView topLeftCell="I1" zoomScale="115" zoomScaleNormal="115" workbookViewId="0">
      <selection activeCell="N18" sqref="N18"/>
    </sheetView>
  </sheetViews>
  <sheetFormatPr defaultColWidth="8.75" defaultRowHeight="15.75" x14ac:dyDescent="0.4"/>
  <cols>
    <col min="1" max="1" width="11.25" bestFit="1" customWidth="1"/>
    <col min="2" max="2" width="9"/>
    <col min="3" max="3" width="5.125" bestFit="1" customWidth="1"/>
    <col min="4" max="4" width="11.875" customWidth="1"/>
    <col min="5" max="6" width="5.125" bestFit="1" customWidth="1"/>
    <col min="7" max="7" width="7.125" bestFit="1" customWidth="1"/>
    <col min="8" max="8" width="1.625" customWidth="1"/>
    <col min="9" max="9" width="11.25" bestFit="1" customWidth="1"/>
    <col min="10" max="10" width="9"/>
    <col min="11" max="11" width="1.375" customWidth="1"/>
    <col min="12" max="12" width="9"/>
    <col min="13" max="13" width="18.625" customWidth="1"/>
    <col min="15" max="16384" width="8.75" style="3"/>
  </cols>
  <sheetData>
    <row r="1" spans="1:14" x14ac:dyDescent="0.4">
      <c r="A1" s="22" t="s">
        <v>18</v>
      </c>
      <c r="B1" s="22" t="s">
        <v>19</v>
      </c>
      <c r="C1" s="22" t="s">
        <v>20</v>
      </c>
      <c r="D1" s="22" t="s">
        <v>21</v>
      </c>
      <c r="E1" s="22" t="s">
        <v>22</v>
      </c>
      <c r="F1" s="22" t="s">
        <v>23</v>
      </c>
      <c r="G1" s="22" t="s">
        <v>24</v>
      </c>
      <c r="H1" s="23"/>
      <c r="I1" s="24" t="s">
        <v>21</v>
      </c>
      <c r="J1" s="24" t="s">
        <v>23</v>
      </c>
      <c r="L1" s="25"/>
      <c r="M1" s="25"/>
      <c r="N1" s="25"/>
    </row>
    <row r="2" spans="1:14" x14ac:dyDescent="0.4">
      <c r="A2" s="26">
        <v>44754</v>
      </c>
      <c r="B2" s="27" t="s">
        <v>25</v>
      </c>
      <c r="C2" s="27" t="s">
        <v>26</v>
      </c>
      <c r="D2" s="27" t="s">
        <v>27</v>
      </c>
      <c r="E2" s="27">
        <v>20</v>
      </c>
      <c r="I2" s="28" t="s">
        <v>28</v>
      </c>
      <c r="J2" s="28">
        <v>1260</v>
      </c>
      <c r="L2" s="78" t="s">
        <v>29</v>
      </c>
      <c r="M2" s="78"/>
      <c r="N2" s="29"/>
    </row>
    <row r="3" spans="1:14" x14ac:dyDescent="0.4">
      <c r="A3" s="26">
        <v>44754</v>
      </c>
      <c r="B3" s="27" t="s">
        <v>25</v>
      </c>
      <c r="C3" s="27" t="s">
        <v>30</v>
      </c>
      <c r="D3" s="27" t="s">
        <v>27</v>
      </c>
      <c r="E3" s="27">
        <v>34</v>
      </c>
      <c r="I3" s="28" t="s">
        <v>31</v>
      </c>
      <c r="J3" s="28">
        <v>3590</v>
      </c>
    </row>
    <row r="4" spans="1:14" x14ac:dyDescent="0.4">
      <c r="A4" s="26">
        <v>44754</v>
      </c>
      <c r="B4" s="27" t="s">
        <v>32</v>
      </c>
      <c r="C4" s="27" t="s">
        <v>33</v>
      </c>
      <c r="D4" s="27" t="s">
        <v>34</v>
      </c>
      <c r="E4" s="27">
        <v>56</v>
      </c>
      <c r="I4" s="28" t="s">
        <v>35</v>
      </c>
      <c r="J4" s="28">
        <v>18800</v>
      </c>
    </row>
    <row r="5" spans="1:14" x14ac:dyDescent="0.4">
      <c r="A5" s="26">
        <v>44754</v>
      </c>
      <c r="B5" s="27" t="s">
        <v>36</v>
      </c>
      <c r="C5" s="27" t="s">
        <v>37</v>
      </c>
      <c r="D5" s="27" t="s">
        <v>34</v>
      </c>
      <c r="E5" s="27">
        <v>24</v>
      </c>
      <c r="I5" s="28" t="s">
        <v>38</v>
      </c>
      <c r="J5" s="28">
        <v>1178</v>
      </c>
    </row>
    <row r="6" spans="1:14" x14ac:dyDescent="0.4">
      <c r="A6" s="26">
        <v>44754</v>
      </c>
      <c r="B6" s="27" t="s">
        <v>39</v>
      </c>
      <c r="C6" s="27" t="s">
        <v>40</v>
      </c>
      <c r="D6" s="27" t="s">
        <v>41</v>
      </c>
      <c r="E6" s="27">
        <v>42</v>
      </c>
      <c r="I6" s="28" t="s">
        <v>42</v>
      </c>
      <c r="J6" s="28">
        <v>1000</v>
      </c>
    </row>
    <row r="7" spans="1:14" x14ac:dyDescent="0.4">
      <c r="A7" s="26">
        <v>44754</v>
      </c>
      <c r="B7" s="27" t="s">
        <v>39</v>
      </c>
      <c r="C7" s="27" t="s">
        <v>43</v>
      </c>
      <c r="D7" s="27" t="s">
        <v>44</v>
      </c>
      <c r="E7" s="27">
        <v>42</v>
      </c>
      <c r="I7" s="79" t="s">
        <v>45</v>
      </c>
      <c r="J7" s="79"/>
    </row>
    <row r="8" spans="1:14" x14ac:dyDescent="0.4">
      <c r="A8" s="26">
        <v>44754</v>
      </c>
      <c r="B8" s="27" t="s">
        <v>39</v>
      </c>
      <c r="C8" s="27" t="s">
        <v>46</v>
      </c>
      <c r="D8" s="27" t="s">
        <v>31</v>
      </c>
      <c r="E8" s="27">
        <v>32</v>
      </c>
      <c r="L8" s="25"/>
      <c r="M8" s="25"/>
      <c r="N8" s="25"/>
    </row>
    <row r="9" spans="1:14" x14ac:dyDescent="0.4">
      <c r="A9" s="26">
        <v>44755</v>
      </c>
      <c r="B9" s="27" t="s">
        <v>47</v>
      </c>
      <c r="C9" s="27" t="s">
        <v>48</v>
      </c>
      <c r="D9" s="27" t="s">
        <v>49</v>
      </c>
      <c r="E9" s="27">
        <v>120</v>
      </c>
      <c r="L9" s="78" t="s">
        <v>50</v>
      </c>
      <c r="M9" s="78"/>
      <c r="N9" s="29"/>
    </row>
    <row r="10" spans="1:14" x14ac:dyDescent="0.4">
      <c r="A10" s="26">
        <v>44755</v>
      </c>
      <c r="B10" s="27" t="s">
        <v>36</v>
      </c>
      <c r="C10" s="27" t="s">
        <v>51</v>
      </c>
      <c r="D10" s="27" t="s">
        <v>49</v>
      </c>
      <c r="E10" s="27">
        <v>95</v>
      </c>
    </row>
    <row r="11" spans="1:14" x14ac:dyDescent="0.4">
      <c r="A11" s="26">
        <v>44755</v>
      </c>
      <c r="B11" s="27" t="s">
        <v>52</v>
      </c>
      <c r="C11" s="27" t="s">
        <v>53</v>
      </c>
      <c r="D11" s="27" t="s">
        <v>41</v>
      </c>
      <c r="E11" s="27">
        <v>13</v>
      </c>
    </row>
    <row r="12" spans="1:14" x14ac:dyDescent="0.4">
      <c r="A12" s="26">
        <v>44755</v>
      </c>
      <c r="B12" s="27" t="s">
        <v>39</v>
      </c>
      <c r="C12" s="27" t="s">
        <v>33</v>
      </c>
      <c r="D12" s="27" t="s">
        <v>44</v>
      </c>
      <c r="E12" s="27">
        <v>34</v>
      </c>
    </row>
    <row r="13" spans="1:14" x14ac:dyDescent="0.4">
      <c r="A13" s="26">
        <v>44755</v>
      </c>
      <c r="B13" s="27" t="s">
        <v>39</v>
      </c>
      <c r="C13" s="27" t="s">
        <v>40</v>
      </c>
      <c r="D13" s="27" t="s">
        <v>27</v>
      </c>
      <c r="E13" s="27">
        <v>20</v>
      </c>
    </row>
    <row r="14" spans="1:14" x14ac:dyDescent="0.4">
      <c r="A14" s="26">
        <v>44755</v>
      </c>
      <c r="B14" s="27" t="s">
        <v>39</v>
      </c>
      <c r="C14" s="27" t="s">
        <v>53</v>
      </c>
      <c r="D14" s="27" t="s">
        <v>44</v>
      </c>
      <c r="E14" s="27">
        <v>43</v>
      </c>
    </row>
    <row r="15" spans="1:14" x14ac:dyDescent="0.4">
      <c r="A15" s="26">
        <v>44759</v>
      </c>
      <c r="B15" s="27" t="s">
        <v>47</v>
      </c>
      <c r="C15" s="27" t="s">
        <v>46</v>
      </c>
      <c r="D15" s="27" t="s">
        <v>49</v>
      </c>
      <c r="E15" s="27">
        <v>53</v>
      </c>
    </row>
    <row r="16" spans="1:14" x14ac:dyDescent="0.4">
      <c r="A16" s="26">
        <v>44759</v>
      </c>
      <c r="B16" s="27" t="s">
        <v>39</v>
      </c>
      <c r="C16" s="27" t="s">
        <v>43</v>
      </c>
      <c r="D16" s="27" t="s">
        <v>49</v>
      </c>
      <c r="E16" s="27">
        <v>75</v>
      </c>
    </row>
    <row r="17" spans="1:5" x14ac:dyDescent="0.4">
      <c r="A17" s="26">
        <v>44759</v>
      </c>
      <c r="B17" s="27" t="s">
        <v>39</v>
      </c>
      <c r="C17" s="27" t="s">
        <v>30</v>
      </c>
      <c r="D17" s="27" t="s">
        <v>34</v>
      </c>
      <c r="E17" s="27">
        <v>50</v>
      </c>
    </row>
    <row r="18" spans="1:5" x14ac:dyDescent="0.4">
      <c r="A18" s="26">
        <v>44760</v>
      </c>
      <c r="B18" s="27" t="s">
        <v>47</v>
      </c>
      <c r="C18" s="27" t="s">
        <v>53</v>
      </c>
      <c r="D18" s="27" t="s">
        <v>27</v>
      </c>
      <c r="E18" s="27">
        <v>27</v>
      </c>
    </row>
    <row r="19" spans="1:5" x14ac:dyDescent="0.4">
      <c r="A19" s="26">
        <v>44760</v>
      </c>
      <c r="B19" s="27" t="s">
        <v>54</v>
      </c>
      <c r="C19" s="27" t="s">
        <v>55</v>
      </c>
      <c r="D19" s="27" t="s">
        <v>27</v>
      </c>
      <c r="E19" s="27">
        <v>18</v>
      </c>
    </row>
    <row r="20" spans="1:5" x14ac:dyDescent="0.4">
      <c r="A20" s="26">
        <v>44760</v>
      </c>
      <c r="B20" s="27" t="s">
        <v>54</v>
      </c>
      <c r="C20" s="27" t="s">
        <v>30</v>
      </c>
      <c r="D20" s="27" t="s">
        <v>49</v>
      </c>
      <c r="E20" s="27">
        <v>137</v>
      </c>
    </row>
    <row r="21" spans="1:5" x14ac:dyDescent="0.4">
      <c r="A21" s="26">
        <v>44760</v>
      </c>
      <c r="B21" s="27" t="s">
        <v>52</v>
      </c>
      <c r="C21" s="27" t="s">
        <v>48</v>
      </c>
      <c r="D21" s="27" t="s">
        <v>27</v>
      </c>
      <c r="E21" s="27">
        <v>49</v>
      </c>
    </row>
    <row r="22" spans="1:5" x14ac:dyDescent="0.4">
      <c r="A22" s="26">
        <v>44760</v>
      </c>
      <c r="B22" s="27" t="s">
        <v>52</v>
      </c>
      <c r="C22" s="27" t="s">
        <v>56</v>
      </c>
      <c r="D22" s="27" t="s">
        <v>34</v>
      </c>
      <c r="E22" s="27">
        <v>22</v>
      </c>
    </row>
    <row r="23" spans="1:5" x14ac:dyDescent="0.4">
      <c r="A23" s="26">
        <v>44760</v>
      </c>
      <c r="B23" s="27" t="s">
        <v>39</v>
      </c>
      <c r="C23" s="27" t="s">
        <v>51</v>
      </c>
      <c r="D23" s="27" t="s">
        <v>34</v>
      </c>
      <c r="E23" s="27">
        <v>36</v>
      </c>
    </row>
    <row r="24" spans="1:5" x14ac:dyDescent="0.4">
      <c r="A24" s="26">
        <v>44760</v>
      </c>
      <c r="B24" s="27" t="s">
        <v>39</v>
      </c>
      <c r="C24" s="27" t="s">
        <v>33</v>
      </c>
      <c r="D24" s="27" t="s">
        <v>49</v>
      </c>
      <c r="E24" s="27">
        <v>81</v>
      </c>
    </row>
    <row r="25" spans="1:5" x14ac:dyDescent="0.4">
      <c r="A25" s="26">
        <v>44760</v>
      </c>
      <c r="B25" s="27" t="s">
        <v>39</v>
      </c>
      <c r="C25" s="27" t="s">
        <v>40</v>
      </c>
      <c r="D25" s="27" t="s">
        <v>34</v>
      </c>
      <c r="E25" s="27">
        <v>22</v>
      </c>
    </row>
    <row r="26" spans="1:5" x14ac:dyDescent="0.4">
      <c r="A26" s="26">
        <v>44763</v>
      </c>
      <c r="B26" s="27" t="s">
        <v>25</v>
      </c>
      <c r="C26" s="27" t="s">
        <v>40</v>
      </c>
      <c r="D26" s="27" t="s">
        <v>41</v>
      </c>
      <c r="E26" s="27">
        <v>17</v>
      </c>
    </row>
    <row r="27" spans="1:5" x14ac:dyDescent="0.4">
      <c r="A27" s="26">
        <v>44763</v>
      </c>
      <c r="B27" s="27" t="s">
        <v>47</v>
      </c>
      <c r="C27" s="27" t="s">
        <v>46</v>
      </c>
      <c r="D27" s="27" t="s">
        <v>49</v>
      </c>
      <c r="E27" s="27">
        <v>36</v>
      </c>
    </row>
    <row r="28" spans="1:5" x14ac:dyDescent="0.4">
      <c r="A28" s="26">
        <v>44763</v>
      </c>
      <c r="B28" s="27" t="s">
        <v>47</v>
      </c>
      <c r="C28" s="27" t="s">
        <v>53</v>
      </c>
      <c r="D28" s="27" t="s">
        <v>49</v>
      </c>
      <c r="E28" s="27">
        <v>20</v>
      </c>
    </row>
    <row r="29" spans="1:5" x14ac:dyDescent="0.4">
      <c r="A29" s="26">
        <v>44763</v>
      </c>
      <c r="B29" s="27" t="s">
        <v>54</v>
      </c>
      <c r="C29" s="27" t="s">
        <v>43</v>
      </c>
      <c r="D29" s="27" t="s">
        <v>44</v>
      </c>
      <c r="E29" s="27">
        <v>29</v>
      </c>
    </row>
    <row r="30" spans="1:5" x14ac:dyDescent="0.4">
      <c r="A30" s="26">
        <v>44763</v>
      </c>
      <c r="B30" s="27" t="s">
        <v>32</v>
      </c>
      <c r="C30" s="27" t="s">
        <v>57</v>
      </c>
      <c r="D30" s="27" t="s">
        <v>27</v>
      </c>
      <c r="E30" s="27">
        <v>17</v>
      </c>
    </row>
    <row r="31" spans="1:5" x14ac:dyDescent="0.4">
      <c r="A31" s="26">
        <v>44763</v>
      </c>
      <c r="B31" s="27" t="s">
        <v>52</v>
      </c>
      <c r="C31" s="27" t="s">
        <v>33</v>
      </c>
      <c r="D31" s="27" t="s">
        <v>27</v>
      </c>
      <c r="E31" s="27">
        <v>35</v>
      </c>
    </row>
    <row r="32" spans="1:5" x14ac:dyDescent="0.4">
      <c r="A32" s="26">
        <v>44763</v>
      </c>
      <c r="B32" s="27" t="s">
        <v>52</v>
      </c>
      <c r="C32" s="27" t="s">
        <v>53</v>
      </c>
      <c r="D32" s="27" t="s">
        <v>44</v>
      </c>
      <c r="E32" s="27">
        <v>18</v>
      </c>
    </row>
    <row r="33" spans="1:5" x14ac:dyDescent="0.4">
      <c r="A33" s="26">
        <v>44763</v>
      </c>
      <c r="B33" s="27" t="s">
        <v>39</v>
      </c>
      <c r="C33" s="27" t="s">
        <v>30</v>
      </c>
      <c r="D33" s="27" t="s">
        <v>34</v>
      </c>
      <c r="E33" s="27">
        <v>56</v>
      </c>
    </row>
    <row r="34" spans="1:5" x14ac:dyDescent="0.4">
      <c r="A34" s="26">
        <v>44763</v>
      </c>
      <c r="B34" s="27" t="s">
        <v>39</v>
      </c>
      <c r="C34" s="27" t="s">
        <v>46</v>
      </c>
      <c r="D34" s="27" t="s">
        <v>49</v>
      </c>
      <c r="E34" s="27">
        <v>117</v>
      </c>
    </row>
    <row r="35" spans="1:5" x14ac:dyDescent="0.4">
      <c r="A35" s="26">
        <v>44764</v>
      </c>
      <c r="B35" s="27" t="s">
        <v>54</v>
      </c>
      <c r="C35" s="27" t="s">
        <v>51</v>
      </c>
      <c r="D35" s="27" t="s">
        <v>34</v>
      </c>
      <c r="E35" s="27">
        <v>43</v>
      </c>
    </row>
    <row r="36" spans="1:5" x14ac:dyDescent="0.4">
      <c r="A36" s="26">
        <v>44764</v>
      </c>
      <c r="B36" s="27" t="s">
        <v>54</v>
      </c>
      <c r="C36" s="27" t="s">
        <v>40</v>
      </c>
      <c r="D36" s="27" t="s">
        <v>34</v>
      </c>
      <c r="E36" s="27">
        <v>38</v>
      </c>
    </row>
    <row r="37" spans="1:5" x14ac:dyDescent="0.4">
      <c r="A37" s="26">
        <v>44764</v>
      </c>
      <c r="B37" s="27" t="s">
        <v>54</v>
      </c>
      <c r="C37" s="27" t="s">
        <v>46</v>
      </c>
      <c r="D37" s="27" t="s">
        <v>49</v>
      </c>
      <c r="E37" s="27">
        <v>30</v>
      </c>
    </row>
    <row r="38" spans="1:5" x14ac:dyDescent="0.4">
      <c r="A38" s="26">
        <v>44764</v>
      </c>
      <c r="B38" s="27" t="s">
        <v>36</v>
      </c>
      <c r="C38" s="27" t="s">
        <v>43</v>
      </c>
      <c r="D38" s="27" t="s">
        <v>49</v>
      </c>
      <c r="E38" s="27">
        <v>59</v>
      </c>
    </row>
    <row r="39" spans="1:5" x14ac:dyDescent="0.4">
      <c r="A39" s="26">
        <v>44764</v>
      </c>
      <c r="B39" s="27" t="s">
        <v>52</v>
      </c>
      <c r="C39" s="27" t="s">
        <v>37</v>
      </c>
      <c r="D39" s="27" t="s">
        <v>35</v>
      </c>
      <c r="E39" s="27">
        <v>32</v>
      </c>
    </row>
    <row r="40" spans="1:5" x14ac:dyDescent="0.4">
      <c r="A40" s="26">
        <v>44764</v>
      </c>
      <c r="B40" s="27" t="s">
        <v>52</v>
      </c>
      <c r="C40" s="27" t="s">
        <v>58</v>
      </c>
      <c r="D40" s="27" t="s">
        <v>35</v>
      </c>
      <c r="E40" s="27">
        <v>36</v>
      </c>
    </row>
    <row r="41" spans="1:5" x14ac:dyDescent="0.4">
      <c r="A41" s="26">
        <v>44785</v>
      </c>
      <c r="B41" s="27" t="s">
        <v>47</v>
      </c>
      <c r="C41" s="27" t="s">
        <v>40</v>
      </c>
      <c r="D41" s="27" t="s">
        <v>49</v>
      </c>
      <c r="E41" s="27">
        <v>50</v>
      </c>
    </row>
    <row r="42" spans="1:5" x14ac:dyDescent="0.4">
      <c r="A42" s="26">
        <v>44785</v>
      </c>
      <c r="B42" s="27" t="s">
        <v>54</v>
      </c>
      <c r="C42" s="27" t="s">
        <v>55</v>
      </c>
      <c r="D42" s="27" t="s">
        <v>34</v>
      </c>
      <c r="E42" s="27">
        <v>20</v>
      </c>
    </row>
    <row r="43" spans="1:5" x14ac:dyDescent="0.4">
      <c r="A43" s="26">
        <v>44785</v>
      </c>
      <c r="B43" s="27" t="s">
        <v>54</v>
      </c>
      <c r="C43" s="27" t="s">
        <v>48</v>
      </c>
      <c r="D43" s="27" t="s">
        <v>35</v>
      </c>
      <c r="E43" s="27">
        <v>12</v>
      </c>
    </row>
    <row r="44" spans="1:5" x14ac:dyDescent="0.4">
      <c r="A44" s="26">
        <v>44785</v>
      </c>
      <c r="B44" s="27" t="s">
        <v>54</v>
      </c>
      <c r="C44" s="27" t="s">
        <v>46</v>
      </c>
      <c r="D44" s="27" t="s">
        <v>35</v>
      </c>
      <c r="E44" s="27">
        <v>17</v>
      </c>
    </row>
    <row r="45" spans="1:5" x14ac:dyDescent="0.4">
      <c r="A45" s="26">
        <v>44785</v>
      </c>
      <c r="B45" s="27" t="s">
        <v>52</v>
      </c>
      <c r="C45" s="27" t="s">
        <v>51</v>
      </c>
      <c r="D45" s="27" t="s">
        <v>41</v>
      </c>
      <c r="E45" s="27">
        <v>22</v>
      </c>
    </row>
    <row r="46" spans="1:5" x14ac:dyDescent="0.4">
      <c r="A46" s="26">
        <v>44785</v>
      </c>
      <c r="B46" s="27" t="s">
        <v>52</v>
      </c>
      <c r="C46" s="27" t="s">
        <v>37</v>
      </c>
      <c r="D46" s="27" t="s">
        <v>44</v>
      </c>
      <c r="E46" s="27">
        <v>43</v>
      </c>
    </row>
    <row r="47" spans="1:5" x14ac:dyDescent="0.4">
      <c r="A47" s="26">
        <v>44785</v>
      </c>
      <c r="B47" s="27" t="s">
        <v>52</v>
      </c>
      <c r="C47" s="27" t="s">
        <v>30</v>
      </c>
      <c r="D47" s="27" t="s">
        <v>44</v>
      </c>
      <c r="E47" s="27">
        <v>37</v>
      </c>
    </row>
    <row r="48" spans="1:5" x14ac:dyDescent="0.4">
      <c r="A48" s="26">
        <v>44785</v>
      </c>
      <c r="B48" s="27" t="s">
        <v>39</v>
      </c>
      <c r="C48" s="27" t="s">
        <v>33</v>
      </c>
      <c r="D48" s="27" t="s">
        <v>49</v>
      </c>
      <c r="E48" s="27">
        <v>45</v>
      </c>
    </row>
    <row r="49" spans="1:5" x14ac:dyDescent="0.4">
      <c r="A49" s="26">
        <v>44791</v>
      </c>
      <c r="B49" s="27" t="s">
        <v>47</v>
      </c>
      <c r="C49" s="27" t="s">
        <v>40</v>
      </c>
      <c r="D49" s="27" t="s">
        <v>49</v>
      </c>
      <c r="E49" s="27">
        <v>66</v>
      </c>
    </row>
    <row r="50" spans="1:5" x14ac:dyDescent="0.4">
      <c r="A50" s="26">
        <v>44791</v>
      </c>
      <c r="B50" s="27" t="s">
        <v>47</v>
      </c>
      <c r="C50" s="27" t="s">
        <v>53</v>
      </c>
      <c r="D50" s="27" t="s">
        <v>34</v>
      </c>
      <c r="E50" s="27">
        <v>79</v>
      </c>
    </row>
    <row r="51" spans="1:5" x14ac:dyDescent="0.4">
      <c r="A51" s="26">
        <v>44791</v>
      </c>
      <c r="B51" s="27" t="s">
        <v>54</v>
      </c>
      <c r="C51" s="27" t="s">
        <v>43</v>
      </c>
      <c r="D51" s="27" t="s">
        <v>35</v>
      </c>
      <c r="E51" s="27">
        <v>17</v>
      </c>
    </row>
    <row r="52" spans="1:5" x14ac:dyDescent="0.4">
      <c r="A52" s="26">
        <v>44791</v>
      </c>
      <c r="B52" s="27" t="s">
        <v>54</v>
      </c>
      <c r="C52" s="27" t="s">
        <v>46</v>
      </c>
      <c r="D52" s="27" t="s">
        <v>34</v>
      </c>
      <c r="E52" s="27">
        <v>35</v>
      </c>
    </row>
    <row r="53" spans="1:5" x14ac:dyDescent="0.4">
      <c r="A53" s="26">
        <v>44791</v>
      </c>
      <c r="B53" s="27" t="s">
        <v>32</v>
      </c>
      <c r="C53" s="27" t="s">
        <v>57</v>
      </c>
      <c r="D53" s="27" t="s">
        <v>35</v>
      </c>
      <c r="E53" s="27">
        <v>45</v>
      </c>
    </row>
    <row r="54" spans="1:5" x14ac:dyDescent="0.4">
      <c r="A54" s="26">
        <v>44791</v>
      </c>
      <c r="B54" s="27" t="s">
        <v>39</v>
      </c>
      <c r="C54" s="27" t="s">
        <v>55</v>
      </c>
      <c r="D54" s="27" t="s">
        <v>34</v>
      </c>
      <c r="E54" s="27">
        <v>23</v>
      </c>
    </row>
    <row r="55" spans="1:5" x14ac:dyDescent="0.4">
      <c r="A55" s="26">
        <v>44792</v>
      </c>
      <c r="B55" s="27" t="s">
        <v>47</v>
      </c>
      <c r="C55" s="27" t="s">
        <v>30</v>
      </c>
      <c r="D55" s="27" t="s">
        <v>34</v>
      </c>
      <c r="E55" s="27">
        <v>40</v>
      </c>
    </row>
    <row r="56" spans="1:5" x14ac:dyDescent="0.4">
      <c r="A56" s="26">
        <v>44792</v>
      </c>
      <c r="B56" s="27" t="s">
        <v>54</v>
      </c>
      <c r="C56" s="27" t="s">
        <v>56</v>
      </c>
      <c r="D56" s="27" t="s">
        <v>49</v>
      </c>
      <c r="E56" s="27">
        <v>45</v>
      </c>
    </row>
    <row r="57" spans="1:5" x14ac:dyDescent="0.4">
      <c r="A57" s="26">
        <v>44792</v>
      </c>
      <c r="B57" s="27" t="s">
        <v>54</v>
      </c>
      <c r="C57" s="27" t="s">
        <v>33</v>
      </c>
      <c r="D57" s="27" t="s">
        <v>49</v>
      </c>
      <c r="E57" s="27">
        <v>33</v>
      </c>
    </row>
    <row r="58" spans="1:5" x14ac:dyDescent="0.4">
      <c r="A58" s="26">
        <v>44792</v>
      </c>
      <c r="B58" s="27" t="s">
        <v>54</v>
      </c>
      <c r="C58" s="27" t="s">
        <v>40</v>
      </c>
      <c r="D58" s="27" t="s">
        <v>49</v>
      </c>
      <c r="E58" s="27">
        <v>86</v>
      </c>
    </row>
    <row r="59" spans="1:5" x14ac:dyDescent="0.4">
      <c r="A59" s="26">
        <v>44792</v>
      </c>
      <c r="B59" s="27" t="s">
        <v>54</v>
      </c>
      <c r="C59" s="27" t="s">
        <v>48</v>
      </c>
      <c r="D59" s="27" t="s">
        <v>35</v>
      </c>
      <c r="E59" s="27">
        <v>13</v>
      </c>
    </row>
    <row r="60" spans="1:5" x14ac:dyDescent="0.4">
      <c r="A60" s="26">
        <v>44795</v>
      </c>
      <c r="B60" s="27" t="s">
        <v>25</v>
      </c>
      <c r="C60" s="27" t="s">
        <v>40</v>
      </c>
      <c r="D60" s="27" t="s">
        <v>35</v>
      </c>
      <c r="E60" s="27">
        <v>32</v>
      </c>
    </row>
    <row r="61" spans="1:5" x14ac:dyDescent="0.4">
      <c r="A61" s="26">
        <v>44795</v>
      </c>
      <c r="B61" s="27" t="s">
        <v>25</v>
      </c>
      <c r="C61" s="27" t="s">
        <v>43</v>
      </c>
      <c r="D61" s="27" t="s">
        <v>34</v>
      </c>
      <c r="E61" s="27">
        <v>98</v>
      </c>
    </row>
    <row r="62" spans="1:5" x14ac:dyDescent="0.4">
      <c r="A62" s="26">
        <v>44795</v>
      </c>
      <c r="B62" s="27" t="s">
        <v>47</v>
      </c>
      <c r="C62" s="27" t="s">
        <v>30</v>
      </c>
      <c r="D62" s="27" t="s">
        <v>35</v>
      </c>
      <c r="E62" s="27">
        <v>14</v>
      </c>
    </row>
    <row r="63" spans="1:5" x14ac:dyDescent="0.4">
      <c r="A63" s="26">
        <v>44795</v>
      </c>
      <c r="B63" s="27" t="s">
        <v>47</v>
      </c>
      <c r="C63" s="27" t="s">
        <v>46</v>
      </c>
      <c r="D63" s="27" t="s">
        <v>41</v>
      </c>
      <c r="E63" s="27">
        <v>41</v>
      </c>
    </row>
    <row r="64" spans="1:5" x14ac:dyDescent="0.4">
      <c r="A64" s="26">
        <v>44795</v>
      </c>
      <c r="B64" s="27" t="s">
        <v>54</v>
      </c>
      <c r="C64" s="27" t="s">
        <v>37</v>
      </c>
      <c r="D64" s="27" t="s">
        <v>34</v>
      </c>
      <c r="E64" s="27">
        <v>21</v>
      </c>
    </row>
    <row r="65" spans="1:5" x14ac:dyDescent="0.4">
      <c r="A65" s="26">
        <v>44795</v>
      </c>
      <c r="B65" s="27" t="s">
        <v>32</v>
      </c>
      <c r="C65" s="27" t="s">
        <v>53</v>
      </c>
      <c r="D65" s="27" t="s">
        <v>34</v>
      </c>
      <c r="E65" s="27">
        <v>21</v>
      </c>
    </row>
    <row r="66" spans="1:5" x14ac:dyDescent="0.4">
      <c r="A66" s="26">
        <v>44795</v>
      </c>
      <c r="B66" s="27" t="s">
        <v>36</v>
      </c>
      <c r="C66" s="27" t="s">
        <v>53</v>
      </c>
      <c r="D66" s="27" t="s">
        <v>35</v>
      </c>
      <c r="E66" s="27">
        <v>17</v>
      </c>
    </row>
    <row r="67" spans="1:5" x14ac:dyDescent="0.4">
      <c r="A67" s="26">
        <v>44795</v>
      </c>
      <c r="B67" s="27" t="s">
        <v>52</v>
      </c>
      <c r="C67" s="27" t="s">
        <v>40</v>
      </c>
      <c r="D67" s="27" t="s">
        <v>49</v>
      </c>
      <c r="E67" s="27">
        <v>61</v>
      </c>
    </row>
    <row r="68" spans="1:5" x14ac:dyDescent="0.4">
      <c r="A68" s="26">
        <v>44795</v>
      </c>
      <c r="B68" s="27" t="s">
        <v>52</v>
      </c>
      <c r="C68" s="27" t="s">
        <v>30</v>
      </c>
      <c r="D68" s="27" t="s">
        <v>35</v>
      </c>
      <c r="E68" s="27">
        <v>38</v>
      </c>
    </row>
    <row r="69" spans="1:5" x14ac:dyDescent="0.4">
      <c r="A69" s="26">
        <v>44795</v>
      </c>
      <c r="B69" s="27" t="s">
        <v>39</v>
      </c>
      <c r="C69" s="27" t="s">
        <v>51</v>
      </c>
      <c r="D69" s="27" t="s">
        <v>44</v>
      </c>
      <c r="E69" s="27">
        <v>24</v>
      </c>
    </row>
    <row r="70" spans="1:5" x14ac:dyDescent="0.4">
      <c r="A70" s="26">
        <v>44795</v>
      </c>
      <c r="B70" s="27" t="s">
        <v>39</v>
      </c>
      <c r="C70" s="27" t="s">
        <v>56</v>
      </c>
      <c r="D70" s="27" t="s">
        <v>35</v>
      </c>
      <c r="E70" s="27">
        <v>18</v>
      </c>
    </row>
    <row r="71" spans="1:5" x14ac:dyDescent="0.4">
      <c r="A71" s="26">
        <v>44796</v>
      </c>
      <c r="B71" s="27" t="s">
        <v>36</v>
      </c>
      <c r="C71" s="27" t="s">
        <v>51</v>
      </c>
      <c r="D71" s="27" t="s">
        <v>34</v>
      </c>
      <c r="E71" s="27">
        <v>31</v>
      </c>
    </row>
    <row r="72" spans="1:5" x14ac:dyDescent="0.4">
      <c r="A72" s="26">
        <v>44796</v>
      </c>
      <c r="B72" s="27" t="s">
        <v>52</v>
      </c>
      <c r="C72" s="27" t="s">
        <v>37</v>
      </c>
      <c r="D72" s="27" t="s">
        <v>49</v>
      </c>
      <c r="E72" s="27">
        <v>50</v>
      </c>
    </row>
    <row r="73" spans="1:5" x14ac:dyDescent="0.4">
      <c r="A73" s="26">
        <v>44796</v>
      </c>
      <c r="B73" s="27" t="s">
        <v>39</v>
      </c>
      <c r="C73" s="27" t="s">
        <v>48</v>
      </c>
      <c r="D73" s="27" t="s">
        <v>34</v>
      </c>
      <c r="E73" s="27">
        <v>130</v>
      </c>
    </row>
    <row r="74" spans="1:5" x14ac:dyDescent="0.4">
      <c r="A74" s="26">
        <v>44796</v>
      </c>
      <c r="B74" s="27" t="s">
        <v>39</v>
      </c>
      <c r="C74" s="27" t="s">
        <v>58</v>
      </c>
      <c r="D74" s="27" t="s">
        <v>34</v>
      </c>
      <c r="E74" s="27">
        <v>99</v>
      </c>
    </row>
    <row r="75" spans="1:5" x14ac:dyDescent="0.4">
      <c r="A75" s="26">
        <v>44797</v>
      </c>
      <c r="B75" s="27" t="s">
        <v>54</v>
      </c>
      <c r="C75" s="27" t="s">
        <v>46</v>
      </c>
      <c r="D75" s="27" t="s">
        <v>49</v>
      </c>
      <c r="E75" s="27">
        <v>33</v>
      </c>
    </row>
    <row r="76" spans="1:5" x14ac:dyDescent="0.4">
      <c r="A76" s="26">
        <v>44797</v>
      </c>
      <c r="B76" s="27" t="s">
        <v>39</v>
      </c>
      <c r="C76" s="27" t="s">
        <v>30</v>
      </c>
      <c r="D76" s="27" t="s">
        <v>49</v>
      </c>
      <c r="E76" s="27">
        <v>98</v>
      </c>
    </row>
    <row r="77" spans="1:5" x14ac:dyDescent="0.4">
      <c r="A77" s="26">
        <v>44797</v>
      </c>
      <c r="B77" s="27" t="s">
        <v>39</v>
      </c>
      <c r="C77" s="27" t="s">
        <v>33</v>
      </c>
      <c r="D77" s="27" t="s">
        <v>49</v>
      </c>
      <c r="E77" s="27">
        <v>42</v>
      </c>
    </row>
    <row r="78" spans="1:5" x14ac:dyDescent="0.4">
      <c r="A78" s="26">
        <v>44799</v>
      </c>
      <c r="B78" s="27" t="s">
        <v>39</v>
      </c>
      <c r="C78" s="27" t="s">
        <v>40</v>
      </c>
      <c r="D78" s="27" t="s">
        <v>41</v>
      </c>
      <c r="E78" s="27">
        <v>34</v>
      </c>
    </row>
    <row r="79" spans="1:5" x14ac:dyDescent="0.4">
      <c r="A79" s="26">
        <v>44799</v>
      </c>
      <c r="B79" s="27" t="s">
        <v>39</v>
      </c>
      <c r="C79" s="27" t="s">
        <v>53</v>
      </c>
      <c r="D79" s="27" t="s">
        <v>44</v>
      </c>
      <c r="E79" s="27">
        <v>50</v>
      </c>
    </row>
    <row r="80" spans="1:5" x14ac:dyDescent="0.4">
      <c r="A80" s="26">
        <v>44799</v>
      </c>
      <c r="B80" s="27" t="s">
        <v>39</v>
      </c>
      <c r="C80" s="27" t="s">
        <v>55</v>
      </c>
      <c r="D80" s="27" t="s">
        <v>35</v>
      </c>
      <c r="E80" s="27">
        <v>49</v>
      </c>
    </row>
    <row r="81" spans="1:5" x14ac:dyDescent="0.4">
      <c r="A81" s="26">
        <v>44805</v>
      </c>
      <c r="B81" s="27" t="s">
        <v>47</v>
      </c>
      <c r="C81" s="27" t="s">
        <v>40</v>
      </c>
      <c r="D81" s="27" t="s">
        <v>34</v>
      </c>
      <c r="E81" s="27">
        <v>43</v>
      </c>
    </row>
    <row r="82" spans="1:5" x14ac:dyDescent="0.4">
      <c r="A82" s="26">
        <v>44805</v>
      </c>
      <c r="B82" s="27" t="s">
        <v>47</v>
      </c>
      <c r="C82" s="27" t="s">
        <v>51</v>
      </c>
      <c r="D82" s="27" t="s">
        <v>34</v>
      </c>
      <c r="E82" s="27">
        <v>13</v>
      </c>
    </row>
    <row r="83" spans="1:5" x14ac:dyDescent="0.4">
      <c r="A83" s="26">
        <v>44805</v>
      </c>
      <c r="B83" s="27" t="s">
        <v>47</v>
      </c>
      <c r="C83" s="27" t="s">
        <v>33</v>
      </c>
      <c r="D83" s="27" t="s">
        <v>35</v>
      </c>
      <c r="E83" s="27">
        <v>13</v>
      </c>
    </row>
    <row r="84" spans="1:5" x14ac:dyDescent="0.4">
      <c r="A84" s="26">
        <v>44805</v>
      </c>
      <c r="B84" s="27" t="s">
        <v>54</v>
      </c>
      <c r="C84" s="27" t="s">
        <v>55</v>
      </c>
      <c r="D84" s="27" t="s">
        <v>49</v>
      </c>
      <c r="E84" s="27">
        <v>48</v>
      </c>
    </row>
    <row r="85" spans="1:5" x14ac:dyDescent="0.4">
      <c r="A85" s="26">
        <v>44805</v>
      </c>
      <c r="B85" s="27" t="s">
        <v>54</v>
      </c>
      <c r="C85" s="27" t="s">
        <v>40</v>
      </c>
      <c r="D85" s="27" t="s">
        <v>34</v>
      </c>
      <c r="E85" s="27">
        <v>66</v>
      </c>
    </row>
    <row r="86" spans="1:5" x14ac:dyDescent="0.4">
      <c r="A86" s="26">
        <v>44805</v>
      </c>
      <c r="B86" s="27" t="s">
        <v>32</v>
      </c>
      <c r="C86" s="27" t="s">
        <v>53</v>
      </c>
      <c r="D86" s="27" t="s">
        <v>41</v>
      </c>
      <c r="E86" s="27">
        <v>49</v>
      </c>
    </row>
    <row r="87" spans="1:5" x14ac:dyDescent="0.4">
      <c r="A87" s="26">
        <v>44805</v>
      </c>
      <c r="B87" s="27" t="s">
        <v>32</v>
      </c>
      <c r="C87" s="27" t="s">
        <v>43</v>
      </c>
      <c r="D87" s="27" t="s">
        <v>44</v>
      </c>
      <c r="E87" s="27">
        <v>25</v>
      </c>
    </row>
    <row r="88" spans="1:5" x14ac:dyDescent="0.4">
      <c r="A88" s="26">
        <v>44805</v>
      </c>
      <c r="B88" s="27" t="s">
        <v>39</v>
      </c>
      <c r="C88" s="27" t="s">
        <v>37</v>
      </c>
      <c r="D88" s="27" t="s">
        <v>49</v>
      </c>
      <c r="E88" s="27">
        <v>67</v>
      </c>
    </row>
    <row r="89" spans="1:5" x14ac:dyDescent="0.4">
      <c r="A89" s="26">
        <v>44805</v>
      </c>
      <c r="B89" s="27" t="s">
        <v>39</v>
      </c>
      <c r="C89" s="27" t="s">
        <v>58</v>
      </c>
      <c r="D89" s="27" t="s">
        <v>49</v>
      </c>
      <c r="E89" s="27">
        <v>98</v>
      </c>
    </row>
    <row r="90" spans="1:5" x14ac:dyDescent="0.4">
      <c r="A90" s="26">
        <v>44805</v>
      </c>
      <c r="B90" s="27" t="s">
        <v>39</v>
      </c>
      <c r="C90" s="27" t="s">
        <v>46</v>
      </c>
      <c r="D90" s="27" t="s">
        <v>49</v>
      </c>
      <c r="E90" s="27">
        <v>30</v>
      </c>
    </row>
    <row r="91" spans="1:5" x14ac:dyDescent="0.4">
      <c r="A91" s="26">
        <v>44805</v>
      </c>
      <c r="B91" s="27" t="s">
        <v>39</v>
      </c>
      <c r="C91" s="27" t="s">
        <v>46</v>
      </c>
      <c r="D91" s="27" t="s">
        <v>35</v>
      </c>
      <c r="E91" s="27">
        <v>16</v>
      </c>
    </row>
    <row r="92" spans="1:5" x14ac:dyDescent="0.4">
      <c r="A92" s="26">
        <v>44805</v>
      </c>
      <c r="B92" s="27" t="s">
        <v>39</v>
      </c>
      <c r="C92" s="27" t="s">
        <v>55</v>
      </c>
      <c r="D92" s="27" t="s">
        <v>34</v>
      </c>
      <c r="E92" s="27">
        <v>120</v>
      </c>
    </row>
    <row r="93" spans="1:5" x14ac:dyDescent="0.4">
      <c r="A93" s="26">
        <v>44806</v>
      </c>
      <c r="B93" s="27" t="s">
        <v>47</v>
      </c>
      <c r="C93" s="27" t="s">
        <v>53</v>
      </c>
      <c r="D93" s="27" t="s">
        <v>44</v>
      </c>
      <c r="E93" s="27">
        <v>30</v>
      </c>
    </row>
    <row r="94" spans="1:5" x14ac:dyDescent="0.4">
      <c r="A94" s="26">
        <v>44806</v>
      </c>
      <c r="B94" s="27" t="s">
        <v>47</v>
      </c>
      <c r="C94" s="27" t="s">
        <v>48</v>
      </c>
      <c r="D94" s="27" t="s">
        <v>35</v>
      </c>
      <c r="E94" s="27">
        <v>40</v>
      </c>
    </row>
    <row r="95" spans="1:5" x14ac:dyDescent="0.4">
      <c r="A95" s="26">
        <v>44806</v>
      </c>
      <c r="B95" s="27" t="s">
        <v>32</v>
      </c>
      <c r="C95" s="27" t="s">
        <v>37</v>
      </c>
      <c r="D95" s="27" t="s">
        <v>44</v>
      </c>
      <c r="E95" s="27">
        <v>20</v>
      </c>
    </row>
    <row r="96" spans="1:5" x14ac:dyDescent="0.4">
      <c r="A96" s="26">
        <v>44806</v>
      </c>
      <c r="B96" s="27" t="s">
        <v>39</v>
      </c>
      <c r="C96" s="27" t="s">
        <v>56</v>
      </c>
      <c r="D96" s="27" t="s">
        <v>35</v>
      </c>
      <c r="E96" s="27">
        <v>42</v>
      </c>
    </row>
    <row r="97" spans="1:5" x14ac:dyDescent="0.4">
      <c r="A97" s="26">
        <v>44806</v>
      </c>
      <c r="B97" s="27" t="s">
        <v>39</v>
      </c>
      <c r="C97" s="27" t="s">
        <v>37</v>
      </c>
      <c r="D97" s="27" t="s">
        <v>41</v>
      </c>
      <c r="E97" s="27">
        <v>17</v>
      </c>
    </row>
    <row r="98" spans="1:5" x14ac:dyDescent="0.4">
      <c r="A98" s="26">
        <v>44807</v>
      </c>
      <c r="B98" s="27" t="s">
        <v>47</v>
      </c>
      <c r="C98" s="27" t="s">
        <v>33</v>
      </c>
      <c r="D98" s="27" t="s">
        <v>49</v>
      </c>
      <c r="E98" s="27">
        <v>135</v>
      </c>
    </row>
    <row r="99" spans="1:5" x14ac:dyDescent="0.4">
      <c r="A99" s="26">
        <v>44807</v>
      </c>
      <c r="B99" s="27" t="s">
        <v>47</v>
      </c>
      <c r="C99" s="27" t="s">
        <v>48</v>
      </c>
      <c r="D99" s="27" t="s">
        <v>34</v>
      </c>
      <c r="E99" s="27">
        <v>48</v>
      </c>
    </row>
    <row r="100" spans="1:5" x14ac:dyDescent="0.4">
      <c r="A100" s="26">
        <v>44807</v>
      </c>
      <c r="B100" s="27" t="s">
        <v>47</v>
      </c>
      <c r="C100" s="27" t="s">
        <v>56</v>
      </c>
      <c r="D100" s="27" t="s">
        <v>49</v>
      </c>
      <c r="E100" s="27">
        <v>28</v>
      </c>
    </row>
    <row r="101" spans="1:5" x14ac:dyDescent="0.4">
      <c r="A101" s="26">
        <v>44807</v>
      </c>
      <c r="B101" s="27" t="s">
        <v>47</v>
      </c>
      <c r="C101" s="27" t="s">
        <v>33</v>
      </c>
      <c r="D101" s="27" t="s">
        <v>49</v>
      </c>
      <c r="E101" s="27">
        <v>84</v>
      </c>
    </row>
    <row r="102" spans="1:5" x14ac:dyDescent="0.4">
      <c r="A102" s="26">
        <v>44807</v>
      </c>
      <c r="B102" s="27" t="s">
        <v>32</v>
      </c>
      <c r="C102" s="27" t="s">
        <v>57</v>
      </c>
      <c r="D102" s="27" t="s">
        <v>34</v>
      </c>
      <c r="E102" s="27">
        <v>38</v>
      </c>
    </row>
    <row r="103" spans="1:5" x14ac:dyDescent="0.4">
      <c r="A103" s="26">
        <v>44807</v>
      </c>
      <c r="B103" s="27" t="s">
        <v>52</v>
      </c>
      <c r="C103" s="27" t="s">
        <v>37</v>
      </c>
      <c r="D103" s="27" t="s">
        <v>34</v>
      </c>
      <c r="E103" s="27">
        <v>89</v>
      </c>
    </row>
    <row r="104" spans="1:5" x14ac:dyDescent="0.4">
      <c r="A104" s="26">
        <v>44807</v>
      </c>
      <c r="B104" s="27" t="s">
        <v>39</v>
      </c>
      <c r="C104" s="27" t="s">
        <v>58</v>
      </c>
      <c r="D104" s="27" t="s">
        <v>49</v>
      </c>
      <c r="E104" s="27">
        <v>109</v>
      </c>
    </row>
    <row r="105" spans="1:5" x14ac:dyDescent="0.4">
      <c r="A105" s="26">
        <v>44807</v>
      </c>
      <c r="B105" s="27" t="s">
        <v>39</v>
      </c>
      <c r="C105" s="27" t="s">
        <v>43</v>
      </c>
      <c r="D105" s="27" t="s">
        <v>35</v>
      </c>
      <c r="E105" s="27">
        <v>36</v>
      </c>
    </row>
    <row r="106" spans="1:5" x14ac:dyDescent="0.4">
      <c r="A106" s="26">
        <v>44807</v>
      </c>
      <c r="B106" s="27" t="s">
        <v>39</v>
      </c>
      <c r="C106" s="27" t="s">
        <v>46</v>
      </c>
      <c r="D106" s="27" t="s">
        <v>35</v>
      </c>
      <c r="E106" s="27">
        <v>20</v>
      </c>
    </row>
    <row r="107" spans="1:5" x14ac:dyDescent="0.4">
      <c r="A107" s="26">
        <v>44807</v>
      </c>
      <c r="B107" s="27" t="s">
        <v>39</v>
      </c>
      <c r="C107" s="27" t="s">
        <v>51</v>
      </c>
      <c r="D107" s="27" t="s">
        <v>34</v>
      </c>
      <c r="E107" s="27">
        <v>44</v>
      </c>
    </row>
    <row r="108" spans="1:5" x14ac:dyDescent="0.4">
      <c r="A108" s="26">
        <v>44807</v>
      </c>
      <c r="B108" s="27" t="s">
        <v>39</v>
      </c>
      <c r="C108" s="27" t="s">
        <v>30</v>
      </c>
      <c r="D108" s="27" t="s">
        <v>49</v>
      </c>
      <c r="E108" s="27">
        <v>67</v>
      </c>
    </row>
    <row r="109" spans="1:5" x14ac:dyDescent="0.4">
      <c r="A109" s="26">
        <v>44808</v>
      </c>
      <c r="B109" s="27" t="s">
        <v>25</v>
      </c>
      <c r="C109" s="27" t="s">
        <v>48</v>
      </c>
      <c r="D109" s="27" t="s">
        <v>34</v>
      </c>
      <c r="E109" s="27">
        <v>99</v>
      </c>
    </row>
    <row r="110" spans="1:5" x14ac:dyDescent="0.4">
      <c r="A110" s="26">
        <v>44808</v>
      </c>
      <c r="B110" s="27" t="s">
        <v>47</v>
      </c>
      <c r="C110" s="27" t="s">
        <v>40</v>
      </c>
      <c r="D110" s="27" t="s">
        <v>49</v>
      </c>
      <c r="E110" s="27">
        <v>86</v>
      </c>
    </row>
    <row r="111" spans="1:5" x14ac:dyDescent="0.4">
      <c r="A111" s="26">
        <v>44808</v>
      </c>
      <c r="B111" s="27" t="s">
        <v>47</v>
      </c>
      <c r="C111" s="27" t="s">
        <v>40</v>
      </c>
      <c r="D111" s="27" t="s">
        <v>41</v>
      </c>
      <c r="E111" s="27">
        <v>35</v>
      </c>
    </row>
    <row r="112" spans="1:5" x14ac:dyDescent="0.4">
      <c r="A112" s="26">
        <v>44808</v>
      </c>
      <c r="B112" s="27" t="s">
        <v>54</v>
      </c>
      <c r="C112" s="27" t="s">
        <v>53</v>
      </c>
      <c r="D112" s="27" t="s">
        <v>35</v>
      </c>
      <c r="E112" s="27">
        <v>12</v>
      </c>
    </row>
    <row r="113" spans="1:5" x14ac:dyDescent="0.4">
      <c r="A113" s="26">
        <v>44808</v>
      </c>
      <c r="B113" s="27" t="s">
        <v>54</v>
      </c>
      <c r="C113" s="27" t="s">
        <v>55</v>
      </c>
      <c r="D113" s="27" t="s">
        <v>35</v>
      </c>
      <c r="E113" s="27">
        <v>49</v>
      </c>
    </row>
    <row r="114" spans="1:5" x14ac:dyDescent="0.4">
      <c r="A114" s="26">
        <v>44808</v>
      </c>
      <c r="B114" s="27" t="s">
        <v>52</v>
      </c>
      <c r="C114" s="27" t="s">
        <v>53</v>
      </c>
      <c r="D114" s="27" t="s">
        <v>44</v>
      </c>
      <c r="E114" s="27">
        <v>40</v>
      </c>
    </row>
    <row r="115" spans="1:5" x14ac:dyDescent="0.4">
      <c r="A115" s="26">
        <v>44808</v>
      </c>
      <c r="B115" s="27" t="s">
        <v>52</v>
      </c>
      <c r="C115" s="27" t="s">
        <v>37</v>
      </c>
      <c r="D115" s="27" t="s">
        <v>41</v>
      </c>
      <c r="E115" s="27">
        <v>31</v>
      </c>
    </row>
    <row r="116" spans="1:5" x14ac:dyDescent="0.4">
      <c r="A116" s="26">
        <v>44808</v>
      </c>
      <c r="B116" s="27" t="s">
        <v>39</v>
      </c>
      <c r="C116" s="27" t="s">
        <v>33</v>
      </c>
      <c r="D116" s="27" t="s">
        <v>34</v>
      </c>
      <c r="E116" s="27">
        <v>66</v>
      </c>
    </row>
    <row r="117" spans="1:5" x14ac:dyDescent="0.4">
      <c r="A117" s="26">
        <v>44808</v>
      </c>
      <c r="B117" s="27" t="s">
        <v>39</v>
      </c>
      <c r="C117" s="27" t="s">
        <v>51</v>
      </c>
      <c r="D117" s="27" t="s">
        <v>35</v>
      </c>
      <c r="E117" s="27">
        <v>43</v>
      </c>
    </row>
    <row r="118" spans="1:5" x14ac:dyDescent="0.4">
      <c r="A118" s="26">
        <v>44808</v>
      </c>
      <c r="B118" s="27" t="s">
        <v>39</v>
      </c>
      <c r="C118" s="27" t="s">
        <v>58</v>
      </c>
      <c r="D118" s="27" t="s">
        <v>44</v>
      </c>
      <c r="E118" s="27">
        <v>27</v>
      </c>
    </row>
    <row r="119" spans="1:5" x14ac:dyDescent="0.4">
      <c r="A119" s="26">
        <v>44847</v>
      </c>
      <c r="B119" s="27" t="s">
        <v>25</v>
      </c>
      <c r="C119" s="27" t="s">
        <v>51</v>
      </c>
      <c r="D119" s="27" t="s">
        <v>35</v>
      </c>
      <c r="E119" s="27">
        <v>34</v>
      </c>
    </row>
    <row r="120" spans="1:5" x14ac:dyDescent="0.4">
      <c r="A120" s="26">
        <v>44847</v>
      </c>
      <c r="B120" s="27" t="s">
        <v>47</v>
      </c>
      <c r="C120" s="27" t="s">
        <v>43</v>
      </c>
      <c r="D120" s="27" t="s">
        <v>49</v>
      </c>
      <c r="E120" s="27">
        <v>112</v>
      </c>
    </row>
    <row r="121" spans="1:5" x14ac:dyDescent="0.4">
      <c r="A121" s="26">
        <v>44847</v>
      </c>
      <c r="B121" s="27" t="s">
        <v>54</v>
      </c>
      <c r="C121" s="27" t="s">
        <v>53</v>
      </c>
      <c r="D121" s="27" t="s">
        <v>35</v>
      </c>
      <c r="E121" s="27">
        <v>34</v>
      </c>
    </row>
    <row r="122" spans="1:5" x14ac:dyDescent="0.4">
      <c r="A122" s="26">
        <v>44847</v>
      </c>
      <c r="B122" s="27" t="s">
        <v>36</v>
      </c>
      <c r="C122" s="27" t="s">
        <v>46</v>
      </c>
      <c r="D122" s="27" t="s">
        <v>49</v>
      </c>
      <c r="E122" s="27">
        <v>100</v>
      </c>
    </row>
    <row r="123" spans="1:5" x14ac:dyDescent="0.4">
      <c r="A123" s="26">
        <v>44847</v>
      </c>
      <c r="B123" s="27" t="s">
        <v>52</v>
      </c>
      <c r="C123" s="27" t="s">
        <v>40</v>
      </c>
      <c r="D123" s="27" t="s">
        <v>44</v>
      </c>
      <c r="E123" s="27">
        <v>39</v>
      </c>
    </row>
    <row r="124" spans="1:5" x14ac:dyDescent="0.4">
      <c r="A124" s="26">
        <v>44847</v>
      </c>
      <c r="B124" s="27" t="s">
        <v>52</v>
      </c>
      <c r="C124" s="27" t="s">
        <v>55</v>
      </c>
      <c r="D124" s="27" t="s">
        <v>34</v>
      </c>
      <c r="E124" s="27">
        <v>31</v>
      </c>
    </row>
    <row r="125" spans="1:5" x14ac:dyDescent="0.4">
      <c r="A125" s="26">
        <v>44847</v>
      </c>
      <c r="B125" s="27" t="s">
        <v>39</v>
      </c>
      <c r="C125" s="27" t="s">
        <v>57</v>
      </c>
      <c r="D125" s="27" t="s">
        <v>44</v>
      </c>
      <c r="E125" s="27">
        <v>29</v>
      </c>
    </row>
    <row r="126" spans="1:5" x14ac:dyDescent="0.4">
      <c r="A126" s="26">
        <v>44848</v>
      </c>
      <c r="B126" s="27" t="s">
        <v>25</v>
      </c>
      <c r="C126" s="27" t="s">
        <v>53</v>
      </c>
      <c r="D126" s="27" t="s">
        <v>34</v>
      </c>
      <c r="E126" s="27">
        <v>21</v>
      </c>
    </row>
    <row r="127" spans="1:5" x14ac:dyDescent="0.4">
      <c r="A127" s="26">
        <v>44848</v>
      </c>
      <c r="B127" s="27" t="s">
        <v>47</v>
      </c>
      <c r="C127" s="27" t="s">
        <v>37</v>
      </c>
      <c r="D127" s="27" t="s">
        <v>35</v>
      </c>
      <c r="E127" s="27">
        <v>35</v>
      </c>
    </row>
    <row r="128" spans="1:5" x14ac:dyDescent="0.4">
      <c r="A128" s="26">
        <v>44848</v>
      </c>
      <c r="B128" s="27" t="s">
        <v>47</v>
      </c>
      <c r="C128" s="27" t="s">
        <v>40</v>
      </c>
      <c r="D128" s="27" t="s">
        <v>41</v>
      </c>
      <c r="E128" s="27">
        <v>41</v>
      </c>
    </row>
    <row r="129" spans="1:5" x14ac:dyDescent="0.4">
      <c r="A129" s="26">
        <v>44848</v>
      </c>
      <c r="B129" s="27" t="s">
        <v>47</v>
      </c>
      <c r="C129" s="27" t="s">
        <v>55</v>
      </c>
      <c r="D129" s="27" t="s">
        <v>49</v>
      </c>
      <c r="E129" s="27">
        <v>84</v>
      </c>
    </row>
    <row r="130" spans="1:5" x14ac:dyDescent="0.4">
      <c r="A130" s="26">
        <v>44848</v>
      </c>
      <c r="B130" s="27" t="s">
        <v>32</v>
      </c>
      <c r="C130" s="27" t="s">
        <v>33</v>
      </c>
      <c r="D130" s="27" t="s">
        <v>35</v>
      </c>
      <c r="E130" s="27">
        <v>23</v>
      </c>
    </row>
    <row r="131" spans="1:5" x14ac:dyDescent="0.4">
      <c r="A131" s="26">
        <v>44848</v>
      </c>
      <c r="B131" s="27" t="s">
        <v>36</v>
      </c>
      <c r="C131" s="27" t="s">
        <v>48</v>
      </c>
      <c r="D131" s="27" t="s">
        <v>49</v>
      </c>
      <c r="E131" s="27">
        <v>95</v>
      </c>
    </row>
    <row r="132" spans="1:5" x14ac:dyDescent="0.4">
      <c r="A132" s="26">
        <v>44848</v>
      </c>
      <c r="B132" s="27" t="s">
        <v>52</v>
      </c>
      <c r="C132" s="27" t="s">
        <v>37</v>
      </c>
      <c r="D132" s="27" t="s">
        <v>49</v>
      </c>
      <c r="E132" s="27">
        <v>28</v>
      </c>
    </row>
    <row r="133" spans="1:5" x14ac:dyDescent="0.4">
      <c r="A133" s="26">
        <v>44848</v>
      </c>
      <c r="B133" s="27" t="s">
        <v>52</v>
      </c>
      <c r="C133" s="27" t="s">
        <v>30</v>
      </c>
      <c r="D133" s="27" t="s">
        <v>44</v>
      </c>
      <c r="E133" s="27">
        <v>14</v>
      </c>
    </row>
    <row r="134" spans="1:5" x14ac:dyDescent="0.4">
      <c r="A134" s="26">
        <v>44848</v>
      </c>
      <c r="B134" s="27" t="s">
        <v>39</v>
      </c>
      <c r="C134" s="27" t="s">
        <v>40</v>
      </c>
      <c r="D134" s="27" t="s">
        <v>34</v>
      </c>
      <c r="E134" s="27">
        <v>46</v>
      </c>
    </row>
    <row r="135" spans="1:5" x14ac:dyDescent="0.4">
      <c r="A135" s="26">
        <v>44848</v>
      </c>
      <c r="B135" s="27" t="s">
        <v>39</v>
      </c>
      <c r="C135" s="27" t="s">
        <v>51</v>
      </c>
      <c r="D135" s="27" t="s">
        <v>34</v>
      </c>
      <c r="E135" s="27">
        <v>35</v>
      </c>
    </row>
    <row r="136" spans="1:5" x14ac:dyDescent="0.4">
      <c r="A136" s="26">
        <v>44848</v>
      </c>
      <c r="B136" s="27" t="s">
        <v>39</v>
      </c>
      <c r="C136" s="27" t="s">
        <v>58</v>
      </c>
      <c r="D136" s="27" t="s">
        <v>49</v>
      </c>
      <c r="E136" s="27">
        <v>59</v>
      </c>
    </row>
    <row r="137" spans="1:5" x14ac:dyDescent="0.4">
      <c r="A137" s="26">
        <v>44848</v>
      </c>
      <c r="B137" s="27" t="s">
        <v>39</v>
      </c>
      <c r="C137" s="27" t="s">
        <v>40</v>
      </c>
      <c r="D137" s="27" t="s">
        <v>44</v>
      </c>
      <c r="E137" s="27">
        <v>34</v>
      </c>
    </row>
    <row r="138" spans="1:5" x14ac:dyDescent="0.4">
      <c r="A138" s="26">
        <v>44849</v>
      </c>
      <c r="B138" s="27" t="s">
        <v>47</v>
      </c>
      <c r="C138" s="27" t="s">
        <v>55</v>
      </c>
      <c r="D138" s="27" t="s">
        <v>49</v>
      </c>
      <c r="E138" s="27">
        <v>76</v>
      </c>
    </row>
    <row r="139" spans="1:5" x14ac:dyDescent="0.4">
      <c r="A139" s="26">
        <v>44849</v>
      </c>
      <c r="B139" s="27" t="s">
        <v>54</v>
      </c>
      <c r="C139" s="27" t="s">
        <v>33</v>
      </c>
      <c r="D139" s="27" t="s">
        <v>49</v>
      </c>
      <c r="E139" s="27">
        <v>59</v>
      </c>
    </row>
    <row r="140" spans="1:5" x14ac:dyDescent="0.4">
      <c r="A140" s="26">
        <v>44849</v>
      </c>
      <c r="B140" s="27" t="s">
        <v>54</v>
      </c>
      <c r="C140" s="27" t="s">
        <v>46</v>
      </c>
      <c r="D140" s="27" t="s">
        <v>34</v>
      </c>
      <c r="E140" s="27">
        <v>10</v>
      </c>
    </row>
    <row r="141" spans="1:5" x14ac:dyDescent="0.4">
      <c r="A141" s="26">
        <v>44849</v>
      </c>
      <c r="B141" s="27" t="s">
        <v>54</v>
      </c>
      <c r="C141" s="27" t="s">
        <v>33</v>
      </c>
      <c r="D141" s="27" t="s">
        <v>35</v>
      </c>
      <c r="E141" s="27">
        <v>34</v>
      </c>
    </row>
    <row r="142" spans="1:5" x14ac:dyDescent="0.4">
      <c r="A142" s="26">
        <v>44849</v>
      </c>
      <c r="B142" s="27" t="s">
        <v>36</v>
      </c>
      <c r="C142" s="27" t="s">
        <v>57</v>
      </c>
      <c r="D142" s="27" t="s">
        <v>35</v>
      </c>
      <c r="E142" s="27">
        <v>35</v>
      </c>
    </row>
    <row r="143" spans="1:5" x14ac:dyDescent="0.4">
      <c r="A143" s="26">
        <v>44849</v>
      </c>
      <c r="B143" s="27" t="s">
        <v>52</v>
      </c>
      <c r="C143" s="27" t="s">
        <v>43</v>
      </c>
      <c r="D143" s="27" t="s">
        <v>34</v>
      </c>
      <c r="E143" s="27">
        <v>28</v>
      </c>
    </row>
    <row r="144" spans="1:5" x14ac:dyDescent="0.4">
      <c r="A144" s="26">
        <v>44849</v>
      </c>
      <c r="B144" s="27" t="s">
        <v>52</v>
      </c>
      <c r="C144" s="27" t="s">
        <v>51</v>
      </c>
      <c r="D144" s="27" t="s">
        <v>34</v>
      </c>
      <c r="E144" s="27">
        <v>18</v>
      </c>
    </row>
    <row r="145" spans="1:5" x14ac:dyDescent="0.4">
      <c r="A145" s="26">
        <v>44849</v>
      </c>
      <c r="B145" s="27" t="s">
        <v>39</v>
      </c>
      <c r="C145" s="27" t="s">
        <v>40</v>
      </c>
      <c r="D145" s="27" t="s">
        <v>35</v>
      </c>
      <c r="E145" s="27">
        <v>30</v>
      </c>
    </row>
    <row r="146" spans="1:5" x14ac:dyDescent="0.4">
      <c r="A146" s="26">
        <v>44849</v>
      </c>
      <c r="B146" s="27" t="s">
        <v>39</v>
      </c>
      <c r="C146" s="27" t="s">
        <v>48</v>
      </c>
      <c r="D146" s="27" t="s">
        <v>49</v>
      </c>
      <c r="E146" s="27">
        <v>42</v>
      </c>
    </row>
    <row r="147" spans="1:5" x14ac:dyDescent="0.4">
      <c r="A147" s="26">
        <v>44851</v>
      </c>
      <c r="B147" s="27" t="s">
        <v>47</v>
      </c>
      <c r="C147" s="27" t="s">
        <v>48</v>
      </c>
      <c r="D147" s="27" t="s">
        <v>49</v>
      </c>
      <c r="E147" s="27">
        <v>59</v>
      </c>
    </row>
    <row r="148" spans="1:5" x14ac:dyDescent="0.4">
      <c r="A148" s="26">
        <v>44878</v>
      </c>
      <c r="B148" s="27" t="s">
        <v>54</v>
      </c>
      <c r="C148" s="27" t="s">
        <v>37</v>
      </c>
      <c r="D148" s="27" t="s">
        <v>35</v>
      </c>
      <c r="E148" s="27">
        <v>23</v>
      </c>
    </row>
    <row r="149" spans="1:5" x14ac:dyDescent="0.4">
      <c r="A149" s="26">
        <v>44878</v>
      </c>
      <c r="B149" s="27" t="s">
        <v>32</v>
      </c>
      <c r="C149" s="27" t="s">
        <v>30</v>
      </c>
      <c r="D149" s="27" t="s">
        <v>34</v>
      </c>
      <c r="E149" s="27">
        <v>16</v>
      </c>
    </row>
    <row r="150" spans="1:5" x14ac:dyDescent="0.4">
      <c r="A150" s="26">
        <v>44879</v>
      </c>
      <c r="B150" s="27" t="s">
        <v>25</v>
      </c>
      <c r="C150" s="27" t="s">
        <v>57</v>
      </c>
      <c r="D150" s="27" t="s">
        <v>34</v>
      </c>
      <c r="E150" s="27">
        <v>56</v>
      </c>
    </row>
    <row r="151" spans="1:5" x14ac:dyDescent="0.4">
      <c r="A151" s="26">
        <v>44879</v>
      </c>
      <c r="B151" s="27" t="s">
        <v>47</v>
      </c>
      <c r="C151" s="27" t="s">
        <v>51</v>
      </c>
      <c r="D151" s="27" t="s">
        <v>34</v>
      </c>
      <c r="E151" s="27">
        <v>66</v>
      </c>
    </row>
    <row r="152" spans="1:5" x14ac:dyDescent="0.4">
      <c r="A152" s="26">
        <v>44879</v>
      </c>
      <c r="B152" s="27" t="s">
        <v>32</v>
      </c>
      <c r="C152" s="27" t="s">
        <v>33</v>
      </c>
      <c r="D152" s="27" t="s">
        <v>34</v>
      </c>
      <c r="E152" s="27">
        <v>19</v>
      </c>
    </row>
    <row r="153" spans="1:5" x14ac:dyDescent="0.4">
      <c r="A153" s="26">
        <v>44879</v>
      </c>
      <c r="B153" s="27" t="s">
        <v>52</v>
      </c>
      <c r="C153" s="27" t="s">
        <v>53</v>
      </c>
      <c r="D153" s="27" t="s">
        <v>49</v>
      </c>
      <c r="E153" s="27">
        <v>118</v>
      </c>
    </row>
    <row r="154" spans="1:5" x14ac:dyDescent="0.4">
      <c r="A154" s="26">
        <v>44879</v>
      </c>
      <c r="B154" s="27" t="s">
        <v>39</v>
      </c>
      <c r="C154" s="27" t="s">
        <v>48</v>
      </c>
      <c r="D154" s="27" t="s">
        <v>35</v>
      </c>
      <c r="E154" s="27">
        <v>30</v>
      </c>
    </row>
    <row r="155" spans="1:5" x14ac:dyDescent="0.4">
      <c r="A155" s="26">
        <v>44880</v>
      </c>
      <c r="B155" s="27" t="s">
        <v>47</v>
      </c>
      <c r="C155" s="27" t="s">
        <v>51</v>
      </c>
      <c r="D155" s="27" t="s">
        <v>35</v>
      </c>
      <c r="E155" s="27">
        <v>21</v>
      </c>
    </row>
    <row r="156" spans="1:5" x14ac:dyDescent="0.4">
      <c r="A156" s="26">
        <v>44880</v>
      </c>
      <c r="B156" s="27" t="s">
        <v>32</v>
      </c>
      <c r="C156" s="27" t="s">
        <v>40</v>
      </c>
      <c r="D156" s="27" t="s">
        <v>49</v>
      </c>
      <c r="E156" s="27">
        <v>65</v>
      </c>
    </row>
    <row r="157" spans="1:5" x14ac:dyDescent="0.4">
      <c r="A157" s="26">
        <v>44880</v>
      </c>
      <c r="B157" s="27" t="s">
        <v>32</v>
      </c>
      <c r="C157" s="27" t="s">
        <v>55</v>
      </c>
      <c r="D157" s="27" t="s">
        <v>49</v>
      </c>
      <c r="E157" s="27">
        <v>86</v>
      </c>
    </row>
    <row r="158" spans="1:5" x14ac:dyDescent="0.4">
      <c r="A158" s="26">
        <v>44880</v>
      </c>
      <c r="B158" s="27" t="s">
        <v>52</v>
      </c>
      <c r="C158" s="27" t="s">
        <v>48</v>
      </c>
      <c r="D158" s="27" t="s">
        <v>49</v>
      </c>
      <c r="E158" s="27">
        <v>42</v>
      </c>
    </row>
    <row r="159" spans="1:5" x14ac:dyDescent="0.4">
      <c r="A159" s="26">
        <v>44881</v>
      </c>
      <c r="B159" s="27" t="s">
        <v>47</v>
      </c>
      <c r="C159" s="27" t="s">
        <v>58</v>
      </c>
      <c r="D159" s="27" t="s">
        <v>41</v>
      </c>
      <c r="E159" s="27">
        <v>26</v>
      </c>
    </row>
    <row r="160" spans="1:5" x14ac:dyDescent="0.4">
      <c r="A160" s="26">
        <v>44881</v>
      </c>
      <c r="B160" s="27" t="s">
        <v>47</v>
      </c>
      <c r="C160" s="27" t="s">
        <v>46</v>
      </c>
      <c r="D160" s="27" t="s">
        <v>44</v>
      </c>
      <c r="E160" s="27">
        <v>38</v>
      </c>
    </row>
    <row r="161" spans="1:5" x14ac:dyDescent="0.4">
      <c r="A161" s="26">
        <v>44881</v>
      </c>
      <c r="B161" s="27" t="s">
        <v>54</v>
      </c>
      <c r="C161" s="27" t="s">
        <v>37</v>
      </c>
      <c r="D161" s="27" t="s">
        <v>34</v>
      </c>
      <c r="E161" s="27">
        <v>69</v>
      </c>
    </row>
    <row r="162" spans="1:5" x14ac:dyDescent="0.4">
      <c r="A162" s="26">
        <v>44881</v>
      </c>
      <c r="B162" s="27" t="s">
        <v>54</v>
      </c>
      <c r="C162" s="27" t="s">
        <v>30</v>
      </c>
      <c r="D162" s="27" t="s">
        <v>35</v>
      </c>
      <c r="E162" s="27">
        <v>39</v>
      </c>
    </row>
    <row r="163" spans="1:5" x14ac:dyDescent="0.4">
      <c r="A163" s="26">
        <v>44881</v>
      </c>
      <c r="B163" s="27" t="s">
        <v>39</v>
      </c>
      <c r="C163" s="27" t="s">
        <v>33</v>
      </c>
      <c r="D163" s="27" t="s">
        <v>34</v>
      </c>
      <c r="E163" s="27">
        <v>69</v>
      </c>
    </row>
    <row r="164" spans="1:5" x14ac:dyDescent="0.4">
      <c r="A164" s="26">
        <v>44881</v>
      </c>
      <c r="B164" s="27" t="s">
        <v>39</v>
      </c>
      <c r="C164" s="27" t="s">
        <v>40</v>
      </c>
      <c r="D164" s="27" t="s">
        <v>35</v>
      </c>
      <c r="E164" s="27">
        <v>21</v>
      </c>
    </row>
    <row r="165" spans="1:5" x14ac:dyDescent="0.4">
      <c r="A165" s="26">
        <v>44881</v>
      </c>
      <c r="B165" s="27" t="s">
        <v>39</v>
      </c>
      <c r="C165" s="27" t="s">
        <v>57</v>
      </c>
      <c r="D165" s="27" t="s">
        <v>41</v>
      </c>
      <c r="E165" s="27">
        <v>13</v>
      </c>
    </row>
    <row r="166" spans="1:5" x14ac:dyDescent="0.4">
      <c r="A166" s="26">
        <v>44882</v>
      </c>
      <c r="B166" s="27" t="s">
        <v>47</v>
      </c>
      <c r="C166" s="27" t="s">
        <v>46</v>
      </c>
      <c r="D166" s="27" t="s">
        <v>35</v>
      </c>
      <c r="E166" s="27">
        <v>35</v>
      </c>
    </row>
    <row r="167" spans="1:5" x14ac:dyDescent="0.4">
      <c r="A167" s="26">
        <v>44882</v>
      </c>
      <c r="B167" s="27" t="s">
        <v>47</v>
      </c>
      <c r="C167" s="27" t="s">
        <v>55</v>
      </c>
      <c r="D167" s="27" t="s">
        <v>44</v>
      </c>
      <c r="E167" s="27">
        <v>31</v>
      </c>
    </row>
    <row r="168" spans="1:5" x14ac:dyDescent="0.4">
      <c r="A168" s="26">
        <v>44882</v>
      </c>
      <c r="B168" s="27" t="s">
        <v>52</v>
      </c>
      <c r="C168" s="27" t="s">
        <v>43</v>
      </c>
      <c r="D168" s="27" t="s">
        <v>44</v>
      </c>
      <c r="E168" s="27">
        <v>32</v>
      </c>
    </row>
    <row r="169" spans="1:5" x14ac:dyDescent="0.4">
      <c r="A169" s="26">
        <v>44882</v>
      </c>
      <c r="B169" s="27" t="s">
        <v>39</v>
      </c>
      <c r="C169" s="27" t="s">
        <v>48</v>
      </c>
      <c r="D169" s="27" t="s">
        <v>49</v>
      </c>
      <c r="E169" s="27">
        <v>81</v>
      </c>
    </row>
    <row r="170" spans="1:5" x14ac:dyDescent="0.4">
      <c r="A170" s="26">
        <v>44883</v>
      </c>
      <c r="B170" s="27" t="s">
        <v>47</v>
      </c>
      <c r="C170" s="27" t="s">
        <v>56</v>
      </c>
      <c r="D170" s="27" t="s">
        <v>49</v>
      </c>
      <c r="E170" s="27">
        <v>103</v>
      </c>
    </row>
    <row r="171" spans="1:5" x14ac:dyDescent="0.4">
      <c r="A171" s="26">
        <v>44883</v>
      </c>
      <c r="B171" s="27" t="s">
        <v>32</v>
      </c>
      <c r="C171" s="27" t="s">
        <v>37</v>
      </c>
      <c r="D171" s="27" t="s">
        <v>34</v>
      </c>
      <c r="E171" s="27">
        <v>10</v>
      </c>
    </row>
    <row r="172" spans="1:5" x14ac:dyDescent="0.4">
      <c r="A172" s="26">
        <v>44883</v>
      </c>
      <c r="B172" s="27" t="s">
        <v>52</v>
      </c>
      <c r="C172" s="27" t="s">
        <v>30</v>
      </c>
      <c r="D172" s="27" t="s">
        <v>35</v>
      </c>
      <c r="E172" s="27">
        <v>38</v>
      </c>
    </row>
    <row r="173" spans="1:5" x14ac:dyDescent="0.4">
      <c r="A173" s="26">
        <v>44883</v>
      </c>
      <c r="B173" s="27" t="s">
        <v>52</v>
      </c>
      <c r="C173" s="27" t="s">
        <v>33</v>
      </c>
      <c r="D173" s="27" t="s">
        <v>35</v>
      </c>
      <c r="E173" s="27">
        <v>21</v>
      </c>
    </row>
    <row r="174" spans="1:5" x14ac:dyDescent="0.4">
      <c r="A174" s="26">
        <v>44883</v>
      </c>
      <c r="B174" s="27" t="s">
        <v>39</v>
      </c>
      <c r="C174" s="27" t="s">
        <v>40</v>
      </c>
      <c r="D174" s="27" t="s">
        <v>34</v>
      </c>
      <c r="E174" s="27">
        <v>19</v>
      </c>
    </row>
    <row r="175" spans="1:5" x14ac:dyDescent="0.4">
      <c r="A175" s="26">
        <v>44884</v>
      </c>
      <c r="B175" s="27" t="s">
        <v>25</v>
      </c>
      <c r="C175" s="27" t="s">
        <v>48</v>
      </c>
      <c r="D175" s="27" t="s">
        <v>34</v>
      </c>
      <c r="E175" s="27">
        <v>50</v>
      </c>
    </row>
    <row r="176" spans="1:5" x14ac:dyDescent="0.4">
      <c r="A176" s="26">
        <v>44884</v>
      </c>
      <c r="B176" s="27" t="s">
        <v>54</v>
      </c>
      <c r="C176" s="27" t="s">
        <v>53</v>
      </c>
      <c r="D176" s="27" t="s">
        <v>34</v>
      </c>
      <c r="E176" s="27">
        <v>19</v>
      </c>
    </row>
    <row r="177" spans="1:5" x14ac:dyDescent="0.4">
      <c r="A177" s="26">
        <v>44884</v>
      </c>
      <c r="B177" s="27" t="s">
        <v>32</v>
      </c>
      <c r="C177" s="27" t="s">
        <v>55</v>
      </c>
      <c r="D177" s="27" t="s">
        <v>49</v>
      </c>
      <c r="E177" s="27">
        <v>117</v>
      </c>
    </row>
    <row r="178" spans="1:5" x14ac:dyDescent="0.4">
      <c r="A178" s="26">
        <v>44884</v>
      </c>
      <c r="B178" s="27" t="s">
        <v>32</v>
      </c>
      <c r="C178" s="27" t="s">
        <v>51</v>
      </c>
      <c r="D178" s="27" t="s">
        <v>49</v>
      </c>
      <c r="E178" s="27">
        <v>506</v>
      </c>
    </row>
    <row r="179" spans="1:5" x14ac:dyDescent="0.4">
      <c r="A179" s="26">
        <v>44884</v>
      </c>
      <c r="B179" s="27" t="s">
        <v>39</v>
      </c>
      <c r="C179" s="27" t="s">
        <v>37</v>
      </c>
      <c r="D179" s="27" t="s">
        <v>49</v>
      </c>
      <c r="E179" s="27">
        <v>448</v>
      </c>
    </row>
    <row r="180" spans="1:5" x14ac:dyDescent="0.4">
      <c r="A180" s="26">
        <v>44885</v>
      </c>
      <c r="B180" s="27" t="s">
        <v>47</v>
      </c>
      <c r="C180" s="27" t="s">
        <v>46</v>
      </c>
      <c r="D180" s="27" t="s">
        <v>35</v>
      </c>
      <c r="E180" s="27">
        <v>13</v>
      </c>
    </row>
    <row r="181" spans="1:5" x14ac:dyDescent="0.4">
      <c r="A181" s="26">
        <v>44885</v>
      </c>
      <c r="B181" s="27" t="s">
        <v>47</v>
      </c>
      <c r="C181" s="27" t="s">
        <v>53</v>
      </c>
      <c r="D181" s="27" t="s">
        <v>44</v>
      </c>
      <c r="E181" s="27">
        <v>25</v>
      </c>
    </row>
    <row r="182" spans="1:5" x14ac:dyDescent="0.4">
      <c r="A182" s="26">
        <v>44885</v>
      </c>
      <c r="B182" s="27" t="s">
        <v>54</v>
      </c>
      <c r="C182" s="27" t="s">
        <v>58</v>
      </c>
      <c r="D182" s="27" t="s">
        <v>49</v>
      </c>
      <c r="E182" s="27">
        <v>67</v>
      </c>
    </row>
    <row r="183" spans="1:5" x14ac:dyDescent="0.4">
      <c r="A183" s="26">
        <v>44885</v>
      </c>
      <c r="B183" s="27" t="s">
        <v>52</v>
      </c>
      <c r="C183" s="27" t="s">
        <v>40</v>
      </c>
      <c r="D183" s="27" t="s">
        <v>41</v>
      </c>
      <c r="E183" s="27">
        <v>33</v>
      </c>
    </row>
    <row r="184" spans="1:5" x14ac:dyDescent="0.4">
      <c r="A184" s="26">
        <v>44885</v>
      </c>
      <c r="B184" s="27" t="s">
        <v>52</v>
      </c>
      <c r="C184" s="27" t="s">
        <v>57</v>
      </c>
      <c r="D184" s="27" t="s">
        <v>35</v>
      </c>
      <c r="E184" s="27">
        <v>26</v>
      </c>
    </row>
    <row r="185" spans="1:5" x14ac:dyDescent="0.4">
      <c r="A185" s="26">
        <v>44885</v>
      </c>
      <c r="B185" s="27" t="s">
        <v>39</v>
      </c>
      <c r="C185" s="27" t="s">
        <v>30</v>
      </c>
      <c r="D185" s="27" t="s">
        <v>34</v>
      </c>
      <c r="E185" s="27">
        <v>18</v>
      </c>
    </row>
    <row r="186" spans="1:5" x14ac:dyDescent="0.4">
      <c r="A186" s="26">
        <v>44886</v>
      </c>
      <c r="B186" s="27" t="s">
        <v>47</v>
      </c>
      <c r="C186" s="27" t="s">
        <v>48</v>
      </c>
      <c r="D186" s="27" t="s">
        <v>35</v>
      </c>
      <c r="E186" s="27">
        <v>24</v>
      </c>
    </row>
    <row r="187" spans="1:5" x14ac:dyDescent="0.4">
      <c r="A187" s="26">
        <v>44886</v>
      </c>
      <c r="B187" s="27" t="s">
        <v>54</v>
      </c>
      <c r="C187" s="27" t="s">
        <v>43</v>
      </c>
      <c r="D187" s="27" t="s">
        <v>34</v>
      </c>
      <c r="E187" s="27">
        <v>12</v>
      </c>
    </row>
    <row r="188" spans="1:5" x14ac:dyDescent="0.4">
      <c r="A188" s="26">
        <v>44886</v>
      </c>
      <c r="B188" s="27" t="s">
        <v>54</v>
      </c>
      <c r="C188" s="27" t="s">
        <v>56</v>
      </c>
      <c r="D188" s="27" t="s">
        <v>44</v>
      </c>
      <c r="E188" s="27">
        <v>10</v>
      </c>
    </row>
    <row r="189" spans="1:5" x14ac:dyDescent="0.4">
      <c r="A189" s="26">
        <v>44886</v>
      </c>
      <c r="B189" s="27" t="s">
        <v>54</v>
      </c>
      <c r="C189" s="27" t="s">
        <v>37</v>
      </c>
      <c r="D189" s="27" t="s">
        <v>35</v>
      </c>
      <c r="E189" s="27">
        <v>13</v>
      </c>
    </row>
    <row r="190" spans="1:5" x14ac:dyDescent="0.4">
      <c r="A190" s="26">
        <v>44886</v>
      </c>
      <c r="B190" s="27" t="s">
        <v>52</v>
      </c>
      <c r="C190" s="27" t="s">
        <v>51</v>
      </c>
      <c r="D190" s="27" t="s">
        <v>41</v>
      </c>
      <c r="E190" s="27">
        <v>24</v>
      </c>
    </row>
    <row r="191" spans="1:5" x14ac:dyDescent="0.4">
      <c r="A191" s="26">
        <v>44887</v>
      </c>
      <c r="B191" s="27" t="s">
        <v>52</v>
      </c>
      <c r="C191" s="27" t="s">
        <v>30</v>
      </c>
      <c r="D191" s="27" t="s">
        <v>44</v>
      </c>
      <c r="E191" s="27">
        <v>47</v>
      </c>
    </row>
    <row r="192" spans="1:5" x14ac:dyDescent="0.4">
      <c r="A192" s="26">
        <v>44887</v>
      </c>
      <c r="B192" s="27" t="s">
        <v>39</v>
      </c>
      <c r="C192" s="27" t="s">
        <v>33</v>
      </c>
      <c r="D192" s="27" t="s">
        <v>49</v>
      </c>
      <c r="E192" s="27">
        <v>120</v>
      </c>
    </row>
    <row r="193" spans="1:5" x14ac:dyDescent="0.4">
      <c r="A193" s="26">
        <v>44891</v>
      </c>
      <c r="B193" s="27" t="s">
        <v>47</v>
      </c>
      <c r="C193" s="27" t="s">
        <v>57</v>
      </c>
      <c r="D193" s="27" t="s">
        <v>35</v>
      </c>
      <c r="E193" s="27">
        <v>25</v>
      </c>
    </row>
    <row r="194" spans="1:5" x14ac:dyDescent="0.4">
      <c r="A194" s="26">
        <v>44891</v>
      </c>
      <c r="B194" s="27" t="s">
        <v>54</v>
      </c>
      <c r="C194" s="27" t="s">
        <v>48</v>
      </c>
      <c r="D194" s="27" t="s">
        <v>44</v>
      </c>
      <c r="E194" s="27">
        <v>26</v>
      </c>
    </row>
    <row r="195" spans="1:5" x14ac:dyDescent="0.4">
      <c r="A195" s="26">
        <v>44891</v>
      </c>
      <c r="B195" s="27" t="s">
        <v>32</v>
      </c>
      <c r="C195" s="27" t="s">
        <v>30</v>
      </c>
      <c r="D195" s="27" t="s">
        <v>34</v>
      </c>
      <c r="E195" s="27">
        <v>35</v>
      </c>
    </row>
    <row r="196" spans="1:5" x14ac:dyDescent="0.4">
      <c r="A196" s="26">
        <v>44891</v>
      </c>
      <c r="B196" s="27" t="s">
        <v>52</v>
      </c>
      <c r="C196" s="27" t="s">
        <v>33</v>
      </c>
      <c r="D196" s="27" t="s">
        <v>35</v>
      </c>
      <c r="E196" s="27">
        <v>20</v>
      </c>
    </row>
    <row r="197" spans="1:5" x14ac:dyDescent="0.4">
      <c r="A197" s="26">
        <v>44891</v>
      </c>
      <c r="B197" s="27" t="s">
        <v>39</v>
      </c>
      <c r="C197" s="27" t="s">
        <v>37</v>
      </c>
      <c r="D197" s="27" t="s">
        <v>49</v>
      </c>
      <c r="E197" s="27">
        <v>61</v>
      </c>
    </row>
    <row r="198" spans="1:5" x14ac:dyDescent="0.4">
      <c r="A198" s="26">
        <v>44891</v>
      </c>
      <c r="B198" s="27" t="s">
        <v>39</v>
      </c>
      <c r="C198" s="27" t="s">
        <v>58</v>
      </c>
      <c r="D198" s="27" t="s">
        <v>49</v>
      </c>
      <c r="E198" s="27">
        <v>47</v>
      </c>
    </row>
    <row r="199" spans="1:5" x14ac:dyDescent="0.4">
      <c r="A199" s="26">
        <v>44892</v>
      </c>
      <c r="B199" s="27" t="s">
        <v>25</v>
      </c>
      <c r="C199" s="27" t="s">
        <v>48</v>
      </c>
      <c r="D199" s="27" t="s">
        <v>34</v>
      </c>
      <c r="E199" s="27">
        <v>48</v>
      </c>
    </row>
    <row r="200" spans="1:5" x14ac:dyDescent="0.4">
      <c r="A200" s="26">
        <v>44892</v>
      </c>
      <c r="B200" s="27" t="s">
        <v>25</v>
      </c>
      <c r="C200" s="27" t="s">
        <v>51</v>
      </c>
      <c r="D200" s="27" t="s">
        <v>49</v>
      </c>
      <c r="E200" s="27">
        <v>98</v>
      </c>
    </row>
    <row r="201" spans="1:5" x14ac:dyDescent="0.4">
      <c r="A201" s="26">
        <v>44892</v>
      </c>
      <c r="B201" s="27" t="s">
        <v>47</v>
      </c>
      <c r="C201" s="27" t="s">
        <v>55</v>
      </c>
      <c r="D201" s="27" t="s">
        <v>41</v>
      </c>
      <c r="E201" s="27">
        <v>31</v>
      </c>
    </row>
    <row r="202" spans="1:5" x14ac:dyDescent="0.4">
      <c r="A202" s="26">
        <v>44892</v>
      </c>
      <c r="B202" s="27" t="s">
        <v>32</v>
      </c>
      <c r="C202" s="27" t="s">
        <v>43</v>
      </c>
      <c r="D202" s="27" t="s">
        <v>34</v>
      </c>
      <c r="E202" s="27">
        <v>66</v>
      </c>
    </row>
    <row r="203" spans="1:5" x14ac:dyDescent="0.4">
      <c r="A203" s="26">
        <v>44892</v>
      </c>
      <c r="B203" s="27" t="s">
        <v>32</v>
      </c>
      <c r="C203" s="27" t="s">
        <v>46</v>
      </c>
      <c r="D203" s="27" t="s">
        <v>34</v>
      </c>
      <c r="E203" s="27">
        <v>56</v>
      </c>
    </row>
    <row r="204" spans="1:5" x14ac:dyDescent="0.4">
      <c r="A204" s="26">
        <v>44892</v>
      </c>
      <c r="B204" s="27" t="s">
        <v>52</v>
      </c>
      <c r="C204" s="27" t="s">
        <v>55</v>
      </c>
      <c r="D204" s="27" t="s">
        <v>49</v>
      </c>
      <c r="E204" s="27">
        <v>123</v>
      </c>
    </row>
    <row r="205" spans="1:5" x14ac:dyDescent="0.4">
      <c r="A205" s="26">
        <v>44892</v>
      </c>
      <c r="B205" s="27" t="s">
        <v>52</v>
      </c>
      <c r="C205" s="27" t="s">
        <v>37</v>
      </c>
      <c r="D205" s="27" t="s">
        <v>49</v>
      </c>
      <c r="E205" s="27">
        <v>112</v>
      </c>
    </row>
    <row r="206" spans="1:5" x14ac:dyDescent="0.4">
      <c r="A206" s="26">
        <v>44892</v>
      </c>
      <c r="B206" s="27" t="s">
        <v>52</v>
      </c>
      <c r="C206" s="27" t="s">
        <v>40</v>
      </c>
      <c r="D206" s="27" t="s">
        <v>34</v>
      </c>
      <c r="E206" s="27">
        <v>28</v>
      </c>
    </row>
    <row r="207" spans="1:5" x14ac:dyDescent="0.4">
      <c r="A207" s="26">
        <v>44892</v>
      </c>
      <c r="B207" s="27" t="s">
        <v>39</v>
      </c>
      <c r="C207" s="27" t="s">
        <v>56</v>
      </c>
      <c r="D207" s="27" t="s">
        <v>49</v>
      </c>
      <c r="E207" s="27">
        <v>28</v>
      </c>
    </row>
    <row r="208" spans="1:5" x14ac:dyDescent="0.4">
      <c r="A208" s="26">
        <v>44892</v>
      </c>
      <c r="B208" s="27" t="s">
        <v>39</v>
      </c>
      <c r="C208" s="27" t="s">
        <v>33</v>
      </c>
      <c r="D208" s="27" t="s">
        <v>35</v>
      </c>
      <c r="E208" s="27">
        <v>27</v>
      </c>
    </row>
    <row r="209" spans="1:5" x14ac:dyDescent="0.4">
      <c r="A209" s="26">
        <v>44893</v>
      </c>
      <c r="B209" s="27" t="s">
        <v>25</v>
      </c>
      <c r="C209" s="27" t="s">
        <v>56</v>
      </c>
      <c r="D209" s="27" t="s">
        <v>41</v>
      </c>
      <c r="E209" s="27">
        <v>48</v>
      </c>
    </row>
    <row r="210" spans="1:5" x14ac:dyDescent="0.4">
      <c r="A210" s="26">
        <v>44893</v>
      </c>
      <c r="B210" s="27" t="s">
        <v>47</v>
      </c>
      <c r="C210" s="27" t="s">
        <v>37</v>
      </c>
      <c r="D210" s="27" t="s">
        <v>35</v>
      </c>
      <c r="E210" s="27">
        <v>28</v>
      </c>
    </row>
    <row r="211" spans="1:5" x14ac:dyDescent="0.4">
      <c r="A211" s="26">
        <v>44893</v>
      </c>
      <c r="B211" s="27" t="s">
        <v>54</v>
      </c>
      <c r="C211" s="27" t="s">
        <v>51</v>
      </c>
      <c r="D211" s="27" t="s">
        <v>44</v>
      </c>
      <c r="E211" s="27">
        <v>21</v>
      </c>
    </row>
    <row r="212" spans="1:5" x14ac:dyDescent="0.4">
      <c r="A212" s="26">
        <v>44893</v>
      </c>
      <c r="B212" s="27" t="s">
        <v>32</v>
      </c>
      <c r="C212" s="27" t="s">
        <v>58</v>
      </c>
      <c r="D212" s="27" t="s">
        <v>34</v>
      </c>
      <c r="E212" s="27">
        <v>69</v>
      </c>
    </row>
    <row r="213" spans="1:5" x14ac:dyDescent="0.4">
      <c r="A213" s="26">
        <v>44893</v>
      </c>
      <c r="B213" s="27" t="s">
        <v>52</v>
      </c>
      <c r="C213" s="27" t="s">
        <v>46</v>
      </c>
      <c r="D213" s="27" t="s">
        <v>35</v>
      </c>
      <c r="E213" s="27">
        <v>50</v>
      </c>
    </row>
    <row r="214" spans="1:5" x14ac:dyDescent="0.4">
      <c r="A214" s="26">
        <v>44893</v>
      </c>
      <c r="B214" s="27" t="s">
        <v>52</v>
      </c>
      <c r="C214" s="27" t="s">
        <v>40</v>
      </c>
      <c r="D214" s="27" t="s">
        <v>35</v>
      </c>
      <c r="E214" s="27">
        <v>16</v>
      </c>
    </row>
    <row r="215" spans="1:5" x14ac:dyDescent="0.4">
      <c r="A215" s="26">
        <v>44893</v>
      </c>
      <c r="B215" s="27" t="s">
        <v>52</v>
      </c>
      <c r="C215" s="27" t="s">
        <v>57</v>
      </c>
      <c r="D215" s="27" t="s">
        <v>44</v>
      </c>
      <c r="E215" s="27">
        <v>24</v>
      </c>
    </row>
    <row r="216" spans="1:5" x14ac:dyDescent="0.4">
      <c r="A216" s="26">
        <v>44893</v>
      </c>
      <c r="B216" s="27" t="s">
        <v>39</v>
      </c>
      <c r="C216" s="27" t="s">
        <v>33</v>
      </c>
      <c r="D216" s="27" t="s">
        <v>44</v>
      </c>
      <c r="E216" s="27">
        <v>40</v>
      </c>
    </row>
    <row r="217" spans="1:5" x14ac:dyDescent="0.4">
      <c r="A217" s="26">
        <v>44894</v>
      </c>
      <c r="B217" s="27" t="s">
        <v>25</v>
      </c>
      <c r="C217" s="27" t="s">
        <v>46</v>
      </c>
      <c r="D217" s="27" t="s">
        <v>49</v>
      </c>
      <c r="E217" s="27">
        <v>86</v>
      </c>
    </row>
    <row r="218" spans="1:5" x14ac:dyDescent="0.4">
      <c r="A218" s="26">
        <v>44894</v>
      </c>
      <c r="B218" s="27" t="s">
        <v>47</v>
      </c>
      <c r="C218" s="27" t="s">
        <v>48</v>
      </c>
      <c r="D218" s="27" t="s">
        <v>35</v>
      </c>
      <c r="E218" s="27">
        <v>21</v>
      </c>
    </row>
    <row r="219" spans="1:5" x14ac:dyDescent="0.4">
      <c r="A219" s="26">
        <v>44894</v>
      </c>
      <c r="B219" s="27" t="s">
        <v>47</v>
      </c>
      <c r="C219" s="27" t="s">
        <v>37</v>
      </c>
      <c r="D219" s="27" t="s">
        <v>34</v>
      </c>
      <c r="E219" s="27">
        <v>45</v>
      </c>
    </row>
    <row r="220" spans="1:5" x14ac:dyDescent="0.4">
      <c r="A220" s="26">
        <v>44894</v>
      </c>
      <c r="B220" s="27" t="s">
        <v>54</v>
      </c>
      <c r="C220" s="27" t="s">
        <v>55</v>
      </c>
      <c r="D220" s="27" t="s">
        <v>34</v>
      </c>
      <c r="E220" s="27">
        <v>15</v>
      </c>
    </row>
    <row r="221" spans="1:5" x14ac:dyDescent="0.4">
      <c r="A221" s="26">
        <v>44894</v>
      </c>
      <c r="B221" s="27" t="s">
        <v>36</v>
      </c>
      <c r="C221" s="27" t="s">
        <v>40</v>
      </c>
      <c r="D221" s="27" t="s">
        <v>49</v>
      </c>
      <c r="E221" s="27">
        <v>86</v>
      </c>
    </row>
    <row r="222" spans="1:5" x14ac:dyDescent="0.4">
      <c r="A222" s="26">
        <v>44894</v>
      </c>
      <c r="B222" s="27" t="s">
        <v>52</v>
      </c>
      <c r="C222" s="27" t="s">
        <v>43</v>
      </c>
      <c r="D222" s="27" t="s">
        <v>49</v>
      </c>
      <c r="E222" s="27">
        <v>50</v>
      </c>
    </row>
    <row r="223" spans="1:5" x14ac:dyDescent="0.4">
      <c r="A223" s="26">
        <v>44894</v>
      </c>
      <c r="B223" s="27" t="s">
        <v>52</v>
      </c>
      <c r="C223" s="27" t="s">
        <v>33</v>
      </c>
      <c r="D223" s="27" t="s">
        <v>34</v>
      </c>
      <c r="E223" s="27">
        <v>68</v>
      </c>
    </row>
    <row r="224" spans="1:5" x14ac:dyDescent="0.4">
      <c r="A224" s="26">
        <v>44894</v>
      </c>
      <c r="B224" s="27" t="s">
        <v>52</v>
      </c>
      <c r="C224" s="27" t="s">
        <v>53</v>
      </c>
      <c r="D224" s="27" t="s">
        <v>34</v>
      </c>
      <c r="E224" s="27">
        <v>56</v>
      </c>
    </row>
    <row r="225" spans="1:5" x14ac:dyDescent="0.4">
      <c r="A225" s="26">
        <v>44894</v>
      </c>
      <c r="B225" s="27" t="s">
        <v>39</v>
      </c>
      <c r="C225" s="27" t="s">
        <v>56</v>
      </c>
      <c r="D225" s="27" t="s">
        <v>35</v>
      </c>
      <c r="E225" s="27">
        <v>35</v>
      </c>
    </row>
    <row r="226" spans="1:5" x14ac:dyDescent="0.4">
      <c r="A226" s="26">
        <v>44895</v>
      </c>
      <c r="B226" s="27" t="s">
        <v>25</v>
      </c>
      <c r="C226" s="27" t="s">
        <v>46</v>
      </c>
      <c r="D226" s="27" t="s">
        <v>34</v>
      </c>
      <c r="E226" s="27">
        <v>14</v>
      </c>
    </row>
    <row r="227" spans="1:5" x14ac:dyDescent="0.4">
      <c r="A227" s="26">
        <v>44895</v>
      </c>
      <c r="B227" s="27" t="s">
        <v>47</v>
      </c>
      <c r="C227" s="27" t="s">
        <v>33</v>
      </c>
      <c r="D227" s="27" t="s">
        <v>41</v>
      </c>
      <c r="E227" s="27">
        <v>23</v>
      </c>
    </row>
    <row r="228" spans="1:5" x14ac:dyDescent="0.4">
      <c r="A228" s="26">
        <v>44895</v>
      </c>
      <c r="B228" s="27" t="s">
        <v>54</v>
      </c>
      <c r="C228" s="27" t="s">
        <v>30</v>
      </c>
      <c r="D228" s="27" t="s">
        <v>49</v>
      </c>
      <c r="E228" s="27">
        <v>106</v>
      </c>
    </row>
    <row r="229" spans="1:5" x14ac:dyDescent="0.4">
      <c r="A229" s="26">
        <v>44895</v>
      </c>
      <c r="B229" s="27" t="s">
        <v>54</v>
      </c>
      <c r="C229" s="27" t="s">
        <v>55</v>
      </c>
      <c r="D229" s="27" t="s">
        <v>35</v>
      </c>
      <c r="E229" s="27">
        <v>45</v>
      </c>
    </row>
    <row r="230" spans="1:5" x14ac:dyDescent="0.4">
      <c r="A230" s="26">
        <v>44895</v>
      </c>
      <c r="B230" s="27" t="s">
        <v>54</v>
      </c>
      <c r="C230" s="27" t="s">
        <v>30</v>
      </c>
      <c r="D230" s="27" t="s">
        <v>35</v>
      </c>
      <c r="E230" s="27">
        <v>33</v>
      </c>
    </row>
    <row r="231" spans="1:5" x14ac:dyDescent="0.4">
      <c r="A231" s="26">
        <v>44895</v>
      </c>
      <c r="B231" s="27" t="s">
        <v>32</v>
      </c>
      <c r="C231" s="27" t="s">
        <v>40</v>
      </c>
      <c r="D231" s="27" t="s">
        <v>49</v>
      </c>
      <c r="E231" s="27">
        <v>76</v>
      </c>
    </row>
    <row r="232" spans="1:5" x14ac:dyDescent="0.4">
      <c r="A232" s="26">
        <v>44895</v>
      </c>
      <c r="B232" s="27" t="s">
        <v>32</v>
      </c>
      <c r="C232" s="27" t="s">
        <v>37</v>
      </c>
      <c r="D232" s="27" t="s">
        <v>44</v>
      </c>
      <c r="E232" s="27">
        <v>33</v>
      </c>
    </row>
    <row r="233" spans="1:5" x14ac:dyDescent="0.4">
      <c r="A233" s="26">
        <v>44895</v>
      </c>
      <c r="B233" s="27" t="s">
        <v>52</v>
      </c>
      <c r="C233" s="27" t="s">
        <v>48</v>
      </c>
      <c r="D233" s="27" t="s">
        <v>34</v>
      </c>
      <c r="E233" s="27">
        <v>42</v>
      </c>
    </row>
    <row r="234" spans="1:5" x14ac:dyDescent="0.4">
      <c r="A234" s="26">
        <v>44895</v>
      </c>
      <c r="B234" s="27" t="s">
        <v>52</v>
      </c>
      <c r="C234" s="27" t="s">
        <v>51</v>
      </c>
      <c r="D234" s="27" t="s">
        <v>41</v>
      </c>
      <c r="E234" s="27">
        <v>17</v>
      </c>
    </row>
    <row r="235" spans="1:5" x14ac:dyDescent="0.4">
      <c r="A235" s="26">
        <v>44895</v>
      </c>
      <c r="B235" s="27" t="s">
        <v>52</v>
      </c>
      <c r="C235" s="27" t="s">
        <v>58</v>
      </c>
      <c r="D235" s="27" t="s">
        <v>35</v>
      </c>
      <c r="E235" s="27">
        <v>34</v>
      </c>
    </row>
    <row r="236" spans="1:5" x14ac:dyDescent="0.4">
      <c r="A236" s="26">
        <v>44895</v>
      </c>
      <c r="B236" s="27" t="s">
        <v>39</v>
      </c>
      <c r="C236" s="27" t="s">
        <v>33</v>
      </c>
      <c r="D236" s="27" t="s">
        <v>49</v>
      </c>
      <c r="E236" s="27">
        <v>39</v>
      </c>
    </row>
    <row r="237" spans="1:5" x14ac:dyDescent="0.4">
      <c r="A237" s="26">
        <v>44896</v>
      </c>
      <c r="B237" s="27" t="s">
        <v>47</v>
      </c>
      <c r="C237" s="27" t="s">
        <v>57</v>
      </c>
      <c r="D237" s="27" t="s">
        <v>44</v>
      </c>
      <c r="E237" s="27">
        <v>22</v>
      </c>
    </row>
    <row r="238" spans="1:5" x14ac:dyDescent="0.4">
      <c r="A238" s="26">
        <v>44896</v>
      </c>
      <c r="B238" s="27" t="s">
        <v>47</v>
      </c>
      <c r="C238" s="27" t="s">
        <v>56</v>
      </c>
      <c r="D238" s="27" t="s">
        <v>35</v>
      </c>
      <c r="E238" s="27">
        <v>26</v>
      </c>
    </row>
    <row r="239" spans="1:5" x14ac:dyDescent="0.4">
      <c r="A239" s="26">
        <v>44896</v>
      </c>
      <c r="B239" s="27" t="s">
        <v>54</v>
      </c>
      <c r="C239" s="27" t="s">
        <v>46</v>
      </c>
      <c r="D239" s="27" t="s">
        <v>49</v>
      </c>
      <c r="E239" s="27">
        <v>42</v>
      </c>
    </row>
    <row r="240" spans="1:5" x14ac:dyDescent="0.4">
      <c r="A240" s="26">
        <v>44896</v>
      </c>
      <c r="B240" s="27" t="s">
        <v>54</v>
      </c>
      <c r="C240" s="27" t="s">
        <v>51</v>
      </c>
      <c r="D240" s="27" t="s">
        <v>35</v>
      </c>
      <c r="E240" s="27">
        <v>45</v>
      </c>
    </row>
    <row r="241" spans="1:5" x14ac:dyDescent="0.4">
      <c r="A241" s="26">
        <v>44896</v>
      </c>
      <c r="B241" s="27" t="s">
        <v>36</v>
      </c>
      <c r="C241" s="27" t="s">
        <v>33</v>
      </c>
      <c r="D241" s="27" t="s">
        <v>34</v>
      </c>
      <c r="E241" s="27">
        <v>40</v>
      </c>
    </row>
    <row r="242" spans="1:5" x14ac:dyDescent="0.4">
      <c r="A242" s="26">
        <v>44896</v>
      </c>
      <c r="B242" s="27" t="s">
        <v>52</v>
      </c>
      <c r="C242" s="27" t="s">
        <v>40</v>
      </c>
      <c r="D242" s="27" t="s">
        <v>44</v>
      </c>
      <c r="E242" s="27">
        <v>21</v>
      </c>
    </row>
    <row r="243" spans="1:5" x14ac:dyDescent="0.4">
      <c r="A243" s="26">
        <v>44896</v>
      </c>
      <c r="B243" s="27" t="s">
        <v>52</v>
      </c>
      <c r="C243" s="27" t="s">
        <v>53</v>
      </c>
      <c r="D243" s="27" t="s">
        <v>35</v>
      </c>
      <c r="E243" s="27">
        <v>17</v>
      </c>
    </row>
    <row r="244" spans="1:5" x14ac:dyDescent="0.4">
      <c r="A244" s="26">
        <v>44896</v>
      </c>
      <c r="B244" s="27" t="s">
        <v>52</v>
      </c>
      <c r="C244" s="27" t="s">
        <v>55</v>
      </c>
      <c r="D244" s="27" t="s">
        <v>34</v>
      </c>
      <c r="E244" s="27">
        <v>28</v>
      </c>
    </row>
    <row r="245" spans="1:5" x14ac:dyDescent="0.4">
      <c r="A245" s="26">
        <v>44896</v>
      </c>
      <c r="B245" s="27" t="s">
        <v>39</v>
      </c>
      <c r="C245" s="27" t="s">
        <v>43</v>
      </c>
      <c r="D245" s="27" t="s">
        <v>49</v>
      </c>
      <c r="E245" s="27">
        <v>70</v>
      </c>
    </row>
    <row r="246" spans="1:5" x14ac:dyDescent="0.4">
      <c r="A246" s="26">
        <v>44899</v>
      </c>
      <c r="B246" s="27" t="s">
        <v>47</v>
      </c>
      <c r="C246" s="27" t="s">
        <v>46</v>
      </c>
      <c r="D246" s="27" t="s">
        <v>35</v>
      </c>
      <c r="E246" s="27">
        <v>26</v>
      </c>
    </row>
    <row r="247" spans="1:5" x14ac:dyDescent="0.4">
      <c r="A247" s="26">
        <v>44900</v>
      </c>
      <c r="B247" s="27" t="s">
        <v>25</v>
      </c>
      <c r="C247" s="27" t="s">
        <v>46</v>
      </c>
      <c r="D247" s="27" t="s">
        <v>35</v>
      </c>
      <c r="E247" s="27">
        <v>27</v>
      </c>
    </row>
    <row r="248" spans="1:5" x14ac:dyDescent="0.4">
      <c r="A248" s="26">
        <v>44900</v>
      </c>
      <c r="B248" s="27" t="s">
        <v>25</v>
      </c>
      <c r="C248" s="27" t="s">
        <v>51</v>
      </c>
      <c r="D248" s="27" t="s">
        <v>49</v>
      </c>
      <c r="E248" s="27">
        <v>92</v>
      </c>
    </row>
    <row r="249" spans="1:5" x14ac:dyDescent="0.4">
      <c r="A249" s="26">
        <v>44900</v>
      </c>
      <c r="B249" s="27" t="s">
        <v>47</v>
      </c>
      <c r="C249" s="27" t="s">
        <v>57</v>
      </c>
      <c r="D249" s="27" t="s">
        <v>34</v>
      </c>
      <c r="E249" s="27">
        <v>42</v>
      </c>
    </row>
    <row r="250" spans="1:5" x14ac:dyDescent="0.4">
      <c r="A250" s="26">
        <v>44900</v>
      </c>
      <c r="B250" s="27" t="s">
        <v>47</v>
      </c>
      <c r="C250" s="27" t="s">
        <v>48</v>
      </c>
      <c r="D250" s="27" t="s">
        <v>34</v>
      </c>
      <c r="E250" s="27">
        <v>36</v>
      </c>
    </row>
    <row r="251" spans="1:5" x14ac:dyDescent="0.4">
      <c r="A251" s="26">
        <v>44900</v>
      </c>
      <c r="B251" s="27" t="s">
        <v>47</v>
      </c>
      <c r="C251" s="27" t="s">
        <v>33</v>
      </c>
      <c r="D251" s="27" t="s">
        <v>49</v>
      </c>
      <c r="E251" s="27">
        <v>100</v>
      </c>
    </row>
    <row r="252" spans="1:5" x14ac:dyDescent="0.4">
      <c r="A252" s="26">
        <v>44900</v>
      </c>
      <c r="B252" s="27" t="s">
        <v>54</v>
      </c>
      <c r="C252" s="27" t="s">
        <v>53</v>
      </c>
      <c r="D252" s="27" t="s">
        <v>49</v>
      </c>
      <c r="E252" s="27">
        <v>81</v>
      </c>
    </row>
    <row r="253" spans="1:5" x14ac:dyDescent="0.4">
      <c r="A253" s="26">
        <v>44900</v>
      </c>
      <c r="B253" s="27" t="s">
        <v>54</v>
      </c>
      <c r="C253" s="27" t="s">
        <v>56</v>
      </c>
      <c r="D253" s="27" t="s">
        <v>34</v>
      </c>
      <c r="E253" s="27">
        <v>32</v>
      </c>
    </row>
    <row r="254" spans="1:5" x14ac:dyDescent="0.4">
      <c r="A254" s="26">
        <v>44900</v>
      </c>
      <c r="B254" s="27" t="s">
        <v>32</v>
      </c>
      <c r="C254" s="27" t="s">
        <v>30</v>
      </c>
      <c r="D254" s="27" t="s">
        <v>49</v>
      </c>
      <c r="E254" s="27">
        <v>112</v>
      </c>
    </row>
    <row r="255" spans="1:5" x14ac:dyDescent="0.4">
      <c r="A255" s="26">
        <v>44900</v>
      </c>
      <c r="B255" s="27" t="s">
        <v>36</v>
      </c>
      <c r="C255" s="27" t="s">
        <v>55</v>
      </c>
      <c r="D255" s="27" t="s">
        <v>34</v>
      </c>
      <c r="E255" s="27">
        <v>47</v>
      </c>
    </row>
    <row r="256" spans="1:5" x14ac:dyDescent="0.4">
      <c r="A256" s="26">
        <v>44900</v>
      </c>
      <c r="B256" s="27" t="s">
        <v>52</v>
      </c>
      <c r="C256" s="27" t="s">
        <v>33</v>
      </c>
      <c r="D256" s="27" t="s">
        <v>44</v>
      </c>
      <c r="E256" s="27">
        <v>16</v>
      </c>
    </row>
    <row r="257" spans="1:5" x14ac:dyDescent="0.4">
      <c r="A257" s="26">
        <v>44900</v>
      </c>
      <c r="B257" s="27" t="s">
        <v>52</v>
      </c>
      <c r="C257" s="27" t="s">
        <v>43</v>
      </c>
      <c r="D257" s="27" t="s">
        <v>35</v>
      </c>
      <c r="E257" s="27">
        <v>23</v>
      </c>
    </row>
    <row r="258" spans="1:5" x14ac:dyDescent="0.4">
      <c r="A258" s="26">
        <v>44900</v>
      </c>
      <c r="B258" s="27" t="s">
        <v>52</v>
      </c>
      <c r="C258" s="27" t="s">
        <v>40</v>
      </c>
      <c r="D258" s="27" t="s">
        <v>49</v>
      </c>
      <c r="E258" s="27">
        <v>448</v>
      </c>
    </row>
    <row r="259" spans="1:5" x14ac:dyDescent="0.4">
      <c r="A259" s="26">
        <v>44900</v>
      </c>
      <c r="B259" s="27" t="s">
        <v>39</v>
      </c>
      <c r="C259" s="27" t="s">
        <v>40</v>
      </c>
      <c r="D259" s="27" t="s">
        <v>49</v>
      </c>
      <c r="E259" s="27">
        <v>30</v>
      </c>
    </row>
    <row r="260" spans="1:5" x14ac:dyDescent="0.4">
      <c r="A260" s="26">
        <v>44900</v>
      </c>
      <c r="B260" s="27" t="s">
        <v>39</v>
      </c>
      <c r="C260" s="27" t="s">
        <v>48</v>
      </c>
      <c r="D260" s="27" t="s">
        <v>35</v>
      </c>
      <c r="E260" s="27">
        <v>16</v>
      </c>
    </row>
    <row r="261" spans="1:5" x14ac:dyDescent="0.4">
      <c r="A261" s="26">
        <v>44901</v>
      </c>
      <c r="B261" s="27" t="s">
        <v>47</v>
      </c>
      <c r="C261" s="27" t="s">
        <v>58</v>
      </c>
      <c r="D261" s="27" t="s">
        <v>44</v>
      </c>
      <c r="E261" s="27">
        <v>29</v>
      </c>
    </row>
    <row r="262" spans="1:5" x14ac:dyDescent="0.4">
      <c r="A262" s="26">
        <v>44901</v>
      </c>
      <c r="B262" s="27" t="s">
        <v>47</v>
      </c>
      <c r="C262" s="27" t="s">
        <v>33</v>
      </c>
      <c r="D262" s="27" t="s">
        <v>34</v>
      </c>
      <c r="E262" s="27">
        <v>40</v>
      </c>
    </row>
    <row r="263" spans="1:5" x14ac:dyDescent="0.4">
      <c r="A263" s="26">
        <v>44901</v>
      </c>
      <c r="B263" s="27" t="s">
        <v>47</v>
      </c>
      <c r="C263" s="27" t="s">
        <v>48</v>
      </c>
      <c r="D263" s="27" t="s">
        <v>44</v>
      </c>
      <c r="E263" s="27">
        <v>49</v>
      </c>
    </row>
    <row r="264" spans="1:5" x14ac:dyDescent="0.4">
      <c r="A264" s="26">
        <v>44901</v>
      </c>
      <c r="B264" s="27" t="s">
        <v>54</v>
      </c>
      <c r="C264" s="27" t="s">
        <v>37</v>
      </c>
      <c r="D264" s="27" t="s">
        <v>41</v>
      </c>
      <c r="E264" s="27">
        <v>21</v>
      </c>
    </row>
    <row r="265" spans="1:5" x14ac:dyDescent="0.4">
      <c r="A265" s="26">
        <v>44901</v>
      </c>
      <c r="B265" s="27" t="s">
        <v>32</v>
      </c>
      <c r="C265" s="27" t="s">
        <v>46</v>
      </c>
      <c r="D265" s="27" t="s">
        <v>35</v>
      </c>
      <c r="E265" s="27">
        <v>23</v>
      </c>
    </row>
    <row r="266" spans="1:5" x14ac:dyDescent="0.4">
      <c r="A266" s="26">
        <v>44901</v>
      </c>
      <c r="B266" s="27" t="s">
        <v>52</v>
      </c>
      <c r="C266" s="27" t="s">
        <v>51</v>
      </c>
      <c r="D266" s="27" t="s">
        <v>34</v>
      </c>
      <c r="E266" s="27">
        <v>17</v>
      </c>
    </row>
    <row r="267" spans="1:5" x14ac:dyDescent="0.4">
      <c r="A267" s="26">
        <v>44901</v>
      </c>
      <c r="B267" s="27" t="s">
        <v>39</v>
      </c>
      <c r="C267" s="27" t="s">
        <v>53</v>
      </c>
      <c r="D267" s="27" t="s">
        <v>35</v>
      </c>
      <c r="E267" s="27">
        <v>10</v>
      </c>
    </row>
    <row r="268" spans="1:5" x14ac:dyDescent="0.4">
      <c r="A268" s="26">
        <v>44901</v>
      </c>
      <c r="B268" s="27" t="s">
        <v>39</v>
      </c>
      <c r="C268" s="27" t="s">
        <v>57</v>
      </c>
      <c r="D268" s="27" t="s">
        <v>41</v>
      </c>
      <c r="E268" s="27">
        <v>10</v>
      </c>
    </row>
    <row r="269" spans="1:5" x14ac:dyDescent="0.4">
      <c r="A269" s="26">
        <v>44902</v>
      </c>
      <c r="B269" s="27" t="s">
        <v>54</v>
      </c>
      <c r="C269" s="27" t="s">
        <v>30</v>
      </c>
      <c r="D269" s="27" t="s">
        <v>49</v>
      </c>
      <c r="E269" s="27">
        <v>36</v>
      </c>
    </row>
    <row r="270" spans="1:5" x14ac:dyDescent="0.4">
      <c r="A270" s="26">
        <v>44902</v>
      </c>
      <c r="B270" s="27" t="s">
        <v>32</v>
      </c>
      <c r="C270" s="27" t="s">
        <v>56</v>
      </c>
      <c r="D270" s="27" t="s">
        <v>44</v>
      </c>
      <c r="E270" s="27">
        <v>35</v>
      </c>
    </row>
    <row r="271" spans="1:5" x14ac:dyDescent="0.4">
      <c r="A271" s="26">
        <v>44902</v>
      </c>
      <c r="B271" s="27" t="s">
        <v>32</v>
      </c>
      <c r="C271" s="27" t="s">
        <v>33</v>
      </c>
      <c r="D271" s="27" t="s">
        <v>34</v>
      </c>
      <c r="E271" s="27">
        <v>26</v>
      </c>
    </row>
    <row r="272" spans="1:5" x14ac:dyDescent="0.4">
      <c r="A272" s="26">
        <v>44902</v>
      </c>
      <c r="B272" s="27" t="s">
        <v>36</v>
      </c>
      <c r="C272" s="27" t="s">
        <v>37</v>
      </c>
      <c r="D272" s="27" t="s">
        <v>49</v>
      </c>
      <c r="E272" s="27">
        <v>89</v>
      </c>
    </row>
    <row r="273" spans="1:5" x14ac:dyDescent="0.4">
      <c r="A273" s="26">
        <v>44902</v>
      </c>
      <c r="B273" s="27" t="s">
        <v>39</v>
      </c>
      <c r="C273" s="27" t="s">
        <v>51</v>
      </c>
      <c r="D273" s="27" t="s">
        <v>35</v>
      </c>
      <c r="E273" s="27">
        <v>50</v>
      </c>
    </row>
    <row r="274" spans="1:5" x14ac:dyDescent="0.4">
      <c r="A274" s="26">
        <v>44902</v>
      </c>
      <c r="B274" s="27" t="s">
        <v>39</v>
      </c>
      <c r="C274" s="27" t="s">
        <v>40</v>
      </c>
      <c r="D274" s="27" t="s">
        <v>35</v>
      </c>
      <c r="E274" s="27">
        <v>29</v>
      </c>
    </row>
    <row r="275" spans="1:5" x14ac:dyDescent="0.4">
      <c r="A275" s="26">
        <v>44903</v>
      </c>
      <c r="B275" s="27" t="s">
        <v>54</v>
      </c>
      <c r="C275" s="27" t="s">
        <v>53</v>
      </c>
      <c r="D275" s="27" t="s">
        <v>49</v>
      </c>
      <c r="E275" s="27">
        <v>103</v>
      </c>
    </row>
    <row r="276" spans="1:5" x14ac:dyDescent="0.4">
      <c r="A276" s="26">
        <v>44903</v>
      </c>
      <c r="B276" s="27" t="s">
        <v>54</v>
      </c>
      <c r="C276" s="27" t="s">
        <v>57</v>
      </c>
      <c r="D276" s="27" t="s">
        <v>49</v>
      </c>
      <c r="E276" s="27">
        <v>70</v>
      </c>
    </row>
    <row r="277" spans="1:5" x14ac:dyDescent="0.4">
      <c r="A277" s="26">
        <v>44903</v>
      </c>
      <c r="B277" s="27" t="s">
        <v>32</v>
      </c>
      <c r="C277" s="27" t="s">
        <v>58</v>
      </c>
      <c r="D277" s="27" t="s">
        <v>49</v>
      </c>
      <c r="E277" s="27">
        <v>118</v>
      </c>
    </row>
    <row r="278" spans="1:5" x14ac:dyDescent="0.4">
      <c r="A278" s="26">
        <v>44903</v>
      </c>
      <c r="B278" s="27" t="s">
        <v>32</v>
      </c>
      <c r="C278" s="27" t="s">
        <v>55</v>
      </c>
      <c r="D278" s="27" t="s">
        <v>35</v>
      </c>
      <c r="E278" s="27">
        <v>15</v>
      </c>
    </row>
    <row r="279" spans="1:5" x14ac:dyDescent="0.4">
      <c r="A279" s="26">
        <v>44903</v>
      </c>
      <c r="B279" s="27" t="s">
        <v>36</v>
      </c>
      <c r="C279" s="27" t="s">
        <v>55</v>
      </c>
      <c r="D279" s="27" t="s">
        <v>35</v>
      </c>
      <c r="E279" s="27">
        <v>34</v>
      </c>
    </row>
    <row r="280" spans="1:5" x14ac:dyDescent="0.4">
      <c r="A280" s="26">
        <v>44903</v>
      </c>
      <c r="B280" s="27" t="s">
        <v>52</v>
      </c>
      <c r="C280" s="27" t="s">
        <v>51</v>
      </c>
      <c r="D280" s="27" t="s">
        <v>34</v>
      </c>
      <c r="E280" s="27">
        <v>21</v>
      </c>
    </row>
    <row r="281" spans="1:5" x14ac:dyDescent="0.4">
      <c r="A281" s="26">
        <v>44903</v>
      </c>
      <c r="B281" s="27" t="s">
        <v>39</v>
      </c>
      <c r="C281" s="27" t="s">
        <v>37</v>
      </c>
      <c r="D281" s="27" t="s">
        <v>34</v>
      </c>
      <c r="E281" s="27">
        <v>50</v>
      </c>
    </row>
    <row r="282" spans="1:5" x14ac:dyDescent="0.4">
      <c r="A282" s="26">
        <v>44903</v>
      </c>
      <c r="B282" s="27" t="s">
        <v>39</v>
      </c>
      <c r="C282" s="27" t="s">
        <v>46</v>
      </c>
      <c r="D282" s="27" t="s">
        <v>34</v>
      </c>
      <c r="E282" s="27">
        <v>41</v>
      </c>
    </row>
    <row r="283" spans="1:5" x14ac:dyDescent="0.4">
      <c r="A283" s="26">
        <v>44903</v>
      </c>
      <c r="B283" s="27" t="s">
        <v>39</v>
      </c>
      <c r="C283" s="27" t="s">
        <v>46</v>
      </c>
      <c r="D283" s="27" t="s">
        <v>49</v>
      </c>
      <c r="E283" s="27">
        <v>106</v>
      </c>
    </row>
    <row r="284" spans="1:5" x14ac:dyDescent="0.4">
      <c r="A284" s="26">
        <v>44904</v>
      </c>
      <c r="B284" s="27" t="s">
        <v>47</v>
      </c>
      <c r="C284" s="27" t="s">
        <v>51</v>
      </c>
      <c r="D284" s="27" t="s">
        <v>34</v>
      </c>
      <c r="E284" s="27">
        <v>15</v>
      </c>
    </row>
    <row r="285" spans="1:5" x14ac:dyDescent="0.4">
      <c r="A285" s="26">
        <v>44904</v>
      </c>
      <c r="B285" s="27" t="s">
        <v>52</v>
      </c>
      <c r="C285" s="27" t="s">
        <v>30</v>
      </c>
      <c r="D285" s="27" t="s">
        <v>44</v>
      </c>
      <c r="E285" s="27">
        <v>22</v>
      </c>
    </row>
    <row r="286" spans="1:5" x14ac:dyDescent="0.4">
      <c r="A286" s="26">
        <v>44904</v>
      </c>
      <c r="B286" s="27" t="s">
        <v>52</v>
      </c>
      <c r="C286" s="27" t="s">
        <v>33</v>
      </c>
      <c r="D286" s="27" t="s">
        <v>35</v>
      </c>
      <c r="E286" s="27">
        <v>46</v>
      </c>
    </row>
    <row r="287" spans="1:5" x14ac:dyDescent="0.4">
      <c r="A287" s="26">
        <v>44904</v>
      </c>
      <c r="B287" s="27" t="s">
        <v>39</v>
      </c>
      <c r="C287" s="27" t="s">
        <v>56</v>
      </c>
      <c r="D287" s="27" t="s">
        <v>41</v>
      </c>
      <c r="E287" s="27">
        <v>32</v>
      </c>
    </row>
    <row r="288" spans="1:5" x14ac:dyDescent="0.4">
      <c r="A288" s="26">
        <v>44904</v>
      </c>
      <c r="B288" s="27" t="s">
        <v>39</v>
      </c>
      <c r="C288" s="27" t="s">
        <v>40</v>
      </c>
      <c r="D288" s="27" t="s">
        <v>34</v>
      </c>
      <c r="E288" s="27">
        <v>20</v>
      </c>
    </row>
    <row r="289" spans="1:5" x14ac:dyDescent="0.4">
      <c r="A289" s="26">
        <v>44905</v>
      </c>
      <c r="B289" s="27" t="s">
        <v>25</v>
      </c>
      <c r="C289" s="27" t="s">
        <v>33</v>
      </c>
      <c r="D289" s="27" t="s">
        <v>41</v>
      </c>
      <c r="E289" s="27">
        <v>20</v>
      </c>
    </row>
    <row r="290" spans="1:5" x14ac:dyDescent="0.4">
      <c r="A290" s="26">
        <v>44905</v>
      </c>
      <c r="B290" s="27" t="s">
        <v>47</v>
      </c>
      <c r="C290" s="27" t="s">
        <v>48</v>
      </c>
      <c r="D290" s="27" t="s">
        <v>44</v>
      </c>
      <c r="E290" s="27">
        <v>45</v>
      </c>
    </row>
    <row r="291" spans="1:5" x14ac:dyDescent="0.4">
      <c r="A291" s="26">
        <v>44905</v>
      </c>
      <c r="B291" s="27" t="s">
        <v>47</v>
      </c>
      <c r="C291" s="27" t="s">
        <v>51</v>
      </c>
      <c r="D291" s="27" t="s">
        <v>35</v>
      </c>
      <c r="E291" s="27">
        <v>34</v>
      </c>
    </row>
    <row r="292" spans="1:5" x14ac:dyDescent="0.4">
      <c r="A292" s="26">
        <v>44905</v>
      </c>
      <c r="B292" s="27" t="s">
        <v>32</v>
      </c>
      <c r="C292" s="27" t="s">
        <v>30</v>
      </c>
      <c r="D292" s="27" t="s">
        <v>35</v>
      </c>
      <c r="E292" s="27">
        <v>14</v>
      </c>
    </row>
    <row r="293" spans="1:5" x14ac:dyDescent="0.4">
      <c r="A293" s="26">
        <v>44906</v>
      </c>
      <c r="B293" s="27" t="s">
        <v>47</v>
      </c>
      <c r="C293" s="27" t="s">
        <v>43</v>
      </c>
      <c r="D293" s="27" t="s">
        <v>34</v>
      </c>
      <c r="E293" s="27">
        <v>32</v>
      </c>
    </row>
    <row r="294" spans="1:5" x14ac:dyDescent="0.4">
      <c r="A294" s="26">
        <v>44906</v>
      </c>
      <c r="B294" s="27" t="s">
        <v>54</v>
      </c>
      <c r="C294" s="27" t="s">
        <v>53</v>
      </c>
      <c r="D294" s="27" t="s">
        <v>35</v>
      </c>
      <c r="E294" s="27">
        <v>24</v>
      </c>
    </row>
    <row r="295" spans="1:5" x14ac:dyDescent="0.4">
      <c r="A295" s="26">
        <v>44906</v>
      </c>
      <c r="B295" s="27" t="s">
        <v>32</v>
      </c>
      <c r="C295" s="27" t="s">
        <v>33</v>
      </c>
      <c r="D295" s="27" t="s">
        <v>34</v>
      </c>
      <c r="E295" s="27">
        <v>45</v>
      </c>
    </row>
    <row r="296" spans="1:5" x14ac:dyDescent="0.4">
      <c r="A296" s="26">
        <v>44906</v>
      </c>
      <c r="B296" s="27" t="s">
        <v>36</v>
      </c>
      <c r="C296" s="27" t="s">
        <v>56</v>
      </c>
      <c r="D296" s="27" t="s">
        <v>49</v>
      </c>
      <c r="E296" s="27">
        <v>58</v>
      </c>
    </row>
    <row r="297" spans="1:5" x14ac:dyDescent="0.4">
      <c r="A297" s="26">
        <v>44906</v>
      </c>
      <c r="B297" s="27" t="s">
        <v>52</v>
      </c>
      <c r="C297" s="27" t="s">
        <v>46</v>
      </c>
      <c r="D297" s="27" t="s">
        <v>49</v>
      </c>
      <c r="E297" s="27">
        <v>72</v>
      </c>
    </row>
    <row r="298" spans="1:5" x14ac:dyDescent="0.4">
      <c r="A298" s="26">
        <v>44906</v>
      </c>
      <c r="B298" s="27" t="s">
        <v>52</v>
      </c>
      <c r="C298" s="27" t="s">
        <v>57</v>
      </c>
      <c r="D298" s="27" t="s">
        <v>35</v>
      </c>
      <c r="E298" s="27">
        <v>18</v>
      </c>
    </row>
    <row r="299" spans="1:5" x14ac:dyDescent="0.4">
      <c r="A299" s="26">
        <v>44906</v>
      </c>
      <c r="B299" s="27" t="s">
        <v>39</v>
      </c>
      <c r="C299" s="27" t="s">
        <v>37</v>
      </c>
      <c r="D299" s="27" t="s">
        <v>44</v>
      </c>
      <c r="E299" s="27">
        <v>22</v>
      </c>
    </row>
    <row r="300" spans="1:5" x14ac:dyDescent="0.4">
      <c r="A300" s="26">
        <v>44906</v>
      </c>
      <c r="B300" s="27" t="s">
        <v>39</v>
      </c>
      <c r="C300" s="27" t="s">
        <v>46</v>
      </c>
      <c r="D300" s="27" t="s">
        <v>34</v>
      </c>
      <c r="E300" s="27">
        <v>45</v>
      </c>
    </row>
    <row r="301" spans="1:5" x14ac:dyDescent="0.4">
      <c r="A301" s="26">
        <v>44907</v>
      </c>
      <c r="B301" s="27" t="s">
        <v>25</v>
      </c>
      <c r="C301" s="27" t="s">
        <v>37</v>
      </c>
      <c r="D301" s="27" t="s">
        <v>49</v>
      </c>
      <c r="E301" s="27">
        <v>116</v>
      </c>
    </row>
    <row r="302" spans="1:5" x14ac:dyDescent="0.4">
      <c r="A302" s="26">
        <v>44907</v>
      </c>
      <c r="B302" s="27" t="s">
        <v>47</v>
      </c>
      <c r="C302" s="27" t="s">
        <v>55</v>
      </c>
      <c r="D302" s="27" t="s">
        <v>49</v>
      </c>
      <c r="E302" s="27">
        <v>61</v>
      </c>
    </row>
    <row r="303" spans="1:5" x14ac:dyDescent="0.4">
      <c r="A303" s="26">
        <v>44907</v>
      </c>
      <c r="B303" s="27" t="s">
        <v>54</v>
      </c>
      <c r="C303" s="27" t="s">
        <v>40</v>
      </c>
      <c r="D303" s="27" t="s">
        <v>49</v>
      </c>
      <c r="E303" s="27">
        <v>160</v>
      </c>
    </row>
    <row r="304" spans="1:5" x14ac:dyDescent="0.4">
      <c r="A304" s="26">
        <v>44907</v>
      </c>
      <c r="B304" s="27" t="s">
        <v>54</v>
      </c>
      <c r="C304" s="27" t="s">
        <v>53</v>
      </c>
      <c r="D304" s="27" t="s">
        <v>35</v>
      </c>
      <c r="E304" s="27">
        <v>39</v>
      </c>
    </row>
    <row r="305" spans="1:5" x14ac:dyDescent="0.4">
      <c r="A305" s="26">
        <v>44907</v>
      </c>
      <c r="B305" s="27" t="s">
        <v>32</v>
      </c>
      <c r="C305" s="27" t="s">
        <v>48</v>
      </c>
      <c r="D305" s="27" t="s">
        <v>34</v>
      </c>
      <c r="E305" s="27">
        <v>32</v>
      </c>
    </row>
    <row r="306" spans="1:5" x14ac:dyDescent="0.4">
      <c r="A306" s="26">
        <v>44907</v>
      </c>
      <c r="B306" s="27" t="s">
        <v>52</v>
      </c>
      <c r="C306" s="27" t="s">
        <v>48</v>
      </c>
      <c r="D306" s="27" t="s">
        <v>34</v>
      </c>
      <c r="E306" s="27">
        <v>19</v>
      </c>
    </row>
    <row r="307" spans="1:5" x14ac:dyDescent="0.4">
      <c r="A307" s="26">
        <v>44907</v>
      </c>
      <c r="B307" s="27" t="s">
        <v>39</v>
      </c>
      <c r="C307" s="27" t="s">
        <v>33</v>
      </c>
      <c r="D307" s="27" t="s">
        <v>49</v>
      </c>
      <c r="E307" s="27">
        <v>98</v>
      </c>
    </row>
    <row r="308" spans="1:5" x14ac:dyDescent="0.4">
      <c r="A308" s="26">
        <v>44907</v>
      </c>
      <c r="B308" s="27" t="s">
        <v>39</v>
      </c>
      <c r="C308" s="27" t="s">
        <v>55</v>
      </c>
      <c r="D308" s="27" t="s">
        <v>35</v>
      </c>
      <c r="E308" s="27">
        <v>29</v>
      </c>
    </row>
    <row r="309" spans="1:5" x14ac:dyDescent="0.4">
      <c r="A309" s="26">
        <v>44908</v>
      </c>
      <c r="B309" s="27" t="s">
        <v>47</v>
      </c>
      <c r="C309" s="27" t="s">
        <v>30</v>
      </c>
      <c r="D309" s="27" t="s">
        <v>35</v>
      </c>
      <c r="E309" s="27">
        <v>13</v>
      </c>
    </row>
    <row r="310" spans="1:5" x14ac:dyDescent="0.4">
      <c r="A310" s="26">
        <v>44908</v>
      </c>
      <c r="B310" s="27" t="s">
        <v>54</v>
      </c>
      <c r="C310" s="27" t="s">
        <v>51</v>
      </c>
      <c r="D310" s="27" t="s">
        <v>34</v>
      </c>
      <c r="E310" s="27">
        <v>29</v>
      </c>
    </row>
    <row r="311" spans="1:5" x14ac:dyDescent="0.4">
      <c r="A311" s="26">
        <v>44908</v>
      </c>
      <c r="B311" s="27" t="s">
        <v>54</v>
      </c>
      <c r="C311" s="27" t="s">
        <v>33</v>
      </c>
      <c r="D311" s="27" t="s">
        <v>41</v>
      </c>
      <c r="E311" s="27">
        <v>22</v>
      </c>
    </row>
    <row r="312" spans="1:5" x14ac:dyDescent="0.4">
      <c r="A312" s="26">
        <v>44908</v>
      </c>
      <c r="B312" s="27" t="s">
        <v>32</v>
      </c>
      <c r="C312" s="27" t="s">
        <v>46</v>
      </c>
      <c r="D312" s="27" t="s">
        <v>34</v>
      </c>
      <c r="E312" s="27">
        <v>49</v>
      </c>
    </row>
    <row r="313" spans="1:5" x14ac:dyDescent="0.4">
      <c r="A313" s="26">
        <v>44908</v>
      </c>
      <c r="B313" s="27" t="s">
        <v>36</v>
      </c>
      <c r="C313" s="27" t="s">
        <v>37</v>
      </c>
      <c r="D313" s="27" t="s">
        <v>49</v>
      </c>
      <c r="E313" s="27">
        <v>126</v>
      </c>
    </row>
    <row r="314" spans="1:5" x14ac:dyDescent="0.4">
      <c r="A314" s="26">
        <v>44908</v>
      </c>
      <c r="B314" s="27" t="s">
        <v>52</v>
      </c>
      <c r="C314" s="27" t="s">
        <v>58</v>
      </c>
      <c r="D314" s="27" t="s">
        <v>49</v>
      </c>
      <c r="E314" s="27">
        <v>137</v>
      </c>
    </row>
    <row r="315" spans="1:5" x14ac:dyDescent="0.4">
      <c r="A315" s="26">
        <v>44912</v>
      </c>
      <c r="B315" s="27" t="s">
        <v>25</v>
      </c>
      <c r="C315" s="27" t="s">
        <v>46</v>
      </c>
      <c r="D315" s="27" t="s">
        <v>34</v>
      </c>
      <c r="E315" s="27">
        <v>26</v>
      </c>
    </row>
    <row r="316" spans="1:5" x14ac:dyDescent="0.4">
      <c r="A316" s="26">
        <v>44912</v>
      </c>
      <c r="B316" s="27" t="s">
        <v>47</v>
      </c>
      <c r="C316" s="27" t="s">
        <v>40</v>
      </c>
      <c r="D316" s="27" t="s">
        <v>49</v>
      </c>
      <c r="E316" s="27">
        <v>123</v>
      </c>
    </row>
    <row r="317" spans="1:5" x14ac:dyDescent="0.4">
      <c r="A317" s="26">
        <v>44912</v>
      </c>
      <c r="B317" s="27" t="s">
        <v>32</v>
      </c>
      <c r="C317" s="27" t="s">
        <v>53</v>
      </c>
      <c r="D317" s="27" t="s">
        <v>34</v>
      </c>
      <c r="E317" s="27">
        <v>39</v>
      </c>
    </row>
    <row r="318" spans="1:5" x14ac:dyDescent="0.4">
      <c r="A318" s="26">
        <v>44912</v>
      </c>
      <c r="B318" s="27" t="s">
        <v>52</v>
      </c>
      <c r="C318" s="27" t="s">
        <v>51</v>
      </c>
      <c r="D318" s="27" t="s">
        <v>34</v>
      </c>
      <c r="E318" s="27">
        <v>10</v>
      </c>
    </row>
    <row r="319" spans="1:5" x14ac:dyDescent="0.4">
      <c r="A319" s="26">
        <v>44912</v>
      </c>
      <c r="B319" s="27" t="s">
        <v>52</v>
      </c>
      <c r="C319" s="27" t="s">
        <v>37</v>
      </c>
      <c r="D319" s="27" t="s">
        <v>35</v>
      </c>
      <c r="E319" s="27">
        <v>28</v>
      </c>
    </row>
    <row r="320" spans="1:5" x14ac:dyDescent="0.4">
      <c r="A320" s="26">
        <v>44912</v>
      </c>
      <c r="B320" s="27" t="s">
        <v>39</v>
      </c>
      <c r="C320" s="27" t="s">
        <v>58</v>
      </c>
      <c r="D320" s="27" t="s">
        <v>35</v>
      </c>
      <c r="E320" s="27">
        <v>10</v>
      </c>
    </row>
    <row r="321" spans="1:5" x14ac:dyDescent="0.4">
      <c r="A321" s="26">
        <v>44917</v>
      </c>
      <c r="B321" s="27" t="s">
        <v>52</v>
      </c>
      <c r="C321" s="27" t="s">
        <v>33</v>
      </c>
      <c r="D321" s="27" t="s">
        <v>34</v>
      </c>
      <c r="E321" s="27">
        <v>32</v>
      </c>
    </row>
    <row r="322" spans="1:5" x14ac:dyDescent="0.4">
      <c r="A322" s="26">
        <v>44917</v>
      </c>
      <c r="B322" s="27" t="s">
        <v>52</v>
      </c>
      <c r="C322" s="27" t="s">
        <v>57</v>
      </c>
      <c r="D322" s="27" t="s">
        <v>34</v>
      </c>
      <c r="E322" s="27">
        <v>16</v>
      </c>
    </row>
    <row r="323" spans="1:5" x14ac:dyDescent="0.4">
      <c r="A323" s="26">
        <v>44917</v>
      </c>
      <c r="B323" s="27" t="s">
        <v>39</v>
      </c>
      <c r="C323" s="27" t="s">
        <v>53</v>
      </c>
      <c r="D323" s="27" t="s">
        <v>49</v>
      </c>
      <c r="E323" s="27">
        <v>117</v>
      </c>
    </row>
    <row r="324" spans="1:5" x14ac:dyDescent="0.4">
      <c r="A324" s="26">
        <v>44918</v>
      </c>
      <c r="B324" s="27" t="s">
        <v>25</v>
      </c>
      <c r="C324" s="27" t="s">
        <v>48</v>
      </c>
      <c r="D324" s="27" t="s">
        <v>35</v>
      </c>
      <c r="E324" s="27">
        <v>38</v>
      </c>
    </row>
    <row r="325" spans="1:5" x14ac:dyDescent="0.4">
      <c r="A325" s="26">
        <v>44918</v>
      </c>
      <c r="B325" s="27" t="s">
        <v>47</v>
      </c>
      <c r="C325" s="27" t="s">
        <v>30</v>
      </c>
      <c r="D325" s="27" t="s">
        <v>34</v>
      </c>
      <c r="E325" s="27">
        <v>44</v>
      </c>
    </row>
    <row r="326" spans="1:5" x14ac:dyDescent="0.4">
      <c r="A326" s="26">
        <v>44918</v>
      </c>
      <c r="B326" s="27" t="s">
        <v>54</v>
      </c>
      <c r="C326" s="27" t="s">
        <v>51</v>
      </c>
      <c r="D326" s="27" t="s">
        <v>35</v>
      </c>
      <c r="E326" s="27">
        <v>25</v>
      </c>
    </row>
    <row r="327" spans="1:5" x14ac:dyDescent="0.4">
      <c r="A327" s="26">
        <v>44918</v>
      </c>
      <c r="B327" s="27" t="s">
        <v>54</v>
      </c>
      <c r="C327" s="27" t="s">
        <v>55</v>
      </c>
      <c r="D327" s="27" t="s">
        <v>49</v>
      </c>
      <c r="E327" s="27">
        <v>70</v>
      </c>
    </row>
    <row r="328" spans="1:5" x14ac:dyDescent="0.4">
      <c r="A328" s="26">
        <v>44918</v>
      </c>
      <c r="B328" s="27" t="s">
        <v>54</v>
      </c>
      <c r="C328" s="27" t="s">
        <v>37</v>
      </c>
      <c r="D328" s="27" t="s">
        <v>35</v>
      </c>
      <c r="E328" s="27">
        <v>36</v>
      </c>
    </row>
    <row r="329" spans="1:5" x14ac:dyDescent="0.4">
      <c r="A329" s="26">
        <v>44918</v>
      </c>
      <c r="B329" s="27" t="s">
        <v>36</v>
      </c>
      <c r="C329" s="27" t="s">
        <v>58</v>
      </c>
      <c r="D329" s="27" t="s">
        <v>41</v>
      </c>
      <c r="E329" s="27">
        <v>49</v>
      </c>
    </row>
    <row r="330" spans="1:5" x14ac:dyDescent="0.4">
      <c r="A330" s="26">
        <v>44918</v>
      </c>
      <c r="B330" s="27" t="s">
        <v>52</v>
      </c>
      <c r="C330" s="27" t="s">
        <v>56</v>
      </c>
      <c r="D330" s="27" t="s">
        <v>34</v>
      </c>
      <c r="E330" s="27">
        <v>15</v>
      </c>
    </row>
    <row r="331" spans="1:5" x14ac:dyDescent="0.4">
      <c r="A331" s="26">
        <v>44918</v>
      </c>
      <c r="B331" s="27" t="s">
        <v>52</v>
      </c>
      <c r="C331" s="27" t="s">
        <v>33</v>
      </c>
      <c r="D331" s="27" t="s">
        <v>49</v>
      </c>
      <c r="E331" s="27">
        <v>65</v>
      </c>
    </row>
    <row r="332" spans="1:5" x14ac:dyDescent="0.4">
      <c r="A332" s="26">
        <v>44918</v>
      </c>
      <c r="B332" s="27" t="s">
        <v>39</v>
      </c>
      <c r="C332" s="27" t="s">
        <v>55</v>
      </c>
      <c r="D332" s="27" t="s">
        <v>49</v>
      </c>
      <c r="E332" s="27">
        <v>67</v>
      </c>
    </row>
    <row r="333" spans="1:5" x14ac:dyDescent="0.4">
      <c r="A333" s="26">
        <v>44918</v>
      </c>
      <c r="B333" s="27" t="s">
        <v>39</v>
      </c>
      <c r="C333" s="27" t="s">
        <v>51</v>
      </c>
      <c r="D333" s="27" t="s">
        <v>34</v>
      </c>
      <c r="E333" s="27">
        <v>43</v>
      </c>
    </row>
    <row r="334" spans="1:5" x14ac:dyDescent="0.4">
      <c r="A334" s="26">
        <v>44919</v>
      </c>
      <c r="B334" s="27" t="s">
        <v>47</v>
      </c>
      <c r="C334" s="27" t="s">
        <v>43</v>
      </c>
      <c r="D334" s="27" t="s">
        <v>34</v>
      </c>
      <c r="E334" s="27">
        <v>50</v>
      </c>
    </row>
    <row r="335" spans="1:5" x14ac:dyDescent="0.4">
      <c r="A335" s="26">
        <v>44919</v>
      </c>
      <c r="B335" s="27" t="s">
        <v>47</v>
      </c>
      <c r="C335" s="27" t="s">
        <v>55</v>
      </c>
      <c r="D335" s="27" t="s">
        <v>35</v>
      </c>
      <c r="E335" s="27">
        <v>25</v>
      </c>
    </row>
    <row r="336" spans="1:5" x14ac:dyDescent="0.4">
      <c r="A336" s="26">
        <v>44919</v>
      </c>
      <c r="B336" s="27" t="s">
        <v>54</v>
      </c>
      <c r="C336" s="27" t="s">
        <v>40</v>
      </c>
      <c r="D336" s="27" t="s">
        <v>49</v>
      </c>
      <c r="E336" s="27">
        <v>67</v>
      </c>
    </row>
    <row r="337" spans="1:5" x14ac:dyDescent="0.4">
      <c r="A337" s="26">
        <v>44919</v>
      </c>
      <c r="B337" s="27" t="s">
        <v>32</v>
      </c>
      <c r="C337" s="27" t="s">
        <v>30</v>
      </c>
      <c r="D337" s="27" t="s">
        <v>34</v>
      </c>
      <c r="E337" s="27">
        <v>13</v>
      </c>
    </row>
    <row r="338" spans="1:5" x14ac:dyDescent="0.4">
      <c r="A338" s="26">
        <v>44919</v>
      </c>
      <c r="B338" s="27" t="s">
        <v>52</v>
      </c>
      <c r="C338" s="27" t="s">
        <v>30</v>
      </c>
      <c r="D338" s="27" t="s">
        <v>35</v>
      </c>
      <c r="E338" s="27">
        <v>50</v>
      </c>
    </row>
    <row r="339" spans="1:5" x14ac:dyDescent="0.4">
      <c r="A339" s="26">
        <v>44919</v>
      </c>
      <c r="B339" s="27" t="s">
        <v>52</v>
      </c>
      <c r="C339" s="27" t="s">
        <v>33</v>
      </c>
      <c r="D339" s="27" t="s">
        <v>44</v>
      </c>
      <c r="E339" s="27">
        <v>10</v>
      </c>
    </row>
    <row r="340" spans="1:5" x14ac:dyDescent="0.4">
      <c r="A340" s="26">
        <v>44919</v>
      </c>
      <c r="B340" s="27" t="s">
        <v>39</v>
      </c>
      <c r="C340" s="27" t="s">
        <v>46</v>
      </c>
      <c r="D340" s="27" t="s">
        <v>44</v>
      </c>
      <c r="E340" s="27">
        <v>49</v>
      </c>
    </row>
    <row r="341" spans="1:5" x14ac:dyDescent="0.4">
      <c r="A341" s="26">
        <v>44919</v>
      </c>
      <c r="B341" s="27" t="s">
        <v>39</v>
      </c>
      <c r="C341" s="27" t="s">
        <v>53</v>
      </c>
      <c r="D341" s="27" t="s">
        <v>49</v>
      </c>
      <c r="E341" s="27">
        <v>33</v>
      </c>
    </row>
    <row r="342" spans="1:5" x14ac:dyDescent="0.4">
      <c r="A342" s="26">
        <v>44919</v>
      </c>
      <c r="B342" s="27" t="s">
        <v>39</v>
      </c>
      <c r="C342" s="27" t="s">
        <v>51</v>
      </c>
      <c r="D342" s="27" t="s">
        <v>35</v>
      </c>
      <c r="E342" s="27">
        <v>23</v>
      </c>
    </row>
    <row r="343" spans="1:5" x14ac:dyDescent="0.4">
      <c r="A343" s="26">
        <v>44919</v>
      </c>
      <c r="B343" s="27" t="s">
        <v>39</v>
      </c>
      <c r="C343" s="27" t="s">
        <v>33</v>
      </c>
      <c r="D343" s="27" t="s">
        <v>34</v>
      </c>
      <c r="E343" s="27">
        <v>27</v>
      </c>
    </row>
    <row r="344" spans="1:5" x14ac:dyDescent="0.4">
      <c r="A344" s="26">
        <v>44920</v>
      </c>
      <c r="B344" s="27" t="s">
        <v>32</v>
      </c>
      <c r="C344" s="27" t="s">
        <v>40</v>
      </c>
      <c r="D344" s="27" t="s">
        <v>49</v>
      </c>
      <c r="E344" s="27">
        <v>76</v>
      </c>
    </row>
    <row r="345" spans="1:5" x14ac:dyDescent="0.4">
      <c r="A345" s="26">
        <v>44921</v>
      </c>
      <c r="B345" s="27" t="s">
        <v>47</v>
      </c>
      <c r="C345" s="27" t="s">
        <v>40</v>
      </c>
      <c r="D345" s="27" t="s">
        <v>34</v>
      </c>
      <c r="E345" s="27">
        <v>49</v>
      </c>
    </row>
    <row r="346" spans="1:5" x14ac:dyDescent="0.4">
      <c r="A346" s="26">
        <v>44921</v>
      </c>
      <c r="B346" s="27" t="s">
        <v>39</v>
      </c>
      <c r="C346" s="27" t="s">
        <v>33</v>
      </c>
      <c r="D346" s="27" t="s">
        <v>34</v>
      </c>
      <c r="E346" s="27">
        <v>15</v>
      </c>
    </row>
    <row r="347" spans="1:5" x14ac:dyDescent="0.4">
      <c r="A347" s="26">
        <v>44925</v>
      </c>
      <c r="B347" s="27" t="s">
        <v>54</v>
      </c>
      <c r="C347" s="27" t="s">
        <v>48</v>
      </c>
      <c r="D347" s="27" t="s">
        <v>34</v>
      </c>
      <c r="E347" s="27">
        <v>37</v>
      </c>
    </row>
    <row r="348" spans="1:5" x14ac:dyDescent="0.4">
      <c r="A348" s="26">
        <v>44927</v>
      </c>
      <c r="B348" s="27" t="s">
        <v>47</v>
      </c>
      <c r="C348" s="27" t="s">
        <v>33</v>
      </c>
      <c r="D348" s="27" t="s">
        <v>41</v>
      </c>
      <c r="E348" s="27">
        <v>27</v>
      </c>
    </row>
    <row r="349" spans="1:5" x14ac:dyDescent="0.4">
      <c r="A349" s="26">
        <v>44927</v>
      </c>
      <c r="B349" s="27" t="s">
        <v>54</v>
      </c>
      <c r="C349" s="27" t="s">
        <v>51</v>
      </c>
      <c r="D349" s="27" t="s">
        <v>34</v>
      </c>
      <c r="E349" s="27">
        <v>50</v>
      </c>
    </row>
    <row r="350" spans="1:5" x14ac:dyDescent="0.4">
      <c r="A350" s="26">
        <v>44927</v>
      </c>
      <c r="B350" s="27" t="s">
        <v>54</v>
      </c>
      <c r="C350" s="27" t="s">
        <v>40</v>
      </c>
      <c r="D350" s="27" t="s">
        <v>44</v>
      </c>
      <c r="E350" s="27">
        <v>17</v>
      </c>
    </row>
    <row r="351" spans="1:5" x14ac:dyDescent="0.4">
      <c r="A351" s="26">
        <v>44927</v>
      </c>
      <c r="B351" s="27" t="s">
        <v>32</v>
      </c>
      <c r="C351" s="27" t="s">
        <v>43</v>
      </c>
      <c r="D351" s="27" t="s">
        <v>49</v>
      </c>
      <c r="E351" s="27">
        <v>70</v>
      </c>
    </row>
    <row r="352" spans="1:5" x14ac:dyDescent="0.4">
      <c r="A352" s="26">
        <v>44927</v>
      </c>
      <c r="B352" s="27" t="s">
        <v>32</v>
      </c>
      <c r="C352" s="27" t="s">
        <v>46</v>
      </c>
      <c r="D352" s="27" t="s">
        <v>49</v>
      </c>
      <c r="E352" s="27">
        <v>112</v>
      </c>
    </row>
    <row r="353" spans="1:5" x14ac:dyDescent="0.4">
      <c r="A353" s="26">
        <v>44927</v>
      </c>
      <c r="B353" s="27" t="s">
        <v>32</v>
      </c>
      <c r="C353" s="27" t="s">
        <v>51</v>
      </c>
      <c r="D353" s="27" t="s">
        <v>35</v>
      </c>
      <c r="E353" s="27">
        <v>16</v>
      </c>
    </row>
    <row r="354" spans="1:5" x14ac:dyDescent="0.4">
      <c r="A354" s="26">
        <v>44927</v>
      </c>
      <c r="B354" s="27" t="s">
        <v>36</v>
      </c>
      <c r="C354" s="27" t="s">
        <v>37</v>
      </c>
      <c r="D354" s="27" t="s">
        <v>49</v>
      </c>
      <c r="E354" s="27">
        <v>59</v>
      </c>
    </row>
    <row r="355" spans="1:5" x14ac:dyDescent="0.4">
      <c r="A355" s="26">
        <v>44927</v>
      </c>
      <c r="B355" s="27" t="s">
        <v>52</v>
      </c>
      <c r="C355" s="27" t="s">
        <v>30</v>
      </c>
      <c r="D355" s="27" t="s">
        <v>35</v>
      </c>
      <c r="E355" s="27">
        <v>49</v>
      </c>
    </row>
    <row r="356" spans="1:5" x14ac:dyDescent="0.4">
      <c r="A356" s="26">
        <v>44927</v>
      </c>
      <c r="B356" s="27" t="s">
        <v>52</v>
      </c>
      <c r="C356" s="27" t="s">
        <v>53</v>
      </c>
      <c r="D356" s="27" t="s">
        <v>35</v>
      </c>
      <c r="E356" s="27">
        <v>44</v>
      </c>
    </row>
    <row r="357" spans="1:5" x14ac:dyDescent="0.4">
      <c r="A357" s="26">
        <v>44927</v>
      </c>
      <c r="B357" s="27" t="s">
        <v>52</v>
      </c>
      <c r="C357" s="27" t="s">
        <v>57</v>
      </c>
      <c r="D357" s="27" t="s">
        <v>44</v>
      </c>
      <c r="E357" s="27">
        <v>45</v>
      </c>
    </row>
    <row r="358" spans="1:5" x14ac:dyDescent="0.4">
      <c r="A358" s="26">
        <v>44927</v>
      </c>
      <c r="B358" s="27" t="s">
        <v>52</v>
      </c>
      <c r="C358" s="27" t="s">
        <v>55</v>
      </c>
      <c r="D358" s="27" t="s">
        <v>34</v>
      </c>
      <c r="E358" s="27">
        <v>31</v>
      </c>
    </row>
    <row r="359" spans="1:5" x14ac:dyDescent="0.4">
      <c r="A359" s="26">
        <v>44927</v>
      </c>
      <c r="B359" s="27" t="s">
        <v>39</v>
      </c>
      <c r="C359" s="27" t="s">
        <v>58</v>
      </c>
      <c r="D359" s="27" t="s">
        <v>49</v>
      </c>
      <c r="E359" s="27">
        <v>132</v>
      </c>
    </row>
    <row r="360" spans="1:5" x14ac:dyDescent="0.4">
      <c r="A360" s="26">
        <v>44927</v>
      </c>
      <c r="B360" s="27" t="s">
        <v>39</v>
      </c>
      <c r="C360" s="27" t="s">
        <v>46</v>
      </c>
      <c r="D360" s="27" t="s">
        <v>34</v>
      </c>
      <c r="E360" s="27">
        <v>18</v>
      </c>
    </row>
    <row r="361" spans="1:5" x14ac:dyDescent="0.4">
      <c r="A361" s="26">
        <v>44928</v>
      </c>
      <c r="B361" s="27" t="s">
        <v>47</v>
      </c>
      <c r="C361" s="27" t="s">
        <v>56</v>
      </c>
      <c r="D361" s="27" t="s">
        <v>35</v>
      </c>
      <c r="E361" s="27">
        <v>20</v>
      </c>
    </row>
    <row r="362" spans="1:5" x14ac:dyDescent="0.4">
      <c r="A362" s="26">
        <v>44928</v>
      </c>
      <c r="B362" s="27" t="s">
        <v>54</v>
      </c>
      <c r="C362" s="27" t="s">
        <v>33</v>
      </c>
      <c r="D362" s="27" t="s">
        <v>34</v>
      </c>
      <c r="E362" s="27">
        <v>33</v>
      </c>
    </row>
    <row r="363" spans="1:5" x14ac:dyDescent="0.4">
      <c r="A363" s="26">
        <v>44928</v>
      </c>
      <c r="B363" s="27" t="s">
        <v>54</v>
      </c>
      <c r="C363" s="27" t="s">
        <v>58</v>
      </c>
      <c r="D363" s="27" t="s">
        <v>35</v>
      </c>
      <c r="E363" s="27">
        <v>19</v>
      </c>
    </row>
    <row r="364" spans="1:5" x14ac:dyDescent="0.4">
      <c r="A364" s="26">
        <v>44928</v>
      </c>
      <c r="B364" s="27" t="s">
        <v>54</v>
      </c>
      <c r="C364" s="27" t="s">
        <v>33</v>
      </c>
      <c r="D364" s="27" t="s">
        <v>34</v>
      </c>
      <c r="E364" s="27">
        <v>49</v>
      </c>
    </row>
    <row r="365" spans="1:5" x14ac:dyDescent="0.4">
      <c r="A365" s="26">
        <v>44928</v>
      </c>
      <c r="B365" s="27" t="s">
        <v>32</v>
      </c>
      <c r="C365" s="27" t="s">
        <v>37</v>
      </c>
      <c r="D365" s="27" t="s">
        <v>49</v>
      </c>
      <c r="E365" s="27">
        <v>115</v>
      </c>
    </row>
    <row r="366" spans="1:5" x14ac:dyDescent="0.4">
      <c r="A366" s="26">
        <v>44928</v>
      </c>
      <c r="B366" s="27" t="s">
        <v>36</v>
      </c>
      <c r="C366" s="27" t="s">
        <v>40</v>
      </c>
      <c r="D366" s="27" t="s">
        <v>34</v>
      </c>
      <c r="E366" s="27">
        <v>15</v>
      </c>
    </row>
    <row r="367" spans="1:5" x14ac:dyDescent="0.4">
      <c r="A367" s="26">
        <v>44928</v>
      </c>
      <c r="B367" s="27" t="s">
        <v>52</v>
      </c>
      <c r="C367" s="27" t="s">
        <v>53</v>
      </c>
      <c r="D367" s="27" t="s">
        <v>49</v>
      </c>
      <c r="E367" s="27">
        <v>106</v>
      </c>
    </row>
    <row r="368" spans="1:5" x14ac:dyDescent="0.4">
      <c r="A368" s="26">
        <v>44928</v>
      </c>
      <c r="B368" s="27" t="s">
        <v>39</v>
      </c>
      <c r="C368" s="27" t="s">
        <v>55</v>
      </c>
      <c r="D368" s="27" t="s">
        <v>34</v>
      </c>
      <c r="E368" s="27">
        <v>39</v>
      </c>
    </row>
    <row r="369" spans="1:5" x14ac:dyDescent="0.4">
      <c r="A369" s="26">
        <v>44928</v>
      </c>
      <c r="B369" s="27" t="s">
        <v>39</v>
      </c>
      <c r="C369" s="27" t="s">
        <v>48</v>
      </c>
      <c r="D369" s="27" t="s">
        <v>49</v>
      </c>
      <c r="E369" s="27">
        <v>109</v>
      </c>
    </row>
    <row r="370" spans="1:5" x14ac:dyDescent="0.4">
      <c r="A370" s="26">
        <v>44937</v>
      </c>
      <c r="B370" s="27" t="s">
        <v>25</v>
      </c>
      <c r="C370" s="27" t="s">
        <v>37</v>
      </c>
      <c r="D370" s="27" t="s">
        <v>34</v>
      </c>
      <c r="E370" s="27">
        <v>48</v>
      </c>
    </row>
    <row r="371" spans="1:5" x14ac:dyDescent="0.4">
      <c r="A371" s="26">
        <v>44937</v>
      </c>
      <c r="B371" s="27" t="s">
        <v>54</v>
      </c>
      <c r="C371" s="27" t="s">
        <v>55</v>
      </c>
      <c r="D371" s="27" t="s">
        <v>34</v>
      </c>
      <c r="E371" s="27">
        <v>27</v>
      </c>
    </row>
    <row r="372" spans="1:5" x14ac:dyDescent="0.4">
      <c r="A372" s="26">
        <v>44937</v>
      </c>
      <c r="B372" s="27" t="s">
        <v>32</v>
      </c>
      <c r="C372" s="27" t="s">
        <v>57</v>
      </c>
      <c r="D372" s="27" t="s">
        <v>49</v>
      </c>
      <c r="E372" s="27">
        <v>112</v>
      </c>
    </row>
    <row r="373" spans="1:5" x14ac:dyDescent="0.4">
      <c r="A373" s="26">
        <v>44937</v>
      </c>
      <c r="B373" s="27" t="s">
        <v>52</v>
      </c>
      <c r="C373" s="27" t="s">
        <v>51</v>
      </c>
      <c r="D373" s="27" t="s">
        <v>35</v>
      </c>
      <c r="E373" s="27">
        <v>26</v>
      </c>
    </row>
    <row r="374" spans="1:5" x14ac:dyDescent="0.4">
      <c r="A374" s="26">
        <v>44937</v>
      </c>
      <c r="B374" s="27" t="s">
        <v>52</v>
      </c>
      <c r="C374" s="27" t="s">
        <v>53</v>
      </c>
      <c r="D374" s="27" t="s">
        <v>34</v>
      </c>
      <c r="E374" s="27">
        <v>40</v>
      </c>
    </row>
    <row r="375" spans="1:5" x14ac:dyDescent="0.4">
      <c r="A375" s="26">
        <v>44937</v>
      </c>
      <c r="B375" s="27" t="s">
        <v>39</v>
      </c>
      <c r="C375" s="27" t="s">
        <v>40</v>
      </c>
      <c r="D375" s="27" t="s">
        <v>49</v>
      </c>
      <c r="E375" s="27">
        <v>30</v>
      </c>
    </row>
    <row r="376" spans="1:5" x14ac:dyDescent="0.4">
      <c r="A376" s="26">
        <v>44937</v>
      </c>
      <c r="B376" s="27" t="s">
        <v>39</v>
      </c>
      <c r="C376" s="27" t="s">
        <v>48</v>
      </c>
      <c r="D376" s="27" t="s">
        <v>35</v>
      </c>
      <c r="E376" s="27">
        <v>47</v>
      </c>
    </row>
    <row r="377" spans="1:5" x14ac:dyDescent="0.4">
      <c r="A377" s="26">
        <v>44937</v>
      </c>
      <c r="B377" s="27" t="s">
        <v>39</v>
      </c>
      <c r="C377" s="27" t="s">
        <v>33</v>
      </c>
      <c r="D377" s="27" t="s">
        <v>34</v>
      </c>
      <c r="E377" s="27">
        <v>18</v>
      </c>
    </row>
    <row r="378" spans="1:5" x14ac:dyDescent="0.4">
      <c r="A378" s="26">
        <v>44937</v>
      </c>
      <c r="B378" s="27" t="s">
        <v>39</v>
      </c>
      <c r="C378" s="27" t="s">
        <v>40</v>
      </c>
      <c r="D378" s="27" t="s">
        <v>49</v>
      </c>
      <c r="E378" s="27">
        <v>101</v>
      </c>
    </row>
    <row r="379" spans="1:5" x14ac:dyDescent="0.4">
      <c r="A379" s="26">
        <v>44937</v>
      </c>
      <c r="B379" s="27" t="s">
        <v>39</v>
      </c>
      <c r="C379" s="27" t="s">
        <v>43</v>
      </c>
      <c r="D379" s="27" t="s">
        <v>49</v>
      </c>
      <c r="E379" s="27">
        <v>135</v>
      </c>
    </row>
    <row r="380" spans="1:5" x14ac:dyDescent="0.4">
      <c r="A380" s="26">
        <v>44938</v>
      </c>
      <c r="B380" s="27" t="s">
        <v>47</v>
      </c>
      <c r="C380" s="27" t="s">
        <v>55</v>
      </c>
      <c r="D380" s="27" t="s">
        <v>35</v>
      </c>
      <c r="E380" s="27">
        <v>45</v>
      </c>
    </row>
    <row r="381" spans="1:5" x14ac:dyDescent="0.4">
      <c r="A381" s="26">
        <v>44938</v>
      </c>
      <c r="B381" s="27" t="s">
        <v>47</v>
      </c>
      <c r="C381" s="27" t="s">
        <v>53</v>
      </c>
      <c r="D381" s="27" t="s">
        <v>49</v>
      </c>
      <c r="E381" s="27">
        <v>76</v>
      </c>
    </row>
    <row r="382" spans="1:5" x14ac:dyDescent="0.4">
      <c r="A382" s="26">
        <v>44938</v>
      </c>
      <c r="B382" s="27" t="s">
        <v>54</v>
      </c>
      <c r="C382" s="27" t="s">
        <v>40</v>
      </c>
      <c r="D382" s="27" t="s">
        <v>34</v>
      </c>
      <c r="E382" s="27">
        <v>27</v>
      </c>
    </row>
    <row r="383" spans="1:5" x14ac:dyDescent="0.4">
      <c r="A383" s="26">
        <v>44938</v>
      </c>
      <c r="B383" s="27" t="s">
        <v>32</v>
      </c>
      <c r="C383" s="27" t="s">
        <v>48</v>
      </c>
      <c r="D383" s="27" t="s">
        <v>35</v>
      </c>
      <c r="E383" s="27">
        <v>50</v>
      </c>
    </row>
    <row r="384" spans="1:5" x14ac:dyDescent="0.4">
      <c r="A384" s="26">
        <v>44938</v>
      </c>
      <c r="B384" s="27" t="s">
        <v>39</v>
      </c>
      <c r="C384" s="27" t="s">
        <v>46</v>
      </c>
      <c r="D384" s="27" t="s">
        <v>49</v>
      </c>
      <c r="E384" s="27">
        <v>89</v>
      </c>
    </row>
    <row r="385" spans="1:5" x14ac:dyDescent="0.4">
      <c r="A385" s="26">
        <v>44938</v>
      </c>
      <c r="B385" s="27" t="s">
        <v>39</v>
      </c>
      <c r="C385" s="27" t="s">
        <v>56</v>
      </c>
      <c r="D385" s="27" t="s">
        <v>34</v>
      </c>
      <c r="E385" s="27">
        <v>20</v>
      </c>
    </row>
    <row r="386" spans="1:5" x14ac:dyDescent="0.4">
      <c r="A386" s="26">
        <v>44941</v>
      </c>
      <c r="B386" s="27" t="s">
        <v>54</v>
      </c>
      <c r="C386" s="27" t="s">
        <v>58</v>
      </c>
      <c r="D386" s="27" t="s">
        <v>35</v>
      </c>
      <c r="E386" s="27">
        <v>47</v>
      </c>
    </row>
    <row r="387" spans="1:5" x14ac:dyDescent="0.4">
      <c r="A387" s="26">
        <v>44941</v>
      </c>
      <c r="B387" s="27" t="s">
        <v>54</v>
      </c>
      <c r="C387" s="27" t="s">
        <v>40</v>
      </c>
      <c r="D387" s="27" t="s">
        <v>34</v>
      </c>
      <c r="E387" s="27">
        <v>42</v>
      </c>
    </row>
    <row r="388" spans="1:5" x14ac:dyDescent="0.4">
      <c r="A388" s="26">
        <v>44941</v>
      </c>
      <c r="B388" s="27" t="s">
        <v>32</v>
      </c>
      <c r="C388" s="27" t="s">
        <v>57</v>
      </c>
      <c r="D388" s="27" t="s">
        <v>35</v>
      </c>
      <c r="E388" s="27">
        <v>48</v>
      </c>
    </row>
    <row r="389" spans="1:5" x14ac:dyDescent="0.4">
      <c r="A389" s="26">
        <v>44941</v>
      </c>
      <c r="B389" s="27" t="s">
        <v>36</v>
      </c>
      <c r="C389" s="27" t="s">
        <v>33</v>
      </c>
      <c r="D389" s="27" t="s">
        <v>49</v>
      </c>
      <c r="E389" s="27">
        <v>42</v>
      </c>
    </row>
    <row r="390" spans="1:5" x14ac:dyDescent="0.4">
      <c r="A390" s="26">
        <v>44941</v>
      </c>
      <c r="B390" s="27" t="s">
        <v>52</v>
      </c>
      <c r="C390" s="27" t="s">
        <v>46</v>
      </c>
      <c r="D390" s="27" t="s">
        <v>44</v>
      </c>
      <c r="E390" s="27">
        <v>40</v>
      </c>
    </row>
    <row r="391" spans="1:5" x14ac:dyDescent="0.4">
      <c r="A391" s="26">
        <v>44941</v>
      </c>
      <c r="B391" s="27" t="s">
        <v>52</v>
      </c>
      <c r="C391" s="27" t="s">
        <v>30</v>
      </c>
      <c r="D391" s="27" t="s">
        <v>49</v>
      </c>
      <c r="E391" s="27">
        <v>81</v>
      </c>
    </row>
    <row r="392" spans="1:5" x14ac:dyDescent="0.4">
      <c r="A392" s="26">
        <v>44941</v>
      </c>
      <c r="B392" s="27" t="s">
        <v>52</v>
      </c>
      <c r="C392" s="27" t="s">
        <v>46</v>
      </c>
      <c r="D392" s="27" t="s">
        <v>34</v>
      </c>
      <c r="E392" s="27">
        <v>42</v>
      </c>
    </row>
    <row r="393" spans="1:5" x14ac:dyDescent="0.4">
      <c r="A393" s="26">
        <v>44941</v>
      </c>
      <c r="B393" s="27" t="s">
        <v>39</v>
      </c>
      <c r="C393" s="27" t="s">
        <v>53</v>
      </c>
      <c r="D393" s="27" t="s">
        <v>35</v>
      </c>
      <c r="E393" s="27">
        <v>37</v>
      </c>
    </row>
    <row r="394" spans="1:5" x14ac:dyDescent="0.4">
      <c r="A394" s="26">
        <v>44942</v>
      </c>
      <c r="B394" s="27" t="s">
        <v>47</v>
      </c>
      <c r="C394" s="27" t="s">
        <v>48</v>
      </c>
      <c r="D394" s="27" t="s">
        <v>49</v>
      </c>
      <c r="E394" s="27">
        <v>73</v>
      </c>
    </row>
    <row r="395" spans="1:5" x14ac:dyDescent="0.4">
      <c r="A395" s="26">
        <v>44942</v>
      </c>
      <c r="B395" s="27" t="s">
        <v>47</v>
      </c>
      <c r="C395" s="27" t="s">
        <v>56</v>
      </c>
      <c r="D395" s="27" t="s">
        <v>49</v>
      </c>
      <c r="E395" s="27">
        <v>50</v>
      </c>
    </row>
    <row r="396" spans="1:5" x14ac:dyDescent="0.4">
      <c r="A396" s="26">
        <v>44942</v>
      </c>
      <c r="B396" s="27" t="s">
        <v>47</v>
      </c>
      <c r="C396" s="27" t="s">
        <v>33</v>
      </c>
      <c r="D396" s="27" t="s">
        <v>49</v>
      </c>
      <c r="E396" s="27">
        <v>70</v>
      </c>
    </row>
    <row r="397" spans="1:5" x14ac:dyDescent="0.4">
      <c r="A397" s="26">
        <v>44942</v>
      </c>
      <c r="B397" s="27" t="s">
        <v>54</v>
      </c>
      <c r="C397" s="27" t="s">
        <v>33</v>
      </c>
      <c r="D397" s="27" t="s">
        <v>35</v>
      </c>
      <c r="E397" s="27">
        <v>34</v>
      </c>
    </row>
    <row r="398" spans="1:5" x14ac:dyDescent="0.4">
      <c r="A398" s="26">
        <v>44942</v>
      </c>
      <c r="B398" s="27" t="s">
        <v>54</v>
      </c>
      <c r="C398" s="27" t="s">
        <v>40</v>
      </c>
      <c r="D398" s="27" t="s">
        <v>35</v>
      </c>
      <c r="E398" s="27">
        <v>37</v>
      </c>
    </row>
    <row r="399" spans="1:5" x14ac:dyDescent="0.4">
      <c r="A399" s="26">
        <v>44942</v>
      </c>
      <c r="B399" s="27" t="s">
        <v>54</v>
      </c>
      <c r="C399" s="27" t="s">
        <v>30</v>
      </c>
      <c r="D399" s="27" t="s">
        <v>34</v>
      </c>
      <c r="E399" s="27">
        <v>41</v>
      </c>
    </row>
    <row r="400" spans="1:5" x14ac:dyDescent="0.4">
      <c r="A400" s="26">
        <v>44942</v>
      </c>
      <c r="B400" s="27" t="s">
        <v>36</v>
      </c>
      <c r="C400" s="27" t="s">
        <v>51</v>
      </c>
      <c r="D400" s="27" t="s">
        <v>34</v>
      </c>
      <c r="E400" s="27">
        <v>33</v>
      </c>
    </row>
    <row r="401" spans="1:5" x14ac:dyDescent="0.4">
      <c r="A401" s="26">
        <v>44942</v>
      </c>
      <c r="B401" s="27" t="s">
        <v>52</v>
      </c>
      <c r="C401" s="27" t="s">
        <v>55</v>
      </c>
      <c r="D401" s="27" t="s">
        <v>34</v>
      </c>
      <c r="E401" s="27">
        <v>49</v>
      </c>
    </row>
    <row r="402" spans="1:5" x14ac:dyDescent="0.4">
      <c r="A402" s="26">
        <v>44942</v>
      </c>
      <c r="B402" s="27" t="s">
        <v>52</v>
      </c>
      <c r="C402" s="27" t="s">
        <v>30</v>
      </c>
      <c r="D402" s="27" t="s">
        <v>49</v>
      </c>
      <c r="E402" s="27">
        <v>30</v>
      </c>
    </row>
    <row r="403" spans="1:5" x14ac:dyDescent="0.4">
      <c r="A403" s="26">
        <v>44942</v>
      </c>
      <c r="B403" s="27" t="s">
        <v>52</v>
      </c>
      <c r="C403" s="27" t="s">
        <v>53</v>
      </c>
      <c r="D403" s="27" t="s">
        <v>34</v>
      </c>
      <c r="E403" s="27">
        <v>14</v>
      </c>
    </row>
    <row r="404" spans="1:5" x14ac:dyDescent="0.4">
      <c r="A404" s="26">
        <v>44942</v>
      </c>
      <c r="B404" s="27" t="s">
        <v>39</v>
      </c>
      <c r="C404" s="27" t="s">
        <v>37</v>
      </c>
      <c r="D404" s="27" t="s">
        <v>49</v>
      </c>
      <c r="E404" s="27">
        <v>45</v>
      </c>
    </row>
    <row r="405" spans="1:5" x14ac:dyDescent="0.4">
      <c r="A405" s="26">
        <v>44945</v>
      </c>
      <c r="B405" s="27" t="s">
        <v>54</v>
      </c>
      <c r="C405" s="27" t="s">
        <v>51</v>
      </c>
      <c r="D405" s="27" t="s">
        <v>35</v>
      </c>
      <c r="E405" s="27">
        <v>48</v>
      </c>
    </row>
    <row r="406" spans="1:5" x14ac:dyDescent="0.4">
      <c r="A406" s="26">
        <v>44945</v>
      </c>
      <c r="B406" s="27" t="s">
        <v>54</v>
      </c>
      <c r="C406" s="27" t="s">
        <v>37</v>
      </c>
      <c r="D406" s="27" t="s">
        <v>34</v>
      </c>
      <c r="E406" s="27">
        <v>49</v>
      </c>
    </row>
    <row r="407" spans="1:5" x14ac:dyDescent="0.4">
      <c r="A407" s="26">
        <v>44945</v>
      </c>
      <c r="B407" s="27" t="s">
        <v>36</v>
      </c>
      <c r="C407" s="27" t="s">
        <v>58</v>
      </c>
      <c r="D407" s="27" t="s">
        <v>34</v>
      </c>
      <c r="E407" s="27">
        <v>45</v>
      </c>
    </row>
    <row r="408" spans="1:5" x14ac:dyDescent="0.4">
      <c r="A408" s="26">
        <v>44945</v>
      </c>
      <c r="B408" s="27" t="s">
        <v>36</v>
      </c>
      <c r="C408" s="27" t="s">
        <v>46</v>
      </c>
      <c r="D408" s="27" t="s">
        <v>49</v>
      </c>
      <c r="E408" s="27">
        <v>86</v>
      </c>
    </row>
    <row r="409" spans="1:5" x14ac:dyDescent="0.4">
      <c r="A409" s="26">
        <v>44945</v>
      </c>
      <c r="B409" s="27" t="s">
        <v>52</v>
      </c>
      <c r="C409" s="27" t="s">
        <v>55</v>
      </c>
      <c r="D409" s="27" t="s">
        <v>49</v>
      </c>
      <c r="E409" s="27">
        <v>109</v>
      </c>
    </row>
    <row r="410" spans="1:5" x14ac:dyDescent="0.4">
      <c r="A410" s="26">
        <v>44945</v>
      </c>
      <c r="B410" s="27" t="s">
        <v>39</v>
      </c>
      <c r="C410" s="27" t="s">
        <v>30</v>
      </c>
      <c r="D410" s="27" t="s">
        <v>49</v>
      </c>
      <c r="E410" s="27">
        <v>115</v>
      </c>
    </row>
    <row r="411" spans="1:5" x14ac:dyDescent="0.4">
      <c r="A411" s="26">
        <v>44946</v>
      </c>
      <c r="B411" s="27" t="s">
        <v>54</v>
      </c>
      <c r="C411" s="27" t="s">
        <v>33</v>
      </c>
      <c r="D411" s="27" t="s">
        <v>34</v>
      </c>
      <c r="E411" s="27">
        <v>20</v>
      </c>
    </row>
    <row r="412" spans="1:5" x14ac:dyDescent="0.4">
      <c r="A412" s="26">
        <v>44946</v>
      </c>
      <c r="B412" s="27" t="s">
        <v>32</v>
      </c>
      <c r="C412" s="27" t="s">
        <v>43</v>
      </c>
      <c r="D412" s="27" t="s">
        <v>44</v>
      </c>
      <c r="E412" s="27">
        <v>11</v>
      </c>
    </row>
    <row r="413" spans="1:5" x14ac:dyDescent="0.4">
      <c r="A413" s="26">
        <v>44946</v>
      </c>
      <c r="B413" s="27" t="s">
        <v>52</v>
      </c>
      <c r="C413" s="27" t="s">
        <v>53</v>
      </c>
      <c r="D413" s="27" t="s">
        <v>35</v>
      </c>
      <c r="E413" s="27">
        <v>23</v>
      </c>
    </row>
    <row r="414" spans="1:5" x14ac:dyDescent="0.4">
      <c r="A414" s="26">
        <v>44946</v>
      </c>
      <c r="B414" s="27" t="s">
        <v>39</v>
      </c>
      <c r="C414" s="27" t="s">
        <v>57</v>
      </c>
      <c r="D414" s="27" t="s">
        <v>41</v>
      </c>
      <c r="E414" s="27">
        <v>46</v>
      </c>
    </row>
    <row r="415" spans="1:5" x14ac:dyDescent="0.4">
      <c r="A415" s="26">
        <v>44946</v>
      </c>
      <c r="B415" s="27" t="s">
        <v>39</v>
      </c>
      <c r="C415" s="27" t="s">
        <v>46</v>
      </c>
      <c r="D415" s="27" t="s">
        <v>35</v>
      </c>
      <c r="E415" s="27">
        <v>11</v>
      </c>
    </row>
    <row r="416" spans="1:5" x14ac:dyDescent="0.4">
      <c r="A416" s="26">
        <v>44947</v>
      </c>
      <c r="B416" s="27" t="s">
        <v>47</v>
      </c>
      <c r="C416" s="27" t="s">
        <v>40</v>
      </c>
      <c r="D416" s="27" t="s">
        <v>35</v>
      </c>
      <c r="E416" s="27">
        <v>40</v>
      </c>
    </row>
    <row r="417" spans="1:5" x14ac:dyDescent="0.4">
      <c r="A417" s="26">
        <v>44947</v>
      </c>
      <c r="B417" s="27" t="s">
        <v>47</v>
      </c>
      <c r="C417" s="27" t="s">
        <v>55</v>
      </c>
      <c r="D417" s="27" t="s">
        <v>34</v>
      </c>
      <c r="E417" s="27">
        <v>45</v>
      </c>
    </row>
    <row r="418" spans="1:5" x14ac:dyDescent="0.4">
      <c r="A418" s="26">
        <v>44947</v>
      </c>
      <c r="B418" s="27" t="s">
        <v>54</v>
      </c>
      <c r="C418" s="27" t="s">
        <v>48</v>
      </c>
      <c r="D418" s="27" t="s">
        <v>49</v>
      </c>
      <c r="E418" s="27">
        <v>90</v>
      </c>
    </row>
    <row r="419" spans="1:5" x14ac:dyDescent="0.4">
      <c r="A419" s="26">
        <v>44947</v>
      </c>
      <c r="B419" s="27" t="s">
        <v>54</v>
      </c>
      <c r="C419" s="27" t="s">
        <v>30</v>
      </c>
      <c r="D419" s="27" t="s">
        <v>35</v>
      </c>
      <c r="E419" s="27">
        <v>24</v>
      </c>
    </row>
    <row r="420" spans="1:5" x14ac:dyDescent="0.4">
      <c r="A420" s="26">
        <v>44947</v>
      </c>
      <c r="B420" s="27" t="s">
        <v>54</v>
      </c>
      <c r="C420" s="27" t="s">
        <v>53</v>
      </c>
      <c r="D420" s="27" t="s">
        <v>34</v>
      </c>
      <c r="E420" s="27">
        <v>26</v>
      </c>
    </row>
    <row r="421" spans="1:5" x14ac:dyDescent="0.4">
      <c r="A421" s="26">
        <v>44947</v>
      </c>
      <c r="B421" s="27" t="s">
        <v>32</v>
      </c>
      <c r="C421" s="27" t="s">
        <v>37</v>
      </c>
      <c r="D421" s="27" t="s">
        <v>34</v>
      </c>
      <c r="E421" s="27">
        <v>21</v>
      </c>
    </row>
    <row r="422" spans="1:5" x14ac:dyDescent="0.4">
      <c r="A422" s="26">
        <v>44947</v>
      </c>
      <c r="B422" s="27" t="s">
        <v>52</v>
      </c>
      <c r="C422" s="27" t="s">
        <v>55</v>
      </c>
      <c r="D422" s="27" t="s">
        <v>44</v>
      </c>
      <c r="E422" s="27">
        <v>38</v>
      </c>
    </row>
    <row r="423" spans="1:5" x14ac:dyDescent="0.4">
      <c r="A423" s="26">
        <v>44947</v>
      </c>
      <c r="B423" s="27" t="s">
        <v>39</v>
      </c>
      <c r="C423" s="27" t="s">
        <v>51</v>
      </c>
      <c r="D423" s="27" t="s">
        <v>49</v>
      </c>
      <c r="E423" s="27">
        <v>103</v>
      </c>
    </row>
    <row r="424" spans="1:5" x14ac:dyDescent="0.4">
      <c r="A424" s="26">
        <v>44948</v>
      </c>
      <c r="B424" s="27" t="s">
        <v>25</v>
      </c>
      <c r="C424" s="27" t="s">
        <v>46</v>
      </c>
      <c r="D424" s="27" t="s">
        <v>49</v>
      </c>
      <c r="E424" s="27">
        <v>39</v>
      </c>
    </row>
    <row r="425" spans="1:5" x14ac:dyDescent="0.4">
      <c r="A425" s="26">
        <v>44948</v>
      </c>
      <c r="B425" s="27" t="s">
        <v>47</v>
      </c>
      <c r="C425" s="27" t="s">
        <v>33</v>
      </c>
      <c r="D425" s="27" t="s">
        <v>49</v>
      </c>
      <c r="E425" s="27">
        <v>106</v>
      </c>
    </row>
    <row r="426" spans="1:5" x14ac:dyDescent="0.4">
      <c r="A426" s="26">
        <v>44948</v>
      </c>
      <c r="B426" s="27" t="s">
        <v>54</v>
      </c>
      <c r="C426" s="27" t="s">
        <v>58</v>
      </c>
      <c r="D426" s="27" t="s">
        <v>34</v>
      </c>
      <c r="E426" s="27">
        <v>47</v>
      </c>
    </row>
    <row r="427" spans="1:5" x14ac:dyDescent="0.4">
      <c r="A427" s="26">
        <v>44948</v>
      </c>
      <c r="B427" s="27" t="s">
        <v>52</v>
      </c>
      <c r="C427" s="27" t="s">
        <v>51</v>
      </c>
      <c r="D427" s="27" t="s">
        <v>49</v>
      </c>
      <c r="E427" s="27">
        <v>106</v>
      </c>
    </row>
    <row r="428" spans="1:5" x14ac:dyDescent="0.4">
      <c r="A428" s="26">
        <v>44948</v>
      </c>
      <c r="B428" s="27" t="s">
        <v>39</v>
      </c>
      <c r="C428" s="27" t="s">
        <v>30</v>
      </c>
      <c r="D428" s="27" t="s">
        <v>49</v>
      </c>
      <c r="E428" s="27">
        <v>70</v>
      </c>
    </row>
    <row r="429" spans="1:5" x14ac:dyDescent="0.4">
      <c r="A429" s="26">
        <v>44949</v>
      </c>
      <c r="B429" s="27" t="s">
        <v>47</v>
      </c>
      <c r="C429" s="27" t="s">
        <v>46</v>
      </c>
      <c r="D429" s="27" t="s">
        <v>35</v>
      </c>
      <c r="E429" s="27">
        <v>24</v>
      </c>
    </row>
    <row r="430" spans="1:5" x14ac:dyDescent="0.4">
      <c r="A430" s="26">
        <v>44949</v>
      </c>
      <c r="B430" s="27" t="s">
        <v>54</v>
      </c>
      <c r="C430" s="27" t="s">
        <v>43</v>
      </c>
      <c r="D430" s="27" t="s">
        <v>35</v>
      </c>
      <c r="E430" s="27">
        <v>27</v>
      </c>
    </row>
    <row r="431" spans="1:5" x14ac:dyDescent="0.4">
      <c r="A431" s="26">
        <v>44959</v>
      </c>
      <c r="B431" s="27" t="s">
        <v>39</v>
      </c>
      <c r="C431" s="27" t="s">
        <v>51</v>
      </c>
      <c r="D431" s="27" t="s">
        <v>49</v>
      </c>
      <c r="E431" s="27">
        <v>126</v>
      </c>
    </row>
    <row r="432" spans="1:5" x14ac:dyDescent="0.4">
      <c r="A432" s="26">
        <v>44959</v>
      </c>
      <c r="B432" s="27" t="s">
        <v>39</v>
      </c>
      <c r="C432" s="27" t="s">
        <v>30</v>
      </c>
      <c r="D432" s="27" t="s">
        <v>35</v>
      </c>
      <c r="E432" s="27">
        <v>47</v>
      </c>
    </row>
    <row r="433" spans="1:5" x14ac:dyDescent="0.4">
      <c r="A433" s="26">
        <v>44960</v>
      </c>
      <c r="B433" s="27" t="s">
        <v>25</v>
      </c>
      <c r="C433" s="27" t="s">
        <v>43</v>
      </c>
      <c r="D433" s="27" t="s">
        <v>49</v>
      </c>
      <c r="E433" s="27">
        <v>60</v>
      </c>
    </row>
    <row r="434" spans="1:5" x14ac:dyDescent="0.4">
      <c r="A434" s="26">
        <v>44960</v>
      </c>
      <c r="B434" s="27" t="s">
        <v>47</v>
      </c>
      <c r="C434" s="27" t="s">
        <v>57</v>
      </c>
      <c r="D434" s="27" t="s">
        <v>49</v>
      </c>
      <c r="E434" s="27">
        <v>86</v>
      </c>
    </row>
    <row r="435" spans="1:5" x14ac:dyDescent="0.4">
      <c r="A435" s="26">
        <v>44960</v>
      </c>
      <c r="B435" s="27" t="s">
        <v>54</v>
      </c>
      <c r="C435" s="27" t="s">
        <v>53</v>
      </c>
      <c r="D435" s="27" t="s">
        <v>34</v>
      </c>
      <c r="E435" s="27">
        <v>22</v>
      </c>
    </row>
    <row r="436" spans="1:5" x14ac:dyDescent="0.4">
      <c r="A436" s="26">
        <v>44960</v>
      </c>
      <c r="B436" s="27" t="s">
        <v>54</v>
      </c>
      <c r="C436" s="27" t="s">
        <v>48</v>
      </c>
      <c r="D436" s="27" t="s">
        <v>35</v>
      </c>
      <c r="E436" s="27">
        <v>38</v>
      </c>
    </row>
    <row r="437" spans="1:5" x14ac:dyDescent="0.4">
      <c r="A437" s="26">
        <v>44960</v>
      </c>
      <c r="B437" s="27" t="s">
        <v>54</v>
      </c>
      <c r="C437" s="27" t="s">
        <v>30</v>
      </c>
      <c r="D437" s="27" t="s">
        <v>44</v>
      </c>
      <c r="E437" s="27">
        <v>50</v>
      </c>
    </row>
    <row r="438" spans="1:5" x14ac:dyDescent="0.4">
      <c r="A438" s="26">
        <v>44960</v>
      </c>
      <c r="B438" s="27" t="s">
        <v>32</v>
      </c>
      <c r="C438" s="27" t="s">
        <v>53</v>
      </c>
      <c r="D438" s="27" t="s">
        <v>44</v>
      </c>
      <c r="E438" s="27">
        <v>28</v>
      </c>
    </row>
    <row r="439" spans="1:5" x14ac:dyDescent="0.4">
      <c r="A439" s="26">
        <v>44960</v>
      </c>
      <c r="B439" s="27" t="s">
        <v>52</v>
      </c>
      <c r="C439" s="27" t="s">
        <v>46</v>
      </c>
      <c r="D439" s="27" t="s">
        <v>34</v>
      </c>
      <c r="E439" s="27">
        <v>23</v>
      </c>
    </row>
    <row r="440" spans="1:5" x14ac:dyDescent="0.4">
      <c r="A440" s="26">
        <v>44960</v>
      </c>
      <c r="B440" s="27" t="s">
        <v>52</v>
      </c>
      <c r="C440" s="27" t="s">
        <v>40</v>
      </c>
      <c r="D440" s="27" t="s">
        <v>35</v>
      </c>
      <c r="E440" s="27">
        <v>28</v>
      </c>
    </row>
    <row r="441" spans="1:5" x14ac:dyDescent="0.4">
      <c r="A441" s="26">
        <v>44960</v>
      </c>
      <c r="B441" s="27" t="s">
        <v>39</v>
      </c>
      <c r="C441" s="27" t="s">
        <v>51</v>
      </c>
      <c r="D441" s="27" t="s">
        <v>41</v>
      </c>
      <c r="E441" s="27">
        <v>18</v>
      </c>
    </row>
    <row r="442" spans="1:5" x14ac:dyDescent="0.4">
      <c r="A442" s="26">
        <v>44961</v>
      </c>
      <c r="B442" s="27" t="s">
        <v>25</v>
      </c>
      <c r="C442" s="27" t="s">
        <v>55</v>
      </c>
      <c r="D442" s="27" t="s">
        <v>49</v>
      </c>
      <c r="E442" s="27">
        <v>48</v>
      </c>
    </row>
    <row r="443" spans="1:5" x14ac:dyDescent="0.4">
      <c r="A443" s="26">
        <v>44961</v>
      </c>
      <c r="B443" s="27" t="s">
        <v>47</v>
      </c>
      <c r="C443" s="27" t="s">
        <v>48</v>
      </c>
      <c r="D443" s="27" t="s">
        <v>49</v>
      </c>
      <c r="E443" s="27">
        <v>76</v>
      </c>
    </row>
    <row r="444" spans="1:5" x14ac:dyDescent="0.4">
      <c r="A444" s="26">
        <v>44967</v>
      </c>
      <c r="B444" s="27" t="s">
        <v>54</v>
      </c>
      <c r="C444" s="27" t="s">
        <v>30</v>
      </c>
      <c r="D444" s="27" t="s">
        <v>44</v>
      </c>
      <c r="E444" s="27">
        <v>30</v>
      </c>
    </row>
    <row r="445" spans="1:5" x14ac:dyDescent="0.4">
      <c r="A445" s="26">
        <v>44967</v>
      </c>
      <c r="B445" s="27" t="s">
        <v>32</v>
      </c>
      <c r="C445" s="27" t="s">
        <v>53</v>
      </c>
      <c r="D445" s="27" t="s">
        <v>35</v>
      </c>
      <c r="E445" s="27">
        <v>49</v>
      </c>
    </row>
    <row r="446" spans="1:5" x14ac:dyDescent="0.4">
      <c r="A446" s="26">
        <v>44967</v>
      </c>
      <c r="B446" s="27" t="s">
        <v>52</v>
      </c>
      <c r="C446" s="27" t="s">
        <v>33</v>
      </c>
      <c r="D446" s="27" t="s">
        <v>49</v>
      </c>
      <c r="E446" s="27">
        <v>115</v>
      </c>
    </row>
    <row r="447" spans="1:5" x14ac:dyDescent="0.4">
      <c r="A447" s="26">
        <v>44974</v>
      </c>
      <c r="B447" s="27" t="s">
        <v>52</v>
      </c>
      <c r="C447" s="27" t="s">
        <v>57</v>
      </c>
      <c r="D447" s="27" t="s">
        <v>49</v>
      </c>
      <c r="E447" s="27">
        <v>132</v>
      </c>
    </row>
    <row r="448" spans="1:5" x14ac:dyDescent="0.4">
      <c r="A448" s="26">
        <v>44975</v>
      </c>
      <c r="B448" s="27" t="s">
        <v>47</v>
      </c>
      <c r="C448" s="27" t="s">
        <v>37</v>
      </c>
      <c r="D448" s="27" t="s">
        <v>35</v>
      </c>
      <c r="E448" s="27">
        <v>44</v>
      </c>
    </row>
    <row r="449" spans="1:5" x14ac:dyDescent="0.4">
      <c r="A449" s="26">
        <v>44975</v>
      </c>
      <c r="B449" s="27" t="s">
        <v>52</v>
      </c>
      <c r="C449" s="27" t="s">
        <v>51</v>
      </c>
      <c r="D449" s="27" t="s">
        <v>44</v>
      </c>
      <c r="E449" s="27">
        <v>21</v>
      </c>
    </row>
    <row r="450" spans="1:5" x14ac:dyDescent="0.4">
      <c r="A450" s="26">
        <v>44975</v>
      </c>
      <c r="B450" s="27" t="s">
        <v>39</v>
      </c>
      <c r="C450" s="27" t="s">
        <v>55</v>
      </c>
      <c r="D450" s="27" t="s">
        <v>41</v>
      </c>
      <c r="E450" s="27">
        <v>43</v>
      </c>
    </row>
    <row r="451" spans="1:5" x14ac:dyDescent="0.4">
      <c r="A451" s="26">
        <v>44975</v>
      </c>
      <c r="B451" s="27" t="s">
        <v>39</v>
      </c>
      <c r="C451" s="27" t="s">
        <v>58</v>
      </c>
      <c r="D451" s="27" t="s">
        <v>44</v>
      </c>
      <c r="E451" s="27">
        <v>13</v>
      </c>
    </row>
    <row r="452" spans="1:5" x14ac:dyDescent="0.4">
      <c r="A452" s="26">
        <v>44975</v>
      </c>
      <c r="B452" s="27" t="s">
        <v>39</v>
      </c>
      <c r="C452" s="27" t="s">
        <v>46</v>
      </c>
      <c r="D452" s="27" t="s">
        <v>49</v>
      </c>
      <c r="E452" s="27">
        <v>36</v>
      </c>
    </row>
    <row r="453" spans="1:5" x14ac:dyDescent="0.4">
      <c r="A453" s="26">
        <v>44976</v>
      </c>
      <c r="B453" s="27" t="s">
        <v>47</v>
      </c>
      <c r="C453" s="27" t="s">
        <v>33</v>
      </c>
      <c r="D453" s="27" t="s">
        <v>34</v>
      </c>
      <c r="E453" s="27">
        <v>41</v>
      </c>
    </row>
    <row r="454" spans="1:5" x14ac:dyDescent="0.4">
      <c r="A454" s="26">
        <v>44976</v>
      </c>
      <c r="B454" s="27" t="s">
        <v>47</v>
      </c>
      <c r="C454" s="27" t="s">
        <v>40</v>
      </c>
      <c r="D454" s="27" t="s">
        <v>35</v>
      </c>
      <c r="E454" s="27">
        <v>25</v>
      </c>
    </row>
    <row r="455" spans="1:5" x14ac:dyDescent="0.4">
      <c r="A455" s="26">
        <v>44976</v>
      </c>
      <c r="B455" s="27" t="s">
        <v>47</v>
      </c>
      <c r="C455" s="27" t="s">
        <v>43</v>
      </c>
      <c r="D455" s="27" t="s">
        <v>34</v>
      </c>
      <c r="E455" s="27">
        <v>39</v>
      </c>
    </row>
    <row r="456" spans="1:5" x14ac:dyDescent="0.4">
      <c r="A456" s="26">
        <v>44976</v>
      </c>
      <c r="B456" s="27" t="s">
        <v>52</v>
      </c>
      <c r="C456" s="27" t="s">
        <v>30</v>
      </c>
      <c r="D456" s="27" t="s">
        <v>49</v>
      </c>
      <c r="E456" s="27">
        <v>86</v>
      </c>
    </row>
    <row r="457" spans="1:5" x14ac:dyDescent="0.4">
      <c r="A457" s="26">
        <v>44976</v>
      </c>
      <c r="B457" s="27" t="s">
        <v>39</v>
      </c>
      <c r="C457" s="27" t="s">
        <v>57</v>
      </c>
      <c r="D457" s="27" t="s">
        <v>35</v>
      </c>
      <c r="E457" s="27">
        <v>17</v>
      </c>
    </row>
    <row r="458" spans="1:5" x14ac:dyDescent="0.4">
      <c r="A458" s="26">
        <v>44976</v>
      </c>
      <c r="B458" s="27" t="s">
        <v>39</v>
      </c>
      <c r="C458" s="27" t="s">
        <v>46</v>
      </c>
      <c r="D458" s="27" t="s">
        <v>34</v>
      </c>
      <c r="E458" s="27">
        <v>40</v>
      </c>
    </row>
    <row r="459" spans="1:5" x14ac:dyDescent="0.4">
      <c r="A459" s="26">
        <v>44977</v>
      </c>
      <c r="B459" s="27" t="s">
        <v>32</v>
      </c>
      <c r="C459" s="27" t="s">
        <v>55</v>
      </c>
      <c r="D459" s="27" t="s">
        <v>49</v>
      </c>
      <c r="E459" s="27">
        <v>58</v>
      </c>
    </row>
    <row r="460" spans="1:5" x14ac:dyDescent="0.4">
      <c r="A460" s="26">
        <v>44977</v>
      </c>
      <c r="B460" s="27" t="s">
        <v>32</v>
      </c>
      <c r="C460" s="27" t="s">
        <v>33</v>
      </c>
      <c r="D460" s="27" t="s">
        <v>49</v>
      </c>
      <c r="E460" s="27">
        <v>137</v>
      </c>
    </row>
    <row r="461" spans="1:5" x14ac:dyDescent="0.4">
      <c r="A461" s="26">
        <v>44977</v>
      </c>
      <c r="B461" s="27" t="s">
        <v>39</v>
      </c>
      <c r="C461" s="27" t="s">
        <v>56</v>
      </c>
      <c r="D461" s="27" t="s">
        <v>34</v>
      </c>
      <c r="E461" s="27">
        <v>14</v>
      </c>
    </row>
    <row r="462" spans="1:5" x14ac:dyDescent="0.4">
      <c r="A462" s="26">
        <v>44977</v>
      </c>
      <c r="B462" s="27" t="s">
        <v>39</v>
      </c>
      <c r="C462" s="27" t="s">
        <v>37</v>
      </c>
      <c r="D462" s="27" t="s">
        <v>49</v>
      </c>
      <c r="E462" s="27">
        <v>92</v>
      </c>
    </row>
    <row r="463" spans="1:5" x14ac:dyDescent="0.4">
      <c r="A463" s="26">
        <v>44977</v>
      </c>
      <c r="B463" s="27" t="s">
        <v>39</v>
      </c>
      <c r="C463" s="27" t="s">
        <v>53</v>
      </c>
      <c r="D463" s="27" t="s">
        <v>49</v>
      </c>
      <c r="E463" s="27">
        <v>86</v>
      </c>
    </row>
    <row r="464" spans="1:5" x14ac:dyDescent="0.4">
      <c r="A464" s="26">
        <v>44978</v>
      </c>
      <c r="B464" s="27" t="s">
        <v>25</v>
      </c>
      <c r="C464" s="27" t="s">
        <v>51</v>
      </c>
      <c r="D464" s="27" t="s">
        <v>34</v>
      </c>
      <c r="E464" s="27">
        <v>23</v>
      </c>
    </row>
    <row r="465" spans="1:5" x14ac:dyDescent="0.4">
      <c r="A465" s="26">
        <v>44978</v>
      </c>
      <c r="B465" s="27" t="s">
        <v>25</v>
      </c>
      <c r="C465" s="27" t="s">
        <v>37</v>
      </c>
      <c r="D465" s="27" t="s">
        <v>34</v>
      </c>
      <c r="E465" s="27">
        <v>30</v>
      </c>
    </row>
    <row r="466" spans="1:5" x14ac:dyDescent="0.4">
      <c r="A466" s="26">
        <v>44978</v>
      </c>
      <c r="B466" s="27" t="s">
        <v>25</v>
      </c>
      <c r="C466" s="27" t="s">
        <v>58</v>
      </c>
      <c r="D466" s="27" t="s">
        <v>49</v>
      </c>
      <c r="E466" s="27">
        <v>33</v>
      </c>
    </row>
    <row r="467" spans="1:5" x14ac:dyDescent="0.4">
      <c r="A467" s="26">
        <v>44978</v>
      </c>
      <c r="B467" s="27" t="s">
        <v>36</v>
      </c>
      <c r="C467" s="27" t="s">
        <v>55</v>
      </c>
      <c r="D467" s="27" t="s">
        <v>35</v>
      </c>
      <c r="E467" s="27">
        <v>37</v>
      </c>
    </row>
    <row r="468" spans="1:5" x14ac:dyDescent="0.4">
      <c r="A468" s="26">
        <v>44978</v>
      </c>
      <c r="B468" s="27" t="s">
        <v>39</v>
      </c>
      <c r="C468" s="27" t="s">
        <v>48</v>
      </c>
      <c r="D468" s="27" t="s">
        <v>35</v>
      </c>
      <c r="E468" s="27">
        <v>39</v>
      </c>
    </row>
    <row r="469" spans="1:5" x14ac:dyDescent="0.4">
      <c r="A469" s="26">
        <v>45010</v>
      </c>
      <c r="B469" s="27" t="s">
        <v>25</v>
      </c>
      <c r="C469" s="27" t="s">
        <v>51</v>
      </c>
      <c r="D469" s="27" t="s">
        <v>34</v>
      </c>
      <c r="E469" s="27">
        <v>17</v>
      </c>
    </row>
    <row r="470" spans="1:5" x14ac:dyDescent="0.4">
      <c r="A470" s="26">
        <v>45010</v>
      </c>
      <c r="B470" s="27" t="s">
        <v>25</v>
      </c>
      <c r="C470" s="27" t="s">
        <v>46</v>
      </c>
      <c r="D470" s="27" t="s">
        <v>49</v>
      </c>
      <c r="E470" s="27">
        <v>115</v>
      </c>
    </row>
    <row r="471" spans="1:5" x14ac:dyDescent="0.4">
      <c r="A471" s="26">
        <v>45010</v>
      </c>
      <c r="B471" s="27" t="s">
        <v>25</v>
      </c>
      <c r="C471" s="27" t="s">
        <v>46</v>
      </c>
      <c r="D471" s="27" t="s">
        <v>44</v>
      </c>
      <c r="E471" s="27">
        <v>24</v>
      </c>
    </row>
    <row r="472" spans="1:5" x14ac:dyDescent="0.4">
      <c r="A472" s="26">
        <v>45010</v>
      </c>
      <c r="B472" s="27" t="s">
        <v>47</v>
      </c>
      <c r="C472" s="27" t="s">
        <v>33</v>
      </c>
      <c r="D472" s="27" t="s">
        <v>49</v>
      </c>
      <c r="E472" s="27">
        <v>126</v>
      </c>
    </row>
    <row r="473" spans="1:5" x14ac:dyDescent="0.4">
      <c r="A473" s="26">
        <v>45010</v>
      </c>
      <c r="B473" s="27" t="s">
        <v>47</v>
      </c>
      <c r="C473" s="27" t="s">
        <v>57</v>
      </c>
      <c r="D473" s="27" t="s">
        <v>44</v>
      </c>
      <c r="E473" s="27">
        <v>22</v>
      </c>
    </row>
    <row r="474" spans="1:5" x14ac:dyDescent="0.4">
      <c r="A474" s="26">
        <v>45010</v>
      </c>
      <c r="B474" s="27" t="s">
        <v>47</v>
      </c>
      <c r="C474" s="27" t="s">
        <v>43</v>
      </c>
      <c r="D474" s="27" t="s">
        <v>35</v>
      </c>
      <c r="E474" s="27">
        <v>47</v>
      </c>
    </row>
    <row r="475" spans="1:5" x14ac:dyDescent="0.4">
      <c r="A475" s="26">
        <v>45010</v>
      </c>
      <c r="B475" s="27" t="s">
        <v>47</v>
      </c>
      <c r="C475" s="27" t="s">
        <v>55</v>
      </c>
      <c r="D475" s="27" t="s">
        <v>49</v>
      </c>
      <c r="E475" s="27">
        <v>33</v>
      </c>
    </row>
    <row r="476" spans="1:5" x14ac:dyDescent="0.4">
      <c r="A476" s="26">
        <v>45010</v>
      </c>
      <c r="B476" s="27" t="s">
        <v>32</v>
      </c>
      <c r="C476" s="27" t="s">
        <v>53</v>
      </c>
      <c r="D476" s="27" t="s">
        <v>34</v>
      </c>
      <c r="E476" s="27">
        <v>34</v>
      </c>
    </row>
    <row r="477" spans="1:5" x14ac:dyDescent="0.4">
      <c r="A477" s="26">
        <v>45010</v>
      </c>
      <c r="B477" s="27" t="s">
        <v>32</v>
      </c>
      <c r="C477" s="27" t="s">
        <v>53</v>
      </c>
      <c r="D477" s="27" t="s">
        <v>35</v>
      </c>
      <c r="E477" s="27">
        <v>12</v>
      </c>
    </row>
    <row r="478" spans="1:5" x14ac:dyDescent="0.4">
      <c r="A478" s="26">
        <v>45010</v>
      </c>
      <c r="B478" s="27" t="s">
        <v>36</v>
      </c>
      <c r="C478" s="27" t="s">
        <v>30</v>
      </c>
      <c r="D478" s="27" t="s">
        <v>49</v>
      </c>
      <c r="E478" s="27">
        <v>109</v>
      </c>
    </row>
    <row r="479" spans="1:5" x14ac:dyDescent="0.4">
      <c r="A479" s="26">
        <v>45010</v>
      </c>
      <c r="B479" s="27" t="s">
        <v>52</v>
      </c>
      <c r="C479" s="27" t="s">
        <v>55</v>
      </c>
      <c r="D479" s="27" t="s">
        <v>35</v>
      </c>
      <c r="E479" s="27">
        <v>36</v>
      </c>
    </row>
    <row r="480" spans="1:5" x14ac:dyDescent="0.4">
      <c r="A480" s="26">
        <v>45010</v>
      </c>
      <c r="B480" s="27" t="s">
        <v>52</v>
      </c>
      <c r="C480" s="27" t="s">
        <v>48</v>
      </c>
      <c r="D480" s="27" t="s">
        <v>34</v>
      </c>
      <c r="E480" s="27">
        <v>24</v>
      </c>
    </row>
    <row r="481" spans="1:5" x14ac:dyDescent="0.4">
      <c r="A481" s="26">
        <v>45010</v>
      </c>
      <c r="B481" s="27" t="s">
        <v>52</v>
      </c>
      <c r="C481" s="27" t="s">
        <v>58</v>
      </c>
      <c r="D481" s="27" t="s">
        <v>49</v>
      </c>
      <c r="E481" s="27">
        <v>73</v>
      </c>
    </row>
    <row r="482" spans="1:5" x14ac:dyDescent="0.4">
      <c r="A482" s="26">
        <v>45010</v>
      </c>
      <c r="B482" s="27" t="s">
        <v>52</v>
      </c>
      <c r="C482" s="27" t="s">
        <v>40</v>
      </c>
      <c r="D482" s="27" t="s">
        <v>35</v>
      </c>
      <c r="E482" s="27">
        <v>34</v>
      </c>
    </row>
    <row r="483" spans="1:5" x14ac:dyDescent="0.4">
      <c r="A483" s="26">
        <v>45010</v>
      </c>
      <c r="B483" s="27" t="s">
        <v>52</v>
      </c>
      <c r="C483" s="27" t="s">
        <v>53</v>
      </c>
      <c r="D483" s="27" t="s">
        <v>41</v>
      </c>
      <c r="E483" s="27">
        <v>37</v>
      </c>
    </row>
    <row r="484" spans="1:5" x14ac:dyDescent="0.4">
      <c r="A484" s="26">
        <v>45010</v>
      </c>
      <c r="B484" s="27" t="s">
        <v>39</v>
      </c>
      <c r="C484" s="27" t="s">
        <v>40</v>
      </c>
      <c r="D484" s="27" t="s">
        <v>49</v>
      </c>
      <c r="E484" s="27">
        <v>70</v>
      </c>
    </row>
    <row r="485" spans="1:5" x14ac:dyDescent="0.4">
      <c r="A485" s="26">
        <v>45010</v>
      </c>
      <c r="B485" s="27" t="s">
        <v>39</v>
      </c>
      <c r="C485" s="27" t="s">
        <v>33</v>
      </c>
      <c r="D485" s="27" t="s">
        <v>34</v>
      </c>
      <c r="E485" s="27">
        <v>17</v>
      </c>
    </row>
    <row r="486" spans="1:5" x14ac:dyDescent="0.4">
      <c r="A486" s="26">
        <v>45014</v>
      </c>
      <c r="B486" s="27" t="s">
        <v>47</v>
      </c>
      <c r="C486" s="27" t="s">
        <v>51</v>
      </c>
      <c r="D486" s="27" t="s">
        <v>49</v>
      </c>
      <c r="E486" s="27">
        <v>62</v>
      </c>
    </row>
    <row r="487" spans="1:5" x14ac:dyDescent="0.4">
      <c r="A487" s="26">
        <v>45014</v>
      </c>
      <c r="B487" s="27" t="s">
        <v>54</v>
      </c>
      <c r="C487" s="27" t="s">
        <v>30</v>
      </c>
      <c r="D487" s="27" t="s">
        <v>35</v>
      </c>
      <c r="E487" s="27">
        <v>13</v>
      </c>
    </row>
    <row r="488" spans="1:5" x14ac:dyDescent="0.4">
      <c r="A488" s="26">
        <v>45014</v>
      </c>
      <c r="B488" s="27" t="s">
        <v>39</v>
      </c>
      <c r="C488" s="27" t="s">
        <v>56</v>
      </c>
      <c r="D488" s="27" t="s">
        <v>34</v>
      </c>
      <c r="E488" s="27">
        <v>10</v>
      </c>
    </row>
    <row r="489" spans="1:5" x14ac:dyDescent="0.4">
      <c r="A489" s="26">
        <v>45014</v>
      </c>
      <c r="B489" s="27" t="s">
        <v>39</v>
      </c>
      <c r="C489" s="27" t="s">
        <v>37</v>
      </c>
      <c r="D489" s="27" t="s">
        <v>35</v>
      </c>
      <c r="E489" s="27">
        <v>45</v>
      </c>
    </row>
    <row r="490" spans="1:5" x14ac:dyDescent="0.4">
      <c r="A490" s="26">
        <v>45037</v>
      </c>
      <c r="B490" s="27" t="s">
        <v>25</v>
      </c>
      <c r="C490" s="27" t="s">
        <v>53</v>
      </c>
      <c r="D490" s="27" t="s">
        <v>49</v>
      </c>
      <c r="E490" s="27">
        <v>56</v>
      </c>
    </row>
    <row r="491" spans="1:5" x14ac:dyDescent="0.4">
      <c r="A491" s="26">
        <v>45043</v>
      </c>
      <c r="B491" s="27" t="s">
        <v>54</v>
      </c>
      <c r="C491" s="27" t="s">
        <v>37</v>
      </c>
      <c r="D491" s="27" t="s">
        <v>49</v>
      </c>
      <c r="E491" s="27">
        <v>95</v>
      </c>
    </row>
    <row r="492" spans="1:5" x14ac:dyDescent="0.4">
      <c r="A492" s="26">
        <v>45043</v>
      </c>
      <c r="B492" s="27" t="s">
        <v>54</v>
      </c>
      <c r="C492" s="27" t="s">
        <v>30</v>
      </c>
      <c r="D492" s="27" t="s">
        <v>35</v>
      </c>
      <c r="E492" s="27">
        <v>20</v>
      </c>
    </row>
    <row r="493" spans="1:5" x14ac:dyDescent="0.4">
      <c r="A493" s="26">
        <v>45043</v>
      </c>
      <c r="B493" s="27" t="s">
        <v>54</v>
      </c>
      <c r="C493" s="27" t="s">
        <v>33</v>
      </c>
      <c r="D493" s="27" t="s">
        <v>35</v>
      </c>
      <c r="E493" s="27">
        <v>45</v>
      </c>
    </row>
    <row r="494" spans="1:5" x14ac:dyDescent="0.4">
      <c r="A494" s="26">
        <v>45043</v>
      </c>
      <c r="B494" s="27" t="s">
        <v>32</v>
      </c>
      <c r="C494" s="27" t="s">
        <v>58</v>
      </c>
      <c r="D494" s="27" t="s">
        <v>49</v>
      </c>
      <c r="E494" s="27">
        <v>115</v>
      </c>
    </row>
    <row r="495" spans="1:5" x14ac:dyDescent="0.4">
      <c r="A495" s="26">
        <v>45043</v>
      </c>
      <c r="B495" s="27" t="s">
        <v>36</v>
      </c>
      <c r="C495" s="27" t="s">
        <v>46</v>
      </c>
      <c r="D495" s="27" t="s">
        <v>49</v>
      </c>
      <c r="E495" s="27">
        <v>81</v>
      </c>
    </row>
    <row r="496" spans="1:5" x14ac:dyDescent="0.4">
      <c r="A496" s="26">
        <v>45043</v>
      </c>
      <c r="B496" s="27" t="s">
        <v>52</v>
      </c>
      <c r="C496" s="27" t="s">
        <v>51</v>
      </c>
      <c r="D496" s="27" t="s">
        <v>34</v>
      </c>
      <c r="E496" s="27">
        <v>38</v>
      </c>
    </row>
    <row r="497" spans="1:5" x14ac:dyDescent="0.4">
      <c r="A497" s="26">
        <v>45043</v>
      </c>
      <c r="B497" s="27" t="s">
        <v>39</v>
      </c>
      <c r="C497" s="27" t="s">
        <v>53</v>
      </c>
      <c r="D497" s="27" t="s">
        <v>34</v>
      </c>
      <c r="E497" s="27">
        <v>14</v>
      </c>
    </row>
    <row r="498" spans="1:5" x14ac:dyDescent="0.4">
      <c r="A498" s="26">
        <v>45043</v>
      </c>
      <c r="B498" s="27" t="s">
        <v>39</v>
      </c>
      <c r="C498" s="27" t="s">
        <v>57</v>
      </c>
      <c r="D498" s="27" t="s">
        <v>34</v>
      </c>
      <c r="E498" s="27">
        <v>22</v>
      </c>
    </row>
    <row r="499" spans="1:5" x14ac:dyDescent="0.4">
      <c r="A499" s="26">
        <v>45044</v>
      </c>
      <c r="B499" s="27" t="s">
        <v>47</v>
      </c>
      <c r="C499" s="27" t="s">
        <v>37</v>
      </c>
      <c r="D499" s="27" t="s">
        <v>34</v>
      </c>
      <c r="E499" s="27">
        <v>15</v>
      </c>
    </row>
    <row r="500" spans="1:5" x14ac:dyDescent="0.4">
      <c r="A500" s="26">
        <v>45044</v>
      </c>
      <c r="B500" s="27" t="s">
        <v>54</v>
      </c>
      <c r="C500" s="27" t="s">
        <v>53</v>
      </c>
      <c r="D500" s="27" t="s">
        <v>44</v>
      </c>
      <c r="E500" s="27">
        <v>34</v>
      </c>
    </row>
    <row r="501" spans="1:5" x14ac:dyDescent="0.4">
      <c r="A501" s="26">
        <v>45044</v>
      </c>
      <c r="B501" s="27" t="s">
        <v>32</v>
      </c>
      <c r="C501" s="27" t="s">
        <v>55</v>
      </c>
      <c r="D501" s="27" t="s">
        <v>49</v>
      </c>
      <c r="E501" s="27">
        <v>76</v>
      </c>
    </row>
    <row r="502" spans="1:5" x14ac:dyDescent="0.4">
      <c r="A502" s="26">
        <v>45044</v>
      </c>
      <c r="B502" s="27" t="s">
        <v>32</v>
      </c>
      <c r="C502" s="27" t="s">
        <v>56</v>
      </c>
      <c r="D502" s="27" t="s">
        <v>41</v>
      </c>
      <c r="E502" s="27">
        <v>17</v>
      </c>
    </row>
    <row r="503" spans="1:5" x14ac:dyDescent="0.4">
      <c r="A503" s="26">
        <v>45044</v>
      </c>
      <c r="B503" s="27" t="s">
        <v>32</v>
      </c>
      <c r="C503" s="27" t="s">
        <v>48</v>
      </c>
      <c r="D503" s="27" t="s">
        <v>49</v>
      </c>
      <c r="E503" s="27">
        <v>103</v>
      </c>
    </row>
    <row r="504" spans="1:5" x14ac:dyDescent="0.4">
      <c r="A504" s="26">
        <v>45044</v>
      </c>
      <c r="B504" s="27" t="s">
        <v>32</v>
      </c>
      <c r="C504" s="27" t="s">
        <v>58</v>
      </c>
      <c r="D504" s="27" t="s">
        <v>35</v>
      </c>
      <c r="E504" s="27">
        <v>25</v>
      </c>
    </row>
    <row r="505" spans="1:5" x14ac:dyDescent="0.4">
      <c r="A505" s="26">
        <v>45044</v>
      </c>
      <c r="B505" s="27" t="s">
        <v>36</v>
      </c>
      <c r="C505" s="27" t="s">
        <v>48</v>
      </c>
      <c r="D505" s="27" t="s">
        <v>34</v>
      </c>
      <c r="E505" s="27">
        <v>21</v>
      </c>
    </row>
    <row r="506" spans="1:5" x14ac:dyDescent="0.4">
      <c r="A506" s="26">
        <v>45044</v>
      </c>
      <c r="B506" s="27" t="s">
        <v>36</v>
      </c>
      <c r="C506" s="27" t="s">
        <v>33</v>
      </c>
      <c r="D506" s="27" t="s">
        <v>35</v>
      </c>
      <c r="E506" s="27">
        <v>18</v>
      </c>
    </row>
    <row r="507" spans="1:5" x14ac:dyDescent="0.4">
      <c r="A507" s="26">
        <v>45044</v>
      </c>
      <c r="B507" s="27" t="s">
        <v>52</v>
      </c>
      <c r="C507" s="27" t="s">
        <v>46</v>
      </c>
      <c r="D507" s="27" t="s">
        <v>49</v>
      </c>
      <c r="E507" s="27">
        <v>62</v>
      </c>
    </row>
    <row r="508" spans="1:5" x14ac:dyDescent="0.4">
      <c r="A508" s="26">
        <v>45044</v>
      </c>
      <c r="B508" s="27" t="s">
        <v>52</v>
      </c>
      <c r="C508" s="27" t="s">
        <v>51</v>
      </c>
      <c r="D508" s="27" t="s">
        <v>35</v>
      </c>
      <c r="E508" s="27">
        <v>27</v>
      </c>
    </row>
    <row r="509" spans="1:5" x14ac:dyDescent="0.4">
      <c r="A509" s="26">
        <v>45044</v>
      </c>
      <c r="B509" s="27" t="s">
        <v>39</v>
      </c>
      <c r="C509" s="27" t="s">
        <v>30</v>
      </c>
      <c r="D509" s="27" t="s">
        <v>44</v>
      </c>
      <c r="E509" s="27">
        <v>40</v>
      </c>
    </row>
    <row r="510" spans="1:5" x14ac:dyDescent="0.4">
      <c r="A510" s="26">
        <v>45044</v>
      </c>
      <c r="B510" s="27" t="s">
        <v>39</v>
      </c>
      <c r="C510" s="27" t="s">
        <v>51</v>
      </c>
      <c r="D510" s="27" t="s">
        <v>49</v>
      </c>
      <c r="E510" s="27">
        <v>67</v>
      </c>
    </row>
    <row r="511" spans="1:5" x14ac:dyDescent="0.4">
      <c r="A511" s="26">
        <v>45045</v>
      </c>
      <c r="B511" s="27" t="s">
        <v>25</v>
      </c>
      <c r="C511" s="27" t="s">
        <v>40</v>
      </c>
      <c r="D511" s="27" t="s">
        <v>34</v>
      </c>
      <c r="E511" s="27">
        <v>24</v>
      </c>
    </row>
    <row r="512" spans="1:5" x14ac:dyDescent="0.4">
      <c r="A512" s="26">
        <v>45045</v>
      </c>
      <c r="B512" s="27" t="s">
        <v>32</v>
      </c>
      <c r="C512" s="27" t="s">
        <v>43</v>
      </c>
      <c r="D512" s="27" t="s">
        <v>34</v>
      </c>
      <c r="E512" s="27">
        <v>17</v>
      </c>
    </row>
    <row r="513" spans="1:5" x14ac:dyDescent="0.4">
      <c r="A513" s="26">
        <v>45045</v>
      </c>
      <c r="B513" s="27" t="s">
        <v>39</v>
      </c>
      <c r="C513" s="27" t="s">
        <v>33</v>
      </c>
      <c r="D513" s="27" t="s">
        <v>35</v>
      </c>
      <c r="E513" s="27">
        <v>37</v>
      </c>
    </row>
    <row r="514" spans="1:5" x14ac:dyDescent="0.4">
      <c r="A514" s="26">
        <v>45045</v>
      </c>
      <c r="B514" s="27" t="s">
        <v>39</v>
      </c>
      <c r="C514" s="27" t="s">
        <v>55</v>
      </c>
      <c r="D514" s="27" t="s">
        <v>49</v>
      </c>
      <c r="E514" s="27">
        <v>28</v>
      </c>
    </row>
    <row r="515" spans="1:5" x14ac:dyDescent="0.4">
      <c r="A515" s="26">
        <v>45045</v>
      </c>
      <c r="B515" s="27" t="s">
        <v>39</v>
      </c>
      <c r="C515" s="27" t="s">
        <v>48</v>
      </c>
      <c r="D515" s="27" t="s">
        <v>34</v>
      </c>
      <c r="E515" s="27">
        <v>32</v>
      </c>
    </row>
    <row r="516" spans="1:5" x14ac:dyDescent="0.4">
      <c r="A516" s="26">
        <v>45046</v>
      </c>
      <c r="B516" s="27" t="s">
        <v>47</v>
      </c>
      <c r="C516" s="27" t="s">
        <v>37</v>
      </c>
      <c r="D516" s="27" t="s">
        <v>49</v>
      </c>
      <c r="E516" s="27">
        <v>47</v>
      </c>
    </row>
    <row r="517" spans="1:5" x14ac:dyDescent="0.4">
      <c r="A517" s="26">
        <v>45046</v>
      </c>
      <c r="B517" s="27" t="s">
        <v>36</v>
      </c>
      <c r="C517" s="27" t="s">
        <v>30</v>
      </c>
      <c r="D517" s="27" t="s">
        <v>49</v>
      </c>
      <c r="E517" s="27">
        <v>47</v>
      </c>
    </row>
    <row r="518" spans="1:5" x14ac:dyDescent="0.4">
      <c r="A518" s="26">
        <v>45046</v>
      </c>
      <c r="B518" s="27" t="s">
        <v>52</v>
      </c>
      <c r="C518" s="27" t="s">
        <v>40</v>
      </c>
      <c r="D518" s="27" t="s">
        <v>49</v>
      </c>
      <c r="E518" s="27">
        <v>81</v>
      </c>
    </row>
    <row r="519" spans="1:5" x14ac:dyDescent="0.4">
      <c r="A519" s="26">
        <v>45046</v>
      </c>
      <c r="B519" s="27" t="s">
        <v>52</v>
      </c>
      <c r="C519" s="27" t="s">
        <v>33</v>
      </c>
      <c r="D519" s="27" t="s">
        <v>35</v>
      </c>
      <c r="E519" s="27">
        <v>30</v>
      </c>
    </row>
    <row r="520" spans="1:5" x14ac:dyDescent="0.4">
      <c r="A520" s="26">
        <v>45046</v>
      </c>
      <c r="B520" s="27" t="s">
        <v>39</v>
      </c>
      <c r="C520" s="27" t="s">
        <v>53</v>
      </c>
      <c r="D520" s="27" t="s">
        <v>35</v>
      </c>
      <c r="E520" s="27">
        <v>39</v>
      </c>
    </row>
    <row r="521" spans="1:5" x14ac:dyDescent="0.4">
      <c r="A521" s="26">
        <v>45050</v>
      </c>
      <c r="B521" s="27" t="s">
        <v>54</v>
      </c>
      <c r="C521" s="27" t="s">
        <v>53</v>
      </c>
      <c r="D521" s="27" t="s">
        <v>34</v>
      </c>
      <c r="E521" s="27">
        <v>20</v>
      </c>
    </row>
    <row r="522" spans="1:5" x14ac:dyDescent="0.4">
      <c r="A522" s="26">
        <v>45050</v>
      </c>
      <c r="B522" s="27" t="s">
        <v>32</v>
      </c>
      <c r="C522" s="27" t="s">
        <v>37</v>
      </c>
      <c r="D522" s="27" t="s">
        <v>35</v>
      </c>
      <c r="E522" s="27">
        <v>14</v>
      </c>
    </row>
    <row r="523" spans="1:5" x14ac:dyDescent="0.4">
      <c r="A523" s="26">
        <v>45050</v>
      </c>
      <c r="B523" s="27" t="s">
        <v>32</v>
      </c>
      <c r="C523" s="27" t="s">
        <v>57</v>
      </c>
      <c r="D523" s="27" t="s">
        <v>49</v>
      </c>
      <c r="E523" s="27">
        <v>48</v>
      </c>
    </row>
    <row r="524" spans="1:5" x14ac:dyDescent="0.4">
      <c r="A524" s="26">
        <v>45050</v>
      </c>
      <c r="B524" s="27" t="s">
        <v>36</v>
      </c>
      <c r="C524" s="27" t="s">
        <v>46</v>
      </c>
      <c r="D524" s="27" t="s">
        <v>34</v>
      </c>
      <c r="E524" s="27">
        <v>19</v>
      </c>
    </row>
    <row r="525" spans="1:5" x14ac:dyDescent="0.4">
      <c r="A525" s="26">
        <v>45050</v>
      </c>
      <c r="B525" s="27" t="s">
        <v>36</v>
      </c>
      <c r="C525" s="27" t="s">
        <v>30</v>
      </c>
      <c r="D525" s="27" t="s">
        <v>34</v>
      </c>
      <c r="E525" s="27">
        <v>15</v>
      </c>
    </row>
    <row r="526" spans="1:5" x14ac:dyDescent="0.4">
      <c r="A526" s="26">
        <v>45050</v>
      </c>
      <c r="B526" s="27" t="s">
        <v>52</v>
      </c>
      <c r="C526" s="27" t="s">
        <v>51</v>
      </c>
      <c r="D526" s="27" t="s">
        <v>34</v>
      </c>
      <c r="E526" s="27">
        <v>48</v>
      </c>
    </row>
    <row r="527" spans="1:5" x14ac:dyDescent="0.4">
      <c r="A527" s="26">
        <v>45050</v>
      </c>
      <c r="B527" s="27" t="s">
        <v>52</v>
      </c>
      <c r="C527" s="27" t="s">
        <v>58</v>
      </c>
      <c r="D527" s="27" t="s">
        <v>35</v>
      </c>
      <c r="E527" s="27">
        <v>45</v>
      </c>
    </row>
    <row r="528" spans="1:5" x14ac:dyDescent="0.4">
      <c r="A528" s="26">
        <v>45050</v>
      </c>
      <c r="B528" s="27" t="s">
        <v>39</v>
      </c>
      <c r="C528" s="27" t="s">
        <v>33</v>
      </c>
      <c r="D528" s="27" t="s">
        <v>49</v>
      </c>
      <c r="E528" s="27">
        <v>33</v>
      </c>
    </row>
    <row r="529" spans="1:5" x14ac:dyDescent="0.4">
      <c r="A529" s="26">
        <v>45051</v>
      </c>
      <c r="B529" s="27" t="s">
        <v>25</v>
      </c>
      <c r="C529" s="27" t="s">
        <v>30</v>
      </c>
      <c r="D529" s="27" t="s">
        <v>34</v>
      </c>
      <c r="E529" s="27">
        <v>35</v>
      </c>
    </row>
    <row r="530" spans="1:5" x14ac:dyDescent="0.4">
      <c r="A530" s="26">
        <v>45051</v>
      </c>
      <c r="B530" s="27" t="s">
        <v>47</v>
      </c>
      <c r="C530" s="27" t="s">
        <v>53</v>
      </c>
      <c r="D530" s="27" t="s">
        <v>49</v>
      </c>
      <c r="E530" s="27">
        <v>126</v>
      </c>
    </row>
    <row r="531" spans="1:5" x14ac:dyDescent="0.4">
      <c r="A531" s="26">
        <v>45051</v>
      </c>
      <c r="B531" s="27" t="s">
        <v>47</v>
      </c>
      <c r="C531" s="27" t="s">
        <v>30</v>
      </c>
      <c r="D531" s="27" t="s">
        <v>34</v>
      </c>
      <c r="E531" s="27">
        <v>13</v>
      </c>
    </row>
    <row r="532" spans="1:5" x14ac:dyDescent="0.4">
      <c r="A532" s="26">
        <v>45051</v>
      </c>
      <c r="B532" s="27" t="s">
        <v>54</v>
      </c>
      <c r="C532" s="27" t="s">
        <v>33</v>
      </c>
      <c r="D532" s="27" t="s">
        <v>35</v>
      </c>
      <c r="E532" s="27">
        <v>37</v>
      </c>
    </row>
    <row r="533" spans="1:5" x14ac:dyDescent="0.4">
      <c r="A533" s="26">
        <v>45051</v>
      </c>
      <c r="B533" s="27" t="s">
        <v>36</v>
      </c>
      <c r="C533" s="27" t="s">
        <v>48</v>
      </c>
      <c r="D533" s="27" t="s">
        <v>35</v>
      </c>
      <c r="E533" s="27">
        <v>12</v>
      </c>
    </row>
    <row r="534" spans="1:5" x14ac:dyDescent="0.4">
      <c r="A534" s="26">
        <v>45051</v>
      </c>
      <c r="B534" s="27" t="s">
        <v>52</v>
      </c>
      <c r="C534" s="27" t="s">
        <v>43</v>
      </c>
      <c r="D534" s="27" t="s">
        <v>49</v>
      </c>
      <c r="E534" s="27">
        <v>70</v>
      </c>
    </row>
    <row r="535" spans="1:5" x14ac:dyDescent="0.4">
      <c r="A535" s="26">
        <v>45051</v>
      </c>
      <c r="B535" s="27" t="s">
        <v>52</v>
      </c>
      <c r="C535" s="27" t="s">
        <v>46</v>
      </c>
      <c r="D535" s="27" t="s">
        <v>49</v>
      </c>
      <c r="E535" s="27">
        <v>70</v>
      </c>
    </row>
    <row r="536" spans="1:5" x14ac:dyDescent="0.4">
      <c r="A536" s="26">
        <v>45051</v>
      </c>
      <c r="B536" s="27" t="s">
        <v>52</v>
      </c>
      <c r="C536" s="27" t="s">
        <v>33</v>
      </c>
      <c r="D536" s="27" t="s">
        <v>34</v>
      </c>
      <c r="E536" s="27">
        <v>10</v>
      </c>
    </row>
    <row r="537" spans="1:5" x14ac:dyDescent="0.4">
      <c r="A537" s="26">
        <v>45051</v>
      </c>
      <c r="B537" s="27" t="s">
        <v>39</v>
      </c>
      <c r="C537" s="27" t="s">
        <v>37</v>
      </c>
      <c r="D537" s="27" t="s">
        <v>35</v>
      </c>
      <c r="E537" s="27">
        <v>41</v>
      </c>
    </row>
    <row r="538" spans="1:5" x14ac:dyDescent="0.4">
      <c r="A538" s="26">
        <v>45051</v>
      </c>
      <c r="B538" s="27" t="s">
        <v>39</v>
      </c>
      <c r="C538" s="27" t="s">
        <v>40</v>
      </c>
      <c r="D538" s="27" t="s">
        <v>49</v>
      </c>
      <c r="E538" s="27">
        <v>61</v>
      </c>
    </row>
    <row r="539" spans="1:5" x14ac:dyDescent="0.4">
      <c r="A539" s="26">
        <v>45052</v>
      </c>
      <c r="B539" s="27" t="s">
        <v>25</v>
      </c>
      <c r="C539" s="27" t="s">
        <v>51</v>
      </c>
      <c r="D539" s="27" t="s">
        <v>44</v>
      </c>
      <c r="E539" s="27">
        <v>37</v>
      </c>
    </row>
    <row r="540" spans="1:5" x14ac:dyDescent="0.4">
      <c r="A540" s="26">
        <v>45052</v>
      </c>
      <c r="B540" s="27" t="s">
        <v>47</v>
      </c>
      <c r="C540" s="27" t="s">
        <v>37</v>
      </c>
      <c r="D540" s="27" t="s">
        <v>49</v>
      </c>
      <c r="E540" s="27">
        <v>53</v>
      </c>
    </row>
    <row r="541" spans="1:5" x14ac:dyDescent="0.4">
      <c r="A541" s="26">
        <v>45052</v>
      </c>
      <c r="B541" s="27" t="s">
        <v>47</v>
      </c>
      <c r="C541" s="27" t="s">
        <v>40</v>
      </c>
      <c r="D541" s="27" t="s">
        <v>34</v>
      </c>
      <c r="E541" s="27">
        <v>28</v>
      </c>
    </row>
    <row r="542" spans="1:5" x14ac:dyDescent="0.4">
      <c r="A542" s="26">
        <v>45052</v>
      </c>
      <c r="B542" s="27" t="s">
        <v>54</v>
      </c>
      <c r="C542" s="27" t="s">
        <v>53</v>
      </c>
      <c r="D542" s="27" t="s">
        <v>35</v>
      </c>
      <c r="E542" s="27">
        <v>33</v>
      </c>
    </row>
    <row r="543" spans="1:5" x14ac:dyDescent="0.4">
      <c r="A543" s="26">
        <v>45052</v>
      </c>
      <c r="B543" s="27" t="s">
        <v>36</v>
      </c>
      <c r="C543" s="27" t="s">
        <v>55</v>
      </c>
      <c r="D543" s="27" t="s">
        <v>44</v>
      </c>
      <c r="E543" s="27">
        <v>48</v>
      </c>
    </row>
    <row r="544" spans="1:5" x14ac:dyDescent="0.4">
      <c r="A544" s="26">
        <v>45052</v>
      </c>
      <c r="B544" s="27" t="s">
        <v>36</v>
      </c>
      <c r="C544" s="27" t="s">
        <v>58</v>
      </c>
      <c r="D544" s="27" t="s">
        <v>49</v>
      </c>
      <c r="E544" s="27">
        <v>135</v>
      </c>
    </row>
    <row r="545" spans="1:5" x14ac:dyDescent="0.4">
      <c r="A545" s="26">
        <v>45052</v>
      </c>
      <c r="B545" s="27" t="s">
        <v>52</v>
      </c>
      <c r="C545" s="27" t="s">
        <v>48</v>
      </c>
      <c r="D545" s="27" t="s">
        <v>35</v>
      </c>
      <c r="E545" s="27">
        <v>42</v>
      </c>
    </row>
    <row r="546" spans="1:5" x14ac:dyDescent="0.4">
      <c r="A546" s="26">
        <v>45052</v>
      </c>
      <c r="B546" s="27" t="s">
        <v>39</v>
      </c>
      <c r="C546" s="27" t="s">
        <v>40</v>
      </c>
      <c r="D546" s="27" t="s">
        <v>41</v>
      </c>
      <c r="E546" s="27">
        <v>10</v>
      </c>
    </row>
    <row r="547" spans="1:5" x14ac:dyDescent="0.4">
      <c r="A547" s="26">
        <v>45054</v>
      </c>
      <c r="B547" s="27" t="s">
        <v>47</v>
      </c>
      <c r="C547" s="27" t="s">
        <v>46</v>
      </c>
      <c r="D547" s="27" t="s">
        <v>44</v>
      </c>
      <c r="E547" s="27">
        <v>35</v>
      </c>
    </row>
    <row r="548" spans="1:5" x14ac:dyDescent="0.4">
      <c r="A548" s="26">
        <v>45054</v>
      </c>
      <c r="B548" s="27" t="s">
        <v>47</v>
      </c>
      <c r="C548" s="27" t="s">
        <v>56</v>
      </c>
      <c r="D548" s="27" t="s">
        <v>35</v>
      </c>
      <c r="E548" s="27">
        <v>41</v>
      </c>
    </row>
    <row r="549" spans="1:5" x14ac:dyDescent="0.4">
      <c r="A549" s="26">
        <v>45054</v>
      </c>
      <c r="B549" s="27" t="s">
        <v>32</v>
      </c>
      <c r="C549" s="27" t="s">
        <v>48</v>
      </c>
      <c r="D549" s="27" t="s">
        <v>49</v>
      </c>
      <c r="E549" s="27">
        <v>59</v>
      </c>
    </row>
    <row r="550" spans="1:5" x14ac:dyDescent="0.4">
      <c r="A550" s="26">
        <v>45054</v>
      </c>
      <c r="B550" s="27" t="s">
        <v>36</v>
      </c>
      <c r="C550" s="27" t="s">
        <v>30</v>
      </c>
      <c r="D550" s="27" t="s">
        <v>34</v>
      </c>
      <c r="E550" s="27">
        <v>47</v>
      </c>
    </row>
    <row r="551" spans="1:5" x14ac:dyDescent="0.4">
      <c r="A551" s="26">
        <v>45054</v>
      </c>
      <c r="B551" s="27" t="s">
        <v>36</v>
      </c>
      <c r="C551" s="27" t="s">
        <v>55</v>
      </c>
      <c r="D551" s="27" t="s">
        <v>49</v>
      </c>
      <c r="E551" s="27">
        <v>101</v>
      </c>
    </row>
    <row r="552" spans="1:5" x14ac:dyDescent="0.4">
      <c r="A552" s="26">
        <v>45054</v>
      </c>
      <c r="B552" s="27" t="s">
        <v>52</v>
      </c>
      <c r="C552" s="27" t="s">
        <v>30</v>
      </c>
      <c r="D552" s="27" t="s">
        <v>35</v>
      </c>
      <c r="E552" s="27">
        <v>39</v>
      </c>
    </row>
    <row r="553" spans="1:5" x14ac:dyDescent="0.4">
      <c r="A553" s="26">
        <v>45054</v>
      </c>
      <c r="B553" s="27" t="s">
        <v>52</v>
      </c>
      <c r="C553" s="27" t="s">
        <v>51</v>
      </c>
      <c r="D553" s="27" t="s">
        <v>34</v>
      </c>
      <c r="E553" s="27">
        <v>29</v>
      </c>
    </row>
    <row r="554" spans="1:5" x14ac:dyDescent="0.4">
      <c r="A554" s="26">
        <v>45054</v>
      </c>
      <c r="B554" s="27" t="s">
        <v>52</v>
      </c>
      <c r="C554" s="27" t="s">
        <v>37</v>
      </c>
      <c r="D554" s="27" t="s">
        <v>35</v>
      </c>
      <c r="E554" s="27">
        <v>31</v>
      </c>
    </row>
    <row r="555" spans="1:5" x14ac:dyDescent="0.4">
      <c r="A555" s="26">
        <v>45054</v>
      </c>
      <c r="B555" s="27" t="s">
        <v>52</v>
      </c>
      <c r="C555" s="27" t="s">
        <v>48</v>
      </c>
      <c r="D555" s="27" t="s">
        <v>34</v>
      </c>
      <c r="E555" s="27">
        <v>15</v>
      </c>
    </row>
    <row r="556" spans="1:5" x14ac:dyDescent="0.4">
      <c r="A556" s="26">
        <v>45054</v>
      </c>
      <c r="B556" s="27" t="s">
        <v>39</v>
      </c>
      <c r="C556" s="27" t="s">
        <v>33</v>
      </c>
      <c r="D556" s="27" t="s">
        <v>41</v>
      </c>
      <c r="E556" s="27">
        <v>22</v>
      </c>
    </row>
    <row r="557" spans="1:5" x14ac:dyDescent="0.4">
      <c r="A557" s="26">
        <v>45054</v>
      </c>
      <c r="B557" s="27" t="s">
        <v>39</v>
      </c>
      <c r="C557" s="27" t="s">
        <v>57</v>
      </c>
      <c r="D557" s="27" t="s">
        <v>44</v>
      </c>
      <c r="E557" s="27">
        <v>34</v>
      </c>
    </row>
    <row r="558" spans="1:5" x14ac:dyDescent="0.4">
      <c r="A558" s="26">
        <v>45054</v>
      </c>
      <c r="B558" s="27" t="s">
        <v>39</v>
      </c>
      <c r="C558" s="27" t="s">
        <v>43</v>
      </c>
      <c r="D558" s="27" t="s">
        <v>35</v>
      </c>
      <c r="E558" s="27">
        <v>26</v>
      </c>
    </row>
    <row r="559" spans="1:5" x14ac:dyDescent="0.4">
      <c r="A559" s="26">
        <v>45054</v>
      </c>
      <c r="B559" s="27" t="s">
        <v>39</v>
      </c>
      <c r="C559" s="27" t="s">
        <v>55</v>
      </c>
      <c r="D559" s="27" t="s">
        <v>49</v>
      </c>
      <c r="E559" s="27">
        <v>56</v>
      </c>
    </row>
    <row r="560" spans="1:5" x14ac:dyDescent="0.4">
      <c r="A560" s="26">
        <v>45054</v>
      </c>
      <c r="B560" s="27" t="s">
        <v>39</v>
      </c>
      <c r="C560" s="27" t="s">
        <v>53</v>
      </c>
      <c r="D560" s="27" t="s">
        <v>34</v>
      </c>
      <c r="E560" s="27">
        <v>26</v>
      </c>
    </row>
    <row r="561" spans="1:5" x14ac:dyDescent="0.4">
      <c r="A561" s="26">
        <v>45055</v>
      </c>
      <c r="B561" s="27" t="s">
        <v>25</v>
      </c>
      <c r="C561" s="27" t="s">
        <v>30</v>
      </c>
      <c r="D561" s="27" t="s">
        <v>49</v>
      </c>
      <c r="E561" s="27">
        <v>86</v>
      </c>
    </row>
    <row r="562" spans="1:5" x14ac:dyDescent="0.4">
      <c r="A562" s="26">
        <v>45055</v>
      </c>
      <c r="B562" s="27" t="s">
        <v>32</v>
      </c>
      <c r="C562" s="27" t="s">
        <v>48</v>
      </c>
      <c r="D562" s="27" t="s">
        <v>49</v>
      </c>
      <c r="E562" s="27">
        <v>70</v>
      </c>
    </row>
    <row r="563" spans="1:5" x14ac:dyDescent="0.4">
      <c r="A563" s="26">
        <v>45055</v>
      </c>
      <c r="B563" s="27" t="s">
        <v>36</v>
      </c>
      <c r="C563" s="27" t="s">
        <v>46</v>
      </c>
      <c r="D563" s="27" t="s">
        <v>34</v>
      </c>
      <c r="E563" s="27">
        <v>11</v>
      </c>
    </row>
    <row r="564" spans="1:5" x14ac:dyDescent="0.4">
      <c r="A564" s="26">
        <v>45055</v>
      </c>
      <c r="B564" s="27" t="s">
        <v>52</v>
      </c>
      <c r="C564" s="27" t="s">
        <v>33</v>
      </c>
      <c r="D564" s="27" t="s">
        <v>49</v>
      </c>
      <c r="E564" s="27">
        <v>135</v>
      </c>
    </row>
    <row r="565" spans="1:5" x14ac:dyDescent="0.4">
      <c r="A565" s="26">
        <v>45055</v>
      </c>
      <c r="B565" s="27" t="s">
        <v>52</v>
      </c>
      <c r="C565" s="27" t="s">
        <v>53</v>
      </c>
      <c r="D565" s="27" t="s">
        <v>35</v>
      </c>
      <c r="E565" s="27">
        <v>12</v>
      </c>
    </row>
    <row r="566" spans="1:5" x14ac:dyDescent="0.4">
      <c r="A566" s="26">
        <v>45055</v>
      </c>
      <c r="B566" s="27" t="s">
        <v>52</v>
      </c>
      <c r="C566" s="27" t="s">
        <v>56</v>
      </c>
      <c r="D566" s="27" t="s">
        <v>34</v>
      </c>
      <c r="E566" s="27">
        <v>43</v>
      </c>
    </row>
    <row r="567" spans="1:5" x14ac:dyDescent="0.4">
      <c r="A567" s="26">
        <v>45055</v>
      </c>
      <c r="B567" s="27" t="s">
        <v>39</v>
      </c>
      <c r="C567" s="27" t="s">
        <v>46</v>
      </c>
      <c r="D567" s="27" t="s">
        <v>49</v>
      </c>
      <c r="E567" s="27">
        <v>70</v>
      </c>
    </row>
    <row r="568" spans="1:5" x14ac:dyDescent="0.4">
      <c r="A568" s="26">
        <v>45055</v>
      </c>
      <c r="B568" s="27" t="s">
        <v>39</v>
      </c>
      <c r="C568" s="27" t="s">
        <v>40</v>
      </c>
      <c r="D568" s="27" t="s">
        <v>35</v>
      </c>
      <c r="E568" s="27">
        <v>42</v>
      </c>
    </row>
    <row r="569" spans="1:5" x14ac:dyDescent="0.4">
      <c r="A569" s="26">
        <v>45055</v>
      </c>
      <c r="B569" s="27" t="s">
        <v>39</v>
      </c>
      <c r="C569" s="27" t="s">
        <v>55</v>
      </c>
      <c r="D569" s="27" t="s">
        <v>34</v>
      </c>
      <c r="E569" s="27">
        <v>10</v>
      </c>
    </row>
    <row r="570" spans="1:5" x14ac:dyDescent="0.4">
      <c r="A570" s="26">
        <v>45055</v>
      </c>
      <c r="B570" s="27" t="s">
        <v>39</v>
      </c>
      <c r="C570" s="27" t="s">
        <v>51</v>
      </c>
      <c r="D570" s="27" t="s">
        <v>49</v>
      </c>
      <c r="E570" s="27">
        <v>101</v>
      </c>
    </row>
    <row r="571" spans="1:5" x14ac:dyDescent="0.4">
      <c r="A571" s="26">
        <v>45056</v>
      </c>
      <c r="B571" s="27" t="s">
        <v>54</v>
      </c>
      <c r="C571" s="27" t="s">
        <v>33</v>
      </c>
      <c r="D571" s="27" t="s">
        <v>41</v>
      </c>
      <c r="E571" s="27">
        <v>12</v>
      </c>
    </row>
    <row r="572" spans="1:5" x14ac:dyDescent="0.4">
      <c r="A572" s="26">
        <v>45056</v>
      </c>
      <c r="B572" s="27" t="s">
        <v>52</v>
      </c>
      <c r="C572" s="27" t="s">
        <v>37</v>
      </c>
      <c r="D572" s="27" t="s">
        <v>35</v>
      </c>
      <c r="E572" s="27">
        <v>10</v>
      </c>
    </row>
    <row r="573" spans="1:5" x14ac:dyDescent="0.4">
      <c r="A573" s="26">
        <v>45056</v>
      </c>
      <c r="B573" s="27" t="s">
        <v>39</v>
      </c>
      <c r="C573" s="27" t="s">
        <v>40</v>
      </c>
      <c r="D573" s="27" t="s">
        <v>44</v>
      </c>
      <c r="E573" s="27">
        <v>24</v>
      </c>
    </row>
    <row r="574" spans="1:5" x14ac:dyDescent="0.4">
      <c r="A574" s="26">
        <v>45057</v>
      </c>
      <c r="B574" s="27" t="s">
        <v>25</v>
      </c>
      <c r="C574" s="27" t="s">
        <v>37</v>
      </c>
      <c r="D574" s="27" t="s">
        <v>49</v>
      </c>
      <c r="E574" s="27">
        <v>118</v>
      </c>
    </row>
    <row r="575" spans="1:5" x14ac:dyDescent="0.4">
      <c r="A575" s="26">
        <v>45057</v>
      </c>
      <c r="B575" s="27" t="s">
        <v>25</v>
      </c>
      <c r="C575" s="27" t="s">
        <v>40</v>
      </c>
      <c r="D575" s="27" t="s">
        <v>35</v>
      </c>
      <c r="E575" s="27">
        <v>35</v>
      </c>
    </row>
    <row r="576" spans="1:5" x14ac:dyDescent="0.4">
      <c r="A576" s="26">
        <v>45057</v>
      </c>
      <c r="B576" s="27" t="s">
        <v>25</v>
      </c>
      <c r="C576" s="27" t="s">
        <v>53</v>
      </c>
      <c r="D576" s="27" t="s">
        <v>35</v>
      </c>
      <c r="E576" s="27">
        <v>39</v>
      </c>
    </row>
    <row r="577" spans="1:5" x14ac:dyDescent="0.4">
      <c r="A577" s="26">
        <v>45057</v>
      </c>
      <c r="B577" s="27" t="s">
        <v>25</v>
      </c>
      <c r="C577" s="27" t="s">
        <v>48</v>
      </c>
      <c r="D577" s="27" t="s">
        <v>34</v>
      </c>
      <c r="E577" s="27">
        <v>26</v>
      </c>
    </row>
    <row r="578" spans="1:5" x14ac:dyDescent="0.4">
      <c r="A578" s="26">
        <v>45057</v>
      </c>
      <c r="B578" s="27" t="s">
        <v>25</v>
      </c>
      <c r="C578" s="27" t="s">
        <v>37</v>
      </c>
      <c r="D578" s="27" t="s">
        <v>49</v>
      </c>
      <c r="E578" s="27">
        <v>78</v>
      </c>
    </row>
    <row r="579" spans="1:5" x14ac:dyDescent="0.4">
      <c r="A579" s="26">
        <v>45057</v>
      </c>
      <c r="B579" s="27" t="s">
        <v>47</v>
      </c>
      <c r="C579" s="27" t="s">
        <v>55</v>
      </c>
      <c r="D579" s="27" t="s">
        <v>34</v>
      </c>
      <c r="E579" s="27">
        <v>17</v>
      </c>
    </row>
    <row r="580" spans="1:5" x14ac:dyDescent="0.4">
      <c r="A580" s="26">
        <v>45057</v>
      </c>
      <c r="B580" s="27" t="s">
        <v>54</v>
      </c>
      <c r="C580" s="27" t="s">
        <v>56</v>
      </c>
      <c r="D580" s="27" t="s">
        <v>49</v>
      </c>
      <c r="E580" s="27">
        <v>106</v>
      </c>
    </row>
    <row r="581" spans="1:5" x14ac:dyDescent="0.4">
      <c r="A581" s="26">
        <v>45057</v>
      </c>
      <c r="B581" s="27" t="s">
        <v>32</v>
      </c>
      <c r="C581" s="27" t="s">
        <v>30</v>
      </c>
      <c r="D581" s="27" t="s">
        <v>49</v>
      </c>
      <c r="E581" s="27">
        <v>86</v>
      </c>
    </row>
    <row r="582" spans="1:5" x14ac:dyDescent="0.4">
      <c r="A582" s="26">
        <v>45057</v>
      </c>
      <c r="B582" s="27" t="s">
        <v>36</v>
      </c>
      <c r="C582" s="27" t="s">
        <v>55</v>
      </c>
      <c r="D582" s="27" t="s">
        <v>34</v>
      </c>
      <c r="E582" s="27">
        <v>32</v>
      </c>
    </row>
    <row r="583" spans="1:5" x14ac:dyDescent="0.4">
      <c r="A583" s="26">
        <v>45057</v>
      </c>
      <c r="B583" s="27" t="s">
        <v>52</v>
      </c>
      <c r="C583" s="27" t="s">
        <v>57</v>
      </c>
      <c r="D583" s="27" t="s">
        <v>35</v>
      </c>
      <c r="E583" s="27">
        <v>42</v>
      </c>
    </row>
    <row r="584" spans="1:5" x14ac:dyDescent="0.4">
      <c r="A584" s="26">
        <v>45057</v>
      </c>
      <c r="B584" s="27" t="s">
        <v>39</v>
      </c>
      <c r="C584" s="27" t="s">
        <v>46</v>
      </c>
      <c r="D584" s="27" t="s">
        <v>34</v>
      </c>
      <c r="E584" s="27">
        <v>26</v>
      </c>
    </row>
    <row r="585" spans="1:5" x14ac:dyDescent="0.4">
      <c r="A585" s="26">
        <v>45057</v>
      </c>
      <c r="B585" s="27" t="s">
        <v>39</v>
      </c>
      <c r="C585" s="27" t="s">
        <v>48</v>
      </c>
      <c r="D585" s="27" t="s">
        <v>49</v>
      </c>
      <c r="E585" s="27">
        <v>53</v>
      </c>
    </row>
    <row r="586" spans="1:5" x14ac:dyDescent="0.4">
      <c r="A586" s="26">
        <v>45057</v>
      </c>
      <c r="B586" s="27" t="s">
        <v>39</v>
      </c>
      <c r="C586" s="27" t="s">
        <v>51</v>
      </c>
      <c r="D586" s="27" t="s">
        <v>34</v>
      </c>
      <c r="E586" s="27">
        <v>24</v>
      </c>
    </row>
    <row r="587" spans="1:5" x14ac:dyDescent="0.4">
      <c r="A587" s="26">
        <v>45057</v>
      </c>
      <c r="B587" s="27" t="s">
        <v>39</v>
      </c>
      <c r="C587" s="27" t="s">
        <v>51</v>
      </c>
      <c r="D587" s="27" t="s">
        <v>49</v>
      </c>
      <c r="E587" s="27">
        <v>70</v>
      </c>
    </row>
    <row r="588" spans="1:5" x14ac:dyDescent="0.4">
      <c r="A588" s="26">
        <v>45057</v>
      </c>
      <c r="B588" s="27" t="s">
        <v>39</v>
      </c>
      <c r="C588" s="27" t="s">
        <v>58</v>
      </c>
      <c r="D588" s="27" t="s">
        <v>34</v>
      </c>
      <c r="E588" s="27">
        <v>10</v>
      </c>
    </row>
    <row r="589" spans="1:5" x14ac:dyDescent="0.4">
      <c r="A589" s="26">
        <v>45089</v>
      </c>
      <c r="B589" s="27" t="s">
        <v>32</v>
      </c>
      <c r="C589" s="27" t="s">
        <v>37</v>
      </c>
      <c r="D589" s="27" t="s">
        <v>35</v>
      </c>
      <c r="E589" s="27">
        <v>28</v>
      </c>
    </row>
    <row r="590" spans="1:5" x14ac:dyDescent="0.4">
      <c r="A590" s="26">
        <v>45089</v>
      </c>
      <c r="B590" s="27" t="s">
        <v>36</v>
      </c>
      <c r="C590" s="27" t="s">
        <v>48</v>
      </c>
      <c r="D590" s="27" t="s">
        <v>49</v>
      </c>
      <c r="E590" s="27">
        <v>65</v>
      </c>
    </row>
    <row r="591" spans="1:5" x14ac:dyDescent="0.4">
      <c r="A591" s="26">
        <v>45089</v>
      </c>
      <c r="B591" s="27" t="s">
        <v>39</v>
      </c>
      <c r="C591" s="27" t="s">
        <v>51</v>
      </c>
      <c r="D591" s="27" t="s">
        <v>35</v>
      </c>
      <c r="E591" s="27">
        <v>49</v>
      </c>
    </row>
    <row r="592" spans="1:5" x14ac:dyDescent="0.4">
      <c r="A592" s="26">
        <v>45089</v>
      </c>
      <c r="B592" s="27" t="s">
        <v>39</v>
      </c>
      <c r="C592" s="27" t="s">
        <v>58</v>
      </c>
      <c r="D592" s="27" t="s">
        <v>34</v>
      </c>
      <c r="E592" s="27">
        <v>18</v>
      </c>
    </row>
    <row r="593" spans="1:5" x14ac:dyDescent="0.4">
      <c r="A593" s="26">
        <v>45090</v>
      </c>
      <c r="B593" s="27" t="s">
        <v>25</v>
      </c>
      <c r="C593" s="27" t="s">
        <v>55</v>
      </c>
      <c r="D593" s="27" t="s">
        <v>35</v>
      </c>
      <c r="E593" s="27">
        <v>13</v>
      </c>
    </row>
    <row r="594" spans="1:5" x14ac:dyDescent="0.4">
      <c r="A594" s="26">
        <v>45090</v>
      </c>
      <c r="B594" s="27" t="s">
        <v>54</v>
      </c>
      <c r="C594" s="27" t="s">
        <v>40</v>
      </c>
      <c r="D594" s="27" t="s">
        <v>49</v>
      </c>
      <c r="E594" s="27">
        <v>95</v>
      </c>
    </row>
    <row r="595" spans="1:5" x14ac:dyDescent="0.4">
      <c r="A595" s="26">
        <v>45090</v>
      </c>
      <c r="B595" s="27" t="s">
        <v>36</v>
      </c>
      <c r="C595" s="27" t="s">
        <v>57</v>
      </c>
      <c r="D595" s="27" t="s">
        <v>49</v>
      </c>
      <c r="E595" s="27">
        <v>81</v>
      </c>
    </row>
    <row r="596" spans="1:5" x14ac:dyDescent="0.4">
      <c r="A596" s="26">
        <v>45090</v>
      </c>
      <c r="B596" s="27" t="s">
        <v>36</v>
      </c>
      <c r="C596" s="27" t="s">
        <v>46</v>
      </c>
      <c r="D596" s="27" t="s">
        <v>49</v>
      </c>
      <c r="E596" s="27">
        <v>73</v>
      </c>
    </row>
    <row r="597" spans="1:5" x14ac:dyDescent="0.4">
      <c r="A597" s="26">
        <v>45090</v>
      </c>
      <c r="B597" s="27" t="s">
        <v>52</v>
      </c>
      <c r="C597" s="27" t="s">
        <v>46</v>
      </c>
      <c r="D597" s="27" t="s">
        <v>34</v>
      </c>
      <c r="E597" s="27">
        <v>31</v>
      </c>
    </row>
    <row r="598" spans="1:5" x14ac:dyDescent="0.4">
      <c r="A598" s="26">
        <v>45090</v>
      </c>
      <c r="B598" s="27" t="s">
        <v>52</v>
      </c>
      <c r="C598" s="27" t="s">
        <v>53</v>
      </c>
      <c r="D598" s="27" t="s">
        <v>34</v>
      </c>
      <c r="E598" s="27">
        <v>46</v>
      </c>
    </row>
    <row r="599" spans="1:5" x14ac:dyDescent="0.4">
      <c r="A599" s="26">
        <v>45090</v>
      </c>
      <c r="B599" s="27" t="s">
        <v>52</v>
      </c>
      <c r="C599" s="27" t="s">
        <v>43</v>
      </c>
      <c r="D599" s="27" t="s">
        <v>49</v>
      </c>
      <c r="E599" s="27">
        <v>30</v>
      </c>
    </row>
    <row r="600" spans="1:5" x14ac:dyDescent="0.4">
      <c r="A600" s="26">
        <v>45091</v>
      </c>
      <c r="B600" s="27" t="s">
        <v>47</v>
      </c>
      <c r="C600" s="27" t="s">
        <v>48</v>
      </c>
      <c r="D600" s="27" t="s">
        <v>35</v>
      </c>
      <c r="E600" s="27">
        <v>26</v>
      </c>
    </row>
    <row r="601" spans="1:5" x14ac:dyDescent="0.4">
      <c r="A601" s="26">
        <v>45091</v>
      </c>
      <c r="B601" s="27" t="s">
        <v>47</v>
      </c>
      <c r="C601" s="27" t="s">
        <v>56</v>
      </c>
      <c r="D601" s="27" t="s">
        <v>34</v>
      </c>
      <c r="E601" s="27">
        <v>43</v>
      </c>
    </row>
    <row r="602" spans="1:5" x14ac:dyDescent="0.4">
      <c r="A602" s="26">
        <v>45091</v>
      </c>
      <c r="B602" s="27" t="s">
        <v>47</v>
      </c>
      <c r="C602" s="27" t="s">
        <v>40</v>
      </c>
      <c r="D602" s="27" t="s">
        <v>49</v>
      </c>
      <c r="E602" s="27">
        <v>31</v>
      </c>
    </row>
    <row r="603" spans="1:5" x14ac:dyDescent="0.4">
      <c r="A603" s="26">
        <v>45091</v>
      </c>
      <c r="B603" s="27" t="s">
        <v>47</v>
      </c>
      <c r="C603" s="27" t="s">
        <v>53</v>
      </c>
      <c r="D603" s="27" t="s">
        <v>34</v>
      </c>
      <c r="E603" s="27">
        <v>37</v>
      </c>
    </row>
    <row r="604" spans="1:5" x14ac:dyDescent="0.4">
      <c r="A604" s="26">
        <v>45091</v>
      </c>
      <c r="B604" s="27" t="s">
        <v>32</v>
      </c>
      <c r="C604" s="27" t="s">
        <v>51</v>
      </c>
      <c r="D604" s="27" t="s">
        <v>34</v>
      </c>
      <c r="E604" s="27">
        <v>41</v>
      </c>
    </row>
    <row r="605" spans="1:5" x14ac:dyDescent="0.4">
      <c r="A605" s="26">
        <v>45091</v>
      </c>
      <c r="B605" s="27" t="s">
        <v>32</v>
      </c>
      <c r="C605" s="27" t="s">
        <v>30</v>
      </c>
      <c r="D605" s="27" t="s">
        <v>49</v>
      </c>
      <c r="E605" s="27">
        <v>135</v>
      </c>
    </row>
    <row r="606" spans="1:5" x14ac:dyDescent="0.4">
      <c r="A606" s="26">
        <v>45091</v>
      </c>
      <c r="B606" s="27" t="s">
        <v>36</v>
      </c>
      <c r="C606" s="27" t="s">
        <v>55</v>
      </c>
      <c r="D606" s="27" t="s">
        <v>35</v>
      </c>
      <c r="E606" s="27">
        <v>32</v>
      </c>
    </row>
    <row r="607" spans="1:5" x14ac:dyDescent="0.4">
      <c r="A607" s="26">
        <v>45092</v>
      </c>
      <c r="B607" s="27" t="s">
        <v>32</v>
      </c>
      <c r="C607" s="27" t="s">
        <v>51</v>
      </c>
      <c r="D607" s="27" t="s">
        <v>41</v>
      </c>
      <c r="E607" s="27">
        <v>11</v>
      </c>
    </row>
    <row r="608" spans="1:5" x14ac:dyDescent="0.4">
      <c r="A608" s="26">
        <v>45092</v>
      </c>
      <c r="B608" s="27" t="s">
        <v>39</v>
      </c>
      <c r="C608" s="27" t="s">
        <v>37</v>
      </c>
      <c r="D608" s="27" t="s">
        <v>44</v>
      </c>
      <c r="E608" s="27">
        <v>41</v>
      </c>
    </row>
    <row r="609" spans="1:5" x14ac:dyDescent="0.4">
      <c r="A609" s="26">
        <v>45119</v>
      </c>
      <c r="B609" s="27" t="s">
        <v>25</v>
      </c>
      <c r="C609" s="27" t="s">
        <v>30</v>
      </c>
      <c r="D609" s="27" t="s">
        <v>35</v>
      </c>
      <c r="E609" s="27">
        <v>29</v>
      </c>
    </row>
    <row r="610" spans="1:5" x14ac:dyDescent="0.4">
      <c r="A610" s="26">
        <v>45119</v>
      </c>
      <c r="B610" s="27" t="s">
        <v>25</v>
      </c>
      <c r="C610" s="27" t="s">
        <v>30</v>
      </c>
      <c r="D610" s="27" t="s">
        <v>35</v>
      </c>
      <c r="E610" s="27">
        <v>37</v>
      </c>
    </row>
    <row r="611" spans="1:5" x14ac:dyDescent="0.4">
      <c r="A611" s="26">
        <v>45119</v>
      </c>
      <c r="B611" s="27" t="s">
        <v>32</v>
      </c>
      <c r="C611" s="27" t="s">
        <v>33</v>
      </c>
      <c r="D611" s="27" t="s">
        <v>34</v>
      </c>
      <c r="E611" s="27">
        <v>44</v>
      </c>
    </row>
    <row r="612" spans="1:5" x14ac:dyDescent="0.4">
      <c r="A612" s="26">
        <v>45119</v>
      </c>
      <c r="B612" s="27" t="s">
        <v>36</v>
      </c>
      <c r="C612" s="27" t="s">
        <v>37</v>
      </c>
      <c r="D612" s="27" t="s">
        <v>34</v>
      </c>
      <c r="E612" s="27">
        <v>38</v>
      </c>
    </row>
    <row r="613" spans="1:5" x14ac:dyDescent="0.4">
      <c r="A613" s="26">
        <v>45119</v>
      </c>
      <c r="B613" s="27" t="s">
        <v>39</v>
      </c>
      <c r="C613" s="27" t="s">
        <v>40</v>
      </c>
      <c r="D613" s="27" t="s">
        <v>41</v>
      </c>
      <c r="E613" s="27">
        <v>76</v>
      </c>
    </row>
    <row r="614" spans="1:5" x14ac:dyDescent="0.4">
      <c r="A614" s="26">
        <v>45119</v>
      </c>
      <c r="B614" s="27" t="s">
        <v>39</v>
      </c>
      <c r="C614" s="27" t="s">
        <v>43</v>
      </c>
      <c r="D614" s="27" t="s">
        <v>44</v>
      </c>
      <c r="E614" s="27">
        <v>69</v>
      </c>
    </row>
    <row r="615" spans="1:5" x14ac:dyDescent="0.4">
      <c r="A615" s="26">
        <v>45119</v>
      </c>
      <c r="B615" s="27" t="s">
        <v>39</v>
      </c>
      <c r="C615" s="27" t="s">
        <v>46</v>
      </c>
      <c r="D615" s="27" t="s">
        <v>35</v>
      </c>
      <c r="E615" s="27">
        <v>29</v>
      </c>
    </row>
    <row r="616" spans="1:5" x14ac:dyDescent="0.4">
      <c r="A616" s="26">
        <v>45120</v>
      </c>
      <c r="B616" s="27" t="s">
        <v>47</v>
      </c>
      <c r="C616" s="27" t="s">
        <v>48</v>
      </c>
      <c r="D616" s="27" t="s">
        <v>49</v>
      </c>
      <c r="E616" s="27">
        <v>101</v>
      </c>
    </row>
    <row r="617" spans="1:5" x14ac:dyDescent="0.4">
      <c r="A617" s="26">
        <v>45120</v>
      </c>
      <c r="B617" s="27" t="s">
        <v>36</v>
      </c>
      <c r="C617" s="27" t="s">
        <v>51</v>
      </c>
      <c r="D617" s="27" t="s">
        <v>49</v>
      </c>
      <c r="E617" s="27">
        <v>69</v>
      </c>
    </row>
    <row r="618" spans="1:5" x14ac:dyDescent="0.4">
      <c r="A618" s="26">
        <v>45120</v>
      </c>
      <c r="B618" s="27" t="s">
        <v>52</v>
      </c>
      <c r="C618" s="27" t="s">
        <v>53</v>
      </c>
      <c r="D618" s="27" t="s">
        <v>41</v>
      </c>
      <c r="E618" s="27">
        <v>77</v>
      </c>
    </row>
    <row r="619" spans="1:5" x14ac:dyDescent="0.4">
      <c r="A619" s="26">
        <v>45120</v>
      </c>
      <c r="B619" s="27" t="s">
        <v>39</v>
      </c>
      <c r="C619" s="27" t="s">
        <v>33</v>
      </c>
      <c r="D619" s="27" t="s">
        <v>44</v>
      </c>
      <c r="E619" s="27">
        <v>16</v>
      </c>
    </row>
    <row r="620" spans="1:5" x14ac:dyDescent="0.4">
      <c r="A620" s="26">
        <v>45120</v>
      </c>
      <c r="B620" s="27" t="s">
        <v>39</v>
      </c>
      <c r="C620" s="27" t="s">
        <v>40</v>
      </c>
      <c r="D620" s="27" t="s">
        <v>35</v>
      </c>
      <c r="E620" s="27">
        <v>46</v>
      </c>
    </row>
    <row r="621" spans="1:5" x14ac:dyDescent="0.4">
      <c r="A621" s="26">
        <v>45120</v>
      </c>
      <c r="B621" s="27" t="s">
        <v>39</v>
      </c>
      <c r="C621" s="27" t="s">
        <v>53</v>
      </c>
      <c r="D621" s="27" t="s">
        <v>44</v>
      </c>
      <c r="E621" s="27">
        <v>18</v>
      </c>
    </row>
    <row r="622" spans="1:5" x14ac:dyDescent="0.4">
      <c r="A622" s="26">
        <v>45124</v>
      </c>
      <c r="B622" s="27" t="s">
        <v>47</v>
      </c>
      <c r="C622" s="27" t="s">
        <v>46</v>
      </c>
      <c r="D622" s="27" t="s">
        <v>49</v>
      </c>
      <c r="E622" s="27">
        <v>148</v>
      </c>
    </row>
    <row r="623" spans="1:5" x14ac:dyDescent="0.4">
      <c r="A623" s="26">
        <v>45124</v>
      </c>
      <c r="B623" s="27" t="s">
        <v>39</v>
      </c>
      <c r="C623" s="27" t="s">
        <v>43</v>
      </c>
      <c r="D623" s="27" t="s">
        <v>49</v>
      </c>
      <c r="E623" s="27">
        <v>52</v>
      </c>
    </row>
    <row r="624" spans="1:5" x14ac:dyDescent="0.4">
      <c r="A624" s="26">
        <v>45124</v>
      </c>
      <c r="B624" s="27" t="s">
        <v>39</v>
      </c>
      <c r="C624" s="27" t="s">
        <v>30</v>
      </c>
      <c r="D624" s="27" t="s">
        <v>34</v>
      </c>
      <c r="E624" s="27">
        <v>65</v>
      </c>
    </row>
    <row r="625" spans="1:5" x14ac:dyDescent="0.4">
      <c r="A625" s="26">
        <v>45125</v>
      </c>
      <c r="B625" s="27" t="s">
        <v>47</v>
      </c>
      <c r="C625" s="27" t="s">
        <v>53</v>
      </c>
      <c r="D625" s="27" t="s">
        <v>35</v>
      </c>
      <c r="E625" s="27">
        <v>58</v>
      </c>
    </row>
    <row r="626" spans="1:5" x14ac:dyDescent="0.4">
      <c r="A626" s="26">
        <v>45125</v>
      </c>
      <c r="B626" s="27" t="s">
        <v>54</v>
      </c>
      <c r="C626" s="27" t="s">
        <v>55</v>
      </c>
      <c r="D626" s="27" t="s">
        <v>35</v>
      </c>
      <c r="E626" s="27">
        <v>65</v>
      </c>
    </row>
    <row r="627" spans="1:5" x14ac:dyDescent="0.4">
      <c r="A627" s="26">
        <v>45125</v>
      </c>
      <c r="B627" s="27" t="s">
        <v>54</v>
      </c>
      <c r="C627" s="27" t="s">
        <v>30</v>
      </c>
      <c r="D627" s="27" t="s">
        <v>49</v>
      </c>
      <c r="E627" s="27">
        <v>58</v>
      </c>
    </row>
    <row r="628" spans="1:5" x14ac:dyDescent="0.4">
      <c r="A628" s="26">
        <v>45125</v>
      </c>
      <c r="B628" s="27" t="s">
        <v>52</v>
      </c>
      <c r="C628" s="27" t="s">
        <v>48</v>
      </c>
      <c r="D628" s="27" t="s">
        <v>35</v>
      </c>
      <c r="E628" s="27">
        <v>23</v>
      </c>
    </row>
    <row r="629" spans="1:5" x14ac:dyDescent="0.4">
      <c r="A629" s="26">
        <v>45125</v>
      </c>
      <c r="B629" s="27" t="s">
        <v>52</v>
      </c>
      <c r="C629" s="27" t="s">
        <v>56</v>
      </c>
      <c r="D629" s="27" t="s">
        <v>34</v>
      </c>
      <c r="E629" s="27">
        <v>66</v>
      </c>
    </row>
    <row r="630" spans="1:5" x14ac:dyDescent="0.4">
      <c r="A630" s="26">
        <v>45125</v>
      </c>
      <c r="B630" s="27" t="s">
        <v>39</v>
      </c>
      <c r="C630" s="27" t="s">
        <v>51</v>
      </c>
      <c r="D630" s="27" t="s">
        <v>34</v>
      </c>
      <c r="E630" s="27">
        <v>44</v>
      </c>
    </row>
    <row r="631" spans="1:5" x14ac:dyDescent="0.4">
      <c r="A631" s="26">
        <v>45125</v>
      </c>
      <c r="B631" s="27" t="s">
        <v>39</v>
      </c>
      <c r="C631" s="27" t="s">
        <v>33</v>
      </c>
      <c r="D631" s="27" t="s">
        <v>49</v>
      </c>
      <c r="E631" s="27">
        <v>46</v>
      </c>
    </row>
    <row r="632" spans="1:5" x14ac:dyDescent="0.4">
      <c r="A632" s="26">
        <v>45125</v>
      </c>
      <c r="B632" s="27" t="s">
        <v>39</v>
      </c>
      <c r="C632" s="27" t="s">
        <v>40</v>
      </c>
      <c r="D632" s="27" t="s">
        <v>34</v>
      </c>
      <c r="E632" s="27">
        <v>50</v>
      </c>
    </row>
    <row r="633" spans="1:5" x14ac:dyDescent="0.4">
      <c r="A633" s="26">
        <v>45128</v>
      </c>
      <c r="B633" s="27" t="s">
        <v>25</v>
      </c>
      <c r="C633" s="27" t="s">
        <v>40</v>
      </c>
      <c r="D633" s="27" t="s">
        <v>41</v>
      </c>
      <c r="E633" s="27">
        <v>46</v>
      </c>
    </row>
    <row r="634" spans="1:5" x14ac:dyDescent="0.4">
      <c r="A634" s="26">
        <v>45128</v>
      </c>
      <c r="B634" s="27" t="s">
        <v>47</v>
      </c>
      <c r="C634" s="27" t="s">
        <v>46</v>
      </c>
      <c r="D634" s="27" t="s">
        <v>49</v>
      </c>
      <c r="E634" s="27">
        <v>23</v>
      </c>
    </row>
    <row r="635" spans="1:5" x14ac:dyDescent="0.4">
      <c r="A635" s="26">
        <v>45128</v>
      </c>
      <c r="B635" s="27" t="s">
        <v>47</v>
      </c>
      <c r="C635" s="27" t="s">
        <v>53</v>
      </c>
      <c r="D635" s="27" t="s">
        <v>49</v>
      </c>
      <c r="E635" s="27">
        <v>20</v>
      </c>
    </row>
    <row r="636" spans="1:5" x14ac:dyDescent="0.4">
      <c r="A636" s="26">
        <v>45128</v>
      </c>
      <c r="B636" s="27" t="s">
        <v>54</v>
      </c>
      <c r="C636" s="27" t="s">
        <v>43</v>
      </c>
      <c r="D636" s="27" t="s">
        <v>44</v>
      </c>
      <c r="E636" s="27">
        <v>39</v>
      </c>
    </row>
    <row r="637" spans="1:5" x14ac:dyDescent="0.4">
      <c r="A637" s="26">
        <v>45128</v>
      </c>
      <c r="B637" s="27" t="s">
        <v>32</v>
      </c>
      <c r="C637" s="27" t="s">
        <v>57</v>
      </c>
      <c r="D637" s="27" t="s">
        <v>35</v>
      </c>
      <c r="E637" s="27">
        <v>45</v>
      </c>
    </row>
    <row r="638" spans="1:5" x14ac:dyDescent="0.4">
      <c r="A638" s="26">
        <v>45128</v>
      </c>
      <c r="B638" s="27" t="s">
        <v>52</v>
      </c>
      <c r="C638" s="27" t="s">
        <v>33</v>
      </c>
      <c r="D638" s="27" t="s">
        <v>35</v>
      </c>
      <c r="E638" s="27">
        <v>32</v>
      </c>
    </row>
    <row r="639" spans="1:5" x14ac:dyDescent="0.4">
      <c r="A639" s="26">
        <v>45128</v>
      </c>
      <c r="B639" s="27" t="s">
        <v>52</v>
      </c>
      <c r="C639" s="27" t="s">
        <v>53</v>
      </c>
      <c r="D639" s="27" t="s">
        <v>44</v>
      </c>
      <c r="E639" s="27">
        <v>56</v>
      </c>
    </row>
    <row r="640" spans="1:5" x14ac:dyDescent="0.4">
      <c r="A640" s="26">
        <v>45128</v>
      </c>
      <c r="B640" s="27" t="s">
        <v>39</v>
      </c>
      <c r="C640" s="27" t="s">
        <v>30</v>
      </c>
      <c r="D640" s="27" t="s">
        <v>34</v>
      </c>
      <c r="E640" s="27">
        <v>11</v>
      </c>
    </row>
    <row r="641" spans="1:5" x14ac:dyDescent="0.4">
      <c r="A641" s="26">
        <v>45128</v>
      </c>
      <c r="B641" s="27" t="s">
        <v>39</v>
      </c>
      <c r="C641" s="27" t="s">
        <v>46</v>
      </c>
      <c r="D641" s="27" t="s">
        <v>49</v>
      </c>
      <c r="E641" s="27">
        <v>79</v>
      </c>
    </row>
    <row r="642" spans="1:5" x14ac:dyDescent="0.4">
      <c r="A642" s="26">
        <v>45129</v>
      </c>
      <c r="B642" s="27" t="s">
        <v>54</v>
      </c>
      <c r="C642" s="27" t="s">
        <v>51</v>
      </c>
      <c r="D642" s="27" t="s">
        <v>34</v>
      </c>
      <c r="E642" s="27">
        <v>71</v>
      </c>
    </row>
    <row r="643" spans="1:5" x14ac:dyDescent="0.4">
      <c r="A643" s="26">
        <v>45129</v>
      </c>
      <c r="B643" s="27" t="s">
        <v>54</v>
      </c>
      <c r="C643" s="27" t="s">
        <v>40</v>
      </c>
      <c r="D643" s="27" t="s">
        <v>34</v>
      </c>
      <c r="E643" s="27">
        <v>33</v>
      </c>
    </row>
    <row r="644" spans="1:5" x14ac:dyDescent="0.4">
      <c r="A644" s="26">
        <v>45129</v>
      </c>
      <c r="B644" s="27" t="s">
        <v>54</v>
      </c>
      <c r="C644" s="27" t="s">
        <v>46</v>
      </c>
      <c r="D644" s="27" t="s">
        <v>49</v>
      </c>
      <c r="E644" s="27">
        <v>87</v>
      </c>
    </row>
    <row r="645" spans="1:5" x14ac:dyDescent="0.4">
      <c r="A645" s="26">
        <v>45129</v>
      </c>
      <c r="B645" s="27" t="s">
        <v>36</v>
      </c>
      <c r="C645" s="27" t="s">
        <v>43</v>
      </c>
      <c r="D645" s="27" t="s">
        <v>49</v>
      </c>
      <c r="E645" s="27">
        <v>126</v>
      </c>
    </row>
    <row r="646" spans="1:5" x14ac:dyDescent="0.4">
      <c r="A646" s="26">
        <v>45129</v>
      </c>
      <c r="B646" s="27" t="s">
        <v>52</v>
      </c>
      <c r="C646" s="27" t="s">
        <v>37</v>
      </c>
      <c r="D646" s="27" t="s">
        <v>35</v>
      </c>
      <c r="E646" s="27">
        <v>61</v>
      </c>
    </row>
    <row r="647" spans="1:5" x14ac:dyDescent="0.4">
      <c r="A647" s="26">
        <v>45129</v>
      </c>
      <c r="B647" s="27" t="s">
        <v>52</v>
      </c>
      <c r="C647" s="27" t="s">
        <v>58</v>
      </c>
      <c r="D647" s="27" t="s">
        <v>35</v>
      </c>
      <c r="E647" s="27">
        <v>10</v>
      </c>
    </row>
    <row r="648" spans="1:5" x14ac:dyDescent="0.4">
      <c r="A648" s="26">
        <v>45150</v>
      </c>
      <c r="B648" s="27" t="s">
        <v>47</v>
      </c>
      <c r="C648" s="27" t="s">
        <v>40</v>
      </c>
      <c r="D648" s="27" t="s">
        <v>49</v>
      </c>
      <c r="E648" s="27">
        <v>97</v>
      </c>
    </row>
    <row r="649" spans="1:5" x14ac:dyDescent="0.4">
      <c r="A649" s="26">
        <v>45150</v>
      </c>
      <c r="B649" s="27" t="s">
        <v>54</v>
      </c>
      <c r="C649" s="27" t="s">
        <v>55</v>
      </c>
      <c r="D649" s="27" t="s">
        <v>34</v>
      </c>
      <c r="E649" s="27">
        <v>56</v>
      </c>
    </row>
    <row r="650" spans="1:5" x14ac:dyDescent="0.4">
      <c r="A650" s="26">
        <v>45150</v>
      </c>
      <c r="B650" s="27" t="s">
        <v>54</v>
      </c>
      <c r="C650" s="27" t="s">
        <v>48</v>
      </c>
      <c r="D650" s="27" t="s">
        <v>35</v>
      </c>
      <c r="E650" s="27">
        <v>12</v>
      </c>
    </row>
    <row r="651" spans="1:5" x14ac:dyDescent="0.4">
      <c r="A651" s="26">
        <v>45150</v>
      </c>
      <c r="B651" s="27" t="s">
        <v>54</v>
      </c>
      <c r="C651" s="27" t="s">
        <v>46</v>
      </c>
      <c r="D651" s="27" t="s">
        <v>35</v>
      </c>
      <c r="E651" s="27">
        <v>76</v>
      </c>
    </row>
    <row r="652" spans="1:5" x14ac:dyDescent="0.4">
      <c r="A652" s="26">
        <v>45150</v>
      </c>
      <c r="B652" s="27" t="s">
        <v>52</v>
      </c>
      <c r="C652" s="27" t="s">
        <v>51</v>
      </c>
      <c r="D652" s="27" t="s">
        <v>41</v>
      </c>
      <c r="E652" s="27">
        <v>65</v>
      </c>
    </row>
    <row r="653" spans="1:5" x14ac:dyDescent="0.4">
      <c r="A653" s="26">
        <v>45150</v>
      </c>
      <c r="B653" s="27" t="s">
        <v>52</v>
      </c>
      <c r="C653" s="27" t="s">
        <v>37</v>
      </c>
      <c r="D653" s="27" t="s">
        <v>44</v>
      </c>
      <c r="E653" s="27">
        <v>32</v>
      </c>
    </row>
    <row r="654" spans="1:5" x14ac:dyDescent="0.4">
      <c r="A654" s="26">
        <v>45150</v>
      </c>
      <c r="B654" s="27" t="s">
        <v>52</v>
      </c>
      <c r="C654" s="27" t="s">
        <v>30</v>
      </c>
      <c r="D654" s="27" t="s">
        <v>44</v>
      </c>
      <c r="E654" s="27">
        <v>51</v>
      </c>
    </row>
    <row r="655" spans="1:5" x14ac:dyDescent="0.4">
      <c r="A655" s="26">
        <v>45150</v>
      </c>
      <c r="B655" s="27" t="s">
        <v>39</v>
      </c>
      <c r="C655" s="27" t="s">
        <v>33</v>
      </c>
      <c r="D655" s="27" t="s">
        <v>49</v>
      </c>
      <c r="E655" s="27">
        <v>129</v>
      </c>
    </row>
    <row r="656" spans="1:5" x14ac:dyDescent="0.4">
      <c r="A656" s="26">
        <v>45156</v>
      </c>
      <c r="B656" s="27" t="s">
        <v>47</v>
      </c>
      <c r="C656" s="27" t="s">
        <v>40</v>
      </c>
      <c r="D656" s="27" t="s">
        <v>49</v>
      </c>
      <c r="E656" s="27">
        <v>133</v>
      </c>
    </row>
    <row r="657" spans="1:5" x14ac:dyDescent="0.4">
      <c r="A657" s="26">
        <v>45156</v>
      </c>
      <c r="B657" s="27" t="s">
        <v>47</v>
      </c>
      <c r="C657" s="27" t="s">
        <v>53</v>
      </c>
      <c r="D657" s="27" t="s">
        <v>34</v>
      </c>
      <c r="E657" s="27">
        <v>58</v>
      </c>
    </row>
    <row r="658" spans="1:5" x14ac:dyDescent="0.4">
      <c r="A658" s="26">
        <v>45156</v>
      </c>
      <c r="B658" s="27" t="s">
        <v>54</v>
      </c>
      <c r="C658" s="27" t="s">
        <v>43</v>
      </c>
      <c r="D658" s="27" t="s">
        <v>35</v>
      </c>
      <c r="E658" s="27">
        <v>54</v>
      </c>
    </row>
    <row r="659" spans="1:5" x14ac:dyDescent="0.4">
      <c r="A659" s="26">
        <v>45156</v>
      </c>
      <c r="B659" s="27" t="s">
        <v>54</v>
      </c>
      <c r="C659" s="27" t="s">
        <v>46</v>
      </c>
      <c r="D659" s="27" t="s">
        <v>34</v>
      </c>
      <c r="E659" s="27">
        <v>64</v>
      </c>
    </row>
    <row r="660" spans="1:5" x14ac:dyDescent="0.4">
      <c r="A660" s="26">
        <v>45156</v>
      </c>
      <c r="B660" s="27" t="s">
        <v>32</v>
      </c>
      <c r="C660" s="27" t="s">
        <v>57</v>
      </c>
      <c r="D660" s="27" t="s">
        <v>27</v>
      </c>
      <c r="E660" s="27">
        <v>61</v>
      </c>
    </row>
    <row r="661" spans="1:5" x14ac:dyDescent="0.4">
      <c r="A661" s="26">
        <v>45156</v>
      </c>
      <c r="B661" s="27" t="s">
        <v>39</v>
      </c>
      <c r="C661" s="27" t="s">
        <v>55</v>
      </c>
      <c r="D661" s="27" t="s">
        <v>34</v>
      </c>
      <c r="E661" s="27">
        <v>10</v>
      </c>
    </row>
    <row r="662" spans="1:5" x14ac:dyDescent="0.4">
      <c r="A662" s="26">
        <v>45157</v>
      </c>
      <c r="B662" s="27" t="s">
        <v>47</v>
      </c>
      <c r="C662" s="27" t="s">
        <v>30</v>
      </c>
      <c r="D662" s="27" t="s">
        <v>34</v>
      </c>
      <c r="E662" s="27">
        <v>63</v>
      </c>
    </row>
    <row r="663" spans="1:5" x14ac:dyDescent="0.4">
      <c r="A663" s="26">
        <v>45157</v>
      </c>
      <c r="B663" s="27" t="s">
        <v>54</v>
      </c>
      <c r="C663" s="27" t="s">
        <v>56</v>
      </c>
      <c r="D663" s="27" t="s">
        <v>49</v>
      </c>
      <c r="E663" s="27">
        <v>105</v>
      </c>
    </row>
    <row r="664" spans="1:5" x14ac:dyDescent="0.4">
      <c r="A664" s="26">
        <v>45157</v>
      </c>
      <c r="B664" s="27" t="s">
        <v>54</v>
      </c>
      <c r="C664" s="27" t="s">
        <v>33</v>
      </c>
      <c r="D664" s="27" t="s">
        <v>49</v>
      </c>
      <c r="E664" s="27">
        <v>116</v>
      </c>
    </row>
    <row r="665" spans="1:5" x14ac:dyDescent="0.4">
      <c r="A665" s="26">
        <v>45157</v>
      </c>
      <c r="B665" s="27" t="s">
        <v>54</v>
      </c>
      <c r="C665" s="27" t="s">
        <v>40</v>
      </c>
      <c r="D665" s="27" t="s">
        <v>49</v>
      </c>
      <c r="E665" s="27">
        <v>45</v>
      </c>
    </row>
    <row r="666" spans="1:5" x14ac:dyDescent="0.4">
      <c r="A666" s="26">
        <v>45157</v>
      </c>
      <c r="B666" s="27" t="s">
        <v>54</v>
      </c>
      <c r="C666" s="27" t="s">
        <v>48</v>
      </c>
      <c r="D666" s="27" t="s">
        <v>27</v>
      </c>
      <c r="E666" s="27">
        <v>48</v>
      </c>
    </row>
  </sheetData>
  <mergeCells count="3">
    <mergeCell ref="L2:M2"/>
    <mergeCell ref="I7:J7"/>
    <mergeCell ref="L9:M9"/>
  </mergeCells>
  <phoneticPr fontId="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AA993-5F07-4A45-AE88-A0C77D189C5F}">
  <dimension ref="A1:K53"/>
  <sheetViews>
    <sheetView topLeftCell="A4" zoomScale="130" zoomScaleNormal="130" workbookViewId="0">
      <selection activeCell="K9" sqref="K9:K12"/>
    </sheetView>
  </sheetViews>
  <sheetFormatPr defaultColWidth="9" defaultRowHeight="13.5" x14ac:dyDescent="0.4"/>
  <cols>
    <col min="1" max="16384" width="9" style="11"/>
  </cols>
  <sheetData>
    <row r="1" spans="1:11" x14ac:dyDescent="0.3">
      <c r="A1" s="59" t="s">
        <v>105</v>
      </c>
      <c r="B1" s="59" t="s">
        <v>59</v>
      </c>
      <c r="C1" s="59" t="s">
        <v>22</v>
      </c>
      <c r="D1" s="68" t="s">
        <v>116</v>
      </c>
      <c r="E1" s="11" t="s">
        <v>113</v>
      </c>
      <c r="F1" s="11" t="s">
        <v>114</v>
      </c>
      <c r="G1" s="11" t="s">
        <v>115</v>
      </c>
    </row>
    <row r="2" spans="1:11" x14ac:dyDescent="0.3">
      <c r="A2" s="60">
        <v>1</v>
      </c>
      <c r="B2" s="60">
        <v>1</v>
      </c>
      <c r="C2" s="60">
        <v>5.3999999999999995</v>
      </c>
      <c r="D2" s="68">
        <v>1</v>
      </c>
      <c r="E2" s="11">
        <f t="array" ref="E2:E5">C2:C5/$K$26:$K$29</f>
        <v>5.9264585465711379</v>
      </c>
      <c r="F2" s="11">
        <f>FORECAST(D2,$E$2:$E$49,$D$2:$D$49)</f>
        <v>6.2312510019997447</v>
      </c>
      <c r="G2" s="11">
        <f t="array" ref="G2:G5">F2:F5*$K$26:$K$29</f>
        <v>5.6777171638645356</v>
      </c>
      <c r="I2" s="11" t="s">
        <v>106</v>
      </c>
    </row>
    <row r="3" spans="1:11" x14ac:dyDescent="0.3">
      <c r="A3" s="60"/>
      <c r="B3" s="60">
        <v>2</v>
      </c>
      <c r="C3" s="60">
        <v>5.76</v>
      </c>
      <c r="D3" s="68">
        <v>2</v>
      </c>
      <c r="E3" s="11">
        <v>6.2322502522704353</v>
      </c>
      <c r="F3" s="11">
        <f t="shared" ref="F3:F53" si="0">FORECAST(D3,$E$2:$E$49,$D$2:$D$49)</f>
        <v>6.4223679806380529</v>
      </c>
      <c r="G3" s="11">
        <v>5.9357115120655708</v>
      </c>
      <c r="I3" s="61">
        <v>1</v>
      </c>
      <c r="J3" s="62">
        <v>0.91116810445325214</v>
      </c>
    </row>
    <row r="4" spans="1:11" x14ac:dyDescent="0.3">
      <c r="A4" s="60"/>
      <c r="B4" s="60">
        <v>3</v>
      </c>
      <c r="C4" s="60">
        <v>7.08</v>
      </c>
      <c r="D4" s="68">
        <v>3</v>
      </c>
      <c r="E4" s="11">
        <v>6.6243717277486915</v>
      </c>
      <c r="F4" s="11">
        <f t="shared" si="0"/>
        <v>6.613484959276362</v>
      </c>
      <c r="G4" s="11">
        <v>7.06836443304333</v>
      </c>
      <c r="I4" s="61">
        <v>2</v>
      </c>
      <c r="J4" s="62">
        <v>0.92422476101655371</v>
      </c>
    </row>
    <row r="5" spans="1:11" x14ac:dyDescent="0.3">
      <c r="A5" s="63"/>
      <c r="B5" s="63">
        <v>4</v>
      </c>
      <c r="C5" s="63">
        <v>7.68</v>
      </c>
      <c r="D5" s="68">
        <v>4</v>
      </c>
      <c r="E5" s="11">
        <v>7.0084085106382989</v>
      </c>
      <c r="F5" s="11">
        <f t="shared" si="0"/>
        <v>6.8046019379146712</v>
      </c>
      <c r="G5" s="11">
        <v>7.4566633500114117</v>
      </c>
      <c r="I5" s="61">
        <v>3</v>
      </c>
      <c r="J5" s="62">
        <v>1.0687806015388202</v>
      </c>
    </row>
    <row r="6" spans="1:11" x14ac:dyDescent="0.3">
      <c r="A6" s="60">
        <v>2</v>
      </c>
      <c r="B6" s="60">
        <v>1</v>
      </c>
      <c r="C6" s="60">
        <v>6.1199999999999992</v>
      </c>
      <c r="D6" s="68">
        <v>5</v>
      </c>
      <c r="E6" s="11">
        <f t="array" ref="E6:E9">C6:C9/$K$26:$K$29</f>
        <v>6.7166530194472891</v>
      </c>
      <c r="F6" s="11">
        <f t="shared" si="0"/>
        <v>6.9957189165529794</v>
      </c>
      <c r="G6" s="11">
        <f t="array" ref="G6:G9">F6:F9*$K$26:$K$29</f>
        <v>6.3742759444833368</v>
      </c>
      <c r="I6" s="59">
        <v>4</v>
      </c>
      <c r="J6" s="62">
        <v>1.095826532991373</v>
      </c>
    </row>
    <row r="7" spans="1:11" x14ac:dyDescent="0.3">
      <c r="A7" s="60"/>
      <c r="B7" s="60">
        <v>2</v>
      </c>
      <c r="C7" s="60">
        <v>6.3599999999999994</v>
      </c>
      <c r="D7" s="68">
        <v>6</v>
      </c>
      <c r="E7" s="11">
        <v>6.8814429868819387</v>
      </c>
      <c r="F7" s="11">
        <f t="shared" si="0"/>
        <v>7.1868358951912885</v>
      </c>
      <c r="G7" s="11">
        <v>6.6422516876983586</v>
      </c>
    </row>
    <row r="8" spans="1:11" ht="13.9" thickBot="1" x14ac:dyDescent="0.35">
      <c r="A8" s="60"/>
      <c r="B8" s="60">
        <v>3</v>
      </c>
      <c r="C8" s="60">
        <v>8.52</v>
      </c>
      <c r="D8" s="68">
        <v>7</v>
      </c>
      <c r="E8" s="11">
        <v>7.9717015706806285</v>
      </c>
      <c r="F8" s="11">
        <f t="shared" si="0"/>
        <v>7.3779528738295976</v>
      </c>
      <c r="G8" s="11">
        <v>7.8854129106166644</v>
      </c>
      <c r="I8" s="11" t="s">
        <v>107</v>
      </c>
    </row>
    <row r="9" spans="1:11" x14ac:dyDescent="0.3">
      <c r="A9" s="63"/>
      <c r="B9" s="63">
        <v>4</v>
      </c>
      <c r="C9" s="63">
        <v>9.1199999999999992</v>
      </c>
      <c r="D9" s="68">
        <v>8</v>
      </c>
      <c r="E9" s="11">
        <v>8.322485106382981</v>
      </c>
      <c r="F9" s="11">
        <f t="shared" si="0"/>
        <v>7.5690698524679059</v>
      </c>
      <c r="G9" s="11">
        <v>8.294387574399428</v>
      </c>
      <c r="I9" s="80" t="s">
        <v>108</v>
      </c>
      <c r="J9" s="64" t="s">
        <v>109</v>
      </c>
      <c r="K9" s="62">
        <v>14.03642253129016</v>
      </c>
    </row>
    <row r="10" spans="1:11" ht="14.25" customHeight="1" x14ac:dyDescent="0.3">
      <c r="A10" s="60">
        <v>3</v>
      </c>
      <c r="B10" s="60">
        <v>1</v>
      </c>
      <c r="C10" s="60">
        <v>6.6</v>
      </c>
      <c r="D10" s="68">
        <v>9</v>
      </c>
      <c r="E10" s="11">
        <f t="array" ref="E10:E13">C10:C13/$K$26:$K$29</f>
        <v>7.2434493346980577</v>
      </c>
      <c r="F10" s="11">
        <f t="shared" si="0"/>
        <v>7.760186831106215</v>
      </c>
      <c r="G10" s="11">
        <f t="array" ref="G10:G13">F10:F13*$K$26:$K$29</f>
        <v>7.0708347251021397</v>
      </c>
      <c r="I10" s="81"/>
      <c r="J10" s="64" t="s">
        <v>110</v>
      </c>
      <c r="K10" s="62">
        <v>14.414193619659015</v>
      </c>
    </row>
    <row r="11" spans="1:11" ht="14.25" customHeight="1" x14ac:dyDescent="0.3">
      <c r="A11" s="60"/>
      <c r="B11" s="60">
        <v>2</v>
      </c>
      <c r="C11" s="60">
        <v>6.6</v>
      </c>
      <c r="D11" s="68">
        <v>10</v>
      </c>
      <c r="E11" s="11">
        <v>7.1411200807265409</v>
      </c>
      <c r="F11" s="11">
        <f t="shared" si="0"/>
        <v>7.9513038097445232</v>
      </c>
      <c r="G11" s="11">
        <v>7.3487918633311446</v>
      </c>
      <c r="I11" s="81"/>
      <c r="J11" s="64" t="s">
        <v>111</v>
      </c>
      <c r="K11" s="62">
        <v>16.872946163923338</v>
      </c>
    </row>
    <row r="12" spans="1:11" ht="14.25" customHeight="1" thickBot="1" x14ac:dyDescent="0.35">
      <c r="A12" s="60"/>
      <c r="B12" s="60">
        <v>3</v>
      </c>
      <c r="C12" s="60">
        <v>8.76</v>
      </c>
      <c r="D12" s="68">
        <v>11</v>
      </c>
      <c r="E12" s="11">
        <v>8.196256544502619</v>
      </c>
      <c r="F12" s="11">
        <f t="shared" si="0"/>
        <v>8.1424207883828323</v>
      </c>
      <c r="G12" s="11">
        <v>8.702461388189997</v>
      </c>
      <c r="I12" s="82"/>
      <c r="J12" s="64" t="s">
        <v>112</v>
      </c>
      <c r="K12" s="62">
        <v>17.509354042667617</v>
      </c>
    </row>
    <row r="13" spans="1:11" x14ac:dyDescent="0.3">
      <c r="A13" s="63"/>
      <c r="B13" s="63">
        <v>4</v>
      </c>
      <c r="C13" s="63">
        <v>9.6</v>
      </c>
      <c r="D13" s="68">
        <v>12</v>
      </c>
      <c r="E13" s="11">
        <v>8.760510638297875</v>
      </c>
      <c r="F13" s="11">
        <f t="shared" si="0"/>
        <v>8.3335377670211415</v>
      </c>
      <c r="G13" s="11">
        <v>9.1321117987874452</v>
      </c>
    </row>
    <row r="14" spans="1:11" x14ac:dyDescent="0.3">
      <c r="A14" s="60">
        <v>4</v>
      </c>
      <c r="B14" s="60">
        <v>1</v>
      </c>
      <c r="C14" s="60">
        <v>7.4399999999999995</v>
      </c>
      <c r="D14" s="68">
        <v>13</v>
      </c>
      <c r="E14" s="11">
        <f t="array" ref="E14:E17">C14:C17/$K$26:$K$29</f>
        <v>8.1653428863869006</v>
      </c>
      <c r="F14" s="11">
        <f t="shared" si="0"/>
        <v>8.5246547456594506</v>
      </c>
      <c r="G14" s="11">
        <f t="array" ref="G14:G17">F14:F17*$K$26:$K$29</f>
        <v>7.7673935057209418</v>
      </c>
    </row>
    <row r="15" spans="1:11" x14ac:dyDescent="0.3">
      <c r="A15" s="60"/>
      <c r="B15" s="60">
        <v>2</v>
      </c>
      <c r="C15" s="60">
        <v>7.56</v>
      </c>
      <c r="D15" s="68">
        <v>14</v>
      </c>
      <c r="E15" s="11">
        <v>8.1798284561049464</v>
      </c>
      <c r="F15" s="11">
        <f t="shared" si="0"/>
        <v>8.7157717242977597</v>
      </c>
      <c r="G15" s="11">
        <v>8.0553320389639325</v>
      </c>
    </row>
    <row r="16" spans="1:11" x14ac:dyDescent="0.3">
      <c r="A16" s="60"/>
      <c r="B16" s="60">
        <v>3</v>
      </c>
      <c r="C16" s="60">
        <v>9.6</v>
      </c>
      <c r="D16" s="68">
        <v>15</v>
      </c>
      <c r="E16" s="11">
        <v>8.9821989528795818</v>
      </c>
      <c r="F16" s="11">
        <f t="shared" si="0"/>
        <v>8.9068887029360688</v>
      </c>
      <c r="G16" s="11">
        <v>9.5195098657633324</v>
      </c>
    </row>
    <row r="17" spans="1:11" x14ac:dyDescent="0.3">
      <c r="A17" s="63"/>
      <c r="B17" s="63">
        <v>4</v>
      </c>
      <c r="C17" s="63">
        <v>10.199999999999999</v>
      </c>
      <c r="D17" s="68">
        <v>16</v>
      </c>
      <c r="E17" s="11">
        <v>9.3080425531914912</v>
      </c>
      <c r="F17" s="11">
        <f t="shared" si="0"/>
        <v>9.0980056815743762</v>
      </c>
      <c r="G17" s="11">
        <v>9.9698360231754624</v>
      </c>
    </row>
    <row r="18" spans="1:11" x14ac:dyDescent="0.3">
      <c r="A18" s="60">
        <v>5</v>
      </c>
      <c r="B18" s="60">
        <v>1</v>
      </c>
      <c r="C18" s="65">
        <v>8.52</v>
      </c>
      <c r="D18" s="68">
        <v>17</v>
      </c>
      <c r="E18" s="11">
        <f t="array" ref="E18:E21">C18:C21/$K$26:$K$29</f>
        <v>9.3506345957011288</v>
      </c>
      <c r="F18" s="11">
        <f t="shared" si="0"/>
        <v>9.2891226602126853</v>
      </c>
      <c r="G18" s="11">
        <f t="array" ref="G18:G21">F18:F21*$K$26:$K$29</f>
        <v>8.4639522863397438</v>
      </c>
      <c r="I18" s="59" t="s">
        <v>59</v>
      </c>
    </row>
    <row r="19" spans="1:11" x14ac:dyDescent="0.3">
      <c r="A19" s="60"/>
      <c r="B19" s="60">
        <v>2</v>
      </c>
      <c r="C19" s="66">
        <v>8.76</v>
      </c>
      <c r="D19" s="68">
        <v>18</v>
      </c>
      <c r="E19" s="11">
        <v>9.4782139253279549</v>
      </c>
      <c r="F19" s="11">
        <f t="shared" si="0"/>
        <v>9.4802396388509944</v>
      </c>
      <c r="G19" s="11">
        <v>8.7618722145967194</v>
      </c>
      <c r="I19" s="60">
        <v>1</v>
      </c>
    </row>
    <row r="20" spans="1:11" x14ac:dyDescent="0.3">
      <c r="A20" s="60"/>
      <c r="B20" s="60">
        <v>3</v>
      </c>
      <c r="C20" s="66">
        <v>10.199999999999999</v>
      </c>
      <c r="D20" s="68">
        <v>19</v>
      </c>
      <c r="E20" s="11">
        <v>9.543586387434555</v>
      </c>
      <c r="F20" s="11">
        <f t="shared" si="0"/>
        <v>9.6713566174893035</v>
      </c>
      <c r="G20" s="11">
        <v>10.336558343336666</v>
      </c>
    </row>
    <row r="21" spans="1:11" x14ac:dyDescent="0.3">
      <c r="A21" s="63"/>
      <c r="B21" s="63">
        <v>4</v>
      </c>
      <c r="C21" s="67">
        <v>10.56</v>
      </c>
      <c r="D21" s="68">
        <v>20</v>
      </c>
      <c r="E21" s="11">
        <v>9.6365617021276631</v>
      </c>
      <c r="F21" s="11">
        <f t="shared" si="0"/>
        <v>9.8624735961276109</v>
      </c>
      <c r="G21" s="11">
        <v>10.807560247563478</v>
      </c>
    </row>
    <row r="22" spans="1:11" x14ac:dyDescent="0.3">
      <c r="A22" s="60">
        <v>6</v>
      </c>
      <c r="B22" s="60">
        <v>1</v>
      </c>
      <c r="C22" s="65">
        <v>9.8399999999999981</v>
      </c>
      <c r="D22" s="68">
        <v>21</v>
      </c>
      <c r="E22" s="11">
        <f t="array" ref="E22:E25">C22:C25/$K$26:$K$29</f>
        <v>10.799324462640739</v>
      </c>
      <c r="F22" s="11">
        <f t="shared" si="0"/>
        <v>10.05359057476592</v>
      </c>
      <c r="G22" s="11">
        <f t="array" ref="G22:G25">F22:F25*$K$26:$K$29</f>
        <v>9.160511066958545</v>
      </c>
    </row>
    <row r="23" spans="1:11" x14ac:dyDescent="0.3">
      <c r="A23" s="60"/>
      <c r="B23" s="60">
        <v>2</v>
      </c>
      <c r="C23" s="66">
        <v>9.9600000000000009</v>
      </c>
      <c r="D23" s="68">
        <v>22</v>
      </c>
      <c r="E23" s="11">
        <v>10.776599394550963</v>
      </c>
      <c r="F23" s="11">
        <f t="shared" si="0"/>
        <v>10.244707553404229</v>
      </c>
      <c r="G23" s="11">
        <v>9.4684123902295063</v>
      </c>
    </row>
    <row r="24" spans="1:11" x14ac:dyDescent="0.3">
      <c r="A24" s="60"/>
      <c r="B24" s="60">
        <v>3</v>
      </c>
      <c r="C24" s="66">
        <v>10.799999999999999</v>
      </c>
      <c r="D24" s="68">
        <v>23</v>
      </c>
      <c r="E24" s="11">
        <v>10.104973821989528</v>
      </c>
      <c r="F24" s="11">
        <f t="shared" si="0"/>
        <v>10.435824532042538</v>
      </c>
      <c r="G24" s="11">
        <v>11.153606820910001</v>
      </c>
    </row>
    <row r="25" spans="1:11" x14ac:dyDescent="0.3">
      <c r="A25" s="63"/>
      <c r="B25" s="63">
        <v>4</v>
      </c>
      <c r="C25" s="67">
        <v>11.04</v>
      </c>
      <c r="D25" s="68">
        <v>24</v>
      </c>
      <c r="E25" s="11">
        <v>10.074587234042555</v>
      </c>
      <c r="F25" s="11">
        <f t="shared" si="0"/>
        <v>10.626941510680847</v>
      </c>
      <c r="G25" s="11">
        <v>11.645284471951497</v>
      </c>
      <c r="I25" s="59"/>
      <c r="J25" s="11">
        <f>DAVERAGE(A1:C49,C1,I18:I19)</f>
        <v>9.7699999999999978</v>
      </c>
      <c r="K25" s="11">
        <f>AVERAGE(C2:C49)</f>
        <v>10.722500000000002</v>
      </c>
    </row>
    <row r="26" spans="1:11" x14ac:dyDescent="0.3">
      <c r="A26" s="60">
        <v>7</v>
      </c>
      <c r="B26" s="60">
        <v>1</v>
      </c>
      <c r="C26" s="65">
        <v>10.199999999999999</v>
      </c>
      <c r="D26" s="68">
        <v>25</v>
      </c>
      <c r="E26" s="11">
        <f t="array" ref="E26:E29">C26:C29/$K$26:$K$29</f>
        <v>11.194421699078816</v>
      </c>
      <c r="F26" s="11">
        <f t="shared" si="0"/>
        <v>10.818058489319156</v>
      </c>
      <c r="G26" s="11">
        <f t="array" ref="G26:G29">F26:F29*$K$26:$K$29</f>
        <v>9.8570698475773479</v>
      </c>
      <c r="I26" s="60">
        <v>1</v>
      </c>
      <c r="J26" s="11">
        <f t="dataTable" ref="J26:J29" dt2D="0" dtr="0" r1="I19"/>
        <v>9.7699999999999978</v>
      </c>
      <c r="K26" s="11">
        <f>J26/$K$25</f>
        <v>0.91116810445325214</v>
      </c>
    </row>
    <row r="27" spans="1:11" x14ac:dyDescent="0.3">
      <c r="A27" s="60"/>
      <c r="B27" s="60">
        <v>2</v>
      </c>
      <c r="C27" s="66">
        <v>10.56</v>
      </c>
      <c r="D27" s="68">
        <v>26</v>
      </c>
      <c r="E27" s="11">
        <v>11.425792129162465</v>
      </c>
      <c r="F27" s="11">
        <f t="shared" si="0"/>
        <v>11.009175467957466</v>
      </c>
      <c r="G27" s="11">
        <v>10.174952565862295</v>
      </c>
      <c r="I27" s="60">
        <v>2</v>
      </c>
      <c r="J27" s="11">
        <v>9.9099999999999984</v>
      </c>
      <c r="K27" s="11">
        <f t="shared" ref="K27:K29" si="1">J27/$K$25</f>
        <v>0.92422476101655371</v>
      </c>
    </row>
    <row r="28" spans="1:11" x14ac:dyDescent="0.3">
      <c r="A28" s="60"/>
      <c r="B28" s="60">
        <v>3</v>
      </c>
      <c r="C28" s="66">
        <v>11.76</v>
      </c>
      <c r="D28" s="68">
        <v>27</v>
      </c>
      <c r="E28" s="11">
        <v>11.003193717277487</v>
      </c>
      <c r="F28" s="11">
        <f t="shared" si="0"/>
        <v>11.200292446595775</v>
      </c>
      <c r="G28" s="11">
        <v>11.970655298483337</v>
      </c>
      <c r="I28" s="60">
        <v>3</v>
      </c>
      <c r="J28" s="11">
        <v>11.46</v>
      </c>
      <c r="K28" s="11">
        <f t="shared" si="1"/>
        <v>1.0687806015388202</v>
      </c>
    </row>
    <row r="29" spans="1:11" x14ac:dyDescent="0.3">
      <c r="A29" s="63"/>
      <c r="B29" s="63">
        <v>4</v>
      </c>
      <c r="C29" s="67">
        <v>11.88</v>
      </c>
      <c r="D29" s="68">
        <v>28</v>
      </c>
      <c r="E29" s="11">
        <v>10.841131914893621</v>
      </c>
      <c r="F29" s="11">
        <f t="shared" si="0"/>
        <v>11.391409425234082</v>
      </c>
      <c r="G29" s="11">
        <v>12.483008696339514</v>
      </c>
      <c r="I29" s="63">
        <v>4</v>
      </c>
      <c r="J29" s="11">
        <v>11.75</v>
      </c>
      <c r="K29" s="11">
        <f t="shared" si="1"/>
        <v>1.095826532991373</v>
      </c>
    </row>
    <row r="30" spans="1:11" x14ac:dyDescent="0.3">
      <c r="A30" s="60">
        <v>8</v>
      </c>
      <c r="B30" s="60">
        <v>1</v>
      </c>
      <c r="C30" s="65">
        <v>11.28</v>
      </c>
      <c r="D30" s="68">
        <v>29</v>
      </c>
      <c r="E30" s="11">
        <f t="array" ref="E30:E33">C30:C33/$K$26:$K$29</f>
        <v>12.379713408393044</v>
      </c>
      <c r="F30" s="11">
        <f t="shared" si="0"/>
        <v>11.582526403872391</v>
      </c>
      <c r="G30" s="11">
        <f t="array" ref="G30:G33">F30:F33*$K$26:$K$29</f>
        <v>10.553628628196149</v>
      </c>
    </row>
    <row r="31" spans="1:11" x14ac:dyDescent="0.3">
      <c r="A31" s="60"/>
      <c r="B31" s="60">
        <v>2</v>
      </c>
      <c r="C31" s="66">
        <v>11.16</v>
      </c>
      <c r="D31" s="68">
        <v>30</v>
      </c>
      <c r="E31" s="11">
        <v>12.074984863773969</v>
      </c>
      <c r="F31" s="11">
        <f t="shared" si="0"/>
        <v>11.7736433825107</v>
      </c>
      <c r="G31" s="11">
        <v>10.88149274149508</v>
      </c>
    </row>
    <row r="32" spans="1:11" x14ac:dyDescent="0.3">
      <c r="A32" s="60"/>
      <c r="B32" s="60">
        <v>3</v>
      </c>
      <c r="C32" s="66">
        <v>12.719999999999999</v>
      </c>
      <c r="D32" s="68">
        <v>31</v>
      </c>
      <c r="E32" s="11">
        <v>11.901413612565445</v>
      </c>
      <c r="F32" s="11">
        <f t="shared" si="0"/>
        <v>11.964760361149008</v>
      </c>
      <c r="G32" s="11">
        <v>12.787703776056668</v>
      </c>
    </row>
    <row r="33" spans="1:7" x14ac:dyDescent="0.3">
      <c r="A33" s="63"/>
      <c r="B33" s="63">
        <v>4</v>
      </c>
      <c r="C33" s="67">
        <v>12.839999999999998</v>
      </c>
      <c r="D33" s="68">
        <v>32</v>
      </c>
      <c r="E33" s="11">
        <v>11.717182978723406</v>
      </c>
      <c r="F33" s="11">
        <f t="shared" si="0"/>
        <v>12.155877339787317</v>
      </c>
      <c r="G33" s="11">
        <v>13.320732920727529</v>
      </c>
    </row>
    <row r="34" spans="1:7" x14ac:dyDescent="0.3">
      <c r="A34" s="60">
        <v>9</v>
      </c>
      <c r="B34" s="60">
        <v>1</v>
      </c>
      <c r="C34" s="65">
        <v>12</v>
      </c>
      <c r="D34" s="68">
        <v>33</v>
      </c>
      <c r="E34" s="11">
        <f t="array" ref="E34:E37">C34:C37/$K$26:$K$29</f>
        <v>13.169907881269197</v>
      </c>
      <c r="F34" s="11">
        <f t="shared" si="0"/>
        <v>12.346994318425626</v>
      </c>
      <c r="G34" s="11">
        <f t="array" ref="G34:G37">F34:F37*$K$26:$K$29</f>
        <v>11.250187408814952</v>
      </c>
    </row>
    <row r="35" spans="1:7" x14ac:dyDescent="0.3">
      <c r="A35" s="60"/>
      <c r="B35" s="60">
        <v>2</v>
      </c>
      <c r="C35" s="66">
        <v>12.239999999999998</v>
      </c>
      <c r="D35" s="68">
        <v>34</v>
      </c>
      <c r="E35" s="11">
        <v>13.243531786074675</v>
      </c>
      <c r="F35" s="11">
        <f t="shared" si="0"/>
        <v>12.538111297063935</v>
      </c>
      <c r="G35" s="11">
        <v>11.588032917127867</v>
      </c>
    </row>
    <row r="36" spans="1:7" x14ac:dyDescent="0.3">
      <c r="A36" s="60"/>
      <c r="B36" s="60">
        <v>3</v>
      </c>
      <c r="C36" s="66">
        <v>13.2</v>
      </c>
      <c r="D36" s="68">
        <v>35</v>
      </c>
      <c r="E36" s="11">
        <v>12.350523560209425</v>
      </c>
      <c r="F36" s="11">
        <f t="shared" si="0"/>
        <v>12.729228275702244</v>
      </c>
      <c r="G36" s="11">
        <v>13.604752253630004</v>
      </c>
    </row>
    <row r="37" spans="1:7" x14ac:dyDescent="0.3">
      <c r="A37" s="63"/>
      <c r="B37" s="63">
        <v>4</v>
      </c>
      <c r="C37" s="67">
        <v>13.56</v>
      </c>
      <c r="D37" s="68">
        <v>36</v>
      </c>
      <c r="E37" s="11">
        <v>12.374221276595748</v>
      </c>
      <c r="F37" s="11">
        <f t="shared" si="0"/>
        <v>12.920345254340553</v>
      </c>
      <c r="G37" s="11">
        <v>14.158457145115548</v>
      </c>
    </row>
    <row r="38" spans="1:7" x14ac:dyDescent="0.3">
      <c r="A38" s="60">
        <v>10</v>
      </c>
      <c r="B38" s="60">
        <v>1</v>
      </c>
      <c r="C38" s="65">
        <v>12.96</v>
      </c>
      <c r="D38" s="68">
        <v>37</v>
      </c>
      <c r="E38" s="11">
        <f t="array" ref="E38:E41">C38:C41/$K$26:$K$29</f>
        <v>14.223500511770734</v>
      </c>
      <c r="F38" s="11">
        <f t="shared" si="0"/>
        <v>13.111462232978862</v>
      </c>
      <c r="G38" s="11">
        <f t="array" ref="G38:G41">F38:F41*$K$26:$K$29</f>
        <v>11.946746189433755</v>
      </c>
    </row>
    <row r="39" spans="1:7" x14ac:dyDescent="0.3">
      <c r="A39" s="60"/>
      <c r="B39" s="60">
        <v>2</v>
      </c>
      <c r="C39" s="66">
        <v>12.719999999999999</v>
      </c>
      <c r="D39" s="68">
        <v>38</v>
      </c>
      <c r="E39" s="11">
        <v>13.762885973763877</v>
      </c>
      <c r="F39" s="11">
        <f t="shared" si="0"/>
        <v>13.302579211617171</v>
      </c>
      <c r="G39" s="11">
        <v>12.294573092760656</v>
      </c>
    </row>
    <row r="40" spans="1:7" x14ac:dyDescent="0.3">
      <c r="A40" s="60"/>
      <c r="B40" s="60">
        <v>3</v>
      </c>
      <c r="C40" s="66">
        <v>13.92</v>
      </c>
      <c r="D40" s="68">
        <v>39</v>
      </c>
      <c r="E40" s="11">
        <v>13.024188481675393</v>
      </c>
      <c r="F40" s="11">
        <f t="shared" si="0"/>
        <v>13.493696190255481</v>
      </c>
      <c r="G40" s="11">
        <v>14.421800731203339</v>
      </c>
    </row>
    <row r="41" spans="1:7" x14ac:dyDescent="0.3">
      <c r="A41" s="63"/>
      <c r="B41" s="63">
        <v>4</v>
      </c>
      <c r="C41" s="67">
        <v>13.68</v>
      </c>
      <c r="D41" s="68">
        <v>40</v>
      </c>
      <c r="E41" s="11">
        <v>12.483727659574472</v>
      </c>
      <c r="F41" s="11">
        <f t="shared" si="0"/>
        <v>13.684813168893788</v>
      </c>
      <c r="G41" s="11">
        <v>14.996181369503564</v>
      </c>
    </row>
    <row r="42" spans="1:7" x14ac:dyDescent="0.3">
      <c r="A42" s="60">
        <v>11</v>
      </c>
      <c r="B42" s="60">
        <v>1</v>
      </c>
      <c r="C42" s="65">
        <v>13.2</v>
      </c>
      <c r="D42" s="68">
        <v>41</v>
      </c>
      <c r="E42" s="11">
        <f t="array" ref="E42:E45">C42:C45/$K$26:$K$29</f>
        <v>14.486898669396115</v>
      </c>
      <c r="F42" s="11">
        <f t="shared" si="0"/>
        <v>13.875930147532097</v>
      </c>
      <c r="G42" s="11">
        <f t="array" ref="G42:G45">F42:F45*$K$26:$K$29</f>
        <v>12.643304970052556</v>
      </c>
    </row>
    <row r="43" spans="1:7" x14ac:dyDescent="0.3">
      <c r="A43" s="60"/>
      <c r="B43" s="60">
        <v>2</v>
      </c>
      <c r="C43" s="66">
        <v>13.44</v>
      </c>
      <c r="D43" s="68">
        <v>42</v>
      </c>
      <c r="E43" s="11">
        <v>14.541917255297683</v>
      </c>
      <c r="F43" s="11">
        <f t="shared" si="0"/>
        <v>14.067047126170406</v>
      </c>
      <c r="G43" s="11">
        <v>13.001113268393443</v>
      </c>
    </row>
    <row r="44" spans="1:7" x14ac:dyDescent="0.3">
      <c r="A44" s="60"/>
      <c r="B44" s="60">
        <v>3</v>
      </c>
      <c r="C44" s="66">
        <v>15.36</v>
      </c>
      <c r="D44" s="68">
        <v>43</v>
      </c>
      <c r="E44" s="11">
        <v>14.371518324607331</v>
      </c>
      <c r="F44" s="11">
        <f t="shared" si="0"/>
        <v>14.258164104808715</v>
      </c>
      <c r="G44" s="11">
        <v>15.238849208776672</v>
      </c>
    </row>
    <row r="45" spans="1:7" x14ac:dyDescent="0.3">
      <c r="A45" s="63"/>
      <c r="B45" s="63">
        <v>4</v>
      </c>
      <c r="C45" s="67">
        <v>15.12</v>
      </c>
      <c r="D45" s="68">
        <v>44</v>
      </c>
      <c r="E45" s="11">
        <v>13.797804255319152</v>
      </c>
      <c r="F45" s="11">
        <f t="shared" si="0"/>
        <v>14.449281083447023</v>
      </c>
      <c r="G45" s="11">
        <v>15.833905593891581</v>
      </c>
    </row>
    <row r="46" spans="1:7" x14ac:dyDescent="0.3">
      <c r="A46" s="60">
        <v>12</v>
      </c>
      <c r="B46" s="60">
        <v>1</v>
      </c>
      <c r="C46" s="65">
        <v>13.68</v>
      </c>
      <c r="D46" s="68">
        <v>45</v>
      </c>
      <c r="E46" s="11">
        <f t="array" ref="E46:E49">C46:C49/$K$26:$K$29</f>
        <v>15.013694984646884</v>
      </c>
      <c r="F46" s="11">
        <f t="shared" si="0"/>
        <v>14.640398062085332</v>
      </c>
      <c r="G46" s="11">
        <f t="array" ref="G46:G49">F46:F49*$K$26:$K$29</f>
        <v>13.339863750671357</v>
      </c>
    </row>
    <row r="47" spans="1:7" x14ac:dyDescent="0.3">
      <c r="A47" s="60"/>
      <c r="B47" s="60">
        <v>2</v>
      </c>
      <c r="C47" s="66">
        <v>13.799999999999999</v>
      </c>
      <c r="D47" s="68">
        <v>46</v>
      </c>
      <c r="E47" s="11">
        <v>14.931432896064585</v>
      </c>
      <c r="F47" s="11">
        <f t="shared" si="0"/>
        <v>14.831515040723641</v>
      </c>
      <c r="G47" s="11">
        <v>13.70765344402623</v>
      </c>
    </row>
    <row r="48" spans="1:7" x14ac:dyDescent="0.3">
      <c r="A48" s="60"/>
      <c r="B48" s="60">
        <v>3</v>
      </c>
      <c r="C48" s="66">
        <v>15.6</v>
      </c>
      <c r="D48" s="68">
        <v>47</v>
      </c>
      <c r="E48" s="11">
        <v>14.596073298429321</v>
      </c>
      <c r="F48" s="11">
        <f t="shared" si="0"/>
        <v>15.02263201936195</v>
      </c>
      <c r="G48" s="11">
        <v>16.055897686350004</v>
      </c>
    </row>
    <row r="49" spans="1:7" x14ac:dyDescent="0.3">
      <c r="A49" s="63"/>
      <c r="B49" s="63">
        <v>4</v>
      </c>
      <c r="C49" s="67">
        <v>15.719999999999999</v>
      </c>
      <c r="D49" s="68">
        <v>48</v>
      </c>
      <c r="E49" s="11">
        <v>14.345336170212768</v>
      </c>
      <c r="F49" s="11">
        <f t="shared" si="0"/>
        <v>15.213748998000259</v>
      </c>
      <c r="G49" s="11">
        <v>16.671629818279598</v>
      </c>
    </row>
    <row r="50" spans="1:7" x14ac:dyDescent="0.3">
      <c r="A50" s="60">
        <v>13</v>
      </c>
      <c r="B50" s="60">
        <v>1</v>
      </c>
      <c r="C50" s="65">
        <v>16.68</v>
      </c>
      <c r="D50" s="68">
        <v>49</v>
      </c>
      <c r="E50" s="11">
        <f t="array" ref="E50:E53">C50:C53/$K$26:$K$29</f>
        <v>18.306171954964181</v>
      </c>
      <c r="F50" s="11">
        <f t="shared" si="0"/>
        <v>15.404865976638568</v>
      </c>
      <c r="G50" s="11">
        <f t="array" ref="G50:G53">F50:F53*$K$26:$K$29</f>
        <v>14.03642253129016</v>
      </c>
    </row>
    <row r="51" spans="1:7" x14ac:dyDescent="0.3">
      <c r="A51" s="60"/>
      <c r="B51" s="60">
        <v>2</v>
      </c>
      <c r="C51" s="66">
        <v>17.472000000000001</v>
      </c>
      <c r="D51" s="68">
        <v>50</v>
      </c>
      <c r="E51" s="11">
        <v>18.90449243188699</v>
      </c>
      <c r="F51" s="11">
        <f t="shared" si="0"/>
        <v>15.595982955276876</v>
      </c>
      <c r="G51" s="11">
        <v>14.414193619659015</v>
      </c>
    </row>
    <row r="52" spans="1:7" x14ac:dyDescent="0.3">
      <c r="A52" s="60"/>
      <c r="B52" s="60">
        <v>3</v>
      </c>
      <c r="C52" s="66">
        <v>18.263999999999999</v>
      </c>
      <c r="D52" s="68">
        <v>51</v>
      </c>
      <c r="E52" s="11">
        <v>17.088633507853405</v>
      </c>
      <c r="F52" s="11">
        <f t="shared" si="0"/>
        <v>15.787099933915185</v>
      </c>
      <c r="G52" s="11">
        <v>16.872946163923338</v>
      </c>
    </row>
    <row r="53" spans="1:7" x14ac:dyDescent="0.3">
      <c r="A53" s="63"/>
      <c r="B53" s="63">
        <v>4</v>
      </c>
      <c r="C53" s="67">
        <v>19.056000000000001</v>
      </c>
      <c r="D53" s="68">
        <v>52</v>
      </c>
      <c r="E53" s="11">
        <v>17.389613617021283</v>
      </c>
      <c r="F53" s="11">
        <f t="shared" si="0"/>
        <v>15.978216912553494</v>
      </c>
      <c r="G53" s="11">
        <v>17.509354042667617</v>
      </c>
    </row>
  </sheetData>
  <mergeCells count="1">
    <mergeCell ref="I9:I12"/>
  </mergeCells>
  <phoneticPr fontId="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B203D-C0A2-4AE8-93C7-684D297D9804}">
  <dimension ref="A1:Q30"/>
  <sheetViews>
    <sheetView topLeftCell="A3" zoomScale="120" zoomScaleNormal="120" workbookViewId="0">
      <selection activeCell="E22" sqref="E22"/>
    </sheetView>
  </sheetViews>
  <sheetFormatPr defaultColWidth="8.75" defaultRowHeight="13.5" x14ac:dyDescent="0.3"/>
  <cols>
    <col min="1" max="5" width="8.75" style="4"/>
    <col min="6" max="6" width="18.625" style="4" bestFit="1" customWidth="1"/>
    <col min="7" max="16384" width="8.75" style="4"/>
  </cols>
  <sheetData>
    <row r="1" spans="1:17" ht="15.75" x14ac:dyDescent="0.4">
      <c r="A1" s="30" t="s">
        <v>60</v>
      </c>
      <c r="B1" s="30" t="s">
        <v>61</v>
      </c>
      <c r="C1" s="2"/>
      <c r="D1" s="2"/>
      <c r="E1" s="2"/>
      <c r="F1" s="31"/>
      <c r="G1" s="31"/>
      <c r="H1" s="31"/>
      <c r="I1" s="31"/>
      <c r="J1" s="31"/>
      <c r="K1" s="2"/>
      <c r="L1" s="2"/>
      <c r="M1" s="2"/>
      <c r="N1" s="2"/>
      <c r="O1" s="2"/>
      <c r="P1" s="2"/>
      <c r="Q1" s="2"/>
    </row>
    <row r="2" spans="1:17" ht="15.75" x14ac:dyDescent="0.4">
      <c r="A2" s="32">
        <v>1.1000000000000001</v>
      </c>
      <c r="B2" s="32">
        <v>18</v>
      </c>
      <c r="C2" s="2"/>
      <c r="D2" s="2"/>
      <c r="E2" s="2"/>
      <c r="F2" s="31"/>
      <c r="G2" s="31"/>
      <c r="H2" s="31"/>
      <c r="I2" s="31"/>
      <c r="J2" s="31"/>
      <c r="K2" s="2"/>
      <c r="L2" s="2"/>
      <c r="M2" s="2"/>
      <c r="N2" s="2"/>
      <c r="O2" s="2"/>
      <c r="P2" s="2"/>
      <c r="Q2" s="2"/>
    </row>
    <row r="3" spans="1:17" ht="15.75" x14ac:dyDescent="0.4">
      <c r="A3" s="33">
        <v>1.2</v>
      </c>
      <c r="B3" s="33">
        <v>17</v>
      </c>
      <c r="C3" s="2"/>
      <c r="D3" s="2"/>
      <c r="E3" s="2"/>
      <c r="F3" s="31"/>
      <c r="G3" s="31"/>
      <c r="H3" s="31"/>
      <c r="I3" s="31"/>
      <c r="J3" s="31"/>
      <c r="K3" s="2"/>
      <c r="L3" s="2"/>
      <c r="M3" s="2"/>
      <c r="N3" s="2"/>
      <c r="O3" s="2"/>
      <c r="P3" s="2"/>
      <c r="Q3" s="2"/>
    </row>
    <row r="4" spans="1:17" ht="15.75" x14ac:dyDescent="0.4">
      <c r="A4" s="33">
        <v>1.3</v>
      </c>
      <c r="B4" s="33">
        <v>23</v>
      </c>
      <c r="C4" s="2"/>
      <c r="D4" s="2"/>
      <c r="E4" s="2"/>
      <c r="F4" s="31"/>
      <c r="G4" s="31"/>
      <c r="H4" s="31"/>
      <c r="I4" s="31"/>
      <c r="J4" s="31"/>
      <c r="K4" s="2"/>
      <c r="L4" s="2"/>
      <c r="M4" s="2"/>
      <c r="N4" s="2"/>
      <c r="O4" s="2"/>
      <c r="P4" s="2"/>
      <c r="Q4" s="2"/>
    </row>
    <row r="5" spans="1:17" ht="15.75" x14ac:dyDescent="0.4">
      <c r="A5" s="33">
        <v>1.4</v>
      </c>
      <c r="B5" s="33">
        <v>30</v>
      </c>
      <c r="C5" s="2"/>
      <c r="D5" s="2"/>
      <c r="E5" s="2"/>
      <c r="F5" s="31"/>
      <c r="G5" s="31"/>
      <c r="H5" s="31"/>
      <c r="I5" s="31"/>
      <c r="J5" s="31"/>
      <c r="K5" s="2"/>
      <c r="L5" s="2"/>
      <c r="M5" s="2"/>
      <c r="N5" s="2"/>
      <c r="O5" s="2"/>
      <c r="P5" s="2"/>
      <c r="Q5" s="2"/>
    </row>
    <row r="6" spans="1:17" ht="15.75" x14ac:dyDescent="0.4">
      <c r="A6" s="33">
        <v>1.5</v>
      </c>
      <c r="B6" s="33">
        <v>40</v>
      </c>
      <c r="C6" s="2"/>
      <c r="D6" s="2"/>
      <c r="E6" s="2"/>
      <c r="F6" s="31"/>
      <c r="G6" s="31"/>
      <c r="H6" s="31"/>
      <c r="I6" s="31"/>
      <c r="J6" s="31"/>
      <c r="K6" s="2"/>
      <c r="L6" s="2"/>
      <c r="M6" s="2"/>
      <c r="N6" s="2"/>
      <c r="O6" s="2"/>
      <c r="P6" s="2"/>
      <c r="Q6" s="2"/>
    </row>
    <row r="7" spans="1:17" ht="15.75" x14ac:dyDescent="0.4">
      <c r="A7" s="33">
        <v>1.6</v>
      </c>
      <c r="B7" s="33">
        <v>45</v>
      </c>
      <c r="C7" s="2"/>
      <c r="D7" s="2"/>
      <c r="E7" s="2"/>
      <c r="F7" s="34" t="s">
        <v>60</v>
      </c>
      <c r="G7" s="35">
        <v>1.8</v>
      </c>
      <c r="H7" s="31"/>
      <c r="I7" s="31"/>
      <c r="J7" s="31"/>
      <c r="K7" s="2"/>
      <c r="L7" s="2"/>
      <c r="M7" s="2"/>
      <c r="N7" s="2"/>
      <c r="O7" s="2"/>
      <c r="P7" s="2"/>
      <c r="Q7" s="2"/>
    </row>
    <row r="8" spans="1:17" ht="15.75" x14ac:dyDescent="0.4">
      <c r="A8" s="36">
        <v>1.7</v>
      </c>
      <c r="B8" s="36">
        <v>60</v>
      </c>
      <c r="C8" s="2"/>
      <c r="D8" s="2"/>
      <c r="E8" s="2"/>
      <c r="F8" s="35" t="s">
        <v>62</v>
      </c>
      <c r="G8" s="37"/>
      <c r="H8" s="31"/>
      <c r="I8" s="31"/>
      <c r="J8" s="31"/>
      <c r="K8" s="2"/>
      <c r="L8" s="2"/>
      <c r="M8" s="2"/>
      <c r="N8" s="2"/>
      <c r="O8" s="2"/>
      <c r="P8" s="2"/>
      <c r="Q8" s="2"/>
    </row>
    <row r="9" spans="1:17" ht="15.75" x14ac:dyDescent="0.4">
      <c r="A9" s="2"/>
      <c r="B9" s="2"/>
      <c r="C9" s="2"/>
      <c r="D9" s="2"/>
      <c r="E9" s="2"/>
      <c r="F9" s="35" t="s">
        <v>63</v>
      </c>
      <c r="G9" s="38"/>
      <c r="H9" s="31"/>
      <c r="I9" s="31"/>
      <c r="J9" s="31"/>
      <c r="K9" s="2"/>
      <c r="L9" s="2"/>
      <c r="M9" s="2"/>
      <c r="N9" s="2"/>
      <c r="O9" s="2"/>
      <c r="P9" s="2"/>
      <c r="Q9" s="2"/>
    </row>
    <row r="10" spans="1:17" ht="15.75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5.75" x14ac:dyDescent="0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5.75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15.75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5.75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5.75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5.75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5.75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5.75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5.75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5.75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5.75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5.75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5.75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5.75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5.75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5.75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5.75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5.75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5.75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5.75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</sheetData>
  <phoneticPr fontId="8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9A08C-F382-4838-9EAE-0DAB95EAA1C2}">
  <dimension ref="A1:Z86"/>
  <sheetViews>
    <sheetView workbookViewId="0">
      <selection activeCell="F24" sqref="F24"/>
    </sheetView>
  </sheetViews>
  <sheetFormatPr defaultColWidth="8.75" defaultRowHeight="13.5" x14ac:dyDescent="0.3"/>
  <cols>
    <col min="1" max="1" width="0.875" style="5" customWidth="1"/>
    <col min="2" max="2" width="1.375" style="5" customWidth="1"/>
    <col min="3" max="3" width="8.75" style="5"/>
    <col min="4" max="4" width="15" style="5" customWidth="1"/>
    <col min="5" max="5" width="10.875" style="5" customWidth="1"/>
    <col min="6" max="6" width="9.25" style="5" customWidth="1"/>
    <col min="7" max="16384" width="8.75" style="5"/>
  </cols>
  <sheetData>
    <row r="1" spans="1:26" ht="15.75" x14ac:dyDescent="0.4">
      <c r="A1"/>
      <c r="B1" s="8"/>
      <c r="C1" s="8"/>
      <c r="D1" s="8"/>
      <c r="E1" s="8"/>
      <c r="F1" s="8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ht="15.75" x14ac:dyDescent="0.4">
      <c r="A2"/>
      <c r="B2" s="8"/>
      <c r="C2" s="71" t="s">
        <v>64</v>
      </c>
      <c r="D2" s="72"/>
      <c r="E2" s="9">
        <v>6000</v>
      </c>
      <c r="F2" s="8"/>
      <c r="G2"/>
      <c r="H2"/>
      <c r="I2" s="29" t="s">
        <v>65</v>
      </c>
      <c r="J2" s="29" t="s">
        <v>66</v>
      </c>
      <c r="K2"/>
      <c r="L2" s="39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26" ht="15.75" x14ac:dyDescent="0.4">
      <c r="A3"/>
      <c r="B3" s="8"/>
      <c r="C3" s="8"/>
      <c r="D3" s="8"/>
      <c r="E3" s="40" t="s">
        <v>66</v>
      </c>
      <c r="F3" s="41" t="s">
        <v>65</v>
      </c>
      <c r="G3"/>
      <c r="H3" s="42"/>
      <c r="I3" s="29"/>
      <c r="J3" s="29"/>
      <c r="K3" s="39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ht="15.75" x14ac:dyDescent="0.4">
      <c r="A4"/>
      <c r="B4" s="8"/>
      <c r="C4" s="71" t="s">
        <v>67</v>
      </c>
      <c r="D4" s="72"/>
      <c r="E4" s="9">
        <v>30000</v>
      </c>
      <c r="F4" s="9" t="s">
        <v>68</v>
      </c>
      <c r="G4"/>
      <c r="H4" s="42"/>
      <c r="I4" s="29"/>
      <c r="J4" s="29"/>
      <c r="K4" s="43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ht="15.75" x14ac:dyDescent="0.4">
      <c r="A5"/>
      <c r="B5" s="8"/>
      <c r="C5" s="71" t="s">
        <v>69</v>
      </c>
      <c r="D5" s="72"/>
      <c r="E5" s="9">
        <v>12</v>
      </c>
      <c r="F5" s="9">
        <v>16</v>
      </c>
      <c r="G5"/>
      <c r="H5" s="42"/>
      <c r="I5" s="29"/>
      <c r="J5" s="29"/>
      <c r="K5" s="43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ht="15.75" x14ac:dyDescent="0.4">
      <c r="A6"/>
      <c r="B6" s="8"/>
      <c r="C6" s="71" t="s">
        <v>70</v>
      </c>
      <c r="D6" s="72"/>
      <c r="E6" s="10"/>
      <c r="F6" s="10"/>
      <c r="G6"/>
      <c r="H6" s="42"/>
      <c r="I6" s="29"/>
      <c r="J6" s="29"/>
      <c r="K6" s="43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1:26" ht="15.75" x14ac:dyDescent="0.4">
      <c r="A7"/>
      <c r="B7" s="8"/>
      <c r="C7" s="71" t="s">
        <v>71</v>
      </c>
      <c r="D7" s="72"/>
      <c r="E7" s="8"/>
      <c r="F7" s="8"/>
      <c r="G7"/>
      <c r="H7" s="42"/>
      <c r="I7" s="29"/>
      <c r="J7" s="29"/>
      <c r="K7" s="43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ht="15.75" x14ac:dyDescent="0.4">
      <c r="A8"/>
      <c r="B8" s="8"/>
      <c r="C8" s="73"/>
      <c r="D8" s="74"/>
      <c r="E8" s="75"/>
      <c r="F8" s="8"/>
      <c r="G8"/>
      <c r="H8" s="42"/>
      <c r="I8" s="29"/>
      <c r="J8" s="29"/>
      <c r="K8" s="43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ht="15.75" x14ac:dyDescent="0.4">
      <c r="A9"/>
      <c r="B9" s="8"/>
      <c r="C9" s="73"/>
      <c r="D9" s="74"/>
      <c r="E9" s="75"/>
      <c r="F9" s="8"/>
      <c r="G9"/>
      <c r="H9" s="42"/>
      <c r="I9" s="29"/>
      <c r="J9" s="29"/>
      <c r="K9" s="43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ht="15.75" x14ac:dyDescent="0.4">
      <c r="A10"/>
      <c r="B10" s="8"/>
      <c r="C10" s="76" t="s">
        <v>72</v>
      </c>
      <c r="D10" s="77"/>
      <c r="E10" s="44"/>
      <c r="F10" s="8"/>
      <c r="G10"/>
      <c r="H10" s="42"/>
      <c r="I10" s="29"/>
      <c r="J10" s="29"/>
      <c r="K10" s="43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ht="15.75" x14ac:dyDescent="0.4">
      <c r="A11"/>
      <c r="B11" s="8"/>
      <c r="C11" s="71" t="s">
        <v>64</v>
      </c>
      <c r="D11" s="72"/>
      <c r="E11" s="45" t="s">
        <v>73</v>
      </c>
      <c r="F11" s="8"/>
      <c r="G11"/>
      <c r="H11" s="42"/>
      <c r="I11" s="29"/>
      <c r="J11" s="29"/>
      <c r="K11" s="43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ht="15.75" x14ac:dyDescent="0.4">
      <c r="A12"/>
      <c r="B12" s="8"/>
      <c r="C12" s="69" t="s">
        <v>74</v>
      </c>
      <c r="D12" s="70"/>
      <c r="E12" s="9">
        <v>28</v>
      </c>
      <c r="F12" s="8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ht="15.75" x14ac:dyDescent="0.4">
      <c r="A13"/>
      <c r="B13" s="8"/>
      <c r="C13" s="69" t="s">
        <v>103</v>
      </c>
      <c r="D13" s="70"/>
      <c r="E13" s="9">
        <v>16</v>
      </c>
      <c r="F13" s="8"/>
      <c r="G13"/>
      <c r="H13" s="39" t="s">
        <v>75</v>
      </c>
      <c r="I13" s="39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ht="15.75" x14ac:dyDescent="0.4">
      <c r="A14"/>
      <c r="B14" s="8"/>
      <c r="C14" s="69" t="s">
        <v>104</v>
      </c>
      <c r="D14" s="70"/>
      <c r="E14" s="9">
        <v>10</v>
      </c>
      <c r="F14" s="8"/>
      <c r="G14"/>
      <c r="H14" s="29" t="str">
        <f>IF(AND($K$4&lt;0,$K$5&gt;0),H4+($K$14-$K$4)/($K$5-$K$4)*(H5-H4),"")</f>
        <v/>
      </c>
      <c r="I14" s="29" t="str">
        <f>IF(AND($K$4&lt;0,$K$5&gt;0),I4+($K$14-$K$4)/($K$5-$K$4)*(I5-I4),"")</f>
        <v/>
      </c>
      <c r="J14" s="46" t="s">
        <v>76</v>
      </c>
      <c r="K14" s="29">
        <v>0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ht="15.75" x14ac:dyDescent="0.4">
      <c r="A15"/>
      <c r="B15" s="8"/>
      <c r="C15" s="8"/>
      <c r="D15" s="8"/>
      <c r="E15" s="8"/>
      <c r="F15" s="8"/>
      <c r="G15"/>
      <c r="H15" s="29" t="str">
        <f>IF(AND($K$6&lt;0,$K$7&gt;0),H6+($K$15-$K$6)/($K$7-$K$6)*(H7-H6),"")</f>
        <v/>
      </c>
      <c r="I15" s="29" t="str">
        <f>IF(AND($K$6&lt;0,$K$7&gt;0),I6+($K$15-$K$6)/($K$7-$K$6)*(I7-I6),"")</f>
        <v/>
      </c>
      <c r="J15" s="46" t="s">
        <v>77</v>
      </c>
      <c r="K15" s="29">
        <v>0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ht="15.75" x14ac:dyDescent="0.3">
      <c r="A16"/>
      <c r="B16"/>
      <c r="C16"/>
      <c r="D16"/>
      <c r="E16"/>
      <c r="F16"/>
      <c r="G16"/>
      <c r="H16" s="29" t="str">
        <f>IF(AND($K$10&lt;0,$K$11&gt;0),H10+($K$16-$K$10)/($K$11-$K$10)*(H11-H10),"")</f>
        <v/>
      </c>
      <c r="I16" s="29" t="str">
        <f>IF(AND($K$10&lt;0,$K$11&gt;0),I10+($K$16-$K$10)/($K$11-$K$10)*(I11-I10),"")</f>
        <v/>
      </c>
      <c r="J16" s="46" t="s">
        <v>78</v>
      </c>
      <c r="K16" s="29">
        <v>0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ht="15.75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ht="15.75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ht="15.75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ht="15.75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ht="15.75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ht="15.75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ht="15.75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 ht="15.75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ht="15.75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26" ht="15.75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 ht="15.75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 ht="15.75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ht="15.75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 ht="15.75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 ht="15.75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 ht="15.75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1:26" ht="15.75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 ht="15.75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ht="15.75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ht="15.75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6" ht="15.75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ht="15.75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ht="15.75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ht="15.75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ht="15.75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ht="15.75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ht="15.75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ht="15.75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ht="15.75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ht="15.75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6" ht="15.75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6" ht="15.75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1:26" ht="15.75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ht="15.75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ht="15.75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ht="15.75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ht="15.75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ht="15.75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ht="15.75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ht="15.75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ht="15.75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ht="15.75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ht="15.75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ht="15.75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ht="15.75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ht="15.75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ht="15.75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1:26" ht="15.75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26" ht="15.75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1:26" ht="15.75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 ht="15.75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1:26" ht="15.75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spans="1:26" ht="15.75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 spans="1:26" ht="15.75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spans="1:26" ht="15.75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1:26" ht="15.75" x14ac:dyDescent="0.3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1:26" ht="15.75" x14ac:dyDescent="0.3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spans="1:26" ht="15.75" x14ac:dyDescent="0.3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1:26" ht="15.75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1:26" ht="15.75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1:26" ht="15.75" x14ac:dyDescent="0.3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1:26" ht="15.75" x14ac:dyDescent="0.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1:26" ht="15.75" x14ac:dyDescent="0.3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1:26" ht="15.75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1:26" ht="15.75" x14ac:dyDescent="0.3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1:26" ht="15.75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1:26" ht="15.75" x14ac:dyDescent="0.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1:26" ht="15.75" x14ac:dyDescent="0.3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1:26" ht="15.75" x14ac:dyDescent="0.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1:26" ht="15.75" x14ac:dyDescent="0.3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</sheetData>
  <mergeCells count="12">
    <mergeCell ref="C14:D14"/>
    <mergeCell ref="C2:D2"/>
    <mergeCell ref="C4:D4"/>
    <mergeCell ref="C5:D5"/>
    <mergeCell ref="C6:D6"/>
    <mergeCell ref="C7:D7"/>
    <mergeCell ref="C8:E8"/>
    <mergeCell ref="C9:E9"/>
    <mergeCell ref="C10:D10"/>
    <mergeCell ref="C11:D11"/>
    <mergeCell ref="C12:D12"/>
    <mergeCell ref="C13:D13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BA3ED-82F4-43AB-928F-64E6B2A185F7}">
  <dimension ref="A1:V32"/>
  <sheetViews>
    <sheetView zoomScale="130" zoomScaleNormal="130" workbookViewId="0">
      <selection activeCell="B9" sqref="B9"/>
    </sheetView>
  </sheetViews>
  <sheetFormatPr defaultColWidth="8.75" defaultRowHeight="13.5" x14ac:dyDescent="0.4"/>
  <cols>
    <col min="1" max="1" width="17.25" style="6" bestFit="1" customWidth="1"/>
    <col min="2" max="16384" width="8.75" style="6"/>
  </cols>
  <sheetData>
    <row r="1" spans="1:22" x14ac:dyDescent="0.4">
      <c r="A1" s="11" t="s">
        <v>79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ht="33" customHeight="1" x14ac:dyDescent="0.4">
      <c r="A2" s="11" t="s">
        <v>80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x14ac:dyDescent="0.4">
      <c r="A3" s="11" t="s">
        <v>81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x14ac:dyDescent="0.4">
      <c r="A4" s="11" t="s">
        <v>82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 x14ac:dyDescent="0.4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x14ac:dyDescent="0.4">
      <c r="A6" s="11" t="s">
        <v>83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x14ac:dyDescent="0.4">
      <c r="A7" s="11" t="s">
        <v>84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x14ac:dyDescent="0.4">
      <c r="A8" s="11" t="s">
        <v>85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x14ac:dyDescent="0.4">
      <c r="A9" s="11" t="s">
        <v>86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x14ac:dyDescent="0.4">
      <c r="A10" s="11" t="s">
        <v>87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x14ac:dyDescent="0.4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x14ac:dyDescent="0.4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x14ac:dyDescent="0.4">
      <c r="A13" s="11" t="str">
        <f>A2&amp;"="&amp;B2</f>
        <v>订货周期=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x14ac:dyDescent="0.4">
      <c r="A14" s="11" t="str">
        <f>A7&amp;"="&amp;B7</f>
        <v>第N天=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x14ac:dyDescent="0.4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x14ac:dyDescent="0.4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x14ac:dyDescent="0.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x14ac:dyDescent="0.4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 x14ac:dyDescent="0.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x14ac:dyDescent="0.4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 x14ac:dyDescent="0.4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 x14ac:dyDescent="0.4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 x14ac:dyDescent="0.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 x14ac:dyDescent="0.4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 x14ac:dyDescent="0.4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 x14ac:dyDescent="0.4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 x14ac:dyDescent="0.4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 x14ac:dyDescent="0.4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 x14ac:dyDescent="0.4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 x14ac:dyDescent="0.4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 x14ac:dyDescent="0.4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</sheetData>
  <phoneticPr fontId="8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CF816-1587-41A7-A3F7-1FC40027D3F5}">
  <dimension ref="A1:AJ478"/>
  <sheetViews>
    <sheetView tabSelected="1" zoomScale="80" zoomScaleNormal="80" workbookViewId="0">
      <selection activeCell="D15" sqref="D15"/>
    </sheetView>
  </sheetViews>
  <sheetFormatPr defaultColWidth="7.75" defaultRowHeight="13.5" x14ac:dyDescent="0.35"/>
  <cols>
    <col min="1" max="1" width="29.625" style="7" bestFit="1" customWidth="1"/>
    <col min="2" max="2" width="7.125" style="7" bestFit="1" customWidth="1"/>
    <col min="3" max="3" width="7.75" style="7"/>
    <col min="4" max="4" width="11" style="7" bestFit="1" customWidth="1"/>
    <col min="5" max="16384" width="7.75" style="7"/>
  </cols>
  <sheetData>
    <row r="1" spans="1:36" ht="15.75" x14ac:dyDescent="0.4">
      <c r="A1" s="12" t="s">
        <v>0</v>
      </c>
      <c r="B1" s="2"/>
      <c r="C1" s="2"/>
      <c r="D1" s="12" t="s">
        <v>0</v>
      </c>
      <c r="E1" s="2"/>
      <c r="F1" s="2"/>
      <c r="G1" s="2"/>
      <c r="H1" s="11"/>
      <c r="I1" s="11"/>
      <c r="J1" s="2"/>
      <c r="K1" s="2"/>
      <c r="L1" s="2"/>
      <c r="M1" s="2"/>
      <c r="N1" s="2"/>
      <c r="O1" s="2"/>
      <c r="P1" s="12"/>
      <c r="Q1" s="2"/>
      <c r="R1" s="2"/>
      <c r="S1" s="2"/>
      <c r="T1" s="2"/>
      <c r="U1" s="2"/>
      <c r="V1" s="2"/>
      <c r="W1" s="2"/>
      <c r="X1" s="85" t="s">
        <v>125</v>
      </c>
      <c r="Y1" s="2">
        <v>-90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5.75" x14ac:dyDescent="0.4">
      <c r="A2" s="13" t="s">
        <v>1</v>
      </c>
      <c r="B2" s="15">
        <v>90</v>
      </c>
      <c r="C2" s="2"/>
      <c r="D2" s="14" t="s">
        <v>2</v>
      </c>
      <c r="E2" s="14" t="s">
        <v>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85" t="s">
        <v>126</v>
      </c>
      <c r="Y2" s="2">
        <v>5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15.75" x14ac:dyDescent="0.4">
      <c r="A3" s="13" t="s">
        <v>4</v>
      </c>
      <c r="B3" s="15">
        <v>210</v>
      </c>
      <c r="C3" s="2"/>
      <c r="D3" s="15">
        <v>2</v>
      </c>
      <c r="E3" s="16">
        <v>0.05</v>
      </c>
      <c r="F3" s="21">
        <f>E3</f>
        <v>0.05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85" t="s">
        <v>127</v>
      </c>
      <c r="Y3" s="21">
        <v>7.0000000000000007E-2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15.75" x14ac:dyDescent="0.4">
      <c r="A4" s="13" t="s">
        <v>5</v>
      </c>
      <c r="B4" s="15">
        <v>5</v>
      </c>
      <c r="C4" s="2"/>
      <c r="D4" s="15">
        <v>3</v>
      </c>
      <c r="E4" s="16">
        <v>0.25</v>
      </c>
      <c r="F4" s="21">
        <f>F3+E4</f>
        <v>0.3</v>
      </c>
      <c r="G4" s="2"/>
      <c r="H4" s="47">
        <v>1</v>
      </c>
      <c r="I4" s="1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ht="15.75" x14ac:dyDescent="0.4">
      <c r="A5" s="13" t="s">
        <v>6</v>
      </c>
      <c r="B5" s="48">
        <v>7.0000000000000007E-2</v>
      </c>
      <c r="C5" s="2"/>
      <c r="D5" s="15">
        <v>5</v>
      </c>
      <c r="E5" s="16">
        <v>0.65</v>
      </c>
      <c r="F5" s="21">
        <f t="shared" ref="F5:F6" si="0">F4+E5</f>
        <v>0.95</v>
      </c>
      <c r="G5" s="2"/>
      <c r="H5" s="47">
        <v>2</v>
      </c>
      <c r="I5" s="1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ht="15.75" x14ac:dyDescent="0.4">
      <c r="A6" s="13" t="s">
        <v>7</v>
      </c>
      <c r="B6" s="49">
        <f>PMT(B5,B4,-B3)</f>
        <v>51.217045832688562</v>
      </c>
      <c r="C6" s="2"/>
      <c r="D6" s="15">
        <v>6</v>
      </c>
      <c r="E6" s="16">
        <v>0.05</v>
      </c>
      <c r="F6" s="21">
        <f t="shared" si="0"/>
        <v>1</v>
      </c>
      <c r="G6" s="2"/>
      <c r="H6" s="47">
        <v>3</v>
      </c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ht="15.75" x14ac:dyDescent="0.4">
      <c r="A7" s="13" t="s">
        <v>8</v>
      </c>
      <c r="B7" s="15">
        <v>0.3</v>
      </c>
      <c r="C7" s="2"/>
      <c r="D7"/>
      <c r="E7"/>
      <c r="F7" s="2"/>
      <c r="G7" s="2"/>
      <c r="H7" s="47">
        <v>4</v>
      </c>
      <c r="I7" s="1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ht="15.75" x14ac:dyDescent="0.4">
      <c r="A8" s="13" t="s">
        <v>9</v>
      </c>
      <c r="B8" s="15">
        <v>0.6</v>
      </c>
      <c r="C8" s="2"/>
      <c r="D8" s="2"/>
      <c r="E8" s="2"/>
      <c r="F8" s="2"/>
      <c r="G8" s="2"/>
      <c r="H8" s="47">
        <v>5</v>
      </c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ht="15.75" x14ac:dyDescent="0.4">
      <c r="A9" s="13" t="s">
        <v>10</v>
      </c>
      <c r="B9" s="15">
        <v>400</v>
      </c>
      <c r="C9" s="2"/>
      <c r="D9" s="2"/>
      <c r="E9" s="2"/>
      <c r="F9" s="2"/>
      <c r="G9" s="2"/>
      <c r="H9" s="47">
        <v>6</v>
      </c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ht="15.75" x14ac:dyDescent="0.4">
      <c r="A10" s="11"/>
      <c r="B10" s="2"/>
      <c r="C10" s="2"/>
      <c r="D10" s="2"/>
      <c r="E10" s="2"/>
      <c r="F10" s="2"/>
      <c r="G10" s="2"/>
      <c r="H10" s="47">
        <v>7</v>
      </c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ht="15.75" x14ac:dyDescent="0.4">
      <c r="A11" s="12" t="s">
        <v>88</v>
      </c>
      <c r="B11" s="2"/>
      <c r="C11" s="2"/>
      <c r="D11" s="2"/>
      <c r="E11" s="2"/>
      <c r="F11" s="2"/>
      <c r="G11" s="2"/>
      <c r="H11" s="47">
        <v>8</v>
      </c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ht="15.75" x14ac:dyDescent="0.4">
      <c r="A12" s="50" t="s">
        <v>11</v>
      </c>
      <c r="B12" s="50" t="s">
        <v>89</v>
      </c>
      <c r="C12" s="50" t="s">
        <v>90</v>
      </c>
      <c r="D12" s="50" t="s">
        <v>91</v>
      </c>
      <c r="E12" s="2"/>
      <c r="F12" s="2"/>
      <c r="G12" s="2"/>
      <c r="H12" s="47">
        <v>9</v>
      </c>
      <c r="I12" s="1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ht="15.75" x14ac:dyDescent="0.4">
      <c r="A13" s="18">
        <v>1</v>
      </c>
      <c r="B13" s="51">
        <f ca="1">RANDBETWEEN($B$7,$B$8)</f>
        <v>1</v>
      </c>
      <c r="C13" s="51">
        <f ca="1">_xlfn.IFNA(INDEX($D$3:$D$6,MATCH(RAND(),$F$3:$F$6,1)),INDEX($D$3:$D$6,MATCH(RAND(),$F$3:$F$6,1)))</f>
        <v>3</v>
      </c>
      <c r="D13" s="51"/>
      <c r="E13" s="2"/>
      <c r="F13" s="2"/>
      <c r="G13" s="2"/>
      <c r="H13" s="47">
        <v>10</v>
      </c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ht="15.75" x14ac:dyDescent="0.4">
      <c r="A14" s="18">
        <v>2</v>
      </c>
      <c r="B14" s="51">
        <f t="shared" ref="B14:B17" ca="1" si="1">RANDBETWEEN($B$7,$B$8)</f>
        <v>1</v>
      </c>
      <c r="C14" s="51">
        <f t="shared" ref="C14:C17" ca="1" si="2">INDEX($D$3:$D$6,MATCH(RAND(),$F$3:$F$6,1))</f>
        <v>2</v>
      </c>
      <c r="D14" s="86" t="s">
        <v>128</v>
      </c>
      <c r="E14" s="2"/>
      <c r="F14" s="2"/>
      <c r="G14" s="2"/>
      <c r="H14" s="47">
        <v>11</v>
      </c>
      <c r="I14" s="1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ht="15.75" x14ac:dyDescent="0.4">
      <c r="A15" s="18">
        <v>3</v>
      </c>
      <c r="B15" s="51">
        <f t="shared" ca="1" si="1"/>
        <v>1</v>
      </c>
      <c r="C15" s="51">
        <f t="shared" ca="1" si="2"/>
        <v>2</v>
      </c>
      <c r="D15" s="51"/>
      <c r="E15" s="2"/>
      <c r="F15" s="2"/>
      <c r="G15" s="2"/>
      <c r="H15" s="47">
        <v>12</v>
      </c>
      <c r="I15" s="1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ht="15.75" x14ac:dyDescent="0.4">
      <c r="A16" s="18">
        <v>4</v>
      </c>
      <c r="B16" s="51">
        <f t="shared" ca="1" si="1"/>
        <v>1</v>
      </c>
      <c r="C16" s="51">
        <f t="shared" ca="1" si="2"/>
        <v>3</v>
      </c>
      <c r="D16" s="51"/>
      <c r="E16" s="2"/>
      <c r="F16" s="2"/>
      <c r="G16" s="2"/>
      <c r="H16" s="47">
        <v>13</v>
      </c>
      <c r="I16" s="1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ht="15.75" x14ac:dyDescent="0.4">
      <c r="A17" s="18">
        <v>5</v>
      </c>
      <c r="B17" s="51">
        <f t="shared" ca="1" si="1"/>
        <v>1</v>
      </c>
      <c r="C17" s="51">
        <f t="shared" ca="1" si="2"/>
        <v>2</v>
      </c>
      <c r="D17" s="51"/>
      <c r="E17" s="2"/>
      <c r="F17" s="2"/>
      <c r="G17" s="2"/>
      <c r="H17" s="47">
        <v>14</v>
      </c>
      <c r="I17" s="1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ht="15.75" x14ac:dyDescent="0.4">
      <c r="A18" s="2"/>
      <c r="B18" s="52"/>
      <c r="C18" s="2"/>
      <c r="D18" s="2"/>
      <c r="E18" s="2"/>
      <c r="F18" s="2"/>
      <c r="G18" s="2"/>
      <c r="H18" s="47">
        <v>15</v>
      </c>
      <c r="I18" s="1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ht="15.75" x14ac:dyDescent="0.4">
      <c r="A19" s="12" t="s">
        <v>92</v>
      </c>
      <c r="B19" s="2"/>
      <c r="C19" s="2"/>
      <c r="D19" s="2"/>
      <c r="E19" s="2"/>
      <c r="F19" s="2"/>
      <c r="G19" s="2"/>
      <c r="H19" s="47">
        <v>16</v>
      </c>
      <c r="I19" s="1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ht="15.75" x14ac:dyDescent="0.4">
      <c r="A20" s="19" t="s">
        <v>93</v>
      </c>
      <c r="B20" s="53"/>
      <c r="C20" s="2"/>
      <c r="D20" s="2"/>
      <c r="E20" s="2"/>
      <c r="F20" s="2"/>
      <c r="G20" s="2"/>
      <c r="H20" s="47">
        <v>17</v>
      </c>
      <c r="I20" s="1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ht="15.75" x14ac:dyDescent="0.4">
      <c r="A21" s="12"/>
      <c r="B21" s="21"/>
      <c r="C21" s="54"/>
      <c r="D21" s="2"/>
      <c r="E21" s="2"/>
      <c r="F21" s="2"/>
      <c r="G21" s="2"/>
      <c r="H21" s="47">
        <v>18</v>
      </c>
      <c r="I21" s="1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5.75" x14ac:dyDescent="0.4">
      <c r="A22" s="12" t="s">
        <v>12</v>
      </c>
      <c r="B22" s="2"/>
      <c r="C22" s="2"/>
      <c r="D22" s="2"/>
      <c r="E22" s="2"/>
      <c r="F22" s="2"/>
      <c r="G22" s="2"/>
      <c r="H22" s="47">
        <v>19</v>
      </c>
      <c r="I22" s="1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5.75" x14ac:dyDescent="0.4">
      <c r="A23" s="20" t="s">
        <v>13</v>
      </c>
      <c r="B23" s="55"/>
      <c r="C23" s="2"/>
      <c r="D23" s="2"/>
      <c r="E23" s="2"/>
      <c r="F23" s="2"/>
      <c r="G23" s="2"/>
      <c r="H23" s="47">
        <v>20</v>
      </c>
      <c r="I23" s="1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ht="15.75" x14ac:dyDescent="0.4">
      <c r="A24" s="20" t="s">
        <v>14</v>
      </c>
      <c r="B24" s="56"/>
      <c r="C24" s="2"/>
      <c r="D24" s="2"/>
      <c r="E24" s="2"/>
      <c r="F24" s="2"/>
      <c r="G24" s="2"/>
      <c r="H24" s="47">
        <v>21</v>
      </c>
      <c r="I24" s="1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ht="15.75" x14ac:dyDescent="0.4">
      <c r="A25" s="20" t="s">
        <v>15</v>
      </c>
      <c r="B25" s="55"/>
      <c r="C25" s="2"/>
      <c r="D25" s="2"/>
      <c r="E25" s="2"/>
      <c r="F25" s="2"/>
      <c r="G25" s="2"/>
      <c r="H25" s="47">
        <v>22</v>
      </c>
      <c r="I25" s="1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ht="15.75" x14ac:dyDescent="0.4">
      <c r="A26" s="20" t="s">
        <v>16</v>
      </c>
      <c r="B26" s="55"/>
      <c r="C26" s="2"/>
      <c r="D26" s="2"/>
      <c r="E26" s="2"/>
      <c r="F26" s="2"/>
      <c r="G26" s="2"/>
      <c r="H26" s="47">
        <v>23</v>
      </c>
      <c r="I26" s="1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ht="15.75" x14ac:dyDescent="0.4">
      <c r="A27" s="13" t="s">
        <v>17</v>
      </c>
      <c r="B27" s="57"/>
      <c r="C27" s="2"/>
      <c r="D27" s="2"/>
      <c r="E27" s="2"/>
      <c r="F27" s="2"/>
      <c r="G27" s="2"/>
      <c r="H27" s="47">
        <v>24</v>
      </c>
      <c r="I27" s="1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ht="15.75" x14ac:dyDescent="0.4">
      <c r="C28" s="2"/>
      <c r="D28" s="2"/>
      <c r="E28" s="2"/>
      <c r="F28" s="2"/>
      <c r="G28" s="2"/>
      <c r="H28" s="47">
        <v>25</v>
      </c>
      <c r="I28" s="1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ht="15.75" x14ac:dyDescent="0.4">
      <c r="A29" s="2"/>
      <c r="B29" s="2"/>
      <c r="C29" s="2"/>
      <c r="D29" s="2"/>
      <c r="E29" s="2"/>
      <c r="F29" s="2"/>
      <c r="G29" s="2"/>
      <c r="H29" s="47">
        <v>26</v>
      </c>
      <c r="I29" s="1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ht="15.75" x14ac:dyDescent="0.4">
      <c r="A30" s="2"/>
      <c r="B30" s="2"/>
      <c r="C30" s="2"/>
      <c r="D30" s="2"/>
      <c r="E30" s="2"/>
      <c r="F30" s="2"/>
      <c r="G30" s="2"/>
      <c r="H30" s="47">
        <v>27</v>
      </c>
      <c r="I30" s="1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ht="15.75" x14ac:dyDescent="0.4">
      <c r="A31" s="12"/>
      <c r="B31" s="2"/>
      <c r="C31" s="2"/>
      <c r="D31" s="2"/>
      <c r="E31" s="2"/>
      <c r="F31" s="2"/>
      <c r="G31" s="2"/>
      <c r="H31" s="47">
        <v>28</v>
      </c>
      <c r="I31" s="1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ht="15.75" x14ac:dyDescent="0.4">
      <c r="A32" s="12"/>
      <c r="B32" s="21"/>
      <c r="C32" s="21"/>
      <c r="D32" s="21"/>
      <c r="E32" s="21"/>
      <c r="F32" s="2"/>
      <c r="G32" s="2"/>
      <c r="H32" s="47">
        <v>29</v>
      </c>
      <c r="I32" s="17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ht="15.75" x14ac:dyDescent="0.4">
      <c r="A33" s="2"/>
      <c r="B33" s="2"/>
      <c r="C33" s="2"/>
      <c r="D33" s="2"/>
      <c r="E33" s="2"/>
      <c r="F33" s="2"/>
      <c r="G33" s="2"/>
      <c r="H33" s="47">
        <v>30</v>
      </c>
      <c r="I33" s="17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5.75" x14ac:dyDescent="0.4">
      <c r="A34" s="2"/>
      <c r="B34" s="2"/>
      <c r="C34" s="2"/>
      <c r="D34" s="2"/>
      <c r="E34" s="2"/>
      <c r="F34" s="2"/>
      <c r="G34" s="2"/>
      <c r="H34" s="47">
        <v>31</v>
      </c>
      <c r="I34" s="17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ht="15.75" x14ac:dyDescent="0.4">
      <c r="A35" s="2"/>
      <c r="B35" s="2"/>
      <c r="C35" s="2"/>
      <c r="D35" s="2"/>
      <c r="E35" s="2"/>
      <c r="F35" s="2"/>
      <c r="G35" s="2"/>
      <c r="H35" s="47">
        <v>32</v>
      </c>
      <c r="I35" s="17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ht="15.75" x14ac:dyDescent="0.4">
      <c r="A36" s="2"/>
      <c r="B36" s="2"/>
      <c r="C36" s="2"/>
      <c r="D36" s="2"/>
      <c r="E36" s="2"/>
      <c r="F36" s="2"/>
      <c r="G36" s="2"/>
      <c r="H36" s="47">
        <v>33</v>
      </c>
      <c r="I36" s="17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 ht="15.75" x14ac:dyDescent="0.4">
      <c r="A37" s="2"/>
      <c r="B37" s="2"/>
      <c r="C37" s="2"/>
      <c r="D37" s="2"/>
      <c r="E37" s="2"/>
      <c r="F37" s="2"/>
      <c r="G37" s="2"/>
      <c r="H37" s="47">
        <v>34</v>
      </c>
      <c r="I37" s="17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ht="15.75" x14ac:dyDescent="0.4">
      <c r="A38" s="2"/>
      <c r="B38" s="2"/>
      <c r="C38" s="2"/>
      <c r="D38" s="2"/>
      <c r="E38" s="2"/>
      <c r="F38" s="2"/>
      <c r="G38" s="2"/>
      <c r="H38" s="47">
        <v>35</v>
      </c>
      <c r="I38" s="17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 ht="15.75" x14ac:dyDescent="0.4">
      <c r="A39" s="2"/>
      <c r="B39" s="2"/>
      <c r="C39" s="2"/>
      <c r="D39" s="2"/>
      <c r="E39" s="2"/>
      <c r="F39" s="2"/>
      <c r="G39" s="2"/>
      <c r="H39" s="47">
        <v>36</v>
      </c>
      <c r="I39" s="17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 ht="15.75" x14ac:dyDescent="0.4">
      <c r="A40" s="2"/>
      <c r="B40" s="2"/>
      <c r="C40" s="2"/>
      <c r="D40" s="2"/>
      <c r="E40" s="2"/>
      <c r="F40" s="2"/>
      <c r="G40" s="2"/>
      <c r="H40" s="47">
        <v>37</v>
      </c>
      <c r="I40" s="17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 ht="15.75" x14ac:dyDescent="0.4">
      <c r="A41" s="2"/>
      <c r="B41" s="2"/>
      <c r="C41" s="2"/>
      <c r="D41" s="2"/>
      <c r="E41" s="2"/>
      <c r="F41" s="2"/>
      <c r="G41" s="2"/>
      <c r="H41" s="47">
        <v>38</v>
      </c>
      <c r="I41" s="17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 ht="15.75" x14ac:dyDescent="0.4">
      <c r="A42" s="2"/>
      <c r="B42" s="2"/>
      <c r="C42" s="2"/>
      <c r="D42" s="2"/>
      <c r="E42" s="2"/>
      <c r="F42" s="2"/>
      <c r="G42" s="2"/>
      <c r="H42" s="47">
        <v>39</v>
      </c>
      <c r="I42" s="17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 ht="15.75" x14ac:dyDescent="0.4">
      <c r="A43" s="2"/>
      <c r="B43" s="2"/>
      <c r="C43" s="2"/>
      <c r="D43" s="2"/>
      <c r="E43" s="2"/>
      <c r="F43" s="2"/>
      <c r="G43" s="2"/>
      <c r="H43" s="47">
        <v>40</v>
      </c>
      <c r="I43" s="17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ht="15.75" x14ac:dyDescent="0.4">
      <c r="A44" s="2"/>
      <c r="B44" s="2"/>
      <c r="C44" s="2"/>
      <c r="D44" s="2"/>
      <c r="E44" s="2"/>
      <c r="F44" s="2"/>
      <c r="G44" s="2"/>
      <c r="H44" s="47">
        <v>41</v>
      </c>
      <c r="I44" s="17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 ht="15.75" x14ac:dyDescent="0.4">
      <c r="A45" s="2"/>
      <c r="B45" s="2"/>
      <c r="C45" s="2"/>
      <c r="D45" s="2"/>
      <c r="E45" s="2"/>
      <c r="F45" s="2"/>
      <c r="G45" s="2"/>
      <c r="H45" s="47">
        <v>42</v>
      </c>
      <c r="I45" s="17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15.75" x14ac:dyDescent="0.4">
      <c r="A46" s="2"/>
      <c r="B46" s="2"/>
      <c r="C46" s="2"/>
      <c r="D46" s="2"/>
      <c r="E46" s="2"/>
      <c r="F46" s="2"/>
      <c r="G46" s="2"/>
      <c r="H46" s="47">
        <v>43</v>
      </c>
      <c r="I46" s="17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1:36" ht="15.75" x14ac:dyDescent="0.4">
      <c r="A47" s="2"/>
      <c r="B47" s="2"/>
      <c r="C47" s="2"/>
      <c r="D47" s="2"/>
      <c r="E47" s="2"/>
      <c r="F47" s="2"/>
      <c r="G47" s="2"/>
      <c r="H47" s="47">
        <v>44</v>
      </c>
      <c r="I47" s="17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ht="15.75" x14ac:dyDescent="0.4">
      <c r="A48" s="2"/>
      <c r="B48" s="2"/>
      <c r="C48" s="2"/>
      <c r="D48" s="2"/>
      <c r="E48" s="2"/>
      <c r="F48" s="2"/>
      <c r="G48" s="2"/>
      <c r="H48" s="47">
        <v>45</v>
      </c>
      <c r="I48" s="17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 ht="15.75" x14ac:dyDescent="0.4">
      <c r="A49" s="2"/>
      <c r="B49" s="2"/>
      <c r="C49" s="2"/>
      <c r="D49" s="2"/>
      <c r="E49" s="2"/>
      <c r="F49" s="2"/>
      <c r="G49" s="2"/>
      <c r="H49" s="47">
        <v>46</v>
      </c>
      <c r="I49" s="17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ht="15.75" x14ac:dyDescent="0.4">
      <c r="A50" s="2"/>
      <c r="B50" s="2"/>
      <c r="C50" s="2"/>
      <c r="D50" s="2"/>
      <c r="E50" s="2"/>
      <c r="F50" s="2"/>
      <c r="G50" s="2"/>
      <c r="H50" s="47">
        <v>47</v>
      </c>
      <c r="I50" s="17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ht="15.75" x14ac:dyDescent="0.4">
      <c r="A51" s="2"/>
      <c r="B51" s="2"/>
      <c r="C51" s="2"/>
      <c r="D51" s="2"/>
      <c r="E51" s="2"/>
      <c r="F51" s="2"/>
      <c r="G51" s="2"/>
      <c r="H51" s="47">
        <v>48</v>
      </c>
      <c r="I51" s="17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5.75" x14ac:dyDescent="0.4">
      <c r="A52" s="2"/>
      <c r="B52" s="2"/>
      <c r="C52" s="2"/>
      <c r="D52" s="2"/>
      <c r="E52" s="2"/>
      <c r="F52" s="2"/>
      <c r="G52" s="2"/>
      <c r="H52" s="47">
        <v>49</v>
      </c>
      <c r="I52" s="17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ht="15.75" x14ac:dyDescent="0.4">
      <c r="A53" s="2"/>
      <c r="B53" s="2"/>
      <c r="C53" s="2"/>
      <c r="D53" s="2"/>
      <c r="E53" s="2"/>
      <c r="F53" s="2"/>
      <c r="G53" s="2"/>
      <c r="H53" s="47">
        <v>50</v>
      </c>
      <c r="I53" s="17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ht="15.75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5.75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5.75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5.75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</row>
    <row r="58" spans="1:36" ht="15.75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</row>
    <row r="59" spans="1:36" ht="15.75" x14ac:dyDescent="0.3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</row>
    <row r="60" spans="1:36" ht="15.75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</row>
    <row r="61" spans="1:36" ht="15.75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</row>
    <row r="62" spans="1:36" ht="15.75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</row>
    <row r="63" spans="1:36" ht="15.75" x14ac:dyDescent="0.3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</row>
    <row r="64" spans="1:36" ht="15.75" x14ac:dyDescent="0.3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</row>
    <row r="65" spans="1:36" ht="15.75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</row>
    <row r="66" spans="1:36" ht="15.75" x14ac:dyDescent="0.3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</row>
    <row r="67" spans="1:36" ht="15.75" x14ac:dyDescent="0.3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</row>
    <row r="68" spans="1:36" ht="15.75" x14ac:dyDescent="0.3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</row>
    <row r="69" spans="1:36" ht="15.75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</row>
    <row r="70" spans="1:36" ht="15.75" x14ac:dyDescent="0.3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</row>
    <row r="71" spans="1:36" ht="15.75" x14ac:dyDescent="0.3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</row>
    <row r="72" spans="1:36" ht="15.75" x14ac:dyDescent="0.3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</row>
    <row r="73" spans="1:36" ht="15.75" x14ac:dyDescent="0.3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</row>
    <row r="74" spans="1:36" ht="15.75" x14ac:dyDescent="0.3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</row>
    <row r="75" spans="1:36" ht="15.75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</row>
    <row r="76" spans="1:36" ht="15.75" x14ac:dyDescent="0.3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</row>
    <row r="77" spans="1:36" ht="15.75" x14ac:dyDescent="0.3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</row>
    <row r="78" spans="1:36" ht="15.75" x14ac:dyDescent="0.3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</row>
    <row r="79" spans="1:36" ht="15.75" x14ac:dyDescent="0.3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</row>
    <row r="80" spans="1:36" ht="15.75" x14ac:dyDescent="0.3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</row>
    <row r="81" spans="1:36" ht="15.75" x14ac:dyDescent="0.3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</row>
    <row r="82" spans="1:36" ht="15.75" x14ac:dyDescent="0.3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</row>
    <row r="83" spans="1:36" ht="15.75" x14ac:dyDescent="0.3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</row>
    <row r="84" spans="1:36" ht="15.75" x14ac:dyDescent="0.3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</row>
    <row r="85" spans="1:36" ht="15.75" x14ac:dyDescent="0.3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</row>
    <row r="86" spans="1:36" ht="15.75" x14ac:dyDescent="0.3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</row>
    <row r="87" spans="1:36" ht="15.75" x14ac:dyDescent="0.3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</row>
    <row r="88" spans="1:36" ht="15.75" x14ac:dyDescent="0.3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</row>
    <row r="89" spans="1:36" ht="15.75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</row>
    <row r="90" spans="1:36" ht="15.75" x14ac:dyDescent="0.3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</row>
    <row r="91" spans="1:36" ht="15.75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</row>
    <row r="92" spans="1:36" ht="15.75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</row>
    <row r="93" spans="1:36" ht="15.75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</row>
    <row r="94" spans="1:36" ht="15.75" x14ac:dyDescent="0.3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</row>
    <row r="95" spans="1:36" ht="15.75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</row>
    <row r="96" spans="1:36" ht="15.75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</row>
    <row r="97" spans="1:36" ht="15.75" x14ac:dyDescent="0.3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</row>
    <row r="98" spans="1:36" ht="15.75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</row>
    <row r="99" spans="1:36" ht="15.75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</row>
    <row r="100" spans="1:36" ht="15.75" x14ac:dyDescent="0.3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</row>
    <row r="101" spans="1:36" ht="15.75" x14ac:dyDescent="0.3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</row>
    <row r="102" spans="1:36" ht="15.75" x14ac:dyDescent="0.3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</row>
    <row r="103" spans="1:36" ht="15.75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</row>
    <row r="104" spans="1:36" ht="15.75" x14ac:dyDescent="0.3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</row>
    <row r="105" spans="1:36" ht="15.75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</row>
    <row r="106" spans="1:36" ht="15.75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</row>
    <row r="107" spans="1:36" ht="15.75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</row>
    <row r="108" spans="1:36" ht="15.75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</row>
    <row r="109" spans="1:36" ht="15.75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</row>
    <row r="110" spans="1:36" ht="15.75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</row>
    <row r="111" spans="1:36" ht="15.75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</row>
    <row r="112" spans="1:36" ht="15.75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</row>
    <row r="113" spans="1:36" ht="15.75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</row>
    <row r="114" spans="1:36" ht="15.75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</row>
    <row r="115" spans="1:36" ht="15.75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</row>
    <row r="116" spans="1:36" ht="15.75" x14ac:dyDescent="0.3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</row>
    <row r="117" spans="1:36" ht="15.75" x14ac:dyDescent="0.3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</row>
    <row r="118" spans="1:36" ht="15.75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</row>
    <row r="119" spans="1:36" ht="15.75" x14ac:dyDescent="0.3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</row>
    <row r="120" spans="1:36" ht="15.75" x14ac:dyDescent="0.3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</row>
    <row r="121" spans="1:36" ht="15.75" x14ac:dyDescent="0.3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</row>
    <row r="122" spans="1:36" ht="15.75" x14ac:dyDescent="0.3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</row>
    <row r="123" spans="1:36" ht="15.75" x14ac:dyDescent="0.3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</row>
    <row r="124" spans="1:36" ht="15.75" x14ac:dyDescent="0.3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</row>
    <row r="125" spans="1:36" ht="15.75" x14ac:dyDescent="0.3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</row>
    <row r="126" spans="1:36" ht="15.75" x14ac:dyDescent="0.3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</row>
    <row r="127" spans="1:36" ht="15.75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</row>
    <row r="128" spans="1:36" ht="15.75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</row>
    <row r="129" spans="1:36" ht="15.75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</row>
    <row r="130" spans="1:36" ht="15.75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</row>
    <row r="131" spans="1:36" ht="15.75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</row>
    <row r="132" spans="1:36" ht="15.75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</row>
    <row r="133" spans="1:36" ht="15.75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</row>
    <row r="134" spans="1:36" ht="15.75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</row>
    <row r="135" spans="1:36" ht="15.75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</row>
    <row r="136" spans="1:36" ht="15.75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</row>
    <row r="137" spans="1:36" ht="15.75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</row>
    <row r="138" spans="1:36" ht="15.75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</row>
    <row r="139" spans="1:36" ht="15.75" x14ac:dyDescent="0.3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</row>
    <row r="140" spans="1:36" ht="15.75" x14ac:dyDescent="0.3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</row>
    <row r="141" spans="1:36" ht="15.75" x14ac:dyDescent="0.3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</row>
    <row r="142" spans="1:36" ht="15.75" x14ac:dyDescent="0.3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</row>
    <row r="143" spans="1:36" ht="15.75" x14ac:dyDescent="0.3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</row>
    <row r="144" spans="1:36" ht="15.75" x14ac:dyDescent="0.3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</row>
    <row r="145" spans="1:36" ht="15.75" x14ac:dyDescent="0.3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</row>
    <row r="146" spans="1:36" ht="15.75" x14ac:dyDescent="0.3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</row>
    <row r="147" spans="1:36" ht="15.75" x14ac:dyDescent="0.3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</row>
    <row r="148" spans="1:36" ht="15.75" x14ac:dyDescent="0.3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</row>
    <row r="149" spans="1:36" ht="15.75" x14ac:dyDescent="0.3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</row>
    <row r="150" spans="1:36" ht="15.75" x14ac:dyDescent="0.3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</row>
    <row r="151" spans="1:36" ht="15.75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</row>
    <row r="152" spans="1:36" ht="15.75" x14ac:dyDescent="0.3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</row>
    <row r="153" spans="1:36" ht="15.75" x14ac:dyDescent="0.3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</row>
    <row r="154" spans="1:36" ht="15.75" x14ac:dyDescent="0.3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</row>
    <row r="155" spans="1:36" ht="15.75" x14ac:dyDescent="0.3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</row>
    <row r="156" spans="1:36" ht="15.75" x14ac:dyDescent="0.3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</row>
    <row r="157" spans="1:36" ht="15.75" x14ac:dyDescent="0.3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</row>
    <row r="158" spans="1:36" ht="15.75" x14ac:dyDescent="0.3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</row>
    <row r="159" spans="1:36" ht="15.75" x14ac:dyDescent="0.3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</row>
    <row r="160" spans="1:36" ht="15.75" x14ac:dyDescent="0.3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</row>
    <row r="161" spans="1:36" ht="15.75" x14ac:dyDescent="0.3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</row>
    <row r="162" spans="1:36" ht="15.75" x14ac:dyDescent="0.3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</row>
    <row r="163" spans="1:36" ht="15.75" x14ac:dyDescent="0.3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</row>
    <row r="164" spans="1:36" ht="15.75" x14ac:dyDescent="0.3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</row>
    <row r="165" spans="1:36" ht="15.75" x14ac:dyDescent="0.3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</row>
    <row r="166" spans="1:36" ht="15.75" x14ac:dyDescent="0.3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</row>
    <row r="167" spans="1:36" ht="15.75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</row>
    <row r="168" spans="1:36" ht="15.75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</row>
    <row r="169" spans="1:36" ht="15.75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</row>
    <row r="170" spans="1:36" ht="15.75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</row>
    <row r="171" spans="1:36" ht="15.75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</row>
    <row r="172" spans="1:36" ht="15.75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</row>
    <row r="173" spans="1:36" ht="15.75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</row>
    <row r="174" spans="1:36" ht="15.75" x14ac:dyDescent="0.3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</row>
    <row r="175" spans="1:36" ht="15.75" x14ac:dyDescent="0.3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</row>
    <row r="176" spans="1:36" ht="15.75" x14ac:dyDescent="0.3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</row>
    <row r="177" spans="1:36" ht="15.75" x14ac:dyDescent="0.3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</row>
    <row r="178" spans="1:36" ht="15.75" x14ac:dyDescent="0.3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</row>
    <row r="179" spans="1:36" ht="15.75" x14ac:dyDescent="0.3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</row>
    <row r="180" spans="1:36" ht="15.75" x14ac:dyDescent="0.3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</row>
    <row r="181" spans="1:36" ht="15.75" x14ac:dyDescent="0.3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</row>
    <row r="182" spans="1:36" ht="15.75" x14ac:dyDescent="0.3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</row>
    <row r="183" spans="1:36" ht="15.75" x14ac:dyDescent="0.3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</row>
    <row r="184" spans="1:36" ht="15.75" x14ac:dyDescent="0.3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</row>
    <row r="185" spans="1:36" ht="15.75" x14ac:dyDescent="0.3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</row>
    <row r="186" spans="1:36" ht="15.75" x14ac:dyDescent="0.3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</row>
    <row r="187" spans="1:36" ht="15.75" x14ac:dyDescent="0.3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</row>
    <row r="188" spans="1:36" ht="15.75" x14ac:dyDescent="0.3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</row>
    <row r="189" spans="1:36" ht="15.75" x14ac:dyDescent="0.3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</row>
    <row r="190" spans="1:36" ht="15.75" x14ac:dyDescent="0.3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</row>
    <row r="191" spans="1:36" ht="15.75" x14ac:dyDescent="0.3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</row>
    <row r="192" spans="1:36" ht="15.75" x14ac:dyDescent="0.3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</row>
    <row r="193" spans="1:36" ht="15.75" x14ac:dyDescent="0.3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</row>
    <row r="194" spans="1:36" ht="15.75" x14ac:dyDescent="0.3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</row>
    <row r="195" spans="1:36" ht="15.75" x14ac:dyDescent="0.3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</row>
    <row r="196" spans="1:36" ht="15.75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</row>
    <row r="197" spans="1:36" ht="15.75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</row>
    <row r="198" spans="1:36" ht="15.75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</row>
    <row r="199" spans="1:36" ht="15.75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</row>
    <row r="200" spans="1:36" ht="15.75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</row>
    <row r="201" spans="1:36" ht="15.75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</row>
    <row r="202" spans="1:36" ht="15.75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</row>
    <row r="203" spans="1:36" ht="15.75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</row>
    <row r="204" spans="1:36" ht="15.75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</row>
    <row r="205" spans="1:36" ht="15.75" x14ac:dyDescent="0.3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</row>
    <row r="206" spans="1:36" ht="15.75" x14ac:dyDescent="0.3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</row>
    <row r="207" spans="1:36" ht="15.75" x14ac:dyDescent="0.3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</row>
    <row r="208" spans="1:36" ht="15.75" x14ac:dyDescent="0.3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</row>
    <row r="209" spans="1:36" ht="15.75" x14ac:dyDescent="0.3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</row>
    <row r="210" spans="1:36" ht="15.75" x14ac:dyDescent="0.3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</row>
    <row r="211" spans="1:36" ht="15.75" x14ac:dyDescent="0.3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</row>
    <row r="212" spans="1:36" ht="15.75" x14ac:dyDescent="0.3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</row>
    <row r="213" spans="1:36" ht="15.75" x14ac:dyDescent="0.3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</row>
    <row r="214" spans="1:36" ht="15.75" x14ac:dyDescent="0.3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</row>
    <row r="215" spans="1:36" ht="15.75" x14ac:dyDescent="0.3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</row>
    <row r="216" spans="1:36" ht="15.75" x14ac:dyDescent="0.3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</row>
    <row r="217" spans="1:36" ht="15.75" x14ac:dyDescent="0.3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</row>
    <row r="218" spans="1:36" ht="15.75" x14ac:dyDescent="0.3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</row>
    <row r="219" spans="1:36" ht="15.75" x14ac:dyDescent="0.3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</row>
    <row r="220" spans="1:36" ht="15.75" x14ac:dyDescent="0.3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</row>
    <row r="221" spans="1:36" ht="15.75" x14ac:dyDescent="0.3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</row>
    <row r="222" spans="1:36" ht="15.75" x14ac:dyDescent="0.3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</row>
    <row r="223" spans="1:36" ht="15.75" x14ac:dyDescent="0.3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</row>
    <row r="224" spans="1:36" ht="15.75" x14ac:dyDescent="0.3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</row>
    <row r="225" spans="1:36" ht="15.75" x14ac:dyDescent="0.3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</row>
    <row r="226" spans="1:36" ht="15.75" x14ac:dyDescent="0.3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</row>
    <row r="227" spans="1:36" ht="15.75" x14ac:dyDescent="0.3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</row>
    <row r="228" spans="1:36" ht="15.75" x14ac:dyDescent="0.3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</row>
    <row r="229" spans="1:36" ht="15.75" x14ac:dyDescent="0.3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</row>
    <row r="230" spans="1:36" ht="15.75" x14ac:dyDescent="0.3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</row>
    <row r="231" spans="1:36" ht="15.75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</row>
    <row r="232" spans="1:36" ht="15.75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</row>
    <row r="233" spans="1:36" ht="15.75" x14ac:dyDescent="0.3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</row>
    <row r="234" spans="1:36" ht="15.75" x14ac:dyDescent="0.3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</row>
    <row r="235" spans="1:36" ht="15.75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</row>
    <row r="236" spans="1:36" ht="15.75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</row>
    <row r="237" spans="1:36" ht="15.75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</row>
    <row r="238" spans="1:36" ht="15.75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</row>
    <row r="239" spans="1:36" ht="15.75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</row>
    <row r="240" spans="1:36" ht="15.75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</row>
    <row r="241" spans="1:36" ht="15.75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</row>
    <row r="242" spans="1:36" ht="15.75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</row>
    <row r="243" spans="1:36" ht="15.75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</row>
    <row r="244" spans="1:36" ht="15.75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</row>
    <row r="245" spans="1:36" ht="15.75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</row>
    <row r="246" spans="1:36" ht="15.75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</row>
    <row r="247" spans="1:36" ht="15.75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</row>
    <row r="248" spans="1:36" ht="15.75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</row>
    <row r="249" spans="1:36" ht="15.75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</row>
    <row r="250" spans="1:36" ht="15.75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</row>
    <row r="251" spans="1:36" ht="15.75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</row>
    <row r="252" spans="1:36" ht="15.75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</row>
    <row r="253" spans="1:36" ht="15.75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</row>
    <row r="254" spans="1:36" ht="15.75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</row>
    <row r="255" spans="1:36" ht="15.75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</row>
    <row r="256" spans="1:36" ht="15.75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</row>
    <row r="257" spans="1:36" ht="15.75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</row>
    <row r="258" spans="1:36" ht="15.75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</row>
    <row r="259" spans="1:36" ht="15.75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</row>
    <row r="260" spans="1:36" ht="15.75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</row>
    <row r="261" spans="1:36" ht="15.75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</row>
    <row r="262" spans="1:36" ht="15.75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</row>
    <row r="263" spans="1:36" ht="15.75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</row>
    <row r="264" spans="1:36" ht="15.75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</row>
    <row r="265" spans="1:36" ht="15.75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</row>
    <row r="266" spans="1:36" ht="15.75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</row>
    <row r="267" spans="1:36" ht="15.75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</row>
    <row r="268" spans="1:36" ht="15.75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</row>
    <row r="269" spans="1:36" ht="15.75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</row>
    <row r="270" spans="1:36" ht="15.75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</row>
    <row r="271" spans="1:36" ht="15.75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</row>
    <row r="272" spans="1:36" ht="15.75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</row>
    <row r="273" spans="1:36" ht="15.75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</row>
    <row r="274" spans="1:36" ht="15.75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</row>
    <row r="275" spans="1:36" ht="15.75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</row>
    <row r="276" spans="1:36" ht="15.75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</row>
    <row r="277" spans="1:36" ht="15.75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</row>
    <row r="278" spans="1:36" ht="15.75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</row>
    <row r="279" spans="1:36" ht="15.75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</row>
    <row r="280" spans="1:36" ht="15.75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</row>
    <row r="281" spans="1:36" ht="15.75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</row>
    <row r="282" spans="1:36" ht="15.75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</row>
    <row r="283" spans="1:36" ht="15.75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</row>
    <row r="284" spans="1:36" ht="15.75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</row>
    <row r="285" spans="1:36" ht="15.75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</row>
    <row r="286" spans="1:36" ht="15.75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</row>
    <row r="287" spans="1:36" ht="15.75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</row>
    <row r="288" spans="1:36" ht="15.75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</row>
    <row r="289" spans="1:36" ht="15.75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</row>
    <row r="290" spans="1:36" ht="15.75" x14ac:dyDescent="0.3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</row>
    <row r="291" spans="1:36" ht="15.75" x14ac:dyDescent="0.3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</row>
    <row r="292" spans="1:36" ht="15.75" x14ac:dyDescent="0.3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</row>
    <row r="293" spans="1:36" ht="15.75" x14ac:dyDescent="0.3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</row>
    <row r="294" spans="1:36" ht="15.75" x14ac:dyDescent="0.3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</row>
    <row r="295" spans="1:36" ht="15.75" x14ac:dyDescent="0.3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</row>
    <row r="296" spans="1:36" ht="15.75" x14ac:dyDescent="0.3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</row>
    <row r="297" spans="1:36" ht="15.75" x14ac:dyDescent="0.3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</row>
    <row r="298" spans="1:36" ht="15.75" x14ac:dyDescent="0.3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</row>
    <row r="299" spans="1:36" ht="15.75" x14ac:dyDescent="0.3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</row>
    <row r="300" spans="1:36" ht="15.75" x14ac:dyDescent="0.3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</row>
    <row r="301" spans="1:36" ht="15.75" x14ac:dyDescent="0.3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</row>
    <row r="302" spans="1:36" ht="15.75" x14ac:dyDescent="0.3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</row>
    <row r="303" spans="1:36" ht="15.75" x14ac:dyDescent="0.3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</row>
    <row r="304" spans="1:36" ht="15.75" x14ac:dyDescent="0.3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</row>
    <row r="305" spans="1:36" ht="15.75" x14ac:dyDescent="0.3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</row>
    <row r="306" spans="1:36" ht="15.75" x14ac:dyDescent="0.3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</row>
    <row r="307" spans="1:36" ht="15.75" x14ac:dyDescent="0.3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</row>
    <row r="308" spans="1:36" ht="15.75" x14ac:dyDescent="0.3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</row>
    <row r="309" spans="1:36" ht="15.75" x14ac:dyDescent="0.3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</row>
    <row r="310" spans="1:36" ht="15.75" x14ac:dyDescent="0.3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</row>
    <row r="311" spans="1:36" ht="15.75" x14ac:dyDescent="0.3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</row>
    <row r="312" spans="1:36" ht="15.75" x14ac:dyDescent="0.3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</row>
    <row r="313" spans="1:36" ht="15.75" x14ac:dyDescent="0.3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</row>
    <row r="314" spans="1:36" ht="15.75" x14ac:dyDescent="0.3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</row>
    <row r="315" spans="1:36" ht="15.75" x14ac:dyDescent="0.3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</row>
    <row r="316" spans="1:36" ht="15.75" x14ac:dyDescent="0.3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</row>
    <row r="317" spans="1:36" ht="15.75" x14ac:dyDescent="0.3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</row>
    <row r="318" spans="1:36" ht="15.75" x14ac:dyDescent="0.3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</row>
    <row r="319" spans="1:36" ht="15.75" x14ac:dyDescent="0.3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</row>
    <row r="320" spans="1:36" ht="15.75" x14ac:dyDescent="0.3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</row>
    <row r="321" spans="1:36" ht="15.75" x14ac:dyDescent="0.3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</row>
    <row r="322" spans="1:36" ht="15.75" x14ac:dyDescent="0.3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</row>
    <row r="323" spans="1:36" ht="15.75" x14ac:dyDescent="0.3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</row>
    <row r="324" spans="1:36" ht="15.75" x14ac:dyDescent="0.3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</row>
    <row r="325" spans="1:36" ht="15.75" x14ac:dyDescent="0.3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</row>
    <row r="326" spans="1:36" ht="15.75" x14ac:dyDescent="0.3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</row>
    <row r="327" spans="1:36" ht="15.75" x14ac:dyDescent="0.3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</row>
    <row r="328" spans="1:36" ht="15.75" x14ac:dyDescent="0.3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</row>
    <row r="329" spans="1:36" ht="15.75" x14ac:dyDescent="0.3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</row>
    <row r="330" spans="1:36" ht="15.75" x14ac:dyDescent="0.3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</row>
    <row r="331" spans="1:36" ht="15.75" x14ac:dyDescent="0.3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</row>
    <row r="332" spans="1:36" ht="15.75" x14ac:dyDescent="0.3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</row>
    <row r="333" spans="1:36" ht="15.75" x14ac:dyDescent="0.3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</row>
    <row r="334" spans="1:36" ht="15.75" x14ac:dyDescent="0.3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</row>
    <row r="335" spans="1:36" ht="15.75" x14ac:dyDescent="0.3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</row>
    <row r="336" spans="1:36" ht="15.75" x14ac:dyDescent="0.3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</row>
    <row r="337" spans="1:36" ht="15.75" x14ac:dyDescent="0.3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</row>
    <row r="338" spans="1:36" ht="15.75" x14ac:dyDescent="0.3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</row>
    <row r="339" spans="1:36" ht="15.75" x14ac:dyDescent="0.3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</row>
    <row r="340" spans="1:36" ht="15.75" x14ac:dyDescent="0.3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</row>
    <row r="341" spans="1:36" ht="15.75" x14ac:dyDescent="0.3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</row>
    <row r="342" spans="1:36" ht="15.75" x14ac:dyDescent="0.3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</row>
    <row r="343" spans="1:36" ht="15.75" x14ac:dyDescent="0.3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</row>
    <row r="344" spans="1:36" ht="15.75" x14ac:dyDescent="0.3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</row>
    <row r="345" spans="1:36" ht="15.75" x14ac:dyDescent="0.3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</row>
    <row r="346" spans="1:36" ht="15.75" x14ac:dyDescent="0.3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</row>
    <row r="347" spans="1:36" ht="15.75" x14ac:dyDescent="0.3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</row>
    <row r="348" spans="1:36" ht="15.75" x14ac:dyDescent="0.3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</row>
    <row r="349" spans="1:36" ht="15.75" x14ac:dyDescent="0.3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</row>
    <row r="350" spans="1:36" ht="15.75" x14ac:dyDescent="0.3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</row>
    <row r="351" spans="1:36" ht="15.75" x14ac:dyDescent="0.3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</row>
    <row r="352" spans="1:36" ht="15.75" x14ac:dyDescent="0.3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</row>
    <row r="353" spans="1:36" ht="15.75" x14ac:dyDescent="0.3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</row>
    <row r="354" spans="1:36" ht="15.75" x14ac:dyDescent="0.3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</row>
    <row r="355" spans="1:36" ht="15.75" x14ac:dyDescent="0.3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</row>
    <row r="356" spans="1:36" ht="15.75" x14ac:dyDescent="0.3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</row>
    <row r="357" spans="1:36" ht="15.75" x14ac:dyDescent="0.3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</row>
    <row r="358" spans="1:36" ht="15.75" x14ac:dyDescent="0.3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</row>
    <row r="359" spans="1:36" ht="15.75" x14ac:dyDescent="0.3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</row>
    <row r="360" spans="1:36" ht="15.75" x14ac:dyDescent="0.3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</row>
    <row r="361" spans="1:36" ht="15.75" x14ac:dyDescent="0.3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</row>
    <row r="362" spans="1:36" ht="15.75" x14ac:dyDescent="0.3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</row>
    <row r="363" spans="1:36" ht="15.75" x14ac:dyDescent="0.3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</row>
    <row r="364" spans="1:36" ht="15.75" x14ac:dyDescent="0.3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</row>
    <row r="365" spans="1:36" ht="15.75" x14ac:dyDescent="0.3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</row>
    <row r="366" spans="1:36" ht="15.75" x14ac:dyDescent="0.3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</row>
    <row r="367" spans="1:36" ht="15.75" x14ac:dyDescent="0.3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</row>
    <row r="368" spans="1:36" ht="15.75" x14ac:dyDescent="0.3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</row>
    <row r="369" spans="1:36" ht="15.75" x14ac:dyDescent="0.3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</row>
    <row r="370" spans="1:36" ht="15.75" x14ac:dyDescent="0.3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</row>
    <row r="371" spans="1:36" ht="15.75" x14ac:dyDescent="0.3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</row>
    <row r="372" spans="1:36" ht="15.75" x14ac:dyDescent="0.3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</row>
    <row r="373" spans="1:36" ht="15.75" x14ac:dyDescent="0.3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</row>
    <row r="374" spans="1:36" ht="15.75" x14ac:dyDescent="0.3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</row>
    <row r="375" spans="1:36" ht="15.75" x14ac:dyDescent="0.3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</row>
    <row r="376" spans="1:36" ht="15.75" x14ac:dyDescent="0.3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</row>
    <row r="377" spans="1:36" ht="15.75" x14ac:dyDescent="0.3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</row>
    <row r="378" spans="1:36" ht="15.75" x14ac:dyDescent="0.3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</row>
    <row r="379" spans="1:36" ht="15.75" x14ac:dyDescent="0.3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</row>
    <row r="380" spans="1:36" ht="15.75" x14ac:dyDescent="0.3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</row>
    <row r="381" spans="1:36" ht="15.75" x14ac:dyDescent="0.3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</row>
    <row r="382" spans="1:36" ht="15.75" x14ac:dyDescent="0.3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</row>
    <row r="383" spans="1:36" ht="15.75" x14ac:dyDescent="0.3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</row>
    <row r="384" spans="1:36" ht="15.75" x14ac:dyDescent="0.3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</row>
    <row r="385" spans="1:36" ht="15.75" x14ac:dyDescent="0.3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</row>
    <row r="386" spans="1:36" ht="15.75" x14ac:dyDescent="0.3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</row>
    <row r="387" spans="1:36" ht="15.75" x14ac:dyDescent="0.3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</row>
    <row r="388" spans="1:36" ht="15.75" x14ac:dyDescent="0.3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</row>
    <row r="389" spans="1:36" ht="15.75" x14ac:dyDescent="0.3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</row>
    <row r="390" spans="1:36" ht="15.75" x14ac:dyDescent="0.3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</row>
    <row r="391" spans="1:36" ht="15.75" x14ac:dyDescent="0.3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</row>
    <row r="392" spans="1:36" ht="15.75" x14ac:dyDescent="0.3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</row>
    <row r="393" spans="1:36" ht="15.75" x14ac:dyDescent="0.3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</row>
    <row r="394" spans="1:36" ht="15.75" x14ac:dyDescent="0.3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</row>
    <row r="395" spans="1:36" ht="15.75" x14ac:dyDescent="0.3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</row>
    <row r="396" spans="1:36" ht="15.75" x14ac:dyDescent="0.3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</row>
    <row r="397" spans="1:36" ht="15.75" x14ac:dyDescent="0.3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</row>
    <row r="398" spans="1:36" ht="15.75" x14ac:dyDescent="0.3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</row>
    <row r="399" spans="1:36" ht="15.75" x14ac:dyDescent="0.3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</row>
    <row r="400" spans="1:36" ht="15.75" x14ac:dyDescent="0.3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</row>
    <row r="401" spans="1:36" ht="15.75" x14ac:dyDescent="0.3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</row>
    <row r="402" spans="1:36" ht="15.75" x14ac:dyDescent="0.3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</row>
    <row r="403" spans="1:36" ht="15.75" x14ac:dyDescent="0.3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</row>
    <row r="404" spans="1:36" ht="15.75" x14ac:dyDescent="0.3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</row>
    <row r="405" spans="1:36" ht="15.75" x14ac:dyDescent="0.3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</row>
    <row r="406" spans="1:36" ht="15.75" x14ac:dyDescent="0.3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</row>
    <row r="407" spans="1:36" ht="15.75" x14ac:dyDescent="0.3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</row>
    <row r="408" spans="1:36" ht="15.75" x14ac:dyDescent="0.3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</row>
    <row r="409" spans="1:36" ht="15.75" x14ac:dyDescent="0.3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</row>
    <row r="410" spans="1:36" ht="15.75" x14ac:dyDescent="0.3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</row>
    <row r="411" spans="1:36" ht="15.75" x14ac:dyDescent="0.3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</row>
    <row r="412" spans="1:36" ht="15.75" x14ac:dyDescent="0.3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</row>
    <row r="413" spans="1:36" ht="15.75" x14ac:dyDescent="0.3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</row>
    <row r="414" spans="1:36" ht="15.75" x14ac:dyDescent="0.3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</row>
    <row r="415" spans="1:36" ht="15.75" x14ac:dyDescent="0.3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</row>
    <row r="416" spans="1:36" ht="15.75" x14ac:dyDescent="0.3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</row>
    <row r="417" spans="1:36" ht="15.75" x14ac:dyDescent="0.3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</row>
    <row r="418" spans="1:36" ht="15.75" x14ac:dyDescent="0.3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</row>
    <row r="419" spans="1:36" ht="15.75" x14ac:dyDescent="0.3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</row>
    <row r="420" spans="1:36" ht="15.75" x14ac:dyDescent="0.3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</row>
    <row r="421" spans="1:36" ht="15.75" x14ac:dyDescent="0.3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</row>
    <row r="422" spans="1:36" ht="15.75" x14ac:dyDescent="0.3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</row>
    <row r="423" spans="1:36" ht="15.75" x14ac:dyDescent="0.3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</row>
    <row r="424" spans="1:36" ht="15.75" x14ac:dyDescent="0.3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</row>
    <row r="425" spans="1:36" ht="15.75" x14ac:dyDescent="0.3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</row>
    <row r="426" spans="1:36" ht="15.75" x14ac:dyDescent="0.3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</row>
    <row r="427" spans="1:36" ht="15.75" x14ac:dyDescent="0.3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</row>
    <row r="428" spans="1:36" ht="15.75" x14ac:dyDescent="0.3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</row>
    <row r="429" spans="1:36" ht="15.75" x14ac:dyDescent="0.3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</row>
    <row r="430" spans="1:36" ht="15.75" x14ac:dyDescent="0.3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</row>
    <row r="431" spans="1:36" ht="15.75" x14ac:dyDescent="0.3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</row>
    <row r="432" spans="1:36" ht="15.75" x14ac:dyDescent="0.3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</row>
    <row r="433" spans="1:36" ht="15.75" x14ac:dyDescent="0.3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</row>
    <row r="434" spans="1:36" ht="15.75" x14ac:dyDescent="0.3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</row>
    <row r="435" spans="1:36" ht="15.75" x14ac:dyDescent="0.3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</row>
    <row r="436" spans="1:36" ht="15.75" x14ac:dyDescent="0.3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</row>
    <row r="437" spans="1:36" ht="15.75" x14ac:dyDescent="0.3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</row>
    <row r="438" spans="1:36" ht="15.75" x14ac:dyDescent="0.3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</row>
    <row r="439" spans="1:36" ht="15.75" x14ac:dyDescent="0.3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</row>
    <row r="440" spans="1:36" ht="15.75" x14ac:dyDescent="0.3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</row>
    <row r="441" spans="1:36" ht="15.75" x14ac:dyDescent="0.3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</row>
    <row r="442" spans="1:36" ht="15.75" x14ac:dyDescent="0.3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</row>
    <row r="443" spans="1:36" ht="15.75" x14ac:dyDescent="0.3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</row>
    <row r="444" spans="1:36" ht="15.75" x14ac:dyDescent="0.3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</row>
    <row r="445" spans="1:36" ht="15.75" x14ac:dyDescent="0.3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</row>
    <row r="446" spans="1:36" ht="15.75" x14ac:dyDescent="0.3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</row>
    <row r="447" spans="1:36" ht="15.75" x14ac:dyDescent="0.3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</row>
    <row r="448" spans="1:36" ht="15.75" x14ac:dyDescent="0.3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</row>
    <row r="449" spans="1:36" ht="15.75" x14ac:dyDescent="0.3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</row>
    <row r="450" spans="1:36" ht="15.75" x14ac:dyDescent="0.3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</row>
    <row r="451" spans="1:36" ht="15.75" x14ac:dyDescent="0.3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</row>
    <row r="452" spans="1:36" ht="15.75" x14ac:dyDescent="0.3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</row>
    <row r="453" spans="1:36" ht="15.75" x14ac:dyDescent="0.3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</row>
    <row r="454" spans="1:36" ht="15.75" x14ac:dyDescent="0.3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</row>
    <row r="455" spans="1:36" ht="15.75" x14ac:dyDescent="0.3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</row>
    <row r="456" spans="1:36" ht="15.75" x14ac:dyDescent="0.3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</row>
    <row r="457" spans="1:36" ht="15.75" x14ac:dyDescent="0.3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</row>
    <row r="458" spans="1:36" ht="15.75" x14ac:dyDescent="0.3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</row>
    <row r="459" spans="1:36" ht="15.75" x14ac:dyDescent="0.3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</row>
    <row r="460" spans="1:36" ht="15.75" x14ac:dyDescent="0.3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</row>
    <row r="461" spans="1:36" ht="15.75" x14ac:dyDescent="0.3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</row>
    <row r="462" spans="1:36" ht="15.75" x14ac:dyDescent="0.3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</row>
    <row r="463" spans="1:36" ht="15.75" x14ac:dyDescent="0.3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</row>
    <row r="464" spans="1:36" ht="15.75" x14ac:dyDescent="0.3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</row>
    <row r="465" spans="1:36" ht="15.75" x14ac:dyDescent="0.3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</row>
    <row r="466" spans="1:36" ht="15.75" x14ac:dyDescent="0.3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</row>
    <row r="467" spans="1:36" ht="15.75" x14ac:dyDescent="0.3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</row>
    <row r="468" spans="1:36" ht="15.75" x14ac:dyDescent="0.3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</row>
    <row r="469" spans="1:36" ht="15.75" x14ac:dyDescent="0.3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</row>
    <row r="470" spans="1:36" ht="15.75" x14ac:dyDescent="0.3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</row>
    <row r="471" spans="1:36" ht="15.75" x14ac:dyDescent="0.3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</row>
    <row r="472" spans="1:36" ht="15.75" x14ac:dyDescent="0.3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</row>
    <row r="473" spans="1:36" ht="15.75" x14ac:dyDescent="0.3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</row>
    <row r="474" spans="1:36" ht="15.75" x14ac:dyDescent="0.3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</row>
    <row r="475" spans="1:36" ht="15.75" x14ac:dyDescent="0.3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</row>
    <row r="476" spans="1:36" ht="15.75" x14ac:dyDescent="0.3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</row>
    <row r="477" spans="1:36" ht="15.75" x14ac:dyDescent="0.3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</row>
    <row r="478" spans="1:36" ht="15.75" x14ac:dyDescent="0.3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</row>
  </sheetData>
  <phoneticPr fontId="13" type="noConversion"/>
  <pageMargins left="0.75" right="0.75" top="1" bottom="1" header="0.5" footer="0.5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C7E8-415E-41E2-8C57-C2B5BB3BC55F}">
  <dimension ref="A2:L7"/>
  <sheetViews>
    <sheetView zoomScale="90" zoomScaleNormal="90" workbookViewId="0">
      <selection activeCell="C8" sqref="C8"/>
    </sheetView>
  </sheetViews>
  <sheetFormatPr defaultRowHeight="15.75" x14ac:dyDescent="0.4"/>
  <cols>
    <col min="7" max="7" width="9.75" customWidth="1"/>
    <col min="8" max="8" width="21.625" bestFit="1" customWidth="1"/>
    <col min="9" max="12" width="10.5" bestFit="1" customWidth="1"/>
  </cols>
  <sheetData>
    <row r="2" spans="1:12" x14ac:dyDescent="0.4">
      <c r="B2" s="84" t="s">
        <v>120</v>
      </c>
      <c r="C2" s="84" t="s">
        <v>121</v>
      </c>
      <c r="D2" s="84" t="s">
        <v>98</v>
      </c>
      <c r="E2" s="84" t="s">
        <v>99</v>
      </c>
      <c r="F2" s="84" t="s">
        <v>123</v>
      </c>
      <c r="G2" s="84"/>
      <c r="H2" s="83" t="s">
        <v>94</v>
      </c>
      <c r="I2" s="83"/>
      <c r="J2" s="83"/>
      <c r="K2" s="83"/>
      <c r="L2" s="83"/>
    </row>
    <row r="3" spans="1:12" ht="38.25" customHeight="1" x14ac:dyDescent="0.4">
      <c r="A3" s="84" t="s">
        <v>117</v>
      </c>
      <c r="B3">
        <v>0</v>
      </c>
      <c r="C3">
        <v>60</v>
      </c>
      <c r="D3">
        <v>0</v>
      </c>
      <c r="E3">
        <v>0</v>
      </c>
      <c r="F3">
        <f>SUM(B3:E3)</f>
        <v>60</v>
      </c>
      <c r="G3">
        <v>60</v>
      </c>
      <c r="H3" s="58" t="s">
        <v>95</v>
      </c>
      <c r="I3" s="27" t="s">
        <v>96</v>
      </c>
      <c r="J3" s="27" t="s">
        <v>97</v>
      </c>
      <c r="K3" s="27" t="s">
        <v>98</v>
      </c>
      <c r="L3" s="27" t="s">
        <v>99</v>
      </c>
    </row>
    <row r="4" spans="1:12" ht="21" customHeight="1" x14ac:dyDescent="0.4">
      <c r="A4" s="84" t="s">
        <v>118</v>
      </c>
      <c r="B4">
        <v>40</v>
      </c>
      <c r="C4">
        <v>0</v>
      </c>
      <c r="D4">
        <v>0</v>
      </c>
      <c r="E4">
        <v>40</v>
      </c>
      <c r="F4">
        <f>SUM(B4:E4)</f>
        <v>80</v>
      </c>
      <c r="G4">
        <v>80</v>
      </c>
      <c r="H4" s="27" t="s">
        <v>100</v>
      </c>
      <c r="I4" s="27">
        <v>800</v>
      </c>
      <c r="J4" s="27">
        <v>700</v>
      </c>
      <c r="K4" s="27">
        <v>500</v>
      </c>
      <c r="L4" s="27">
        <v>200</v>
      </c>
    </row>
    <row r="5" spans="1:12" ht="24.75" customHeight="1" x14ac:dyDescent="0.4">
      <c r="A5" s="84" t="s">
        <v>119</v>
      </c>
      <c r="B5">
        <v>0</v>
      </c>
      <c r="C5">
        <v>0</v>
      </c>
      <c r="D5">
        <v>0</v>
      </c>
      <c r="E5">
        <v>40</v>
      </c>
      <c r="F5">
        <f>SUM(B5:E5)</f>
        <v>40</v>
      </c>
      <c r="G5">
        <v>40</v>
      </c>
      <c r="H5" s="27" t="s">
        <v>101</v>
      </c>
      <c r="I5" s="27">
        <v>500</v>
      </c>
      <c r="J5" s="27">
        <v>200</v>
      </c>
      <c r="K5" s="27">
        <v>100</v>
      </c>
      <c r="L5" s="27">
        <v>300</v>
      </c>
    </row>
    <row r="6" spans="1:12" ht="30" customHeight="1" x14ac:dyDescent="0.4">
      <c r="A6" s="84" t="s">
        <v>122</v>
      </c>
      <c r="B6">
        <v>40</v>
      </c>
      <c r="C6">
        <v>60</v>
      </c>
      <c r="D6">
        <f>SUM(D3:D5)</f>
        <v>0</v>
      </c>
      <c r="E6">
        <f>SUM(E3:E5)</f>
        <v>80</v>
      </c>
      <c r="F6">
        <f>SUM(B6:E6)</f>
        <v>180</v>
      </c>
      <c r="G6">
        <f>SUM(G3:G5)</f>
        <v>180</v>
      </c>
      <c r="H6" s="27" t="s">
        <v>102</v>
      </c>
      <c r="I6" s="27">
        <v>600</v>
      </c>
      <c r="J6" s="27">
        <v>400</v>
      </c>
      <c r="K6" s="27">
        <v>300</v>
      </c>
      <c r="L6" s="27">
        <v>500</v>
      </c>
    </row>
    <row r="7" spans="1:12" x14ac:dyDescent="0.4">
      <c r="A7" s="84"/>
      <c r="B7">
        <f>SUM(B3:B5)</f>
        <v>40</v>
      </c>
      <c r="C7">
        <f>SUM(C3:C5)</f>
        <v>60</v>
      </c>
      <c r="E7" s="84" t="s">
        <v>124</v>
      </c>
      <c r="F7" s="84">
        <f>SUMPRODUCT(B3:E5,I4:L6)</f>
        <v>94000</v>
      </c>
    </row>
  </sheetData>
  <mergeCells count="1">
    <mergeCell ref="H2:L2"/>
  </mergeCells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第1题</vt:lpstr>
      <vt:lpstr>第2题</vt:lpstr>
      <vt:lpstr>第3题</vt:lpstr>
      <vt:lpstr>第4题</vt:lpstr>
      <vt:lpstr>第5题</vt:lpstr>
      <vt:lpstr>第6题</vt:lpstr>
      <vt:lpstr>第7题</vt:lpstr>
      <vt:lpstr>第8题</vt:lpstr>
      <vt:lpstr>第9题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zlqfujitsu</dc:creator>
  <cp:lastModifiedBy>a77111</cp:lastModifiedBy>
  <dcterms:created xsi:type="dcterms:W3CDTF">2012-09-14T05:52:01Z</dcterms:created>
  <dcterms:modified xsi:type="dcterms:W3CDTF">2026-06-22T03:53:33Z</dcterms:modified>
</cp:coreProperties>
</file>