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93CA3CCE-E7AD-4DAD-8353-8921130E2355}" xr6:coauthVersionLast="47" xr6:coauthVersionMax="47" xr10:uidLastSave="{00000000-0000-0000-0000-000000000000}"/>
  <bookViews>
    <workbookView xWindow="-98" yWindow="-98" windowWidth="21795" windowHeight="12975" tabRatio="692" activeTab="2" xr2:uid="{00000000-000D-0000-FFFF-FFFF00000000}"/>
  </bookViews>
  <sheets>
    <sheet name="第1题" sheetId="32" r:id="rId1"/>
    <sheet name="第2题" sheetId="23" r:id="rId2"/>
    <sheet name="第3题" sheetId="24" r:id="rId3"/>
    <sheet name="第4题 " sheetId="25" r:id="rId4"/>
    <sheet name="第5题" sheetId="26" r:id="rId5"/>
    <sheet name="第6题" sheetId="27" r:id="rId6"/>
    <sheet name="第7题" sheetId="28" r:id="rId7"/>
    <sheet name="第8题" sheetId="29" r:id="rId8"/>
    <sheet name="第9题" sheetId="31" r:id="rId9"/>
  </sheets>
  <definedNames>
    <definedName name="_xlnm._FilterDatabase" localSheetId="2" hidden="1">第3题!$A:$A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lhs1" localSheetId="7" hidden="1">第8题!$C$2:$D$4</definedName>
    <definedName name="solver_lhs2" localSheetId="7" hidden="1">第8题!$C$2:$D$4</definedName>
    <definedName name="solver_lhs3" localSheetId="7" hidden="1">第8题!$C$5:$D$5</definedName>
    <definedName name="solver_lhs4" localSheetId="7" hidden="1">第8题!$G$10:$G$12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pre" localSheetId="7" hidden="1">0.000001</definedName>
    <definedName name="solver_rbv" localSheetId="7" hidden="1">1</definedName>
    <definedName name="solver_rel1" localSheetId="7" hidden="1">4</definedName>
    <definedName name="solver_rel2" localSheetId="7" hidden="1">3</definedName>
    <definedName name="solver_rel3" localSheetId="7" hidden="1">2</definedName>
    <definedName name="solver_rel4" localSheetId="7" hidden="1">1</definedName>
    <definedName name="solver_rhs1" localSheetId="7" hidden="1">整数</definedName>
    <definedName name="solver_rhs2" localSheetId="7" hidden="1">0</definedName>
    <definedName name="solver_rhs3" localSheetId="7" hidden="1">第8题!$C$6:$D$6</definedName>
    <definedName name="solver_rhs4" localSheetId="7" hidden="1">8000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0</definedName>
    <definedName name="solver_ver" localSheetId="7" hidden="1">3</definedName>
    <definedName name="_xlnm.Extract" localSheetId="2">第3题!$H$3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6" l="1"/>
  <c r="G5" i="26"/>
  <c r="D3" i="26"/>
  <c r="D4" i="26"/>
  <c r="D5" i="26"/>
  <c r="D6" i="26"/>
  <c r="D7" i="26"/>
  <c r="D8" i="26"/>
  <c r="D9" i="26"/>
  <c r="D10" i="26"/>
  <c r="D11" i="26"/>
  <c r="D12" i="26"/>
  <c r="D13" i="26"/>
  <c r="D2" i="26"/>
  <c r="G3" i="26"/>
  <c r="G4" i="26"/>
  <c r="B18" i="26"/>
  <c r="B17" i="26"/>
  <c r="A15" i="26" a="1"/>
  <c r="A15" i="26" s="1"/>
  <c r="C3" i="26"/>
  <c r="C4" i="26"/>
  <c r="C5" i="26"/>
  <c r="C6" i="26"/>
  <c r="C7" i="26"/>
  <c r="C8" i="26"/>
  <c r="C9" i="26"/>
  <c r="C10" i="26"/>
  <c r="C11" i="26"/>
  <c r="C12" i="26"/>
  <c r="C13" i="26"/>
  <c r="C2" i="26"/>
  <c r="B4" i="25"/>
  <c r="G3" i="25"/>
  <c r="G4" i="25"/>
  <c r="G5" i="25"/>
  <c r="G6" i="25"/>
  <c r="G7" i="25"/>
  <c r="G8" i="25"/>
  <c r="G9" i="25"/>
  <c r="G10" i="25"/>
  <c r="G11" i="25"/>
  <c r="G12" i="25"/>
  <c r="G2" i="25"/>
  <c r="B15" i="26" l="1"/>
  <c r="B2" i="25"/>
  <c r="C7" i="25" s="1"/>
  <c r="C10" i="27" l="1"/>
  <c r="C8" i="27"/>
  <c r="C9" i="27"/>
  <c r="M47" i="24"/>
  <c r="J54" i="24" s="1"/>
  <c r="I47" i="24" a="1"/>
  <c r="I47" i="24" s="1"/>
  <c r="M46" i="24" s="1"/>
  <c r="J53" i="24" s="1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2" i="24"/>
  <c r="M45" i="24" l="1"/>
  <c r="J52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<sst xmlns="http://schemas.openxmlformats.org/spreadsheetml/2006/main" count="1551" uniqueCount="512">
  <si>
    <t>第</t>
  </si>
  <si>
    <t>学院</t>
  </si>
  <si>
    <t>学号</t>
  </si>
  <si>
    <t>姓名</t>
  </si>
  <si>
    <t>班级</t>
  </si>
  <si>
    <t>成绩</t>
  </si>
  <si>
    <t>政治面貌</t>
  </si>
  <si>
    <t>金融学院</t>
  </si>
  <si>
    <t>佐忻尔</t>
  </si>
  <si>
    <r>
      <rPr>
        <sz val="12"/>
        <rFont val="宋体"/>
        <family val="3"/>
        <charset val="134"/>
      </rPr>
      <t>金融</t>
    </r>
    <r>
      <rPr>
        <sz val="12"/>
        <rFont val="Arial"/>
        <family val="2"/>
      </rPr>
      <t>1</t>
    </r>
    <r>
      <rPr>
        <sz val="12"/>
        <rFont val="宋体"/>
        <family val="3"/>
        <charset val="134"/>
      </rPr>
      <t>班</t>
    </r>
  </si>
  <si>
    <t>非中共党员</t>
  </si>
  <si>
    <r>
      <rPr>
        <sz val="12"/>
        <rFont val="宋体"/>
        <family val="3"/>
        <charset val="134"/>
      </rPr>
      <t>刘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润</t>
    </r>
  </si>
  <si>
    <t>本科生成绩考核与绩点对照表</t>
  </si>
  <si>
    <t>汪玉婷</t>
  </si>
  <si>
    <t>成绩（百分制）</t>
  </si>
  <si>
    <t>成绩等级</t>
  </si>
  <si>
    <t>绩点</t>
  </si>
  <si>
    <t>施晓琳</t>
  </si>
  <si>
    <t>90~100</t>
  </si>
  <si>
    <t>A</t>
  </si>
  <si>
    <t>谢玉倩</t>
  </si>
  <si>
    <t>85~89</t>
  </si>
  <si>
    <t>A-</t>
  </si>
  <si>
    <r>
      <rPr>
        <sz val="12"/>
        <rFont val="宋体"/>
        <family val="3"/>
        <charset val="134"/>
      </rPr>
      <t>于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洋</t>
    </r>
  </si>
  <si>
    <t>82~84</t>
  </si>
  <si>
    <t>B+</t>
  </si>
  <si>
    <r>
      <rPr>
        <sz val="12"/>
        <rFont val="宋体"/>
        <family val="3"/>
        <charset val="134"/>
      </rPr>
      <t>吴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雁</t>
    </r>
  </si>
  <si>
    <t>78~81</t>
  </si>
  <si>
    <t>B</t>
  </si>
  <si>
    <t>颜蓓蓓</t>
  </si>
  <si>
    <t>75~77</t>
  </si>
  <si>
    <t>B-</t>
  </si>
  <si>
    <t>杜云芳</t>
  </si>
  <si>
    <t>72~74</t>
  </si>
  <si>
    <t>C+</t>
  </si>
  <si>
    <t>吴红梅</t>
  </si>
  <si>
    <t>68~71</t>
  </si>
  <si>
    <t>C</t>
  </si>
  <si>
    <t>吴瑞坚</t>
  </si>
  <si>
    <t>64~67</t>
  </si>
  <si>
    <t>C-</t>
  </si>
  <si>
    <r>
      <rPr>
        <sz val="12"/>
        <rFont val="宋体"/>
        <family val="3"/>
        <charset val="134"/>
      </rPr>
      <t>田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瑶</t>
    </r>
  </si>
  <si>
    <t>60~63</t>
  </si>
  <si>
    <t>D</t>
  </si>
  <si>
    <t>齐玉燕</t>
  </si>
  <si>
    <t>&lt;60</t>
  </si>
  <si>
    <t>F</t>
  </si>
  <si>
    <t>高梦竹</t>
  </si>
  <si>
    <t>解长芳</t>
  </si>
  <si>
    <r>
      <rPr>
        <sz val="12"/>
        <rFont val="宋体"/>
        <family val="3"/>
        <charset val="134"/>
      </rPr>
      <t>陆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斌</t>
    </r>
  </si>
  <si>
    <t>唐怿开</t>
  </si>
  <si>
    <t>蒋文俊</t>
  </si>
  <si>
    <r>
      <rPr>
        <sz val="12"/>
        <rFont val="宋体"/>
        <family val="3"/>
        <charset val="134"/>
      </rPr>
      <t>严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强</t>
    </r>
  </si>
  <si>
    <t>中共党员</t>
  </si>
  <si>
    <r>
      <rPr>
        <sz val="12"/>
        <rFont val="宋体"/>
        <family val="3"/>
        <charset val="134"/>
      </rPr>
      <t>杨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毅</t>
    </r>
  </si>
  <si>
    <t>路文杰</t>
  </si>
  <si>
    <t>高永翔</t>
  </si>
  <si>
    <t>戚继骏</t>
  </si>
  <si>
    <t>钱一闻</t>
  </si>
  <si>
    <r>
      <rPr>
        <sz val="12"/>
        <rFont val="宋体"/>
        <family val="3"/>
        <charset val="134"/>
      </rPr>
      <t>董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凯</t>
    </r>
  </si>
  <si>
    <t>石晓刚</t>
  </si>
  <si>
    <r>
      <rPr>
        <sz val="12"/>
        <rFont val="宋体"/>
        <family val="3"/>
        <charset val="134"/>
      </rPr>
      <t>钢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根</t>
    </r>
  </si>
  <si>
    <t>谢照杰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</si>
  <si>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瑛</t>
    </r>
  </si>
  <si>
    <r>
      <rPr>
        <sz val="12"/>
        <rFont val="宋体"/>
        <family val="3"/>
        <charset val="134"/>
      </rPr>
      <t>吴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珂</t>
    </r>
  </si>
  <si>
    <r>
      <rPr>
        <sz val="12"/>
        <rFont val="宋体"/>
        <family val="3"/>
        <charset val="134"/>
      </rPr>
      <t>金融</t>
    </r>
    <r>
      <rPr>
        <sz val="12"/>
        <rFont val="Arial"/>
        <family val="2"/>
      </rPr>
      <t>2</t>
    </r>
    <r>
      <rPr>
        <sz val="12"/>
        <rFont val="宋体"/>
        <family val="3"/>
        <charset val="134"/>
      </rPr>
      <t>班</t>
    </r>
  </si>
  <si>
    <t>冯亚瑾</t>
  </si>
  <si>
    <r>
      <rPr>
        <sz val="12"/>
        <rFont val="宋体"/>
        <family val="3"/>
        <charset val="134"/>
      </rPr>
      <t>杨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静</t>
    </r>
  </si>
  <si>
    <t>周佳丽</t>
  </si>
  <si>
    <t>严迪鲁</t>
  </si>
  <si>
    <t>刘蓓莎</t>
  </si>
  <si>
    <t>卢文雯</t>
  </si>
  <si>
    <t>潘洁琼</t>
  </si>
  <si>
    <t>严彐花</t>
  </si>
  <si>
    <t>侯丽丽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</si>
  <si>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艳</t>
    </r>
  </si>
  <si>
    <t>李秀雯</t>
  </si>
  <si>
    <t>杨灵慧</t>
  </si>
  <si>
    <t>杨晓忺</t>
  </si>
  <si>
    <t>郑航航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</si>
  <si>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靖</t>
    </r>
  </si>
  <si>
    <t>孙怡雯</t>
  </si>
  <si>
    <t>张官幸子</t>
  </si>
  <si>
    <t>郑如余</t>
  </si>
  <si>
    <t>李元纾</t>
  </si>
  <si>
    <r>
      <rPr>
        <sz val="12"/>
        <rFont val="宋体"/>
        <family val="3"/>
        <charset val="134"/>
      </rPr>
      <t>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橤</t>
    </r>
  </si>
  <si>
    <t>夏多全</t>
  </si>
  <si>
    <t>王钇彭</t>
  </si>
  <si>
    <t>张圣骅</t>
  </si>
  <si>
    <t>张思悦</t>
  </si>
  <si>
    <r>
      <rPr>
        <sz val="12"/>
        <rFont val="宋体"/>
        <family val="3"/>
        <charset val="134"/>
      </rPr>
      <t>石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磊</t>
    </r>
  </si>
  <si>
    <r>
      <rPr>
        <sz val="12"/>
        <rFont val="宋体"/>
        <family val="3"/>
        <charset val="134"/>
      </rPr>
      <t>陈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佳俊</t>
    </r>
  </si>
  <si>
    <r>
      <rPr>
        <sz val="12"/>
        <rFont val="宋体"/>
        <family val="3"/>
        <charset val="134"/>
      </rPr>
      <t>李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刚</t>
    </r>
  </si>
  <si>
    <t>朱宸杰</t>
  </si>
  <si>
    <t>周垚遙</t>
  </si>
  <si>
    <t>周天江</t>
  </si>
  <si>
    <r>
      <rPr>
        <sz val="12"/>
        <rFont val="宋体"/>
        <family val="3"/>
        <charset val="134"/>
      </rPr>
      <t>许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凡</t>
    </r>
  </si>
  <si>
    <t>王欣伟</t>
  </si>
  <si>
    <t>程美红</t>
  </si>
  <si>
    <t>金融</t>
  </si>
  <si>
    <r>
      <rPr>
        <sz val="12"/>
        <rFont val="宋体"/>
        <family val="3"/>
        <charset val="134"/>
      </rPr>
      <t>李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微</t>
    </r>
  </si>
  <si>
    <t>何青青</t>
  </si>
  <si>
    <t>陈钟秀</t>
  </si>
  <si>
    <t>石晓蕾</t>
  </si>
  <si>
    <r>
      <rPr>
        <sz val="12"/>
        <rFont val="宋体"/>
        <family val="3"/>
        <charset val="134"/>
      </rPr>
      <t>文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晶</t>
    </r>
  </si>
  <si>
    <t>马闻雯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</si>
  <si>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颖</t>
    </r>
  </si>
  <si>
    <t>周春花</t>
  </si>
  <si>
    <t>刘梅蓉</t>
  </si>
  <si>
    <t>蒋立学</t>
  </si>
  <si>
    <t>季晓霞</t>
  </si>
  <si>
    <t>李菊红</t>
  </si>
  <si>
    <t>康霖丽</t>
  </si>
  <si>
    <t>高郡璐</t>
  </si>
  <si>
    <r>
      <rPr>
        <sz val="12"/>
        <rFont val="宋体"/>
        <family val="3"/>
        <charset val="134"/>
      </rPr>
      <t>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虹</t>
    </r>
  </si>
  <si>
    <t>吉瑞琦</t>
  </si>
  <si>
    <t>刘思阳</t>
  </si>
  <si>
    <t>江珂毅</t>
  </si>
  <si>
    <t>李家俊</t>
  </si>
  <si>
    <t>梁庆元</t>
  </si>
  <si>
    <r>
      <rPr>
        <sz val="12"/>
        <rFont val="宋体"/>
        <family val="3"/>
        <charset val="134"/>
      </rPr>
      <t>沈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铨</t>
    </r>
  </si>
  <si>
    <t>曹德强</t>
  </si>
  <si>
    <t>钱佳弘</t>
  </si>
  <si>
    <t>王鹏程</t>
  </si>
  <si>
    <t>朱明杰</t>
  </si>
  <si>
    <t>陈龙廷</t>
  </si>
  <si>
    <t>王丹英</t>
  </si>
  <si>
    <t>邬源凤</t>
  </si>
  <si>
    <t>干佳宁</t>
  </si>
  <si>
    <t>刘冰洁</t>
  </si>
  <si>
    <t>钟敏慧</t>
  </si>
  <si>
    <r>
      <rPr>
        <sz val="12"/>
        <rFont val="宋体"/>
        <family val="3"/>
        <charset val="134"/>
      </rPr>
      <t>梁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迟</t>
    </r>
  </si>
  <si>
    <t>周伟英</t>
  </si>
  <si>
    <t>栾梦秋</t>
  </si>
  <si>
    <t>郑剑平</t>
  </si>
  <si>
    <r>
      <rPr>
        <sz val="12"/>
        <rFont val="宋体"/>
        <family val="3"/>
        <charset val="134"/>
      </rPr>
      <t>梁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玮</t>
    </r>
  </si>
  <si>
    <t>李超英</t>
  </si>
  <si>
    <t>汤丽莉</t>
  </si>
  <si>
    <t>王鑫珍</t>
  </si>
  <si>
    <t>陆海莉</t>
  </si>
  <si>
    <t>徐丹旎</t>
  </si>
  <si>
    <t>杨佳俊</t>
  </si>
  <si>
    <t>石佳祺</t>
  </si>
  <si>
    <t>沈文佳</t>
  </si>
  <si>
    <r>
      <rPr>
        <sz val="12"/>
        <rFont val="宋体"/>
        <family val="3"/>
        <charset val="134"/>
      </rPr>
      <t>陶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晶</t>
    </r>
  </si>
  <si>
    <t>蒋挥乾</t>
  </si>
  <si>
    <t>张承颢</t>
  </si>
  <si>
    <t>李陈君</t>
  </si>
  <si>
    <t>曹之敏</t>
  </si>
  <si>
    <t>顾琛玮</t>
  </si>
  <si>
    <t>庄悦妮</t>
  </si>
  <si>
    <t>蒋韡莲</t>
  </si>
  <si>
    <t>信息学院</t>
  </si>
  <si>
    <r>
      <rPr>
        <sz val="12"/>
        <rFont val="宋体"/>
        <family val="3"/>
        <charset val="134"/>
      </rPr>
      <t>何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玲</t>
    </r>
  </si>
  <si>
    <r>
      <rPr>
        <sz val="12"/>
        <rFont val="宋体"/>
        <family val="3"/>
        <charset val="134"/>
      </rPr>
      <t>信息</t>
    </r>
    <r>
      <rPr>
        <sz val="12"/>
        <rFont val="Arial"/>
        <family val="2"/>
      </rPr>
      <t>1</t>
    </r>
    <r>
      <rPr>
        <sz val="12"/>
        <rFont val="宋体"/>
        <family val="3"/>
        <charset val="134"/>
      </rPr>
      <t>班</t>
    </r>
  </si>
  <si>
    <t>陈晓菲</t>
  </si>
  <si>
    <r>
      <rPr>
        <sz val="12"/>
        <rFont val="宋体"/>
        <family val="3"/>
        <charset val="134"/>
      </rPr>
      <t>陆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婷</t>
    </r>
  </si>
  <si>
    <t>孟丽玲</t>
  </si>
  <si>
    <r>
      <rPr>
        <sz val="12"/>
        <rFont val="宋体"/>
        <family val="3"/>
        <charset val="134"/>
      </rPr>
      <t>赵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阳</t>
    </r>
  </si>
  <si>
    <t>陶凌云</t>
  </si>
  <si>
    <r>
      <rPr>
        <sz val="12"/>
        <rFont val="宋体"/>
        <family val="3"/>
        <charset val="134"/>
      </rPr>
      <t>沈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倩</t>
    </r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</si>
  <si>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瑾</t>
    </r>
  </si>
  <si>
    <r>
      <rPr>
        <sz val="12"/>
        <rFont val="宋体"/>
        <family val="3"/>
        <charset val="134"/>
      </rPr>
      <t>徐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艳</t>
    </r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</si>
  <si>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靓</t>
    </r>
  </si>
  <si>
    <t>陈静君</t>
  </si>
  <si>
    <t>沈晓晓</t>
  </si>
  <si>
    <r>
      <rPr>
        <sz val="12"/>
        <rFont val="宋体"/>
        <family val="3"/>
        <charset val="134"/>
      </rPr>
      <t>徐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晶</t>
    </r>
  </si>
  <si>
    <t>李梦媛</t>
  </si>
  <si>
    <t>徐晓婷</t>
  </si>
  <si>
    <t>富杰菁</t>
  </si>
  <si>
    <t>瞿晓雯</t>
  </si>
  <si>
    <r>
      <rPr>
        <sz val="12"/>
        <rFont val="宋体"/>
        <family val="3"/>
        <charset val="134"/>
      </rPr>
      <t>俞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越</t>
    </r>
  </si>
  <si>
    <t>王雯培</t>
  </si>
  <si>
    <t>宋倩芸</t>
  </si>
  <si>
    <t>管文静</t>
  </si>
  <si>
    <r>
      <rPr>
        <sz val="12"/>
        <rFont val="宋体"/>
        <family val="3"/>
        <charset val="134"/>
      </rPr>
      <t>方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丽</t>
    </r>
  </si>
  <si>
    <t>王丽娜</t>
  </si>
  <si>
    <t>赵佳佳</t>
  </si>
  <si>
    <r>
      <rPr>
        <sz val="12"/>
        <rFont val="宋体"/>
        <family val="3"/>
        <charset val="134"/>
      </rPr>
      <t>甘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露</t>
    </r>
  </si>
  <si>
    <t>李梦婷</t>
  </si>
  <si>
    <t>殷姣姣</t>
  </si>
  <si>
    <r>
      <rPr>
        <sz val="12"/>
        <rFont val="宋体"/>
        <family val="3"/>
        <charset val="134"/>
      </rPr>
      <t>周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欢</t>
    </r>
  </si>
  <si>
    <t>钱文婷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</si>
  <si>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怡</t>
    </r>
  </si>
  <si>
    <t>房嘉婕</t>
  </si>
  <si>
    <t>宋飞飞</t>
  </si>
  <si>
    <r>
      <rPr>
        <sz val="12"/>
        <rFont val="宋体"/>
        <family val="3"/>
        <charset val="134"/>
      </rPr>
      <t>钱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卉</t>
    </r>
  </si>
  <si>
    <r>
      <rPr>
        <sz val="12"/>
        <rFont val="宋体"/>
        <family val="3"/>
        <charset val="134"/>
      </rPr>
      <t>李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峻</t>
    </r>
  </si>
  <si>
    <t>王若舟</t>
  </si>
  <si>
    <t>蒋俊杰</t>
  </si>
  <si>
    <t>蒋诚忱</t>
  </si>
  <si>
    <t>陈笑笑</t>
  </si>
  <si>
    <t>马佾麟</t>
  </si>
  <si>
    <t>江煜晨</t>
  </si>
  <si>
    <t>张辞海</t>
  </si>
  <si>
    <t>李晓杰</t>
  </si>
  <si>
    <t>张恒升</t>
  </si>
  <si>
    <t>汪徐亚</t>
  </si>
  <si>
    <r>
      <rPr>
        <sz val="12"/>
        <rFont val="宋体"/>
        <family val="3"/>
        <charset val="134"/>
      </rPr>
      <t>蔡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威</t>
    </r>
  </si>
  <si>
    <r>
      <rPr>
        <sz val="12"/>
        <rFont val="宋体"/>
        <family val="3"/>
        <charset val="134"/>
      </rPr>
      <t>赵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杰</t>
    </r>
  </si>
  <si>
    <t>张小玲</t>
  </si>
  <si>
    <r>
      <rPr>
        <sz val="12"/>
        <rFont val="宋体"/>
        <family val="3"/>
        <charset val="134"/>
      </rPr>
      <t>信息</t>
    </r>
    <r>
      <rPr>
        <sz val="12"/>
        <rFont val="Arial"/>
        <family val="2"/>
      </rPr>
      <t>2</t>
    </r>
    <r>
      <rPr>
        <sz val="12"/>
        <rFont val="宋体"/>
        <family val="3"/>
        <charset val="134"/>
      </rPr>
      <t>班</t>
    </r>
  </si>
  <si>
    <t>吴凤丽</t>
  </si>
  <si>
    <t>俞佳诺</t>
  </si>
  <si>
    <r>
      <rPr>
        <sz val="12"/>
        <rFont val="宋体"/>
        <family val="3"/>
        <charset val="134"/>
      </rPr>
      <t>杜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宇</t>
    </r>
  </si>
  <si>
    <t>钱艳婷</t>
  </si>
  <si>
    <r>
      <rPr>
        <sz val="12"/>
        <rFont val="宋体"/>
        <family val="3"/>
        <charset val="134"/>
      </rPr>
      <t>陈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瑶</t>
    </r>
  </si>
  <si>
    <t>顾佳严</t>
  </si>
  <si>
    <t>赵倩南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</si>
  <si>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岚</t>
    </r>
  </si>
  <si>
    <r>
      <rPr>
        <sz val="12"/>
        <rFont val="宋体"/>
        <family val="3"/>
        <charset val="134"/>
      </rPr>
      <t>周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洁</t>
    </r>
  </si>
  <si>
    <t>张钟妤</t>
  </si>
  <si>
    <r>
      <rPr>
        <sz val="12"/>
        <rFont val="宋体"/>
        <family val="3"/>
        <charset val="134"/>
      </rPr>
      <t>陈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燕</t>
    </r>
  </si>
  <si>
    <t>谢君慧</t>
  </si>
  <si>
    <t>袁薇薇</t>
  </si>
  <si>
    <t>徐佳琪</t>
  </si>
  <si>
    <t>陈雯婷</t>
  </si>
  <si>
    <r>
      <rPr>
        <sz val="12"/>
        <rFont val="宋体"/>
        <family val="3"/>
        <charset val="134"/>
      </rPr>
      <t>王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莉</t>
    </r>
  </si>
  <si>
    <r>
      <rPr>
        <sz val="12"/>
        <rFont val="宋体"/>
        <family val="3"/>
        <charset val="134"/>
      </rPr>
      <t>曾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欣</t>
    </r>
  </si>
  <si>
    <t>杨松鹤</t>
  </si>
  <si>
    <t>张慧鸿</t>
  </si>
  <si>
    <t>韩静雯</t>
  </si>
  <si>
    <t>万舒燕</t>
  </si>
  <si>
    <r>
      <rPr>
        <sz val="12"/>
        <rFont val="宋体"/>
        <family val="3"/>
        <charset val="134"/>
      </rPr>
      <t>孙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倩</t>
    </r>
  </si>
  <si>
    <t>罗香兰</t>
  </si>
  <si>
    <r>
      <rPr>
        <sz val="12"/>
        <rFont val="宋体"/>
        <family val="3"/>
        <charset val="134"/>
      </rPr>
      <t>邵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叶</t>
    </r>
  </si>
  <si>
    <t>廖志梅</t>
  </si>
  <si>
    <t>张胜楠</t>
  </si>
  <si>
    <t>孟慧颖</t>
  </si>
  <si>
    <t>于长霞</t>
  </si>
  <si>
    <t>金梦梦</t>
  </si>
  <si>
    <t>李丽娟</t>
  </si>
  <si>
    <t>李佳楠</t>
  </si>
  <si>
    <t>李苏明</t>
  </si>
  <si>
    <r>
      <rPr>
        <sz val="12"/>
        <rFont val="宋体"/>
        <family val="3"/>
        <charset val="134"/>
      </rPr>
      <t>顾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强</t>
    </r>
  </si>
  <si>
    <t>张臣烨</t>
  </si>
  <si>
    <t>钱伟力</t>
  </si>
  <si>
    <t>高冬钱</t>
  </si>
  <si>
    <r>
      <rPr>
        <sz val="12"/>
        <rFont val="宋体"/>
        <family val="3"/>
        <charset val="134"/>
      </rPr>
      <t>韦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柏</t>
    </r>
  </si>
  <si>
    <t>郭海荣</t>
  </si>
  <si>
    <t>王力成</t>
  </si>
  <si>
    <t>许双双</t>
  </si>
  <si>
    <t>郁立君</t>
  </si>
  <si>
    <t>汤志华</t>
  </si>
  <si>
    <r>
      <rPr>
        <sz val="12"/>
        <rFont val="宋体"/>
        <family val="3"/>
        <charset val="134"/>
      </rPr>
      <t>林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彬</t>
    </r>
  </si>
  <si>
    <t>王平先</t>
  </si>
  <si>
    <r>
      <rPr>
        <sz val="12"/>
        <rFont val="宋体"/>
        <family val="3"/>
        <charset val="134"/>
      </rPr>
      <t>刘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澍</t>
    </r>
  </si>
  <si>
    <t>汤燕珠</t>
  </si>
  <si>
    <r>
      <rPr>
        <sz val="12"/>
        <rFont val="宋体"/>
        <family val="3"/>
        <charset val="134"/>
      </rPr>
      <t>信息</t>
    </r>
    <r>
      <rPr>
        <sz val="12"/>
        <rFont val="Arial"/>
        <family val="2"/>
      </rPr>
      <t>3</t>
    </r>
    <r>
      <rPr>
        <sz val="12"/>
        <rFont val="宋体"/>
        <family val="3"/>
        <charset val="134"/>
      </rPr>
      <t>班</t>
    </r>
  </si>
  <si>
    <t>杨小媚</t>
  </si>
  <si>
    <r>
      <rPr>
        <sz val="12"/>
        <rFont val="宋体"/>
        <family val="3"/>
        <charset val="134"/>
      </rPr>
      <t>施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欢</t>
    </r>
  </si>
  <si>
    <r>
      <rPr>
        <sz val="12"/>
        <rFont val="宋体"/>
        <family val="3"/>
        <charset val="134"/>
      </rPr>
      <t>俞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琼</t>
    </r>
  </si>
  <si>
    <t>马琳峰</t>
  </si>
  <si>
    <t>李铭倩</t>
  </si>
  <si>
    <r>
      <rPr>
        <sz val="12"/>
        <rFont val="宋体"/>
        <family val="3"/>
        <charset val="134"/>
      </rPr>
      <t>周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成</t>
    </r>
  </si>
  <si>
    <t>林颖颖</t>
  </si>
  <si>
    <r>
      <rPr>
        <sz val="12"/>
        <rFont val="宋体"/>
        <family val="3"/>
        <charset val="134"/>
      </rPr>
      <t>倪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佳</t>
    </r>
  </si>
  <si>
    <t>马晓青</t>
  </si>
  <si>
    <t>周冰倩</t>
  </si>
  <si>
    <t>谢霏雯</t>
  </si>
  <si>
    <t>徐慧杰</t>
  </si>
  <si>
    <r>
      <rPr>
        <sz val="12"/>
        <rFont val="宋体"/>
        <family val="3"/>
        <charset val="134"/>
      </rPr>
      <t>江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雯</t>
    </r>
  </si>
  <si>
    <r>
      <rPr>
        <sz val="12"/>
        <rFont val="宋体"/>
        <family val="3"/>
        <charset val="134"/>
      </rPr>
      <t>黄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霜</t>
    </r>
  </si>
  <si>
    <t>杨春婷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</si>
  <si>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婷</t>
    </r>
  </si>
  <si>
    <r>
      <rPr>
        <sz val="12"/>
        <rFont val="宋体"/>
        <family val="3"/>
        <charset val="134"/>
      </rPr>
      <t>沈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雯</t>
    </r>
  </si>
  <si>
    <t>盛思诗</t>
  </si>
  <si>
    <t>陆美花</t>
  </si>
  <si>
    <r>
      <rPr>
        <sz val="12"/>
        <rFont val="宋体"/>
        <family val="3"/>
        <charset val="134"/>
      </rPr>
      <t>封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帆</t>
    </r>
  </si>
  <si>
    <t>朱萍萍</t>
  </si>
  <si>
    <r>
      <rPr>
        <sz val="12"/>
        <rFont val="宋体"/>
        <family val="3"/>
        <charset val="134"/>
      </rPr>
      <t>何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苗</t>
    </r>
  </si>
  <si>
    <t>石红花</t>
  </si>
  <si>
    <t>吴淑敏</t>
  </si>
  <si>
    <r>
      <rPr>
        <sz val="12"/>
        <rFont val="宋体"/>
        <family val="3"/>
        <charset val="134"/>
      </rPr>
      <t>孙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芳</t>
    </r>
  </si>
  <si>
    <t>陈秋宇</t>
  </si>
  <si>
    <t>杨慧玲</t>
  </si>
  <si>
    <r>
      <rPr>
        <sz val="12"/>
        <rFont val="宋体"/>
        <family val="3"/>
        <charset val="134"/>
      </rPr>
      <t>柳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欢</t>
    </r>
  </si>
  <si>
    <t>严露瑶</t>
  </si>
  <si>
    <t>杨沛瑶</t>
  </si>
  <si>
    <t>张宗一</t>
  </si>
  <si>
    <t>施春阳</t>
  </si>
  <si>
    <r>
      <rPr>
        <sz val="12"/>
        <rFont val="宋体"/>
        <family val="3"/>
        <charset val="134"/>
      </rPr>
      <t>王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炜</t>
    </r>
  </si>
  <si>
    <t>姚亚庆</t>
  </si>
  <si>
    <t>陈凌清</t>
  </si>
  <si>
    <t>封建永</t>
  </si>
  <si>
    <t>王嘉乐</t>
  </si>
  <si>
    <t>唐英杰</t>
  </si>
  <si>
    <t>毛佳俊</t>
  </si>
  <si>
    <r>
      <rPr>
        <sz val="12"/>
        <rFont val="宋体"/>
        <family val="3"/>
        <charset val="134"/>
      </rPr>
      <t>王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伟</t>
    </r>
  </si>
  <si>
    <t>程孝钰</t>
  </si>
  <si>
    <t>蒋国安</t>
  </si>
  <si>
    <t>郑仁波</t>
  </si>
  <si>
    <r>
      <rPr>
        <sz val="12"/>
        <rFont val="宋体"/>
        <family val="3"/>
        <charset val="134"/>
      </rPr>
      <t>李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燕</t>
    </r>
  </si>
  <si>
    <r>
      <rPr>
        <sz val="12"/>
        <rFont val="宋体"/>
        <family val="3"/>
        <charset val="134"/>
      </rPr>
      <t>吴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彬</t>
    </r>
  </si>
  <si>
    <t>会计学院</t>
  </si>
  <si>
    <t>朱灵峰</t>
  </si>
  <si>
    <r>
      <rPr>
        <sz val="12"/>
        <rFont val="宋体"/>
        <family val="3"/>
        <charset val="134"/>
      </rPr>
      <t>会计</t>
    </r>
    <r>
      <rPr>
        <sz val="12"/>
        <rFont val="Arial"/>
        <family val="2"/>
      </rPr>
      <t>1</t>
    </r>
    <r>
      <rPr>
        <sz val="12"/>
        <rFont val="宋体"/>
        <family val="3"/>
        <charset val="134"/>
      </rPr>
      <t>班</t>
    </r>
  </si>
  <si>
    <r>
      <rPr>
        <sz val="12"/>
        <rFont val="宋体"/>
        <family val="3"/>
        <charset val="134"/>
      </rPr>
      <t>祝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健</t>
    </r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</si>
  <si>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青</t>
    </r>
  </si>
  <si>
    <t>颜晓平</t>
  </si>
  <si>
    <t>乔欧伟</t>
  </si>
  <si>
    <r>
      <rPr>
        <sz val="12"/>
        <rFont val="宋体"/>
        <family val="3"/>
        <charset val="134"/>
      </rPr>
      <t>王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波</t>
    </r>
  </si>
  <si>
    <t>魏家峰</t>
  </si>
  <si>
    <t>毛春民</t>
  </si>
  <si>
    <t>徐国帅</t>
  </si>
  <si>
    <t>姚建冬</t>
  </si>
  <si>
    <t>徐义敏</t>
  </si>
  <si>
    <t>路亚栋</t>
  </si>
  <si>
    <t>葛文超</t>
  </si>
  <si>
    <r>
      <rPr>
        <sz val="12"/>
        <rFont val="宋体"/>
        <family val="3"/>
        <charset val="134"/>
      </rPr>
      <t>林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峰</t>
    </r>
  </si>
  <si>
    <r>
      <rPr>
        <sz val="12"/>
        <rFont val="宋体"/>
        <family val="3"/>
        <charset val="134"/>
      </rPr>
      <t>徐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凯</t>
    </r>
  </si>
  <si>
    <r>
      <rPr>
        <sz val="12"/>
        <rFont val="宋体"/>
        <family val="3"/>
        <charset val="134"/>
      </rPr>
      <t>朱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超</t>
    </r>
  </si>
  <si>
    <t>康旭东</t>
  </si>
  <si>
    <r>
      <rPr>
        <sz val="12"/>
        <rFont val="宋体"/>
        <family val="3"/>
        <charset val="134"/>
      </rPr>
      <t>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煜</t>
    </r>
  </si>
  <si>
    <t>张中伦</t>
  </si>
  <si>
    <t>苏振文</t>
  </si>
  <si>
    <t>尹金鸣</t>
  </si>
  <si>
    <t>苟修文</t>
  </si>
  <si>
    <t>孙潘丹</t>
  </si>
  <si>
    <t>宣曹燕</t>
  </si>
  <si>
    <t>季丽娟</t>
  </si>
  <si>
    <t>张丹青</t>
  </si>
  <si>
    <r>
      <rPr>
        <sz val="12"/>
        <rFont val="宋体"/>
        <family val="3"/>
        <charset val="134"/>
      </rPr>
      <t>王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贞</t>
    </r>
  </si>
  <si>
    <r>
      <rPr>
        <sz val="12"/>
        <rFont val="宋体"/>
        <family val="3"/>
        <charset val="134"/>
      </rPr>
      <t>洪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韵</t>
    </r>
  </si>
  <si>
    <t>潘思敏</t>
  </si>
  <si>
    <r>
      <rPr>
        <sz val="12"/>
        <rFont val="宋体"/>
        <family val="3"/>
        <charset val="134"/>
      </rPr>
      <t>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霞</t>
    </r>
  </si>
  <si>
    <r>
      <rPr>
        <sz val="12"/>
        <rFont val="宋体"/>
        <family val="3"/>
        <charset val="134"/>
      </rPr>
      <t>吕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进</t>
    </r>
  </si>
  <si>
    <t>200936201</t>
  </si>
  <si>
    <t>黄天华</t>
  </si>
  <si>
    <r>
      <rPr>
        <sz val="12"/>
        <rFont val="宋体"/>
        <family val="3"/>
        <charset val="134"/>
      </rPr>
      <t>会计</t>
    </r>
    <r>
      <rPr>
        <sz val="12"/>
        <rFont val="Arial"/>
        <family val="2"/>
      </rPr>
      <t>2</t>
    </r>
    <r>
      <rPr>
        <sz val="12"/>
        <rFont val="宋体"/>
        <family val="3"/>
        <charset val="134"/>
      </rPr>
      <t>班</t>
    </r>
  </si>
  <si>
    <t>200936202</t>
  </si>
  <si>
    <t>庄伟明</t>
  </si>
  <si>
    <t>200936203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</si>
  <si>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健</t>
    </r>
  </si>
  <si>
    <t>200936204</t>
  </si>
  <si>
    <t>周皓明</t>
  </si>
  <si>
    <t>200936205</t>
  </si>
  <si>
    <t>200936206</t>
  </si>
  <si>
    <t>李佳伟</t>
  </si>
  <si>
    <t>200936207</t>
  </si>
  <si>
    <t>陈新成</t>
  </si>
  <si>
    <t>200936208</t>
  </si>
  <si>
    <t>徐天明</t>
  </si>
  <si>
    <t>200936209</t>
  </si>
  <si>
    <t>蔡佳惠</t>
  </si>
  <si>
    <t>200936210</t>
  </si>
  <si>
    <t>管弦乐</t>
  </si>
  <si>
    <t>200936211</t>
  </si>
  <si>
    <r>
      <rPr>
        <sz val="12"/>
        <rFont val="宋体"/>
        <family val="3"/>
        <charset val="134"/>
      </rPr>
      <t>陆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剑</t>
    </r>
  </si>
  <si>
    <t>200936212</t>
  </si>
  <si>
    <r>
      <rPr>
        <sz val="12"/>
        <rFont val="宋体"/>
        <family val="3"/>
        <charset val="134"/>
      </rPr>
      <t>陆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滔</t>
    </r>
  </si>
  <si>
    <t>200936213</t>
  </si>
  <si>
    <t>姚蔚铭</t>
  </si>
  <si>
    <t>200936214</t>
  </si>
  <si>
    <t>张昊天</t>
  </si>
  <si>
    <t>200936215</t>
  </si>
  <si>
    <r>
      <rPr>
        <sz val="12"/>
        <rFont val="宋体"/>
        <family val="3"/>
        <charset val="134"/>
      </rPr>
      <t>唐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俊</t>
    </r>
  </si>
  <si>
    <t>200936216</t>
  </si>
  <si>
    <t>潘正超</t>
  </si>
  <si>
    <t>200936217</t>
  </si>
  <si>
    <t>颜家耀</t>
  </si>
  <si>
    <t>200936218</t>
  </si>
  <si>
    <t>吴先富</t>
  </si>
  <si>
    <t>200936219</t>
  </si>
  <si>
    <t>吴坤里</t>
  </si>
  <si>
    <t>200936220</t>
  </si>
  <si>
    <t>李日臣</t>
  </si>
  <si>
    <t>200936221</t>
  </si>
  <si>
    <t>许超龙</t>
  </si>
  <si>
    <t>200936222</t>
  </si>
  <si>
    <t>龚晓蕾</t>
  </si>
  <si>
    <t>200936223</t>
  </si>
  <si>
    <r>
      <rPr>
        <sz val="12"/>
        <rFont val="宋体"/>
        <family val="3"/>
        <charset val="134"/>
      </rPr>
      <t>高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瑾</t>
    </r>
  </si>
  <si>
    <t>200936224</t>
  </si>
  <si>
    <t>汪凤天</t>
  </si>
  <si>
    <t>200936225</t>
  </si>
  <si>
    <t>瞿婷婷</t>
  </si>
  <si>
    <t>200936226</t>
  </si>
  <si>
    <t>马佳玲</t>
  </si>
  <si>
    <t>200936227</t>
  </si>
  <si>
    <r>
      <rPr>
        <sz val="12"/>
        <rFont val="宋体"/>
        <family val="3"/>
        <charset val="134"/>
      </rPr>
      <t>闻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月</t>
    </r>
  </si>
  <si>
    <t>200936228</t>
  </si>
  <si>
    <t>李文瑾</t>
  </si>
  <si>
    <t>200936229</t>
  </si>
  <si>
    <r>
      <rPr>
        <sz val="12"/>
        <rFont val="宋体"/>
        <family val="3"/>
        <charset val="134"/>
      </rPr>
      <t>沈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婷</t>
    </r>
  </si>
  <si>
    <t>200936230</t>
  </si>
  <si>
    <t>施颖颖</t>
  </si>
  <si>
    <t>200936231</t>
  </si>
  <si>
    <t>鲁春媛</t>
  </si>
  <si>
    <t>200936301</t>
  </si>
  <si>
    <r>
      <rPr>
        <sz val="12"/>
        <rFont val="宋体"/>
        <family val="3"/>
        <charset val="134"/>
      </rPr>
      <t>赵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政</t>
    </r>
  </si>
  <si>
    <r>
      <rPr>
        <sz val="12"/>
        <rFont val="宋体"/>
        <family val="3"/>
        <charset val="134"/>
      </rPr>
      <t>会计</t>
    </r>
  </si>
  <si>
    <t>200936302</t>
  </si>
  <si>
    <t>黄逸骏</t>
  </si>
  <si>
    <t>200936303</t>
  </si>
  <si>
    <r>
      <rPr>
        <sz val="12"/>
        <rFont val="宋体"/>
        <family val="3"/>
        <charset val="134"/>
      </rPr>
      <t>冯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斌</t>
    </r>
  </si>
  <si>
    <t>会计</t>
  </si>
  <si>
    <t>200936304</t>
  </si>
  <si>
    <t>姚炜诚</t>
  </si>
  <si>
    <t>200936305</t>
  </si>
  <si>
    <r>
      <rPr>
        <sz val="12"/>
        <rFont val="宋体"/>
        <family val="3"/>
        <charset val="134"/>
      </rPr>
      <t>瞿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越</t>
    </r>
  </si>
  <si>
    <t>200936306</t>
  </si>
  <si>
    <r>
      <rPr>
        <sz val="12"/>
        <rFont val="宋体"/>
        <family val="3"/>
        <charset val="134"/>
      </rPr>
      <t>谢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冰</t>
    </r>
  </si>
  <si>
    <t>200936307</t>
  </si>
  <si>
    <t>丁荣荣</t>
  </si>
  <si>
    <t>200936308</t>
  </si>
  <si>
    <t>韩骏千</t>
  </si>
  <si>
    <t>200936309</t>
  </si>
  <si>
    <t>乔建成</t>
  </si>
  <si>
    <t>200936310</t>
  </si>
  <si>
    <t>金圣英</t>
  </si>
  <si>
    <t>200936311</t>
  </si>
  <si>
    <t>朱佳明</t>
  </si>
  <si>
    <t>200936312</t>
  </si>
  <si>
    <t>毛叶新</t>
  </si>
  <si>
    <t>200936313</t>
  </si>
  <si>
    <t>汤斌飞</t>
  </si>
  <si>
    <t>200936314</t>
  </si>
  <si>
    <t>龙佳伟</t>
  </si>
  <si>
    <t>200936315</t>
  </si>
  <si>
    <t>倪惠锋</t>
  </si>
  <si>
    <t>200936316</t>
  </si>
  <si>
    <r>
      <rPr>
        <sz val="12"/>
        <rFont val="宋体"/>
        <family val="3"/>
        <charset val="134"/>
      </rPr>
      <t>沈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翔</t>
    </r>
  </si>
  <si>
    <t>200936317</t>
  </si>
  <si>
    <t>郑驰源</t>
  </si>
  <si>
    <t>200936318</t>
  </si>
  <si>
    <t>王汇丰</t>
  </si>
  <si>
    <t>200936319</t>
  </si>
  <si>
    <t>董秀财</t>
  </si>
  <si>
    <t>200936320</t>
  </si>
  <si>
    <r>
      <rPr>
        <sz val="12"/>
        <rFont val="宋体"/>
        <family val="3"/>
        <charset val="134"/>
      </rPr>
      <t>胡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强</t>
    </r>
  </si>
  <si>
    <t>200936321</t>
  </si>
  <si>
    <r>
      <rPr>
        <sz val="12"/>
        <rFont val="宋体"/>
        <family val="3"/>
        <charset val="134"/>
      </rPr>
      <t>陆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奕</t>
    </r>
  </si>
  <si>
    <t>200936322</t>
  </si>
  <si>
    <t>陶晹妍</t>
  </si>
  <si>
    <t>200936323</t>
  </si>
  <si>
    <t>王佳雯</t>
  </si>
  <si>
    <t>200936324</t>
  </si>
  <si>
    <t>黄天美</t>
  </si>
  <si>
    <t>200936325</t>
  </si>
  <si>
    <r>
      <rPr>
        <sz val="12"/>
        <rFont val="宋体"/>
        <family val="3"/>
        <charset val="134"/>
      </rPr>
      <t>焦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阳</t>
    </r>
  </si>
  <si>
    <t>200936326</t>
  </si>
  <si>
    <t>卢智群</t>
  </si>
  <si>
    <t>200936327</t>
  </si>
  <si>
    <r>
      <rPr>
        <sz val="12"/>
        <rFont val="宋体"/>
        <family val="3"/>
        <charset val="134"/>
      </rPr>
      <t>刘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嘉</t>
    </r>
  </si>
  <si>
    <t>200936328</t>
  </si>
  <si>
    <t>陈婷婷</t>
  </si>
  <si>
    <t>200936329</t>
  </si>
  <si>
    <t>杜金婵</t>
  </si>
  <si>
    <t>200936330</t>
  </si>
  <si>
    <t>张晓婷</t>
  </si>
  <si>
    <t>200936331</t>
  </si>
  <si>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迎</t>
    </r>
  </si>
  <si>
    <t>移动平均跨度</t>
  </si>
  <si>
    <t>年月</t>
  </si>
  <si>
    <t>需求量</t>
  </si>
  <si>
    <t>预测值</t>
  </si>
  <si>
    <t>MSE</t>
  </si>
  <si>
    <t>最优移动平均跨度</t>
  </si>
  <si>
    <t>2021年6月的预测值</t>
  </si>
  <si>
    <t>月序号（X）</t>
  </si>
  <si>
    <t>月销售额（Y）</t>
  </si>
  <si>
    <t>参数 a</t>
  </si>
  <si>
    <t>参数 b</t>
  </si>
  <si>
    <t>R平方</t>
  </si>
  <si>
    <t>第13个月的销售额预测值</t>
  </si>
  <si>
    <t>固定成本</t>
  </si>
  <si>
    <t>单价</t>
  </si>
  <si>
    <t>单位变动成本</t>
  </si>
  <si>
    <t>销量</t>
  </si>
  <si>
    <t>销售收益</t>
  </si>
  <si>
    <t>总成本</t>
  </si>
  <si>
    <t>利润</t>
  </si>
  <si>
    <t>开行年限</t>
  </si>
  <si>
    <t>买车支付现金（万元）</t>
  </si>
  <si>
    <t>买车银行贷款（万元）</t>
  </si>
  <si>
    <t>银行贷款年限</t>
  </si>
  <si>
    <t>银行贷款利率</t>
  </si>
  <si>
    <t>买车后每年维修保养的费用（万元）</t>
  </si>
  <si>
    <t>10年后车辆报废报废补贴（残值）</t>
  </si>
  <si>
    <t>前5年租车的价格（万元）</t>
  </si>
  <si>
    <t>后5年租车的价格（万元）</t>
  </si>
  <si>
    <t>贴现率</t>
  </si>
  <si>
    <t>银行每年的还款额（万元）</t>
  </si>
  <si>
    <t>买车或租车的决策结论</t>
  </si>
  <si>
    <t>成本</t>
  </si>
  <si>
    <t>用电量</t>
  </si>
  <si>
    <t>A产品</t>
  </si>
  <si>
    <t>B产品</t>
  </si>
  <si>
    <t>分厂1</t>
  </si>
  <si>
    <t>分厂2</t>
  </si>
  <si>
    <t>分厂3</t>
  </si>
  <si>
    <t>需求量概率分布</t>
  </si>
  <si>
    <t>初始库存</t>
  </si>
  <si>
    <t>安全库存</t>
  </si>
  <si>
    <t>订货量</t>
  </si>
  <si>
    <t>一次订货成本</t>
  </si>
  <si>
    <t>单件周储存成本</t>
  </si>
  <si>
    <t>单件缺货成本</t>
  </si>
  <si>
    <t>平均成绩</t>
    <phoneticPr fontId="13" type="noConversion"/>
  </si>
  <si>
    <t>平均绩点</t>
    <phoneticPr fontId="13" type="noConversion"/>
  </si>
  <si>
    <t>人数</t>
    <phoneticPr fontId="13" type="noConversion"/>
  </si>
  <si>
    <t>学院</t>
    <phoneticPr fontId="13" type="noConversion"/>
  </si>
  <si>
    <t>班级</t>
    <phoneticPr fontId="13" type="noConversion"/>
  </si>
  <si>
    <t>信息1班</t>
    <phoneticPr fontId="13" type="noConversion"/>
  </si>
  <si>
    <t>信息3班</t>
    <phoneticPr fontId="13" type="noConversion"/>
  </si>
  <si>
    <t>绩点</t>
    <phoneticPr fontId="13" type="noConversion"/>
  </si>
  <si>
    <t>信息2班</t>
    <phoneticPr fontId="13" type="noConversion"/>
  </si>
  <si>
    <t>lny=lna+bx</t>
    <phoneticPr fontId="13" type="noConversion"/>
  </si>
  <si>
    <t>lny</t>
    <phoneticPr fontId="13" type="noConversion"/>
  </si>
  <si>
    <t>截距</t>
    <phoneticPr fontId="13" type="noConversion"/>
  </si>
  <si>
    <t>斜率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</si>
</sst>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0.0%"/>
    <numFmt numFmtId="178" formatCode="_ * #,##0_ ;_ * \-#,##0_ ;_ * &quot;-&quot;??_ ;_ @_ "/>
    <numFmt numFmtId="179" formatCode="0.00_ "/>
    <numFmt numFmtId="180" formatCode="0_);[Red]\(0\)"/>
    <numFmt numFmtId="182" formatCode="0.0000"/>
    <numFmt numFmtId="183" formatCode="0.0"/>
  </numFmts>
  <fonts count="15" x14ac:knownFonts="1">
    <font>
      <sz val="12"/>
      <name val="宋体"/>
      <charset val="134"/>
    </font>
    <font>
      <sz val="12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宋体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0">
    <xf numFmtId="0" fontId="0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0" fontId="9" fillId="0" borderId="0">
      <alignment vertical="center"/>
    </xf>
    <xf numFmtId="0" fontId="3" fillId="0" borderId="0"/>
    <xf numFmtId="0" fontId="3" fillId="0" borderId="0">
      <alignment vertical="center"/>
    </xf>
    <xf numFmtId="0" fontId="9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12" applyFont="1">
      <alignment vertical="center"/>
    </xf>
    <xf numFmtId="0" fontId="1" fillId="2" borderId="1" xfId="12" applyFont="1" applyFill="1" applyBorder="1" applyAlignment="1">
      <alignment horizontal="center" vertical="center"/>
    </xf>
    <xf numFmtId="9" fontId="1" fillId="2" borderId="1" xfId="12" applyNumberFormat="1" applyFont="1" applyFill="1" applyBorder="1" applyAlignment="1">
      <alignment horizontal="center" vertical="center"/>
    </xf>
    <xf numFmtId="9" fontId="1" fillId="0" borderId="0" xfId="12" applyNumberFormat="1" applyFont="1">
      <alignment vertical="center"/>
    </xf>
    <xf numFmtId="0" fontId="1" fillId="3" borderId="1" xfId="12" applyFont="1" applyFill="1" applyBorder="1">
      <alignment vertical="center"/>
    </xf>
    <xf numFmtId="0" fontId="1" fillId="2" borderId="1" xfId="12" applyFont="1" applyFill="1" applyBorder="1">
      <alignment vertical="center"/>
    </xf>
    <xf numFmtId="0" fontId="1" fillId="4" borderId="1" xfId="12" applyFont="1" applyFill="1" applyBorder="1">
      <alignment vertical="center"/>
    </xf>
    <xf numFmtId="0" fontId="1" fillId="5" borderId="1" xfId="12" applyFont="1" applyFill="1" applyBorder="1" applyAlignment="1">
      <alignment horizontal="center" vertical="center"/>
    </xf>
    <xf numFmtId="0" fontId="1" fillId="0" borderId="0" xfId="12" applyFont="1" applyAlignment="1">
      <alignment horizontal="center" vertical="center"/>
    </xf>
    <xf numFmtId="0" fontId="1" fillId="6" borderId="1" xfId="12" applyFont="1" applyFill="1" applyBorder="1">
      <alignment vertical="center"/>
    </xf>
    <xf numFmtId="0" fontId="2" fillId="0" borderId="0" xfId="17" applyFont="1">
      <alignment vertical="center"/>
    </xf>
    <xf numFmtId="0" fontId="2" fillId="5" borderId="1" xfId="17" applyFont="1" applyFill="1" applyBorder="1">
      <alignment vertical="center"/>
    </xf>
    <xf numFmtId="0" fontId="2" fillId="2" borderId="1" xfId="17" applyFont="1" applyFill="1" applyBorder="1" applyAlignment="1">
      <alignment horizontal="right" vertical="center"/>
    </xf>
    <xf numFmtId="177" fontId="2" fillId="2" borderId="1" xfId="17" applyNumberFormat="1" applyFont="1" applyFill="1" applyBorder="1" applyAlignment="1">
      <alignment horizontal="right" vertical="center"/>
    </xf>
    <xf numFmtId="178" fontId="2" fillId="0" borderId="0" xfId="18" applyNumberFormat="1" applyFont="1">
      <alignment vertical="center"/>
    </xf>
    <xf numFmtId="179" fontId="2" fillId="6" borderId="1" xfId="18" applyNumberFormat="1" applyFont="1" applyFill="1" applyBorder="1">
      <alignment vertical="center"/>
    </xf>
    <xf numFmtId="179" fontId="2" fillId="6" borderId="1" xfId="18" applyNumberFormat="1" applyFont="1" applyFill="1" applyBorder="1" applyAlignment="1">
      <alignment horizontal="center" vertical="center"/>
    </xf>
    <xf numFmtId="0" fontId="1" fillId="0" borderId="0" xfId="15" applyFont="1">
      <alignment vertical="center"/>
    </xf>
    <xf numFmtId="0" fontId="3" fillId="0" borderId="0" xfId="15">
      <alignment vertical="center"/>
    </xf>
    <xf numFmtId="0" fontId="1" fillId="7" borderId="0" xfId="15" applyFont="1" applyFill="1">
      <alignment vertical="center"/>
    </xf>
    <xf numFmtId="0" fontId="1" fillId="5" borderId="1" xfId="15" applyFont="1" applyFill="1" applyBorder="1">
      <alignment vertical="center"/>
    </xf>
    <xf numFmtId="0" fontId="1" fillId="2" borderId="1" xfId="15" applyFont="1" applyFill="1" applyBorder="1">
      <alignment vertical="center"/>
    </xf>
    <xf numFmtId="0" fontId="1" fillId="0" borderId="1" xfId="15" applyFont="1" applyBorder="1">
      <alignment vertical="center"/>
    </xf>
    <xf numFmtId="0" fontId="1" fillId="8" borderId="1" xfId="15" applyFont="1" applyFill="1" applyBorder="1">
      <alignment vertical="center"/>
    </xf>
    <xf numFmtId="0" fontId="1" fillId="0" borderId="0" xfId="15" applyFont="1" applyAlignment="1">
      <alignment horizontal="center" vertical="center"/>
    </xf>
    <xf numFmtId="0" fontId="4" fillId="0" borderId="0" xfId="15" applyFont="1" applyAlignment="1">
      <alignment horizontal="center" vertical="center"/>
    </xf>
    <xf numFmtId="0" fontId="3" fillId="0" borderId="0" xfId="15" applyAlignment="1">
      <alignment horizontal="center" vertical="center"/>
    </xf>
    <xf numFmtId="0" fontId="5" fillId="0" borderId="0" xfId="9" applyFont="1" applyAlignment="1">
      <alignment vertical="center"/>
    </xf>
    <xf numFmtId="0" fontId="6" fillId="0" borderId="0" xfId="9" applyFont="1" applyAlignment="1">
      <alignment horizontal="center" vertical="center"/>
    </xf>
    <xf numFmtId="0" fontId="6" fillId="0" borderId="0" xfId="9" applyFont="1" applyAlignment="1">
      <alignment vertical="center"/>
    </xf>
    <xf numFmtId="0" fontId="7" fillId="9" borderId="2" xfId="9" applyFont="1" applyFill="1" applyBorder="1" applyAlignment="1">
      <alignment horizontal="center" vertical="center"/>
    </xf>
    <xf numFmtId="0" fontId="8" fillId="9" borderId="1" xfId="9" applyFont="1" applyFill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/>
    </xf>
    <xf numFmtId="180" fontId="6" fillId="2" borderId="1" xfId="9" applyNumberFormat="1" applyFont="1" applyFill="1" applyBorder="1" applyAlignment="1">
      <alignment horizontal="center" vertical="center"/>
    </xf>
    <xf numFmtId="180" fontId="6" fillId="0" borderId="0" xfId="9" applyNumberFormat="1" applyFont="1" applyAlignment="1">
      <alignment vertical="center"/>
    </xf>
    <xf numFmtId="0" fontId="9" fillId="3" borderId="1" xfId="9" applyFont="1" applyFill="1" applyBorder="1" applyAlignment="1">
      <alignment vertical="center"/>
    </xf>
    <xf numFmtId="182" fontId="6" fillId="8" borderId="1" xfId="9" applyNumberFormat="1" applyFont="1" applyFill="1" applyBorder="1" applyAlignment="1">
      <alignment vertical="center"/>
    </xf>
    <xf numFmtId="0" fontId="9" fillId="0" borderId="0" xfId="9" applyFont="1" applyAlignment="1">
      <alignment vertical="center"/>
    </xf>
    <xf numFmtId="0" fontId="10" fillId="3" borderId="1" xfId="12" applyFont="1" applyFill="1" applyBorder="1" applyAlignment="1">
      <alignment horizontal="center" vertical="center"/>
    </xf>
    <xf numFmtId="0" fontId="6" fillId="8" borderId="1" xfId="9" applyFont="1" applyFill="1" applyBorder="1" applyAlignment="1">
      <alignment vertical="center"/>
    </xf>
    <xf numFmtId="0" fontId="3" fillId="0" borderId="0" xfId="11"/>
    <xf numFmtId="0" fontId="9" fillId="5" borderId="1" xfId="7" applyFill="1" applyBorder="1">
      <alignment vertical="center"/>
    </xf>
    <xf numFmtId="0" fontId="9" fillId="6" borderId="1" xfId="7" applyFill="1" applyBorder="1">
      <alignment vertical="center"/>
    </xf>
    <xf numFmtId="0" fontId="8" fillId="5" borderId="2" xfId="7" applyFont="1" applyFill="1" applyBorder="1" applyAlignment="1">
      <alignment horizontal="center" vertical="center"/>
    </xf>
    <xf numFmtId="0" fontId="8" fillId="5" borderId="1" xfId="7" applyFont="1" applyFill="1" applyBorder="1" applyAlignment="1">
      <alignment horizontal="center" vertical="center"/>
    </xf>
    <xf numFmtId="57" fontId="9" fillId="5" borderId="2" xfId="7" applyNumberFormat="1" applyFill="1" applyBorder="1">
      <alignment vertical="center"/>
    </xf>
    <xf numFmtId="0" fontId="9" fillId="2" borderId="3" xfId="7" applyFill="1" applyBorder="1" applyAlignment="1">
      <alignment horizontal="center" vertical="center"/>
    </xf>
    <xf numFmtId="0" fontId="9" fillId="6" borderId="2" xfId="7" applyFill="1" applyBorder="1" applyAlignment="1">
      <alignment horizontal="center" vertical="center"/>
    </xf>
    <xf numFmtId="0" fontId="9" fillId="0" borderId="0" xfId="7">
      <alignment vertical="center"/>
    </xf>
    <xf numFmtId="57" fontId="9" fillId="5" borderId="4" xfId="7" applyNumberFormat="1" applyFill="1" applyBorder="1">
      <alignment vertical="center"/>
    </xf>
    <xf numFmtId="0" fontId="9" fillId="6" borderId="1" xfId="7" applyFill="1" applyBorder="1" applyAlignment="1">
      <alignment horizontal="center"/>
    </xf>
    <xf numFmtId="183" fontId="9" fillId="6" borderId="1" xfId="7" applyNumberFormat="1" applyFill="1" applyBorder="1">
      <alignment vertical="center"/>
    </xf>
    <xf numFmtId="57" fontId="9" fillId="5" borderId="5" xfId="7" applyNumberFormat="1" applyFill="1" applyBorder="1">
      <alignment vertical="center"/>
    </xf>
    <xf numFmtId="0" fontId="9" fillId="2" borderId="6" xfId="7" applyFill="1" applyBorder="1" applyAlignment="1">
      <alignment horizontal="center" vertical="center"/>
    </xf>
    <xf numFmtId="0" fontId="9" fillId="0" borderId="7" xfId="7" applyBorder="1" applyAlignment="1">
      <alignment horizontal="center" vertical="center"/>
    </xf>
    <xf numFmtId="0" fontId="6" fillId="0" borderId="0" xfId="5" applyFont="1"/>
    <xf numFmtId="0" fontId="6" fillId="0" borderId="0" xfId="5" applyFont="1" applyAlignment="1">
      <alignment horizontal="center"/>
    </xf>
    <xf numFmtId="0" fontId="8" fillId="3" borderId="1" xfId="5" applyFont="1" applyFill="1" applyBorder="1" applyAlignment="1">
      <alignment horizontal="center"/>
    </xf>
    <xf numFmtId="0" fontId="9" fillId="2" borderId="1" xfId="5" applyFill="1" applyBorder="1" applyAlignment="1">
      <alignment horizontal="center"/>
    </xf>
    <xf numFmtId="180" fontId="6" fillId="2" borderId="1" xfId="5" applyNumberFormat="1" applyFont="1" applyFill="1" applyBorder="1" applyAlignment="1">
      <alignment horizontal="center"/>
    </xf>
    <xf numFmtId="0" fontId="6" fillId="2" borderId="1" xfId="5" applyFont="1" applyFill="1" applyBorder="1" applyAlignment="1">
      <alignment horizontal="center"/>
    </xf>
    <xf numFmtId="0" fontId="8" fillId="0" borderId="1" xfId="5" applyFont="1" applyBorder="1" applyAlignment="1">
      <alignment horizontal="justify" vertical="center" wrapText="1"/>
    </xf>
    <xf numFmtId="14" fontId="6" fillId="0" borderId="0" xfId="5" applyNumberFormat="1" applyFont="1" applyAlignment="1">
      <alignment horizontal="center"/>
    </xf>
    <xf numFmtId="0" fontId="9" fillId="0" borderId="0" xfId="0" applyFont="1">
      <alignment vertical="center"/>
    </xf>
    <xf numFmtId="0" fontId="14" fillId="0" borderId="0" xfId="5" applyFont="1"/>
    <xf numFmtId="0" fontId="8" fillId="0" borderId="1" xfId="5" applyFont="1" applyBorder="1" applyAlignment="1">
      <alignment horizontal="center" vertical="center" wrapText="1"/>
    </xf>
    <xf numFmtId="0" fontId="1" fillId="5" borderId="1" xfId="12" applyFont="1" applyFill="1" applyBorder="1" applyAlignment="1">
      <alignment horizontal="center" vertical="center"/>
    </xf>
    <xf numFmtId="180" fontId="14" fillId="0" borderId="0" xfId="9" applyNumberFormat="1" applyFont="1" applyAlignment="1">
      <alignment vertical="center"/>
    </xf>
  </cellXfs>
  <cellStyles count="20">
    <cellStyle name="Normal 5" xfId="1" xr:uid="{00000000-0005-0000-0000-000031000000}"/>
    <cellStyle name="百分比 2" xfId="2" xr:uid="{00000000-0005-0000-0000-000032000000}"/>
    <cellStyle name="百分比 2 3" xfId="3" xr:uid="{00000000-0005-0000-0000-000033000000}"/>
    <cellStyle name="百分比 3" xfId="4" xr:uid="{00000000-0005-0000-0000-000034000000}"/>
    <cellStyle name="常规" xfId="0" builtinId="0"/>
    <cellStyle name="常规 2" xfId="5" xr:uid="{00000000-0005-0000-0000-000035000000}"/>
    <cellStyle name="常规 2 2" xfId="6" xr:uid="{00000000-0005-0000-0000-000036000000}"/>
    <cellStyle name="常规 2 2 2" xfId="7" xr:uid="{00000000-0005-0000-0000-000037000000}"/>
    <cellStyle name="常规 2 3" xfId="8" xr:uid="{00000000-0005-0000-0000-000038000000}"/>
    <cellStyle name="常规 2 3 2" xfId="9" xr:uid="{00000000-0005-0000-0000-000039000000}"/>
    <cellStyle name="常规 3" xfId="10" xr:uid="{00000000-0005-0000-0000-00003A000000}"/>
    <cellStyle name="常规 3 2" xfId="11" xr:uid="{00000000-0005-0000-0000-00003B000000}"/>
    <cellStyle name="常规 3 2 2" xfId="12" xr:uid="{00000000-0005-0000-0000-00003C000000}"/>
    <cellStyle name="常规 3_第2次第3场-答案和评分标准" xfId="13" xr:uid="{00000000-0005-0000-0000-00003D000000}"/>
    <cellStyle name="常规 4" xfId="14" xr:uid="{00000000-0005-0000-0000-00003E000000}"/>
    <cellStyle name="常规 4 2" xfId="15" xr:uid="{00000000-0005-0000-0000-00003F000000}"/>
    <cellStyle name="常规 5" xfId="16" xr:uid="{00000000-0005-0000-0000-000040000000}"/>
    <cellStyle name="常规_第8章投资评价出题-200712" xfId="17" xr:uid="{00000000-0005-0000-0000-000041000000}"/>
    <cellStyle name="千位分隔 2" xfId="18" xr:uid="{00000000-0005-0000-0000-000042000000}"/>
    <cellStyle name="千位分隔 4" xfId="19" xr:uid="{00000000-0005-0000-0000-000043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第3题!$K$51:$M$51</c:f>
              <c:strCache>
                <c:ptCount val="3"/>
                <c:pt idx="0">
                  <c:v>信息1班</c:v>
                </c:pt>
                <c:pt idx="1">
                  <c:v>信息2班</c:v>
                </c:pt>
                <c:pt idx="2">
                  <c:v>信息3班</c:v>
                </c:pt>
              </c:strCache>
            </c:strRef>
          </c:cat>
          <c:val>
            <c:numRef>
              <c:f>第3题!$K$52:$M$52</c:f>
              <c:numCache>
                <c:formatCode>General</c:formatCode>
                <c:ptCount val="3"/>
                <c:pt idx="0">
                  <c:v>73.456521739130437</c:v>
                </c:pt>
                <c:pt idx="1">
                  <c:v>79.152173913043484</c:v>
                </c:pt>
                <c:pt idx="2">
                  <c:v>77.173913043478265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5-4146-9B39-3EBFE385E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327184"/>
        <c:axId val="682326224"/>
      </c:barChart>
      <c:catAx>
        <c:axId val="68232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326224"/>
        <c:crosses val="autoZero"/>
        <c:auto val="1"/>
        <c:lblAlgn val="ctr"/>
        <c:lblOffset val="100"/>
        <c:noMultiLvlLbl val="0"/>
      </c:catAx>
      <c:valAx>
        <c:axId val="6823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32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3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en-US" altLang="zh-CN"/>
              <a:t>NPV of Equipment A and 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F14-4D50-839F-C70411BDB562}"/>
            </c:ext>
          </c:extLst>
        </c:ser>
        <c:ser>
          <c:idx val="1"/>
          <c:order val="1"/>
          <c:spPr>
            <a:ln w="25400" cap="rnd" cmpd="sng" algn="ctr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F14-4D50-839F-C70411BDB562}"/>
            </c:ext>
          </c:extLst>
        </c:ser>
        <c:ser>
          <c:idx val="2"/>
          <c:order val="2"/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AF14-4D50-839F-C70411BDB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52656"/>
        <c:axId val="183552264"/>
      </c:scatterChart>
      <c:valAx>
        <c:axId val="183552656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FFFFFF"/>
              </a:solidFill>
              <a:prstDash val="solid"/>
              <a:round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7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83552264"/>
        <c:crosses val="autoZero"/>
        <c:crossBetween val="midCat"/>
      </c:valAx>
      <c:valAx>
        <c:axId val="183552264"/>
        <c:scaling>
          <c:orientation val="minMax"/>
          <c:max val="800"/>
          <c:min val="-200"/>
        </c:scaling>
        <c:delete val="0"/>
        <c:axPos val="l"/>
        <c:majorGridlines>
          <c:spPr>
            <a:ln w="3175" cap="flat" cmpd="sng" algn="ctr">
              <a:solidFill>
                <a:srgbClr val="FFFFFF"/>
              </a:solidFill>
              <a:prstDash val="solid"/>
              <a:round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7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83552656"/>
        <c:crosses val="autoZero"/>
        <c:crossBetween val="midCat"/>
        <c:majorUnit val="2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275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0f4558-8e64-47d4-909f-eaa8558a758c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3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39" fmlaLink="$H$2" fmlaRange="$H$4:$H$6" noThreeD="1" sel="2" val="0"/>
</file>

<file path=xl/ctrlProps/ctrlProp2.xml><?xml version="1.0" encoding="utf-8"?>
<formControlPr xmlns="http://schemas.microsoft.com/office/spreadsheetml/2009/9/main" objectType="List" dx="39" fmlaLink="$H$8" fmlaRange="$H$9:$H$11" noThreeD="1" sel="2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342900</xdr:colOff>
      <xdr:row>12</xdr:row>
      <xdr:rowOff>87631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86400" y="200025"/>
          <a:ext cx="4457700" cy="228790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第</a:t>
          </a:r>
          <a:r>
            <a:rPr lang="en-US" altLang="zh-CN" sz="1200" b="1"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题 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通过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MS Query 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从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Northwind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数据库查询符合下列要求的客户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公司名称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、产品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名称和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订购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数量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：</a:t>
          </a:r>
          <a:endParaRPr lang="en-US" altLang="zh-CN" sz="1200">
            <a:latin typeface="宋体" panose="02010600030101010101" pitchFamily="7" charset="-122"/>
            <a:ea typeface="宋体" panose="02010600030101010101" pitchFamily="7" charset="-122"/>
          </a:endParaRPr>
        </a:p>
        <a:p>
          <a:pPr indent="288290">
            <a:lnSpc>
              <a:spcPct val="150000"/>
            </a:lnSpc>
          </a:pP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订购饮料类产品数量大于等于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110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，以及订购海鲜类产品数量介于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90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至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100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之间的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相关记录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；并将查询结果</a:t>
          </a: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返回到</a:t>
          </a:r>
          <a:r>
            <a:rPr lang="en-US" altLang="zh-CN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A1</a:t>
          </a:r>
          <a:r>
            <a:rPr lang="zh-CN" altLang="zh-CN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单元格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起始的区域。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 indent="0">
            <a:lnSpc>
              <a:spcPct val="150000"/>
            </a:lnSpc>
          </a:pP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注意：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不能对返回到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Excel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后的查询结果做任何编辑修改， </a:t>
          </a:r>
          <a:r>
            <a:rPr lang="zh-CN" altLang="en-US" sz="1200" b="1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违者不得分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</a:t>
          </a:r>
          <a:endParaRPr lang="zh-CN" altLang="en-US" sz="12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1</xdr:row>
      <xdr:rowOff>28575</xdr:rowOff>
    </xdr:from>
    <xdr:to>
      <xdr:col>16</xdr:col>
      <xdr:colOff>55939</xdr:colOff>
      <xdr:row>23</xdr:row>
      <xdr:rowOff>86554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467350" y="200025"/>
          <a:ext cx="5561330" cy="382968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20000"/>
            </a:lnSpc>
          </a:pPr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使用</a:t>
          </a:r>
          <a:r>
            <a:rPr lang="zh-CN" altLang="zh-CN" sz="1200" b="1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数据透视表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和</a:t>
          </a:r>
          <a:r>
            <a:rPr lang="en-US" altLang="zh-CN" sz="1200" b="1">
              <a:solidFill>
                <a:srgbClr val="FF0000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Microsoft Query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软件，在不导入数据的情况下，汇总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Northwind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公司</a:t>
          </a: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三类城市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和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具体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城市各季度的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运货费情况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该公司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将三年销售额在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50,000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元以上的城市，设为</a:t>
          </a:r>
          <a:r>
            <a:rPr lang="zh-CN" altLang="en-US" sz="1200" b="1" i="1">
              <a:latin typeface="宋体" panose="02010600030101010101" pitchFamily="7" charset="-122"/>
              <a:ea typeface="宋体" panose="02010600030101010101" pitchFamily="7" charset="-122"/>
            </a:rPr>
            <a:t>重要城市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，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50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,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000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到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30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,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000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元销售额设为为</a:t>
          </a:r>
          <a:r>
            <a:rPr lang="zh-CN" altLang="en-US" sz="1200" b="1" i="1">
              <a:latin typeface="宋体" panose="02010600030101010101" pitchFamily="7" charset="-122"/>
              <a:ea typeface="宋体" panose="02010600030101010101" pitchFamily="7" charset="-122"/>
            </a:rPr>
            <a:t>普通城市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，小于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30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,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000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的设为</a:t>
          </a:r>
          <a:r>
            <a:rPr lang="zh-CN" altLang="en-US" sz="1200" b="1" i="1">
              <a:latin typeface="宋体" panose="02010600030101010101" pitchFamily="7" charset="-122"/>
              <a:ea typeface="宋体" panose="02010600030101010101" pitchFamily="7" charset="-122"/>
            </a:rPr>
            <a:t>起步城市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。要求数据透视表需按照</a:t>
          </a:r>
          <a:r>
            <a:rPr lang="zh-CN" altLang="en-US" sz="1200">
              <a:solidFill>
                <a:srgbClr val="0070C0"/>
              </a:solidFill>
              <a:latin typeface="宋体" panose="02010600030101010101" pitchFamily="7" charset="-122"/>
              <a:ea typeface="宋体" panose="02010600030101010101" pitchFamily="7" charset="-122"/>
            </a:rPr>
            <a:t>下图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进行设定。重要城市类别下显示具体城市的运货费总计值和运货费百分比，另外两类城市只显示该类情况，不显示具体城市信息。并添加代表年份的</a:t>
          </a:r>
          <a:r>
            <a:rPr lang="zh-CN" altLang="en-US" sz="1200" b="1">
              <a:latin typeface="宋体" panose="02010600030101010101" pitchFamily="7" charset="-122"/>
              <a:ea typeface="宋体" panose="02010600030101010101" pitchFamily="7" charset="-122"/>
            </a:rPr>
            <a:t>切片器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。</a:t>
          </a:r>
          <a:endParaRPr lang="en-US" altLang="zh-CN" sz="12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8</xdr:col>
      <xdr:colOff>131784</xdr:colOff>
      <xdr:row>11</xdr:row>
      <xdr:rowOff>4435</xdr:rowOff>
    </xdr:from>
    <xdr:to>
      <xdr:col>15</xdr:col>
      <xdr:colOff>472684</xdr:colOff>
      <xdr:row>22</xdr:row>
      <xdr:rowOff>180363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17845" y="1889760"/>
          <a:ext cx="5141595" cy="205359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</xdr:row>
      <xdr:rowOff>180975</xdr:rowOff>
    </xdr:from>
    <xdr:to>
      <xdr:col>21</xdr:col>
      <xdr:colOff>171449</xdr:colOff>
      <xdr:row>41</xdr:row>
      <xdr:rowOff>28575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157357" y="3337832"/>
          <a:ext cx="8669111" cy="4780190"/>
          <a:chOff x="4632325" y="2997200"/>
          <a:chExt cx="8667749" cy="4927600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4632325" y="2997200"/>
            <a:ext cx="8667749" cy="492760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horzOverflow="clip" wrap="square" lIns="27432" tIns="18288" rIns="0" bIns="0" rtlCol="0" anchor="t" upright="1"/>
          <a:lstStyle/>
          <a:p>
            <a:pPr algn="l" rtl="0">
              <a:lnSpc>
                <a:spcPct val="120000"/>
              </a:lnSpc>
              <a:spcBef>
                <a:spcPts val="600"/>
              </a:spcBef>
              <a:spcAft>
                <a:spcPts val="600"/>
              </a:spcAft>
            </a:pPr>
            <a:r>
              <a:rPr lang="zh-CN" altLang="zh-CN" sz="1100" b="1"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100" b="1">
                <a:effectLst/>
                <a:latin typeface="+mn-lt"/>
                <a:ea typeface="+mn-ea"/>
                <a:cs typeface="+mn-cs"/>
              </a:rPr>
              <a:t>3</a:t>
            </a:r>
            <a:r>
              <a:rPr lang="zh-CN" altLang="zh-CN" sz="1100" b="1">
                <a:effectLst/>
                <a:latin typeface="+mn-lt"/>
                <a:ea typeface="+mn-ea"/>
                <a:cs typeface="+mn-cs"/>
              </a:rPr>
              <a:t>题 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根据本工作表数据，利用</a:t>
            </a:r>
            <a:r>
              <a:rPr lang="en-US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DAVERAGE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()函数、</a:t>
            </a:r>
            <a:r>
              <a:rPr lang="en-US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DCOUNTA()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函数及模拟运算表，计算各个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学院各个班级的平均成绩、平均绩点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和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人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数。创建二个列表框，并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且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绘制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样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图所示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的柱形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图图形。使用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学院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列表框进行控制，当选择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学院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列表框中的某个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学院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时，属于此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学院的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所有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班级显示在</a:t>
            </a:r>
            <a:r>
              <a:rPr lang="en-US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X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轴。</a:t>
            </a:r>
            <a:r>
              <a:rPr lang="zh-CN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结果如下图所示。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样图的</a:t>
            </a:r>
            <a:r>
              <a:rPr lang="en-US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Y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轴数据仅供参考。在本工作表的</a:t>
            </a:r>
            <a:r>
              <a:rPr lang="en-US" altLang="zh-CN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K3:M14</a:t>
            </a:r>
            <a:r>
              <a:rPr lang="zh-CN" altLang="en-US" sz="1200" b="0" i="0" kern="1600" baseline="0"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单元格中有本科生成绩与绩点对照表。</a:t>
            </a:r>
            <a:endParaRPr lang="en-US" altLang="zh-CN" sz="1200" b="0" i="0" kern="160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  <a:p>
            <a:pPr algn="l" rtl="0">
              <a:lnSpc>
                <a:spcPct val="120000"/>
              </a:lnSpc>
              <a:spcBef>
                <a:spcPts val="600"/>
              </a:spcBef>
              <a:spcAft>
                <a:spcPts val="600"/>
              </a:spcAft>
            </a:pPr>
            <a:endPara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79287" y="4206071"/>
            <a:ext cx="6792536" cy="3291062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19</xdr:row>
          <xdr:rowOff>190500</xdr:rowOff>
        </xdr:from>
        <xdr:to>
          <xdr:col>8</xdr:col>
          <xdr:colOff>376238</xdr:colOff>
          <xdr:row>23</xdr:row>
          <xdr:rowOff>147638</xdr:rowOff>
        </xdr:to>
        <xdr:sp macro="" textlink="">
          <xdr:nvSpPr>
            <xdr:cNvPr id="4097" name="List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676275</xdr:colOff>
          <xdr:row>13</xdr:row>
          <xdr:rowOff>90488</xdr:rowOff>
        </xdr:from>
        <xdr:to>
          <xdr:col>8</xdr:col>
          <xdr:colOff>338138</xdr:colOff>
          <xdr:row>16</xdr:row>
          <xdr:rowOff>100013</xdr:rowOff>
        </xdr:to>
        <xdr:sp macro="" textlink="">
          <xdr:nvSpPr>
            <xdr:cNvPr id="4099" name="List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418417</xdr:colOff>
      <xdr:row>58</xdr:row>
      <xdr:rowOff>29934</xdr:rowOff>
    </xdr:from>
    <xdr:to>
      <xdr:col>15</xdr:col>
      <xdr:colOff>408213</xdr:colOff>
      <xdr:row>75</xdr:row>
      <xdr:rowOff>6801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FD43A3D-E8D8-C5E7-86E9-E7E73CBE5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38098</xdr:colOff>
      <xdr:row>1</xdr:row>
      <xdr:rowOff>19049</xdr:rowOff>
    </xdr:from>
    <xdr:to>
      <xdr:col>16</xdr:col>
      <xdr:colOff>38099</xdr:colOff>
      <xdr:row>8</xdr:row>
      <xdr:rowOff>66674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295390" y="247015"/>
          <a:ext cx="5486400" cy="16478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某专卖店销售的一款电子产品，在过去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10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个月内的需求量如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F2:F11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所示，现要求建立移动平均模型：</a:t>
          </a:r>
        </a:p>
        <a:p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、针对在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B1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中键入的任意的移动平均跨度值（它可以是在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3</a:t>
          </a:r>
          <a:r>
            <a:rPr lang="en-US" altLang="zh-CN" sz="1200">
              <a:latin typeface="Arial" panose="020B0604020202020204" pitchFamily="7" charset="0"/>
              <a:ea typeface="宋体" panose="02010600030101010101" pitchFamily="7" charset="-122"/>
              <a:cs typeface="Arial" panose="020B0604020202020204" pitchFamily="7" charset="0"/>
            </a:rPr>
            <a:t>~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8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之间的任何整数）在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G2:G12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中正确的位置上求出各月的移动平均预测值；</a:t>
          </a:r>
        </a:p>
        <a:p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、在单元格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B2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中求出这些预测值与对应的需求量实际值之间的均方误差；</a:t>
          </a:r>
        </a:p>
        <a:p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3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、在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B4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中求出使均方误差达到极小的最优移动平均跨度；</a:t>
          </a:r>
        </a:p>
        <a:p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4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、利用最优移动平均跨度在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B5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中求出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2021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年</a:t>
          </a:r>
          <a:r>
            <a:rPr lang="en-US" altLang="zh-CN" sz="1200">
              <a:latin typeface="宋体" panose="02010600030101010101" pitchFamily="7" charset="-122"/>
              <a:ea typeface="宋体" panose="02010600030101010101" pitchFamily="7" charset="-122"/>
            </a:rPr>
            <a:t>6</a:t>
          </a:r>
          <a:r>
            <a:rPr lang="zh-CN" altLang="en-US" sz="1200">
              <a:latin typeface="宋体" panose="02010600030101010101" pitchFamily="7" charset="-122"/>
              <a:ea typeface="宋体" panose="02010600030101010101" pitchFamily="7" charset="-122"/>
            </a:rPr>
            <a:t>月该电子产品的需求量预测值。</a:t>
          </a:r>
          <a:r>
            <a:rPr lang="zh-CN" altLang="en-US" sz="1200" baseline="0">
              <a:latin typeface="宋体" panose="02010600030101010101" pitchFamily="7" charset="-122"/>
              <a:ea typeface="宋体" panose="02010600030101010101" pitchFamily="7" charset="-122"/>
            </a:rPr>
            <a:t>  </a:t>
          </a:r>
          <a:endParaRPr lang="zh-CN" altLang="en-US" sz="12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17318</xdr:colOff>
      <xdr:row>9</xdr:row>
      <xdr:rowOff>20493</xdr:rowOff>
    </xdr:from>
    <xdr:to>
      <xdr:col>10</xdr:col>
      <xdr:colOff>207818</xdr:colOff>
      <xdr:row>18</xdr:row>
      <xdr:rowOff>3463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4655993" y="2292206"/>
          <a:ext cx="5029200" cy="2254682"/>
          <a:chOff x="4638675" y="2232024"/>
          <a:chExt cx="5029200" cy="2206625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 txBox="1"/>
        </xdr:nvSpPr>
        <xdr:spPr>
          <a:xfrm>
            <a:off x="4638675" y="2232024"/>
            <a:ext cx="5029200" cy="220662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题 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工作表列出了连续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12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个月销售额的统计数据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,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已知月销售额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Y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与对应的月序号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X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之间具有如下的关系：</a:t>
            </a:r>
          </a:p>
          <a:p>
            <a:endParaRPr lang="en-US" altLang="zh-CN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endParaRPr lang="zh-CN" altLang="en-US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endParaRPr lang="zh-CN" altLang="en-US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试用</a:t>
            </a:r>
            <a:r>
              <a:rPr lang="zh-CN" altLang="en-US" sz="1200" b="1">
                <a:solidFill>
                  <a:srgbClr val="3333FF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变量替换法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计算：</a:t>
            </a: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1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、参数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a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和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b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的取值；</a:t>
            </a: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2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、判定系数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R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平方的取值；</a:t>
            </a:r>
            <a:endParaRPr lang="en-US" altLang="zh-CN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3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、第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13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个月的销售额预测值。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00000000-0008-0000-0400-000004000000}"/>
                  </a:ext>
                </a:extLst>
              </xdr:cNvPr>
              <xdr:cNvSpPr txBox="1"/>
            </xdr:nvSpPr>
            <xdr:spPr>
              <a:xfrm>
                <a:off x="6238717" y="2781301"/>
                <a:ext cx="1829116" cy="39017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US" altLang="zh-CN" sz="2400" b="0" i="1">
                          <a:latin typeface="Cambria Math" panose="02040503050406030204" pitchFamily="18" charset="0"/>
                        </a:rPr>
                        <m:t>𝑌</m:t>
                      </m:r>
                      <m:r>
                        <a:rPr lang="en-US" altLang="zh-CN" sz="2400" b="0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altLang="zh-CN" sz="2400" b="0" i="1">
                          <a:latin typeface="Cambria Math" panose="02040503050406030204" pitchFamily="18" charset="0"/>
                        </a:rPr>
                        <m:t>𝑎</m:t>
                      </m:r>
                      <m:sSup>
                        <m:sSupPr>
                          <m:ctrlPr>
                            <a:rPr lang="en-US" altLang="zh-CN" sz="24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altLang="zh-CN" sz="24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en-US" altLang="zh-CN" sz="2400" b="0" i="1">
                              <a:latin typeface="Cambria Math" panose="02040503050406030204" pitchFamily="18" charset="0"/>
                            </a:rPr>
                            <m:t>𝑏𝑥</m:t>
                          </m:r>
                        </m:sup>
                      </m:sSup>
                    </m:oMath>
                  </m:oMathPara>
                </a14:m>
                <a:endParaRPr lang="zh-CN" altLang="en-US" sz="2400"/>
              </a:p>
            </xdr:txBody>
          </xdr:sp>
        </mc:Choice>
        <mc:Fallback xmlns="" xmlns:r="http://schemas.openxmlformats.org/officeDocument/2006/relationships">
          <xdr:sp>
            <xdr:nvSpPr>
              <xdr:cNvPr id="4" name="文本框 3"/>
              <xdr:cNvSpPr txBox="1"/>
            </xdr:nvSpPr>
            <xdr:spPr>
              <a:xfrm>
                <a:off x="6238717" y="2781301"/>
                <a:ext cx="1829116" cy="39017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r>
                  <a:rPr lang="en-US" altLang="zh-CN" sz="2400" b="0">
                    <a:latin typeface="Cambria Math" panose="02040503050406030204" pitchFamily="18" charset="0"/>
                  </a:rPr>
                  <a:t>𝑌</a:t>
                </a:r>
                <a:r>
                  <a:rPr lang="en-US" altLang="zh-CN" sz="2400" b="0">
                    <a:latin typeface="Cambria Math" panose="02040503050406030204" pitchFamily="18" charset="0"/>
                  </a:rPr>
                  <a:t>=</a:t>
                </a:r>
                <a:r>
                  <a:rPr lang="en-US" altLang="zh-CN" sz="2400" b="0">
                    <a:latin typeface="Cambria Math" panose="02040503050406030204" pitchFamily="18" charset="0"/>
                  </a:rPr>
                  <a:t>𝑎</a:t>
                </a:r>
                <a:r>
                  <a:rPr lang="en-US" altLang="zh-CN" sz="2400" b="0">
                    <a:latin typeface="Cambria Math" panose="02040503050406030204" pitchFamily="18" charset="0"/>
                  </a:rPr>
                  <a:t>𝑒</a:t>
                </a:r>
                <a:r>
                  <a:rPr lang="en-US" altLang="zh-CN" sz="2400" b="0">
                    <a:latin typeface="Cambria Math" panose="02040503050406030204" pitchFamily="18" charset="0"/>
                  </a:rPr>
                  <a:t>^</a:t>
                </a:r>
                <a:r>
                  <a:rPr lang="en-US" altLang="zh-CN" sz="2400" b="0">
                    <a:latin typeface="Cambria Math" panose="02040503050406030204" pitchFamily="18" charset="0"/>
                  </a:rPr>
                  <a:t>𝑏𝑥</a:t>
                </a:r>
                <a:endParaRPr lang="zh-CN" altLang="en-US" sz="2400"/>
              </a:p>
            </xdr:txBody>
          </xdr:sp>
        </mc:Fallback>
      </mc:AlternateContent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23813</xdr:colOff>
      <xdr:row>1</xdr:row>
      <xdr:rowOff>4762</xdr:rowOff>
    </xdr:from>
    <xdr:to>
      <xdr:col>14</xdr:col>
      <xdr:colOff>71437</xdr:colOff>
      <xdr:row>36</xdr:row>
      <xdr:rowOff>14288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103439" y="205845"/>
          <a:ext cx="6926790" cy="6666443"/>
          <a:chOff x="5143501" y="3533775"/>
          <a:chExt cx="6905624" cy="6010275"/>
        </a:xfrm>
      </xdr:grpSpPr>
      <xdr:sp macro="" textlink="">
        <xdr:nvSpPr>
          <xdr:cNvPr id="3" name="TextBox 6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/>
        </xdr:nvSpPr>
        <xdr:spPr>
          <a:xfrm>
            <a:off x="5143501" y="3533775"/>
            <a:ext cx="6905624" cy="6010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题 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某公司制造一种产品，公司最大生产能力为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5000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，固定成本为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24000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元，产品的单价为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24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元，单位可变成本为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9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元，假设当前的销量为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3200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，试在本工作表内完成如下操作：</a:t>
            </a: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1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、计算当前销量下的销售收益、总成本和利润；</a:t>
            </a:r>
            <a:endParaRPr lang="en-US" altLang="zh-CN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2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、在本工作表中进行适当的数据处理后，绘制如下的利润随销量变化图表，要求：</a:t>
            </a:r>
            <a:endParaRPr lang="en-US" altLang="zh-CN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(1)</a:t>
            </a:r>
            <a:r>
              <a:rPr lang="zh-CN" altLang="en-US" sz="1200" baseline="0">
                <a:latin typeface="宋体" panose="02010600030101010101" pitchFamily="7" charset="-122"/>
                <a:ea typeface="宋体" panose="02010600030101010101" pitchFamily="7" charset="-122"/>
              </a:rPr>
              <a:t>盈利区用粉红色背景，亏损区用黄色背景；</a:t>
            </a:r>
            <a:endParaRPr lang="zh-CN" altLang="en-US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(2)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在图中添加一个数值调节钮，使其能调节当前销量的值（从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0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变化到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5000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，步长为</a:t>
            </a:r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200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），并在文本框中显示当前销量下的利润；</a:t>
            </a:r>
            <a:endParaRPr lang="en-US" altLang="zh-CN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(3)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用户在利用</a:t>
            </a:r>
            <a:r>
              <a:rPr lang="zh-CN" altLang="zh-CN" sz="1200">
                <a:solidFill>
                  <a:schemeClr val="dk1"/>
                </a:solidFill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数值调节钮</a:t>
            </a:r>
            <a:r>
              <a:rPr lang="zh-CN" altLang="en-US" sz="1200">
                <a:solidFill>
                  <a:schemeClr val="dk1"/>
                </a:solidFill>
                <a:effectLst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改变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当前销量的值时，图中有一个代表当前销量下的利润的绿色柱形会左右移动，并会在其上显示利润值；</a:t>
            </a:r>
            <a:endParaRPr lang="en-US" altLang="zh-CN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r>
              <a:rPr lang="en-US" altLang="zh-CN" sz="1200">
                <a:latin typeface="宋体" panose="02010600030101010101" pitchFamily="7" charset="-122"/>
                <a:ea typeface="宋体" panose="02010600030101010101" pitchFamily="7" charset="-122"/>
              </a:rPr>
              <a:t>(4)</a:t>
            </a:r>
            <a:r>
              <a:rPr lang="zh-CN" altLang="en-US" sz="1200">
                <a:latin typeface="宋体" panose="02010600030101010101" pitchFamily="7" charset="-122"/>
                <a:ea typeface="宋体" panose="02010600030101010101" pitchFamily="7" charset="-122"/>
              </a:rPr>
              <a:t>在图中绘制关于单价的分组框和选项按钮控件，当用户选中某个单价后，图表会作相应调整。</a:t>
            </a:r>
            <a:endParaRPr lang="en-US" altLang="zh-CN" sz="1200"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endParaRPr lang="zh-CN" altLang="en-US" sz="1200"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601075" y="5734050"/>
            <a:ext cx="5990476" cy="3285714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295275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314325</xdr:colOff>
      <xdr:row>0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0" y="0"/>
          <a:ext cx="2895600" cy="0"/>
          <a:chOff x="639" y="443"/>
          <a:chExt cx="601" cy="561"/>
        </a:xfrm>
      </xdr:grpSpPr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 txBox="1">
            <a:spLocks noChangeArrowheads="1"/>
          </xdr:cNvSpPr>
        </xdr:nvSpPr>
        <xdr:spPr>
          <a:xfrm>
            <a:off x="1442737" y="0"/>
            <a:ext cx="601" cy="0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     CRR Co. are planning to buy new equipment.  They have two choice, Equipment A or Equipment B.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     The investment, revenue and salvage value(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残值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) of the two equipment are listed in this worksheet.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     If the discount rate is 8%, 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1) Calculate net present value for Equipment A , Equipment B.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2) Calculate internal return rate for Equipment A, Equipment B,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3) Calculate the discount rate when Equipment A and Equipment B have the same net present value.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4) Draw a diagram as shown below.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Arial Unicode MS"/>
                <a:ea typeface="Arial Unicode MS"/>
                <a:cs typeface="Arial Unicode MS"/>
              </a:rPr>
              <a:t>5) Add a vertical reference line and a point(with the NPV value) where Equipment A and Equipment B have the dame NPV.</a:t>
            </a:r>
          </a:p>
          <a:p>
            <a:pPr algn="l" rtl="0">
              <a:defRPr sz="1000"/>
            </a:pPr>
            <a:endParaRPr lang="en-US" altLang="zh-CN" sz="1200" b="0" i="0" u="none" strike="noStrike" baseline="0">
              <a:solidFill>
                <a:srgbClr val="000000"/>
              </a:solidFill>
              <a:latin typeface="Arial Unicode MS"/>
              <a:ea typeface="Arial Unicode MS"/>
              <a:cs typeface="Arial Unicode MS"/>
            </a:endParaRPr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672" y="717"/>
            <a:ext cx="535" cy="2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0</xdr:colOff>
      <xdr:row>0</xdr:row>
      <xdr:rowOff>142875</xdr:rowOff>
    </xdr:from>
    <xdr:to>
      <xdr:col>12</xdr:col>
      <xdr:colOff>501650</xdr:colOff>
      <xdr:row>35</xdr:row>
      <xdr:rowOff>128587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4772025" y="142875"/>
          <a:ext cx="5988050" cy="5986462"/>
          <a:chOff x="8848725" y="2962275"/>
          <a:chExt cx="5762625" cy="5981700"/>
        </a:xfrm>
        <a:solidFill>
          <a:schemeClr val="accent1">
            <a:lumMod val="20000"/>
            <a:lumOff val="80000"/>
          </a:schemeClr>
        </a:solidFill>
      </xdr:grpSpPr>
      <xdr:sp macro="" textlink="">
        <xdr:nvSpPr>
          <xdr:cNvPr id="7" name="Text Box 1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>
            <a:spLocks noChangeArrowheads="1"/>
          </xdr:cNvSpPr>
        </xdr:nvSpPr>
        <xdr:spPr>
          <a:xfrm>
            <a:off x="8848725" y="2962275"/>
            <a:ext cx="5762625" cy="598170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wrap="square" lIns="82800" tIns="82800" rIns="90000" bIns="46800" anchor="t"/>
          <a:lstStyle/>
          <a:p>
            <a:pPr marL="0" indent="0" algn="l" rtl="0">
              <a:lnSpc>
                <a:spcPct val="100000"/>
              </a:lnSpc>
              <a:defRPr sz="1000"/>
            </a:pPr>
            <a:r>
              <a:rPr lang="zh-CN" altLang="zh-CN" sz="10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0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7</a:t>
            </a:r>
            <a:r>
              <a:rPr lang="zh-CN" altLang="zh-CN" sz="10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题 </a:t>
            </a:r>
            <a:r>
              <a:rPr lang="zh-CN" altLang="en-US" sz="1200" b="0" i="0" u="none" strike="noStrike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一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企业计划开设班车用以接送员工上下班，班车预计开行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年。考虑两种方案：</a:t>
            </a:r>
          </a:p>
          <a:p>
            <a:pPr marL="0" indent="0" algn="l" rtl="0">
              <a:lnSpc>
                <a:spcPct val="100000"/>
              </a:lnSpc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方案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：购买车辆，购买车辆的费用为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200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万，其中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50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万以现金支付，余下的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150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万从银行贷款，贷款期限为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8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年，贷款利率为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3.0%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，同时每年还需要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5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万的维修保养费，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年后车辆报废还有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万元的报废补贴（残值）。</a:t>
            </a:r>
          </a:p>
          <a:p>
            <a:pPr marL="0" indent="0" algn="l" rtl="0">
              <a:lnSpc>
                <a:spcPct val="100000"/>
              </a:lnSpc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方案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：从租赁公司租车，前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5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年的租车费用为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28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万，后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5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年的租车费用为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30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万元。</a:t>
            </a:r>
          </a:p>
          <a:p>
            <a:pPr marL="0" indent="0" algn="l" rtl="0">
              <a:lnSpc>
                <a:spcPct val="1000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在贴现率为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4.0%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的情况下，请完成下列各项：</a:t>
            </a:r>
          </a:p>
          <a:p>
            <a:pPr marL="0" indent="0" algn="l" rtl="0">
              <a:lnSpc>
                <a:spcPct val="1000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、计算银行贷款每年的等额还款额；</a:t>
            </a:r>
          </a:p>
          <a:p>
            <a:pPr marL="0" indent="0" algn="l" rtl="0">
              <a:lnSpc>
                <a:spcPct val="1000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、计算两种方案的净现值；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  <a:p>
            <a:pPr marL="0" indent="0" algn="l" rtl="0">
              <a:lnSpc>
                <a:spcPct val="1000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3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、给出应该是买车还是租车的决策结论；</a:t>
            </a:r>
          </a:p>
          <a:p>
            <a:pPr marL="0" indent="0" algn="l" rtl="0">
              <a:lnSpc>
                <a:spcPct val="1000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4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、绘制反映贴现率在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～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8%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范围内变化，两个方案净现值变化的图形，并做出反映两个方案相对盈亏平衡时的垂直参考线。</a:t>
            </a:r>
          </a:p>
        </xdr:txBody>
      </xdr:sp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9093249" y="5455678"/>
            <a:ext cx="5305425" cy="3228975"/>
          </a:xfrm>
          <a:prstGeom prst="rect">
            <a:avLst/>
          </a:prstGeom>
          <a:grpFill/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439881</xdr:colOff>
      <xdr:row>2</xdr:row>
      <xdr:rowOff>79085</xdr:rowOff>
    </xdr:from>
    <xdr:to>
      <xdr:col>16</xdr:col>
      <xdr:colOff>619125</xdr:colOff>
      <xdr:row>18</xdr:row>
      <xdr:rowOff>43741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5326206" y="479135"/>
          <a:ext cx="6094269" cy="3165056"/>
          <a:chOff x="5507238" y="234950"/>
          <a:chExt cx="6229350" cy="2635250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 txBox="1">
            <a:spLocks noChangeArrowheads="1"/>
          </xdr:cNvSpPr>
        </xdr:nvSpPr>
        <xdr:spPr>
          <a:xfrm>
            <a:off x="5507238" y="234950"/>
            <a:ext cx="6229350" cy="26352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zh-CN" altLang="zh-CN" sz="1000" b="1"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000" b="1">
                <a:effectLst/>
                <a:latin typeface="+mn-lt"/>
                <a:ea typeface="+mn-ea"/>
                <a:cs typeface="+mn-cs"/>
              </a:rPr>
              <a:t>8</a:t>
            </a:r>
            <a:r>
              <a:rPr lang="zh-CN" altLang="zh-CN" sz="1000" b="1">
                <a:effectLst/>
                <a:latin typeface="+mn-lt"/>
                <a:ea typeface="+mn-ea"/>
                <a:cs typeface="+mn-cs"/>
              </a:rPr>
              <a:t>题 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某企业有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3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个分厂，都可以生产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A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产品和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B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产品。由于所用设备的不同，三家分厂生产每单位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A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、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B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产品时的成本和用电量均不同，见下表。三个分厂能提供的用电量均为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8000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，两种产品的总生产量必须为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500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、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600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件。</a:t>
            </a: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endParaRPr lang="en-US" altLang="zh-CN" sz="12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1">
              <a:defRPr sz="1000"/>
            </a:pP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要求：确定一种使企业总成本达到最优的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3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个分厂生产计划。把规划求解参数保存在</a:t>
            </a:r>
            <a:r>
              <a:rPr lang="en-US" altLang="zh-CN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A1</a:t>
            </a:r>
            <a:r>
              <a:rPr lang="zh-CN" altLang="en-US" sz="12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开始的单元中。</a:t>
            </a:r>
            <a:endPara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6864139" y="979043"/>
            <a:ext cx="3594100" cy="958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641350</xdr:colOff>
      <xdr:row>1</xdr:row>
      <xdr:rowOff>15877</xdr:rowOff>
    </xdr:from>
    <xdr:to>
      <xdr:col>18</xdr:col>
      <xdr:colOff>304799</xdr:colOff>
      <xdr:row>46</xdr:row>
      <xdr:rowOff>82551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pSpPr/>
      </xdr:nvGrpSpPr>
      <xdr:grpSpPr>
        <a:xfrm>
          <a:off x="5112809" y="216960"/>
          <a:ext cx="7442199" cy="9115424"/>
          <a:chOff x="5568950" y="1952627"/>
          <a:chExt cx="7448549" cy="8639174"/>
        </a:xfrm>
      </xdr:grpSpPr>
      <xdr:grpSp>
        <xdr:nvGrpSpPr>
          <xdr:cNvPr id="7" name="组合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GrpSpPr/>
        </xdr:nvGrpSpPr>
        <xdr:grpSpPr>
          <a:xfrm>
            <a:off x="5568950" y="1952627"/>
            <a:ext cx="7448549" cy="8639174"/>
            <a:chOff x="5784850" y="714377"/>
            <a:chExt cx="7448549" cy="8639174"/>
          </a:xfrm>
        </xdr:grpSpPr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SpPr txBox="1"/>
          </xdr:nvSpPr>
          <xdr:spPr>
            <a:xfrm>
              <a:off x="5784850" y="714377"/>
              <a:ext cx="7448549" cy="8639174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zh-CN" altLang="zh-C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第</a:t>
              </a:r>
              <a:r>
                <a:rPr lang="en-US" altLang="zh-C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9</a:t>
              </a:r>
              <a:r>
                <a:rPr lang="zh-CN" altLang="zh-C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题 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A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企业每周对某零件的需求量是离散型随机数，它的概率分布如下表所示：</a:t>
              </a:r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假设初始库存为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1000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件，安全库存为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1500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件，当期末库存低于安全库存时订货，每次订货量为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3000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件，每次的订货成本为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2500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元，到货周期为一至两周的均匀分布，每件每周的储存成本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20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元，缺货成本为每件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300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元。</a:t>
              </a:r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试建立模拟模型，通过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50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次的试验，一年按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52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周计算，完成以下操作：</a:t>
              </a:r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1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、模拟总成本与订货量之间的关系，并显示当订货量在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1000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至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6000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时的总成本，间隔为</a:t>
              </a:r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500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，如下图所示：</a:t>
              </a:r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endParaRPr lang="en-US" altLang="zh-CN" sz="1200">
                <a:latin typeface="宋体" panose="02010600030101010101" pitchFamily="7" charset="-122"/>
                <a:ea typeface="宋体" panose="02010600030101010101" pitchFamily="7" charset="-122"/>
              </a:endParaRPr>
            </a:p>
            <a:p>
              <a:r>
                <a:rPr lang="en-US" altLang="zh-CN" sz="1200">
                  <a:latin typeface="宋体" panose="02010600030101010101" pitchFamily="7" charset="-122"/>
                  <a:ea typeface="宋体" panose="02010600030101010101" pitchFamily="7" charset="-122"/>
                </a:rPr>
                <a:t>2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、模拟</a:t>
              </a:r>
              <a:r>
                <a:rPr lang="zh-CN" altLang="zh-CN" sz="1200">
                  <a:solidFill>
                    <a:schemeClr val="dk1"/>
                  </a:solidFill>
                  <a:effectLst/>
                  <a:latin typeface="宋体" panose="02010600030101010101" pitchFamily="7" charset="-122"/>
                  <a:ea typeface="宋体" panose="02010600030101010101" pitchFamily="7" charset="-122"/>
                  <a:cs typeface="+mn-cs"/>
                </a:rPr>
                <a:t>每周期末</a:t>
              </a:r>
              <a:r>
                <a:rPr lang="zh-CN" altLang="en-US" sz="1200">
                  <a:latin typeface="宋体" panose="02010600030101010101" pitchFamily="7" charset="-122"/>
                  <a:ea typeface="宋体" panose="02010600030101010101" pitchFamily="7" charset="-122"/>
                </a:rPr>
                <a:t>库存变化情况与所在周的库存情况，如下图所示：</a:t>
              </a:r>
            </a:p>
          </xdr:txBody>
        </xdr:sp>
        <xdr:pic>
          <xdr:nvPicPr>
            <xdr:cNvPr id="5" name="图片 4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7271868" y="2639899"/>
              <a:ext cx="4474512" cy="291504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</xdr:pic>
        <xdr:pic>
          <xdr:nvPicPr>
            <xdr:cNvPr id="6" name="图片 5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7283618" y="6115053"/>
              <a:ext cx="4451012" cy="2961412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</xdr:pic>
      </xdr:grpSp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6927471" y="2344628"/>
            <a:ext cx="4731506" cy="47400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12" sqref="C12"/>
    </sheetView>
  </sheetViews>
  <sheetFormatPr defaultColWidth="9" defaultRowHeight="15.75" x14ac:dyDescent="0.4"/>
  <sheetData>
    <row r="1" spans="1:1" x14ac:dyDescent="0.4">
      <c r="A1" s="64" t="s">
        <v>0</v>
      </c>
    </row>
  </sheetData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3" sqref="F13"/>
    </sheetView>
  </sheetViews>
  <sheetFormatPr defaultColWidth="9" defaultRowHeight="13.5" x14ac:dyDescent="0.3"/>
  <cols>
    <col min="1" max="16384" width="9" style="41"/>
  </cols>
  <sheetData/>
  <phoneticPr fontId="1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1"/>
  <sheetViews>
    <sheetView tabSelected="1" topLeftCell="A50" zoomScale="70" zoomScaleNormal="70" workbookViewId="0">
      <selection activeCell="K51" sqref="K51:M52"/>
    </sheetView>
  </sheetViews>
  <sheetFormatPr defaultColWidth="9" defaultRowHeight="15" x14ac:dyDescent="0.4"/>
  <cols>
    <col min="1" max="1" width="10.5" style="57" customWidth="1"/>
    <col min="2" max="2" width="11.625" style="57" customWidth="1"/>
    <col min="3" max="3" width="9.5" style="57" customWidth="1"/>
    <col min="4" max="4" width="8.5" style="57" customWidth="1"/>
    <col min="5" max="5" width="6" style="57" customWidth="1"/>
    <col min="6" max="6" width="11.625" style="57" customWidth="1"/>
    <col min="7" max="8" width="9.125" style="56" customWidth="1"/>
    <col min="9" max="10" width="9" style="56"/>
    <col min="11" max="11" width="16.375" style="56" customWidth="1"/>
    <col min="12" max="12" width="14" style="56" customWidth="1"/>
    <col min="13" max="16384" width="9" style="56"/>
  </cols>
  <sheetData>
    <row r="1" spans="1:13" ht="15.75" x14ac:dyDescent="0.4">
      <c r="A1" s="58" t="s">
        <v>1</v>
      </c>
      <c r="B1" s="58" t="s">
        <v>2</v>
      </c>
      <c r="C1" s="58" t="s">
        <v>3</v>
      </c>
      <c r="D1" s="58" t="s">
        <v>4</v>
      </c>
      <c r="E1" s="58" t="s">
        <v>5</v>
      </c>
      <c r="F1" s="58" t="s">
        <v>6</v>
      </c>
      <c r="G1" s="65" t="s">
        <v>506</v>
      </c>
    </row>
    <row r="2" spans="1:13" ht="15.75" x14ac:dyDescent="0.4">
      <c r="A2" s="59" t="s">
        <v>7</v>
      </c>
      <c r="B2" s="60">
        <v>200931101</v>
      </c>
      <c r="C2" s="59" t="s">
        <v>8</v>
      </c>
      <c r="D2" s="59" t="s">
        <v>9</v>
      </c>
      <c r="E2" s="61">
        <v>74</v>
      </c>
      <c r="F2" s="59" t="s">
        <v>10</v>
      </c>
      <c r="G2" s="56">
        <f>LOOKUP(E2,{0,60,64,68,72,75,78,82,85,90},{0,1,1.7,2,2.3,2.7,3,3.3,3.7,4})</f>
        <v>2.2999999999999998</v>
      </c>
      <c r="H2" s="56">
        <v>2</v>
      </c>
    </row>
    <row r="3" spans="1:13" ht="15.75" x14ac:dyDescent="0.4">
      <c r="A3" s="59" t="s">
        <v>7</v>
      </c>
      <c r="B3" s="60">
        <v>200931102</v>
      </c>
      <c r="C3" s="59" t="s">
        <v>11</v>
      </c>
      <c r="D3" s="59" t="s">
        <v>9</v>
      </c>
      <c r="E3" s="61">
        <v>85</v>
      </c>
      <c r="F3" s="59" t="s">
        <v>10</v>
      </c>
      <c r="G3" s="56">
        <f>LOOKUP(E3,{0,60,64,68,72,75,78,82,85,90},{0,1,1.7,2,2.3,2.7,3,3.3,3.7,4})</f>
        <v>3.7</v>
      </c>
      <c r="H3" s="58" t="s">
        <v>1</v>
      </c>
      <c r="K3" s="66" t="s">
        <v>12</v>
      </c>
      <c r="L3" s="66"/>
      <c r="M3" s="66"/>
    </row>
    <row r="4" spans="1:13" ht="15.75" x14ac:dyDescent="0.4">
      <c r="A4" s="59" t="s">
        <v>7</v>
      </c>
      <c r="B4" s="60">
        <v>200931103</v>
      </c>
      <c r="C4" s="59" t="s">
        <v>13</v>
      </c>
      <c r="D4" s="59" t="s">
        <v>9</v>
      </c>
      <c r="E4" s="61">
        <v>81</v>
      </c>
      <c r="F4" s="59" t="s">
        <v>10</v>
      </c>
      <c r="G4" s="56">
        <f>LOOKUP(E4,{0,60,64,68,72,75,78,82,85,90},{0,1,1.7,2,2.3,2.7,3,3.3,3.7,4})</f>
        <v>3</v>
      </c>
      <c r="H4" s="59" t="s">
        <v>7</v>
      </c>
      <c r="K4" s="62" t="s">
        <v>14</v>
      </c>
      <c r="L4" s="62" t="s">
        <v>15</v>
      </c>
      <c r="M4" s="62" t="s">
        <v>16</v>
      </c>
    </row>
    <row r="5" spans="1:13" ht="15.75" x14ac:dyDescent="0.4">
      <c r="A5" s="59" t="s">
        <v>7</v>
      </c>
      <c r="B5" s="60">
        <v>200931104</v>
      </c>
      <c r="C5" s="59" t="s">
        <v>17</v>
      </c>
      <c r="D5" s="59" t="s">
        <v>9</v>
      </c>
      <c r="E5" s="61">
        <v>80</v>
      </c>
      <c r="F5" s="59" t="s">
        <v>10</v>
      </c>
      <c r="G5" s="56">
        <f>LOOKUP(E5,{0,60,64,68,72,75,78,82,85,90},{0,1,1.7,2,2.3,2.7,3,3.3,3.7,4})</f>
        <v>3</v>
      </c>
      <c r="H5" s="59" t="s">
        <v>152</v>
      </c>
      <c r="K5" s="62" t="s">
        <v>18</v>
      </c>
      <c r="L5" s="62" t="s">
        <v>19</v>
      </c>
      <c r="M5" s="62">
        <v>4</v>
      </c>
    </row>
    <row r="6" spans="1:13" ht="15.75" x14ac:dyDescent="0.4">
      <c r="A6" s="59" t="s">
        <v>7</v>
      </c>
      <c r="B6" s="60">
        <v>200931105</v>
      </c>
      <c r="C6" s="59" t="s">
        <v>20</v>
      </c>
      <c r="D6" s="59" t="s">
        <v>9</v>
      </c>
      <c r="E6" s="61">
        <v>100</v>
      </c>
      <c r="F6" s="59" t="s">
        <v>10</v>
      </c>
      <c r="G6" s="56">
        <f>LOOKUP(E6,{0,60,64,68,72,75,78,82,85,90},{0,1,1.7,2,2.3,2.7,3,3.3,3.7,4})</f>
        <v>4</v>
      </c>
      <c r="H6" s="59" t="s">
        <v>294</v>
      </c>
      <c r="K6" s="62" t="s">
        <v>21</v>
      </c>
      <c r="L6" s="62" t="s">
        <v>22</v>
      </c>
      <c r="M6" s="62">
        <v>3.7</v>
      </c>
    </row>
    <row r="7" spans="1:13" ht="15.75" x14ac:dyDescent="0.4">
      <c r="A7" s="59" t="s">
        <v>7</v>
      </c>
      <c r="B7" s="60">
        <v>200931106</v>
      </c>
      <c r="C7" s="59" t="s">
        <v>23</v>
      </c>
      <c r="D7" s="59" t="s">
        <v>9</v>
      </c>
      <c r="E7" s="61">
        <v>80</v>
      </c>
      <c r="F7" s="59" t="s">
        <v>10</v>
      </c>
      <c r="G7" s="56">
        <f>LOOKUP(E7,{0,60,64,68,72,75,78,82,85,90},{0,1,1.7,2,2.3,2.7,3,3.3,3.7,4})</f>
        <v>3</v>
      </c>
      <c r="H7" s="57"/>
      <c r="K7" s="62" t="s">
        <v>24</v>
      </c>
      <c r="L7" s="62" t="s">
        <v>25</v>
      </c>
      <c r="M7" s="62">
        <v>3.3</v>
      </c>
    </row>
    <row r="8" spans="1:13" ht="15.75" x14ac:dyDescent="0.4">
      <c r="A8" s="59" t="s">
        <v>7</v>
      </c>
      <c r="B8" s="60">
        <v>200931107</v>
      </c>
      <c r="C8" s="59" t="s">
        <v>26</v>
      </c>
      <c r="D8" s="59" t="s">
        <v>9</v>
      </c>
      <c r="E8" s="61">
        <v>84</v>
      </c>
      <c r="F8" s="59" t="s">
        <v>10</v>
      </c>
      <c r="G8" s="56">
        <f>LOOKUP(E8,{0,60,64,68,72,75,78,82,85,90},{0,1,1.7,2,2.3,2.7,3,3.3,3.7,4})</f>
        <v>3.3</v>
      </c>
      <c r="H8" s="56">
        <v>2</v>
      </c>
      <c r="K8" s="62" t="s">
        <v>27</v>
      </c>
      <c r="L8" s="62" t="s">
        <v>28</v>
      </c>
      <c r="M8" s="62">
        <v>3</v>
      </c>
    </row>
    <row r="9" spans="1:13" ht="15.75" x14ac:dyDescent="0.4">
      <c r="A9" s="59" t="s">
        <v>7</v>
      </c>
      <c r="B9" s="60">
        <v>200931108</v>
      </c>
      <c r="C9" s="59" t="s">
        <v>29</v>
      </c>
      <c r="D9" s="59" t="s">
        <v>9</v>
      </c>
      <c r="E9" s="61">
        <v>72</v>
      </c>
      <c r="F9" s="59" t="s">
        <v>10</v>
      </c>
      <c r="G9" s="56">
        <f>LOOKUP(E9,{0,60,64,68,72,75,78,82,85,90},{0,1,1.7,2,2.3,2.7,3,3.3,3.7,4})</f>
        <v>2.2999999999999998</v>
      </c>
      <c r="H9" s="65" t="s">
        <v>499</v>
      </c>
      <c r="K9" s="62" t="s">
        <v>30</v>
      </c>
      <c r="L9" s="62" t="s">
        <v>31</v>
      </c>
      <c r="M9" s="62">
        <v>2.7</v>
      </c>
    </row>
    <row r="10" spans="1:13" ht="15.75" x14ac:dyDescent="0.4">
      <c r="A10" s="59" t="s">
        <v>7</v>
      </c>
      <c r="B10" s="60">
        <v>200931109</v>
      </c>
      <c r="C10" s="59" t="s">
        <v>32</v>
      </c>
      <c r="D10" s="59" t="s">
        <v>9</v>
      </c>
      <c r="E10" s="61">
        <v>70</v>
      </c>
      <c r="F10" s="59" t="s">
        <v>10</v>
      </c>
      <c r="G10" s="56">
        <f>LOOKUP(E10,{0,60,64,68,72,75,78,82,85,90},{0,1,1.7,2,2.3,2.7,3,3.3,3.7,4})</f>
        <v>2</v>
      </c>
      <c r="H10" s="65" t="s">
        <v>500</v>
      </c>
      <c r="K10" s="62" t="s">
        <v>33</v>
      </c>
      <c r="L10" s="62" t="s">
        <v>34</v>
      </c>
      <c r="M10" s="62">
        <v>2.2999999999999998</v>
      </c>
    </row>
    <row r="11" spans="1:13" ht="15.75" x14ac:dyDescent="0.4">
      <c r="A11" s="59" t="s">
        <v>7</v>
      </c>
      <c r="B11" s="60">
        <v>200931110</v>
      </c>
      <c r="C11" s="59" t="s">
        <v>35</v>
      </c>
      <c r="D11" s="59" t="s">
        <v>9</v>
      </c>
      <c r="E11" s="61">
        <v>90</v>
      </c>
      <c r="F11" s="59" t="s">
        <v>10</v>
      </c>
      <c r="G11" s="56">
        <f>LOOKUP(E11,{0,60,64,68,72,75,78,82,85,90},{0,1,1.7,2,2.3,2.7,3,3.3,3.7,4})</f>
        <v>4</v>
      </c>
      <c r="H11" s="65" t="s">
        <v>501</v>
      </c>
      <c r="K11" s="62" t="s">
        <v>36</v>
      </c>
      <c r="L11" s="62" t="s">
        <v>37</v>
      </c>
      <c r="M11" s="62">
        <v>2</v>
      </c>
    </row>
    <row r="12" spans="1:13" ht="15.75" x14ac:dyDescent="0.4">
      <c r="A12" s="59" t="s">
        <v>7</v>
      </c>
      <c r="B12" s="60">
        <v>200931111</v>
      </c>
      <c r="C12" s="59" t="s">
        <v>38</v>
      </c>
      <c r="D12" s="59" t="s">
        <v>9</v>
      </c>
      <c r="E12" s="61">
        <v>84</v>
      </c>
      <c r="F12" s="59" t="s">
        <v>10</v>
      </c>
      <c r="G12" s="56">
        <f>LOOKUP(E12,{0,60,64,68,72,75,78,82,85,90},{0,1,1.7,2,2.3,2.7,3,3.3,3.7,4})</f>
        <v>3.3</v>
      </c>
      <c r="K12" s="62" t="s">
        <v>39</v>
      </c>
      <c r="L12" s="62" t="s">
        <v>40</v>
      </c>
      <c r="M12" s="62">
        <v>1.7</v>
      </c>
    </row>
    <row r="13" spans="1:13" ht="15.75" x14ac:dyDescent="0.4">
      <c r="A13" s="59" t="s">
        <v>7</v>
      </c>
      <c r="B13" s="60">
        <v>200931112</v>
      </c>
      <c r="C13" s="59" t="s">
        <v>41</v>
      </c>
      <c r="D13" s="59" t="s">
        <v>9</v>
      </c>
      <c r="E13" s="61">
        <v>73</v>
      </c>
      <c r="F13" s="59" t="s">
        <v>10</v>
      </c>
      <c r="G13" s="56">
        <f>LOOKUP(E13,{0,60,64,68,72,75,78,82,85,90},{0,1,1.7,2,2.3,2.7,3,3.3,3.7,4})</f>
        <v>2.2999999999999998</v>
      </c>
      <c r="K13" s="62" t="s">
        <v>42</v>
      </c>
      <c r="L13" s="62" t="s">
        <v>43</v>
      </c>
      <c r="M13" s="62">
        <v>1</v>
      </c>
    </row>
    <row r="14" spans="1:13" ht="15.75" x14ac:dyDescent="0.4">
      <c r="A14" s="59" t="s">
        <v>7</v>
      </c>
      <c r="B14" s="60">
        <v>200931113</v>
      </c>
      <c r="C14" s="59" t="s">
        <v>44</v>
      </c>
      <c r="D14" s="59" t="s">
        <v>9</v>
      </c>
      <c r="E14" s="61">
        <v>79</v>
      </c>
      <c r="F14" s="59" t="s">
        <v>10</v>
      </c>
      <c r="G14" s="56">
        <f>LOOKUP(E14,{0,60,64,68,72,75,78,82,85,90},{0,1,1.7,2,2.3,2.7,3,3.3,3.7,4})</f>
        <v>3</v>
      </c>
      <c r="K14" s="62" t="s">
        <v>45</v>
      </c>
      <c r="L14" s="62" t="s">
        <v>46</v>
      </c>
      <c r="M14" s="62">
        <v>0</v>
      </c>
    </row>
    <row r="15" spans="1:13" ht="15.75" x14ac:dyDescent="0.4">
      <c r="A15" s="59" t="s">
        <v>7</v>
      </c>
      <c r="B15" s="60">
        <v>200931114</v>
      </c>
      <c r="C15" s="59" t="s">
        <v>47</v>
      </c>
      <c r="D15" s="59" t="s">
        <v>9</v>
      </c>
      <c r="E15" s="61">
        <v>89</v>
      </c>
      <c r="F15" s="59" t="s">
        <v>10</v>
      </c>
      <c r="G15" s="56">
        <f>LOOKUP(E15,{0,60,64,68,72,75,78,82,85,90},{0,1,1.7,2,2.3,2.7,3,3.3,3.7,4})</f>
        <v>3.7</v>
      </c>
    </row>
    <row r="16" spans="1:13" ht="15.75" x14ac:dyDescent="0.4">
      <c r="A16" s="59" t="s">
        <v>7</v>
      </c>
      <c r="B16" s="60">
        <v>200931115</v>
      </c>
      <c r="C16" s="59" t="s">
        <v>48</v>
      </c>
      <c r="D16" s="59" t="s">
        <v>9</v>
      </c>
      <c r="E16" s="61">
        <v>53</v>
      </c>
      <c r="F16" s="59" t="s">
        <v>10</v>
      </c>
      <c r="G16" s="56">
        <f>LOOKUP(E16,{0,60,64,68,72,75,78,82,85,90},{0,1,1.7,2,2.3,2.7,3,3.3,3.7,4})</f>
        <v>0</v>
      </c>
    </row>
    <row r="17" spans="1:7" ht="15.75" x14ac:dyDescent="0.4">
      <c r="A17" s="59" t="s">
        <v>7</v>
      </c>
      <c r="B17" s="60">
        <v>200931116</v>
      </c>
      <c r="C17" s="59" t="s">
        <v>49</v>
      </c>
      <c r="D17" s="59" t="s">
        <v>9</v>
      </c>
      <c r="E17" s="61">
        <v>74</v>
      </c>
      <c r="F17" s="59" t="s">
        <v>10</v>
      </c>
      <c r="G17" s="56">
        <f>LOOKUP(E17,{0,60,64,68,72,75,78,82,85,90},{0,1,1.7,2,2.3,2.7,3,3.3,3.7,4})</f>
        <v>2.2999999999999998</v>
      </c>
    </row>
    <row r="18" spans="1:7" ht="15.75" x14ac:dyDescent="0.4">
      <c r="A18" s="59" t="s">
        <v>7</v>
      </c>
      <c r="B18" s="60">
        <v>200931117</v>
      </c>
      <c r="C18" s="59" t="s">
        <v>50</v>
      </c>
      <c r="D18" s="59" t="s">
        <v>9</v>
      </c>
      <c r="E18" s="61">
        <v>71</v>
      </c>
      <c r="F18" s="59" t="s">
        <v>10</v>
      </c>
      <c r="G18" s="56">
        <f>LOOKUP(E18,{0,60,64,68,72,75,78,82,85,90},{0,1,1.7,2,2.3,2.7,3,3.3,3.7,4})</f>
        <v>2</v>
      </c>
    </row>
    <row r="19" spans="1:7" ht="15.75" x14ac:dyDescent="0.4">
      <c r="A19" s="59" t="s">
        <v>7</v>
      </c>
      <c r="B19" s="60">
        <v>200931118</v>
      </c>
      <c r="C19" s="59" t="s">
        <v>51</v>
      </c>
      <c r="D19" s="59" t="s">
        <v>9</v>
      </c>
      <c r="E19" s="61">
        <v>90</v>
      </c>
      <c r="F19" s="59" t="s">
        <v>10</v>
      </c>
      <c r="G19" s="56">
        <f>LOOKUP(E19,{0,60,64,68,72,75,78,82,85,90},{0,1,1.7,2,2.3,2.7,3,3.3,3.7,4})</f>
        <v>4</v>
      </c>
    </row>
    <row r="20" spans="1:7" ht="15.75" x14ac:dyDescent="0.4">
      <c r="A20" s="59" t="s">
        <v>7</v>
      </c>
      <c r="B20" s="60">
        <v>200931119</v>
      </c>
      <c r="C20" s="59" t="s">
        <v>52</v>
      </c>
      <c r="D20" s="59" t="s">
        <v>9</v>
      </c>
      <c r="E20" s="61">
        <v>71</v>
      </c>
      <c r="F20" s="59" t="s">
        <v>53</v>
      </c>
      <c r="G20" s="56">
        <f>LOOKUP(E20,{0,60,64,68,72,75,78,82,85,90},{0,1,1.7,2,2.3,2.7,3,3.3,3.7,4})</f>
        <v>2</v>
      </c>
    </row>
    <row r="21" spans="1:7" ht="15.75" x14ac:dyDescent="0.4">
      <c r="A21" s="59" t="s">
        <v>7</v>
      </c>
      <c r="B21" s="60">
        <v>200931120</v>
      </c>
      <c r="C21" s="59" t="s">
        <v>54</v>
      </c>
      <c r="D21" s="59" t="s">
        <v>9</v>
      </c>
      <c r="E21" s="61">
        <v>80</v>
      </c>
      <c r="F21" s="59" t="s">
        <v>10</v>
      </c>
      <c r="G21" s="56">
        <f>LOOKUP(E21,{0,60,64,68,72,75,78,82,85,90},{0,1,1.7,2,2.3,2.7,3,3.3,3.7,4})</f>
        <v>3</v>
      </c>
    </row>
    <row r="22" spans="1:7" ht="15.75" x14ac:dyDescent="0.4">
      <c r="A22" s="59" t="s">
        <v>7</v>
      </c>
      <c r="B22" s="60">
        <v>200931121</v>
      </c>
      <c r="C22" s="59" t="s">
        <v>55</v>
      </c>
      <c r="D22" s="59" t="s">
        <v>9</v>
      </c>
      <c r="E22" s="61">
        <v>99</v>
      </c>
      <c r="F22" s="59" t="s">
        <v>10</v>
      </c>
      <c r="G22" s="56">
        <f>LOOKUP(E22,{0,60,64,68,72,75,78,82,85,90},{0,1,1.7,2,2.3,2.7,3,3.3,3.7,4})</f>
        <v>4</v>
      </c>
    </row>
    <row r="23" spans="1:7" ht="15.75" x14ac:dyDescent="0.4">
      <c r="A23" s="59" t="s">
        <v>7</v>
      </c>
      <c r="B23" s="60">
        <v>200931122</v>
      </c>
      <c r="C23" s="59" t="s">
        <v>56</v>
      </c>
      <c r="D23" s="59" t="s">
        <v>9</v>
      </c>
      <c r="E23" s="61">
        <v>64</v>
      </c>
      <c r="F23" s="59" t="s">
        <v>10</v>
      </c>
      <c r="G23" s="56">
        <f>LOOKUP(E23,{0,60,64,68,72,75,78,82,85,90},{0,1,1.7,2,2.3,2.7,3,3.3,3.7,4})</f>
        <v>1.7</v>
      </c>
    </row>
    <row r="24" spans="1:7" ht="15.75" x14ac:dyDescent="0.4">
      <c r="A24" s="59" t="s">
        <v>7</v>
      </c>
      <c r="B24" s="60">
        <v>200931123</v>
      </c>
      <c r="C24" s="59" t="s">
        <v>57</v>
      </c>
      <c r="D24" s="59" t="s">
        <v>9</v>
      </c>
      <c r="E24" s="61">
        <v>60</v>
      </c>
      <c r="F24" s="59" t="s">
        <v>10</v>
      </c>
      <c r="G24" s="56">
        <f>LOOKUP(E24,{0,60,64,68,72,75,78,82,85,90},{0,1,1.7,2,2.3,2.7,3,3.3,3.7,4})</f>
        <v>1</v>
      </c>
    </row>
    <row r="25" spans="1:7" ht="15.75" x14ac:dyDescent="0.4">
      <c r="A25" s="59" t="s">
        <v>7</v>
      </c>
      <c r="B25" s="60">
        <v>200931124</v>
      </c>
      <c r="C25" s="59" t="s">
        <v>58</v>
      </c>
      <c r="D25" s="59" t="s">
        <v>9</v>
      </c>
      <c r="E25" s="61">
        <v>70</v>
      </c>
      <c r="F25" s="59" t="s">
        <v>10</v>
      </c>
      <c r="G25" s="56">
        <f>LOOKUP(E25,{0,60,64,68,72,75,78,82,85,90},{0,1,1.7,2,2.3,2.7,3,3.3,3.7,4})</f>
        <v>2</v>
      </c>
    </row>
    <row r="26" spans="1:7" ht="15.75" x14ac:dyDescent="0.4">
      <c r="A26" s="59" t="s">
        <v>7</v>
      </c>
      <c r="B26" s="60">
        <v>200931125</v>
      </c>
      <c r="C26" s="59" t="s">
        <v>59</v>
      </c>
      <c r="D26" s="59" t="s">
        <v>9</v>
      </c>
      <c r="E26" s="61">
        <v>81</v>
      </c>
      <c r="F26" s="59" t="s">
        <v>10</v>
      </c>
      <c r="G26" s="56">
        <f>LOOKUP(E26,{0,60,64,68,72,75,78,82,85,90},{0,1,1.7,2,2.3,2.7,3,3.3,3.7,4})</f>
        <v>3</v>
      </c>
    </row>
    <row r="27" spans="1:7" ht="15.75" x14ac:dyDescent="0.4">
      <c r="A27" s="59" t="s">
        <v>7</v>
      </c>
      <c r="B27" s="60">
        <v>200931126</v>
      </c>
      <c r="C27" s="59" t="s">
        <v>60</v>
      </c>
      <c r="D27" s="59" t="s">
        <v>9</v>
      </c>
      <c r="E27" s="61">
        <v>77</v>
      </c>
      <c r="F27" s="59" t="s">
        <v>10</v>
      </c>
      <c r="G27" s="56">
        <f>LOOKUP(E27,{0,60,64,68,72,75,78,82,85,90},{0,1,1.7,2,2.3,2.7,3,3.3,3.7,4})</f>
        <v>2.7</v>
      </c>
    </row>
    <row r="28" spans="1:7" ht="15.75" x14ac:dyDescent="0.4">
      <c r="A28" s="59" t="s">
        <v>7</v>
      </c>
      <c r="B28" s="60">
        <v>200931127</v>
      </c>
      <c r="C28" s="59" t="s">
        <v>61</v>
      </c>
      <c r="D28" s="59" t="s">
        <v>9</v>
      </c>
      <c r="E28" s="61">
        <v>67</v>
      </c>
      <c r="F28" s="59" t="s">
        <v>10</v>
      </c>
      <c r="G28" s="56">
        <f>LOOKUP(E28,{0,60,64,68,72,75,78,82,85,90},{0,1,1.7,2,2.3,2.7,3,3.3,3.7,4})</f>
        <v>1.7</v>
      </c>
    </row>
    <row r="29" spans="1:7" ht="15.75" x14ac:dyDescent="0.4">
      <c r="A29" s="59" t="s">
        <v>7</v>
      </c>
      <c r="B29" s="60">
        <v>200931128</v>
      </c>
      <c r="C29" s="59" t="s">
        <v>62</v>
      </c>
      <c r="D29" s="59" t="s">
        <v>9</v>
      </c>
      <c r="E29" s="61">
        <v>73</v>
      </c>
      <c r="F29" s="59" t="s">
        <v>10</v>
      </c>
      <c r="G29" s="56">
        <f>LOOKUP(E29,{0,60,64,68,72,75,78,82,85,90},{0,1,1.7,2,2.3,2.7,3,3.3,3.7,4})</f>
        <v>2.2999999999999998</v>
      </c>
    </row>
    <row r="30" spans="1:7" ht="15.75" x14ac:dyDescent="0.4">
      <c r="A30" s="59" t="s">
        <v>7</v>
      </c>
      <c r="B30" s="60">
        <v>200931129</v>
      </c>
      <c r="C30" s="59" t="s">
        <v>63</v>
      </c>
      <c r="D30" s="59" t="s">
        <v>9</v>
      </c>
      <c r="E30" s="61">
        <v>85</v>
      </c>
      <c r="F30" s="59" t="s">
        <v>10</v>
      </c>
      <c r="G30" s="56">
        <f>LOOKUP(E30,{0,60,64,68,72,75,78,82,85,90},{0,1,1.7,2,2.3,2.7,3,3.3,3.7,4})</f>
        <v>3.7</v>
      </c>
    </row>
    <row r="31" spans="1:7" ht="15.75" x14ac:dyDescent="0.4">
      <c r="A31" s="59" t="s">
        <v>7</v>
      </c>
      <c r="B31" s="60">
        <v>200931201</v>
      </c>
      <c r="C31" s="59" t="s">
        <v>64</v>
      </c>
      <c r="D31" s="59" t="s">
        <v>65</v>
      </c>
      <c r="E31" s="61">
        <v>73</v>
      </c>
      <c r="F31" s="59" t="s">
        <v>10</v>
      </c>
      <c r="G31" s="56">
        <f>LOOKUP(E31,{0,60,64,68,72,75,78,82,85,90},{0,1,1.7,2,2.3,2.7,3,3.3,3.7,4})</f>
        <v>2.2999999999999998</v>
      </c>
    </row>
    <row r="32" spans="1:7" ht="15.75" x14ac:dyDescent="0.4">
      <c r="A32" s="59" t="s">
        <v>7</v>
      </c>
      <c r="B32" s="60">
        <v>200931202</v>
      </c>
      <c r="C32" s="59" t="s">
        <v>66</v>
      </c>
      <c r="D32" s="59" t="s">
        <v>65</v>
      </c>
      <c r="E32" s="61">
        <v>69</v>
      </c>
      <c r="F32" s="59" t="s">
        <v>10</v>
      </c>
      <c r="G32" s="56">
        <f>LOOKUP(E32,{0,60,64,68,72,75,78,82,85,90},{0,1,1.7,2,2.3,2.7,3,3.3,3.7,4})</f>
        <v>2</v>
      </c>
    </row>
    <row r="33" spans="1:13" ht="15.75" x14ac:dyDescent="0.4">
      <c r="A33" s="59" t="s">
        <v>7</v>
      </c>
      <c r="B33" s="60">
        <v>200931203</v>
      </c>
      <c r="C33" s="59" t="s">
        <v>67</v>
      </c>
      <c r="D33" s="59" t="s">
        <v>65</v>
      </c>
      <c r="E33" s="61">
        <v>92</v>
      </c>
      <c r="F33" s="59" t="s">
        <v>10</v>
      </c>
      <c r="G33" s="56">
        <f>LOOKUP(E33,{0,60,64,68,72,75,78,82,85,90},{0,1,1.7,2,2.3,2.7,3,3.3,3.7,4})</f>
        <v>4</v>
      </c>
    </row>
    <row r="34" spans="1:13" ht="15.75" x14ac:dyDescent="0.4">
      <c r="A34" s="59" t="s">
        <v>7</v>
      </c>
      <c r="B34" s="60">
        <v>200931204</v>
      </c>
      <c r="C34" s="59" t="s">
        <v>68</v>
      </c>
      <c r="D34" s="59" t="s">
        <v>65</v>
      </c>
      <c r="E34" s="61">
        <v>65</v>
      </c>
      <c r="F34" s="59" t="s">
        <v>10</v>
      </c>
      <c r="G34" s="56">
        <f>LOOKUP(E34,{0,60,64,68,72,75,78,82,85,90},{0,1,1.7,2,2.3,2.7,3,3.3,3.7,4})</f>
        <v>1.7</v>
      </c>
    </row>
    <row r="35" spans="1:13" ht="15.75" x14ac:dyDescent="0.4">
      <c r="A35" s="59" t="s">
        <v>7</v>
      </c>
      <c r="B35" s="60">
        <v>200931205</v>
      </c>
      <c r="C35" s="59" t="s">
        <v>69</v>
      </c>
      <c r="D35" s="59" t="s">
        <v>65</v>
      </c>
      <c r="E35" s="61">
        <v>97</v>
      </c>
      <c r="F35" s="59" t="s">
        <v>10</v>
      </c>
      <c r="G35" s="56">
        <f>LOOKUP(E35,{0,60,64,68,72,75,78,82,85,90},{0,1,1.7,2,2.3,2.7,3,3.3,3.7,4})</f>
        <v>4</v>
      </c>
    </row>
    <row r="36" spans="1:13" ht="15.75" x14ac:dyDescent="0.4">
      <c r="A36" s="59" t="s">
        <v>7</v>
      </c>
      <c r="B36" s="60">
        <v>200931206</v>
      </c>
      <c r="C36" s="59" t="s">
        <v>70</v>
      </c>
      <c r="D36" s="59" t="s">
        <v>65</v>
      </c>
      <c r="E36" s="61">
        <v>83</v>
      </c>
      <c r="F36" s="59" t="s">
        <v>10</v>
      </c>
      <c r="G36" s="56">
        <f>LOOKUP(E36,{0,60,64,68,72,75,78,82,85,90},{0,1,1.7,2,2.3,2.7,3,3.3,3.7,4})</f>
        <v>3.3</v>
      </c>
    </row>
    <row r="37" spans="1:13" ht="15.75" x14ac:dyDescent="0.4">
      <c r="A37" s="59" t="s">
        <v>7</v>
      </c>
      <c r="B37" s="60">
        <v>200931207</v>
      </c>
      <c r="C37" s="59" t="s">
        <v>71</v>
      </c>
      <c r="D37" s="59" t="s">
        <v>65</v>
      </c>
      <c r="E37" s="61">
        <v>72</v>
      </c>
      <c r="F37" s="59" t="s">
        <v>10</v>
      </c>
      <c r="G37" s="56">
        <f>LOOKUP(E37,{0,60,64,68,72,75,78,82,85,90},{0,1,1.7,2,2.3,2.7,3,3.3,3.7,4})</f>
        <v>2.2999999999999998</v>
      </c>
    </row>
    <row r="38" spans="1:13" ht="15.75" x14ac:dyDescent="0.4">
      <c r="A38" s="59" t="s">
        <v>7</v>
      </c>
      <c r="B38" s="60">
        <v>200931208</v>
      </c>
      <c r="C38" s="59" t="s">
        <v>72</v>
      </c>
      <c r="D38" s="59" t="s">
        <v>65</v>
      </c>
      <c r="E38" s="61">
        <v>71</v>
      </c>
      <c r="F38" s="59" t="s">
        <v>10</v>
      </c>
      <c r="G38" s="56">
        <f>LOOKUP(E38,{0,60,64,68,72,75,78,82,85,90},{0,1,1.7,2,2.3,2.7,3,3.3,3.7,4})</f>
        <v>2</v>
      </c>
    </row>
    <row r="39" spans="1:13" ht="15.75" x14ac:dyDescent="0.4">
      <c r="A39" s="59" t="s">
        <v>7</v>
      </c>
      <c r="B39" s="60">
        <v>200931209</v>
      </c>
      <c r="C39" s="59" t="s">
        <v>73</v>
      </c>
      <c r="D39" s="59" t="s">
        <v>65</v>
      </c>
      <c r="E39" s="61">
        <v>65</v>
      </c>
      <c r="F39" s="59" t="s">
        <v>10</v>
      </c>
      <c r="G39" s="56">
        <f>LOOKUP(E39,{0,60,64,68,72,75,78,82,85,90},{0,1,1.7,2,2.3,2.7,3,3.3,3.7,4})</f>
        <v>1.7</v>
      </c>
    </row>
    <row r="40" spans="1:13" ht="15.75" x14ac:dyDescent="0.4">
      <c r="A40" s="59" t="s">
        <v>7</v>
      </c>
      <c r="B40" s="60">
        <v>200931210</v>
      </c>
      <c r="C40" s="59" t="s">
        <v>74</v>
      </c>
      <c r="D40" s="59" t="s">
        <v>65</v>
      </c>
      <c r="E40" s="61">
        <v>77</v>
      </c>
      <c r="F40" s="59" t="s">
        <v>10</v>
      </c>
      <c r="G40" s="56">
        <f>LOOKUP(E40,{0,60,64,68,72,75,78,82,85,90},{0,1,1.7,2,2.3,2.7,3,3.3,3.7,4})</f>
        <v>2.7</v>
      </c>
    </row>
    <row r="41" spans="1:13" ht="15.75" x14ac:dyDescent="0.4">
      <c r="A41" s="59" t="s">
        <v>7</v>
      </c>
      <c r="B41" s="60">
        <v>200931211</v>
      </c>
      <c r="C41" s="59" t="s">
        <v>75</v>
      </c>
      <c r="D41" s="59" t="s">
        <v>65</v>
      </c>
      <c r="E41" s="61">
        <v>97</v>
      </c>
      <c r="F41" s="59" t="s">
        <v>53</v>
      </c>
      <c r="G41" s="56">
        <f>LOOKUP(E41,{0,60,64,68,72,75,78,82,85,90},{0,1,1.7,2,2.3,2.7,3,3.3,3.7,4})</f>
        <v>4</v>
      </c>
    </row>
    <row r="42" spans="1:13" ht="15.75" x14ac:dyDescent="0.4">
      <c r="A42" s="59" t="s">
        <v>7</v>
      </c>
      <c r="B42" s="60">
        <v>200931212</v>
      </c>
      <c r="C42" s="59" t="s">
        <v>76</v>
      </c>
      <c r="D42" s="59" t="s">
        <v>65</v>
      </c>
      <c r="E42" s="61">
        <v>99</v>
      </c>
      <c r="F42" s="59" t="s">
        <v>10</v>
      </c>
      <c r="G42" s="56">
        <f>LOOKUP(E42,{0,60,64,68,72,75,78,82,85,90},{0,1,1.7,2,2.3,2.7,3,3.3,3.7,4})</f>
        <v>4</v>
      </c>
    </row>
    <row r="43" spans="1:13" ht="15.75" x14ac:dyDescent="0.4">
      <c r="A43" s="59" t="s">
        <v>7</v>
      </c>
      <c r="B43" s="60">
        <v>200931213</v>
      </c>
      <c r="C43" s="59" t="s">
        <v>77</v>
      </c>
      <c r="D43" s="59" t="s">
        <v>65</v>
      </c>
      <c r="E43" s="61">
        <v>65</v>
      </c>
      <c r="F43" s="59" t="s">
        <v>10</v>
      </c>
      <c r="G43" s="56">
        <f>LOOKUP(E43,{0,60,64,68,72,75,78,82,85,90},{0,1,1.7,2,2.3,2.7,3,3.3,3.7,4})</f>
        <v>1.7</v>
      </c>
    </row>
    <row r="44" spans="1:13" ht="15.75" x14ac:dyDescent="0.4">
      <c r="A44" s="59" t="s">
        <v>7</v>
      </c>
      <c r="B44" s="60">
        <v>200931214</v>
      </c>
      <c r="C44" s="59" t="s">
        <v>78</v>
      </c>
      <c r="D44" s="59" t="s">
        <v>65</v>
      </c>
      <c r="E44" s="61">
        <v>87</v>
      </c>
      <c r="F44" s="59" t="s">
        <v>10</v>
      </c>
      <c r="G44" s="56">
        <f>LOOKUP(E44,{0,60,64,68,72,75,78,82,85,90},{0,1,1.7,2,2.3,2.7,3,3.3,3.7,4})</f>
        <v>3.7</v>
      </c>
    </row>
    <row r="45" spans="1:13" ht="15.75" x14ac:dyDescent="0.4">
      <c r="A45" s="59" t="s">
        <v>7</v>
      </c>
      <c r="B45" s="60">
        <v>200931215</v>
      </c>
      <c r="C45" s="59" t="s">
        <v>79</v>
      </c>
      <c r="D45" s="59" t="s">
        <v>65</v>
      </c>
      <c r="E45" s="61">
        <v>81</v>
      </c>
      <c r="F45" s="59" t="s">
        <v>10</v>
      </c>
      <c r="G45" s="56">
        <f>LOOKUP(E45,{0,60,64,68,72,75,78,82,85,90},{0,1,1.7,2,2.3,2.7,3,3.3,3.7,4})</f>
        <v>3</v>
      </c>
      <c r="L45" s="65" t="s">
        <v>499</v>
      </c>
      <c r="M45" s="56">
        <f>DAVERAGE(A:G,"成绩",$I$46:$J$47)</f>
        <v>76.594202898550719</v>
      </c>
    </row>
    <row r="46" spans="1:13" ht="15.75" x14ac:dyDescent="0.4">
      <c r="A46" s="59" t="s">
        <v>7</v>
      </c>
      <c r="B46" s="60">
        <v>200931216</v>
      </c>
      <c r="C46" s="59" t="s">
        <v>80</v>
      </c>
      <c r="D46" s="59" t="s">
        <v>65</v>
      </c>
      <c r="E46" s="61">
        <v>52</v>
      </c>
      <c r="F46" s="59" t="s">
        <v>10</v>
      </c>
      <c r="G46" s="56">
        <f>LOOKUP(E46,{0,60,64,68,72,75,78,82,85,90},{0,1,1.7,2,2.3,2.7,3,3.3,3.7,4})</f>
        <v>0</v>
      </c>
      <c r="I46" s="65" t="s">
        <v>502</v>
      </c>
      <c r="J46" s="65" t="s">
        <v>503</v>
      </c>
      <c r="L46" s="65" t="s">
        <v>500</v>
      </c>
      <c r="M46" s="56">
        <f>DAVERAGE(A:G,"绩点",$I$46:$J$47)</f>
        <v>2.6695652173913031</v>
      </c>
    </row>
    <row r="47" spans="1:13" ht="15.75" x14ac:dyDescent="0.4">
      <c r="A47" s="59" t="s">
        <v>7</v>
      </c>
      <c r="B47" s="60">
        <v>200931217</v>
      </c>
      <c r="C47" s="59" t="s">
        <v>81</v>
      </c>
      <c r="D47" s="59" t="s">
        <v>65</v>
      </c>
      <c r="E47" s="61">
        <v>87</v>
      </c>
      <c r="F47" s="59" t="s">
        <v>10</v>
      </c>
      <c r="G47" s="56">
        <f>LOOKUP(E47,{0,60,64,68,72,75,78,82,85,90},{0,1,1.7,2,2.3,2.7,3,3.3,3.7,4})</f>
        <v>3.7</v>
      </c>
      <c r="I47" s="56" t="str" cm="1">
        <f t="array" ref="I47">INDEX($H$4:$H$6,$H$2)</f>
        <v>信息学院</v>
      </c>
      <c r="L47" s="65" t="s">
        <v>501</v>
      </c>
      <c r="M47" s="56">
        <f>DCOUNTA(A:G,"学号",$I$46:$J$47)</f>
        <v>138</v>
      </c>
    </row>
    <row r="48" spans="1:13" ht="15.75" x14ac:dyDescent="0.4">
      <c r="A48" s="59" t="s">
        <v>7</v>
      </c>
      <c r="B48" s="60">
        <v>200931218</v>
      </c>
      <c r="C48" s="59" t="s">
        <v>82</v>
      </c>
      <c r="D48" s="59" t="s">
        <v>65</v>
      </c>
      <c r="E48" s="61">
        <v>93</v>
      </c>
      <c r="F48" s="59" t="s">
        <v>10</v>
      </c>
      <c r="G48" s="56">
        <f>LOOKUP(E48,{0,60,64,68,72,75,78,82,85,90},{0,1,1.7,2,2.3,2.7,3,3.3,3.7,4})</f>
        <v>4</v>
      </c>
    </row>
    <row r="49" spans="1:13" ht="15.75" x14ac:dyDescent="0.4">
      <c r="A49" s="59" t="s">
        <v>7</v>
      </c>
      <c r="B49" s="60">
        <v>200931219</v>
      </c>
      <c r="C49" s="59" t="s">
        <v>83</v>
      </c>
      <c r="D49" s="59" t="s">
        <v>65</v>
      </c>
      <c r="E49" s="61">
        <v>94</v>
      </c>
      <c r="F49" s="59" t="s">
        <v>10</v>
      </c>
      <c r="G49" s="56">
        <f>LOOKUP(E49,{0,60,64,68,72,75,78,82,85,90},{0,1,1.7,2,2.3,2.7,3,3.3,3.7,4})</f>
        <v>4</v>
      </c>
    </row>
    <row r="50" spans="1:13" ht="15.75" x14ac:dyDescent="0.4">
      <c r="A50" s="59" t="s">
        <v>7</v>
      </c>
      <c r="B50" s="60">
        <v>200931220</v>
      </c>
      <c r="C50" s="59" t="s">
        <v>84</v>
      </c>
      <c r="D50" s="59" t="s">
        <v>65</v>
      </c>
      <c r="E50" s="61">
        <v>94</v>
      </c>
      <c r="F50" s="59" t="s">
        <v>10</v>
      </c>
      <c r="G50" s="56">
        <f>LOOKUP(E50,{0,60,64,68,72,75,78,82,85,90},{0,1,1.7,2,2.3,2.7,3,3.3,3.7,4})</f>
        <v>4</v>
      </c>
    </row>
    <row r="51" spans="1:13" ht="15.75" x14ac:dyDescent="0.4">
      <c r="A51" s="59" t="s">
        <v>7</v>
      </c>
      <c r="B51" s="60">
        <v>200931221</v>
      </c>
      <c r="C51" s="59" t="s">
        <v>85</v>
      </c>
      <c r="D51" s="59" t="s">
        <v>65</v>
      </c>
      <c r="E51" s="61">
        <v>89</v>
      </c>
      <c r="F51" s="59" t="s">
        <v>10</v>
      </c>
      <c r="G51" s="56">
        <f>LOOKUP(E51,{0,60,64,68,72,75,78,82,85,90},{0,1,1.7,2,2.3,2.7,3,3.3,3.7,4})</f>
        <v>3.7</v>
      </c>
      <c r="K51" s="65" t="s">
        <v>504</v>
      </c>
      <c r="L51" s="65" t="s">
        <v>507</v>
      </c>
      <c r="M51" s="65" t="s">
        <v>505</v>
      </c>
    </row>
    <row r="52" spans="1:13" ht="15.75" x14ac:dyDescent="0.4">
      <c r="A52" s="59" t="s">
        <v>7</v>
      </c>
      <c r="B52" s="60">
        <v>200931222</v>
      </c>
      <c r="C52" s="59" t="s">
        <v>86</v>
      </c>
      <c r="D52" s="59" t="s">
        <v>65</v>
      </c>
      <c r="E52" s="61">
        <v>5</v>
      </c>
      <c r="F52" s="59" t="s">
        <v>10</v>
      </c>
      <c r="G52" s="56">
        <f>LOOKUP(E52,{0,60,64,68,72,75,78,82,85,90},{0,1,1.7,2,2.3,2.7,3,3.3,3.7,4})</f>
        <v>0</v>
      </c>
      <c r="J52" s="56">
        <f>M45</f>
        <v>76.594202898550719</v>
      </c>
      <c r="K52" s="56">
        <f t="dataTable" ref="K52:M54" dt2D="0" dtr="1" r1="J47"/>
        <v>73.456521739130437</v>
      </c>
      <c r="L52" s="56">
        <v>79.152173913043484</v>
      </c>
      <c r="M52" s="56">
        <v>77.173913043478265</v>
      </c>
    </row>
    <row r="53" spans="1:13" ht="15.75" x14ac:dyDescent="0.4">
      <c r="A53" s="59" t="s">
        <v>7</v>
      </c>
      <c r="B53" s="60">
        <v>200931223</v>
      </c>
      <c r="C53" s="59" t="s">
        <v>87</v>
      </c>
      <c r="D53" s="59" t="s">
        <v>65</v>
      </c>
      <c r="E53" s="61">
        <v>100</v>
      </c>
      <c r="F53" s="59" t="s">
        <v>10</v>
      </c>
      <c r="G53" s="56">
        <f>LOOKUP(E53,{0,60,64,68,72,75,78,82,85,90},{0,1,1.7,2,2.3,2.7,3,3.3,3.7,4})</f>
        <v>4</v>
      </c>
      <c r="J53" s="56">
        <f>M46</f>
        <v>2.6695652173913031</v>
      </c>
      <c r="K53" s="56">
        <v>2.4130434782608701</v>
      </c>
      <c r="L53" s="56">
        <v>2.8434782608695657</v>
      </c>
      <c r="M53" s="56">
        <v>2.7521739130434786</v>
      </c>
    </row>
    <row r="54" spans="1:13" ht="15.75" x14ac:dyDescent="0.4">
      <c r="A54" s="59" t="s">
        <v>7</v>
      </c>
      <c r="B54" s="60">
        <v>200931224</v>
      </c>
      <c r="C54" s="59" t="s">
        <v>88</v>
      </c>
      <c r="D54" s="59" t="s">
        <v>65</v>
      </c>
      <c r="E54" s="61">
        <v>89</v>
      </c>
      <c r="F54" s="59" t="s">
        <v>10</v>
      </c>
      <c r="G54" s="56">
        <f>LOOKUP(E54,{0,60,64,68,72,75,78,82,85,90},{0,1,1.7,2,2.3,2.7,3,3.3,3.7,4})</f>
        <v>3.7</v>
      </c>
      <c r="J54" s="56">
        <f>M47</f>
        <v>138</v>
      </c>
      <c r="K54" s="56">
        <v>46</v>
      </c>
      <c r="L54" s="56">
        <v>46</v>
      </c>
      <c r="M54" s="56">
        <v>46</v>
      </c>
    </row>
    <row r="55" spans="1:13" ht="15.75" x14ac:dyDescent="0.4">
      <c r="A55" s="59" t="s">
        <v>7</v>
      </c>
      <c r="B55" s="60">
        <v>200931225</v>
      </c>
      <c r="C55" s="59" t="s">
        <v>89</v>
      </c>
      <c r="D55" s="59" t="s">
        <v>65</v>
      </c>
      <c r="E55" s="61">
        <v>71</v>
      </c>
      <c r="F55" s="59" t="s">
        <v>10</v>
      </c>
      <c r="G55" s="56">
        <f>LOOKUP(E55,{0,60,64,68,72,75,78,82,85,90},{0,1,1.7,2,2.3,2.7,3,3.3,3.7,4})</f>
        <v>2</v>
      </c>
    </row>
    <row r="56" spans="1:13" ht="15.75" x14ac:dyDescent="0.4">
      <c r="A56" s="59" t="s">
        <v>7</v>
      </c>
      <c r="B56" s="60">
        <v>200931226</v>
      </c>
      <c r="C56" s="59" t="s">
        <v>90</v>
      </c>
      <c r="D56" s="59" t="s">
        <v>65</v>
      </c>
      <c r="E56" s="61">
        <v>88</v>
      </c>
      <c r="F56" s="59" t="s">
        <v>10</v>
      </c>
      <c r="G56" s="56">
        <f>LOOKUP(E56,{0,60,64,68,72,75,78,82,85,90},{0,1,1.7,2,2.3,2.7,3,3.3,3.7,4})</f>
        <v>3.7</v>
      </c>
    </row>
    <row r="57" spans="1:13" ht="15.75" x14ac:dyDescent="0.4">
      <c r="A57" s="59" t="s">
        <v>7</v>
      </c>
      <c r="B57" s="60">
        <v>200931227</v>
      </c>
      <c r="C57" s="59" t="s">
        <v>91</v>
      </c>
      <c r="D57" s="59" t="s">
        <v>65</v>
      </c>
      <c r="E57" s="61">
        <v>60</v>
      </c>
      <c r="F57" s="59" t="s">
        <v>10</v>
      </c>
      <c r="G57" s="56">
        <f>LOOKUP(E57,{0,60,64,68,72,75,78,82,85,90},{0,1,1.7,2,2.3,2.7,3,3.3,3.7,4})</f>
        <v>1</v>
      </c>
    </row>
    <row r="58" spans="1:13" ht="15.75" x14ac:dyDescent="0.4">
      <c r="A58" s="59" t="s">
        <v>7</v>
      </c>
      <c r="B58" s="60">
        <v>200931228</v>
      </c>
      <c r="C58" s="59" t="s">
        <v>92</v>
      </c>
      <c r="D58" s="59" t="s">
        <v>65</v>
      </c>
      <c r="E58" s="61">
        <v>86</v>
      </c>
      <c r="F58" s="59" t="s">
        <v>10</v>
      </c>
      <c r="G58" s="56">
        <f>LOOKUP(E58,{0,60,64,68,72,75,78,82,85,90},{0,1,1.7,2,2.3,2.7,3,3.3,3.7,4})</f>
        <v>3.7</v>
      </c>
    </row>
    <row r="59" spans="1:13" ht="15.75" x14ac:dyDescent="0.4">
      <c r="A59" s="59" t="s">
        <v>7</v>
      </c>
      <c r="B59" s="60">
        <v>200931229</v>
      </c>
      <c r="C59" s="59" t="s">
        <v>93</v>
      </c>
      <c r="D59" s="59" t="s">
        <v>65</v>
      </c>
      <c r="E59" s="61">
        <v>91</v>
      </c>
      <c r="F59" s="59" t="s">
        <v>10</v>
      </c>
      <c r="G59" s="56">
        <f>LOOKUP(E59,{0,60,64,68,72,75,78,82,85,90},{0,1,1.7,2,2.3,2.7,3,3.3,3.7,4})</f>
        <v>4</v>
      </c>
    </row>
    <row r="60" spans="1:13" ht="15.75" x14ac:dyDescent="0.4">
      <c r="A60" s="59" t="s">
        <v>7</v>
      </c>
      <c r="B60" s="60">
        <v>200931230</v>
      </c>
      <c r="C60" s="59" t="s">
        <v>94</v>
      </c>
      <c r="D60" s="59" t="s">
        <v>65</v>
      </c>
      <c r="E60" s="61">
        <v>92</v>
      </c>
      <c r="F60" s="59" t="s">
        <v>10</v>
      </c>
      <c r="G60" s="56">
        <f>LOOKUP(E60,{0,60,64,68,72,75,78,82,85,90},{0,1,1.7,2,2.3,2.7,3,3.3,3.7,4})</f>
        <v>4</v>
      </c>
    </row>
    <row r="61" spans="1:13" ht="15.75" x14ac:dyDescent="0.4">
      <c r="A61" s="59" t="s">
        <v>7</v>
      </c>
      <c r="B61" s="60">
        <v>200931231</v>
      </c>
      <c r="C61" s="59" t="s">
        <v>95</v>
      </c>
      <c r="D61" s="59" t="s">
        <v>65</v>
      </c>
      <c r="E61" s="61">
        <v>52</v>
      </c>
      <c r="F61" s="59" t="s">
        <v>10</v>
      </c>
      <c r="G61" s="56">
        <f>LOOKUP(E61,{0,60,64,68,72,75,78,82,85,90},{0,1,1.7,2,2.3,2.7,3,3.3,3.7,4})</f>
        <v>0</v>
      </c>
    </row>
    <row r="62" spans="1:13" ht="15.75" x14ac:dyDescent="0.4">
      <c r="A62" s="59" t="s">
        <v>7</v>
      </c>
      <c r="B62" s="60">
        <v>200931232</v>
      </c>
      <c r="C62" s="59" t="s">
        <v>96</v>
      </c>
      <c r="D62" s="59" t="s">
        <v>65</v>
      </c>
      <c r="E62" s="61">
        <v>70</v>
      </c>
      <c r="F62" s="59" t="s">
        <v>10</v>
      </c>
      <c r="G62" s="56">
        <f>LOOKUP(E62,{0,60,64,68,72,75,78,82,85,90},{0,1,1.7,2,2.3,2.7,3,3.3,3.7,4})</f>
        <v>2</v>
      </c>
    </row>
    <row r="63" spans="1:13" ht="15.75" x14ac:dyDescent="0.4">
      <c r="A63" s="59" t="s">
        <v>7</v>
      </c>
      <c r="B63" s="60">
        <v>200931233</v>
      </c>
      <c r="C63" s="59" t="s">
        <v>97</v>
      </c>
      <c r="D63" s="59" t="s">
        <v>65</v>
      </c>
      <c r="E63" s="61">
        <v>97</v>
      </c>
      <c r="F63" s="59" t="s">
        <v>10</v>
      </c>
      <c r="G63" s="56">
        <f>LOOKUP(E63,{0,60,64,68,72,75,78,82,85,90},{0,1,1.7,2,2.3,2.7,3,3.3,3.7,4})</f>
        <v>4</v>
      </c>
    </row>
    <row r="64" spans="1:13" ht="15.75" x14ac:dyDescent="0.4">
      <c r="A64" s="59" t="s">
        <v>7</v>
      </c>
      <c r="B64" s="60">
        <v>200933101</v>
      </c>
      <c r="C64" s="59" t="s">
        <v>98</v>
      </c>
      <c r="D64" s="59" t="s">
        <v>99</v>
      </c>
      <c r="E64" s="61">
        <v>65</v>
      </c>
      <c r="F64" s="59" t="s">
        <v>10</v>
      </c>
      <c r="G64" s="56">
        <f>LOOKUP(E64,{0,60,64,68,72,75,78,82,85,90},{0,1,1.7,2,2.3,2.7,3,3.3,3.7,4})</f>
        <v>1.7</v>
      </c>
    </row>
    <row r="65" spans="1:7" ht="15.75" x14ac:dyDescent="0.4">
      <c r="A65" s="59" t="s">
        <v>7</v>
      </c>
      <c r="B65" s="60">
        <v>200933102</v>
      </c>
      <c r="C65" s="59" t="s">
        <v>100</v>
      </c>
      <c r="D65" s="59" t="s">
        <v>99</v>
      </c>
      <c r="E65" s="61">
        <v>78</v>
      </c>
      <c r="F65" s="59" t="s">
        <v>53</v>
      </c>
      <c r="G65" s="56">
        <f>LOOKUP(E65,{0,60,64,68,72,75,78,82,85,90},{0,1,1.7,2,2.3,2.7,3,3.3,3.7,4})</f>
        <v>3</v>
      </c>
    </row>
    <row r="66" spans="1:7" ht="15.75" x14ac:dyDescent="0.4">
      <c r="A66" s="59" t="s">
        <v>7</v>
      </c>
      <c r="B66" s="60">
        <v>200933103</v>
      </c>
      <c r="C66" s="59" t="s">
        <v>101</v>
      </c>
      <c r="D66" s="59" t="s">
        <v>99</v>
      </c>
      <c r="E66" s="61">
        <v>80</v>
      </c>
      <c r="F66" s="59" t="s">
        <v>10</v>
      </c>
      <c r="G66" s="56">
        <f>LOOKUP(E66,{0,60,64,68,72,75,78,82,85,90},{0,1,1.7,2,2.3,2.7,3,3.3,3.7,4})</f>
        <v>3</v>
      </c>
    </row>
    <row r="67" spans="1:7" ht="15.75" x14ac:dyDescent="0.4">
      <c r="A67" s="59" t="s">
        <v>7</v>
      </c>
      <c r="B67" s="60">
        <v>200933104</v>
      </c>
      <c r="C67" s="59" t="s">
        <v>102</v>
      </c>
      <c r="D67" s="59" t="s">
        <v>99</v>
      </c>
      <c r="E67" s="61">
        <v>84</v>
      </c>
      <c r="F67" s="59" t="s">
        <v>53</v>
      </c>
      <c r="G67" s="56">
        <f>LOOKUP(E67,{0,60,64,68,72,75,78,82,85,90},{0,1,1.7,2,2.3,2.7,3,3.3,3.7,4})</f>
        <v>3.3</v>
      </c>
    </row>
    <row r="68" spans="1:7" ht="15.75" x14ac:dyDescent="0.4">
      <c r="A68" s="59" t="s">
        <v>7</v>
      </c>
      <c r="B68" s="60">
        <v>200933105</v>
      </c>
      <c r="C68" s="59" t="s">
        <v>103</v>
      </c>
      <c r="D68" s="59" t="s">
        <v>99</v>
      </c>
      <c r="E68" s="61">
        <v>72</v>
      </c>
      <c r="F68" s="59" t="s">
        <v>10</v>
      </c>
      <c r="G68" s="56">
        <f>LOOKUP(E68,{0,60,64,68,72,75,78,82,85,90},{0,1,1.7,2,2.3,2.7,3,3.3,3.7,4})</f>
        <v>2.2999999999999998</v>
      </c>
    </row>
    <row r="69" spans="1:7" ht="15.75" x14ac:dyDescent="0.4">
      <c r="A69" s="59" t="s">
        <v>7</v>
      </c>
      <c r="B69" s="60">
        <v>200933106</v>
      </c>
      <c r="C69" s="59" t="s">
        <v>104</v>
      </c>
      <c r="D69" s="59" t="s">
        <v>99</v>
      </c>
      <c r="E69" s="61">
        <v>80</v>
      </c>
      <c r="F69" s="59" t="s">
        <v>10</v>
      </c>
      <c r="G69" s="56">
        <f>LOOKUP(E69,{0,60,64,68,72,75,78,82,85,90},{0,1,1.7,2,2.3,2.7,3,3.3,3.7,4})</f>
        <v>3</v>
      </c>
    </row>
    <row r="70" spans="1:7" ht="15.75" x14ac:dyDescent="0.4">
      <c r="A70" s="59" t="s">
        <v>7</v>
      </c>
      <c r="B70" s="60">
        <v>200933107</v>
      </c>
      <c r="C70" s="59" t="s">
        <v>105</v>
      </c>
      <c r="D70" s="59" t="s">
        <v>99</v>
      </c>
      <c r="E70" s="61">
        <v>64</v>
      </c>
      <c r="F70" s="59" t="s">
        <v>10</v>
      </c>
      <c r="G70" s="56">
        <f>LOOKUP(E70,{0,60,64,68,72,75,78,82,85,90},{0,1,1.7,2,2.3,2.7,3,3.3,3.7,4})</f>
        <v>1.7</v>
      </c>
    </row>
    <row r="71" spans="1:7" ht="15.75" x14ac:dyDescent="0.4">
      <c r="A71" s="59" t="s">
        <v>7</v>
      </c>
      <c r="B71" s="60">
        <v>200933108</v>
      </c>
      <c r="C71" s="59" t="s">
        <v>106</v>
      </c>
      <c r="D71" s="59" t="s">
        <v>99</v>
      </c>
      <c r="E71" s="61">
        <v>77</v>
      </c>
      <c r="F71" s="59" t="s">
        <v>10</v>
      </c>
      <c r="G71" s="56">
        <f>LOOKUP(E71,{0,60,64,68,72,75,78,82,85,90},{0,1,1.7,2,2.3,2.7,3,3.3,3.7,4})</f>
        <v>2.7</v>
      </c>
    </row>
    <row r="72" spans="1:7" ht="15.75" x14ac:dyDescent="0.4">
      <c r="A72" s="59" t="s">
        <v>7</v>
      </c>
      <c r="B72" s="60">
        <v>200933109</v>
      </c>
      <c r="C72" s="59" t="s">
        <v>107</v>
      </c>
      <c r="D72" s="59" t="s">
        <v>99</v>
      </c>
      <c r="E72" s="61">
        <v>72</v>
      </c>
      <c r="F72" s="59" t="s">
        <v>10</v>
      </c>
      <c r="G72" s="56">
        <f>LOOKUP(E72,{0,60,64,68,72,75,78,82,85,90},{0,1,1.7,2,2.3,2.7,3,3.3,3.7,4})</f>
        <v>2.2999999999999998</v>
      </c>
    </row>
    <row r="73" spans="1:7" ht="15.75" x14ac:dyDescent="0.4">
      <c r="A73" s="59" t="s">
        <v>7</v>
      </c>
      <c r="B73" s="60">
        <v>200933110</v>
      </c>
      <c r="C73" s="59" t="s">
        <v>108</v>
      </c>
      <c r="D73" s="59" t="s">
        <v>99</v>
      </c>
      <c r="E73" s="61">
        <v>89</v>
      </c>
      <c r="F73" s="59" t="s">
        <v>10</v>
      </c>
      <c r="G73" s="56">
        <f>LOOKUP(E73,{0,60,64,68,72,75,78,82,85,90},{0,1,1.7,2,2.3,2.7,3,3.3,3.7,4})</f>
        <v>3.7</v>
      </c>
    </row>
    <row r="74" spans="1:7" ht="15.75" x14ac:dyDescent="0.4">
      <c r="A74" s="59" t="s">
        <v>7</v>
      </c>
      <c r="B74" s="60">
        <v>200933111</v>
      </c>
      <c r="C74" s="59" t="s">
        <v>109</v>
      </c>
      <c r="D74" s="59" t="s">
        <v>99</v>
      </c>
      <c r="E74" s="61">
        <v>65</v>
      </c>
      <c r="F74" s="59" t="s">
        <v>10</v>
      </c>
      <c r="G74" s="56">
        <f>LOOKUP(E74,{0,60,64,68,72,75,78,82,85,90},{0,1,1.7,2,2.3,2.7,3,3.3,3.7,4})</f>
        <v>1.7</v>
      </c>
    </row>
    <row r="75" spans="1:7" ht="15.75" x14ac:dyDescent="0.4">
      <c r="A75" s="59" t="s">
        <v>7</v>
      </c>
      <c r="B75" s="60">
        <v>200933112</v>
      </c>
      <c r="C75" s="59" t="s">
        <v>110</v>
      </c>
      <c r="D75" s="59" t="s">
        <v>99</v>
      </c>
      <c r="E75" s="61">
        <v>78</v>
      </c>
      <c r="F75" s="59" t="s">
        <v>10</v>
      </c>
      <c r="G75" s="56">
        <f>LOOKUP(E75,{0,60,64,68,72,75,78,82,85,90},{0,1,1.7,2,2.3,2.7,3,3.3,3.7,4})</f>
        <v>3</v>
      </c>
    </row>
    <row r="76" spans="1:7" ht="15.75" x14ac:dyDescent="0.4">
      <c r="A76" s="59" t="s">
        <v>7</v>
      </c>
      <c r="B76" s="60">
        <v>200933113</v>
      </c>
      <c r="C76" s="59" t="s">
        <v>111</v>
      </c>
      <c r="D76" s="59" t="s">
        <v>99</v>
      </c>
      <c r="E76" s="61">
        <v>72</v>
      </c>
      <c r="F76" s="59" t="s">
        <v>10</v>
      </c>
      <c r="G76" s="56">
        <f>LOOKUP(E76,{0,60,64,68,72,75,78,82,85,90},{0,1,1.7,2,2.3,2.7,3,3.3,3.7,4})</f>
        <v>2.2999999999999998</v>
      </c>
    </row>
    <row r="77" spans="1:7" ht="15.75" x14ac:dyDescent="0.4">
      <c r="A77" s="59" t="s">
        <v>7</v>
      </c>
      <c r="B77" s="60">
        <v>200933114</v>
      </c>
      <c r="C77" s="59" t="s">
        <v>112</v>
      </c>
      <c r="D77" s="59" t="s">
        <v>99</v>
      </c>
      <c r="E77" s="61">
        <v>72</v>
      </c>
      <c r="F77" s="59" t="s">
        <v>10</v>
      </c>
      <c r="G77" s="56">
        <f>LOOKUP(E77,{0,60,64,68,72,75,78,82,85,90},{0,1,1.7,2,2.3,2.7,3,3.3,3.7,4})</f>
        <v>2.2999999999999998</v>
      </c>
    </row>
    <row r="78" spans="1:7" ht="15.75" x14ac:dyDescent="0.4">
      <c r="A78" s="59" t="s">
        <v>7</v>
      </c>
      <c r="B78" s="60">
        <v>200933115</v>
      </c>
      <c r="C78" s="59" t="s">
        <v>113</v>
      </c>
      <c r="D78" s="59" t="s">
        <v>99</v>
      </c>
      <c r="E78" s="61">
        <v>71</v>
      </c>
      <c r="F78" s="59" t="s">
        <v>10</v>
      </c>
      <c r="G78" s="56">
        <f>LOOKUP(E78,{0,60,64,68,72,75,78,82,85,90},{0,1,1.7,2,2.3,2.7,3,3.3,3.7,4})</f>
        <v>2</v>
      </c>
    </row>
    <row r="79" spans="1:7" ht="15.75" x14ac:dyDescent="0.4">
      <c r="A79" s="59" t="s">
        <v>7</v>
      </c>
      <c r="B79" s="60">
        <v>200933116</v>
      </c>
      <c r="C79" s="59" t="s">
        <v>114</v>
      </c>
      <c r="D79" s="59" t="s">
        <v>99</v>
      </c>
      <c r="E79" s="61">
        <v>95</v>
      </c>
      <c r="F79" s="59" t="s">
        <v>10</v>
      </c>
      <c r="G79" s="56">
        <f>LOOKUP(E79,{0,60,64,68,72,75,78,82,85,90},{0,1,1.7,2,2.3,2.7,3,3.3,3.7,4})</f>
        <v>4</v>
      </c>
    </row>
    <row r="80" spans="1:7" ht="15.75" x14ac:dyDescent="0.4">
      <c r="A80" s="59" t="s">
        <v>7</v>
      </c>
      <c r="B80" s="60">
        <v>200933117</v>
      </c>
      <c r="C80" s="59" t="s">
        <v>115</v>
      </c>
      <c r="D80" s="59" t="s">
        <v>99</v>
      </c>
      <c r="E80" s="61">
        <v>75</v>
      </c>
      <c r="F80" s="59" t="s">
        <v>10</v>
      </c>
      <c r="G80" s="56">
        <f>LOOKUP(E80,{0,60,64,68,72,75,78,82,85,90},{0,1,1.7,2,2.3,2.7,3,3.3,3.7,4})</f>
        <v>2.7</v>
      </c>
    </row>
    <row r="81" spans="1:7" ht="15.75" x14ac:dyDescent="0.4">
      <c r="A81" s="59" t="s">
        <v>7</v>
      </c>
      <c r="B81" s="60">
        <v>200933118</v>
      </c>
      <c r="C81" s="59" t="s">
        <v>116</v>
      </c>
      <c r="D81" s="59" t="s">
        <v>99</v>
      </c>
      <c r="E81" s="61">
        <v>84</v>
      </c>
      <c r="F81" s="59" t="s">
        <v>10</v>
      </c>
      <c r="G81" s="56">
        <f>LOOKUP(E81,{0,60,64,68,72,75,78,82,85,90},{0,1,1.7,2,2.3,2.7,3,3.3,3.7,4})</f>
        <v>3.3</v>
      </c>
    </row>
    <row r="82" spans="1:7" ht="15.75" x14ac:dyDescent="0.4">
      <c r="A82" s="59" t="s">
        <v>7</v>
      </c>
      <c r="B82" s="60">
        <v>200933119</v>
      </c>
      <c r="C82" s="59" t="s">
        <v>117</v>
      </c>
      <c r="D82" s="59" t="s">
        <v>99</v>
      </c>
      <c r="E82" s="61">
        <v>91</v>
      </c>
      <c r="F82" s="59" t="s">
        <v>10</v>
      </c>
      <c r="G82" s="56">
        <f>LOOKUP(E82,{0,60,64,68,72,75,78,82,85,90},{0,1,1.7,2,2.3,2.7,3,3.3,3.7,4})</f>
        <v>4</v>
      </c>
    </row>
    <row r="83" spans="1:7" ht="15.75" x14ac:dyDescent="0.4">
      <c r="A83" s="59" t="s">
        <v>7</v>
      </c>
      <c r="B83" s="60">
        <v>200933120</v>
      </c>
      <c r="C83" s="59" t="s">
        <v>118</v>
      </c>
      <c r="D83" s="59" t="s">
        <v>99</v>
      </c>
      <c r="E83" s="61">
        <v>76</v>
      </c>
      <c r="F83" s="59" t="s">
        <v>10</v>
      </c>
      <c r="G83" s="56">
        <f>LOOKUP(E83,{0,60,64,68,72,75,78,82,85,90},{0,1,1.7,2,2.3,2.7,3,3.3,3.7,4})</f>
        <v>2.7</v>
      </c>
    </row>
    <row r="84" spans="1:7" ht="15.75" x14ac:dyDescent="0.4">
      <c r="A84" s="59" t="s">
        <v>7</v>
      </c>
      <c r="B84" s="60">
        <v>200933121</v>
      </c>
      <c r="C84" s="59" t="s">
        <v>119</v>
      </c>
      <c r="D84" s="59" t="s">
        <v>99</v>
      </c>
      <c r="E84" s="61">
        <v>57</v>
      </c>
      <c r="F84" s="59" t="s">
        <v>10</v>
      </c>
      <c r="G84" s="56">
        <f>LOOKUP(E84,{0,60,64,68,72,75,78,82,85,90},{0,1,1.7,2,2.3,2.7,3,3.3,3.7,4})</f>
        <v>0</v>
      </c>
    </row>
    <row r="85" spans="1:7" ht="15.75" x14ac:dyDescent="0.4">
      <c r="A85" s="59" t="s">
        <v>7</v>
      </c>
      <c r="B85" s="60">
        <v>200933122</v>
      </c>
      <c r="C85" s="59" t="s">
        <v>120</v>
      </c>
      <c r="D85" s="59" t="s">
        <v>99</v>
      </c>
      <c r="E85" s="61">
        <v>66</v>
      </c>
      <c r="F85" s="59" t="s">
        <v>10</v>
      </c>
      <c r="G85" s="56">
        <f>LOOKUP(E85,{0,60,64,68,72,75,78,82,85,90},{0,1,1.7,2,2.3,2.7,3,3.3,3.7,4})</f>
        <v>1.7</v>
      </c>
    </row>
    <row r="86" spans="1:7" ht="15.75" x14ac:dyDescent="0.4">
      <c r="A86" s="59" t="s">
        <v>7</v>
      </c>
      <c r="B86" s="60">
        <v>200933123</v>
      </c>
      <c r="C86" s="59" t="s">
        <v>121</v>
      </c>
      <c r="D86" s="59" t="s">
        <v>99</v>
      </c>
      <c r="E86" s="61">
        <v>50</v>
      </c>
      <c r="F86" s="59" t="s">
        <v>10</v>
      </c>
      <c r="G86" s="56">
        <f>LOOKUP(E86,{0,60,64,68,72,75,78,82,85,90},{0,1,1.7,2,2.3,2.7,3,3.3,3.7,4})</f>
        <v>0</v>
      </c>
    </row>
    <row r="87" spans="1:7" ht="15.75" x14ac:dyDescent="0.4">
      <c r="A87" s="59" t="s">
        <v>7</v>
      </c>
      <c r="B87" s="60">
        <v>200933124</v>
      </c>
      <c r="C87" s="59" t="s">
        <v>122</v>
      </c>
      <c r="D87" s="59" t="s">
        <v>99</v>
      </c>
      <c r="E87" s="61">
        <v>88</v>
      </c>
      <c r="F87" s="59" t="s">
        <v>10</v>
      </c>
      <c r="G87" s="56">
        <f>LOOKUP(E87,{0,60,64,68,72,75,78,82,85,90},{0,1,1.7,2,2.3,2.7,3,3.3,3.7,4})</f>
        <v>3.7</v>
      </c>
    </row>
    <row r="88" spans="1:7" ht="15.75" x14ac:dyDescent="0.4">
      <c r="A88" s="59" t="s">
        <v>7</v>
      </c>
      <c r="B88" s="60">
        <v>200933125</v>
      </c>
      <c r="C88" s="59" t="s">
        <v>123</v>
      </c>
      <c r="D88" s="59" t="s">
        <v>99</v>
      </c>
      <c r="E88" s="61">
        <v>75</v>
      </c>
      <c r="F88" s="59" t="s">
        <v>10</v>
      </c>
      <c r="G88" s="56">
        <f>LOOKUP(E88,{0,60,64,68,72,75,78,82,85,90},{0,1,1.7,2,2.3,2.7,3,3.3,3.7,4})</f>
        <v>2.7</v>
      </c>
    </row>
    <row r="89" spans="1:7" ht="15.75" x14ac:dyDescent="0.4">
      <c r="A89" s="59" t="s">
        <v>7</v>
      </c>
      <c r="B89" s="60">
        <v>200933126</v>
      </c>
      <c r="C89" s="59" t="s">
        <v>124</v>
      </c>
      <c r="D89" s="59" t="s">
        <v>99</v>
      </c>
      <c r="E89" s="61">
        <v>84</v>
      </c>
      <c r="F89" s="59" t="s">
        <v>53</v>
      </c>
      <c r="G89" s="56">
        <f>LOOKUP(E89,{0,60,64,68,72,75,78,82,85,90},{0,1,1.7,2,2.3,2.7,3,3.3,3.7,4})</f>
        <v>3.3</v>
      </c>
    </row>
    <row r="90" spans="1:7" ht="15.75" x14ac:dyDescent="0.4">
      <c r="A90" s="59" t="s">
        <v>7</v>
      </c>
      <c r="B90" s="60">
        <v>200933127</v>
      </c>
      <c r="C90" s="59" t="s">
        <v>125</v>
      </c>
      <c r="D90" s="59" t="s">
        <v>99</v>
      </c>
      <c r="E90" s="61">
        <v>80</v>
      </c>
      <c r="F90" s="59" t="s">
        <v>10</v>
      </c>
      <c r="G90" s="56">
        <f>LOOKUP(E90,{0,60,64,68,72,75,78,82,85,90},{0,1,1.7,2,2.3,2.7,3,3.3,3.7,4})</f>
        <v>3</v>
      </c>
    </row>
    <row r="91" spans="1:7" ht="15.75" x14ac:dyDescent="0.4">
      <c r="A91" s="59" t="s">
        <v>7</v>
      </c>
      <c r="B91" s="60">
        <v>200933201</v>
      </c>
      <c r="C91" s="59" t="s">
        <v>126</v>
      </c>
      <c r="D91" s="59" t="s">
        <v>99</v>
      </c>
      <c r="E91" s="61">
        <v>78</v>
      </c>
      <c r="F91" s="59" t="s">
        <v>10</v>
      </c>
      <c r="G91" s="56">
        <f>LOOKUP(E91,{0,60,64,68,72,75,78,82,85,90},{0,1,1.7,2,2.3,2.7,3,3.3,3.7,4})</f>
        <v>3</v>
      </c>
    </row>
    <row r="92" spans="1:7" ht="15.75" x14ac:dyDescent="0.4">
      <c r="A92" s="59" t="s">
        <v>7</v>
      </c>
      <c r="B92" s="60">
        <v>200933202</v>
      </c>
      <c r="C92" s="59" t="s">
        <v>127</v>
      </c>
      <c r="D92" s="59" t="s">
        <v>99</v>
      </c>
      <c r="E92" s="61">
        <v>84</v>
      </c>
      <c r="F92" s="59" t="s">
        <v>10</v>
      </c>
      <c r="G92" s="56">
        <f>LOOKUP(E92,{0,60,64,68,72,75,78,82,85,90},{0,1,1.7,2,2.3,2.7,3,3.3,3.7,4})</f>
        <v>3.3</v>
      </c>
    </row>
    <row r="93" spans="1:7" ht="15.75" x14ac:dyDescent="0.4">
      <c r="A93" s="59" t="s">
        <v>7</v>
      </c>
      <c r="B93" s="60">
        <v>200933203</v>
      </c>
      <c r="C93" s="59" t="s">
        <v>128</v>
      </c>
      <c r="D93" s="59" t="s">
        <v>99</v>
      </c>
      <c r="E93" s="61">
        <v>93</v>
      </c>
      <c r="F93" s="59" t="s">
        <v>10</v>
      </c>
      <c r="G93" s="56">
        <f>LOOKUP(E93,{0,60,64,68,72,75,78,82,85,90},{0,1,1.7,2,2.3,2.7,3,3.3,3.7,4})</f>
        <v>4</v>
      </c>
    </row>
    <row r="94" spans="1:7" ht="15.75" x14ac:dyDescent="0.4">
      <c r="A94" s="59" t="s">
        <v>7</v>
      </c>
      <c r="B94" s="60">
        <v>200933204</v>
      </c>
      <c r="C94" s="59" t="s">
        <v>129</v>
      </c>
      <c r="D94" s="59" t="s">
        <v>99</v>
      </c>
      <c r="E94" s="61">
        <v>69</v>
      </c>
      <c r="F94" s="59" t="s">
        <v>10</v>
      </c>
      <c r="G94" s="56">
        <f>LOOKUP(E94,{0,60,64,68,72,75,78,82,85,90},{0,1,1.7,2,2.3,2.7,3,3.3,3.7,4})</f>
        <v>2</v>
      </c>
    </row>
    <row r="95" spans="1:7" ht="15.75" x14ac:dyDescent="0.4">
      <c r="A95" s="59" t="s">
        <v>7</v>
      </c>
      <c r="B95" s="60">
        <v>200933205</v>
      </c>
      <c r="C95" s="59" t="s">
        <v>130</v>
      </c>
      <c r="D95" s="59" t="s">
        <v>99</v>
      </c>
      <c r="E95" s="61">
        <v>71</v>
      </c>
      <c r="F95" s="59" t="s">
        <v>10</v>
      </c>
      <c r="G95" s="56">
        <f>LOOKUP(E95,{0,60,64,68,72,75,78,82,85,90},{0,1,1.7,2,2.3,2.7,3,3.3,3.7,4})</f>
        <v>2</v>
      </c>
    </row>
    <row r="96" spans="1:7" ht="15.75" x14ac:dyDescent="0.4">
      <c r="A96" s="59" t="s">
        <v>7</v>
      </c>
      <c r="B96" s="60">
        <v>200933206</v>
      </c>
      <c r="C96" s="59" t="s">
        <v>131</v>
      </c>
      <c r="D96" s="59" t="s">
        <v>99</v>
      </c>
      <c r="E96" s="61">
        <v>88</v>
      </c>
      <c r="F96" s="59" t="s">
        <v>10</v>
      </c>
      <c r="G96" s="56">
        <f>LOOKUP(E96,{0,60,64,68,72,75,78,82,85,90},{0,1,1.7,2,2.3,2.7,3,3.3,3.7,4})</f>
        <v>3.7</v>
      </c>
    </row>
    <row r="97" spans="1:7" ht="15.75" x14ac:dyDescent="0.4">
      <c r="A97" s="59" t="s">
        <v>7</v>
      </c>
      <c r="B97" s="60">
        <v>200933207</v>
      </c>
      <c r="C97" s="59" t="s">
        <v>132</v>
      </c>
      <c r="D97" s="59" t="s">
        <v>99</v>
      </c>
      <c r="E97" s="61">
        <v>77</v>
      </c>
      <c r="F97" s="59" t="s">
        <v>10</v>
      </c>
      <c r="G97" s="56">
        <f>LOOKUP(E97,{0,60,64,68,72,75,78,82,85,90},{0,1,1.7,2,2.3,2.7,3,3.3,3.7,4})</f>
        <v>2.7</v>
      </c>
    </row>
    <row r="98" spans="1:7" ht="15.75" x14ac:dyDescent="0.4">
      <c r="A98" s="59" t="s">
        <v>7</v>
      </c>
      <c r="B98" s="60">
        <v>200933208</v>
      </c>
      <c r="C98" s="59" t="s">
        <v>133</v>
      </c>
      <c r="D98" s="59" t="s">
        <v>99</v>
      </c>
      <c r="E98" s="61">
        <v>70</v>
      </c>
      <c r="F98" s="59" t="s">
        <v>53</v>
      </c>
      <c r="G98" s="56">
        <f>LOOKUP(E98,{0,60,64,68,72,75,78,82,85,90},{0,1,1.7,2,2.3,2.7,3,3.3,3.7,4})</f>
        <v>2</v>
      </c>
    </row>
    <row r="99" spans="1:7" ht="15.75" x14ac:dyDescent="0.4">
      <c r="A99" s="59" t="s">
        <v>7</v>
      </c>
      <c r="B99" s="60">
        <v>200933209</v>
      </c>
      <c r="C99" s="59" t="s">
        <v>134</v>
      </c>
      <c r="D99" s="59" t="s">
        <v>99</v>
      </c>
      <c r="E99" s="61">
        <v>97</v>
      </c>
      <c r="F99" s="59" t="s">
        <v>10</v>
      </c>
      <c r="G99" s="56">
        <f>LOOKUP(E99,{0,60,64,68,72,75,78,82,85,90},{0,1,1.7,2,2.3,2.7,3,3.3,3.7,4})</f>
        <v>4</v>
      </c>
    </row>
    <row r="100" spans="1:7" ht="15.75" x14ac:dyDescent="0.4">
      <c r="A100" s="59" t="s">
        <v>7</v>
      </c>
      <c r="B100" s="60">
        <v>200933210</v>
      </c>
      <c r="C100" s="59" t="s">
        <v>135</v>
      </c>
      <c r="D100" s="59" t="s">
        <v>99</v>
      </c>
      <c r="E100" s="61">
        <v>69</v>
      </c>
      <c r="F100" s="59" t="s">
        <v>53</v>
      </c>
      <c r="G100" s="56">
        <f>LOOKUP(E100,{0,60,64,68,72,75,78,82,85,90},{0,1,1.7,2,2.3,2.7,3,3.3,3.7,4})</f>
        <v>2</v>
      </c>
    </row>
    <row r="101" spans="1:7" ht="15.75" x14ac:dyDescent="0.4">
      <c r="A101" s="59" t="s">
        <v>7</v>
      </c>
      <c r="B101" s="60">
        <v>200933211</v>
      </c>
      <c r="C101" s="59" t="s">
        <v>136</v>
      </c>
      <c r="D101" s="59" t="s">
        <v>99</v>
      </c>
      <c r="E101" s="61">
        <v>79</v>
      </c>
      <c r="F101" s="59" t="s">
        <v>10</v>
      </c>
      <c r="G101" s="56">
        <f>LOOKUP(E101,{0,60,64,68,72,75,78,82,85,90},{0,1,1.7,2,2.3,2.7,3,3.3,3.7,4})</f>
        <v>3</v>
      </c>
    </row>
    <row r="102" spans="1:7" ht="15.75" x14ac:dyDescent="0.4">
      <c r="A102" s="59" t="s">
        <v>7</v>
      </c>
      <c r="B102" s="60">
        <v>200933212</v>
      </c>
      <c r="C102" s="59" t="s">
        <v>137</v>
      </c>
      <c r="D102" s="59" t="s">
        <v>99</v>
      </c>
      <c r="E102" s="61">
        <v>74</v>
      </c>
      <c r="F102" s="59" t="s">
        <v>10</v>
      </c>
      <c r="G102" s="56">
        <f>LOOKUP(E102,{0,60,64,68,72,75,78,82,85,90},{0,1,1.7,2,2.3,2.7,3,3.3,3.7,4})</f>
        <v>2.2999999999999998</v>
      </c>
    </row>
    <row r="103" spans="1:7" ht="15.75" x14ac:dyDescent="0.4">
      <c r="A103" s="59" t="s">
        <v>7</v>
      </c>
      <c r="B103" s="60">
        <v>200933213</v>
      </c>
      <c r="C103" s="59" t="s">
        <v>138</v>
      </c>
      <c r="D103" s="59" t="s">
        <v>99</v>
      </c>
      <c r="E103" s="61">
        <v>67</v>
      </c>
      <c r="F103" s="59" t="s">
        <v>10</v>
      </c>
      <c r="G103" s="56">
        <f>LOOKUP(E103,{0,60,64,68,72,75,78,82,85,90},{0,1,1.7,2,2.3,2.7,3,3.3,3.7,4})</f>
        <v>1.7</v>
      </c>
    </row>
    <row r="104" spans="1:7" ht="15.75" x14ac:dyDescent="0.4">
      <c r="A104" s="59" t="s">
        <v>7</v>
      </c>
      <c r="B104" s="60">
        <v>200933214</v>
      </c>
      <c r="C104" s="59" t="s">
        <v>139</v>
      </c>
      <c r="D104" s="59" t="s">
        <v>99</v>
      </c>
      <c r="E104" s="61">
        <v>90</v>
      </c>
      <c r="F104" s="59" t="s">
        <v>10</v>
      </c>
      <c r="G104" s="56">
        <f>LOOKUP(E104,{0,60,64,68,72,75,78,82,85,90},{0,1,1.7,2,2.3,2.7,3,3.3,3.7,4})</f>
        <v>4</v>
      </c>
    </row>
    <row r="105" spans="1:7" ht="15.75" x14ac:dyDescent="0.4">
      <c r="A105" s="59" t="s">
        <v>7</v>
      </c>
      <c r="B105" s="60">
        <v>200933215</v>
      </c>
      <c r="C105" s="59" t="s">
        <v>140</v>
      </c>
      <c r="D105" s="59" t="s">
        <v>99</v>
      </c>
      <c r="E105" s="61">
        <v>74</v>
      </c>
      <c r="F105" s="59" t="s">
        <v>10</v>
      </c>
      <c r="G105" s="56">
        <f>LOOKUP(E105,{0,60,64,68,72,75,78,82,85,90},{0,1,1.7,2,2.3,2.7,3,3.3,3.7,4})</f>
        <v>2.2999999999999998</v>
      </c>
    </row>
    <row r="106" spans="1:7" ht="15.75" x14ac:dyDescent="0.4">
      <c r="A106" s="59" t="s">
        <v>7</v>
      </c>
      <c r="B106" s="60">
        <v>200933216</v>
      </c>
      <c r="C106" s="59" t="s">
        <v>141</v>
      </c>
      <c r="D106" s="59" t="s">
        <v>99</v>
      </c>
      <c r="E106" s="61">
        <v>96</v>
      </c>
      <c r="F106" s="59" t="s">
        <v>10</v>
      </c>
      <c r="G106" s="56">
        <f>LOOKUP(E106,{0,60,64,68,72,75,78,82,85,90},{0,1,1.7,2,2.3,2.7,3,3.3,3.7,4})</f>
        <v>4</v>
      </c>
    </row>
    <row r="107" spans="1:7" ht="15.75" x14ac:dyDescent="0.4">
      <c r="A107" s="59" t="s">
        <v>7</v>
      </c>
      <c r="B107" s="60">
        <v>200933217</v>
      </c>
      <c r="C107" s="59" t="s">
        <v>142</v>
      </c>
      <c r="D107" s="59" t="s">
        <v>99</v>
      </c>
      <c r="E107" s="61">
        <v>86</v>
      </c>
      <c r="F107" s="59" t="s">
        <v>10</v>
      </c>
      <c r="G107" s="56">
        <f>LOOKUP(E107,{0,60,64,68,72,75,78,82,85,90},{0,1,1.7,2,2.3,2.7,3,3.3,3.7,4})</f>
        <v>3.7</v>
      </c>
    </row>
    <row r="108" spans="1:7" ht="15.75" x14ac:dyDescent="0.4">
      <c r="A108" s="59" t="s">
        <v>7</v>
      </c>
      <c r="B108" s="60">
        <v>200933218</v>
      </c>
      <c r="C108" s="59" t="s">
        <v>143</v>
      </c>
      <c r="D108" s="59" t="s">
        <v>99</v>
      </c>
      <c r="E108" s="61">
        <v>68</v>
      </c>
      <c r="F108" s="59" t="s">
        <v>10</v>
      </c>
      <c r="G108" s="56">
        <f>LOOKUP(E108,{0,60,64,68,72,75,78,82,85,90},{0,1,1.7,2,2.3,2.7,3,3.3,3.7,4})</f>
        <v>2</v>
      </c>
    </row>
    <row r="109" spans="1:7" ht="15.75" x14ac:dyDescent="0.4">
      <c r="A109" s="59" t="s">
        <v>7</v>
      </c>
      <c r="B109" s="60">
        <v>200933219</v>
      </c>
      <c r="C109" s="59" t="s">
        <v>144</v>
      </c>
      <c r="D109" s="59" t="s">
        <v>99</v>
      </c>
      <c r="E109" s="61">
        <v>74</v>
      </c>
      <c r="F109" s="59" t="s">
        <v>10</v>
      </c>
      <c r="G109" s="56">
        <f>LOOKUP(E109,{0,60,64,68,72,75,78,82,85,90},{0,1,1.7,2,2.3,2.7,3,3.3,3.7,4})</f>
        <v>2.2999999999999998</v>
      </c>
    </row>
    <row r="110" spans="1:7" ht="15.75" x14ac:dyDescent="0.4">
      <c r="A110" s="59" t="s">
        <v>7</v>
      </c>
      <c r="B110" s="60">
        <v>200933220</v>
      </c>
      <c r="C110" s="59" t="s">
        <v>145</v>
      </c>
      <c r="D110" s="59" t="s">
        <v>99</v>
      </c>
      <c r="E110" s="61">
        <v>69</v>
      </c>
      <c r="F110" s="59" t="s">
        <v>10</v>
      </c>
      <c r="G110" s="56">
        <f>LOOKUP(E110,{0,60,64,68,72,75,78,82,85,90},{0,1,1.7,2,2.3,2.7,3,3.3,3.7,4})</f>
        <v>2</v>
      </c>
    </row>
    <row r="111" spans="1:7" ht="15.75" x14ac:dyDescent="0.4">
      <c r="A111" s="59" t="s">
        <v>7</v>
      </c>
      <c r="B111" s="60">
        <v>200933221</v>
      </c>
      <c r="C111" s="59" t="s">
        <v>146</v>
      </c>
      <c r="D111" s="59" t="s">
        <v>99</v>
      </c>
      <c r="E111" s="61">
        <v>89</v>
      </c>
      <c r="F111" s="59" t="s">
        <v>10</v>
      </c>
      <c r="G111" s="56">
        <f>LOOKUP(E111,{0,60,64,68,72,75,78,82,85,90},{0,1,1.7,2,2.3,2.7,3,3.3,3.7,4})</f>
        <v>3.7</v>
      </c>
    </row>
    <row r="112" spans="1:7" ht="15.75" x14ac:dyDescent="0.4">
      <c r="A112" s="59" t="s">
        <v>7</v>
      </c>
      <c r="B112" s="60">
        <v>200933222</v>
      </c>
      <c r="C112" s="59" t="s">
        <v>147</v>
      </c>
      <c r="D112" s="59" t="s">
        <v>99</v>
      </c>
      <c r="E112" s="61">
        <v>88</v>
      </c>
      <c r="F112" s="59" t="s">
        <v>10</v>
      </c>
      <c r="G112" s="56">
        <f>LOOKUP(E112,{0,60,64,68,72,75,78,82,85,90},{0,1,1.7,2,2.3,2.7,3,3.3,3.7,4})</f>
        <v>3.7</v>
      </c>
    </row>
    <row r="113" spans="1:7" ht="15.75" x14ac:dyDescent="0.4">
      <c r="A113" s="59" t="s">
        <v>7</v>
      </c>
      <c r="B113" s="60">
        <v>200933223</v>
      </c>
      <c r="C113" s="59" t="s">
        <v>148</v>
      </c>
      <c r="D113" s="59" t="s">
        <v>99</v>
      </c>
      <c r="E113" s="61">
        <v>67</v>
      </c>
      <c r="F113" s="59" t="s">
        <v>10</v>
      </c>
      <c r="G113" s="56">
        <f>LOOKUP(E113,{0,60,64,68,72,75,78,82,85,90},{0,1,1.7,2,2.3,2.7,3,3.3,3.7,4})</f>
        <v>1.7</v>
      </c>
    </row>
    <row r="114" spans="1:7" ht="15.75" x14ac:dyDescent="0.4">
      <c r="A114" s="59" t="s">
        <v>7</v>
      </c>
      <c r="B114" s="60">
        <v>200933224</v>
      </c>
      <c r="C114" s="59" t="s">
        <v>149</v>
      </c>
      <c r="D114" s="59" t="s">
        <v>99</v>
      </c>
      <c r="E114" s="61">
        <v>68</v>
      </c>
      <c r="F114" s="59" t="s">
        <v>10</v>
      </c>
      <c r="G114" s="56">
        <f>LOOKUP(E114,{0,60,64,68,72,75,78,82,85,90},{0,1,1.7,2,2.3,2.7,3,3.3,3.7,4})</f>
        <v>2</v>
      </c>
    </row>
    <row r="115" spans="1:7" ht="15.75" x14ac:dyDescent="0.4">
      <c r="A115" s="59" t="s">
        <v>7</v>
      </c>
      <c r="B115" s="60">
        <v>200933225</v>
      </c>
      <c r="C115" s="59" t="s">
        <v>150</v>
      </c>
      <c r="D115" s="59" t="s">
        <v>99</v>
      </c>
      <c r="E115" s="61">
        <v>62</v>
      </c>
      <c r="F115" s="59" t="s">
        <v>10</v>
      </c>
      <c r="G115" s="56">
        <f>LOOKUP(E115,{0,60,64,68,72,75,78,82,85,90},{0,1,1.7,2,2.3,2.7,3,3.3,3.7,4})</f>
        <v>1</v>
      </c>
    </row>
    <row r="116" spans="1:7" ht="15.75" x14ac:dyDescent="0.4">
      <c r="A116" s="59" t="s">
        <v>7</v>
      </c>
      <c r="B116" s="60">
        <v>200933226</v>
      </c>
      <c r="C116" s="59" t="s">
        <v>151</v>
      </c>
      <c r="D116" s="59" t="s">
        <v>99</v>
      </c>
      <c r="E116" s="61">
        <v>65</v>
      </c>
      <c r="F116" s="59" t="s">
        <v>10</v>
      </c>
      <c r="G116" s="56">
        <f>LOOKUP(E116,{0,60,64,68,72,75,78,82,85,90},{0,1,1.7,2,2.3,2.7,3,3.3,3.7,4})</f>
        <v>1.7</v>
      </c>
    </row>
    <row r="117" spans="1:7" ht="15.75" x14ac:dyDescent="0.4">
      <c r="A117" s="59" t="s">
        <v>152</v>
      </c>
      <c r="B117" s="60">
        <v>200934101</v>
      </c>
      <c r="C117" s="59" t="s">
        <v>153</v>
      </c>
      <c r="D117" s="59" t="s">
        <v>154</v>
      </c>
      <c r="E117" s="61">
        <v>71</v>
      </c>
      <c r="F117" s="59" t="s">
        <v>10</v>
      </c>
      <c r="G117" s="56">
        <f>LOOKUP(E117,{0,60,64,68,72,75,78,82,85,90},{0,1,1.7,2,2.3,2.7,3,3.3,3.7,4})</f>
        <v>2</v>
      </c>
    </row>
    <row r="118" spans="1:7" ht="15.75" x14ac:dyDescent="0.4">
      <c r="A118" s="59" t="s">
        <v>152</v>
      </c>
      <c r="B118" s="60">
        <v>200934102</v>
      </c>
      <c r="C118" s="59" t="s">
        <v>155</v>
      </c>
      <c r="D118" s="59" t="s">
        <v>154</v>
      </c>
      <c r="E118" s="61">
        <v>67</v>
      </c>
      <c r="F118" s="59" t="s">
        <v>53</v>
      </c>
      <c r="G118" s="56">
        <f>LOOKUP(E118,{0,60,64,68,72,75,78,82,85,90},{0,1,1.7,2,2.3,2.7,3,3.3,3.7,4})</f>
        <v>1.7</v>
      </c>
    </row>
    <row r="119" spans="1:7" ht="15.75" x14ac:dyDescent="0.4">
      <c r="A119" s="59" t="s">
        <v>152</v>
      </c>
      <c r="B119" s="60">
        <v>200934103</v>
      </c>
      <c r="C119" s="59" t="s">
        <v>156</v>
      </c>
      <c r="D119" s="59" t="s">
        <v>154</v>
      </c>
      <c r="E119" s="61">
        <v>90</v>
      </c>
      <c r="F119" s="59" t="s">
        <v>10</v>
      </c>
      <c r="G119" s="56">
        <f>LOOKUP(E119,{0,60,64,68,72,75,78,82,85,90},{0,1,1.7,2,2.3,2.7,3,3.3,3.7,4})</f>
        <v>4</v>
      </c>
    </row>
    <row r="120" spans="1:7" ht="15.75" x14ac:dyDescent="0.4">
      <c r="A120" s="59" t="s">
        <v>152</v>
      </c>
      <c r="B120" s="60">
        <v>200934104</v>
      </c>
      <c r="C120" s="59" t="s">
        <v>157</v>
      </c>
      <c r="D120" s="59" t="s">
        <v>154</v>
      </c>
      <c r="E120" s="61">
        <v>78</v>
      </c>
      <c r="F120" s="59" t="s">
        <v>10</v>
      </c>
      <c r="G120" s="56">
        <f>LOOKUP(E120,{0,60,64,68,72,75,78,82,85,90},{0,1,1.7,2,2.3,2.7,3,3.3,3.7,4})</f>
        <v>3</v>
      </c>
    </row>
    <row r="121" spans="1:7" ht="15.75" x14ac:dyDescent="0.4">
      <c r="A121" s="59" t="s">
        <v>152</v>
      </c>
      <c r="B121" s="60">
        <v>200934105</v>
      </c>
      <c r="C121" s="59" t="s">
        <v>158</v>
      </c>
      <c r="D121" s="59" t="s">
        <v>154</v>
      </c>
      <c r="E121" s="61">
        <v>56</v>
      </c>
      <c r="F121" s="59" t="s">
        <v>53</v>
      </c>
      <c r="G121" s="56">
        <f>LOOKUP(E121,{0,60,64,68,72,75,78,82,85,90},{0,1,1.7,2,2.3,2.7,3,3.3,3.7,4})</f>
        <v>0</v>
      </c>
    </row>
    <row r="122" spans="1:7" ht="15.75" x14ac:dyDescent="0.4">
      <c r="A122" s="59" t="s">
        <v>152</v>
      </c>
      <c r="B122" s="60">
        <v>200934106</v>
      </c>
      <c r="C122" s="59" t="s">
        <v>159</v>
      </c>
      <c r="D122" s="59" t="s">
        <v>154</v>
      </c>
      <c r="E122" s="61">
        <v>12</v>
      </c>
      <c r="F122" s="59" t="s">
        <v>10</v>
      </c>
      <c r="G122" s="56">
        <f>LOOKUP(E122,{0,60,64,68,72,75,78,82,85,90},{0,1,1.7,2,2.3,2.7,3,3.3,3.7,4})</f>
        <v>0</v>
      </c>
    </row>
    <row r="123" spans="1:7" ht="15.75" x14ac:dyDescent="0.4">
      <c r="A123" s="59" t="s">
        <v>152</v>
      </c>
      <c r="B123" s="60">
        <v>200934107</v>
      </c>
      <c r="C123" s="59" t="s">
        <v>160</v>
      </c>
      <c r="D123" s="59" t="s">
        <v>154</v>
      </c>
      <c r="E123" s="61">
        <v>78</v>
      </c>
      <c r="F123" s="59" t="s">
        <v>10</v>
      </c>
      <c r="G123" s="56">
        <f>LOOKUP(E123,{0,60,64,68,72,75,78,82,85,90},{0,1,1.7,2,2.3,2.7,3,3.3,3.7,4})</f>
        <v>3</v>
      </c>
    </row>
    <row r="124" spans="1:7" ht="15.75" x14ac:dyDescent="0.4">
      <c r="A124" s="59" t="s">
        <v>152</v>
      </c>
      <c r="B124" s="60">
        <v>200934108</v>
      </c>
      <c r="C124" s="59" t="s">
        <v>161</v>
      </c>
      <c r="D124" s="59" t="s">
        <v>154</v>
      </c>
      <c r="E124" s="61">
        <v>74</v>
      </c>
      <c r="F124" s="59" t="s">
        <v>10</v>
      </c>
      <c r="G124" s="56">
        <f>LOOKUP(E124,{0,60,64,68,72,75,78,82,85,90},{0,1,1.7,2,2.3,2.7,3,3.3,3.7,4})</f>
        <v>2.2999999999999998</v>
      </c>
    </row>
    <row r="125" spans="1:7" ht="15.75" x14ac:dyDescent="0.4">
      <c r="A125" s="59" t="s">
        <v>152</v>
      </c>
      <c r="B125" s="60">
        <v>200934109</v>
      </c>
      <c r="C125" s="59" t="s">
        <v>162</v>
      </c>
      <c r="D125" s="59" t="s">
        <v>154</v>
      </c>
      <c r="E125" s="61">
        <v>72</v>
      </c>
      <c r="F125" s="59" t="s">
        <v>10</v>
      </c>
      <c r="G125" s="56">
        <f>LOOKUP(E125,{0,60,64,68,72,75,78,82,85,90},{0,1,1.7,2,2.3,2.7,3,3.3,3.7,4})</f>
        <v>2.2999999999999998</v>
      </c>
    </row>
    <row r="126" spans="1:7" ht="15.75" x14ac:dyDescent="0.4">
      <c r="A126" s="59" t="s">
        <v>152</v>
      </c>
      <c r="B126" s="60">
        <v>200934110</v>
      </c>
      <c r="C126" s="59" t="s">
        <v>163</v>
      </c>
      <c r="D126" s="59" t="s">
        <v>154</v>
      </c>
      <c r="E126" s="61">
        <v>75</v>
      </c>
      <c r="F126" s="59" t="s">
        <v>10</v>
      </c>
      <c r="G126" s="56">
        <f>LOOKUP(E126,{0,60,64,68,72,75,78,82,85,90},{0,1,1.7,2,2.3,2.7,3,3.3,3.7,4})</f>
        <v>2.7</v>
      </c>
    </row>
    <row r="127" spans="1:7" ht="15.75" x14ac:dyDescent="0.4">
      <c r="A127" s="59" t="s">
        <v>152</v>
      </c>
      <c r="B127" s="60">
        <v>200934111</v>
      </c>
      <c r="C127" s="59" t="s">
        <v>164</v>
      </c>
      <c r="D127" s="59" t="s">
        <v>154</v>
      </c>
      <c r="E127" s="61">
        <v>72</v>
      </c>
      <c r="F127" s="59" t="s">
        <v>10</v>
      </c>
      <c r="G127" s="56">
        <f>LOOKUP(E127,{0,60,64,68,72,75,78,82,85,90},{0,1,1.7,2,2.3,2.7,3,3.3,3.7,4})</f>
        <v>2.2999999999999998</v>
      </c>
    </row>
    <row r="128" spans="1:7" ht="15.75" x14ac:dyDescent="0.4">
      <c r="A128" s="59" t="s">
        <v>152</v>
      </c>
      <c r="B128" s="60">
        <v>200934112</v>
      </c>
      <c r="C128" s="59" t="s">
        <v>165</v>
      </c>
      <c r="D128" s="59" t="s">
        <v>154</v>
      </c>
      <c r="E128" s="61">
        <v>0</v>
      </c>
      <c r="F128" s="59" t="s">
        <v>10</v>
      </c>
      <c r="G128" s="56">
        <f>LOOKUP(E128,{0,60,64,68,72,75,78,82,85,90},{0,1,1.7,2,2.3,2.7,3,3.3,3.7,4})</f>
        <v>0</v>
      </c>
    </row>
    <row r="129" spans="1:7" ht="15.75" x14ac:dyDescent="0.4">
      <c r="A129" s="59" t="s">
        <v>152</v>
      </c>
      <c r="B129" s="60">
        <v>200934113</v>
      </c>
      <c r="C129" s="59" t="s">
        <v>166</v>
      </c>
      <c r="D129" s="59" t="s">
        <v>154</v>
      </c>
      <c r="E129" s="61">
        <v>61</v>
      </c>
      <c r="F129" s="59" t="s">
        <v>10</v>
      </c>
      <c r="G129" s="56">
        <f>LOOKUP(E129,{0,60,64,68,72,75,78,82,85,90},{0,1,1.7,2,2.3,2.7,3,3.3,3.7,4})</f>
        <v>1</v>
      </c>
    </row>
    <row r="130" spans="1:7" ht="15.75" x14ac:dyDescent="0.4">
      <c r="A130" s="59" t="s">
        <v>152</v>
      </c>
      <c r="B130" s="60">
        <v>200934114</v>
      </c>
      <c r="C130" s="59" t="s">
        <v>167</v>
      </c>
      <c r="D130" s="59" t="s">
        <v>154</v>
      </c>
      <c r="E130" s="61">
        <v>71</v>
      </c>
      <c r="F130" s="59" t="s">
        <v>10</v>
      </c>
      <c r="G130" s="56">
        <f>LOOKUP(E130,{0,60,64,68,72,75,78,82,85,90},{0,1,1.7,2,2.3,2.7,3,3.3,3.7,4})</f>
        <v>2</v>
      </c>
    </row>
    <row r="131" spans="1:7" ht="15.75" x14ac:dyDescent="0.4">
      <c r="A131" s="59" t="s">
        <v>152</v>
      </c>
      <c r="B131" s="60">
        <v>200934115</v>
      </c>
      <c r="C131" s="59" t="s">
        <v>168</v>
      </c>
      <c r="D131" s="59" t="s">
        <v>154</v>
      </c>
      <c r="E131" s="61">
        <v>68</v>
      </c>
      <c r="F131" s="59" t="s">
        <v>10</v>
      </c>
      <c r="G131" s="56">
        <f>LOOKUP(E131,{0,60,64,68,72,75,78,82,85,90},{0,1,1.7,2,2.3,2.7,3,3.3,3.7,4})</f>
        <v>2</v>
      </c>
    </row>
    <row r="132" spans="1:7" ht="15.75" x14ac:dyDescent="0.4">
      <c r="A132" s="59" t="s">
        <v>152</v>
      </c>
      <c r="B132" s="60">
        <v>200934116</v>
      </c>
      <c r="C132" s="59" t="s">
        <v>169</v>
      </c>
      <c r="D132" s="59" t="s">
        <v>154</v>
      </c>
      <c r="E132" s="61">
        <v>74</v>
      </c>
      <c r="F132" s="59" t="s">
        <v>53</v>
      </c>
      <c r="G132" s="56">
        <f>LOOKUP(E132,{0,60,64,68,72,75,78,82,85,90},{0,1,1.7,2,2.3,2.7,3,3.3,3.7,4})</f>
        <v>2.2999999999999998</v>
      </c>
    </row>
    <row r="133" spans="1:7" ht="15.75" x14ac:dyDescent="0.4">
      <c r="A133" s="59" t="s">
        <v>152</v>
      </c>
      <c r="B133" s="60">
        <v>200934117</v>
      </c>
      <c r="C133" s="59" t="s">
        <v>170</v>
      </c>
      <c r="D133" s="59" t="s">
        <v>154</v>
      </c>
      <c r="E133" s="61">
        <v>80</v>
      </c>
      <c r="F133" s="59" t="s">
        <v>10</v>
      </c>
      <c r="G133" s="56">
        <f>LOOKUP(E133,{0,60,64,68,72,75,78,82,85,90},{0,1,1.7,2,2.3,2.7,3,3.3,3.7,4})</f>
        <v>3</v>
      </c>
    </row>
    <row r="134" spans="1:7" ht="15.75" x14ac:dyDescent="0.4">
      <c r="A134" s="59" t="s">
        <v>152</v>
      </c>
      <c r="B134" s="60">
        <v>200934118</v>
      </c>
      <c r="C134" s="59" t="s">
        <v>171</v>
      </c>
      <c r="D134" s="59" t="s">
        <v>154</v>
      </c>
      <c r="E134" s="61">
        <v>66</v>
      </c>
      <c r="F134" s="59" t="s">
        <v>10</v>
      </c>
      <c r="G134" s="56">
        <f>LOOKUP(E134,{0,60,64,68,72,75,78,82,85,90},{0,1,1.7,2,2.3,2.7,3,3.3,3.7,4})</f>
        <v>1.7</v>
      </c>
    </row>
    <row r="135" spans="1:7" ht="15.75" x14ac:dyDescent="0.4">
      <c r="A135" s="59" t="s">
        <v>152</v>
      </c>
      <c r="B135" s="60">
        <v>200934119</v>
      </c>
      <c r="C135" s="59" t="s">
        <v>172</v>
      </c>
      <c r="D135" s="59" t="s">
        <v>154</v>
      </c>
      <c r="E135" s="61">
        <v>86</v>
      </c>
      <c r="F135" s="59" t="s">
        <v>10</v>
      </c>
      <c r="G135" s="56">
        <f>LOOKUP(E135,{0,60,64,68,72,75,78,82,85,90},{0,1,1.7,2,2.3,2.7,3,3.3,3.7,4})</f>
        <v>3.7</v>
      </c>
    </row>
    <row r="136" spans="1:7" ht="15.75" x14ac:dyDescent="0.4">
      <c r="A136" s="59" t="s">
        <v>152</v>
      </c>
      <c r="B136" s="60">
        <v>200934120</v>
      </c>
      <c r="C136" s="59" t="s">
        <v>173</v>
      </c>
      <c r="D136" s="59" t="s">
        <v>154</v>
      </c>
      <c r="E136" s="61">
        <v>71</v>
      </c>
      <c r="F136" s="59" t="s">
        <v>10</v>
      </c>
      <c r="G136" s="56">
        <f>LOOKUP(E136,{0,60,64,68,72,75,78,82,85,90},{0,1,1.7,2,2.3,2.7,3,3.3,3.7,4})</f>
        <v>2</v>
      </c>
    </row>
    <row r="137" spans="1:7" ht="15.75" x14ac:dyDescent="0.4">
      <c r="A137" s="59" t="s">
        <v>152</v>
      </c>
      <c r="B137" s="60">
        <v>200934121</v>
      </c>
      <c r="C137" s="59" t="s">
        <v>174</v>
      </c>
      <c r="D137" s="59" t="s">
        <v>154</v>
      </c>
      <c r="E137" s="61">
        <v>92</v>
      </c>
      <c r="F137" s="59" t="s">
        <v>10</v>
      </c>
      <c r="G137" s="56">
        <f>LOOKUP(E137,{0,60,64,68,72,75,78,82,85,90},{0,1,1.7,2,2.3,2.7,3,3.3,3.7,4})</f>
        <v>4</v>
      </c>
    </row>
    <row r="138" spans="1:7" ht="15.75" x14ac:dyDescent="0.4">
      <c r="A138" s="59" t="s">
        <v>152</v>
      </c>
      <c r="B138" s="60">
        <v>200934122</v>
      </c>
      <c r="C138" s="59" t="s">
        <v>175</v>
      </c>
      <c r="D138" s="59" t="s">
        <v>154</v>
      </c>
      <c r="E138" s="61">
        <v>94</v>
      </c>
      <c r="F138" s="59" t="s">
        <v>10</v>
      </c>
      <c r="G138" s="56">
        <f>LOOKUP(E138,{0,60,64,68,72,75,78,82,85,90},{0,1,1.7,2,2.3,2.7,3,3.3,3.7,4})</f>
        <v>4</v>
      </c>
    </row>
    <row r="139" spans="1:7" ht="15.75" x14ac:dyDescent="0.4">
      <c r="A139" s="59" t="s">
        <v>152</v>
      </c>
      <c r="B139" s="60">
        <v>200934123</v>
      </c>
      <c r="C139" s="59" t="s">
        <v>176</v>
      </c>
      <c r="D139" s="59" t="s">
        <v>154</v>
      </c>
      <c r="E139" s="61">
        <v>74</v>
      </c>
      <c r="F139" s="59" t="s">
        <v>10</v>
      </c>
      <c r="G139" s="56">
        <f>LOOKUP(E139,{0,60,64,68,72,75,78,82,85,90},{0,1,1.7,2,2.3,2.7,3,3.3,3.7,4})</f>
        <v>2.2999999999999998</v>
      </c>
    </row>
    <row r="140" spans="1:7" ht="15.75" x14ac:dyDescent="0.4">
      <c r="A140" s="59" t="s">
        <v>152</v>
      </c>
      <c r="B140" s="60">
        <v>200934124</v>
      </c>
      <c r="C140" s="59" t="s">
        <v>177</v>
      </c>
      <c r="D140" s="59" t="s">
        <v>154</v>
      </c>
      <c r="E140" s="61">
        <v>69</v>
      </c>
      <c r="F140" s="59" t="s">
        <v>10</v>
      </c>
      <c r="G140" s="56">
        <f>LOOKUP(E140,{0,60,64,68,72,75,78,82,85,90},{0,1,1.7,2,2.3,2.7,3,3.3,3.7,4})</f>
        <v>2</v>
      </c>
    </row>
    <row r="141" spans="1:7" ht="15.75" x14ac:dyDescent="0.4">
      <c r="A141" s="59" t="s">
        <v>152</v>
      </c>
      <c r="B141" s="60">
        <v>200934125</v>
      </c>
      <c r="C141" s="59" t="s">
        <v>178</v>
      </c>
      <c r="D141" s="59" t="s">
        <v>154</v>
      </c>
      <c r="E141" s="61">
        <v>98</v>
      </c>
      <c r="F141" s="59" t="s">
        <v>10</v>
      </c>
      <c r="G141" s="56">
        <f>LOOKUP(E141,{0,60,64,68,72,75,78,82,85,90},{0,1,1.7,2,2.3,2.7,3,3.3,3.7,4})</f>
        <v>4</v>
      </c>
    </row>
    <row r="142" spans="1:7" ht="15.75" x14ac:dyDescent="0.4">
      <c r="A142" s="59" t="s">
        <v>152</v>
      </c>
      <c r="B142" s="60">
        <v>200934126</v>
      </c>
      <c r="C142" s="59" t="s">
        <v>179</v>
      </c>
      <c r="D142" s="59" t="s">
        <v>154</v>
      </c>
      <c r="E142" s="61">
        <v>100</v>
      </c>
      <c r="F142" s="59" t="s">
        <v>10</v>
      </c>
      <c r="G142" s="56">
        <f>LOOKUP(E142,{0,60,64,68,72,75,78,82,85,90},{0,1,1.7,2,2.3,2.7,3,3.3,3.7,4})</f>
        <v>4</v>
      </c>
    </row>
    <row r="143" spans="1:7" ht="15.75" x14ac:dyDescent="0.4">
      <c r="A143" s="59" t="s">
        <v>152</v>
      </c>
      <c r="B143" s="60">
        <v>200934127</v>
      </c>
      <c r="C143" s="59" t="s">
        <v>180</v>
      </c>
      <c r="D143" s="59" t="s">
        <v>154</v>
      </c>
      <c r="E143" s="61">
        <v>96</v>
      </c>
      <c r="F143" s="59" t="s">
        <v>10</v>
      </c>
      <c r="G143" s="56">
        <f>LOOKUP(E143,{0,60,64,68,72,75,78,82,85,90},{0,1,1.7,2,2.3,2.7,3,3.3,3.7,4})</f>
        <v>4</v>
      </c>
    </row>
    <row r="144" spans="1:7" ht="15.75" x14ac:dyDescent="0.4">
      <c r="A144" s="59" t="s">
        <v>152</v>
      </c>
      <c r="B144" s="60">
        <v>200934128</v>
      </c>
      <c r="C144" s="59" t="s">
        <v>181</v>
      </c>
      <c r="D144" s="59" t="s">
        <v>154</v>
      </c>
      <c r="E144" s="61">
        <v>60</v>
      </c>
      <c r="F144" s="59" t="s">
        <v>10</v>
      </c>
      <c r="G144" s="56">
        <f>LOOKUP(E144,{0,60,64,68,72,75,78,82,85,90},{0,1,1.7,2,2.3,2.7,3,3.3,3.7,4})</f>
        <v>1</v>
      </c>
    </row>
    <row r="145" spans="1:7" ht="15.75" x14ac:dyDescent="0.4">
      <c r="A145" s="59" t="s">
        <v>152</v>
      </c>
      <c r="B145" s="60">
        <v>200934129</v>
      </c>
      <c r="C145" s="59" t="s">
        <v>182</v>
      </c>
      <c r="D145" s="59" t="s">
        <v>154</v>
      </c>
      <c r="E145" s="61">
        <v>71</v>
      </c>
      <c r="F145" s="59" t="s">
        <v>10</v>
      </c>
      <c r="G145" s="56">
        <f>LOOKUP(E145,{0,60,64,68,72,75,78,82,85,90},{0,1,1.7,2,2.3,2.7,3,3.3,3.7,4})</f>
        <v>2</v>
      </c>
    </row>
    <row r="146" spans="1:7" ht="15.75" x14ac:dyDescent="0.4">
      <c r="A146" s="59" t="s">
        <v>152</v>
      </c>
      <c r="B146" s="60">
        <v>200934130</v>
      </c>
      <c r="C146" s="59" t="s">
        <v>183</v>
      </c>
      <c r="D146" s="59" t="s">
        <v>154</v>
      </c>
      <c r="E146" s="61">
        <v>71</v>
      </c>
      <c r="F146" s="59" t="s">
        <v>10</v>
      </c>
      <c r="G146" s="56">
        <f>LOOKUP(E146,{0,60,64,68,72,75,78,82,85,90},{0,1,1.7,2,2.3,2.7,3,3.3,3.7,4})</f>
        <v>2</v>
      </c>
    </row>
    <row r="147" spans="1:7" ht="15.75" x14ac:dyDescent="0.4">
      <c r="A147" s="59" t="s">
        <v>152</v>
      </c>
      <c r="B147" s="60">
        <v>200934131</v>
      </c>
      <c r="C147" s="59" t="s">
        <v>184</v>
      </c>
      <c r="D147" s="59" t="s">
        <v>154</v>
      </c>
      <c r="E147" s="61">
        <v>97</v>
      </c>
      <c r="F147" s="59" t="s">
        <v>10</v>
      </c>
      <c r="G147" s="56">
        <f>LOOKUP(E147,{0,60,64,68,72,75,78,82,85,90},{0,1,1.7,2,2.3,2.7,3,3.3,3.7,4})</f>
        <v>4</v>
      </c>
    </row>
    <row r="148" spans="1:7" ht="15.75" x14ac:dyDescent="0.4">
      <c r="A148" s="59" t="s">
        <v>152</v>
      </c>
      <c r="B148" s="60">
        <v>200934132</v>
      </c>
      <c r="C148" s="59" t="s">
        <v>185</v>
      </c>
      <c r="D148" s="59" t="s">
        <v>154</v>
      </c>
      <c r="E148" s="61">
        <v>86</v>
      </c>
      <c r="F148" s="59" t="s">
        <v>10</v>
      </c>
      <c r="G148" s="56">
        <f>LOOKUP(E148,{0,60,64,68,72,75,78,82,85,90},{0,1,1.7,2,2.3,2.7,3,3.3,3.7,4})</f>
        <v>3.7</v>
      </c>
    </row>
    <row r="149" spans="1:7" ht="15.75" x14ac:dyDescent="0.4">
      <c r="A149" s="59" t="s">
        <v>152</v>
      </c>
      <c r="B149" s="60">
        <v>200934133</v>
      </c>
      <c r="C149" s="59" t="s">
        <v>186</v>
      </c>
      <c r="D149" s="59" t="s">
        <v>154</v>
      </c>
      <c r="E149" s="61">
        <v>76</v>
      </c>
      <c r="F149" s="59" t="s">
        <v>10</v>
      </c>
      <c r="G149" s="56">
        <f>LOOKUP(E149,{0,60,64,68,72,75,78,82,85,90},{0,1,1.7,2,2.3,2.7,3,3.3,3.7,4})</f>
        <v>2.7</v>
      </c>
    </row>
    <row r="150" spans="1:7" ht="15.75" x14ac:dyDescent="0.4">
      <c r="A150" s="59" t="s">
        <v>152</v>
      </c>
      <c r="B150" s="60">
        <v>200934134</v>
      </c>
      <c r="C150" s="59" t="s">
        <v>187</v>
      </c>
      <c r="D150" s="59" t="s">
        <v>154</v>
      </c>
      <c r="E150" s="61">
        <v>89</v>
      </c>
      <c r="F150" s="59" t="s">
        <v>10</v>
      </c>
      <c r="G150" s="56">
        <f>LOOKUP(E150,{0,60,64,68,72,75,78,82,85,90},{0,1,1.7,2,2.3,2.7,3,3.3,3.7,4})</f>
        <v>3.7</v>
      </c>
    </row>
    <row r="151" spans="1:7" ht="15.75" x14ac:dyDescent="0.4">
      <c r="A151" s="59" t="s">
        <v>152</v>
      </c>
      <c r="B151" s="60">
        <v>200934135</v>
      </c>
      <c r="C151" s="59" t="s">
        <v>188</v>
      </c>
      <c r="D151" s="59" t="s">
        <v>154</v>
      </c>
      <c r="E151" s="61">
        <v>54</v>
      </c>
      <c r="F151" s="59" t="s">
        <v>10</v>
      </c>
      <c r="G151" s="56">
        <f>LOOKUP(E151,{0,60,64,68,72,75,78,82,85,90},{0,1,1.7,2,2.3,2.7,3,3.3,3.7,4})</f>
        <v>0</v>
      </c>
    </row>
    <row r="152" spans="1:7" ht="15.75" x14ac:dyDescent="0.4">
      <c r="A152" s="59" t="s">
        <v>152</v>
      </c>
      <c r="B152" s="60">
        <v>200934136</v>
      </c>
      <c r="C152" s="59" t="s">
        <v>189</v>
      </c>
      <c r="D152" s="59" t="s">
        <v>154</v>
      </c>
      <c r="E152" s="61">
        <v>73</v>
      </c>
      <c r="F152" s="59" t="s">
        <v>10</v>
      </c>
      <c r="G152" s="56">
        <f>LOOKUP(E152,{0,60,64,68,72,75,78,82,85,90},{0,1,1.7,2,2.3,2.7,3,3.3,3.7,4})</f>
        <v>2.2999999999999998</v>
      </c>
    </row>
    <row r="153" spans="1:7" ht="15.75" x14ac:dyDescent="0.4">
      <c r="A153" s="59" t="s">
        <v>152</v>
      </c>
      <c r="B153" s="60">
        <v>200934137</v>
      </c>
      <c r="C153" s="59" t="s">
        <v>190</v>
      </c>
      <c r="D153" s="59" t="s">
        <v>154</v>
      </c>
      <c r="E153" s="61">
        <v>74</v>
      </c>
      <c r="F153" s="59" t="s">
        <v>10</v>
      </c>
      <c r="G153" s="56">
        <f>LOOKUP(E153,{0,60,64,68,72,75,78,82,85,90},{0,1,1.7,2,2.3,2.7,3,3.3,3.7,4})</f>
        <v>2.2999999999999998</v>
      </c>
    </row>
    <row r="154" spans="1:7" ht="15.75" x14ac:dyDescent="0.4">
      <c r="A154" s="59" t="s">
        <v>152</v>
      </c>
      <c r="B154" s="60">
        <v>200934138</v>
      </c>
      <c r="C154" s="59" t="s">
        <v>191</v>
      </c>
      <c r="D154" s="59" t="s">
        <v>154</v>
      </c>
      <c r="E154" s="61">
        <v>74</v>
      </c>
      <c r="F154" s="59" t="s">
        <v>10</v>
      </c>
      <c r="G154" s="56">
        <f>LOOKUP(E154,{0,60,64,68,72,75,78,82,85,90},{0,1,1.7,2,2.3,2.7,3,3.3,3.7,4})</f>
        <v>2.2999999999999998</v>
      </c>
    </row>
    <row r="155" spans="1:7" ht="15.75" x14ac:dyDescent="0.4">
      <c r="A155" s="59" t="s">
        <v>152</v>
      </c>
      <c r="B155" s="60">
        <v>200934139</v>
      </c>
      <c r="C155" s="59" t="s">
        <v>192</v>
      </c>
      <c r="D155" s="59" t="s">
        <v>154</v>
      </c>
      <c r="E155" s="61">
        <v>71</v>
      </c>
      <c r="F155" s="59" t="s">
        <v>10</v>
      </c>
      <c r="G155" s="56">
        <f>LOOKUP(E155,{0,60,64,68,72,75,78,82,85,90},{0,1,1.7,2,2.3,2.7,3,3.3,3.7,4})</f>
        <v>2</v>
      </c>
    </row>
    <row r="156" spans="1:7" ht="15.75" x14ac:dyDescent="0.4">
      <c r="A156" s="59" t="s">
        <v>152</v>
      </c>
      <c r="B156" s="60">
        <v>200934140</v>
      </c>
      <c r="C156" s="59" t="s">
        <v>193</v>
      </c>
      <c r="D156" s="59" t="s">
        <v>154</v>
      </c>
      <c r="E156" s="61">
        <v>80</v>
      </c>
      <c r="F156" s="59" t="s">
        <v>10</v>
      </c>
      <c r="G156" s="56">
        <f>LOOKUP(E156,{0,60,64,68,72,75,78,82,85,90},{0,1,1.7,2,2.3,2.7,3,3.3,3.7,4})</f>
        <v>3</v>
      </c>
    </row>
    <row r="157" spans="1:7" ht="15.75" x14ac:dyDescent="0.4">
      <c r="A157" s="59" t="s">
        <v>152</v>
      </c>
      <c r="B157" s="60">
        <v>200934141</v>
      </c>
      <c r="C157" s="59" t="s">
        <v>194</v>
      </c>
      <c r="D157" s="59" t="s">
        <v>154</v>
      </c>
      <c r="E157" s="61">
        <v>73</v>
      </c>
      <c r="F157" s="59" t="s">
        <v>10</v>
      </c>
      <c r="G157" s="56">
        <f>LOOKUP(E157,{0,60,64,68,72,75,78,82,85,90},{0,1,1.7,2,2.3,2.7,3,3.3,3.7,4})</f>
        <v>2.2999999999999998</v>
      </c>
    </row>
    <row r="158" spans="1:7" ht="15.75" x14ac:dyDescent="0.4">
      <c r="A158" s="59" t="s">
        <v>152</v>
      </c>
      <c r="B158" s="60">
        <v>200934142</v>
      </c>
      <c r="C158" s="59" t="s">
        <v>195</v>
      </c>
      <c r="D158" s="59" t="s">
        <v>154</v>
      </c>
      <c r="E158" s="61">
        <v>67</v>
      </c>
      <c r="F158" s="59" t="s">
        <v>10</v>
      </c>
      <c r="G158" s="56">
        <f>LOOKUP(E158,{0,60,64,68,72,75,78,82,85,90},{0,1,1.7,2,2.3,2.7,3,3.3,3.7,4})</f>
        <v>1.7</v>
      </c>
    </row>
    <row r="159" spans="1:7" ht="15.75" x14ac:dyDescent="0.4">
      <c r="A159" s="59" t="s">
        <v>152</v>
      </c>
      <c r="B159" s="60">
        <v>200934143</v>
      </c>
      <c r="C159" s="59" t="s">
        <v>196</v>
      </c>
      <c r="D159" s="59" t="s">
        <v>154</v>
      </c>
      <c r="E159" s="61">
        <v>61</v>
      </c>
      <c r="F159" s="59" t="s">
        <v>10</v>
      </c>
      <c r="G159" s="56">
        <f>LOOKUP(E159,{0,60,64,68,72,75,78,82,85,90},{0,1,1.7,2,2.3,2.7,3,3.3,3.7,4})</f>
        <v>1</v>
      </c>
    </row>
    <row r="160" spans="1:7" ht="15.75" x14ac:dyDescent="0.4">
      <c r="A160" s="59" t="s">
        <v>152</v>
      </c>
      <c r="B160" s="60">
        <v>200934144</v>
      </c>
      <c r="C160" s="59" t="s">
        <v>197</v>
      </c>
      <c r="D160" s="59" t="s">
        <v>154</v>
      </c>
      <c r="E160" s="61">
        <v>81</v>
      </c>
      <c r="F160" s="59" t="s">
        <v>10</v>
      </c>
      <c r="G160" s="56">
        <f>LOOKUP(E160,{0,60,64,68,72,75,78,82,85,90},{0,1,1.7,2,2.3,2.7,3,3.3,3.7,4})</f>
        <v>3</v>
      </c>
    </row>
    <row r="161" spans="1:7" ht="15.75" x14ac:dyDescent="0.4">
      <c r="A161" s="59" t="s">
        <v>152</v>
      </c>
      <c r="B161" s="60">
        <v>200934145</v>
      </c>
      <c r="C161" s="59" t="s">
        <v>198</v>
      </c>
      <c r="D161" s="59" t="s">
        <v>154</v>
      </c>
      <c r="E161" s="61">
        <v>99</v>
      </c>
      <c r="F161" s="59" t="s">
        <v>10</v>
      </c>
      <c r="G161" s="56">
        <f>LOOKUP(E161,{0,60,64,68,72,75,78,82,85,90},{0,1,1.7,2,2.3,2.7,3,3.3,3.7,4})</f>
        <v>4</v>
      </c>
    </row>
    <row r="162" spans="1:7" ht="15.75" x14ac:dyDescent="0.4">
      <c r="A162" s="59" t="s">
        <v>152</v>
      </c>
      <c r="B162" s="60">
        <v>200934146</v>
      </c>
      <c r="C162" s="59" t="s">
        <v>199</v>
      </c>
      <c r="D162" s="59" t="s">
        <v>154</v>
      </c>
      <c r="E162" s="61">
        <v>77</v>
      </c>
      <c r="F162" s="59" t="s">
        <v>10</v>
      </c>
      <c r="G162" s="56">
        <f>LOOKUP(E162,{0,60,64,68,72,75,78,82,85,90},{0,1,1.7,2,2.3,2.7,3,3.3,3.7,4})</f>
        <v>2.7</v>
      </c>
    </row>
    <row r="163" spans="1:7" ht="15.75" x14ac:dyDescent="0.4">
      <c r="A163" s="59" t="s">
        <v>152</v>
      </c>
      <c r="B163" s="60">
        <v>200934201</v>
      </c>
      <c r="C163" s="59" t="s">
        <v>200</v>
      </c>
      <c r="D163" s="59" t="s">
        <v>201</v>
      </c>
      <c r="E163" s="61">
        <v>71</v>
      </c>
      <c r="F163" s="59" t="s">
        <v>10</v>
      </c>
      <c r="G163" s="56">
        <f>LOOKUP(E163,{0,60,64,68,72,75,78,82,85,90},{0,1,1.7,2,2.3,2.7,3,3.3,3.7,4})</f>
        <v>2</v>
      </c>
    </row>
    <row r="164" spans="1:7" ht="15.75" x14ac:dyDescent="0.4">
      <c r="A164" s="59" t="s">
        <v>152</v>
      </c>
      <c r="B164" s="60">
        <v>200934202</v>
      </c>
      <c r="C164" s="59" t="s">
        <v>202</v>
      </c>
      <c r="D164" s="59" t="s">
        <v>201</v>
      </c>
      <c r="E164" s="61">
        <v>88</v>
      </c>
      <c r="F164" s="59" t="s">
        <v>10</v>
      </c>
      <c r="G164" s="56">
        <f>LOOKUP(E164,{0,60,64,68,72,75,78,82,85,90},{0,1,1.7,2,2.3,2.7,3,3.3,3.7,4})</f>
        <v>3.7</v>
      </c>
    </row>
    <row r="165" spans="1:7" ht="15.75" x14ac:dyDescent="0.4">
      <c r="A165" s="59" t="s">
        <v>152</v>
      </c>
      <c r="B165" s="60">
        <v>200934203</v>
      </c>
      <c r="C165" s="59" t="s">
        <v>203</v>
      </c>
      <c r="D165" s="59" t="s">
        <v>201</v>
      </c>
      <c r="E165" s="61">
        <v>70</v>
      </c>
      <c r="F165" s="59" t="s">
        <v>10</v>
      </c>
      <c r="G165" s="56">
        <f>LOOKUP(E165,{0,60,64,68,72,75,78,82,85,90},{0,1,1.7,2,2.3,2.7,3,3.3,3.7,4})</f>
        <v>2</v>
      </c>
    </row>
    <row r="166" spans="1:7" ht="15.75" x14ac:dyDescent="0.4">
      <c r="A166" s="59" t="s">
        <v>152</v>
      </c>
      <c r="B166" s="60">
        <v>200934204</v>
      </c>
      <c r="C166" s="59" t="s">
        <v>204</v>
      </c>
      <c r="D166" s="59" t="s">
        <v>201</v>
      </c>
      <c r="E166" s="61">
        <v>78</v>
      </c>
      <c r="F166" s="59" t="s">
        <v>10</v>
      </c>
      <c r="G166" s="56">
        <f>LOOKUP(E166,{0,60,64,68,72,75,78,82,85,90},{0,1,1.7,2,2.3,2.7,3,3.3,3.7,4})</f>
        <v>3</v>
      </c>
    </row>
    <row r="167" spans="1:7" ht="15.75" x14ac:dyDescent="0.4">
      <c r="A167" s="59" t="s">
        <v>152</v>
      </c>
      <c r="B167" s="60">
        <v>200934205</v>
      </c>
      <c r="C167" s="59" t="s">
        <v>205</v>
      </c>
      <c r="D167" s="59" t="s">
        <v>201</v>
      </c>
      <c r="E167" s="61">
        <v>97</v>
      </c>
      <c r="F167" s="59" t="s">
        <v>10</v>
      </c>
      <c r="G167" s="56">
        <f>LOOKUP(E167,{0,60,64,68,72,75,78,82,85,90},{0,1,1.7,2,2.3,2.7,3,3.3,3.7,4})</f>
        <v>4</v>
      </c>
    </row>
    <row r="168" spans="1:7" ht="15.75" x14ac:dyDescent="0.4">
      <c r="A168" s="59" t="s">
        <v>152</v>
      </c>
      <c r="B168" s="60">
        <v>200934206</v>
      </c>
      <c r="C168" s="59" t="s">
        <v>206</v>
      </c>
      <c r="D168" s="59" t="s">
        <v>201</v>
      </c>
      <c r="E168" s="61">
        <v>74</v>
      </c>
      <c r="F168" s="59" t="s">
        <v>10</v>
      </c>
      <c r="G168" s="56">
        <f>LOOKUP(E168,{0,60,64,68,72,75,78,82,85,90},{0,1,1.7,2,2.3,2.7,3,3.3,3.7,4})</f>
        <v>2.2999999999999998</v>
      </c>
    </row>
    <row r="169" spans="1:7" ht="15.75" x14ac:dyDescent="0.4">
      <c r="A169" s="59" t="s">
        <v>152</v>
      </c>
      <c r="B169" s="60">
        <v>200934207</v>
      </c>
      <c r="C169" s="59" t="s">
        <v>207</v>
      </c>
      <c r="D169" s="59" t="s">
        <v>201</v>
      </c>
      <c r="E169" s="61">
        <v>84</v>
      </c>
      <c r="F169" s="59" t="s">
        <v>10</v>
      </c>
      <c r="G169" s="56">
        <f>LOOKUP(E169,{0,60,64,68,72,75,78,82,85,90},{0,1,1.7,2,2.3,2.7,3,3.3,3.7,4})</f>
        <v>3.3</v>
      </c>
    </row>
    <row r="170" spans="1:7" ht="15.75" x14ac:dyDescent="0.4">
      <c r="A170" s="59" t="s">
        <v>152</v>
      </c>
      <c r="B170" s="60">
        <v>200934208</v>
      </c>
      <c r="C170" s="59" t="s">
        <v>208</v>
      </c>
      <c r="D170" s="59" t="s">
        <v>201</v>
      </c>
      <c r="E170" s="61">
        <v>72</v>
      </c>
      <c r="F170" s="59" t="s">
        <v>10</v>
      </c>
      <c r="G170" s="56">
        <f>LOOKUP(E170,{0,60,64,68,72,75,78,82,85,90},{0,1,1.7,2,2.3,2.7,3,3.3,3.7,4})</f>
        <v>2.2999999999999998</v>
      </c>
    </row>
    <row r="171" spans="1:7" ht="15.75" x14ac:dyDescent="0.4">
      <c r="A171" s="59" t="s">
        <v>152</v>
      </c>
      <c r="B171" s="60">
        <v>200934209</v>
      </c>
      <c r="C171" s="59" t="s">
        <v>209</v>
      </c>
      <c r="D171" s="59" t="s">
        <v>201</v>
      </c>
      <c r="E171" s="61">
        <v>78</v>
      </c>
      <c r="F171" s="59" t="s">
        <v>10</v>
      </c>
      <c r="G171" s="56">
        <f>LOOKUP(E171,{0,60,64,68,72,75,78,82,85,90},{0,1,1.7,2,2.3,2.7,3,3.3,3.7,4})</f>
        <v>3</v>
      </c>
    </row>
    <row r="172" spans="1:7" ht="15.75" x14ac:dyDescent="0.4">
      <c r="A172" s="59" t="s">
        <v>152</v>
      </c>
      <c r="B172" s="60">
        <v>200934210</v>
      </c>
      <c r="C172" s="59" t="s">
        <v>210</v>
      </c>
      <c r="D172" s="59" t="s">
        <v>201</v>
      </c>
      <c r="E172" s="61">
        <v>94</v>
      </c>
      <c r="F172" s="59" t="s">
        <v>10</v>
      </c>
      <c r="G172" s="56">
        <f>LOOKUP(E172,{0,60,64,68,72,75,78,82,85,90},{0,1,1.7,2,2.3,2.7,3,3.3,3.7,4})</f>
        <v>4</v>
      </c>
    </row>
    <row r="173" spans="1:7" ht="15.75" x14ac:dyDescent="0.4">
      <c r="A173" s="59" t="s">
        <v>152</v>
      </c>
      <c r="B173" s="60">
        <v>200934211</v>
      </c>
      <c r="C173" s="59" t="s">
        <v>211</v>
      </c>
      <c r="D173" s="59" t="s">
        <v>201</v>
      </c>
      <c r="E173" s="61">
        <v>65</v>
      </c>
      <c r="F173" s="59" t="s">
        <v>10</v>
      </c>
      <c r="G173" s="56">
        <f>LOOKUP(E173,{0,60,64,68,72,75,78,82,85,90},{0,1,1.7,2,2.3,2.7,3,3.3,3.7,4})</f>
        <v>1.7</v>
      </c>
    </row>
    <row r="174" spans="1:7" ht="15.75" x14ac:dyDescent="0.4">
      <c r="A174" s="59" t="s">
        <v>152</v>
      </c>
      <c r="B174" s="60">
        <v>200934212</v>
      </c>
      <c r="C174" s="59" t="s">
        <v>212</v>
      </c>
      <c r="D174" s="59" t="s">
        <v>201</v>
      </c>
      <c r="E174" s="61">
        <v>95</v>
      </c>
      <c r="F174" s="59" t="s">
        <v>10</v>
      </c>
      <c r="G174" s="56">
        <f>LOOKUP(E174,{0,60,64,68,72,75,78,82,85,90},{0,1,1.7,2,2.3,2.7,3,3.3,3.7,4})</f>
        <v>4</v>
      </c>
    </row>
    <row r="175" spans="1:7" ht="15.75" x14ac:dyDescent="0.4">
      <c r="A175" s="59" t="s">
        <v>152</v>
      </c>
      <c r="B175" s="60">
        <v>200934213</v>
      </c>
      <c r="C175" s="59" t="s">
        <v>213</v>
      </c>
      <c r="D175" s="59" t="s">
        <v>201</v>
      </c>
      <c r="E175" s="61">
        <v>85</v>
      </c>
      <c r="F175" s="59" t="s">
        <v>10</v>
      </c>
      <c r="G175" s="56">
        <f>LOOKUP(E175,{0,60,64,68,72,75,78,82,85,90},{0,1,1.7,2,2.3,2.7,3,3.3,3.7,4})</f>
        <v>3.7</v>
      </c>
    </row>
    <row r="176" spans="1:7" ht="15.75" x14ac:dyDescent="0.4">
      <c r="A176" s="59" t="s">
        <v>152</v>
      </c>
      <c r="B176" s="60">
        <v>200934214</v>
      </c>
      <c r="C176" s="59" t="s">
        <v>214</v>
      </c>
      <c r="D176" s="59" t="s">
        <v>201</v>
      </c>
      <c r="E176" s="61">
        <v>92</v>
      </c>
      <c r="F176" s="59" t="s">
        <v>10</v>
      </c>
      <c r="G176" s="56">
        <f>LOOKUP(E176,{0,60,64,68,72,75,78,82,85,90},{0,1,1.7,2,2.3,2.7,3,3.3,3.7,4})</f>
        <v>4</v>
      </c>
    </row>
    <row r="177" spans="1:7" ht="15.75" x14ac:dyDescent="0.4">
      <c r="A177" s="59" t="s">
        <v>152</v>
      </c>
      <c r="B177" s="60">
        <v>200934215</v>
      </c>
      <c r="C177" s="59" t="s">
        <v>215</v>
      </c>
      <c r="D177" s="59" t="s">
        <v>201</v>
      </c>
      <c r="E177" s="61">
        <v>85</v>
      </c>
      <c r="F177" s="59" t="s">
        <v>10</v>
      </c>
      <c r="G177" s="56">
        <f>LOOKUP(E177,{0,60,64,68,72,75,78,82,85,90},{0,1,1.7,2,2.3,2.7,3,3.3,3.7,4})</f>
        <v>3.7</v>
      </c>
    </row>
    <row r="178" spans="1:7" ht="15.75" x14ac:dyDescent="0.4">
      <c r="A178" s="59" t="s">
        <v>152</v>
      </c>
      <c r="B178" s="60">
        <v>200934216</v>
      </c>
      <c r="C178" s="59" t="s">
        <v>216</v>
      </c>
      <c r="D178" s="59" t="s">
        <v>201</v>
      </c>
      <c r="E178" s="61">
        <v>82</v>
      </c>
      <c r="F178" s="59" t="s">
        <v>10</v>
      </c>
      <c r="G178" s="56">
        <f>LOOKUP(E178,{0,60,64,68,72,75,78,82,85,90},{0,1,1.7,2,2.3,2.7,3,3.3,3.7,4})</f>
        <v>3.3</v>
      </c>
    </row>
    <row r="179" spans="1:7" ht="15.75" x14ac:dyDescent="0.4">
      <c r="A179" s="59" t="s">
        <v>152</v>
      </c>
      <c r="B179" s="60">
        <v>200934217</v>
      </c>
      <c r="C179" s="59" t="s">
        <v>217</v>
      </c>
      <c r="D179" s="59" t="s">
        <v>201</v>
      </c>
      <c r="E179" s="61">
        <v>87</v>
      </c>
      <c r="F179" s="59" t="s">
        <v>10</v>
      </c>
      <c r="G179" s="56">
        <f>LOOKUP(E179,{0,60,64,68,72,75,78,82,85,90},{0,1,1.7,2,2.3,2.7,3,3.3,3.7,4})</f>
        <v>3.7</v>
      </c>
    </row>
    <row r="180" spans="1:7" ht="15.75" x14ac:dyDescent="0.4">
      <c r="A180" s="59" t="s">
        <v>152</v>
      </c>
      <c r="B180" s="60">
        <v>200934218</v>
      </c>
      <c r="C180" s="59" t="s">
        <v>218</v>
      </c>
      <c r="D180" s="59" t="s">
        <v>201</v>
      </c>
      <c r="E180" s="61">
        <v>92</v>
      </c>
      <c r="F180" s="59" t="s">
        <v>10</v>
      </c>
      <c r="G180" s="56">
        <f>LOOKUP(E180,{0,60,64,68,72,75,78,82,85,90},{0,1,1.7,2,2.3,2.7,3,3.3,3.7,4})</f>
        <v>4</v>
      </c>
    </row>
    <row r="181" spans="1:7" ht="15.75" x14ac:dyDescent="0.4">
      <c r="A181" s="59" t="s">
        <v>152</v>
      </c>
      <c r="B181" s="60">
        <v>200934219</v>
      </c>
      <c r="C181" s="59" t="s">
        <v>219</v>
      </c>
      <c r="D181" s="59" t="s">
        <v>201</v>
      </c>
      <c r="E181" s="61">
        <v>83</v>
      </c>
      <c r="F181" s="59" t="s">
        <v>10</v>
      </c>
      <c r="G181" s="56">
        <f>LOOKUP(E181,{0,60,64,68,72,75,78,82,85,90},{0,1,1.7,2,2.3,2.7,3,3.3,3.7,4})</f>
        <v>3.3</v>
      </c>
    </row>
    <row r="182" spans="1:7" ht="15.75" x14ac:dyDescent="0.4">
      <c r="A182" s="59" t="s">
        <v>152</v>
      </c>
      <c r="B182" s="60">
        <v>200934220</v>
      </c>
      <c r="C182" s="59" t="s">
        <v>220</v>
      </c>
      <c r="D182" s="59" t="s">
        <v>201</v>
      </c>
      <c r="E182" s="61">
        <v>85</v>
      </c>
      <c r="F182" s="59" t="s">
        <v>10</v>
      </c>
      <c r="G182" s="56">
        <f>LOOKUP(E182,{0,60,64,68,72,75,78,82,85,90},{0,1,1.7,2,2.3,2.7,3,3.3,3.7,4})</f>
        <v>3.7</v>
      </c>
    </row>
    <row r="183" spans="1:7" ht="15.75" x14ac:dyDescent="0.4">
      <c r="A183" s="59" t="s">
        <v>152</v>
      </c>
      <c r="B183" s="60">
        <v>200934221</v>
      </c>
      <c r="C183" s="59" t="s">
        <v>221</v>
      </c>
      <c r="D183" s="59" t="s">
        <v>201</v>
      </c>
      <c r="E183" s="61">
        <v>74</v>
      </c>
      <c r="F183" s="59" t="s">
        <v>10</v>
      </c>
      <c r="G183" s="56">
        <f>LOOKUP(E183,{0,60,64,68,72,75,78,82,85,90},{0,1,1.7,2,2.3,2.7,3,3.3,3.7,4})</f>
        <v>2.2999999999999998</v>
      </c>
    </row>
    <row r="184" spans="1:7" ht="15.75" x14ac:dyDescent="0.4">
      <c r="A184" s="59" t="s">
        <v>152</v>
      </c>
      <c r="B184" s="60">
        <v>200934222</v>
      </c>
      <c r="C184" s="59" t="s">
        <v>222</v>
      </c>
      <c r="D184" s="59" t="s">
        <v>201</v>
      </c>
      <c r="E184" s="61">
        <v>77</v>
      </c>
      <c r="F184" s="59" t="s">
        <v>10</v>
      </c>
      <c r="G184" s="56">
        <f>LOOKUP(E184,{0,60,64,68,72,75,78,82,85,90},{0,1,1.7,2,2.3,2.7,3,3.3,3.7,4})</f>
        <v>2.7</v>
      </c>
    </row>
    <row r="185" spans="1:7" ht="15.75" x14ac:dyDescent="0.4">
      <c r="A185" s="59" t="s">
        <v>152</v>
      </c>
      <c r="B185" s="60">
        <v>200934223</v>
      </c>
      <c r="C185" s="59" t="s">
        <v>223</v>
      </c>
      <c r="D185" s="59" t="s">
        <v>201</v>
      </c>
      <c r="E185" s="61">
        <v>67</v>
      </c>
      <c r="F185" s="59" t="s">
        <v>10</v>
      </c>
      <c r="G185" s="56">
        <f>LOOKUP(E185,{0,60,64,68,72,75,78,82,85,90},{0,1,1.7,2,2.3,2.7,3,3.3,3.7,4})</f>
        <v>1.7</v>
      </c>
    </row>
    <row r="186" spans="1:7" ht="15.75" x14ac:dyDescent="0.4">
      <c r="A186" s="59" t="s">
        <v>152</v>
      </c>
      <c r="B186" s="60">
        <v>200934224</v>
      </c>
      <c r="C186" s="59" t="s">
        <v>224</v>
      </c>
      <c r="D186" s="59" t="s">
        <v>201</v>
      </c>
      <c r="E186" s="61">
        <v>99</v>
      </c>
      <c r="F186" s="59" t="s">
        <v>10</v>
      </c>
      <c r="G186" s="56">
        <f>LOOKUP(E186,{0,60,64,68,72,75,78,82,85,90},{0,1,1.7,2,2.3,2.7,3,3.3,3.7,4})</f>
        <v>4</v>
      </c>
    </row>
    <row r="187" spans="1:7" ht="15.75" x14ac:dyDescent="0.4">
      <c r="A187" s="59" t="s">
        <v>152</v>
      </c>
      <c r="B187" s="60">
        <v>200934225</v>
      </c>
      <c r="C187" s="59" t="s">
        <v>225</v>
      </c>
      <c r="D187" s="59" t="s">
        <v>201</v>
      </c>
      <c r="E187" s="61">
        <v>72</v>
      </c>
      <c r="F187" s="59" t="s">
        <v>10</v>
      </c>
      <c r="G187" s="56">
        <f>LOOKUP(E187,{0,60,64,68,72,75,78,82,85,90},{0,1,1.7,2,2.3,2.7,3,3.3,3.7,4})</f>
        <v>2.2999999999999998</v>
      </c>
    </row>
    <row r="188" spans="1:7" ht="15.75" x14ac:dyDescent="0.4">
      <c r="A188" s="59" t="s">
        <v>152</v>
      </c>
      <c r="B188" s="60">
        <v>200934226</v>
      </c>
      <c r="C188" s="59" t="s">
        <v>226</v>
      </c>
      <c r="D188" s="59" t="s">
        <v>201</v>
      </c>
      <c r="E188" s="61">
        <v>68</v>
      </c>
      <c r="F188" s="59" t="s">
        <v>10</v>
      </c>
      <c r="G188" s="56">
        <f>LOOKUP(E188,{0,60,64,68,72,75,78,82,85,90},{0,1,1.7,2,2.3,2.7,3,3.3,3.7,4})</f>
        <v>2</v>
      </c>
    </row>
    <row r="189" spans="1:7" ht="15.75" x14ac:dyDescent="0.4">
      <c r="A189" s="59" t="s">
        <v>152</v>
      </c>
      <c r="B189" s="60">
        <v>200934227</v>
      </c>
      <c r="C189" s="59" t="s">
        <v>227</v>
      </c>
      <c r="D189" s="59" t="s">
        <v>201</v>
      </c>
      <c r="E189" s="61">
        <v>87</v>
      </c>
      <c r="F189" s="59" t="s">
        <v>10</v>
      </c>
      <c r="G189" s="56">
        <f>LOOKUP(E189,{0,60,64,68,72,75,78,82,85,90},{0,1,1.7,2,2.3,2.7,3,3.3,3.7,4})</f>
        <v>3.7</v>
      </c>
    </row>
    <row r="190" spans="1:7" ht="15.75" x14ac:dyDescent="0.4">
      <c r="A190" s="59" t="s">
        <v>152</v>
      </c>
      <c r="B190" s="60">
        <v>200934228</v>
      </c>
      <c r="C190" s="59" t="s">
        <v>228</v>
      </c>
      <c r="D190" s="59" t="s">
        <v>201</v>
      </c>
      <c r="E190" s="61">
        <v>95</v>
      </c>
      <c r="F190" s="59" t="s">
        <v>10</v>
      </c>
      <c r="G190" s="56">
        <f>LOOKUP(E190,{0,60,64,68,72,75,78,82,85,90},{0,1,1.7,2,2.3,2.7,3,3.3,3.7,4})</f>
        <v>4</v>
      </c>
    </row>
    <row r="191" spans="1:7" ht="15.75" x14ac:dyDescent="0.4">
      <c r="A191" s="59" t="s">
        <v>152</v>
      </c>
      <c r="B191" s="60">
        <v>200934229</v>
      </c>
      <c r="C191" s="59" t="s">
        <v>229</v>
      </c>
      <c r="D191" s="59" t="s">
        <v>201</v>
      </c>
      <c r="E191" s="61">
        <v>75</v>
      </c>
      <c r="F191" s="59" t="s">
        <v>10</v>
      </c>
      <c r="G191" s="56">
        <f>LOOKUP(E191,{0,60,64,68,72,75,78,82,85,90},{0,1,1.7,2,2.3,2.7,3,3.3,3.7,4})</f>
        <v>2.7</v>
      </c>
    </row>
    <row r="192" spans="1:7" ht="15.75" x14ac:dyDescent="0.4">
      <c r="A192" s="59" t="s">
        <v>152</v>
      </c>
      <c r="B192" s="60">
        <v>200934230</v>
      </c>
      <c r="C192" s="59" t="s">
        <v>230</v>
      </c>
      <c r="D192" s="59" t="s">
        <v>201</v>
      </c>
      <c r="E192" s="61">
        <v>90</v>
      </c>
      <c r="F192" s="59" t="s">
        <v>10</v>
      </c>
      <c r="G192" s="56">
        <f>LOOKUP(E192,{0,60,64,68,72,75,78,82,85,90},{0,1,1.7,2,2.3,2.7,3,3.3,3.7,4})</f>
        <v>4</v>
      </c>
    </row>
    <row r="193" spans="1:7" ht="15.75" x14ac:dyDescent="0.4">
      <c r="A193" s="59" t="s">
        <v>152</v>
      </c>
      <c r="B193" s="60">
        <v>200934231</v>
      </c>
      <c r="C193" s="59" t="s">
        <v>231</v>
      </c>
      <c r="D193" s="59" t="s">
        <v>201</v>
      </c>
      <c r="E193" s="61">
        <v>59</v>
      </c>
      <c r="F193" s="59" t="s">
        <v>10</v>
      </c>
      <c r="G193" s="56">
        <f>LOOKUP(E193,{0,60,64,68,72,75,78,82,85,90},{0,1,1.7,2,2.3,2.7,3,3.3,3.7,4})</f>
        <v>0</v>
      </c>
    </row>
    <row r="194" spans="1:7" ht="15.75" x14ac:dyDescent="0.4">
      <c r="A194" s="59" t="s">
        <v>152</v>
      </c>
      <c r="B194" s="60">
        <v>200934232</v>
      </c>
      <c r="C194" s="59" t="s">
        <v>232</v>
      </c>
      <c r="D194" s="59" t="s">
        <v>201</v>
      </c>
      <c r="E194" s="61">
        <v>60</v>
      </c>
      <c r="F194" s="59" t="s">
        <v>53</v>
      </c>
      <c r="G194" s="56">
        <f>LOOKUP(E194,{0,60,64,68,72,75,78,82,85,90},{0,1,1.7,2,2.3,2.7,3,3.3,3.7,4})</f>
        <v>1</v>
      </c>
    </row>
    <row r="195" spans="1:7" ht="15.75" x14ac:dyDescent="0.4">
      <c r="A195" s="59" t="s">
        <v>152</v>
      </c>
      <c r="B195" s="60">
        <v>200934233</v>
      </c>
      <c r="C195" s="59" t="s">
        <v>233</v>
      </c>
      <c r="D195" s="59" t="s">
        <v>201</v>
      </c>
      <c r="E195" s="61">
        <v>68</v>
      </c>
      <c r="F195" s="59" t="s">
        <v>10</v>
      </c>
      <c r="G195" s="56">
        <f>LOOKUP(E195,{0,60,64,68,72,75,78,82,85,90},{0,1,1.7,2,2.3,2.7,3,3.3,3.7,4})</f>
        <v>2</v>
      </c>
    </row>
    <row r="196" spans="1:7" ht="15.75" x14ac:dyDescent="0.4">
      <c r="A196" s="59" t="s">
        <v>152</v>
      </c>
      <c r="B196" s="60">
        <v>200934234</v>
      </c>
      <c r="C196" s="59" t="s">
        <v>234</v>
      </c>
      <c r="D196" s="59" t="s">
        <v>201</v>
      </c>
      <c r="E196" s="61">
        <v>88</v>
      </c>
      <c r="F196" s="59" t="s">
        <v>10</v>
      </c>
      <c r="G196" s="56">
        <f>LOOKUP(E196,{0,60,64,68,72,75,78,82,85,90},{0,1,1.7,2,2.3,2.7,3,3.3,3.7,4})</f>
        <v>3.7</v>
      </c>
    </row>
    <row r="197" spans="1:7" ht="15.75" x14ac:dyDescent="0.4">
      <c r="A197" s="59" t="s">
        <v>152</v>
      </c>
      <c r="B197" s="60">
        <v>200934235</v>
      </c>
      <c r="C197" s="59" t="s">
        <v>235</v>
      </c>
      <c r="D197" s="59" t="s">
        <v>201</v>
      </c>
      <c r="E197" s="61">
        <v>87</v>
      </c>
      <c r="F197" s="59" t="s">
        <v>10</v>
      </c>
      <c r="G197" s="56">
        <f>LOOKUP(E197,{0,60,64,68,72,75,78,82,85,90},{0,1,1.7,2,2.3,2.7,3,3.3,3.7,4})</f>
        <v>3.7</v>
      </c>
    </row>
    <row r="198" spans="1:7" ht="15.75" x14ac:dyDescent="0.4">
      <c r="A198" s="59" t="s">
        <v>152</v>
      </c>
      <c r="B198" s="60">
        <v>200934236</v>
      </c>
      <c r="C198" s="59" t="s">
        <v>236</v>
      </c>
      <c r="D198" s="59" t="s">
        <v>201</v>
      </c>
      <c r="E198" s="61">
        <v>68</v>
      </c>
      <c r="F198" s="59" t="s">
        <v>10</v>
      </c>
      <c r="G198" s="56">
        <f>LOOKUP(E198,{0,60,64,68,72,75,78,82,85,90},{0,1,1.7,2,2.3,2.7,3,3.3,3.7,4})</f>
        <v>2</v>
      </c>
    </row>
    <row r="199" spans="1:7" ht="15.75" x14ac:dyDescent="0.4">
      <c r="A199" s="59" t="s">
        <v>152</v>
      </c>
      <c r="B199" s="60">
        <v>200934237</v>
      </c>
      <c r="C199" s="59" t="s">
        <v>237</v>
      </c>
      <c r="D199" s="59" t="s">
        <v>201</v>
      </c>
      <c r="E199" s="61">
        <v>84</v>
      </c>
      <c r="F199" s="59" t="s">
        <v>10</v>
      </c>
      <c r="G199" s="56">
        <f>LOOKUP(E199,{0,60,64,68,72,75,78,82,85,90},{0,1,1.7,2,2.3,2.7,3,3.3,3.7,4})</f>
        <v>3.3</v>
      </c>
    </row>
    <row r="200" spans="1:7" ht="15.75" x14ac:dyDescent="0.4">
      <c r="A200" s="59" t="s">
        <v>152</v>
      </c>
      <c r="B200" s="60">
        <v>200934238</v>
      </c>
      <c r="C200" s="59" t="s">
        <v>238</v>
      </c>
      <c r="D200" s="59" t="s">
        <v>201</v>
      </c>
      <c r="E200" s="61">
        <v>79</v>
      </c>
      <c r="F200" s="59" t="s">
        <v>10</v>
      </c>
      <c r="G200" s="56">
        <f>LOOKUP(E200,{0,60,64,68,72,75,78,82,85,90},{0,1,1.7,2,2.3,2.7,3,3.3,3.7,4})</f>
        <v>3</v>
      </c>
    </row>
    <row r="201" spans="1:7" ht="15.75" x14ac:dyDescent="0.4">
      <c r="A201" s="59" t="s">
        <v>152</v>
      </c>
      <c r="B201" s="60">
        <v>200934239</v>
      </c>
      <c r="C201" s="59" t="s">
        <v>239</v>
      </c>
      <c r="D201" s="59" t="s">
        <v>201</v>
      </c>
      <c r="E201" s="61">
        <v>78</v>
      </c>
      <c r="F201" s="59" t="s">
        <v>10</v>
      </c>
      <c r="G201" s="56">
        <f>LOOKUP(E201,{0,60,64,68,72,75,78,82,85,90},{0,1,1.7,2,2.3,2.7,3,3.3,3.7,4})</f>
        <v>3</v>
      </c>
    </row>
    <row r="202" spans="1:7" ht="15.75" x14ac:dyDescent="0.4">
      <c r="A202" s="59" t="s">
        <v>152</v>
      </c>
      <c r="B202" s="60">
        <v>200934240</v>
      </c>
      <c r="C202" s="59" t="s">
        <v>240</v>
      </c>
      <c r="D202" s="59" t="s">
        <v>201</v>
      </c>
      <c r="E202" s="61">
        <v>77</v>
      </c>
      <c r="F202" s="59" t="s">
        <v>10</v>
      </c>
      <c r="G202" s="56">
        <f>LOOKUP(E202,{0,60,64,68,72,75,78,82,85,90},{0,1,1.7,2,2.3,2.7,3,3.3,3.7,4})</f>
        <v>2.7</v>
      </c>
    </row>
    <row r="203" spans="1:7" ht="15.75" x14ac:dyDescent="0.4">
      <c r="A203" s="59" t="s">
        <v>152</v>
      </c>
      <c r="B203" s="60">
        <v>200934241</v>
      </c>
      <c r="C203" s="59" t="s">
        <v>241</v>
      </c>
      <c r="D203" s="59" t="s">
        <v>201</v>
      </c>
      <c r="E203" s="61">
        <v>72</v>
      </c>
      <c r="F203" s="59" t="s">
        <v>10</v>
      </c>
      <c r="G203" s="56">
        <f>LOOKUP(E203,{0,60,64,68,72,75,78,82,85,90},{0,1,1.7,2,2.3,2.7,3,3.3,3.7,4})</f>
        <v>2.2999999999999998</v>
      </c>
    </row>
    <row r="204" spans="1:7" ht="15.75" x14ac:dyDescent="0.4">
      <c r="A204" s="59" t="s">
        <v>152</v>
      </c>
      <c r="B204" s="60">
        <v>200934242</v>
      </c>
      <c r="C204" s="59" t="s">
        <v>242</v>
      </c>
      <c r="D204" s="59" t="s">
        <v>201</v>
      </c>
      <c r="E204" s="61">
        <v>100</v>
      </c>
      <c r="F204" s="59" t="s">
        <v>10</v>
      </c>
      <c r="G204" s="56">
        <f>LOOKUP(E204,{0,60,64,68,72,75,78,82,85,90},{0,1,1.7,2,2.3,2.7,3,3.3,3.7,4})</f>
        <v>4</v>
      </c>
    </row>
    <row r="205" spans="1:7" ht="15.75" x14ac:dyDescent="0.4">
      <c r="A205" s="59" t="s">
        <v>152</v>
      </c>
      <c r="B205" s="60">
        <v>200934243</v>
      </c>
      <c r="C205" s="59" t="s">
        <v>243</v>
      </c>
      <c r="D205" s="59" t="s">
        <v>201</v>
      </c>
      <c r="E205" s="61">
        <v>75</v>
      </c>
      <c r="F205" s="59" t="s">
        <v>10</v>
      </c>
      <c r="G205" s="56">
        <f>LOOKUP(E205,{0,60,64,68,72,75,78,82,85,90},{0,1,1.7,2,2.3,2.7,3,3.3,3.7,4})</f>
        <v>2.7</v>
      </c>
    </row>
    <row r="206" spans="1:7" ht="15.75" x14ac:dyDescent="0.4">
      <c r="A206" s="59" t="s">
        <v>152</v>
      </c>
      <c r="B206" s="60">
        <v>200934244</v>
      </c>
      <c r="C206" s="59" t="s">
        <v>244</v>
      </c>
      <c r="D206" s="59" t="s">
        <v>201</v>
      </c>
      <c r="E206" s="61">
        <v>63</v>
      </c>
      <c r="F206" s="59" t="s">
        <v>10</v>
      </c>
      <c r="G206" s="56">
        <f>LOOKUP(E206,{0,60,64,68,72,75,78,82,85,90},{0,1,1.7,2,2.3,2.7,3,3.3,3.7,4})</f>
        <v>1</v>
      </c>
    </row>
    <row r="207" spans="1:7" ht="15.75" x14ac:dyDescent="0.4">
      <c r="A207" s="59" t="s">
        <v>152</v>
      </c>
      <c r="B207" s="60">
        <v>200934245</v>
      </c>
      <c r="C207" s="59" t="s">
        <v>245</v>
      </c>
      <c r="D207" s="59" t="s">
        <v>201</v>
      </c>
      <c r="E207" s="61">
        <v>50</v>
      </c>
      <c r="F207" s="59" t="s">
        <v>10</v>
      </c>
      <c r="G207" s="56">
        <f>LOOKUP(E207,{0,60,64,68,72,75,78,82,85,90},{0,1,1.7,2,2.3,2.7,3,3.3,3.7,4})</f>
        <v>0</v>
      </c>
    </row>
    <row r="208" spans="1:7" ht="15.75" x14ac:dyDescent="0.4">
      <c r="A208" s="59" t="s">
        <v>152</v>
      </c>
      <c r="B208" s="60">
        <v>200934246</v>
      </c>
      <c r="C208" s="59" t="s">
        <v>246</v>
      </c>
      <c r="D208" s="59" t="s">
        <v>201</v>
      </c>
      <c r="E208" s="61">
        <v>72</v>
      </c>
      <c r="F208" s="59" t="s">
        <v>10</v>
      </c>
      <c r="G208" s="56">
        <f>LOOKUP(E208,{0,60,64,68,72,75,78,82,85,90},{0,1,1.7,2,2.3,2.7,3,3.3,3.7,4})</f>
        <v>2.2999999999999998</v>
      </c>
    </row>
    <row r="209" spans="1:7" ht="15.75" x14ac:dyDescent="0.4">
      <c r="A209" s="59" t="s">
        <v>152</v>
      </c>
      <c r="B209" s="60">
        <v>200934301</v>
      </c>
      <c r="C209" s="59" t="s">
        <v>247</v>
      </c>
      <c r="D209" s="59" t="s">
        <v>248</v>
      </c>
      <c r="E209" s="61">
        <v>90</v>
      </c>
      <c r="F209" s="59" t="s">
        <v>10</v>
      </c>
      <c r="G209" s="56">
        <f>LOOKUP(E209,{0,60,64,68,72,75,78,82,85,90},{0,1,1.7,2,2.3,2.7,3,3.3,3.7,4})</f>
        <v>4</v>
      </c>
    </row>
    <row r="210" spans="1:7" ht="15.75" x14ac:dyDescent="0.4">
      <c r="A210" s="59" t="s">
        <v>152</v>
      </c>
      <c r="B210" s="60">
        <v>200934302</v>
      </c>
      <c r="C210" s="59" t="s">
        <v>249</v>
      </c>
      <c r="D210" s="59" t="s">
        <v>248</v>
      </c>
      <c r="E210" s="61">
        <v>87</v>
      </c>
      <c r="F210" s="59" t="s">
        <v>10</v>
      </c>
      <c r="G210" s="56">
        <f>LOOKUP(E210,{0,60,64,68,72,75,78,82,85,90},{0,1,1.7,2,2.3,2.7,3,3.3,3.7,4})</f>
        <v>3.7</v>
      </c>
    </row>
    <row r="211" spans="1:7" ht="15.75" x14ac:dyDescent="0.4">
      <c r="A211" s="59" t="s">
        <v>152</v>
      </c>
      <c r="B211" s="60">
        <v>200934303</v>
      </c>
      <c r="C211" s="59" t="s">
        <v>250</v>
      </c>
      <c r="D211" s="59" t="s">
        <v>248</v>
      </c>
      <c r="E211" s="61">
        <v>78</v>
      </c>
      <c r="F211" s="59" t="s">
        <v>53</v>
      </c>
      <c r="G211" s="56">
        <f>LOOKUP(E211,{0,60,64,68,72,75,78,82,85,90},{0,1,1.7,2,2.3,2.7,3,3.3,3.7,4})</f>
        <v>3</v>
      </c>
    </row>
    <row r="212" spans="1:7" ht="15.75" x14ac:dyDescent="0.4">
      <c r="A212" s="59" t="s">
        <v>152</v>
      </c>
      <c r="B212" s="60">
        <v>200934304</v>
      </c>
      <c r="C212" s="59" t="s">
        <v>251</v>
      </c>
      <c r="D212" s="59" t="s">
        <v>248</v>
      </c>
      <c r="E212" s="61">
        <v>77</v>
      </c>
      <c r="F212" s="59" t="s">
        <v>10</v>
      </c>
      <c r="G212" s="56">
        <f>LOOKUP(E212,{0,60,64,68,72,75,78,82,85,90},{0,1,1.7,2,2.3,2.7,3,3.3,3.7,4})</f>
        <v>2.7</v>
      </c>
    </row>
    <row r="213" spans="1:7" ht="15.75" x14ac:dyDescent="0.4">
      <c r="A213" s="59" t="s">
        <v>152</v>
      </c>
      <c r="B213" s="60">
        <v>200934305</v>
      </c>
      <c r="C213" s="59" t="s">
        <v>252</v>
      </c>
      <c r="D213" s="59" t="s">
        <v>248</v>
      </c>
      <c r="E213" s="61">
        <v>78</v>
      </c>
      <c r="F213" s="59" t="s">
        <v>10</v>
      </c>
      <c r="G213" s="56">
        <f>LOOKUP(E213,{0,60,64,68,72,75,78,82,85,90},{0,1,1.7,2,2.3,2.7,3,3.3,3.7,4})</f>
        <v>3</v>
      </c>
    </row>
    <row r="214" spans="1:7" ht="15.75" x14ac:dyDescent="0.4">
      <c r="A214" s="59" t="s">
        <v>152</v>
      </c>
      <c r="B214" s="60">
        <v>200934306</v>
      </c>
      <c r="C214" s="59" t="s">
        <v>253</v>
      </c>
      <c r="D214" s="59" t="s">
        <v>248</v>
      </c>
      <c r="E214" s="61">
        <v>69</v>
      </c>
      <c r="F214" s="59" t="s">
        <v>10</v>
      </c>
      <c r="G214" s="56">
        <f>LOOKUP(E214,{0,60,64,68,72,75,78,82,85,90},{0,1,1.7,2,2.3,2.7,3,3.3,3.7,4})</f>
        <v>2</v>
      </c>
    </row>
    <row r="215" spans="1:7" ht="15.75" x14ac:dyDescent="0.4">
      <c r="A215" s="59" t="s">
        <v>152</v>
      </c>
      <c r="B215" s="60">
        <v>200934307</v>
      </c>
      <c r="C215" s="59" t="s">
        <v>254</v>
      </c>
      <c r="D215" s="59" t="s">
        <v>248</v>
      </c>
      <c r="E215" s="61">
        <v>64</v>
      </c>
      <c r="F215" s="59" t="s">
        <v>10</v>
      </c>
      <c r="G215" s="56">
        <f>LOOKUP(E215,{0,60,64,68,72,75,78,82,85,90},{0,1,1.7,2,2.3,2.7,3,3.3,3.7,4})</f>
        <v>1.7</v>
      </c>
    </row>
    <row r="216" spans="1:7" ht="15.75" x14ac:dyDescent="0.4">
      <c r="A216" s="59" t="s">
        <v>152</v>
      </c>
      <c r="B216" s="60">
        <v>200934308</v>
      </c>
      <c r="C216" s="59" t="s">
        <v>255</v>
      </c>
      <c r="D216" s="59" t="s">
        <v>248</v>
      </c>
      <c r="E216" s="61">
        <v>77</v>
      </c>
      <c r="F216" s="59" t="s">
        <v>10</v>
      </c>
      <c r="G216" s="56">
        <f>LOOKUP(E216,{0,60,64,68,72,75,78,82,85,90},{0,1,1.7,2,2.3,2.7,3,3.3,3.7,4})</f>
        <v>2.7</v>
      </c>
    </row>
    <row r="217" spans="1:7" ht="15.75" x14ac:dyDescent="0.4">
      <c r="A217" s="59" t="s">
        <v>152</v>
      </c>
      <c r="B217" s="60">
        <v>200934309</v>
      </c>
      <c r="C217" s="59" t="s">
        <v>256</v>
      </c>
      <c r="D217" s="59" t="s">
        <v>248</v>
      </c>
      <c r="E217" s="61">
        <v>62</v>
      </c>
      <c r="F217" s="59" t="s">
        <v>10</v>
      </c>
      <c r="G217" s="56">
        <f>LOOKUP(E217,{0,60,64,68,72,75,78,82,85,90},{0,1,1.7,2,2.3,2.7,3,3.3,3.7,4})</f>
        <v>1</v>
      </c>
    </row>
    <row r="218" spans="1:7" ht="15.75" x14ac:dyDescent="0.4">
      <c r="A218" s="59" t="s">
        <v>152</v>
      </c>
      <c r="B218" s="60">
        <v>200934310</v>
      </c>
      <c r="C218" s="59" t="s">
        <v>257</v>
      </c>
      <c r="D218" s="59" t="s">
        <v>248</v>
      </c>
      <c r="E218" s="61">
        <v>92</v>
      </c>
      <c r="F218" s="59" t="s">
        <v>10</v>
      </c>
      <c r="G218" s="56">
        <f>LOOKUP(E218,{0,60,64,68,72,75,78,82,85,90},{0,1,1.7,2,2.3,2.7,3,3.3,3.7,4})</f>
        <v>4</v>
      </c>
    </row>
    <row r="219" spans="1:7" ht="15.75" x14ac:dyDescent="0.4">
      <c r="A219" s="59" t="s">
        <v>152</v>
      </c>
      <c r="B219" s="60">
        <v>200934311</v>
      </c>
      <c r="C219" s="59" t="s">
        <v>258</v>
      </c>
      <c r="D219" s="59" t="s">
        <v>248</v>
      </c>
      <c r="E219" s="61">
        <v>89</v>
      </c>
      <c r="F219" s="59" t="s">
        <v>10</v>
      </c>
      <c r="G219" s="56">
        <f>LOOKUP(E219,{0,60,64,68,72,75,78,82,85,90},{0,1,1.7,2,2.3,2.7,3,3.3,3.7,4})</f>
        <v>3.7</v>
      </c>
    </row>
    <row r="220" spans="1:7" ht="15.75" x14ac:dyDescent="0.4">
      <c r="A220" s="59" t="s">
        <v>152</v>
      </c>
      <c r="B220" s="60">
        <v>200934312</v>
      </c>
      <c r="C220" s="59" t="s">
        <v>259</v>
      </c>
      <c r="D220" s="59" t="s">
        <v>248</v>
      </c>
      <c r="E220" s="61">
        <v>82</v>
      </c>
      <c r="F220" s="59" t="s">
        <v>53</v>
      </c>
      <c r="G220" s="56">
        <f>LOOKUP(E220,{0,60,64,68,72,75,78,82,85,90},{0,1,1.7,2,2.3,2.7,3,3.3,3.7,4})</f>
        <v>3.3</v>
      </c>
    </row>
    <row r="221" spans="1:7" ht="15.75" x14ac:dyDescent="0.4">
      <c r="A221" s="59" t="s">
        <v>152</v>
      </c>
      <c r="B221" s="60">
        <v>200934313</v>
      </c>
      <c r="C221" s="59" t="s">
        <v>260</v>
      </c>
      <c r="D221" s="59" t="s">
        <v>248</v>
      </c>
      <c r="E221" s="61">
        <v>85</v>
      </c>
      <c r="F221" s="59" t="s">
        <v>10</v>
      </c>
      <c r="G221" s="56">
        <f>LOOKUP(E221,{0,60,64,68,72,75,78,82,85,90},{0,1,1.7,2,2.3,2.7,3,3.3,3.7,4})</f>
        <v>3.7</v>
      </c>
    </row>
    <row r="222" spans="1:7" ht="15.75" x14ac:dyDescent="0.4">
      <c r="A222" s="59" t="s">
        <v>152</v>
      </c>
      <c r="B222" s="60">
        <v>200934314</v>
      </c>
      <c r="C222" s="59" t="s">
        <v>261</v>
      </c>
      <c r="D222" s="59" t="s">
        <v>248</v>
      </c>
      <c r="E222" s="61">
        <v>73</v>
      </c>
      <c r="F222" s="59" t="s">
        <v>10</v>
      </c>
      <c r="G222" s="56">
        <f>LOOKUP(E222,{0,60,64,68,72,75,78,82,85,90},{0,1,1.7,2,2.3,2.7,3,3.3,3.7,4})</f>
        <v>2.2999999999999998</v>
      </c>
    </row>
    <row r="223" spans="1:7" ht="15.75" x14ac:dyDescent="0.4">
      <c r="A223" s="59" t="s">
        <v>152</v>
      </c>
      <c r="B223" s="60">
        <v>200934315</v>
      </c>
      <c r="C223" s="59" t="s">
        <v>262</v>
      </c>
      <c r="D223" s="59" t="s">
        <v>248</v>
      </c>
      <c r="E223" s="61">
        <v>92</v>
      </c>
      <c r="F223" s="59" t="s">
        <v>10</v>
      </c>
      <c r="G223" s="56">
        <f>LOOKUP(E223,{0,60,64,68,72,75,78,82,85,90},{0,1,1.7,2,2.3,2.7,3,3.3,3.7,4})</f>
        <v>4</v>
      </c>
    </row>
    <row r="224" spans="1:7" ht="15.75" x14ac:dyDescent="0.4">
      <c r="A224" s="59" t="s">
        <v>152</v>
      </c>
      <c r="B224" s="60">
        <v>200934316</v>
      </c>
      <c r="C224" s="59" t="s">
        <v>263</v>
      </c>
      <c r="D224" s="59" t="s">
        <v>248</v>
      </c>
      <c r="E224" s="61">
        <v>71</v>
      </c>
      <c r="F224" s="59" t="s">
        <v>10</v>
      </c>
      <c r="G224" s="56">
        <f>LOOKUP(E224,{0,60,64,68,72,75,78,82,85,90},{0,1,1.7,2,2.3,2.7,3,3.3,3.7,4})</f>
        <v>2</v>
      </c>
    </row>
    <row r="225" spans="1:7" ht="15.75" x14ac:dyDescent="0.4">
      <c r="A225" s="59" t="s">
        <v>152</v>
      </c>
      <c r="B225" s="60">
        <v>200934317</v>
      </c>
      <c r="C225" s="59" t="s">
        <v>264</v>
      </c>
      <c r="D225" s="59" t="s">
        <v>248</v>
      </c>
      <c r="E225" s="61">
        <v>85</v>
      </c>
      <c r="F225" s="59" t="s">
        <v>10</v>
      </c>
      <c r="G225" s="56">
        <f>LOOKUP(E225,{0,60,64,68,72,75,78,82,85,90},{0,1,1.7,2,2.3,2.7,3,3.3,3.7,4})</f>
        <v>3.7</v>
      </c>
    </row>
    <row r="226" spans="1:7" ht="15.75" x14ac:dyDescent="0.4">
      <c r="A226" s="59" t="s">
        <v>152</v>
      </c>
      <c r="B226" s="60">
        <v>200934318</v>
      </c>
      <c r="C226" s="59" t="s">
        <v>265</v>
      </c>
      <c r="D226" s="59" t="s">
        <v>248</v>
      </c>
      <c r="E226" s="61">
        <v>79</v>
      </c>
      <c r="F226" s="59" t="s">
        <v>10</v>
      </c>
      <c r="G226" s="56">
        <f>LOOKUP(E226,{0,60,64,68,72,75,78,82,85,90},{0,1,1.7,2,2.3,2.7,3,3.3,3.7,4})</f>
        <v>3</v>
      </c>
    </row>
    <row r="227" spans="1:7" ht="15.75" x14ac:dyDescent="0.4">
      <c r="A227" s="59" t="s">
        <v>152</v>
      </c>
      <c r="B227" s="60">
        <v>200934319</v>
      </c>
      <c r="C227" s="59" t="s">
        <v>266</v>
      </c>
      <c r="D227" s="59" t="s">
        <v>248</v>
      </c>
      <c r="E227" s="61">
        <v>73</v>
      </c>
      <c r="F227" s="59" t="s">
        <v>10</v>
      </c>
      <c r="G227" s="56">
        <f>LOOKUP(E227,{0,60,64,68,72,75,78,82,85,90},{0,1,1.7,2,2.3,2.7,3,3.3,3.7,4})</f>
        <v>2.2999999999999998</v>
      </c>
    </row>
    <row r="228" spans="1:7" ht="15.75" x14ac:dyDescent="0.4">
      <c r="A228" s="59" t="s">
        <v>152</v>
      </c>
      <c r="B228" s="60">
        <v>200934320</v>
      </c>
      <c r="C228" s="59" t="s">
        <v>267</v>
      </c>
      <c r="D228" s="59" t="s">
        <v>248</v>
      </c>
      <c r="E228" s="61">
        <v>75</v>
      </c>
      <c r="F228" s="59" t="s">
        <v>10</v>
      </c>
      <c r="G228" s="56">
        <f>LOOKUP(E228,{0,60,64,68,72,75,78,82,85,90},{0,1,1.7,2,2.3,2.7,3,3.3,3.7,4})</f>
        <v>2.7</v>
      </c>
    </row>
    <row r="229" spans="1:7" ht="15.75" x14ac:dyDescent="0.4">
      <c r="A229" s="59" t="s">
        <v>152</v>
      </c>
      <c r="B229" s="60">
        <v>200934321</v>
      </c>
      <c r="C229" s="59" t="s">
        <v>268</v>
      </c>
      <c r="D229" s="59" t="s">
        <v>248</v>
      </c>
      <c r="E229" s="61">
        <v>82</v>
      </c>
      <c r="F229" s="59" t="s">
        <v>10</v>
      </c>
      <c r="G229" s="56">
        <f>LOOKUP(E229,{0,60,64,68,72,75,78,82,85,90},{0,1,1.7,2,2.3,2.7,3,3.3,3.7,4})</f>
        <v>3.3</v>
      </c>
    </row>
    <row r="230" spans="1:7" ht="15.75" x14ac:dyDescent="0.4">
      <c r="A230" s="59" t="s">
        <v>152</v>
      </c>
      <c r="B230" s="60">
        <v>200934322</v>
      </c>
      <c r="C230" s="59" t="s">
        <v>269</v>
      </c>
      <c r="D230" s="59" t="s">
        <v>248</v>
      </c>
      <c r="E230" s="61">
        <v>67</v>
      </c>
      <c r="F230" s="59" t="s">
        <v>10</v>
      </c>
      <c r="G230" s="56">
        <f>LOOKUP(E230,{0,60,64,68,72,75,78,82,85,90},{0,1,1.7,2,2.3,2.7,3,3.3,3.7,4})</f>
        <v>1.7</v>
      </c>
    </row>
    <row r="231" spans="1:7" ht="15.75" x14ac:dyDescent="0.4">
      <c r="A231" s="59" t="s">
        <v>152</v>
      </c>
      <c r="B231" s="60">
        <v>200934323</v>
      </c>
      <c r="C231" s="59" t="s">
        <v>270</v>
      </c>
      <c r="D231" s="59" t="s">
        <v>248</v>
      </c>
      <c r="E231" s="61">
        <v>79</v>
      </c>
      <c r="F231" s="59" t="s">
        <v>10</v>
      </c>
      <c r="G231" s="56">
        <f>LOOKUP(E231,{0,60,64,68,72,75,78,82,85,90},{0,1,1.7,2,2.3,2.7,3,3.3,3.7,4})</f>
        <v>3</v>
      </c>
    </row>
    <row r="232" spans="1:7" ht="15.75" x14ac:dyDescent="0.4">
      <c r="A232" s="59" t="s">
        <v>152</v>
      </c>
      <c r="B232" s="60">
        <v>200934324</v>
      </c>
      <c r="C232" s="59" t="s">
        <v>271</v>
      </c>
      <c r="D232" s="59" t="s">
        <v>248</v>
      </c>
      <c r="E232" s="61">
        <v>82</v>
      </c>
      <c r="F232" s="59" t="s">
        <v>10</v>
      </c>
      <c r="G232" s="56">
        <f>LOOKUP(E232,{0,60,64,68,72,75,78,82,85,90},{0,1,1.7,2,2.3,2.7,3,3.3,3.7,4})</f>
        <v>3.3</v>
      </c>
    </row>
    <row r="233" spans="1:7" ht="15.75" x14ac:dyDescent="0.4">
      <c r="A233" s="59" t="s">
        <v>152</v>
      </c>
      <c r="B233" s="60">
        <v>200934325</v>
      </c>
      <c r="C233" s="59" t="s">
        <v>272</v>
      </c>
      <c r="D233" s="59" t="s">
        <v>248</v>
      </c>
      <c r="E233" s="61">
        <v>89</v>
      </c>
      <c r="F233" s="59" t="s">
        <v>10</v>
      </c>
      <c r="G233" s="56">
        <f>LOOKUP(E233,{0,60,64,68,72,75,78,82,85,90},{0,1,1.7,2,2.3,2.7,3,3.3,3.7,4})</f>
        <v>3.7</v>
      </c>
    </row>
    <row r="234" spans="1:7" ht="15.75" x14ac:dyDescent="0.4">
      <c r="A234" s="59" t="s">
        <v>152</v>
      </c>
      <c r="B234" s="60">
        <v>200934326</v>
      </c>
      <c r="C234" s="59" t="s">
        <v>273</v>
      </c>
      <c r="D234" s="59" t="s">
        <v>248</v>
      </c>
      <c r="E234" s="61">
        <v>82</v>
      </c>
      <c r="F234" s="59" t="s">
        <v>10</v>
      </c>
      <c r="G234" s="56">
        <f>LOOKUP(E234,{0,60,64,68,72,75,78,82,85,90},{0,1,1.7,2,2.3,2.7,3,3.3,3.7,4})</f>
        <v>3.3</v>
      </c>
    </row>
    <row r="235" spans="1:7" ht="15.75" x14ac:dyDescent="0.4">
      <c r="A235" s="59" t="s">
        <v>152</v>
      </c>
      <c r="B235" s="60">
        <v>200934327</v>
      </c>
      <c r="C235" s="59" t="s">
        <v>274</v>
      </c>
      <c r="D235" s="59" t="s">
        <v>248</v>
      </c>
      <c r="E235" s="61">
        <v>72</v>
      </c>
      <c r="F235" s="59" t="s">
        <v>10</v>
      </c>
      <c r="G235" s="56">
        <f>LOOKUP(E235,{0,60,64,68,72,75,78,82,85,90},{0,1,1.7,2,2.3,2.7,3,3.3,3.7,4})</f>
        <v>2.2999999999999998</v>
      </c>
    </row>
    <row r="236" spans="1:7" ht="15.75" x14ac:dyDescent="0.4">
      <c r="A236" s="59" t="s">
        <v>152</v>
      </c>
      <c r="B236" s="60">
        <v>200934328</v>
      </c>
      <c r="C236" s="59" t="s">
        <v>275</v>
      </c>
      <c r="D236" s="59" t="s">
        <v>248</v>
      </c>
      <c r="E236" s="61">
        <v>64</v>
      </c>
      <c r="F236" s="59" t="s">
        <v>10</v>
      </c>
      <c r="G236" s="56">
        <f>LOOKUP(E236,{0,60,64,68,72,75,78,82,85,90},{0,1,1.7,2,2.3,2.7,3,3.3,3.7,4})</f>
        <v>1.7</v>
      </c>
    </row>
    <row r="237" spans="1:7" ht="15.75" x14ac:dyDescent="0.4">
      <c r="A237" s="59" t="s">
        <v>152</v>
      </c>
      <c r="B237" s="60">
        <v>200934329</v>
      </c>
      <c r="C237" s="59" t="s">
        <v>276</v>
      </c>
      <c r="D237" s="59" t="s">
        <v>248</v>
      </c>
      <c r="E237" s="61">
        <v>88</v>
      </c>
      <c r="F237" s="59" t="s">
        <v>10</v>
      </c>
      <c r="G237" s="56">
        <f>LOOKUP(E237,{0,60,64,68,72,75,78,82,85,90},{0,1,1.7,2,2.3,2.7,3,3.3,3.7,4})</f>
        <v>3.7</v>
      </c>
    </row>
    <row r="238" spans="1:7" ht="15.75" x14ac:dyDescent="0.4">
      <c r="A238" s="59" t="s">
        <v>152</v>
      </c>
      <c r="B238" s="60">
        <v>200934330</v>
      </c>
      <c r="C238" s="59" t="s">
        <v>277</v>
      </c>
      <c r="D238" s="59" t="s">
        <v>248</v>
      </c>
      <c r="E238" s="61">
        <v>97</v>
      </c>
      <c r="F238" s="59" t="s">
        <v>10</v>
      </c>
      <c r="G238" s="56">
        <f>LOOKUP(E238,{0,60,64,68,72,75,78,82,85,90},{0,1,1.7,2,2.3,2.7,3,3.3,3.7,4})</f>
        <v>4</v>
      </c>
    </row>
    <row r="239" spans="1:7" ht="15.75" x14ac:dyDescent="0.4">
      <c r="A239" s="59" t="s">
        <v>152</v>
      </c>
      <c r="B239" s="60">
        <v>200934331</v>
      </c>
      <c r="C239" s="59" t="s">
        <v>278</v>
      </c>
      <c r="D239" s="59" t="s">
        <v>248</v>
      </c>
      <c r="E239" s="61">
        <v>61</v>
      </c>
      <c r="F239" s="59" t="s">
        <v>10</v>
      </c>
      <c r="G239" s="56">
        <f>LOOKUP(E239,{0,60,64,68,72,75,78,82,85,90},{0,1,1.7,2,2.3,2.7,3,3.3,3.7,4})</f>
        <v>1</v>
      </c>
    </row>
    <row r="240" spans="1:7" ht="15.75" x14ac:dyDescent="0.4">
      <c r="A240" s="59" t="s">
        <v>152</v>
      </c>
      <c r="B240" s="60">
        <v>200934332</v>
      </c>
      <c r="C240" s="59" t="s">
        <v>279</v>
      </c>
      <c r="D240" s="59" t="s">
        <v>248</v>
      </c>
      <c r="E240" s="61">
        <v>76</v>
      </c>
      <c r="F240" s="59" t="s">
        <v>10</v>
      </c>
      <c r="G240" s="56">
        <f>LOOKUP(E240,{0,60,64,68,72,75,78,82,85,90},{0,1,1.7,2,2.3,2.7,3,3.3,3.7,4})</f>
        <v>2.7</v>
      </c>
    </row>
    <row r="241" spans="1:7" ht="15.75" x14ac:dyDescent="0.4">
      <c r="A241" s="59" t="s">
        <v>152</v>
      </c>
      <c r="B241" s="60">
        <v>200934333</v>
      </c>
      <c r="C241" s="59" t="s">
        <v>280</v>
      </c>
      <c r="D241" s="59" t="s">
        <v>248</v>
      </c>
      <c r="E241" s="61">
        <v>64</v>
      </c>
      <c r="F241" s="59" t="s">
        <v>10</v>
      </c>
      <c r="G241" s="56">
        <f>LOOKUP(E241,{0,60,64,68,72,75,78,82,85,90},{0,1,1.7,2,2.3,2.7,3,3.3,3.7,4})</f>
        <v>1.7</v>
      </c>
    </row>
    <row r="242" spans="1:7" ht="15.75" x14ac:dyDescent="0.4">
      <c r="A242" s="59" t="s">
        <v>152</v>
      </c>
      <c r="B242" s="60">
        <v>200934334</v>
      </c>
      <c r="C242" s="59" t="s">
        <v>281</v>
      </c>
      <c r="D242" s="59" t="s">
        <v>248</v>
      </c>
      <c r="E242" s="61">
        <v>81</v>
      </c>
      <c r="F242" s="59" t="s">
        <v>10</v>
      </c>
      <c r="G242" s="56">
        <f>LOOKUP(E242,{0,60,64,68,72,75,78,82,85,90},{0,1,1.7,2,2.3,2.7,3,3.3,3.7,4})</f>
        <v>3</v>
      </c>
    </row>
    <row r="243" spans="1:7" ht="15.75" x14ac:dyDescent="0.4">
      <c r="A243" s="59" t="s">
        <v>152</v>
      </c>
      <c r="B243" s="60">
        <v>200934335</v>
      </c>
      <c r="C243" s="59" t="s">
        <v>282</v>
      </c>
      <c r="D243" s="59" t="s">
        <v>248</v>
      </c>
      <c r="E243" s="61">
        <v>89</v>
      </c>
      <c r="F243" s="59" t="s">
        <v>53</v>
      </c>
      <c r="G243" s="56">
        <f>LOOKUP(E243,{0,60,64,68,72,75,78,82,85,90},{0,1,1.7,2,2.3,2.7,3,3.3,3.7,4})</f>
        <v>3.7</v>
      </c>
    </row>
    <row r="244" spans="1:7" ht="15.75" x14ac:dyDescent="0.4">
      <c r="A244" s="59" t="s">
        <v>152</v>
      </c>
      <c r="B244" s="60">
        <v>200934336</v>
      </c>
      <c r="C244" s="59" t="s">
        <v>283</v>
      </c>
      <c r="D244" s="59" t="s">
        <v>248</v>
      </c>
      <c r="E244" s="61">
        <v>83</v>
      </c>
      <c r="F244" s="59" t="s">
        <v>10</v>
      </c>
      <c r="G244" s="56">
        <f>LOOKUP(E244,{0,60,64,68,72,75,78,82,85,90},{0,1,1.7,2,2.3,2.7,3,3.3,3.7,4})</f>
        <v>3.3</v>
      </c>
    </row>
    <row r="245" spans="1:7" ht="15.75" x14ac:dyDescent="0.4">
      <c r="A245" s="59" t="s">
        <v>152</v>
      </c>
      <c r="B245" s="60">
        <v>200934337</v>
      </c>
      <c r="C245" s="59" t="s">
        <v>284</v>
      </c>
      <c r="D245" s="59" t="s">
        <v>248</v>
      </c>
      <c r="E245" s="61">
        <v>88</v>
      </c>
      <c r="F245" s="59" t="s">
        <v>10</v>
      </c>
      <c r="G245" s="56">
        <f>LOOKUP(E245,{0,60,64,68,72,75,78,82,85,90},{0,1,1.7,2,2.3,2.7,3,3.3,3.7,4})</f>
        <v>3.7</v>
      </c>
    </row>
    <row r="246" spans="1:7" ht="15.75" x14ac:dyDescent="0.4">
      <c r="A246" s="59" t="s">
        <v>152</v>
      </c>
      <c r="B246" s="60">
        <v>200934338</v>
      </c>
      <c r="C246" s="59" t="s">
        <v>285</v>
      </c>
      <c r="D246" s="59" t="s">
        <v>248</v>
      </c>
      <c r="E246" s="61">
        <v>81</v>
      </c>
      <c r="F246" s="59" t="s">
        <v>10</v>
      </c>
      <c r="G246" s="56">
        <f>LOOKUP(E246,{0,60,64,68,72,75,78,82,85,90},{0,1,1.7,2,2.3,2.7,3,3.3,3.7,4})</f>
        <v>3</v>
      </c>
    </row>
    <row r="247" spans="1:7" ht="15.75" x14ac:dyDescent="0.4">
      <c r="A247" s="59" t="s">
        <v>152</v>
      </c>
      <c r="B247" s="60">
        <v>200934339</v>
      </c>
      <c r="C247" s="59" t="s">
        <v>286</v>
      </c>
      <c r="D247" s="59" t="s">
        <v>248</v>
      </c>
      <c r="E247" s="61">
        <v>81</v>
      </c>
      <c r="F247" s="59" t="s">
        <v>10</v>
      </c>
      <c r="G247" s="56">
        <f>LOOKUP(E247,{0,60,64,68,72,75,78,82,85,90},{0,1,1.7,2,2.3,2.7,3,3.3,3.7,4})</f>
        <v>3</v>
      </c>
    </row>
    <row r="248" spans="1:7" ht="15.75" x14ac:dyDescent="0.4">
      <c r="A248" s="59" t="s">
        <v>152</v>
      </c>
      <c r="B248" s="60">
        <v>200934340</v>
      </c>
      <c r="C248" s="59" t="s">
        <v>287</v>
      </c>
      <c r="D248" s="59" t="s">
        <v>248</v>
      </c>
      <c r="E248" s="61">
        <v>68</v>
      </c>
      <c r="F248" s="59" t="s">
        <v>10</v>
      </c>
      <c r="G248" s="56">
        <f>LOOKUP(E248,{0,60,64,68,72,75,78,82,85,90},{0,1,1.7,2,2.3,2.7,3,3.3,3.7,4})</f>
        <v>2</v>
      </c>
    </row>
    <row r="249" spans="1:7" ht="15.75" x14ac:dyDescent="0.4">
      <c r="A249" s="59" t="s">
        <v>152</v>
      </c>
      <c r="B249" s="60">
        <v>200934341</v>
      </c>
      <c r="C249" s="59" t="s">
        <v>288</v>
      </c>
      <c r="D249" s="59" t="s">
        <v>248</v>
      </c>
      <c r="E249" s="61">
        <v>68</v>
      </c>
      <c r="F249" s="59" t="s">
        <v>10</v>
      </c>
      <c r="G249" s="56">
        <f>LOOKUP(E249,{0,60,64,68,72,75,78,82,85,90},{0,1,1.7,2,2.3,2.7,3,3.3,3.7,4})</f>
        <v>2</v>
      </c>
    </row>
    <row r="250" spans="1:7" ht="15.75" x14ac:dyDescent="0.4">
      <c r="A250" s="59" t="s">
        <v>152</v>
      </c>
      <c r="B250" s="60">
        <v>200934342</v>
      </c>
      <c r="C250" s="59" t="s">
        <v>289</v>
      </c>
      <c r="D250" s="59" t="s">
        <v>248</v>
      </c>
      <c r="E250" s="61">
        <v>70</v>
      </c>
      <c r="F250" s="59" t="s">
        <v>10</v>
      </c>
      <c r="G250" s="56">
        <f>LOOKUP(E250,{0,60,64,68,72,75,78,82,85,90},{0,1,1.7,2,2.3,2.7,3,3.3,3.7,4})</f>
        <v>2</v>
      </c>
    </row>
    <row r="251" spans="1:7" ht="15.75" x14ac:dyDescent="0.4">
      <c r="A251" s="59" t="s">
        <v>152</v>
      </c>
      <c r="B251" s="60">
        <v>200934343</v>
      </c>
      <c r="C251" s="59" t="s">
        <v>290</v>
      </c>
      <c r="D251" s="59" t="s">
        <v>248</v>
      </c>
      <c r="E251" s="61">
        <v>79</v>
      </c>
      <c r="F251" s="59" t="s">
        <v>10</v>
      </c>
      <c r="G251" s="56">
        <f>LOOKUP(E251,{0,60,64,68,72,75,78,82,85,90},{0,1,1.7,2,2.3,2.7,3,3.3,3.7,4})</f>
        <v>3</v>
      </c>
    </row>
    <row r="252" spans="1:7" ht="15.75" x14ac:dyDescent="0.4">
      <c r="A252" s="59" t="s">
        <v>152</v>
      </c>
      <c r="B252" s="60">
        <v>200934344</v>
      </c>
      <c r="C252" s="59" t="s">
        <v>291</v>
      </c>
      <c r="D252" s="59" t="s">
        <v>248</v>
      </c>
      <c r="E252" s="61">
        <v>100</v>
      </c>
      <c r="F252" s="59" t="s">
        <v>10</v>
      </c>
      <c r="G252" s="56">
        <f>LOOKUP(E252,{0,60,64,68,72,75,78,82,85,90},{0,1,1.7,2,2.3,2.7,3,3.3,3.7,4})</f>
        <v>4</v>
      </c>
    </row>
    <row r="253" spans="1:7" ht="15.75" x14ac:dyDescent="0.4">
      <c r="A253" s="59" t="s">
        <v>152</v>
      </c>
      <c r="B253" s="60">
        <v>200934345</v>
      </c>
      <c r="C253" s="59" t="s">
        <v>292</v>
      </c>
      <c r="D253" s="59" t="s">
        <v>248</v>
      </c>
      <c r="E253" s="61">
        <v>27</v>
      </c>
      <c r="F253" s="59" t="s">
        <v>10</v>
      </c>
      <c r="G253" s="56">
        <f>LOOKUP(E253,{0,60,64,68,72,75,78,82,85,90},{0,1,1.7,2,2.3,2.7,3,3.3,3.7,4})</f>
        <v>0</v>
      </c>
    </row>
    <row r="254" spans="1:7" ht="15.75" x14ac:dyDescent="0.4">
      <c r="A254" s="59" t="s">
        <v>152</v>
      </c>
      <c r="B254" s="60">
        <v>200934346</v>
      </c>
      <c r="C254" s="59" t="s">
        <v>293</v>
      </c>
      <c r="D254" s="59" t="s">
        <v>248</v>
      </c>
      <c r="E254" s="61">
        <v>54</v>
      </c>
      <c r="F254" s="59" t="s">
        <v>53</v>
      </c>
      <c r="G254" s="56">
        <f>LOOKUP(E254,{0,60,64,68,72,75,78,82,85,90},{0,1,1.7,2,2.3,2.7,3,3.3,3.7,4})</f>
        <v>0</v>
      </c>
    </row>
    <row r="255" spans="1:7" ht="15.75" x14ac:dyDescent="0.4">
      <c r="A255" s="59" t="s">
        <v>294</v>
      </c>
      <c r="B255" s="60">
        <v>200936101</v>
      </c>
      <c r="C255" s="59" t="s">
        <v>295</v>
      </c>
      <c r="D255" s="59" t="s">
        <v>296</v>
      </c>
      <c r="E255" s="61">
        <v>70</v>
      </c>
      <c r="F255" s="59" t="s">
        <v>10</v>
      </c>
      <c r="G255" s="56">
        <f>LOOKUP(E255,{0,60,64,68,72,75,78,82,85,90},{0,1,1.7,2,2.3,2.7,3,3.3,3.7,4})</f>
        <v>2</v>
      </c>
    </row>
    <row r="256" spans="1:7" ht="15.75" x14ac:dyDescent="0.4">
      <c r="A256" s="59" t="s">
        <v>294</v>
      </c>
      <c r="B256" s="60">
        <v>200936102</v>
      </c>
      <c r="C256" s="59" t="s">
        <v>297</v>
      </c>
      <c r="D256" s="59" t="s">
        <v>296</v>
      </c>
      <c r="E256" s="61">
        <v>66</v>
      </c>
      <c r="F256" s="59" t="s">
        <v>10</v>
      </c>
      <c r="G256" s="56">
        <f>LOOKUP(E256,{0,60,64,68,72,75,78,82,85,90},{0,1,1.7,2,2.3,2.7,3,3.3,3.7,4})</f>
        <v>1.7</v>
      </c>
    </row>
    <row r="257" spans="1:7" ht="15.75" x14ac:dyDescent="0.4">
      <c r="A257" s="59" t="s">
        <v>294</v>
      </c>
      <c r="B257" s="60">
        <v>200936103</v>
      </c>
      <c r="C257" s="59" t="s">
        <v>298</v>
      </c>
      <c r="D257" s="59" t="s">
        <v>296</v>
      </c>
      <c r="E257" s="61">
        <v>36</v>
      </c>
      <c r="F257" s="59" t="s">
        <v>10</v>
      </c>
      <c r="G257" s="56">
        <f>LOOKUP(E257,{0,60,64,68,72,75,78,82,85,90},{0,1,1.7,2,2.3,2.7,3,3.3,3.7,4})</f>
        <v>0</v>
      </c>
    </row>
    <row r="258" spans="1:7" ht="15.75" x14ac:dyDescent="0.4">
      <c r="A258" s="59" t="s">
        <v>294</v>
      </c>
      <c r="B258" s="60">
        <v>200936104</v>
      </c>
      <c r="C258" s="59" t="s">
        <v>299</v>
      </c>
      <c r="D258" s="59" t="s">
        <v>296</v>
      </c>
      <c r="E258" s="61">
        <v>65</v>
      </c>
      <c r="F258" s="59" t="s">
        <v>10</v>
      </c>
      <c r="G258" s="56">
        <f>LOOKUP(E258,{0,60,64,68,72,75,78,82,85,90},{0,1,1.7,2,2.3,2.7,3,3.3,3.7,4})</f>
        <v>1.7</v>
      </c>
    </row>
    <row r="259" spans="1:7" ht="15.75" x14ac:dyDescent="0.4">
      <c r="A259" s="59" t="s">
        <v>294</v>
      </c>
      <c r="B259" s="60">
        <v>200936105</v>
      </c>
      <c r="C259" s="59" t="s">
        <v>300</v>
      </c>
      <c r="D259" s="59" t="s">
        <v>296</v>
      </c>
      <c r="E259" s="61">
        <v>18</v>
      </c>
      <c r="F259" s="59" t="s">
        <v>10</v>
      </c>
      <c r="G259" s="56">
        <f>LOOKUP(E259,{0,60,64,68,72,75,78,82,85,90},{0,1,1.7,2,2.3,2.7,3,3.3,3.7,4})</f>
        <v>0</v>
      </c>
    </row>
    <row r="260" spans="1:7" ht="15.75" x14ac:dyDescent="0.4">
      <c r="A260" s="59" t="s">
        <v>294</v>
      </c>
      <c r="B260" s="60">
        <v>200936106</v>
      </c>
      <c r="C260" s="59" t="s">
        <v>301</v>
      </c>
      <c r="D260" s="59" t="s">
        <v>296</v>
      </c>
      <c r="E260" s="61">
        <v>88</v>
      </c>
      <c r="F260" s="59" t="s">
        <v>10</v>
      </c>
      <c r="G260" s="56">
        <f>LOOKUP(E260,{0,60,64,68,72,75,78,82,85,90},{0,1,1.7,2,2.3,2.7,3,3.3,3.7,4})</f>
        <v>3.7</v>
      </c>
    </row>
    <row r="261" spans="1:7" ht="15.75" x14ac:dyDescent="0.4">
      <c r="A261" s="59" t="s">
        <v>294</v>
      </c>
      <c r="B261" s="60">
        <v>200936107</v>
      </c>
      <c r="C261" s="59" t="s">
        <v>302</v>
      </c>
      <c r="D261" s="59" t="s">
        <v>296</v>
      </c>
      <c r="E261" s="61">
        <v>73</v>
      </c>
      <c r="F261" s="59" t="s">
        <v>10</v>
      </c>
      <c r="G261" s="56">
        <f>LOOKUP(E261,{0,60,64,68,72,75,78,82,85,90},{0,1,1.7,2,2.3,2.7,3,3.3,3.7,4})</f>
        <v>2.2999999999999998</v>
      </c>
    </row>
    <row r="262" spans="1:7" ht="15.75" x14ac:dyDescent="0.4">
      <c r="A262" s="59" t="s">
        <v>294</v>
      </c>
      <c r="B262" s="60">
        <v>200936108</v>
      </c>
      <c r="C262" s="59" t="s">
        <v>303</v>
      </c>
      <c r="D262" s="59" t="s">
        <v>296</v>
      </c>
      <c r="E262" s="61">
        <v>72</v>
      </c>
      <c r="F262" s="59" t="s">
        <v>53</v>
      </c>
      <c r="G262" s="56">
        <f>LOOKUP(E262,{0,60,64,68,72,75,78,82,85,90},{0,1,1.7,2,2.3,2.7,3,3.3,3.7,4})</f>
        <v>2.2999999999999998</v>
      </c>
    </row>
    <row r="263" spans="1:7" ht="15.75" x14ac:dyDescent="0.4">
      <c r="A263" s="59" t="s">
        <v>294</v>
      </c>
      <c r="B263" s="60">
        <v>200936109</v>
      </c>
      <c r="C263" s="59" t="s">
        <v>304</v>
      </c>
      <c r="D263" s="59" t="s">
        <v>296</v>
      </c>
      <c r="E263" s="61">
        <v>76</v>
      </c>
      <c r="F263" s="59" t="s">
        <v>10</v>
      </c>
      <c r="G263" s="56">
        <f>LOOKUP(E263,{0,60,64,68,72,75,78,82,85,90},{0,1,1.7,2,2.3,2.7,3,3.3,3.7,4})</f>
        <v>2.7</v>
      </c>
    </row>
    <row r="264" spans="1:7" ht="15.75" x14ac:dyDescent="0.4">
      <c r="A264" s="59" t="s">
        <v>294</v>
      </c>
      <c r="B264" s="60">
        <v>200936110</v>
      </c>
      <c r="C264" s="59" t="s">
        <v>305</v>
      </c>
      <c r="D264" s="59" t="s">
        <v>296</v>
      </c>
      <c r="E264" s="61">
        <v>71</v>
      </c>
      <c r="F264" s="59" t="s">
        <v>10</v>
      </c>
      <c r="G264" s="56">
        <f>LOOKUP(E264,{0,60,64,68,72,75,78,82,85,90},{0,1,1.7,2,2.3,2.7,3,3.3,3.7,4})</f>
        <v>2</v>
      </c>
    </row>
    <row r="265" spans="1:7" ht="15.75" x14ac:dyDescent="0.4">
      <c r="A265" s="59" t="s">
        <v>294</v>
      </c>
      <c r="B265" s="60">
        <v>200936111</v>
      </c>
      <c r="C265" s="59" t="s">
        <v>306</v>
      </c>
      <c r="D265" s="59" t="s">
        <v>296</v>
      </c>
      <c r="E265" s="61">
        <v>77</v>
      </c>
      <c r="F265" s="59" t="s">
        <v>10</v>
      </c>
      <c r="G265" s="56">
        <f>LOOKUP(E265,{0,60,64,68,72,75,78,82,85,90},{0,1,1.7,2,2.3,2.7,3,3.3,3.7,4})</f>
        <v>2.7</v>
      </c>
    </row>
    <row r="266" spans="1:7" ht="15.75" x14ac:dyDescent="0.4">
      <c r="A266" s="59" t="s">
        <v>294</v>
      </c>
      <c r="B266" s="60">
        <v>200936112</v>
      </c>
      <c r="C266" s="59" t="s">
        <v>307</v>
      </c>
      <c r="D266" s="59" t="s">
        <v>296</v>
      </c>
      <c r="E266" s="61">
        <v>71</v>
      </c>
      <c r="F266" s="59" t="s">
        <v>10</v>
      </c>
      <c r="G266" s="56">
        <f>LOOKUP(E266,{0,60,64,68,72,75,78,82,85,90},{0,1,1.7,2,2.3,2.7,3,3.3,3.7,4})</f>
        <v>2</v>
      </c>
    </row>
    <row r="267" spans="1:7" ht="15.75" x14ac:dyDescent="0.4">
      <c r="A267" s="59" t="s">
        <v>294</v>
      </c>
      <c r="B267" s="60">
        <v>200936113</v>
      </c>
      <c r="C267" s="59" t="s">
        <v>308</v>
      </c>
      <c r="D267" s="59" t="s">
        <v>296</v>
      </c>
      <c r="E267" s="61">
        <v>68</v>
      </c>
      <c r="F267" s="59" t="s">
        <v>10</v>
      </c>
      <c r="G267" s="56">
        <f>LOOKUP(E267,{0,60,64,68,72,75,78,82,85,90},{0,1,1.7,2,2.3,2.7,3,3.3,3.7,4})</f>
        <v>2</v>
      </c>
    </row>
    <row r="268" spans="1:7" ht="15.75" x14ac:dyDescent="0.4">
      <c r="A268" s="59" t="s">
        <v>294</v>
      </c>
      <c r="B268" s="60">
        <v>200936114</v>
      </c>
      <c r="C268" s="59" t="s">
        <v>309</v>
      </c>
      <c r="D268" s="59" t="s">
        <v>296</v>
      </c>
      <c r="E268" s="61">
        <v>90</v>
      </c>
      <c r="F268" s="59" t="s">
        <v>10</v>
      </c>
      <c r="G268" s="56">
        <f>LOOKUP(E268,{0,60,64,68,72,75,78,82,85,90},{0,1,1.7,2,2.3,2.7,3,3.3,3.7,4})</f>
        <v>4</v>
      </c>
    </row>
    <row r="269" spans="1:7" ht="15.75" x14ac:dyDescent="0.4">
      <c r="A269" s="59" t="s">
        <v>294</v>
      </c>
      <c r="B269" s="60">
        <v>200936115</v>
      </c>
      <c r="C269" s="59" t="s">
        <v>199</v>
      </c>
      <c r="D269" s="59" t="s">
        <v>296</v>
      </c>
      <c r="E269" s="61">
        <v>71</v>
      </c>
      <c r="F269" s="59" t="s">
        <v>10</v>
      </c>
      <c r="G269" s="56">
        <f>LOOKUP(E269,{0,60,64,68,72,75,78,82,85,90},{0,1,1.7,2,2.3,2.7,3,3.3,3.7,4})</f>
        <v>2</v>
      </c>
    </row>
    <row r="270" spans="1:7" ht="15.75" x14ac:dyDescent="0.4">
      <c r="A270" s="59" t="s">
        <v>294</v>
      </c>
      <c r="B270" s="60">
        <v>200936116</v>
      </c>
      <c r="C270" s="59" t="s">
        <v>310</v>
      </c>
      <c r="D270" s="59" t="s">
        <v>296</v>
      </c>
      <c r="E270" s="61">
        <v>64</v>
      </c>
      <c r="F270" s="59" t="s">
        <v>10</v>
      </c>
      <c r="G270" s="56">
        <f>LOOKUP(E270,{0,60,64,68,72,75,78,82,85,90},{0,1,1.7,2,2.3,2.7,3,3.3,3.7,4})</f>
        <v>1.7</v>
      </c>
    </row>
    <row r="271" spans="1:7" ht="15.75" x14ac:dyDescent="0.4">
      <c r="A271" s="59" t="s">
        <v>294</v>
      </c>
      <c r="B271" s="60">
        <v>200936117</v>
      </c>
      <c r="C271" s="59" t="s">
        <v>311</v>
      </c>
      <c r="D271" s="59" t="s">
        <v>296</v>
      </c>
      <c r="E271" s="61">
        <v>38</v>
      </c>
      <c r="F271" s="59" t="s">
        <v>10</v>
      </c>
      <c r="G271" s="56">
        <f>LOOKUP(E271,{0,60,64,68,72,75,78,82,85,90},{0,1,1.7,2,2.3,2.7,3,3.3,3.7,4})</f>
        <v>0</v>
      </c>
    </row>
    <row r="272" spans="1:7" ht="15.75" x14ac:dyDescent="0.4">
      <c r="A272" s="59" t="s">
        <v>294</v>
      </c>
      <c r="B272" s="60">
        <v>200936118</v>
      </c>
      <c r="C272" s="59" t="s">
        <v>312</v>
      </c>
      <c r="D272" s="59" t="s">
        <v>296</v>
      </c>
      <c r="E272" s="61">
        <v>82</v>
      </c>
      <c r="F272" s="59" t="s">
        <v>10</v>
      </c>
      <c r="G272" s="56">
        <f>LOOKUP(E272,{0,60,64,68,72,75,78,82,85,90},{0,1,1.7,2,2.3,2.7,3,3.3,3.7,4})</f>
        <v>3.3</v>
      </c>
    </row>
    <row r="273" spans="1:7" ht="15.75" x14ac:dyDescent="0.4">
      <c r="A273" s="59" t="s">
        <v>294</v>
      </c>
      <c r="B273" s="60">
        <v>200936119</v>
      </c>
      <c r="C273" s="59" t="s">
        <v>313</v>
      </c>
      <c r="D273" s="59" t="s">
        <v>296</v>
      </c>
      <c r="E273" s="61">
        <v>51</v>
      </c>
      <c r="F273" s="59" t="s">
        <v>10</v>
      </c>
      <c r="G273" s="56">
        <f>LOOKUP(E273,{0,60,64,68,72,75,78,82,85,90},{0,1,1.7,2,2.3,2.7,3,3.3,3.7,4})</f>
        <v>0</v>
      </c>
    </row>
    <row r="274" spans="1:7" ht="15.75" x14ac:dyDescent="0.4">
      <c r="A274" s="59" t="s">
        <v>294</v>
      </c>
      <c r="B274" s="60">
        <v>200936120</v>
      </c>
      <c r="C274" s="59" t="s">
        <v>314</v>
      </c>
      <c r="D274" s="59" t="s">
        <v>296</v>
      </c>
      <c r="E274" s="61">
        <v>83</v>
      </c>
      <c r="F274" s="59" t="s">
        <v>10</v>
      </c>
      <c r="G274" s="56">
        <f>LOOKUP(E274,{0,60,64,68,72,75,78,82,85,90},{0,1,1.7,2,2.3,2.7,3,3.3,3.7,4})</f>
        <v>3.3</v>
      </c>
    </row>
    <row r="275" spans="1:7" ht="15.75" x14ac:dyDescent="0.4">
      <c r="A275" s="59" t="s">
        <v>294</v>
      </c>
      <c r="B275" s="60">
        <v>200936121</v>
      </c>
      <c r="C275" s="59" t="s">
        <v>315</v>
      </c>
      <c r="D275" s="59" t="s">
        <v>296</v>
      </c>
      <c r="E275" s="61">
        <v>84</v>
      </c>
      <c r="F275" s="59" t="s">
        <v>10</v>
      </c>
      <c r="G275" s="56">
        <f>LOOKUP(E275,{0,60,64,68,72,75,78,82,85,90},{0,1,1.7,2,2.3,2.7,3,3.3,3.7,4})</f>
        <v>3.3</v>
      </c>
    </row>
    <row r="276" spans="1:7" ht="15.75" x14ac:dyDescent="0.4">
      <c r="A276" s="59" t="s">
        <v>294</v>
      </c>
      <c r="B276" s="60">
        <v>200936122</v>
      </c>
      <c r="C276" s="59" t="s">
        <v>316</v>
      </c>
      <c r="D276" s="59" t="s">
        <v>296</v>
      </c>
      <c r="E276" s="61">
        <v>72</v>
      </c>
      <c r="F276" s="59" t="s">
        <v>53</v>
      </c>
      <c r="G276" s="56">
        <f>LOOKUP(E276,{0,60,64,68,72,75,78,82,85,90},{0,1,1.7,2,2.3,2.7,3,3.3,3.7,4})</f>
        <v>2.2999999999999998</v>
      </c>
    </row>
    <row r="277" spans="1:7" ht="15.75" x14ac:dyDescent="0.4">
      <c r="A277" s="59" t="s">
        <v>294</v>
      </c>
      <c r="B277" s="60">
        <v>200936123</v>
      </c>
      <c r="C277" s="59" t="s">
        <v>317</v>
      </c>
      <c r="D277" s="59" t="s">
        <v>296</v>
      </c>
      <c r="E277" s="61">
        <v>73</v>
      </c>
      <c r="F277" s="59" t="s">
        <v>10</v>
      </c>
      <c r="G277" s="56">
        <f>LOOKUP(E277,{0,60,64,68,72,75,78,82,85,90},{0,1,1.7,2,2.3,2.7,3,3.3,3.7,4})</f>
        <v>2.2999999999999998</v>
      </c>
    </row>
    <row r="278" spans="1:7" ht="15.75" x14ac:dyDescent="0.4">
      <c r="A278" s="59" t="s">
        <v>294</v>
      </c>
      <c r="B278" s="60">
        <v>200936124</v>
      </c>
      <c r="C278" s="59" t="s">
        <v>318</v>
      </c>
      <c r="D278" s="59" t="s">
        <v>296</v>
      </c>
      <c r="E278" s="61">
        <v>84</v>
      </c>
      <c r="F278" s="59" t="s">
        <v>10</v>
      </c>
      <c r="G278" s="56">
        <f>LOOKUP(E278,{0,60,64,68,72,75,78,82,85,90},{0,1,1.7,2,2.3,2.7,3,3.3,3.7,4})</f>
        <v>3.3</v>
      </c>
    </row>
    <row r="279" spans="1:7" ht="15.75" x14ac:dyDescent="0.4">
      <c r="A279" s="59" t="s">
        <v>294</v>
      </c>
      <c r="B279" s="60">
        <v>200936125</v>
      </c>
      <c r="C279" s="59" t="s">
        <v>319</v>
      </c>
      <c r="D279" s="59" t="s">
        <v>296</v>
      </c>
      <c r="E279" s="61">
        <v>60</v>
      </c>
      <c r="F279" s="59" t="s">
        <v>10</v>
      </c>
      <c r="G279" s="56">
        <f>LOOKUP(E279,{0,60,64,68,72,75,78,82,85,90},{0,1,1.7,2,2.3,2.7,3,3.3,3.7,4})</f>
        <v>1</v>
      </c>
    </row>
    <row r="280" spans="1:7" ht="15.75" x14ac:dyDescent="0.4">
      <c r="A280" s="59" t="s">
        <v>294</v>
      </c>
      <c r="B280" s="60">
        <v>200936126</v>
      </c>
      <c r="C280" s="59" t="s">
        <v>320</v>
      </c>
      <c r="D280" s="59" t="s">
        <v>296</v>
      </c>
      <c r="E280" s="61">
        <v>77</v>
      </c>
      <c r="F280" s="59" t="s">
        <v>10</v>
      </c>
      <c r="G280" s="56">
        <f>LOOKUP(E280,{0,60,64,68,72,75,78,82,85,90},{0,1,1.7,2,2.3,2.7,3,3.3,3.7,4})</f>
        <v>2.7</v>
      </c>
    </row>
    <row r="281" spans="1:7" ht="15.75" x14ac:dyDescent="0.4">
      <c r="A281" s="59" t="s">
        <v>294</v>
      </c>
      <c r="B281" s="60">
        <v>200936127</v>
      </c>
      <c r="C281" s="59" t="s">
        <v>321</v>
      </c>
      <c r="D281" s="59" t="s">
        <v>296</v>
      </c>
      <c r="E281" s="61">
        <v>61</v>
      </c>
      <c r="F281" s="59" t="s">
        <v>10</v>
      </c>
      <c r="G281" s="56">
        <f>LOOKUP(E281,{0,60,64,68,72,75,78,82,85,90},{0,1,1.7,2,2.3,2.7,3,3.3,3.7,4})</f>
        <v>1</v>
      </c>
    </row>
    <row r="282" spans="1:7" ht="15.75" x14ac:dyDescent="0.4">
      <c r="A282" s="59" t="s">
        <v>294</v>
      </c>
      <c r="B282" s="60">
        <v>200936128</v>
      </c>
      <c r="C282" s="59" t="s">
        <v>322</v>
      </c>
      <c r="D282" s="59" t="s">
        <v>296</v>
      </c>
      <c r="E282" s="61">
        <v>86</v>
      </c>
      <c r="F282" s="59" t="s">
        <v>10</v>
      </c>
      <c r="G282" s="56">
        <f>LOOKUP(E282,{0,60,64,68,72,75,78,82,85,90},{0,1,1.7,2,2.3,2.7,3,3.3,3.7,4})</f>
        <v>3.7</v>
      </c>
    </row>
    <row r="283" spans="1:7" ht="15.75" x14ac:dyDescent="0.4">
      <c r="A283" s="59" t="s">
        <v>294</v>
      </c>
      <c r="B283" s="60">
        <v>200936129</v>
      </c>
      <c r="C283" s="59" t="s">
        <v>323</v>
      </c>
      <c r="D283" s="59" t="s">
        <v>296</v>
      </c>
      <c r="E283" s="61">
        <v>85</v>
      </c>
      <c r="F283" s="59" t="s">
        <v>10</v>
      </c>
      <c r="G283" s="56">
        <f>LOOKUP(E283,{0,60,64,68,72,75,78,82,85,90},{0,1,1.7,2,2.3,2.7,3,3.3,3.7,4})</f>
        <v>3.7</v>
      </c>
    </row>
    <row r="284" spans="1:7" ht="15.75" x14ac:dyDescent="0.4">
      <c r="A284" s="59" t="s">
        <v>294</v>
      </c>
      <c r="B284" s="60">
        <v>200936130</v>
      </c>
      <c r="C284" s="59" t="s">
        <v>324</v>
      </c>
      <c r="D284" s="59" t="s">
        <v>296</v>
      </c>
      <c r="E284" s="61">
        <v>77</v>
      </c>
      <c r="F284" s="59" t="s">
        <v>10</v>
      </c>
      <c r="G284" s="56">
        <f>LOOKUP(E284,{0,60,64,68,72,75,78,82,85,90},{0,1,1.7,2,2.3,2.7,3,3.3,3.7,4})</f>
        <v>2.7</v>
      </c>
    </row>
    <row r="285" spans="1:7" ht="15.75" x14ac:dyDescent="0.4">
      <c r="A285" s="59" t="s">
        <v>294</v>
      </c>
      <c r="B285" s="60">
        <v>200936131</v>
      </c>
      <c r="C285" s="59" t="s">
        <v>325</v>
      </c>
      <c r="D285" s="59" t="s">
        <v>296</v>
      </c>
      <c r="E285" s="61">
        <v>71</v>
      </c>
      <c r="F285" s="59" t="s">
        <v>10</v>
      </c>
      <c r="G285" s="56">
        <f>LOOKUP(E285,{0,60,64,68,72,75,78,82,85,90},{0,1,1.7,2,2.3,2.7,3,3.3,3.7,4})</f>
        <v>2</v>
      </c>
    </row>
    <row r="286" spans="1:7" ht="15.75" x14ac:dyDescent="0.4">
      <c r="A286" s="59" t="s">
        <v>294</v>
      </c>
      <c r="B286" s="60">
        <v>200936132</v>
      </c>
      <c r="C286" s="59" t="s">
        <v>326</v>
      </c>
      <c r="D286" s="59" t="s">
        <v>296</v>
      </c>
      <c r="E286" s="61">
        <v>73</v>
      </c>
      <c r="F286" s="59" t="s">
        <v>10</v>
      </c>
      <c r="G286" s="56">
        <f>LOOKUP(E286,{0,60,64,68,72,75,78,82,85,90},{0,1,1.7,2,2.3,2.7,3,3.3,3.7,4})</f>
        <v>2.2999999999999998</v>
      </c>
    </row>
    <row r="287" spans="1:7" ht="15.75" x14ac:dyDescent="0.4">
      <c r="A287" s="59" t="s">
        <v>294</v>
      </c>
      <c r="B287" s="60" t="s">
        <v>327</v>
      </c>
      <c r="C287" s="59" t="s">
        <v>328</v>
      </c>
      <c r="D287" s="59" t="s">
        <v>329</v>
      </c>
      <c r="E287" s="61">
        <v>84</v>
      </c>
      <c r="F287" s="59" t="s">
        <v>10</v>
      </c>
      <c r="G287" s="56">
        <f>LOOKUP(E287,{0,60,64,68,72,75,78,82,85,90},{0,1,1.7,2,2.3,2.7,3,3.3,3.7,4})</f>
        <v>3.3</v>
      </c>
    </row>
    <row r="288" spans="1:7" ht="15.75" x14ac:dyDescent="0.4">
      <c r="A288" s="59" t="s">
        <v>294</v>
      </c>
      <c r="B288" s="60" t="s">
        <v>330</v>
      </c>
      <c r="C288" s="59" t="s">
        <v>331</v>
      </c>
      <c r="D288" s="59" t="s">
        <v>329</v>
      </c>
      <c r="E288" s="61">
        <v>67</v>
      </c>
      <c r="F288" s="59" t="s">
        <v>10</v>
      </c>
      <c r="G288" s="56">
        <f>LOOKUP(E288,{0,60,64,68,72,75,78,82,85,90},{0,1,1.7,2,2.3,2.7,3,3.3,3.7,4})</f>
        <v>1.7</v>
      </c>
    </row>
    <row r="289" spans="1:7" ht="15.75" x14ac:dyDescent="0.4">
      <c r="A289" s="59" t="s">
        <v>294</v>
      </c>
      <c r="B289" s="60" t="s">
        <v>332</v>
      </c>
      <c r="C289" s="59" t="s">
        <v>333</v>
      </c>
      <c r="D289" s="59" t="s">
        <v>329</v>
      </c>
      <c r="E289" s="61">
        <v>84</v>
      </c>
      <c r="F289" s="59" t="s">
        <v>10</v>
      </c>
      <c r="G289" s="56">
        <f>LOOKUP(E289,{0,60,64,68,72,75,78,82,85,90},{0,1,1.7,2,2.3,2.7,3,3.3,3.7,4})</f>
        <v>3.3</v>
      </c>
    </row>
    <row r="290" spans="1:7" ht="15.75" x14ac:dyDescent="0.4">
      <c r="A290" s="59" t="s">
        <v>294</v>
      </c>
      <c r="B290" s="60" t="s">
        <v>334</v>
      </c>
      <c r="C290" s="59" t="s">
        <v>335</v>
      </c>
      <c r="D290" s="59" t="s">
        <v>329</v>
      </c>
      <c r="E290" s="61">
        <v>72</v>
      </c>
      <c r="F290" s="59" t="s">
        <v>10</v>
      </c>
      <c r="G290" s="56">
        <f>LOOKUP(E290,{0,60,64,68,72,75,78,82,85,90},{0,1,1.7,2,2.3,2.7,3,3.3,3.7,4})</f>
        <v>2.2999999999999998</v>
      </c>
    </row>
    <row r="291" spans="1:7" ht="15.75" x14ac:dyDescent="0.4">
      <c r="A291" s="59" t="s">
        <v>294</v>
      </c>
      <c r="B291" s="60" t="s">
        <v>336</v>
      </c>
      <c r="C291" s="59" t="s">
        <v>311</v>
      </c>
      <c r="D291" s="59" t="s">
        <v>329</v>
      </c>
      <c r="E291" s="61">
        <v>69</v>
      </c>
      <c r="F291" s="59" t="s">
        <v>10</v>
      </c>
      <c r="G291" s="56">
        <f>LOOKUP(E291,{0,60,64,68,72,75,78,82,85,90},{0,1,1.7,2,2.3,2.7,3,3.3,3.7,4})</f>
        <v>2</v>
      </c>
    </row>
    <row r="292" spans="1:7" ht="15.75" x14ac:dyDescent="0.4">
      <c r="A292" s="59" t="s">
        <v>294</v>
      </c>
      <c r="B292" s="60" t="s">
        <v>337</v>
      </c>
      <c r="C292" s="59" t="s">
        <v>338</v>
      </c>
      <c r="D292" s="59" t="s">
        <v>329</v>
      </c>
      <c r="E292" s="61">
        <v>68</v>
      </c>
      <c r="F292" s="59" t="s">
        <v>10</v>
      </c>
      <c r="G292" s="56">
        <f>LOOKUP(E292,{0,60,64,68,72,75,78,82,85,90},{0,1,1.7,2,2.3,2.7,3,3.3,3.7,4})</f>
        <v>2</v>
      </c>
    </row>
    <row r="293" spans="1:7" ht="15.75" x14ac:dyDescent="0.4">
      <c r="A293" s="59" t="s">
        <v>294</v>
      </c>
      <c r="B293" s="60" t="s">
        <v>339</v>
      </c>
      <c r="C293" s="59" t="s">
        <v>340</v>
      </c>
      <c r="D293" s="59" t="s">
        <v>329</v>
      </c>
      <c r="E293" s="61">
        <v>76</v>
      </c>
      <c r="F293" s="59" t="s">
        <v>10</v>
      </c>
      <c r="G293" s="56">
        <f>LOOKUP(E293,{0,60,64,68,72,75,78,82,85,90},{0,1,1.7,2,2.3,2.7,3,3.3,3.7,4})</f>
        <v>2.7</v>
      </c>
    </row>
    <row r="294" spans="1:7" ht="15.75" x14ac:dyDescent="0.4">
      <c r="A294" s="59" t="s">
        <v>294</v>
      </c>
      <c r="B294" s="60" t="s">
        <v>341</v>
      </c>
      <c r="C294" s="59" t="s">
        <v>342</v>
      </c>
      <c r="D294" s="59" t="s">
        <v>329</v>
      </c>
      <c r="E294" s="61">
        <v>99</v>
      </c>
      <c r="F294" s="59" t="s">
        <v>10</v>
      </c>
      <c r="G294" s="56">
        <f>LOOKUP(E294,{0,60,64,68,72,75,78,82,85,90},{0,1,1.7,2,2.3,2.7,3,3.3,3.7,4})</f>
        <v>4</v>
      </c>
    </row>
    <row r="295" spans="1:7" ht="15.75" x14ac:dyDescent="0.4">
      <c r="A295" s="59" t="s">
        <v>294</v>
      </c>
      <c r="B295" s="60" t="s">
        <v>343</v>
      </c>
      <c r="C295" s="59" t="s">
        <v>344</v>
      </c>
      <c r="D295" s="59" t="s">
        <v>329</v>
      </c>
      <c r="E295" s="61">
        <v>70</v>
      </c>
      <c r="F295" s="59" t="s">
        <v>10</v>
      </c>
      <c r="G295" s="56">
        <f>LOOKUP(E295,{0,60,64,68,72,75,78,82,85,90},{0,1,1.7,2,2.3,2.7,3,3.3,3.7,4})</f>
        <v>2</v>
      </c>
    </row>
    <row r="296" spans="1:7" ht="15.75" x14ac:dyDescent="0.4">
      <c r="A296" s="59" t="s">
        <v>294</v>
      </c>
      <c r="B296" s="60" t="s">
        <v>345</v>
      </c>
      <c r="C296" s="59" t="s">
        <v>346</v>
      </c>
      <c r="D296" s="59" t="s">
        <v>329</v>
      </c>
      <c r="E296" s="61">
        <v>80</v>
      </c>
      <c r="F296" s="59" t="s">
        <v>10</v>
      </c>
      <c r="G296" s="56">
        <f>LOOKUP(E296,{0,60,64,68,72,75,78,82,85,90},{0,1,1.7,2,2.3,2.7,3,3.3,3.7,4})</f>
        <v>3</v>
      </c>
    </row>
    <row r="297" spans="1:7" ht="15.75" x14ac:dyDescent="0.4">
      <c r="A297" s="59" t="s">
        <v>294</v>
      </c>
      <c r="B297" s="60" t="s">
        <v>347</v>
      </c>
      <c r="C297" s="59" t="s">
        <v>348</v>
      </c>
      <c r="D297" s="59" t="s">
        <v>329</v>
      </c>
      <c r="E297" s="61">
        <v>4</v>
      </c>
      <c r="F297" s="59" t="s">
        <v>10</v>
      </c>
      <c r="G297" s="56">
        <f>LOOKUP(E297,{0,60,64,68,72,75,78,82,85,90},{0,1,1.7,2,2.3,2.7,3,3.3,3.7,4})</f>
        <v>0</v>
      </c>
    </row>
    <row r="298" spans="1:7" ht="15.75" x14ac:dyDescent="0.4">
      <c r="A298" s="59" t="s">
        <v>294</v>
      </c>
      <c r="B298" s="60" t="s">
        <v>349</v>
      </c>
      <c r="C298" s="59" t="s">
        <v>350</v>
      </c>
      <c r="D298" s="59" t="s">
        <v>329</v>
      </c>
      <c r="E298" s="61">
        <v>62</v>
      </c>
      <c r="F298" s="59" t="s">
        <v>10</v>
      </c>
      <c r="G298" s="56">
        <f>LOOKUP(E298,{0,60,64,68,72,75,78,82,85,90},{0,1,1.7,2,2.3,2.7,3,3.3,3.7,4})</f>
        <v>1</v>
      </c>
    </row>
    <row r="299" spans="1:7" ht="15.75" x14ac:dyDescent="0.4">
      <c r="A299" s="59" t="s">
        <v>294</v>
      </c>
      <c r="B299" s="60" t="s">
        <v>351</v>
      </c>
      <c r="C299" s="59" t="s">
        <v>352</v>
      </c>
      <c r="D299" s="59" t="s">
        <v>329</v>
      </c>
      <c r="E299" s="61">
        <v>73</v>
      </c>
      <c r="F299" s="59" t="s">
        <v>53</v>
      </c>
      <c r="G299" s="56">
        <f>LOOKUP(E299,{0,60,64,68,72,75,78,82,85,90},{0,1,1.7,2,2.3,2.7,3,3.3,3.7,4})</f>
        <v>2.2999999999999998</v>
      </c>
    </row>
    <row r="300" spans="1:7" ht="15.75" x14ac:dyDescent="0.4">
      <c r="A300" s="59" t="s">
        <v>294</v>
      </c>
      <c r="B300" s="60" t="s">
        <v>353</v>
      </c>
      <c r="C300" s="59" t="s">
        <v>354</v>
      </c>
      <c r="D300" s="59" t="s">
        <v>329</v>
      </c>
      <c r="E300" s="61">
        <v>76</v>
      </c>
      <c r="F300" s="59" t="s">
        <v>10</v>
      </c>
      <c r="G300" s="56">
        <f>LOOKUP(E300,{0,60,64,68,72,75,78,82,85,90},{0,1,1.7,2,2.3,2.7,3,3.3,3.7,4})</f>
        <v>2.7</v>
      </c>
    </row>
    <row r="301" spans="1:7" ht="15.75" x14ac:dyDescent="0.4">
      <c r="A301" s="59" t="s">
        <v>294</v>
      </c>
      <c r="B301" s="60" t="s">
        <v>355</v>
      </c>
      <c r="C301" s="59" t="s">
        <v>356</v>
      </c>
      <c r="D301" s="59" t="s">
        <v>329</v>
      </c>
      <c r="E301" s="61">
        <v>34</v>
      </c>
      <c r="F301" s="59" t="s">
        <v>10</v>
      </c>
      <c r="G301" s="56">
        <f>LOOKUP(E301,{0,60,64,68,72,75,78,82,85,90},{0,1,1.7,2,2.3,2.7,3,3.3,3.7,4})</f>
        <v>0</v>
      </c>
    </row>
    <row r="302" spans="1:7" ht="15.75" x14ac:dyDescent="0.4">
      <c r="A302" s="59" t="s">
        <v>294</v>
      </c>
      <c r="B302" s="60" t="s">
        <v>357</v>
      </c>
      <c r="C302" s="59" t="s">
        <v>358</v>
      </c>
      <c r="D302" s="59" t="s">
        <v>329</v>
      </c>
      <c r="E302" s="61">
        <v>61</v>
      </c>
      <c r="F302" s="59" t="s">
        <v>10</v>
      </c>
      <c r="G302" s="56">
        <f>LOOKUP(E302,{0,60,64,68,72,75,78,82,85,90},{0,1,1.7,2,2.3,2.7,3,3.3,3.7,4})</f>
        <v>1</v>
      </c>
    </row>
    <row r="303" spans="1:7" ht="15.75" x14ac:dyDescent="0.4">
      <c r="A303" s="59" t="s">
        <v>294</v>
      </c>
      <c r="B303" s="60" t="s">
        <v>359</v>
      </c>
      <c r="C303" s="59" t="s">
        <v>360</v>
      </c>
      <c r="D303" s="59" t="s">
        <v>329</v>
      </c>
      <c r="E303" s="61">
        <v>90</v>
      </c>
      <c r="F303" s="59" t="s">
        <v>10</v>
      </c>
      <c r="G303" s="56">
        <f>LOOKUP(E303,{0,60,64,68,72,75,78,82,85,90},{0,1,1.7,2,2.3,2.7,3,3.3,3.7,4})</f>
        <v>4</v>
      </c>
    </row>
    <row r="304" spans="1:7" ht="15.75" x14ac:dyDescent="0.4">
      <c r="A304" s="59" t="s">
        <v>294</v>
      </c>
      <c r="B304" s="60" t="s">
        <v>361</v>
      </c>
      <c r="C304" s="59" t="s">
        <v>362</v>
      </c>
      <c r="D304" s="59" t="s">
        <v>329</v>
      </c>
      <c r="E304" s="61">
        <v>81</v>
      </c>
      <c r="F304" s="59" t="s">
        <v>10</v>
      </c>
      <c r="G304" s="56">
        <f>LOOKUP(E304,{0,60,64,68,72,75,78,82,85,90},{0,1,1.7,2,2.3,2.7,3,3.3,3.7,4})</f>
        <v>3</v>
      </c>
    </row>
    <row r="305" spans="1:7" ht="15.75" x14ac:dyDescent="0.4">
      <c r="A305" s="59" t="s">
        <v>294</v>
      </c>
      <c r="B305" s="60" t="s">
        <v>363</v>
      </c>
      <c r="C305" s="59" t="s">
        <v>364</v>
      </c>
      <c r="D305" s="59" t="s">
        <v>329</v>
      </c>
      <c r="E305" s="61">
        <v>69</v>
      </c>
      <c r="F305" s="59" t="s">
        <v>10</v>
      </c>
      <c r="G305" s="56">
        <f>LOOKUP(E305,{0,60,64,68,72,75,78,82,85,90},{0,1,1.7,2,2.3,2.7,3,3.3,3.7,4})</f>
        <v>2</v>
      </c>
    </row>
    <row r="306" spans="1:7" ht="15.75" x14ac:dyDescent="0.4">
      <c r="A306" s="59" t="s">
        <v>294</v>
      </c>
      <c r="B306" s="60" t="s">
        <v>365</v>
      </c>
      <c r="C306" s="59" t="s">
        <v>366</v>
      </c>
      <c r="D306" s="59" t="s">
        <v>329</v>
      </c>
      <c r="E306" s="61">
        <v>70</v>
      </c>
      <c r="F306" s="59" t="s">
        <v>10</v>
      </c>
      <c r="G306" s="56">
        <f>LOOKUP(E306,{0,60,64,68,72,75,78,82,85,90},{0,1,1.7,2,2.3,2.7,3,3.3,3.7,4})</f>
        <v>2</v>
      </c>
    </row>
    <row r="307" spans="1:7" ht="15.75" x14ac:dyDescent="0.4">
      <c r="A307" s="59" t="s">
        <v>294</v>
      </c>
      <c r="B307" s="60" t="s">
        <v>367</v>
      </c>
      <c r="C307" s="59" t="s">
        <v>368</v>
      </c>
      <c r="D307" s="59" t="s">
        <v>329</v>
      </c>
      <c r="E307" s="61">
        <v>72</v>
      </c>
      <c r="F307" s="59" t="s">
        <v>10</v>
      </c>
      <c r="G307" s="56">
        <f>LOOKUP(E307,{0,60,64,68,72,75,78,82,85,90},{0,1,1.7,2,2.3,2.7,3,3.3,3.7,4})</f>
        <v>2.2999999999999998</v>
      </c>
    </row>
    <row r="308" spans="1:7" ht="15.75" x14ac:dyDescent="0.4">
      <c r="A308" s="59" t="s">
        <v>294</v>
      </c>
      <c r="B308" s="60" t="s">
        <v>369</v>
      </c>
      <c r="C308" s="59" t="s">
        <v>370</v>
      </c>
      <c r="D308" s="59" t="s">
        <v>329</v>
      </c>
      <c r="E308" s="61">
        <v>77</v>
      </c>
      <c r="F308" s="59" t="s">
        <v>10</v>
      </c>
      <c r="G308" s="56">
        <f>LOOKUP(E308,{0,60,64,68,72,75,78,82,85,90},{0,1,1.7,2,2.3,2.7,3,3.3,3.7,4})</f>
        <v>2.7</v>
      </c>
    </row>
    <row r="309" spans="1:7" ht="15.75" x14ac:dyDescent="0.4">
      <c r="A309" s="59" t="s">
        <v>294</v>
      </c>
      <c r="B309" s="60" t="s">
        <v>371</v>
      </c>
      <c r="C309" s="59" t="s">
        <v>372</v>
      </c>
      <c r="D309" s="59" t="s">
        <v>329</v>
      </c>
      <c r="E309" s="61">
        <v>67</v>
      </c>
      <c r="F309" s="59" t="s">
        <v>10</v>
      </c>
      <c r="G309" s="56">
        <f>LOOKUP(E309,{0,60,64,68,72,75,78,82,85,90},{0,1,1.7,2,2.3,2.7,3,3.3,3.7,4})</f>
        <v>1.7</v>
      </c>
    </row>
    <row r="310" spans="1:7" ht="15.75" x14ac:dyDescent="0.4">
      <c r="A310" s="59" t="s">
        <v>294</v>
      </c>
      <c r="B310" s="60" t="s">
        <v>373</v>
      </c>
      <c r="C310" s="59" t="s">
        <v>374</v>
      </c>
      <c r="D310" s="59" t="s">
        <v>329</v>
      </c>
      <c r="E310" s="61">
        <v>71</v>
      </c>
      <c r="F310" s="59" t="s">
        <v>10</v>
      </c>
      <c r="G310" s="56">
        <f>LOOKUP(E310,{0,60,64,68,72,75,78,82,85,90},{0,1,1.7,2,2.3,2.7,3,3.3,3.7,4})</f>
        <v>2</v>
      </c>
    </row>
    <row r="311" spans="1:7" ht="15.75" x14ac:dyDescent="0.4">
      <c r="A311" s="59" t="s">
        <v>294</v>
      </c>
      <c r="B311" s="60" t="s">
        <v>375</v>
      </c>
      <c r="C311" s="59" t="s">
        <v>376</v>
      </c>
      <c r="D311" s="59" t="s">
        <v>329</v>
      </c>
      <c r="E311" s="61">
        <v>65</v>
      </c>
      <c r="F311" s="59" t="s">
        <v>10</v>
      </c>
      <c r="G311" s="56">
        <f>LOOKUP(E311,{0,60,64,68,72,75,78,82,85,90},{0,1,1.7,2,2.3,2.7,3,3.3,3.7,4})</f>
        <v>1.7</v>
      </c>
    </row>
    <row r="312" spans="1:7" ht="15.75" x14ac:dyDescent="0.4">
      <c r="A312" s="59" t="s">
        <v>294</v>
      </c>
      <c r="B312" s="60" t="s">
        <v>377</v>
      </c>
      <c r="C312" s="59" t="s">
        <v>378</v>
      </c>
      <c r="D312" s="59" t="s">
        <v>329</v>
      </c>
      <c r="E312" s="61">
        <v>51</v>
      </c>
      <c r="F312" s="59" t="s">
        <v>10</v>
      </c>
      <c r="G312" s="56">
        <f>LOOKUP(E312,{0,60,64,68,72,75,78,82,85,90},{0,1,1.7,2,2.3,2.7,3,3.3,3.7,4})</f>
        <v>0</v>
      </c>
    </row>
    <row r="313" spans="1:7" ht="15.75" x14ac:dyDescent="0.4">
      <c r="A313" s="59" t="s">
        <v>294</v>
      </c>
      <c r="B313" s="60" t="s">
        <v>379</v>
      </c>
      <c r="C313" s="59" t="s">
        <v>380</v>
      </c>
      <c r="D313" s="59" t="s">
        <v>329</v>
      </c>
      <c r="E313" s="61">
        <v>71</v>
      </c>
      <c r="F313" s="59" t="s">
        <v>10</v>
      </c>
      <c r="G313" s="56">
        <f>LOOKUP(E313,{0,60,64,68,72,75,78,82,85,90},{0,1,1.7,2,2.3,2.7,3,3.3,3.7,4})</f>
        <v>2</v>
      </c>
    </row>
    <row r="314" spans="1:7" ht="15.75" x14ac:dyDescent="0.4">
      <c r="A314" s="59" t="s">
        <v>294</v>
      </c>
      <c r="B314" s="60" t="s">
        <v>381</v>
      </c>
      <c r="C314" s="59" t="s">
        <v>382</v>
      </c>
      <c r="D314" s="59" t="s">
        <v>329</v>
      </c>
      <c r="E314" s="61">
        <v>95</v>
      </c>
      <c r="F314" s="59" t="s">
        <v>10</v>
      </c>
      <c r="G314" s="56">
        <f>LOOKUP(E314,{0,60,64,68,72,75,78,82,85,90},{0,1,1.7,2,2.3,2.7,3,3.3,3.7,4})</f>
        <v>4</v>
      </c>
    </row>
    <row r="315" spans="1:7" ht="15.75" x14ac:dyDescent="0.4">
      <c r="A315" s="59" t="s">
        <v>294</v>
      </c>
      <c r="B315" s="60" t="s">
        <v>383</v>
      </c>
      <c r="C315" s="59" t="s">
        <v>384</v>
      </c>
      <c r="D315" s="59" t="s">
        <v>329</v>
      </c>
      <c r="E315" s="61">
        <v>86</v>
      </c>
      <c r="F315" s="59" t="s">
        <v>10</v>
      </c>
      <c r="G315" s="56">
        <f>LOOKUP(E315,{0,60,64,68,72,75,78,82,85,90},{0,1,1.7,2,2.3,2.7,3,3.3,3.7,4})</f>
        <v>3.7</v>
      </c>
    </row>
    <row r="316" spans="1:7" ht="15.75" x14ac:dyDescent="0.4">
      <c r="A316" s="59" t="s">
        <v>294</v>
      </c>
      <c r="B316" s="60" t="s">
        <v>385</v>
      </c>
      <c r="C316" s="59" t="s">
        <v>386</v>
      </c>
      <c r="D316" s="59" t="s">
        <v>329</v>
      </c>
      <c r="E316" s="61">
        <v>94</v>
      </c>
      <c r="F316" s="59" t="s">
        <v>10</v>
      </c>
      <c r="G316" s="56">
        <f>LOOKUP(E316,{0,60,64,68,72,75,78,82,85,90},{0,1,1.7,2,2.3,2.7,3,3.3,3.7,4})</f>
        <v>4</v>
      </c>
    </row>
    <row r="317" spans="1:7" ht="15.75" x14ac:dyDescent="0.4">
      <c r="A317" s="59" t="s">
        <v>294</v>
      </c>
      <c r="B317" s="60" t="s">
        <v>387</v>
      </c>
      <c r="C317" s="59" t="s">
        <v>388</v>
      </c>
      <c r="D317" s="59" t="s">
        <v>329</v>
      </c>
      <c r="E317" s="61">
        <v>86</v>
      </c>
      <c r="F317" s="59" t="s">
        <v>10</v>
      </c>
      <c r="G317" s="56">
        <f>LOOKUP(E317,{0,60,64,68,72,75,78,82,85,90},{0,1,1.7,2,2.3,2.7,3,3.3,3.7,4})</f>
        <v>3.7</v>
      </c>
    </row>
    <row r="318" spans="1:7" ht="15.75" x14ac:dyDescent="0.4">
      <c r="A318" s="59" t="s">
        <v>294</v>
      </c>
      <c r="B318" s="60" t="s">
        <v>389</v>
      </c>
      <c r="C318" s="59" t="s">
        <v>390</v>
      </c>
      <c r="D318" s="59" t="s">
        <v>391</v>
      </c>
      <c r="E318" s="61">
        <v>91</v>
      </c>
      <c r="F318" s="59" t="s">
        <v>10</v>
      </c>
      <c r="G318" s="56">
        <f>LOOKUP(E318,{0,60,64,68,72,75,78,82,85,90},{0,1,1.7,2,2.3,2.7,3,3.3,3.7,4})</f>
        <v>4</v>
      </c>
    </row>
    <row r="319" spans="1:7" ht="15.75" x14ac:dyDescent="0.4">
      <c r="A319" s="59" t="s">
        <v>294</v>
      </c>
      <c r="B319" s="60" t="s">
        <v>392</v>
      </c>
      <c r="C319" s="59" t="s">
        <v>393</v>
      </c>
      <c r="D319" s="59" t="s">
        <v>391</v>
      </c>
      <c r="E319" s="61">
        <v>93</v>
      </c>
      <c r="F319" s="59" t="s">
        <v>10</v>
      </c>
      <c r="G319" s="56">
        <f>LOOKUP(E319,{0,60,64,68,72,75,78,82,85,90},{0,1,1.7,2,2.3,2.7,3,3.3,3.7,4})</f>
        <v>4</v>
      </c>
    </row>
    <row r="320" spans="1:7" ht="15.75" x14ac:dyDescent="0.4">
      <c r="A320" s="59" t="s">
        <v>294</v>
      </c>
      <c r="B320" s="60" t="s">
        <v>394</v>
      </c>
      <c r="C320" s="59" t="s">
        <v>395</v>
      </c>
      <c r="D320" s="59" t="s">
        <v>396</v>
      </c>
      <c r="E320" s="61">
        <v>79</v>
      </c>
      <c r="F320" s="59" t="s">
        <v>10</v>
      </c>
      <c r="G320" s="56">
        <f>LOOKUP(E320,{0,60,64,68,72,75,78,82,85,90},{0,1,1.7,2,2.3,2.7,3,3.3,3.7,4})</f>
        <v>3</v>
      </c>
    </row>
    <row r="321" spans="1:7" ht="15.75" x14ac:dyDescent="0.4">
      <c r="A321" s="59" t="s">
        <v>294</v>
      </c>
      <c r="B321" s="60" t="s">
        <v>397</v>
      </c>
      <c r="C321" s="59" t="s">
        <v>398</v>
      </c>
      <c r="D321" s="59" t="s">
        <v>396</v>
      </c>
      <c r="E321" s="61">
        <v>91</v>
      </c>
      <c r="F321" s="59" t="s">
        <v>10</v>
      </c>
      <c r="G321" s="56">
        <f>LOOKUP(E321,{0,60,64,68,72,75,78,82,85,90},{0,1,1.7,2,2.3,2.7,3,3.3,3.7,4})</f>
        <v>4</v>
      </c>
    </row>
    <row r="322" spans="1:7" ht="15.75" x14ac:dyDescent="0.4">
      <c r="A322" s="59" t="s">
        <v>294</v>
      </c>
      <c r="B322" s="60" t="s">
        <v>399</v>
      </c>
      <c r="C322" s="59" t="s">
        <v>400</v>
      </c>
      <c r="D322" s="59" t="s">
        <v>396</v>
      </c>
      <c r="E322" s="61">
        <v>65</v>
      </c>
      <c r="F322" s="59" t="s">
        <v>10</v>
      </c>
      <c r="G322" s="56">
        <f>LOOKUP(E322,{0,60,64,68,72,75,78,82,85,90},{0,1,1.7,2,2.3,2.7,3,3.3,3.7,4})</f>
        <v>1.7</v>
      </c>
    </row>
    <row r="323" spans="1:7" ht="15.75" x14ac:dyDescent="0.4">
      <c r="A323" s="59" t="s">
        <v>294</v>
      </c>
      <c r="B323" s="60" t="s">
        <v>401</v>
      </c>
      <c r="C323" s="59" t="s">
        <v>402</v>
      </c>
      <c r="D323" s="59" t="s">
        <v>396</v>
      </c>
      <c r="E323" s="61">
        <v>80</v>
      </c>
      <c r="F323" s="59" t="s">
        <v>10</v>
      </c>
      <c r="G323" s="56">
        <f>LOOKUP(E323,{0,60,64,68,72,75,78,82,85,90},{0,1,1.7,2,2.3,2.7,3,3.3,3.7,4})</f>
        <v>3</v>
      </c>
    </row>
    <row r="324" spans="1:7" ht="15.75" x14ac:dyDescent="0.4">
      <c r="A324" s="59" t="s">
        <v>294</v>
      </c>
      <c r="B324" s="60" t="s">
        <v>403</v>
      </c>
      <c r="C324" s="59" t="s">
        <v>404</v>
      </c>
      <c r="D324" s="59" t="s">
        <v>396</v>
      </c>
      <c r="E324" s="61">
        <v>87</v>
      </c>
      <c r="F324" s="59" t="s">
        <v>10</v>
      </c>
      <c r="G324" s="56">
        <f>LOOKUP(E324,{0,60,64,68,72,75,78,82,85,90},{0,1,1.7,2,2.3,2.7,3,3.3,3.7,4})</f>
        <v>3.7</v>
      </c>
    </row>
    <row r="325" spans="1:7" ht="15.75" x14ac:dyDescent="0.4">
      <c r="A325" s="59" t="s">
        <v>294</v>
      </c>
      <c r="B325" s="60" t="s">
        <v>405</v>
      </c>
      <c r="C325" s="59" t="s">
        <v>406</v>
      </c>
      <c r="D325" s="59" t="s">
        <v>396</v>
      </c>
      <c r="E325" s="61">
        <v>56</v>
      </c>
      <c r="F325" s="59" t="s">
        <v>10</v>
      </c>
      <c r="G325" s="56">
        <f>LOOKUP(E325,{0,60,64,68,72,75,78,82,85,90},{0,1,1.7,2,2.3,2.7,3,3.3,3.7,4})</f>
        <v>0</v>
      </c>
    </row>
    <row r="326" spans="1:7" ht="15.75" x14ac:dyDescent="0.4">
      <c r="A326" s="59" t="s">
        <v>294</v>
      </c>
      <c r="B326" s="60" t="s">
        <v>407</v>
      </c>
      <c r="C326" s="59" t="s">
        <v>408</v>
      </c>
      <c r="D326" s="59" t="s">
        <v>396</v>
      </c>
      <c r="E326" s="61">
        <v>80</v>
      </c>
      <c r="F326" s="59" t="s">
        <v>53</v>
      </c>
      <c r="G326" s="56">
        <f>LOOKUP(E326,{0,60,64,68,72,75,78,82,85,90},{0,1,1.7,2,2.3,2.7,3,3.3,3.7,4})</f>
        <v>3</v>
      </c>
    </row>
    <row r="327" spans="1:7" ht="15.75" x14ac:dyDescent="0.4">
      <c r="A327" s="59" t="s">
        <v>294</v>
      </c>
      <c r="B327" s="60" t="s">
        <v>409</v>
      </c>
      <c r="C327" s="59" t="s">
        <v>410</v>
      </c>
      <c r="D327" s="59" t="s">
        <v>396</v>
      </c>
      <c r="E327" s="61">
        <v>74</v>
      </c>
      <c r="F327" s="59" t="s">
        <v>10</v>
      </c>
      <c r="G327" s="56">
        <f>LOOKUP(E327,{0,60,64,68,72,75,78,82,85,90},{0,1,1.7,2,2.3,2.7,3,3.3,3.7,4})</f>
        <v>2.2999999999999998</v>
      </c>
    </row>
    <row r="328" spans="1:7" ht="15.75" x14ac:dyDescent="0.4">
      <c r="A328" s="59" t="s">
        <v>294</v>
      </c>
      <c r="B328" s="60" t="s">
        <v>411</v>
      </c>
      <c r="C328" s="59" t="s">
        <v>412</v>
      </c>
      <c r="D328" s="59" t="s">
        <v>396</v>
      </c>
      <c r="E328" s="61">
        <v>63</v>
      </c>
      <c r="F328" s="59" t="s">
        <v>10</v>
      </c>
      <c r="G328" s="56">
        <f>LOOKUP(E328,{0,60,64,68,72,75,78,82,85,90},{0,1,1.7,2,2.3,2.7,3,3.3,3.7,4})</f>
        <v>1</v>
      </c>
    </row>
    <row r="329" spans="1:7" ht="15.75" x14ac:dyDescent="0.4">
      <c r="A329" s="59" t="s">
        <v>294</v>
      </c>
      <c r="B329" s="60" t="s">
        <v>413</v>
      </c>
      <c r="C329" s="59" t="s">
        <v>414</v>
      </c>
      <c r="D329" s="59" t="s">
        <v>396</v>
      </c>
      <c r="E329" s="61">
        <v>82</v>
      </c>
      <c r="F329" s="59" t="s">
        <v>10</v>
      </c>
      <c r="G329" s="56">
        <f>LOOKUP(E329,{0,60,64,68,72,75,78,82,85,90},{0,1,1.7,2,2.3,2.7,3,3.3,3.7,4})</f>
        <v>3.3</v>
      </c>
    </row>
    <row r="330" spans="1:7" ht="15.75" x14ac:dyDescent="0.4">
      <c r="A330" s="59" t="s">
        <v>294</v>
      </c>
      <c r="B330" s="60" t="s">
        <v>415</v>
      </c>
      <c r="C330" s="59" t="s">
        <v>416</v>
      </c>
      <c r="D330" s="59" t="s">
        <v>396</v>
      </c>
      <c r="E330" s="61">
        <v>71</v>
      </c>
      <c r="F330" s="59" t="s">
        <v>10</v>
      </c>
      <c r="G330" s="56">
        <f>LOOKUP(E330,{0,60,64,68,72,75,78,82,85,90},{0,1,1.7,2,2.3,2.7,3,3.3,3.7,4})</f>
        <v>2</v>
      </c>
    </row>
    <row r="331" spans="1:7" ht="15.75" x14ac:dyDescent="0.4">
      <c r="A331" s="59" t="s">
        <v>294</v>
      </c>
      <c r="B331" s="60" t="s">
        <v>417</v>
      </c>
      <c r="C331" s="59" t="s">
        <v>418</v>
      </c>
      <c r="D331" s="59" t="s">
        <v>396</v>
      </c>
      <c r="E331" s="61">
        <v>84</v>
      </c>
      <c r="F331" s="59" t="s">
        <v>10</v>
      </c>
      <c r="G331" s="56">
        <f>LOOKUP(E331,{0,60,64,68,72,75,78,82,85,90},{0,1,1.7,2,2.3,2.7,3,3.3,3.7,4})</f>
        <v>3.3</v>
      </c>
    </row>
    <row r="332" spans="1:7" ht="15.75" x14ac:dyDescent="0.4">
      <c r="A332" s="59" t="s">
        <v>294</v>
      </c>
      <c r="B332" s="60" t="s">
        <v>419</v>
      </c>
      <c r="C332" s="59" t="s">
        <v>420</v>
      </c>
      <c r="D332" s="59" t="s">
        <v>396</v>
      </c>
      <c r="E332" s="61">
        <v>82</v>
      </c>
      <c r="F332" s="59" t="s">
        <v>10</v>
      </c>
      <c r="G332" s="56">
        <f>LOOKUP(E332,{0,60,64,68,72,75,78,82,85,90},{0,1,1.7,2,2.3,2.7,3,3.3,3.7,4})</f>
        <v>3.3</v>
      </c>
    </row>
    <row r="333" spans="1:7" ht="15.75" x14ac:dyDescent="0.4">
      <c r="A333" s="59" t="s">
        <v>294</v>
      </c>
      <c r="B333" s="60" t="s">
        <v>421</v>
      </c>
      <c r="C333" s="59" t="s">
        <v>422</v>
      </c>
      <c r="D333" s="59" t="s">
        <v>396</v>
      </c>
      <c r="E333" s="61">
        <v>94</v>
      </c>
      <c r="F333" s="59" t="s">
        <v>10</v>
      </c>
      <c r="G333" s="56">
        <f>LOOKUP(E333,{0,60,64,68,72,75,78,82,85,90},{0,1,1.7,2,2.3,2.7,3,3.3,3.7,4})</f>
        <v>4</v>
      </c>
    </row>
    <row r="334" spans="1:7" ht="15.75" x14ac:dyDescent="0.4">
      <c r="A334" s="59" t="s">
        <v>294</v>
      </c>
      <c r="B334" s="60" t="s">
        <v>423</v>
      </c>
      <c r="C334" s="59" t="s">
        <v>424</v>
      </c>
      <c r="D334" s="59" t="s">
        <v>396</v>
      </c>
      <c r="E334" s="61">
        <v>70</v>
      </c>
      <c r="F334" s="59" t="s">
        <v>10</v>
      </c>
      <c r="G334" s="56">
        <f>LOOKUP(E334,{0,60,64,68,72,75,78,82,85,90},{0,1,1.7,2,2.3,2.7,3,3.3,3.7,4})</f>
        <v>2</v>
      </c>
    </row>
    <row r="335" spans="1:7" ht="15.75" x14ac:dyDescent="0.4">
      <c r="A335" s="59" t="s">
        <v>294</v>
      </c>
      <c r="B335" s="60" t="s">
        <v>425</v>
      </c>
      <c r="C335" s="59" t="s">
        <v>426</v>
      </c>
      <c r="D335" s="59" t="s">
        <v>396</v>
      </c>
      <c r="E335" s="61">
        <v>89</v>
      </c>
      <c r="F335" s="59" t="s">
        <v>10</v>
      </c>
      <c r="G335" s="56">
        <f>LOOKUP(E335,{0,60,64,68,72,75,78,82,85,90},{0,1,1.7,2,2.3,2.7,3,3.3,3.7,4})</f>
        <v>3.7</v>
      </c>
    </row>
    <row r="336" spans="1:7" ht="15.75" x14ac:dyDescent="0.4">
      <c r="A336" s="59" t="s">
        <v>294</v>
      </c>
      <c r="B336" s="60" t="s">
        <v>427</v>
      </c>
      <c r="C336" s="59" t="s">
        <v>428</v>
      </c>
      <c r="D336" s="59" t="s">
        <v>396</v>
      </c>
      <c r="E336" s="61">
        <v>86</v>
      </c>
      <c r="F336" s="59" t="s">
        <v>10</v>
      </c>
      <c r="G336" s="56">
        <f>LOOKUP(E336,{0,60,64,68,72,75,78,82,85,90},{0,1,1.7,2,2.3,2.7,3,3.3,3.7,4})</f>
        <v>3.7</v>
      </c>
    </row>
    <row r="337" spans="1:7" ht="15.75" x14ac:dyDescent="0.4">
      <c r="A337" s="59" t="s">
        <v>294</v>
      </c>
      <c r="B337" s="60" t="s">
        <v>429</v>
      </c>
      <c r="C337" s="59" t="s">
        <v>430</v>
      </c>
      <c r="D337" s="59" t="s">
        <v>396</v>
      </c>
      <c r="E337" s="61">
        <v>87</v>
      </c>
      <c r="F337" s="59" t="s">
        <v>10</v>
      </c>
      <c r="G337" s="56">
        <f>LOOKUP(E337,{0,60,64,68,72,75,78,82,85,90},{0,1,1.7,2,2.3,2.7,3,3.3,3.7,4})</f>
        <v>3.7</v>
      </c>
    </row>
    <row r="338" spans="1:7" ht="15.75" x14ac:dyDescent="0.4">
      <c r="A338" s="59" t="s">
        <v>294</v>
      </c>
      <c r="B338" s="60" t="s">
        <v>431</v>
      </c>
      <c r="C338" s="59" t="s">
        <v>432</v>
      </c>
      <c r="D338" s="59" t="s">
        <v>396</v>
      </c>
      <c r="E338" s="61">
        <v>60</v>
      </c>
      <c r="F338" s="59" t="s">
        <v>10</v>
      </c>
      <c r="G338" s="56">
        <f>LOOKUP(E338,{0,60,64,68,72,75,78,82,85,90},{0,1,1.7,2,2.3,2.7,3,3.3,3.7,4})</f>
        <v>1</v>
      </c>
    </row>
    <row r="339" spans="1:7" ht="15.75" x14ac:dyDescent="0.4">
      <c r="A339" s="59" t="s">
        <v>294</v>
      </c>
      <c r="B339" s="60" t="s">
        <v>433</v>
      </c>
      <c r="C339" s="59" t="s">
        <v>434</v>
      </c>
      <c r="D339" s="59" t="s">
        <v>396</v>
      </c>
      <c r="E339" s="61">
        <v>92</v>
      </c>
      <c r="F339" s="59" t="s">
        <v>10</v>
      </c>
      <c r="G339" s="56">
        <f>LOOKUP(E339,{0,60,64,68,72,75,78,82,85,90},{0,1,1.7,2,2.3,2.7,3,3.3,3.7,4})</f>
        <v>4</v>
      </c>
    </row>
    <row r="340" spans="1:7" ht="15.75" x14ac:dyDescent="0.4">
      <c r="A340" s="59" t="s">
        <v>294</v>
      </c>
      <c r="B340" s="60" t="s">
        <v>435</v>
      </c>
      <c r="C340" s="59" t="s">
        <v>436</v>
      </c>
      <c r="D340" s="59" t="s">
        <v>396</v>
      </c>
      <c r="E340" s="61">
        <v>71</v>
      </c>
      <c r="F340" s="59" t="s">
        <v>10</v>
      </c>
      <c r="G340" s="56">
        <f>LOOKUP(E340,{0,60,64,68,72,75,78,82,85,90},{0,1,1.7,2,2.3,2.7,3,3.3,3.7,4})</f>
        <v>2</v>
      </c>
    </row>
    <row r="341" spans="1:7" ht="15.75" x14ac:dyDescent="0.4">
      <c r="A341" s="59" t="s">
        <v>294</v>
      </c>
      <c r="B341" s="60" t="s">
        <v>437</v>
      </c>
      <c r="C341" s="59" t="s">
        <v>438</v>
      </c>
      <c r="D341" s="59" t="s">
        <v>396</v>
      </c>
      <c r="E341" s="61">
        <v>78</v>
      </c>
      <c r="F341" s="59" t="s">
        <v>10</v>
      </c>
      <c r="G341" s="56">
        <f>LOOKUP(E341,{0,60,64,68,72,75,78,82,85,90},{0,1,1.7,2,2.3,2.7,3,3.3,3.7,4})</f>
        <v>3</v>
      </c>
    </row>
    <row r="342" spans="1:7" ht="15.75" x14ac:dyDescent="0.4">
      <c r="A342" s="59" t="s">
        <v>294</v>
      </c>
      <c r="B342" s="60" t="s">
        <v>439</v>
      </c>
      <c r="C342" s="59" t="s">
        <v>440</v>
      </c>
      <c r="D342" s="59" t="s">
        <v>396</v>
      </c>
      <c r="E342" s="61">
        <v>79</v>
      </c>
      <c r="F342" s="59" t="s">
        <v>10</v>
      </c>
      <c r="G342" s="56">
        <f>LOOKUP(E342,{0,60,64,68,72,75,78,82,85,90},{0,1,1.7,2,2.3,2.7,3,3.3,3.7,4})</f>
        <v>3</v>
      </c>
    </row>
    <row r="343" spans="1:7" ht="15.75" x14ac:dyDescent="0.4">
      <c r="A343" s="59" t="s">
        <v>294</v>
      </c>
      <c r="B343" s="60" t="s">
        <v>441</v>
      </c>
      <c r="C343" s="59" t="s">
        <v>442</v>
      </c>
      <c r="D343" s="59" t="s">
        <v>396</v>
      </c>
      <c r="E343" s="61">
        <v>80</v>
      </c>
      <c r="F343" s="59" t="s">
        <v>10</v>
      </c>
      <c r="G343" s="56">
        <f>LOOKUP(E343,{0,60,64,68,72,75,78,82,85,90},{0,1,1.7,2,2.3,2.7,3,3.3,3.7,4})</f>
        <v>3</v>
      </c>
    </row>
    <row r="344" spans="1:7" ht="15.75" x14ac:dyDescent="0.4">
      <c r="A344" s="59" t="s">
        <v>294</v>
      </c>
      <c r="B344" s="60" t="s">
        <v>443</v>
      </c>
      <c r="C344" s="59" t="s">
        <v>444</v>
      </c>
      <c r="D344" s="59" t="s">
        <v>396</v>
      </c>
      <c r="E344" s="61">
        <v>81</v>
      </c>
      <c r="F344" s="59" t="s">
        <v>10</v>
      </c>
      <c r="G344" s="56">
        <f>LOOKUP(E344,{0,60,64,68,72,75,78,82,85,90},{0,1,1.7,2,2.3,2.7,3,3.3,3.7,4})</f>
        <v>3</v>
      </c>
    </row>
    <row r="345" spans="1:7" ht="15.75" x14ac:dyDescent="0.4">
      <c r="A345" s="59" t="s">
        <v>294</v>
      </c>
      <c r="B345" s="60" t="s">
        <v>445</v>
      </c>
      <c r="C345" s="59" t="s">
        <v>446</v>
      </c>
      <c r="D345" s="59" t="s">
        <v>396</v>
      </c>
      <c r="E345" s="61">
        <v>89</v>
      </c>
      <c r="F345" s="59" t="s">
        <v>10</v>
      </c>
      <c r="G345" s="56">
        <f>LOOKUP(E345,{0,60,64,68,72,75,78,82,85,90},{0,1,1.7,2,2.3,2.7,3,3.3,3.7,4})</f>
        <v>3.7</v>
      </c>
    </row>
    <row r="346" spans="1:7" ht="15.75" x14ac:dyDescent="0.4">
      <c r="A346" s="59" t="s">
        <v>294</v>
      </c>
      <c r="B346" s="60" t="s">
        <v>447</v>
      </c>
      <c r="C346" s="59" t="s">
        <v>448</v>
      </c>
      <c r="D346" s="59" t="s">
        <v>396</v>
      </c>
      <c r="E346" s="61">
        <v>74</v>
      </c>
      <c r="F346" s="59" t="s">
        <v>10</v>
      </c>
      <c r="G346" s="56">
        <f>LOOKUP(E346,{0,60,64,68,72,75,78,82,85,90},{0,1,1.7,2,2.3,2.7,3,3.3,3.7,4})</f>
        <v>2.2999999999999998</v>
      </c>
    </row>
    <row r="347" spans="1:7" ht="15.75" x14ac:dyDescent="0.4">
      <c r="A347" s="59" t="s">
        <v>294</v>
      </c>
      <c r="B347" s="60" t="s">
        <v>449</v>
      </c>
      <c r="C347" s="59" t="s">
        <v>450</v>
      </c>
      <c r="D347" s="59" t="s">
        <v>396</v>
      </c>
      <c r="E347" s="61">
        <v>73</v>
      </c>
      <c r="F347" s="59" t="s">
        <v>10</v>
      </c>
      <c r="G347" s="56">
        <f>LOOKUP(E347,{0,60,64,68,72,75,78,82,85,90},{0,1,1.7,2,2.3,2.7,3,3.3,3.7,4})</f>
        <v>2.2999999999999998</v>
      </c>
    </row>
    <row r="348" spans="1:7" ht="15.75" x14ac:dyDescent="0.4">
      <c r="A348" s="59" t="s">
        <v>294</v>
      </c>
      <c r="B348" s="60" t="s">
        <v>451</v>
      </c>
      <c r="C348" s="59" t="s">
        <v>452</v>
      </c>
      <c r="D348" s="59" t="s">
        <v>396</v>
      </c>
      <c r="E348" s="61">
        <v>61</v>
      </c>
      <c r="F348" s="59" t="s">
        <v>10</v>
      </c>
      <c r="G348" s="56">
        <f>LOOKUP(E348,{0,60,64,68,72,75,78,82,85,90},{0,1,1.7,2,2.3,2.7,3,3.3,3.7,4})</f>
        <v>1</v>
      </c>
    </row>
    <row r="349" spans="1:7" x14ac:dyDescent="0.4">
      <c r="B349" s="63"/>
    </row>
    <row r="350" spans="1:7" x14ac:dyDescent="0.4">
      <c r="B350" s="63"/>
    </row>
    <row r="351" spans="1:7" x14ac:dyDescent="0.4">
      <c r="B351" s="63"/>
    </row>
    <row r="352" spans="1:7" x14ac:dyDescent="0.4">
      <c r="B352" s="63"/>
    </row>
    <row r="353" spans="2:2" x14ac:dyDescent="0.4">
      <c r="B353" s="63"/>
    </row>
    <row r="354" spans="2:2" x14ac:dyDescent="0.4">
      <c r="B354" s="63"/>
    </row>
    <row r="355" spans="2:2" x14ac:dyDescent="0.4">
      <c r="B355" s="63"/>
    </row>
    <row r="356" spans="2:2" x14ac:dyDescent="0.4">
      <c r="B356" s="63"/>
    </row>
    <row r="357" spans="2:2" x14ac:dyDescent="0.4">
      <c r="B357" s="63"/>
    </row>
    <row r="358" spans="2:2" x14ac:dyDescent="0.4">
      <c r="B358" s="63"/>
    </row>
    <row r="359" spans="2:2" x14ac:dyDescent="0.4">
      <c r="B359" s="63"/>
    </row>
    <row r="360" spans="2:2" x14ac:dyDescent="0.4">
      <c r="B360" s="63"/>
    </row>
    <row r="361" spans="2:2" x14ac:dyDescent="0.4">
      <c r="B361" s="63"/>
    </row>
    <row r="362" spans="2:2" x14ac:dyDescent="0.4">
      <c r="B362" s="63"/>
    </row>
    <row r="363" spans="2:2" x14ac:dyDescent="0.4">
      <c r="B363" s="63"/>
    </row>
    <row r="364" spans="2:2" x14ac:dyDescent="0.4">
      <c r="B364" s="63"/>
    </row>
    <row r="365" spans="2:2" x14ac:dyDescent="0.4">
      <c r="B365" s="63"/>
    </row>
    <row r="366" spans="2:2" x14ac:dyDescent="0.4">
      <c r="B366" s="63"/>
    </row>
    <row r="367" spans="2:2" x14ac:dyDescent="0.4">
      <c r="B367" s="63"/>
    </row>
    <row r="368" spans="2:2" x14ac:dyDescent="0.4">
      <c r="B368" s="63"/>
    </row>
    <row r="369" spans="2:2" x14ac:dyDescent="0.4">
      <c r="B369" s="63"/>
    </row>
    <row r="370" spans="2:2" x14ac:dyDescent="0.4">
      <c r="B370" s="63"/>
    </row>
    <row r="371" spans="2:2" x14ac:dyDescent="0.4">
      <c r="B371" s="63"/>
    </row>
    <row r="372" spans="2:2" x14ac:dyDescent="0.4">
      <c r="B372" s="63"/>
    </row>
    <row r="373" spans="2:2" x14ac:dyDescent="0.4">
      <c r="B373" s="63"/>
    </row>
    <row r="374" spans="2:2" x14ac:dyDescent="0.4">
      <c r="B374" s="63"/>
    </row>
    <row r="375" spans="2:2" x14ac:dyDescent="0.4">
      <c r="B375" s="63"/>
    </row>
    <row r="376" spans="2:2" x14ac:dyDescent="0.4">
      <c r="B376" s="63"/>
    </row>
    <row r="377" spans="2:2" x14ac:dyDescent="0.4">
      <c r="B377" s="63"/>
    </row>
    <row r="378" spans="2:2" x14ac:dyDescent="0.4">
      <c r="B378" s="63"/>
    </row>
    <row r="379" spans="2:2" x14ac:dyDescent="0.4">
      <c r="B379" s="63"/>
    </row>
    <row r="380" spans="2:2" x14ac:dyDescent="0.4">
      <c r="B380" s="63"/>
    </row>
    <row r="381" spans="2:2" x14ac:dyDescent="0.4">
      <c r="B381" s="63"/>
    </row>
    <row r="382" spans="2:2" x14ac:dyDescent="0.4">
      <c r="B382" s="63"/>
    </row>
    <row r="383" spans="2:2" x14ac:dyDescent="0.4">
      <c r="B383" s="63"/>
    </row>
    <row r="384" spans="2:2" x14ac:dyDescent="0.4">
      <c r="B384" s="63"/>
    </row>
    <row r="385" spans="2:2" x14ac:dyDescent="0.4">
      <c r="B385" s="63"/>
    </row>
    <row r="386" spans="2:2" x14ac:dyDescent="0.4">
      <c r="B386" s="63"/>
    </row>
    <row r="387" spans="2:2" x14ac:dyDescent="0.4">
      <c r="B387" s="63"/>
    </row>
    <row r="388" spans="2:2" x14ac:dyDescent="0.4">
      <c r="B388" s="63"/>
    </row>
    <row r="389" spans="2:2" x14ac:dyDescent="0.4">
      <c r="B389" s="63"/>
    </row>
    <row r="390" spans="2:2" x14ac:dyDescent="0.4">
      <c r="B390" s="63"/>
    </row>
    <row r="391" spans="2:2" x14ac:dyDescent="0.4">
      <c r="B391" s="63"/>
    </row>
    <row r="392" spans="2:2" x14ac:dyDescent="0.4">
      <c r="B392" s="63"/>
    </row>
    <row r="393" spans="2:2" x14ac:dyDescent="0.4">
      <c r="B393" s="63"/>
    </row>
    <row r="394" spans="2:2" x14ac:dyDescent="0.4">
      <c r="B394" s="63"/>
    </row>
    <row r="395" spans="2:2" x14ac:dyDescent="0.4">
      <c r="B395" s="63"/>
    </row>
    <row r="396" spans="2:2" x14ac:dyDescent="0.4">
      <c r="B396" s="63"/>
    </row>
    <row r="397" spans="2:2" x14ac:dyDescent="0.4">
      <c r="B397" s="63"/>
    </row>
    <row r="398" spans="2:2" x14ac:dyDescent="0.4">
      <c r="B398" s="63"/>
    </row>
    <row r="399" spans="2:2" x14ac:dyDescent="0.4">
      <c r="B399" s="63"/>
    </row>
    <row r="400" spans="2:2" x14ac:dyDescent="0.4">
      <c r="B400" s="63"/>
    </row>
    <row r="401" spans="2:2" x14ac:dyDescent="0.4">
      <c r="B401" s="63"/>
    </row>
    <row r="402" spans="2:2" x14ac:dyDescent="0.4">
      <c r="B402" s="63"/>
    </row>
    <row r="403" spans="2:2" x14ac:dyDescent="0.4">
      <c r="B403" s="63"/>
    </row>
    <row r="404" spans="2:2" x14ac:dyDescent="0.4">
      <c r="B404" s="63"/>
    </row>
    <row r="405" spans="2:2" x14ac:dyDescent="0.4">
      <c r="B405" s="63"/>
    </row>
    <row r="406" spans="2:2" x14ac:dyDescent="0.4">
      <c r="B406" s="63"/>
    </row>
    <row r="407" spans="2:2" x14ac:dyDescent="0.4">
      <c r="B407" s="63"/>
    </row>
    <row r="408" spans="2:2" x14ac:dyDescent="0.4">
      <c r="B408" s="63"/>
    </row>
    <row r="409" spans="2:2" x14ac:dyDescent="0.4">
      <c r="B409" s="63"/>
    </row>
    <row r="410" spans="2:2" x14ac:dyDescent="0.4">
      <c r="B410" s="63"/>
    </row>
    <row r="411" spans="2:2" x14ac:dyDescent="0.4">
      <c r="B411" s="63"/>
    </row>
    <row r="412" spans="2:2" x14ac:dyDescent="0.4">
      <c r="B412" s="63"/>
    </row>
    <row r="413" spans="2:2" x14ac:dyDescent="0.4">
      <c r="B413" s="63"/>
    </row>
    <row r="414" spans="2:2" x14ac:dyDescent="0.4">
      <c r="B414" s="63"/>
    </row>
    <row r="415" spans="2:2" x14ac:dyDescent="0.4">
      <c r="B415" s="63"/>
    </row>
    <row r="416" spans="2:2" x14ac:dyDescent="0.4">
      <c r="B416" s="63"/>
    </row>
    <row r="417" spans="2:2" x14ac:dyDescent="0.4">
      <c r="B417" s="63"/>
    </row>
    <row r="418" spans="2:2" x14ac:dyDescent="0.4">
      <c r="B418" s="63"/>
    </row>
    <row r="419" spans="2:2" x14ac:dyDescent="0.4">
      <c r="B419" s="63"/>
    </row>
    <row r="420" spans="2:2" x14ac:dyDescent="0.4">
      <c r="B420" s="63"/>
    </row>
    <row r="421" spans="2:2" x14ac:dyDescent="0.4">
      <c r="B421" s="63"/>
    </row>
    <row r="422" spans="2:2" x14ac:dyDescent="0.4">
      <c r="B422" s="63"/>
    </row>
    <row r="423" spans="2:2" x14ac:dyDescent="0.4">
      <c r="B423" s="63"/>
    </row>
    <row r="424" spans="2:2" x14ac:dyDescent="0.4">
      <c r="B424" s="63"/>
    </row>
    <row r="425" spans="2:2" x14ac:dyDescent="0.4">
      <c r="B425" s="63"/>
    </row>
    <row r="426" spans="2:2" x14ac:dyDescent="0.4">
      <c r="B426" s="63"/>
    </row>
    <row r="427" spans="2:2" x14ac:dyDescent="0.4">
      <c r="B427" s="63"/>
    </row>
    <row r="428" spans="2:2" x14ac:dyDescent="0.4">
      <c r="B428" s="63"/>
    </row>
    <row r="429" spans="2:2" x14ac:dyDescent="0.4">
      <c r="B429" s="63"/>
    </row>
    <row r="430" spans="2:2" x14ac:dyDescent="0.4">
      <c r="B430" s="63"/>
    </row>
    <row r="431" spans="2:2" x14ac:dyDescent="0.4">
      <c r="B431" s="63"/>
    </row>
    <row r="432" spans="2:2" x14ac:dyDescent="0.4">
      <c r="B432" s="63"/>
    </row>
    <row r="433" spans="2:2" x14ac:dyDescent="0.4">
      <c r="B433" s="63"/>
    </row>
    <row r="434" spans="2:2" x14ac:dyDescent="0.4">
      <c r="B434" s="63"/>
    </row>
    <row r="435" spans="2:2" x14ac:dyDescent="0.4">
      <c r="B435" s="63"/>
    </row>
    <row r="436" spans="2:2" x14ac:dyDescent="0.4">
      <c r="B436" s="63"/>
    </row>
    <row r="437" spans="2:2" x14ac:dyDescent="0.4">
      <c r="B437" s="63"/>
    </row>
    <row r="438" spans="2:2" x14ac:dyDescent="0.4">
      <c r="B438" s="63"/>
    </row>
    <row r="439" spans="2:2" x14ac:dyDescent="0.4">
      <c r="B439" s="63"/>
    </row>
    <row r="440" spans="2:2" x14ac:dyDescent="0.4">
      <c r="B440" s="63"/>
    </row>
    <row r="441" spans="2:2" x14ac:dyDescent="0.4">
      <c r="B441" s="63"/>
    </row>
    <row r="442" spans="2:2" x14ac:dyDescent="0.4">
      <c r="B442" s="63"/>
    </row>
    <row r="443" spans="2:2" x14ac:dyDescent="0.4">
      <c r="B443" s="63"/>
    </row>
    <row r="444" spans="2:2" x14ac:dyDescent="0.4">
      <c r="B444" s="63"/>
    </row>
    <row r="445" spans="2:2" x14ac:dyDescent="0.4">
      <c r="B445" s="63"/>
    </row>
    <row r="446" spans="2:2" x14ac:dyDescent="0.4">
      <c r="B446" s="63"/>
    </row>
    <row r="447" spans="2:2" x14ac:dyDescent="0.4">
      <c r="B447" s="63"/>
    </row>
    <row r="448" spans="2:2" x14ac:dyDescent="0.4">
      <c r="B448" s="63"/>
    </row>
    <row r="449" spans="2:2" x14ac:dyDescent="0.4">
      <c r="B449" s="63"/>
    </row>
    <row r="450" spans="2:2" x14ac:dyDescent="0.4">
      <c r="B450" s="63"/>
    </row>
    <row r="451" spans="2:2" x14ac:dyDescent="0.4">
      <c r="B451" s="63"/>
    </row>
    <row r="452" spans="2:2" x14ac:dyDescent="0.4">
      <c r="B452" s="63"/>
    </row>
    <row r="453" spans="2:2" x14ac:dyDescent="0.4">
      <c r="B453" s="63"/>
    </row>
    <row r="454" spans="2:2" x14ac:dyDescent="0.4">
      <c r="B454" s="63"/>
    </row>
    <row r="455" spans="2:2" x14ac:dyDescent="0.4">
      <c r="B455" s="63"/>
    </row>
    <row r="456" spans="2:2" x14ac:dyDescent="0.4">
      <c r="B456" s="63"/>
    </row>
    <row r="457" spans="2:2" x14ac:dyDescent="0.4">
      <c r="B457" s="63"/>
    </row>
    <row r="458" spans="2:2" x14ac:dyDescent="0.4">
      <c r="B458" s="63"/>
    </row>
    <row r="459" spans="2:2" x14ac:dyDescent="0.4">
      <c r="B459" s="63"/>
    </row>
    <row r="460" spans="2:2" x14ac:dyDescent="0.4">
      <c r="B460" s="63"/>
    </row>
    <row r="461" spans="2:2" x14ac:dyDescent="0.4">
      <c r="B461" s="63"/>
    </row>
    <row r="462" spans="2:2" x14ac:dyDescent="0.4">
      <c r="B462" s="63"/>
    </row>
    <row r="463" spans="2:2" x14ac:dyDescent="0.4">
      <c r="B463" s="63"/>
    </row>
    <row r="464" spans="2:2" x14ac:dyDescent="0.4">
      <c r="B464" s="63"/>
    </row>
    <row r="465" spans="2:2" x14ac:dyDescent="0.4">
      <c r="B465" s="63"/>
    </row>
    <row r="466" spans="2:2" x14ac:dyDescent="0.4">
      <c r="B466" s="63"/>
    </row>
    <row r="467" spans="2:2" x14ac:dyDescent="0.4">
      <c r="B467" s="63"/>
    </row>
    <row r="468" spans="2:2" x14ac:dyDescent="0.4">
      <c r="B468" s="63"/>
    </row>
    <row r="469" spans="2:2" x14ac:dyDescent="0.4">
      <c r="B469" s="63"/>
    </row>
    <row r="470" spans="2:2" x14ac:dyDescent="0.4">
      <c r="B470" s="63"/>
    </row>
    <row r="471" spans="2:2" x14ac:dyDescent="0.4">
      <c r="B471" s="63"/>
    </row>
    <row r="472" spans="2:2" x14ac:dyDescent="0.4">
      <c r="B472" s="63"/>
    </row>
    <row r="473" spans="2:2" x14ac:dyDescent="0.4">
      <c r="B473" s="63"/>
    </row>
    <row r="474" spans="2:2" x14ac:dyDescent="0.4">
      <c r="B474" s="63"/>
    </row>
    <row r="475" spans="2:2" x14ac:dyDescent="0.4">
      <c r="B475" s="63"/>
    </row>
    <row r="476" spans="2:2" x14ac:dyDescent="0.4">
      <c r="B476" s="63"/>
    </row>
    <row r="477" spans="2:2" x14ac:dyDescent="0.4">
      <c r="B477" s="63"/>
    </row>
    <row r="478" spans="2:2" x14ac:dyDescent="0.4">
      <c r="B478" s="63"/>
    </row>
    <row r="479" spans="2:2" x14ac:dyDescent="0.4">
      <c r="B479" s="63"/>
    </row>
    <row r="480" spans="2:2" x14ac:dyDescent="0.4">
      <c r="B480" s="63"/>
    </row>
    <row r="481" spans="2:2" x14ac:dyDescent="0.4">
      <c r="B481" s="63"/>
    </row>
    <row r="482" spans="2:2" x14ac:dyDescent="0.4">
      <c r="B482" s="63"/>
    </row>
    <row r="483" spans="2:2" x14ac:dyDescent="0.4">
      <c r="B483" s="63"/>
    </row>
    <row r="484" spans="2:2" x14ac:dyDescent="0.4">
      <c r="B484" s="63"/>
    </row>
    <row r="485" spans="2:2" x14ac:dyDescent="0.4">
      <c r="B485" s="63"/>
    </row>
    <row r="486" spans="2:2" x14ac:dyDescent="0.4">
      <c r="B486" s="63"/>
    </row>
    <row r="487" spans="2:2" x14ac:dyDescent="0.4">
      <c r="B487" s="63"/>
    </row>
    <row r="488" spans="2:2" x14ac:dyDescent="0.4">
      <c r="B488" s="63"/>
    </row>
    <row r="489" spans="2:2" x14ac:dyDescent="0.4">
      <c r="B489" s="63"/>
    </row>
    <row r="490" spans="2:2" x14ac:dyDescent="0.4">
      <c r="B490" s="63"/>
    </row>
    <row r="491" spans="2:2" x14ac:dyDescent="0.4">
      <c r="B491" s="63"/>
    </row>
    <row r="492" spans="2:2" x14ac:dyDescent="0.4">
      <c r="B492" s="63"/>
    </row>
    <row r="493" spans="2:2" x14ac:dyDescent="0.4">
      <c r="B493" s="63"/>
    </row>
    <row r="494" spans="2:2" x14ac:dyDescent="0.4">
      <c r="B494" s="63"/>
    </row>
    <row r="495" spans="2:2" x14ac:dyDescent="0.4">
      <c r="B495" s="63"/>
    </row>
    <row r="496" spans="2:2" x14ac:dyDescent="0.4">
      <c r="B496" s="63"/>
    </row>
    <row r="497" spans="2:2" x14ac:dyDescent="0.4">
      <c r="B497" s="63"/>
    </row>
    <row r="498" spans="2:2" x14ac:dyDescent="0.4">
      <c r="B498" s="63"/>
    </row>
    <row r="499" spans="2:2" x14ac:dyDescent="0.4">
      <c r="B499" s="63"/>
    </row>
    <row r="500" spans="2:2" x14ac:dyDescent="0.4">
      <c r="B500" s="63"/>
    </row>
    <row r="501" spans="2:2" x14ac:dyDescent="0.4">
      <c r="B501" s="63"/>
    </row>
    <row r="502" spans="2:2" x14ac:dyDescent="0.4">
      <c r="B502" s="63"/>
    </row>
    <row r="503" spans="2:2" x14ac:dyDescent="0.4">
      <c r="B503" s="63"/>
    </row>
    <row r="504" spans="2:2" x14ac:dyDescent="0.4">
      <c r="B504" s="63"/>
    </row>
    <row r="505" spans="2:2" x14ac:dyDescent="0.4">
      <c r="B505" s="63"/>
    </row>
    <row r="506" spans="2:2" x14ac:dyDescent="0.4">
      <c r="B506" s="63"/>
    </row>
    <row r="507" spans="2:2" x14ac:dyDescent="0.4">
      <c r="B507" s="63"/>
    </row>
    <row r="508" spans="2:2" x14ac:dyDescent="0.4">
      <c r="B508" s="63"/>
    </row>
    <row r="509" spans="2:2" x14ac:dyDescent="0.4">
      <c r="B509" s="63"/>
    </row>
    <row r="510" spans="2:2" x14ac:dyDescent="0.4">
      <c r="B510" s="63"/>
    </row>
    <row r="511" spans="2:2" x14ac:dyDescent="0.4">
      <c r="B511" s="63"/>
    </row>
    <row r="512" spans="2:2" x14ac:dyDescent="0.4">
      <c r="B512" s="63"/>
    </row>
    <row r="513" spans="2:2" x14ac:dyDescent="0.4">
      <c r="B513" s="63"/>
    </row>
    <row r="514" spans="2:2" x14ac:dyDescent="0.4">
      <c r="B514" s="63"/>
    </row>
    <row r="515" spans="2:2" x14ac:dyDescent="0.4">
      <c r="B515" s="63"/>
    </row>
    <row r="516" spans="2:2" x14ac:dyDescent="0.4">
      <c r="B516" s="63"/>
    </row>
    <row r="517" spans="2:2" x14ac:dyDescent="0.4">
      <c r="B517" s="63"/>
    </row>
    <row r="518" spans="2:2" x14ac:dyDescent="0.4">
      <c r="B518" s="63"/>
    </row>
    <row r="519" spans="2:2" x14ac:dyDescent="0.4">
      <c r="B519" s="63"/>
    </row>
    <row r="520" spans="2:2" x14ac:dyDescent="0.4">
      <c r="B520" s="63"/>
    </row>
    <row r="521" spans="2:2" x14ac:dyDescent="0.4">
      <c r="B521" s="63"/>
    </row>
    <row r="522" spans="2:2" x14ac:dyDescent="0.4">
      <c r="B522" s="63"/>
    </row>
    <row r="523" spans="2:2" x14ac:dyDescent="0.4">
      <c r="B523" s="63"/>
    </row>
    <row r="524" spans="2:2" x14ac:dyDescent="0.4">
      <c r="B524" s="63"/>
    </row>
    <row r="525" spans="2:2" x14ac:dyDescent="0.4">
      <c r="B525" s="63"/>
    </row>
    <row r="526" spans="2:2" x14ac:dyDescent="0.4">
      <c r="B526" s="63"/>
    </row>
    <row r="527" spans="2:2" x14ac:dyDescent="0.4">
      <c r="B527" s="63"/>
    </row>
    <row r="528" spans="2:2" x14ac:dyDescent="0.4">
      <c r="B528" s="63"/>
    </row>
    <row r="529" spans="2:2" x14ac:dyDescent="0.4">
      <c r="B529" s="63"/>
    </row>
    <row r="530" spans="2:2" x14ac:dyDescent="0.4">
      <c r="B530" s="63"/>
    </row>
    <row r="531" spans="2:2" x14ac:dyDescent="0.4">
      <c r="B531" s="63"/>
    </row>
    <row r="532" spans="2:2" x14ac:dyDescent="0.4">
      <c r="B532" s="63"/>
    </row>
    <row r="533" spans="2:2" x14ac:dyDescent="0.4">
      <c r="B533" s="63"/>
    </row>
    <row r="534" spans="2:2" x14ac:dyDescent="0.4">
      <c r="B534" s="63"/>
    </row>
    <row r="535" spans="2:2" x14ac:dyDescent="0.4">
      <c r="B535" s="63"/>
    </row>
    <row r="536" spans="2:2" x14ac:dyDescent="0.4">
      <c r="B536" s="63"/>
    </row>
    <row r="537" spans="2:2" x14ac:dyDescent="0.4">
      <c r="B537" s="63"/>
    </row>
    <row r="538" spans="2:2" x14ac:dyDescent="0.4">
      <c r="B538" s="63"/>
    </row>
    <row r="539" spans="2:2" x14ac:dyDescent="0.4">
      <c r="B539" s="63"/>
    </row>
    <row r="540" spans="2:2" x14ac:dyDescent="0.4">
      <c r="B540" s="63"/>
    </row>
    <row r="541" spans="2:2" x14ac:dyDescent="0.4">
      <c r="B541" s="63"/>
    </row>
    <row r="542" spans="2:2" x14ac:dyDescent="0.4">
      <c r="B542" s="63"/>
    </row>
    <row r="543" spans="2:2" x14ac:dyDescent="0.4">
      <c r="B543" s="63"/>
    </row>
    <row r="544" spans="2:2" x14ac:dyDescent="0.4">
      <c r="B544" s="63"/>
    </row>
    <row r="545" spans="2:2" x14ac:dyDescent="0.4">
      <c r="B545" s="63"/>
    </row>
    <row r="546" spans="2:2" x14ac:dyDescent="0.4">
      <c r="B546" s="63"/>
    </row>
    <row r="547" spans="2:2" x14ac:dyDescent="0.4">
      <c r="B547" s="63"/>
    </row>
    <row r="548" spans="2:2" x14ac:dyDescent="0.4">
      <c r="B548" s="63"/>
    </row>
    <row r="549" spans="2:2" x14ac:dyDescent="0.4">
      <c r="B549" s="63"/>
    </row>
    <row r="550" spans="2:2" x14ac:dyDescent="0.4">
      <c r="B550" s="63"/>
    </row>
    <row r="551" spans="2:2" x14ac:dyDescent="0.4">
      <c r="B551" s="63"/>
    </row>
    <row r="552" spans="2:2" x14ac:dyDescent="0.4">
      <c r="B552" s="63"/>
    </row>
    <row r="553" spans="2:2" x14ac:dyDescent="0.4">
      <c r="B553" s="63"/>
    </row>
    <row r="554" spans="2:2" x14ac:dyDescent="0.4">
      <c r="B554" s="63"/>
    </row>
    <row r="555" spans="2:2" x14ac:dyDescent="0.4">
      <c r="B555" s="63"/>
    </row>
    <row r="556" spans="2:2" x14ac:dyDescent="0.4">
      <c r="B556" s="63"/>
    </row>
    <row r="557" spans="2:2" x14ac:dyDescent="0.4">
      <c r="B557" s="63"/>
    </row>
    <row r="558" spans="2:2" x14ac:dyDescent="0.4">
      <c r="B558" s="63"/>
    </row>
    <row r="559" spans="2:2" x14ac:dyDescent="0.4">
      <c r="B559" s="63"/>
    </row>
    <row r="560" spans="2:2" x14ac:dyDescent="0.4">
      <c r="B560" s="63"/>
    </row>
    <row r="561" spans="2:2" x14ac:dyDescent="0.4">
      <c r="B561" s="63"/>
    </row>
    <row r="562" spans="2:2" x14ac:dyDescent="0.4">
      <c r="B562" s="63"/>
    </row>
    <row r="563" spans="2:2" x14ac:dyDescent="0.4">
      <c r="B563" s="63"/>
    </row>
    <row r="564" spans="2:2" x14ac:dyDescent="0.4">
      <c r="B564" s="63"/>
    </row>
    <row r="565" spans="2:2" x14ac:dyDescent="0.4">
      <c r="B565" s="63"/>
    </row>
    <row r="566" spans="2:2" x14ac:dyDescent="0.4">
      <c r="B566" s="63"/>
    </row>
    <row r="567" spans="2:2" x14ac:dyDescent="0.4">
      <c r="B567" s="63"/>
    </row>
    <row r="568" spans="2:2" x14ac:dyDescent="0.4">
      <c r="B568" s="63"/>
    </row>
    <row r="569" spans="2:2" x14ac:dyDescent="0.4">
      <c r="B569" s="63"/>
    </row>
    <row r="570" spans="2:2" x14ac:dyDescent="0.4">
      <c r="B570" s="63"/>
    </row>
    <row r="571" spans="2:2" x14ac:dyDescent="0.4">
      <c r="B571" s="63"/>
    </row>
    <row r="572" spans="2:2" x14ac:dyDescent="0.4">
      <c r="B572" s="63"/>
    </row>
    <row r="573" spans="2:2" x14ac:dyDescent="0.4">
      <c r="B573" s="63"/>
    </row>
    <row r="574" spans="2:2" x14ac:dyDescent="0.4">
      <c r="B574" s="63"/>
    </row>
    <row r="575" spans="2:2" x14ac:dyDescent="0.4">
      <c r="B575" s="63"/>
    </row>
    <row r="576" spans="2:2" x14ac:dyDescent="0.4">
      <c r="B576" s="63"/>
    </row>
    <row r="577" spans="2:2" x14ac:dyDescent="0.4">
      <c r="B577" s="63"/>
    </row>
    <row r="578" spans="2:2" x14ac:dyDescent="0.4">
      <c r="B578" s="63"/>
    </row>
    <row r="579" spans="2:2" x14ac:dyDescent="0.4">
      <c r="B579" s="63"/>
    </row>
    <row r="580" spans="2:2" x14ac:dyDescent="0.4">
      <c r="B580" s="63"/>
    </row>
    <row r="581" spans="2:2" x14ac:dyDescent="0.4">
      <c r="B581" s="63"/>
    </row>
    <row r="582" spans="2:2" x14ac:dyDescent="0.4">
      <c r="B582" s="63"/>
    </row>
    <row r="583" spans="2:2" x14ac:dyDescent="0.4">
      <c r="B583" s="63"/>
    </row>
    <row r="584" spans="2:2" x14ac:dyDescent="0.4">
      <c r="B584" s="63"/>
    </row>
    <row r="585" spans="2:2" x14ac:dyDescent="0.4">
      <c r="B585" s="63"/>
    </row>
    <row r="586" spans="2:2" x14ac:dyDescent="0.4">
      <c r="B586" s="63"/>
    </row>
    <row r="587" spans="2:2" x14ac:dyDescent="0.4">
      <c r="B587" s="63"/>
    </row>
    <row r="588" spans="2:2" x14ac:dyDescent="0.4">
      <c r="B588" s="63"/>
    </row>
    <row r="589" spans="2:2" x14ac:dyDescent="0.4">
      <c r="B589" s="63"/>
    </row>
    <row r="590" spans="2:2" x14ac:dyDescent="0.4">
      <c r="B590" s="63"/>
    </row>
    <row r="591" spans="2:2" x14ac:dyDescent="0.4">
      <c r="B591" s="63"/>
    </row>
    <row r="592" spans="2:2" x14ac:dyDescent="0.4">
      <c r="B592" s="63"/>
    </row>
    <row r="593" spans="2:2" x14ac:dyDescent="0.4">
      <c r="B593" s="63"/>
    </row>
    <row r="594" spans="2:2" x14ac:dyDescent="0.4">
      <c r="B594" s="63"/>
    </row>
    <row r="595" spans="2:2" x14ac:dyDescent="0.4">
      <c r="B595" s="63"/>
    </row>
    <row r="596" spans="2:2" x14ac:dyDescent="0.4">
      <c r="B596" s="63"/>
    </row>
    <row r="597" spans="2:2" x14ac:dyDescent="0.4">
      <c r="B597" s="63"/>
    </row>
    <row r="598" spans="2:2" x14ac:dyDescent="0.4">
      <c r="B598" s="63"/>
    </row>
    <row r="599" spans="2:2" x14ac:dyDescent="0.4">
      <c r="B599" s="63"/>
    </row>
    <row r="600" spans="2:2" x14ac:dyDescent="0.4">
      <c r="B600" s="63"/>
    </row>
    <row r="601" spans="2:2" x14ac:dyDescent="0.4">
      <c r="B601" s="63"/>
    </row>
    <row r="602" spans="2:2" x14ac:dyDescent="0.4">
      <c r="B602" s="63"/>
    </row>
    <row r="603" spans="2:2" x14ac:dyDescent="0.4">
      <c r="B603" s="63"/>
    </row>
    <row r="604" spans="2:2" x14ac:dyDescent="0.4">
      <c r="B604" s="63"/>
    </row>
    <row r="605" spans="2:2" x14ac:dyDescent="0.4">
      <c r="B605" s="63"/>
    </row>
    <row r="606" spans="2:2" x14ac:dyDescent="0.4">
      <c r="B606" s="63"/>
    </row>
    <row r="607" spans="2:2" x14ac:dyDescent="0.4">
      <c r="B607" s="63"/>
    </row>
    <row r="608" spans="2:2" x14ac:dyDescent="0.4">
      <c r="B608" s="63"/>
    </row>
    <row r="609" spans="2:2" x14ac:dyDescent="0.4">
      <c r="B609" s="63"/>
    </row>
    <row r="610" spans="2:2" x14ac:dyDescent="0.4">
      <c r="B610" s="63"/>
    </row>
    <row r="611" spans="2:2" x14ac:dyDescent="0.4">
      <c r="B611" s="63"/>
    </row>
    <row r="612" spans="2:2" x14ac:dyDescent="0.4">
      <c r="B612" s="63"/>
    </row>
    <row r="613" spans="2:2" x14ac:dyDescent="0.4">
      <c r="B613" s="63"/>
    </row>
    <row r="614" spans="2:2" x14ac:dyDescent="0.4">
      <c r="B614" s="63"/>
    </row>
    <row r="615" spans="2:2" x14ac:dyDescent="0.4">
      <c r="B615" s="63"/>
    </row>
    <row r="616" spans="2:2" x14ac:dyDescent="0.4">
      <c r="B616" s="63"/>
    </row>
    <row r="617" spans="2:2" x14ac:dyDescent="0.4">
      <c r="B617" s="63"/>
    </row>
    <row r="618" spans="2:2" x14ac:dyDescent="0.4">
      <c r="B618" s="63"/>
    </row>
    <row r="619" spans="2:2" x14ac:dyDescent="0.4">
      <c r="B619" s="63"/>
    </row>
    <row r="620" spans="2:2" x14ac:dyDescent="0.4">
      <c r="B620" s="63"/>
    </row>
    <row r="621" spans="2:2" x14ac:dyDescent="0.4">
      <c r="B621" s="63"/>
    </row>
    <row r="622" spans="2:2" x14ac:dyDescent="0.4">
      <c r="B622" s="63"/>
    </row>
    <row r="623" spans="2:2" x14ac:dyDescent="0.4">
      <c r="B623" s="63"/>
    </row>
    <row r="624" spans="2:2" x14ac:dyDescent="0.4">
      <c r="B624" s="63"/>
    </row>
    <row r="625" spans="2:2" x14ac:dyDescent="0.4">
      <c r="B625" s="63"/>
    </row>
    <row r="626" spans="2:2" x14ac:dyDescent="0.4">
      <c r="B626" s="63"/>
    </row>
    <row r="627" spans="2:2" x14ac:dyDescent="0.4">
      <c r="B627" s="63"/>
    </row>
    <row r="628" spans="2:2" x14ac:dyDescent="0.4">
      <c r="B628" s="63"/>
    </row>
    <row r="629" spans="2:2" x14ac:dyDescent="0.4">
      <c r="B629" s="63"/>
    </row>
    <row r="630" spans="2:2" x14ac:dyDescent="0.4">
      <c r="B630" s="63"/>
    </row>
    <row r="631" spans="2:2" x14ac:dyDescent="0.4">
      <c r="B631" s="63"/>
    </row>
    <row r="632" spans="2:2" x14ac:dyDescent="0.4">
      <c r="B632" s="63"/>
    </row>
    <row r="633" spans="2:2" x14ac:dyDescent="0.4">
      <c r="B633" s="63"/>
    </row>
    <row r="634" spans="2:2" x14ac:dyDescent="0.4">
      <c r="B634" s="63"/>
    </row>
    <row r="635" spans="2:2" x14ac:dyDescent="0.4">
      <c r="B635" s="63"/>
    </row>
    <row r="636" spans="2:2" x14ac:dyDescent="0.4">
      <c r="B636" s="63"/>
    </row>
    <row r="637" spans="2:2" x14ac:dyDescent="0.4">
      <c r="B637" s="63"/>
    </row>
    <row r="638" spans="2:2" x14ac:dyDescent="0.4">
      <c r="B638" s="63"/>
    </row>
    <row r="639" spans="2:2" x14ac:dyDescent="0.4">
      <c r="B639" s="63"/>
    </row>
    <row r="640" spans="2:2" x14ac:dyDescent="0.4">
      <c r="B640" s="63"/>
    </row>
    <row r="641" spans="2:2" x14ac:dyDescent="0.4">
      <c r="B641" s="63"/>
    </row>
    <row r="642" spans="2:2" x14ac:dyDescent="0.4">
      <c r="B642" s="63"/>
    </row>
    <row r="643" spans="2:2" x14ac:dyDescent="0.4">
      <c r="B643" s="63"/>
    </row>
    <row r="644" spans="2:2" x14ac:dyDescent="0.4">
      <c r="B644" s="63"/>
    </row>
    <row r="645" spans="2:2" x14ac:dyDescent="0.4">
      <c r="B645" s="63"/>
    </row>
    <row r="646" spans="2:2" x14ac:dyDescent="0.4">
      <c r="B646" s="63"/>
    </row>
    <row r="647" spans="2:2" x14ac:dyDescent="0.4">
      <c r="B647" s="63"/>
    </row>
    <row r="648" spans="2:2" x14ac:dyDescent="0.4">
      <c r="B648" s="63"/>
    </row>
    <row r="649" spans="2:2" x14ac:dyDescent="0.4">
      <c r="B649" s="63"/>
    </row>
    <row r="650" spans="2:2" x14ac:dyDescent="0.4">
      <c r="B650" s="63"/>
    </row>
    <row r="651" spans="2:2" x14ac:dyDescent="0.4">
      <c r="B651" s="63"/>
    </row>
    <row r="652" spans="2:2" x14ac:dyDescent="0.4">
      <c r="B652" s="63"/>
    </row>
    <row r="653" spans="2:2" x14ac:dyDescent="0.4">
      <c r="B653" s="63"/>
    </row>
    <row r="654" spans="2:2" x14ac:dyDescent="0.4">
      <c r="B654" s="63"/>
    </row>
    <row r="655" spans="2:2" x14ac:dyDescent="0.4">
      <c r="B655" s="63"/>
    </row>
    <row r="656" spans="2:2" x14ac:dyDescent="0.4">
      <c r="B656" s="63"/>
    </row>
    <row r="657" spans="2:2" x14ac:dyDescent="0.4">
      <c r="B657" s="63"/>
    </row>
    <row r="658" spans="2:2" x14ac:dyDescent="0.4">
      <c r="B658" s="63"/>
    </row>
    <row r="659" spans="2:2" x14ac:dyDescent="0.4">
      <c r="B659" s="63"/>
    </row>
    <row r="660" spans="2:2" x14ac:dyDescent="0.4">
      <c r="B660" s="63"/>
    </row>
    <row r="661" spans="2:2" x14ac:dyDescent="0.4">
      <c r="B661" s="63"/>
    </row>
    <row r="662" spans="2:2" x14ac:dyDescent="0.4">
      <c r="B662" s="63"/>
    </row>
    <row r="663" spans="2:2" x14ac:dyDescent="0.4">
      <c r="B663" s="63"/>
    </row>
    <row r="664" spans="2:2" x14ac:dyDescent="0.4">
      <c r="B664" s="63"/>
    </row>
    <row r="665" spans="2:2" x14ac:dyDescent="0.4">
      <c r="B665" s="63"/>
    </row>
    <row r="666" spans="2:2" x14ac:dyDescent="0.4">
      <c r="B666" s="63"/>
    </row>
    <row r="667" spans="2:2" x14ac:dyDescent="0.4">
      <c r="B667" s="63"/>
    </row>
    <row r="668" spans="2:2" x14ac:dyDescent="0.4">
      <c r="B668" s="63"/>
    </row>
    <row r="669" spans="2:2" x14ac:dyDescent="0.4">
      <c r="B669" s="63"/>
    </row>
    <row r="670" spans="2:2" x14ac:dyDescent="0.4">
      <c r="B670" s="63"/>
    </row>
    <row r="671" spans="2:2" x14ac:dyDescent="0.4">
      <c r="B671" s="63"/>
    </row>
    <row r="672" spans="2:2" x14ac:dyDescent="0.4">
      <c r="B672" s="63"/>
    </row>
    <row r="673" spans="2:2" x14ac:dyDescent="0.4">
      <c r="B673" s="63"/>
    </row>
    <row r="674" spans="2:2" x14ac:dyDescent="0.4">
      <c r="B674" s="63"/>
    </row>
    <row r="675" spans="2:2" x14ac:dyDescent="0.4">
      <c r="B675" s="63"/>
    </row>
    <row r="676" spans="2:2" x14ac:dyDescent="0.4">
      <c r="B676" s="63"/>
    </row>
    <row r="677" spans="2:2" x14ac:dyDescent="0.4">
      <c r="B677" s="63"/>
    </row>
    <row r="678" spans="2:2" x14ac:dyDescent="0.4">
      <c r="B678" s="63"/>
    </row>
    <row r="679" spans="2:2" x14ac:dyDescent="0.4">
      <c r="B679" s="63"/>
    </row>
    <row r="680" spans="2:2" x14ac:dyDescent="0.4">
      <c r="B680" s="63"/>
    </row>
    <row r="681" spans="2:2" x14ac:dyDescent="0.4">
      <c r="B681" s="63"/>
    </row>
    <row r="682" spans="2:2" x14ac:dyDescent="0.4">
      <c r="B682" s="63"/>
    </row>
    <row r="683" spans="2:2" x14ac:dyDescent="0.4">
      <c r="B683" s="63"/>
    </row>
    <row r="684" spans="2:2" x14ac:dyDescent="0.4">
      <c r="B684" s="63"/>
    </row>
    <row r="685" spans="2:2" x14ac:dyDescent="0.4">
      <c r="B685" s="63"/>
    </row>
    <row r="686" spans="2:2" x14ac:dyDescent="0.4">
      <c r="B686" s="63"/>
    </row>
    <row r="687" spans="2:2" x14ac:dyDescent="0.4">
      <c r="B687" s="63"/>
    </row>
    <row r="688" spans="2:2" x14ac:dyDescent="0.4">
      <c r="B688" s="63"/>
    </row>
    <row r="689" spans="2:2" x14ac:dyDescent="0.4">
      <c r="B689" s="63"/>
    </row>
    <row r="690" spans="2:2" x14ac:dyDescent="0.4">
      <c r="B690" s="63"/>
    </row>
    <row r="691" spans="2:2" x14ac:dyDescent="0.4">
      <c r="B691" s="63"/>
    </row>
    <row r="692" spans="2:2" x14ac:dyDescent="0.4">
      <c r="B692" s="63"/>
    </row>
    <row r="693" spans="2:2" x14ac:dyDescent="0.4">
      <c r="B693" s="63"/>
    </row>
    <row r="694" spans="2:2" x14ac:dyDescent="0.4">
      <c r="B694" s="63"/>
    </row>
    <row r="695" spans="2:2" x14ac:dyDescent="0.4">
      <c r="B695" s="63"/>
    </row>
    <row r="696" spans="2:2" x14ac:dyDescent="0.4">
      <c r="B696" s="63"/>
    </row>
    <row r="697" spans="2:2" x14ac:dyDescent="0.4">
      <c r="B697" s="63"/>
    </row>
    <row r="698" spans="2:2" x14ac:dyDescent="0.4">
      <c r="B698" s="63"/>
    </row>
    <row r="699" spans="2:2" x14ac:dyDescent="0.4">
      <c r="B699" s="63"/>
    </row>
    <row r="700" spans="2:2" x14ac:dyDescent="0.4">
      <c r="B700" s="63"/>
    </row>
    <row r="701" spans="2:2" x14ac:dyDescent="0.4">
      <c r="B701" s="63"/>
    </row>
    <row r="702" spans="2:2" x14ac:dyDescent="0.4">
      <c r="B702" s="63"/>
    </row>
    <row r="703" spans="2:2" x14ac:dyDescent="0.4">
      <c r="B703" s="63"/>
    </row>
    <row r="704" spans="2:2" x14ac:dyDescent="0.4">
      <c r="B704" s="63"/>
    </row>
    <row r="705" spans="2:2" x14ac:dyDescent="0.4">
      <c r="B705" s="63"/>
    </row>
    <row r="706" spans="2:2" x14ac:dyDescent="0.4">
      <c r="B706" s="63"/>
    </row>
    <row r="707" spans="2:2" x14ac:dyDescent="0.4">
      <c r="B707" s="63"/>
    </row>
    <row r="708" spans="2:2" x14ac:dyDescent="0.4">
      <c r="B708" s="63"/>
    </row>
    <row r="709" spans="2:2" x14ac:dyDescent="0.4">
      <c r="B709" s="63"/>
    </row>
    <row r="710" spans="2:2" x14ac:dyDescent="0.4">
      <c r="B710" s="63"/>
    </row>
    <row r="711" spans="2:2" x14ac:dyDescent="0.4">
      <c r="B711" s="63"/>
    </row>
    <row r="712" spans="2:2" x14ac:dyDescent="0.4">
      <c r="B712" s="63"/>
    </row>
    <row r="713" spans="2:2" x14ac:dyDescent="0.4">
      <c r="B713" s="63"/>
    </row>
    <row r="714" spans="2:2" x14ac:dyDescent="0.4">
      <c r="B714" s="63"/>
    </row>
    <row r="715" spans="2:2" x14ac:dyDescent="0.4">
      <c r="B715" s="63"/>
    </row>
    <row r="716" spans="2:2" x14ac:dyDescent="0.4">
      <c r="B716" s="63"/>
    </row>
    <row r="717" spans="2:2" x14ac:dyDescent="0.4">
      <c r="B717" s="63"/>
    </row>
    <row r="718" spans="2:2" x14ac:dyDescent="0.4">
      <c r="B718" s="63"/>
    </row>
    <row r="719" spans="2:2" x14ac:dyDescent="0.4">
      <c r="B719" s="63"/>
    </row>
    <row r="720" spans="2:2" x14ac:dyDescent="0.4">
      <c r="B720" s="63"/>
    </row>
    <row r="721" spans="2:2" x14ac:dyDescent="0.4">
      <c r="B721" s="63"/>
    </row>
    <row r="722" spans="2:2" x14ac:dyDescent="0.4">
      <c r="B722" s="63"/>
    </row>
    <row r="723" spans="2:2" x14ac:dyDescent="0.4">
      <c r="B723" s="63"/>
    </row>
    <row r="724" spans="2:2" x14ac:dyDescent="0.4">
      <c r="B724" s="63"/>
    </row>
    <row r="725" spans="2:2" x14ac:dyDescent="0.4">
      <c r="B725" s="63"/>
    </row>
    <row r="726" spans="2:2" x14ac:dyDescent="0.4">
      <c r="B726" s="63"/>
    </row>
    <row r="727" spans="2:2" x14ac:dyDescent="0.4">
      <c r="B727" s="63"/>
    </row>
    <row r="728" spans="2:2" x14ac:dyDescent="0.4">
      <c r="B728" s="63"/>
    </row>
    <row r="729" spans="2:2" x14ac:dyDescent="0.4">
      <c r="B729" s="63"/>
    </row>
    <row r="730" spans="2:2" x14ac:dyDescent="0.4">
      <c r="B730" s="63"/>
    </row>
    <row r="731" spans="2:2" x14ac:dyDescent="0.4">
      <c r="B731" s="63"/>
    </row>
    <row r="732" spans="2:2" x14ac:dyDescent="0.4">
      <c r="B732" s="63"/>
    </row>
    <row r="733" spans="2:2" x14ac:dyDescent="0.4">
      <c r="B733" s="63"/>
    </row>
    <row r="734" spans="2:2" x14ac:dyDescent="0.4">
      <c r="B734" s="63"/>
    </row>
    <row r="735" spans="2:2" x14ac:dyDescent="0.4">
      <c r="B735" s="63"/>
    </row>
    <row r="736" spans="2:2" x14ac:dyDescent="0.4">
      <c r="B736" s="63"/>
    </row>
    <row r="737" spans="2:2" x14ac:dyDescent="0.4">
      <c r="B737" s="63"/>
    </row>
    <row r="738" spans="2:2" x14ac:dyDescent="0.4">
      <c r="B738" s="63"/>
    </row>
    <row r="739" spans="2:2" x14ac:dyDescent="0.4">
      <c r="B739" s="63"/>
    </row>
    <row r="740" spans="2:2" x14ac:dyDescent="0.4">
      <c r="B740" s="63"/>
    </row>
    <row r="741" spans="2:2" x14ac:dyDescent="0.4">
      <c r="B741" s="63"/>
    </row>
    <row r="742" spans="2:2" x14ac:dyDescent="0.4">
      <c r="B742" s="63"/>
    </row>
    <row r="743" spans="2:2" x14ac:dyDescent="0.4">
      <c r="B743" s="63"/>
    </row>
    <row r="744" spans="2:2" x14ac:dyDescent="0.4">
      <c r="B744" s="63"/>
    </row>
    <row r="745" spans="2:2" x14ac:dyDescent="0.4">
      <c r="B745" s="63"/>
    </row>
    <row r="746" spans="2:2" x14ac:dyDescent="0.4">
      <c r="B746" s="63"/>
    </row>
    <row r="747" spans="2:2" x14ac:dyDescent="0.4">
      <c r="B747" s="63"/>
    </row>
    <row r="748" spans="2:2" x14ac:dyDescent="0.4">
      <c r="B748" s="63"/>
    </row>
    <row r="749" spans="2:2" x14ac:dyDescent="0.4">
      <c r="B749" s="63"/>
    </row>
    <row r="750" spans="2:2" x14ac:dyDescent="0.4">
      <c r="B750" s="63"/>
    </row>
    <row r="751" spans="2:2" x14ac:dyDescent="0.4">
      <c r="B751" s="63"/>
    </row>
    <row r="752" spans="2:2" x14ac:dyDescent="0.4">
      <c r="B752" s="63"/>
    </row>
    <row r="753" spans="2:2" x14ac:dyDescent="0.4">
      <c r="B753" s="63"/>
    </row>
    <row r="754" spans="2:2" x14ac:dyDescent="0.4">
      <c r="B754" s="63"/>
    </row>
    <row r="755" spans="2:2" x14ac:dyDescent="0.4">
      <c r="B755" s="63"/>
    </row>
    <row r="756" spans="2:2" x14ac:dyDescent="0.4">
      <c r="B756" s="63"/>
    </row>
    <row r="757" spans="2:2" x14ac:dyDescent="0.4">
      <c r="B757" s="63"/>
    </row>
    <row r="758" spans="2:2" x14ac:dyDescent="0.4">
      <c r="B758" s="63"/>
    </row>
    <row r="759" spans="2:2" x14ac:dyDescent="0.4">
      <c r="B759" s="63"/>
    </row>
    <row r="760" spans="2:2" x14ac:dyDescent="0.4">
      <c r="B760" s="63"/>
    </row>
    <row r="761" spans="2:2" x14ac:dyDescent="0.4">
      <c r="B761" s="63"/>
    </row>
    <row r="762" spans="2:2" x14ac:dyDescent="0.4">
      <c r="B762" s="63"/>
    </row>
    <row r="763" spans="2:2" x14ac:dyDescent="0.4">
      <c r="B763" s="63"/>
    </row>
    <row r="764" spans="2:2" x14ac:dyDescent="0.4">
      <c r="B764" s="63"/>
    </row>
    <row r="765" spans="2:2" x14ac:dyDescent="0.4">
      <c r="B765" s="63"/>
    </row>
    <row r="766" spans="2:2" x14ac:dyDescent="0.4">
      <c r="B766" s="63"/>
    </row>
    <row r="767" spans="2:2" x14ac:dyDescent="0.4">
      <c r="B767" s="63"/>
    </row>
    <row r="768" spans="2:2" x14ac:dyDescent="0.4">
      <c r="B768" s="63"/>
    </row>
    <row r="769" spans="2:2" x14ac:dyDescent="0.4">
      <c r="B769" s="63"/>
    </row>
    <row r="770" spans="2:2" x14ac:dyDescent="0.4">
      <c r="B770" s="63"/>
    </row>
    <row r="771" spans="2:2" x14ac:dyDescent="0.4">
      <c r="B771" s="63"/>
    </row>
    <row r="772" spans="2:2" x14ac:dyDescent="0.4">
      <c r="B772" s="63"/>
    </row>
    <row r="773" spans="2:2" x14ac:dyDescent="0.4">
      <c r="B773" s="63"/>
    </row>
    <row r="774" spans="2:2" x14ac:dyDescent="0.4">
      <c r="B774" s="63"/>
    </row>
    <row r="775" spans="2:2" x14ac:dyDescent="0.4">
      <c r="B775" s="63"/>
    </row>
    <row r="776" spans="2:2" x14ac:dyDescent="0.4">
      <c r="B776" s="63"/>
    </row>
    <row r="777" spans="2:2" x14ac:dyDescent="0.4">
      <c r="B777" s="63"/>
    </row>
    <row r="778" spans="2:2" x14ac:dyDescent="0.4">
      <c r="B778" s="63"/>
    </row>
    <row r="779" spans="2:2" x14ac:dyDescent="0.4">
      <c r="B779" s="63"/>
    </row>
    <row r="780" spans="2:2" x14ac:dyDescent="0.4">
      <c r="B780" s="63"/>
    </row>
    <row r="781" spans="2:2" x14ac:dyDescent="0.4">
      <c r="B781" s="63"/>
    </row>
    <row r="782" spans="2:2" x14ac:dyDescent="0.4">
      <c r="B782" s="63"/>
    </row>
    <row r="783" spans="2:2" x14ac:dyDescent="0.4">
      <c r="B783" s="63"/>
    </row>
    <row r="784" spans="2:2" x14ac:dyDescent="0.4">
      <c r="B784" s="63"/>
    </row>
    <row r="785" spans="2:2" x14ac:dyDescent="0.4">
      <c r="B785" s="63"/>
    </row>
    <row r="786" spans="2:2" x14ac:dyDescent="0.4">
      <c r="B786" s="63"/>
    </row>
    <row r="787" spans="2:2" x14ac:dyDescent="0.4">
      <c r="B787" s="63"/>
    </row>
    <row r="788" spans="2:2" x14ac:dyDescent="0.4">
      <c r="B788" s="63"/>
    </row>
    <row r="789" spans="2:2" x14ac:dyDescent="0.4">
      <c r="B789" s="63"/>
    </row>
    <row r="790" spans="2:2" x14ac:dyDescent="0.4">
      <c r="B790" s="63"/>
    </row>
    <row r="791" spans="2:2" x14ac:dyDescent="0.4">
      <c r="B791" s="63"/>
    </row>
    <row r="792" spans="2:2" x14ac:dyDescent="0.4">
      <c r="B792" s="63"/>
    </row>
    <row r="793" spans="2:2" x14ac:dyDescent="0.4">
      <c r="B793" s="63"/>
    </row>
    <row r="794" spans="2:2" x14ac:dyDescent="0.4">
      <c r="B794" s="63"/>
    </row>
    <row r="795" spans="2:2" x14ac:dyDescent="0.4">
      <c r="B795" s="63"/>
    </row>
    <row r="796" spans="2:2" x14ac:dyDescent="0.4">
      <c r="B796" s="63"/>
    </row>
    <row r="797" spans="2:2" x14ac:dyDescent="0.4">
      <c r="B797" s="63"/>
    </row>
    <row r="798" spans="2:2" x14ac:dyDescent="0.4">
      <c r="B798" s="63"/>
    </row>
    <row r="799" spans="2:2" x14ac:dyDescent="0.4">
      <c r="B799" s="63"/>
    </row>
    <row r="800" spans="2:2" x14ac:dyDescent="0.4">
      <c r="B800" s="63"/>
    </row>
    <row r="801" spans="2:2" x14ac:dyDescent="0.4">
      <c r="B801" s="63"/>
    </row>
    <row r="802" spans="2:2" x14ac:dyDescent="0.4">
      <c r="B802" s="63"/>
    </row>
    <row r="803" spans="2:2" x14ac:dyDescent="0.4">
      <c r="B803" s="63"/>
    </row>
    <row r="804" spans="2:2" x14ac:dyDescent="0.4">
      <c r="B804" s="63"/>
    </row>
    <row r="805" spans="2:2" x14ac:dyDescent="0.4">
      <c r="B805" s="63"/>
    </row>
    <row r="806" spans="2:2" x14ac:dyDescent="0.4">
      <c r="B806" s="63"/>
    </row>
    <row r="807" spans="2:2" x14ac:dyDescent="0.4">
      <c r="B807" s="63"/>
    </row>
    <row r="808" spans="2:2" x14ac:dyDescent="0.4">
      <c r="B808" s="63"/>
    </row>
    <row r="809" spans="2:2" x14ac:dyDescent="0.4">
      <c r="B809" s="63"/>
    </row>
    <row r="810" spans="2:2" x14ac:dyDescent="0.4">
      <c r="B810" s="63"/>
    </row>
    <row r="811" spans="2:2" x14ac:dyDescent="0.4">
      <c r="B811" s="63"/>
    </row>
    <row r="812" spans="2:2" x14ac:dyDescent="0.4">
      <c r="B812" s="63"/>
    </row>
    <row r="813" spans="2:2" x14ac:dyDescent="0.4">
      <c r="B813" s="63"/>
    </row>
    <row r="814" spans="2:2" x14ac:dyDescent="0.4">
      <c r="B814" s="63"/>
    </row>
    <row r="815" spans="2:2" x14ac:dyDescent="0.4">
      <c r="B815" s="63"/>
    </row>
    <row r="816" spans="2:2" x14ac:dyDescent="0.4">
      <c r="B816" s="63"/>
    </row>
    <row r="817" spans="2:2" x14ac:dyDescent="0.4">
      <c r="B817" s="63"/>
    </row>
    <row r="818" spans="2:2" x14ac:dyDescent="0.4">
      <c r="B818" s="63"/>
    </row>
    <row r="819" spans="2:2" x14ac:dyDescent="0.4">
      <c r="B819" s="63"/>
    </row>
    <row r="820" spans="2:2" x14ac:dyDescent="0.4">
      <c r="B820" s="63"/>
    </row>
    <row r="821" spans="2:2" x14ac:dyDescent="0.4">
      <c r="B821" s="63"/>
    </row>
    <row r="822" spans="2:2" x14ac:dyDescent="0.4">
      <c r="B822" s="63"/>
    </row>
    <row r="823" spans="2:2" x14ac:dyDescent="0.4">
      <c r="B823" s="63"/>
    </row>
    <row r="824" spans="2:2" x14ac:dyDescent="0.4">
      <c r="B824" s="63"/>
    </row>
    <row r="825" spans="2:2" x14ac:dyDescent="0.4">
      <c r="B825" s="63"/>
    </row>
    <row r="826" spans="2:2" x14ac:dyDescent="0.4">
      <c r="B826" s="63"/>
    </row>
    <row r="827" spans="2:2" x14ac:dyDescent="0.4">
      <c r="B827" s="63"/>
    </row>
    <row r="828" spans="2:2" x14ac:dyDescent="0.4">
      <c r="B828" s="63"/>
    </row>
    <row r="829" spans="2:2" x14ac:dyDescent="0.4">
      <c r="B829" s="63"/>
    </row>
    <row r="830" spans="2:2" x14ac:dyDescent="0.4">
      <c r="B830" s="63"/>
    </row>
    <row r="831" spans="2:2" x14ac:dyDescent="0.4">
      <c r="B831" s="63"/>
    </row>
  </sheetData>
  <mergeCells count="1">
    <mergeCell ref="K3:M3"/>
  </mergeCells>
  <phoneticPr fontId="13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List Box 1">
              <controlPr defaultSize="0" autoLine="0" autoPict="0">
                <anchor moveWithCells="1">
                  <from>
                    <xdr:col>7</xdr:col>
                    <xdr:colOff>57150</xdr:colOff>
                    <xdr:row>19</xdr:row>
                    <xdr:rowOff>190500</xdr:rowOff>
                  </from>
                  <to>
                    <xdr:col>8</xdr:col>
                    <xdr:colOff>376238</xdr:colOff>
                    <xdr:row>23</xdr:row>
                    <xdr:rowOff>147638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List Box 3">
              <controlPr defaultSize="0" autoLine="0" autoPict="0">
                <anchor moveWithCells="1">
                  <from>
                    <xdr:col>6</xdr:col>
                    <xdr:colOff>676275</xdr:colOff>
                    <xdr:row>13</xdr:row>
                    <xdr:rowOff>90488</xdr:rowOff>
                  </from>
                  <to>
                    <xdr:col>8</xdr:col>
                    <xdr:colOff>338138</xdr:colOff>
                    <xdr:row>16</xdr:row>
                    <xdr:rowOff>100013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Normal="100" workbookViewId="0">
      <selection activeCell="B5" sqref="B5"/>
    </sheetView>
  </sheetViews>
  <sheetFormatPr defaultColWidth="9" defaultRowHeight="13.5" x14ac:dyDescent="0.3"/>
  <cols>
    <col min="1" max="1" width="19.375" style="41" customWidth="1"/>
    <col min="2" max="2" width="9.25" style="41" customWidth="1"/>
    <col min="3" max="4" width="11.25" style="41" customWidth="1"/>
    <col min="5" max="5" width="11.625" style="41" customWidth="1"/>
    <col min="6" max="6" width="7.625" style="41" customWidth="1"/>
    <col min="7" max="7" width="9" style="41"/>
    <col min="8" max="8" width="2.75" style="41" customWidth="1"/>
    <col min="9" max="16384" width="9" style="41"/>
  </cols>
  <sheetData>
    <row r="1" spans="1:7" ht="18" customHeight="1" x14ac:dyDescent="0.3">
      <c r="A1" s="42" t="s">
        <v>453</v>
      </c>
      <c r="B1" s="43">
        <v>6</v>
      </c>
      <c r="E1" s="44" t="s">
        <v>454</v>
      </c>
      <c r="F1" s="45" t="s">
        <v>455</v>
      </c>
      <c r="G1" s="45" t="s">
        <v>456</v>
      </c>
    </row>
    <row r="2" spans="1:7" ht="18" customHeight="1" x14ac:dyDescent="0.3">
      <c r="A2" s="42" t="s">
        <v>457</v>
      </c>
      <c r="B2" s="43">
        <f ca="1">SUMXMY2(G2:G11,F2:F11)/COUNT(G2:G11)</f>
        <v>6.9791666666666625</v>
      </c>
      <c r="D2" s="41">
        <v>1</v>
      </c>
      <c r="E2" s="46">
        <v>44044</v>
      </c>
      <c r="F2" s="47">
        <v>25</v>
      </c>
      <c r="G2" s="48" t="str">
        <f ca="1">IF(D2&gt;$B$1,AVERAGE(OFFSET(D2,-$B$1,2,$B$1,1)),"")</f>
        <v/>
      </c>
    </row>
    <row r="3" spans="1:7" ht="18" customHeight="1" x14ac:dyDescent="0.3">
      <c r="A3" s="49"/>
      <c r="B3" s="49"/>
      <c r="D3" s="41">
        <v>2</v>
      </c>
      <c r="E3" s="50">
        <v>44075</v>
      </c>
      <c r="F3" s="47">
        <v>20</v>
      </c>
      <c r="G3" s="48" t="str">
        <f t="shared" ref="G3:G12" ca="1" si="0">IF(D3&gt;$B$1,AVERAGE(OFFSET(D3,-$B$1,2,$B$1,1)),"")</f>
        <v/>
      </c>
    </row>
    <row r="4" spans="1:7" ht="18" customHeight="1" x14ac:dyDescent="0.4">
      <c r="A4" s="42" t="s">
        <v>458</v>
      </c>
      <c r="B4" s="51">
        <f>_xlfn.XLOOKUP(MIN(C8:C13),C8:C13,B8:B13)</f>
        <v>6</v>
      </c>
      <c r="D4" s="41">
        <v>3</v>
      </c>
      <c r="E4" s="50">
        <v>44105</v>
      </c>
      <c r="F4" s="47">
        <v>22</v>
      </c>
      <c r="G4" s="48" t="str">
        <f t="shared" ca="1" si="0"/>
        <v/>
      </c>
    </row>
    <row r="5" spans="1:7" ht="18" customHeight="1" x14ac:dyDescent="0.3">
      <c r="A5" s="42" t="s">
        <v>459</v>
      </c>
      <c r="B5" s="52">
        <v>19.666666666666668</v>
      </c>
      <c r="D5" s="41">
        <v>4</v>
      </c>
      <c r="E5" s="50">
        <v>44136</v>
      </c>
      <c r="F5" s="47">
        <v>19</v>
      </c>
      <c r="G5" s="48" t="str">
        <f t="shared" ca="1" si="0"/>
        <v/>
      </c>
    </row>
    <row r="6" spans="1:7" ht="18" customHeight="1" x14ac:dyDescent="0.3">
      <c r="D6" s="41">
        <v>5</v>
      </c>
      <c r="E6" s="50">
        <v>44166</v>
      </c>
      <c r="F6" s="47">
        <v>16</v>
      </c>
      <c r="G6" s="48" t="str">
        <f t="shared" ca="1" si="0"/>
        <v/>
      </c>
    </row>
    <row r="7" spans="1:7" ht="18" customHeight="1" x14ac:dyDescent="0.3">
      <c r="C7" s="41">
        <f ca="1">B2</f>
        <v>6.9791666666666625</v>
      </c>
      <c r="D7" s="41">
        <v>6</v>
      </c>
      <c r="E7" s="50">
        <v>44197</v>
      </c>
      <c r="F7" s="47">
        <v>26</v>
      </c>
      <c r="G7" s="48" t="str">
        <f t="shared" ca="1" si="0"/>
        <v/>
      </c>
    </row>
    <row r="8" spans="1:7" ht="18" customHeight="1" x14ac:dyDescent="0.3">
      <c r="B8" s="41">
        <v>3</v>
      </c>
      <c r="C8" s="41">
        <f t="dataTable" ref="C8:C13" dt2D="0" dtr="0" r1="B1" ca="1"/>
        <v>16.87301587301587</v>
      </c>
      <c r="D8" s="41">
        <v>7</v>
      </c>
      <c r="E8" s="50">
        <v>44228</v>
      </c>
      <c r="F8" s="47">
        <v>19</v>
      </c>
      <c r="G8" s="48">
        <f t="shared" ca="1" si="0"/>
        <v>21.333333333333332</v>
      </c>
    </row>
    <row r="9" spans="1:7" ht="18" customHeight="1" x14ac:dyDescent="0.3">
      <c r="B9" s="41">
        <v>4</v>
      </c>
      <c r="C9" s="41">
        <v>15.739583333333334</v>
      </c>
      <c r="D9" s="41">
        <v>8</v>
      </c>
      <c r="E9" s="50">
        <v>44256</v>
      </c>
      <c r="F9" s="47">
        <v>18</v>
      </c>
      <c r="G9" s="48">
        <f t="shared" ca="1" si="0"/>
        <v>20.333333333333332</v>
      </c>
    </row>
    <row r="10" spans="1:7" ht="18" customHeight="1" x14ac:dyDescent="0.3">
      <c r="B10" s="41">
        <v>5</v>
      </c>
      <c r="C10" s="41">
        <v>10.856000000000005</v>
      </c>
      <c r="D10" s="41">
        <v>9</v>
      </c>
      <c r="E10" s="50">
        <v>44287</v>
      </c>
      <c r="F10" s="47">
        <v>17</v>
      </c>
      <c r="G10" s="48">
        <f t="shared" ca="1" si="0"/>
        <v>20</v>
      </c>
    </row>
    <row r="11" spans="1:7" ht="18" customHeight="1" x14ac:dyDescent="0.3">
      <c r="B11" s="41">
        <v>6</v>
      </c>
      <c r="C11" s="41">
        <v>6.9791666666666625</v>
      </c>
      <c r="D11" s="41">
        <v>10</v>
      </c>
      <c r="E11" s="53">
        <v>44317</v>
      </c>
      <c r="F11" s="54">
        <v>22</v>
      </c>
      <c r="G11" s="48">
        <f t="shared" ca="1" si="0"/>
        <v>19.166666666666668</v>
      </c>
    </row>
    <row r="12" spans="1:7" ht="18" customHeight="1" x14ac:dyDescent="0.3">
      <c r="B12" s="41">
        <v>7</v>
      </c>
      <c r="C12" s="41">
        <v>7.9659863945578211</v>
      </c>
      <c r="D12" s="41">
        <v>11</v>
      </c>
      <c r="E12" s="53">
        <v>44348</v>
      </c>
      <c r="F12" s="55"/>
      <c r="G12" s="48">
        <f t="shared" ca="1" si="0"/>
        <v>19.666666666666668</v>
      </c>
    </row>
    <row r="13" spans="1:7" x14ac:dyDescent="0.3">
      <c r="B13" s="41">
        <v>8</v>
      </c>
      <c r="C13" s="41">
        <v>9.390625</v>
      </c>
    </row>
  </sheetData>
  <phoneticPr fontId="13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workbookViewId="0">
      <selection activeCell="G9" sqref="G9"/>
    </sheetView>
  </sheetViews>
  <sheetFormatPr defaultColWidth="8.625" defaultRowHeight="20.100000000000001" customHeight="1" x14ac:dyDescent="0.4"/>
  <cols>
    <col min="1" max="1" width="13.875" style="28" customWidth="1"/>
    <col min="2" max="2" width="14.5" style="29" customWidth="1"/>
    <col min="3" max="4" width="14.25" style="30" customWidth="1"/>
    <col min="5" max="5" width="4" style="30" customWidth="1"/>
    <col min="6" max="6" width="24.125" style="30" customWidth="1"/>
    <col min="7" max="7" width="13.5" style="30" customWidth="1"/>
    <col min="8" max="16384" width="8.625" style="30"/>
  </cols>
  <sheetData>
    <row r="1" spans="1:9" ht="20.100000000000001" customHeight="1" x14ac:dyDescent="0.4">
      <c r="A1" s="31" t="s">
        <v>460</v>
      </c>
      <c r="B1" s="32" t="s">
        <v>461</v>
      </c>
      <c r="C1" s="35" t="s">
        <v>509</v>
      </c>
    </row>
    <row r="2" spans="1:9" ht="20.100000000000001" customHeight="1" x14ac:dyDescent="0.4">
      <c r="A2" s="33">
        <v>1</v>
      </c>
      <c r="B2" s="34">
        <v>3</v>
      </c>
      <c r="C2" s="35">
        <f>LN(B2)</f>
        <v>1.0986122886681098</v>
      </c>
      <c r="D2" s="35">
        <f>EXP(LN($G$3)+$G$4*A2)</f>
        <v>5.7443736543524517</v>
      </c>
    </row>
    <row r="3" spans="1:9" ht="20.100000000000001" customHeight="1" x14ac:dyDescent="0.4">
      <c r="A3" s="33">
        <v>2</v>
      </c>
      <c r="B3" s="34">
        <v>11</v>
      </c>
      <c r="C3" s="35">
        <f t="shared" ref="C3:C13" si="0">LN(B3)</f>
        <v>2.3978952727983707</v>
      </c>
      <c r="D3" s="35">
        <f t="shared" ref="D3:D13" si="1">EXP(LN($G$3)+$G$4*A3)</f>
        <v>7.7147958324725945</v>
      </c>
      <c r="F3" s="36" t="s">
        <v>462</v>
      </c>
      <c r="G3" s="37">
        <f>EXP(B15)</f>
        <v>4.2772134736121368</v>
      </c>
    </row>
    <row r="4" spans="1:9" ht="20.100000000000001" customHeight="1" x14ac:dyDescent="0.4">
      <c r="A4" s="33">
        <v>3</v>
      </c>
      <c r="B4" s="34">
        <v>16</v>
      </c>
      <c r="C4" s="35">
        <f t="shared" si="0"/>
        <v>2.7725887222397811</v>
      </c>
      <c r="D4" s="35">
        <f t="shared" si="1"/>
        <v>10.361107810533927</v>
      </c>
      <c r="F4" s="36" t="s">
        <v>463</v>
      </c>
      <c r="G4" s="37">
        <f>A15</f>
        <v>0.29491914087895094</v>
      </c>
    </row>
    <row r="5" spans="1:9" ht="20.100000000000001" customHeight="1" x14ac:dyDescent="0.4">
      <c r="A5" s="33">
        <v>4</v>
      </c>
      <c r="B5" s="34">
        <v>14</v>
      </c>
      <c r="C5" s="35">
        <f t="shared" si="0"/>
        <v>2.6390573296152584</v>
      </c>
      <c r="D5" s="35">
        <f t="shared" si="1"/>
        <v>13.91515179308389</v>
      </c>
      <c r="F5" s="36" t="s">
        <v>464</v>
      </c>
      <c r="G5" s="37">
        <f>RSQ(D2:D13,B2:B13)</f>
        <v>0.9854766237851732</v>
      </c>
      <c r="I5" s="30" t="s">
        <v>508</v>
      </c>
    </row>
    <row r="6" spans="1:9" ht="20.100000000000001" customHeight="1" x14ac:dyDescent="0.4">
      <c r="A6" s="33">
        <v>5</v>
      </c>
      <c r="B6" s="34">
        <v>27</v>
      </c>
      <c r="C6" s="35">
        <f t="shared" si="0"/>
        <v>3.2958368660043291</v>
      </c>
      <c r="D6" s="35">
        <f t="shared" si="1"/>
        <v>18.68829597812935</v>
      </c>
      <c r="F6" s="38"/>
    </row>
    <row r="7" spans="1:9" ht="20.100000000000001" customHeight="1" x14ac:dyDescent="0.4">
      <c r="A7" s="33">
        <v>6</v>
      </c>
      <c r="B7" s="34">
        <v>19</v>
      </c>
      <c r="C7" s="35">
        <f t="shared" si="0"/>
        <v>2.9444389791664403</v>
      </c>
      <c r="D7" s="35">
        <f t="shared" si="1"/>
        <v>25.098713385200103</v>
      </c>
    </row>
    <row r="8" spans="1:9" ht="20.100000000000001" customHeight="1" x14ac:dyDescent="0.4">
      <c r="A8" s="33">
        <v>7</v>
      </c>
      <c r="B8" s="34">
        <v>25</v>
      </c>
      <c r="C8" s="35">
        <f t="shared" si="0"/>
        <v>3.2188758248682006</v>
      </c>
      <c r="D8" s="35">
        <f t="shared" si="1"/>
        <v>33.70801780588441</v>
      </c>
      <c r="F8" s="39" t="s">
        <v>465</v>
      </c>
      <c r="G8" s="40">
        <f>EXP(LN(G3)+G4*13)</f>
        <v>197.79884331530408</v>
      </c>
    </row>
    <row r="9" spans="1:9" ht="20.100000000000001" customHeight="1" x14ac:dyDescent="0.4">
      <c r="A9" s="33">
        <v>8</v>
      </c>
      <c r="B9" s="34">
        <v>50</v>
      </c>
      <c r="C9" s="35">
        <f t="shared" si="0"/>
        <v>3.912023005428146</v>
      </c>
      <c r="D9" s="35">
        <f t="shared" si="1"/>
        <v>45.270466536018532</v>
      </c>
    </row>
    <row r="10" spans="1:9" ht="20.100000000000001" customHeight="1" x14ac:dyDescent="0.4">
      <c r="A10" s="33">
        <v>9</v>
      </c>
      <c r="B10" s="34">
        <v>57</v>
      </c>
      <c r="C10" s="35">
        <f t="shared" si="0"/>
        <v>4.0430512678345503</v>
      </c>
      <c r="D10" s="35">
        <f t="shared" si="1"/>
        <v>60.799040518811083</v>
      </c>
    </row>
    <row r="11" spans="1:9" ht="20.100000000000001" customHeight="1" x14ac:dyDescent="0.4">
      <c r="A11" s="33">
        <v>10</v>
      </c>
      <c r="B11" s="34">
        <v>80</v>
      </c>
      <c r="C11" s="35">
        <f t="shared" si="0"/>
        <v>4.3820266346738812</v>
      </c>
      <c r="D11" s="35">
        <f t="shared" si="1"/>
        <v>81.654191150580942</v>
      </c>
    </row>
    <row r="12" spans="1:9" ht="20.100000000000001" customHeight="1" x14ac:dyDescent="0.4">
      <c r="A12" s="33">
        <v>11</v>
      </c>
      <c r="B12" s="34">
        <v>117</v>
      </c>
      <c r="C12" s="35">
        <f t="shared" si="0"/>
        <v>4.7621739347977563</v>
      </c>
      <c r="D12" s="35">
        <f t="shared" si="1"/>
        <v>109.66302881692229</v>
      </c>
    </row>
    <row r="13" spans="1:9" ht="20.100000000000001" customHeight="1" x14ac:dyDescent="0.4">
      <c r="A13" s="33">
        <v>12</v>
      </c>
      <c r="B13" s="34">
        <v>145</v>
      </c>
      <c r="C13" s="35">
        <f t="shared" si="0"/>
        <v>4.9767337424205742</v>
      </c>
      <c r="D13" s="35">
        <f t="shared" si="1"/>
        <v>147.27939521345166</v>
      </c>
    </row>
    <row r="14" spans="1:9" ht="20.100000000000001" customHeight="1" x14ac:dyDescent="0.4">
      <c r="A14" s="35"/>
      <c r="B14" s="35"/>
      <c r="C14" s="35"/>
    </row>
    <row r="15" spans="1:9" ht="20.100000000000001" customHeight="1" x14ac:dyDescent="0.4">
      <c r="A15" s="35">
        <f t="array" ref="A15:B15">LINEST(C2:C13,A2:A13)</f>
        <v>0.29491914087895094</v>
      </c>
      <c r="B15" s="35">
        <v>1.4533017399964356</v>
      </c>
      <c r="C15" s="35"/>
    </row>
    <row r="16" spans="1:9" ht="20.100000000000001" customHeight="1" x14ac:dyDescent="0.4">
      <c r="A16" s="35"/>
      <c r="B16" s="35"/>
      <c r="C16" s="35"/>
    </row>
    <row r="17" spans="1:3" ht="20.100000000000001" customHeight="1" x14ac:dyDescent="0.4">
      <c r="A17" s="68" t="s">
        <v>510</v>
      </c>
      <c r="B17" s="35">
        <f>INTERCEPT(C2:C13,A2:A13)</f>
        <v>1.4533017399964361</v>
      </c>
      <c r="C17" s="35"/>
    </row>
    <row r="18" spans="1:3" ht="20.100000000000001" customHeight="1" x14ac:dyDescent="0.4">
      <c r="A18" s="68" t="s">
        <v>511</v>
      </c>
      <c r="B18" s="35">
        <f>SLOPE(C2:C13,A2:A13)</f>
        <v>0.29491914087895088</v>
      </c>
      <c r="C18" s="35"/>
    </row>
    <row r="19" spans="1:3" ht="20.100000000000001" customHeight="1" x14ac:dyDescent="0.4">
      <c r="A19" s="35"/>
      <c r="B19" s="35"/>
      <c r="C19" s="35"/>
    </row>
    <row r="20" spans="1:3" ht="20.100000000000001" customHeight="1" x14ac:dyDescent="0.4">
      <c r="A20" s="35"/>
      <c r="B20" s="35"/>
      <c r="C20" s="35"/>
    </row>
    <row r="21" spans="1:3" ht="20.100000000000001" customHeight="1" x14ac:dyDescent="0.4">
      <c r="A21" s="35"/>
      <c r="B21" s="35"/>
      <c r="C21" s="35"/>
    </row>
    <row r="22" spans="1:3" ht="20.100000000000001" customHeight="1" x14ac:dyDescent="0.4">
      <c r="C22" s="35"/>
    </row>
  </sheetData>
  <phoneticPr fontId="13" type="noConversion"/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39"/>
  <sheetViews>
    <sheetView zoomScale="90" zoomScaleNormal="90" workbookViewId="0">
      <selection activeCell="I37" sqref="I37"/>
    </sheetView>
  </sheetViews>
  <sheetFormatPr defaultColWidth="9" defaultRowHeight="13.5" x14ac:dyDescent="0.4"/>
  <cols>
    <col min="1" max="1" width="3.25" style="19" customWidth="1"/>
    <col min="2" max="2" width="14.125" style="19" customWidth="1"/>
    <col min="3" max="3" width="6.5" style="19" customWidth="1"/>
    <col min="4" max="4" width="3.375" style="19" customWidth="1"/>
    <col min="5" max="16384" width="9" style="19"/>
  </cols>
  <sheetData>
    <row r="1" spans="2:3" s="18" customFormat="1" ht="15.75" x14ac:dyDescent="0.4">
      <c r="B1" s="20"/>
      <c r="C1" s="20"/>
    </row>
    <row r="2" spans="2:3" s="18" customFormat="1" ht="15.75" x14ac:dyDescent="0.4">
      <c r="B2" s="21" t="s">
        <v>466</v>
      </c>
      <c r="C2" s="22">
        <v>24000</v>
      </c>
    </row>
    <row r="3" spans="2:3" s="18" customFormat="1" ht="15.75" x14ac:dyDescent="0.4">
      <c r="B3" s="21" t="s">
        <v>467</v>
      </c>
      <c r="C3" s="22">
        <v>24</v>
      </c>
    </row>
    <row r="4" spans="2:3" s="18" customFormat="1" ht="15.75" x14ac:dyDescent="0.4">
      <c r="B4" s="21" t="s">
        <v>468</v>
      </c>
      <c r="C4" s="22">
        <v>9</v>
      </c>
    </row>
    <row r="5" spans="2:3" s="18" customFormat="1" ht="15.75" x14ac:dyDescent="0.4">
      <c r="B5" s="20"/>
      <c r="C5" s="20"/>
    </row>
    <row r="6" spans="2:3" s="18" customFormat="1" ht="15.75" x14ac:dyDescent="0.4">
      <c r="B6" s="21" t="s">
        <v>469</v>
      </c>
      <c r="C6" s="23">
        <v>3200</v>
      </c>
    </row>
    <row r="7" spans="2:3" s="18" customFormat="1" ht="15.75" x14ac:dyDescent="0.4">
      <c r="B7" s="20"/>
      <c r="C7" s="20"/>
    </row>
    <row r="8" spans="2:3" s="18" customFormat="1" ht="15.75" x14ac:dyDescent="0.4">
      <c r="B8" s="21" t="s">
        <v>470</v>
      </c>
      <c r="C8" s="24">
        <f>C3*C6</f>
        <v>76800</v>
      </c>
    </row>
    <row r="9" spans="2:3" s="18" customFormat="1" ht="15.75" x14ac:dyDescent="0.4">
      <c r="B9" s="21" t="s">
        <v>471</v>
      </c>
      <c r="C9" s="24">
        <f>C4*C6</f>
        <v>28800</v>
      </c>
    </row>
    <row r="10" spans="2:3" s="18" customFormat="1" ht="15.75" x14ac:dyDescent="0.4">
      <c r="B10" s="21" t="s">
        <v>472</v>
      </c>
      <c r="C10" s="24">
        <f>C8-C2-C9</f>
        <v>24000</v>
      </c>
    </row>
    <row r="11" spans="2:3" s="18" customFormat="1" ht="15.75" x14ac:dyDescent="0.4"/>
    <row r="12" spans="2:3" s="18" customFormat="1" ht="15.75" x14ac:dyDescent="0.4">
      <c r="B12" s="25"/>
    </row>
    <row r="13" spans="2:3" s="18" customFormat="1" ht="15.75" x14ac:dyDescent="0.4">
      <c r="B13" s="25"/>
    </row>
    <row r="14" spans="2:3" s="18" customFormat="1" ht="15.75" x14ac:dyDescent="0.4">
      <c r="B14" s="25"/>
    </row>
    <row r="15" spans="2:3" s="18" customFormat="1" ht="15.75" x14ac:dyDescent="0.4">
      <c r="B15" s="25"/>
    </row>
    <row r="16" spans="2:3" s="18" customFormat="1" ht="15.75" x14ac:dyDescent="0.4">
      <c r="B16" s="25"/>
    </row>
    <row r="17" spans="2:2" s="18" customFormat="1" ht="15.75" x14ac:dyDescent="0.4"/>
    <row r="18" spans="2:2" s="18" customFormat="1" ht="15.75" x14ac:dyDescent="0.4"/>
    <row r="19" spans="2:2" s="18" customFormat="1" ht="15.75" x14ac:dyDescent="0.4"/>
    <row r="20" spans="2:2" s="18" customFormat="1" ht="15.75" x14ac:dyDescent="0.4"/>
    <row r="21" spans="2:2" s="18" customFormat="1" ht="15.75" x14ac:dyDescent="0.4">
      <c r="B21" s="25"/>
    </row>
    <row r="22" spans="2:2" s="18" customFormat="1" ht="15.75" x14ac:dyDescent="0.4">
      <c r="B22" s="25"/>
    </row>
    <row r="23" spans="2:2" s="18" customFormat="1" ht="15.75" x14ac:dyDescent="0.4">
      <c r="B23" s="25"/>
    </row>
    <row r="24" spans="2:2" s="18" customFormat="1" ht="15.75" x14ac:dyDescent="0.4">
      <c r="B24" s="25"/>
    </row>
    <row r="27" spans="2:2" x14ac:dyDescent="0.4">
      <c r="B27" s="26"/>
    </row>
    <row r="29" spans="2:2" x14ac:dyDescent="0.4">
      <c r="B29" s="26"/>
    </row>
    <row r="31" spans="2:2" x14ac:dyDescent="0.4">
      <c r="B31" s="26"/>
    </row>
    <row r="33" spans="2:2" x14ac:dyDescent="0.4">
      <c r="B33" s="27"/>
    </row>
    <row r="35" spans="2:2" x14ac:dyDescent="0.4">
      <c r="B35" s="26"/>
    </row>
    <row r="37" spans="2:2" x14ac:dyDescent="0.4">
      <c r="B37" s="26"/>
    </row>
    <row r="39" spans="2:2" x14ac:dyDescent="0.4">
      <c r="B39" s="26"/>
    </row>
  </sheetData>
  <phoneticPr fontId="1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14"/>
  <sheetViews>
    <sheetView workbookViewId="0">
      <selection activeCell="B27" sqref="B27"/>
    </sheetView>
  </sheetViews>
  <sheetFormatPr defaultColWidth="9" defaultRowHeight="13.5" x14ac:dyDescent="0.4"/>
  <cols>
    <col min="1" max="1" width="3.375" style="11" customWidth="1"/>
    <col min="2" max="2" width="30.5" style="11" customWidth="1"/>
    <col min="3" max="3" width="14.875" style="11" customWidth="1"/>
    <col min="4" max="4" width="13.875" style="11" customWidth="1"/>
    <col min="5" max="252" width="9" style="11"/>
    <col min="253" max="253" width="24.75" style="11" customWidth="1"/>
    <col min="254" max="255" width="13.875" style="11" customWidth="1"/>
    <col min="256" max="256" width="5" style="11" customWidth="1"/>
    <col min="257" max="257" width="12.75" style="11" customWidth="1"/>
    <col min="258" max="260" width="13.875" style="11" customWidth="1"/>
    <col min="261" max="508" width="9" style="11"/>
    <col min="509" max="509" width="24.75" style="11" customWidth="1"/>
    <col min="510" max="511" width="13.875" style="11" customWidth="1"/>
    <col min="512" max="512" width="5" style="11" customWidth="1"/>
    <col min="513" max="513" width="12.75" style="11" customWidth="1"/>
    <col min="514" max="516" width="13.875" style="11" customWidth="1"/>
    <col min="517" max="764" width="9" style="11"/>
    <col min="765" max="765" width="24.75" style="11" customWidth="1"/>
    <col min="766" max="767" width="13.875" style="11" customWidth="1"/>
    <col min="768" max="768" width="5" style="11" customWidth="1"/>
    <col min="769" max="769" width="12.75" style="11" customWidth="1"/>
    <col min="770" max="772" width="13.875" style="11" customWidth="1"/>
    <col min="773" max="1020" width="9" style="11"/>
    <col min="1021" max="1021" width="24.75" style="11" customWidth="1"/>
    <col min="1022" max="1023" width="13.875" style="11" customWidth="1"/>
    <col min="1024" max="1024" width="5" style="11" customWidth="1"/>
    <col min="1025" max="1025" width="12.75" style="11" customWidth="1"/>
    <col min="1026" max="1028" width="13.875" style="11" customWidth="1"/>
    <col min="1029" max="1276" width="9" style="11"/>
    <col min="1277" max="1277" width="24.75" style="11" customWidth="1"/>
    <col min="1278" max="1279" width="13.875" style="11" customWidth="1"/>
    <col min="1280" max="1280" width="5" style="11" customWidth="1"/>
    <col min="1281" max="1281" width="12.75" style="11" customWidth="1"/>
    <col min="1282" max="1284" width="13.875" style="11" customWidth="1"/>
    <col min="1285" max="1532" width="9" style="11"/>
    <col min="1533" max="1533" width="24.75" style="11" customWidth="1"/>
    <col min="1534" max="1535" width="13.875" style="11" customWidth="1"/>
    <col min="1536" max="1536" width="5" style="11" customWidth="1"/>
    <col min="1537" max="1537" width="12.75" style="11" customWidth="1"/>
    <col min="1538" max="1540" width="13.875" style="11" customWidth="1"/>
    <col min="1541" max="1788" width="9" style="11"/>
    <col min="1789" max="1789" width="24.75" style="11" customWidth="1"/>
    <col min="1790" max="1791" width="13.875" style="11" customWidth="1"/>
    <col min="1792" max="1792" width="5" style="11" customWidth="1"/>
    <col min="1793" max="1793" width="12.75" style="11" customWidth="1"/>
    <col min="1794" max="1796" width="13.875" style="11" customWidth="1"/>
    <col min="1797" max="2044" width="9" style="11"/>
    <col min="2045" max="2045" width="24.75" style="11" customWidth="1"/>
    <col min="2046" max="2047" width="13.875" style="11" customWidth="1"/>
    <col min="2048" max="2048" width="5" style="11" customWidth="1"/>
    <col min="2049" max="2049" width="12.75" style="11" customWidth="1"/>
    <col min="2050" max="2052" width="13.875" style="11" customWidth="1"/>
    <col min="2053" max="2300" width="9" style="11"/>
    <col min="2301" max="2301" width="24.75" style="11" customWidth="1"/>
    <col min="2302" max="2303" width="13.875" style="11" customWidth="1"/>
    <col min="2304" max="2304" width="5" style="11" customWidth="1"/>
    <col min="2305" max="2305" width="12.75" style="11" customWidth="1"/>
    <col min="2306" max="2308" width="13.875" style="11" customWidth="1"/>
    <col min="2309" max="2556" width="9" style="11"/>
    <col min="2557" max="2557" width="24.75" style="11" customWidth="1"/>
    <col min="2558" max="2559" width="13.875" style="11" customWidth="1"/>
    <col min="2560" max="2560" width="5" style="11" customWidth="1"/>
    <col min="2561" max="2561" width="12.75" style="11" customWidth="1"/>
    <col min="2562" max="2564" width="13.875" style="11" customWidth="1"/>
    <col min="2565" max="2812" width="9" style="11"/>
    <col min="2813" max="2813" width="24.75" style="11" customWidth="1"/>
    <col min="2814" max="2815" width="13.875" style="11" customWidth="1"/>
    <col min="2816" max="2816" width="5" style="11" customWidth="1"/>
    <col min="2817" max="2817" width="12.75" style="11" customWidth="1"/>
    <col min="2818" max="2820" width="13.875" style="11" customWidth="1"/>
    <col min="2821" max="3068" width="9" style="11"/>
    <col min="3069" max="3069" width="24.75" style="11" customWidth="1"/>
    <col min="3070" max="3071" width="13.875" style="11" customWidth="1"/>
    <col min="3072" max="3072" width="5" style="11" customWidth="1"/>
    <col min="3073" max="3073" width="12.75" style="11" customWidth="1"/>
    <col min="3074" max="3076" width="13.875" style="11" customWidth="1"/>
    <col min="3077" max="3324" width="9" style="11"/>
    <col min="3325" max="3325" width="24.75" style="11" customWidth="1"/>
    <col min="3326" max="3327" width="13.875" style="11" customWidth="1"/>
    <col min="3328" max="3328" width="5" style="11" customWidth="1"/>
    <col min="3329" max="3329" width="12.75" style="11" customWidth="1"/>
    <col min="3330" max="3332" width="13.875" style="11" customWidth="1"/>
    <col min="3333" max="3580" width="9" style="11"/>
    <col min="3581" max="3581" width="24.75" style="11" customWidth="1"/>
    <col min="3582" max="3583" width="13.875" style="11" customWidth="1"/>
    <col min="3584" max="3584" width="5" style="11" customWidth="1"/>
    <col min="3585" max="3585" width="12.75" style="11" customWidth="1"/>
    <col min="3586" max="3588" width="13.875" style="11" customWidth="1"/>
    <col min="3589" max="3836" width="9" style="11"/>
    <col min="3837" max="3837" width="24.75" style="11" customWidth="1"/>
    <col min="3838" max="3839" width="13.875" style="11" customWidth="1"/>
    <col min="3840" max="3840" width="5" style="11" customWidth="1"/>
    <col min="3841" max="3841" width="12.75" style="11" customWidth="1"/>
    <col min="3842" max="3844" width="13.875" style="11" customWidth="1"/>
    <col min="3845" max="4092" width="9" style="11"/>
    <col min="4093" max="4093" width="24.75" style="11" customWidth="1"/>
    <col min="4094" max="4095" width="13.875" style="11" customWidth="1"/>
    <col min="4096" max="4096" width="5" style="11" customWidth="1"/>
    <col min="4097" max="4097" width="12.75" style="11" customWidth="1"/>
    <col min="4098" max="4100" width="13.875" style="11" customWidth="1"/>
    <col min="4101" max="4348" width="9" style="11"/>
    <col min="4349" max="4349" width="24.75" style="11" customWidth="1"/>
    <col min="4350" max="4351" width="13.875" style="11" customWidth="1"/>
    <col min="4352" max="4352" width="5" style="11" customWidth="1"/>
    <col min="4353" max="4353" width="12.75" style="11" customWidth="1"/>
    <col min="4354" max="4356" width="13.875" style="11" customWidth="1"/>
    <col min="4357" max="4604" width="9" style="11"/>
    <col min="4605" max="4605" width="24.75" style="11" customWidth="1"/>
    <col min="4606" max="4607" width="13.875" style="11" customWidth="1"/>
    <col min="4608" max="4608" width="5" style="11" customWidth="1"/>
    <col min="4609" max="4609" width="12.75" style="11" customWidth="1"/>
    <col min="4610" max="4612" width="13.875" style="11" customWidth="1"/>
    <col min="4613" max="4860" width="9" style="11"/>
    <col min="4861" max="4861" width="24.75" style="11" customWidth="1"/>
    <col min="4862" max="4863" width="13.875" style="11" customWidth="1"/>
    <col min="4864" max="4864" width="5" style="11" customWidth="1"/>
    <col min="4865" max="4865" width="12.75" style="11" customWidth="1"/>
    <col min="4866" max="4868" width="13.875" style="11" customWidth="1"/>
    <col min="4869" max="5116" width="9" style="11"/>
    <col min="5117" max="5117" width="24.75" style="11" customWidth="1"/>
    <col min="5118" max="5119" width="13.875" style="11" customWidth="1"/>
    <col min="5120" max="5120" width="5" style="11" customWidth="1"/>
    <col min="5121" max="5121" width="12.75" style="11" customWidth="1"/>
    <col min="5122" max="5124" width="13.875" style="11" customWidth="1"/>
    <col min="5125" max="5372" width="9" style="11"/>
    <col min="5373" max="5373" width="24.75" style="11" customWidth="1"/>
    <col min="5374" max="5375" width="13.875" style="11" customWidth="1"/>
    <col min="5376" max="5376" width="5" style="11" customWidth="1"/>
    <col min="5377" max="5377" width="12.75" style="11" customWidth="1"/>
    <col min="5378" max="5380" width="13.875" style="11" customWidth="1"/>
    <col min="5381" max="5628" width="9" style="11"/>
    <col min="5629" max="5629" width="24.75" style="11" customWidth="1"/>
    <col min="5630" max="5631" width="13.875" style="11" customWidth="1"/>
    <col min="5632" max="5632" width="5" style="11" customWidth="1"/>
    <col min="5633" max="5633" width="12.75" style="11" customWidth="1"/>
    <col min="5634" max="5636" width="13.875" style="11" customWidth="1"/>
    <col min="5637" max="5884" width="9" style="11"/>
    <col min="5885" max="5885" width="24.75" style="11" customWidth="1"/>
    <col min="5886" max="5887" width="13.875" style="11" customWidth="1"/>
    <col min="5888" max="5888" width="5" style="11" customWidth="1"/>
    <col min="5889" max="5889" width="12.75" style="11" customWidth="1"/>
    <col min="5890" max="5892" width="13.875" style="11" customWidth="1"/>
    <col min="5893" max="6140" width="9" style="11"/>
    <col min="6141" max="6141" width="24.75" style="11" customWidth="1"/>
    <col min="6142" max="6143" width="13.875" style="11" customWidth="1"/>
    <col min="6144" max="6144" width="5" style="11" customWidth="1"/>
    <col min="6145" max="6145" width="12.75" style="11" customWidth="1"/>
    <col min="6146" max="6148" width="13.875" style="11" customWidth="1"/>
    <col min="6149" max="6396" width="9" style="11"/>
    <col min="6397" max="6397" width="24.75" style="11" customWidth="1"/>
    <col min="6398" max="6399" width="13.875" style="11" customWidth="1"/>
    <col min="6400" max="6400" width="5" style="11" customWidth="1"/>
    <col min="6401" max="6401" width="12.75" style="11" customWidth="1"/>
    <col min="6402" max="6404" width="13.875" style="11" customWidth="1"/>
    <col min="6405" max="6652" width="9" style="11"/>
    <col min="6653" max="6653" width="24.75" style="11" customWidth="1"/>
    <col min="6654" max="6655" width="13.875" style="11" customWidth="1"/>
    <col min="6656" max="6656" width="5" style="11" customWidth="1"/>
    <col min="6657" max="6657" width="12.75" style="11" customWidth="1"/>
    <col min="6658" max="6660" width="13.875" style="11" customWidth="1"/>
    <col min="6661" max="6908" width="9" style="11"/>
    <col min="6909" max="6909" width="24.75" style="11" customWidth="1"/>
    <col min="6910" max="6911" width="13.875" style="11" customWidth="1"/>
    <col min="6912" max="6912" width="5" style="11" customWidth="1"/>
    <col min="6913" max="6913" width="12.75" style="11" customWidth="1"/>
    <col min="6914" max="6916" width="13.875" style="11" customWidth="1"/>
    <col min="6917" max="7164" width="9" style="11"/>
    <col min="7165" max="7165" width="24.75" style="11" customWidth="1"/>
    <col min="7166" max="7167" width="13.875" style="11" customWidth="1"/>
    <col min="7168" max="7168" width="5" style="11" customWidth="1"/>
    <col min="7169" max="7169" width="12.75" style="11" customWidth="1"/>
    <col min="7170" max="7172" width="13.875" style="11" customWidth="1"/>
    <col min="7173" max="7420" width="9" style="11"/>
    <col min="7421" max="7421" width="24.75" style="11" customWidth="1"/>
    <col min="7422" max="7423" width="13.875" style="11" customWidth="1"/>
    <col min="7424" max="7424" width="5" style="11" customWidth="1"/>
    <col min="7425" max="7425" width="12.75" style="11" customWidth="1"/>
    <col min="7426" max="7428" width="13.875" style="11" customWidth="1"/>
    <col min="7429" max="7676" width="9" style="11"/>
    <col min="7677" max="7677" width="24.75" style="11" customWidth="1"/>
    <col min="7678" max="7679" width="13.875" style="11" customWidth="1"/>
    <col min="7680" max="7680" width="5" style="11" customWidth="1"/>
    <col min="7681" max="7681" width="12.75" style="11" customWidth="1"/>
    <col min="7682" max="7684" width="13.875" style="11" customWidth="1"/>
    <col min="7685" max="7932" width="9" style="11"/>
    <col min="7933" max="7933" width="24.75" style="11" customWidth="1"/>
    <col min="7934" max="7935" width="13.875" style="11" customWidth="1"/>
    <col min="7936" max="7936" width="5" style="11" customWidth="1"/>
    <col min="7937" max="7937" width="12.75" style="11" customWidth="1"/>
    <col min="7938" max="7940" width="13.875" style="11" customWidth="1"/>
    <col min="7941" max="8188" width="9" style="11"/>
    <col min="8189" max="8189" width="24.75" style="11" customWidth="1"/>
    <col min="8190" max="8191" width="13.875" style="11" customWidth="1"/>
    <col min="8192" max="8192" width="5" style="11" customWidth="1"/>
    <col min="8193" max="8193" width="12.75" style="11" customWidth="1"/>
    <col min="8194" max="8196" width="13.875" style="11" customWidth="1"/>
    <col min="8197" max="8444" width="9" style="11"/>
    <col min="8445" max="8445" width="24.75" style="11" customWidth="1"/>
    <col min="8446" max="8447" width="13.875" style="11" customWidth="1"/>
    <col min="8448" max="8448" width="5" style="11" customWidth="1"/>
    <col min="8449" max="8449" width="12.75" style="11" customWidth="1"/>
    <col min="8450" max="8452" width="13.875" style="11" customWidth="1"/>
    <col min="8453" max="8700" width="9" style="11"/>
    <col min="8701" max="8701" width="24.75" style="11" customWidth="1"/>
    <col min="8702" max="8703" width="13.875" style="11" customWidth="1"/>
    <col min="8704" max="8704" width="5" style="11" customWidth="1"/>
    <col min="8705" max="8705" width="12.75" style="11" customWidth="1"/>
    <col min="8706" max="8708" width="13.875" style="11" customWidth="1"/>
    <col min="8709" max="8956" width="9" style="11"/>
    <col min="8957" max="8957" width="24.75" style="11" customWidth="1"/>
    <col min="8958" max="8959" width="13.875" style="11" customWidth="1"/>
    <col min="8960" max="8960" width="5" style="11" customWidth="1"/>
    <col min="8961" max="8961" width="12.75" style="11" customWidth="1"/>
    <col min="8962" max="8964" width="13.875" style="11" customWidth="1"/>
    <col min="8965" max="9212" width="9" style="11"/>
    <col min="9213" max="9213" width="24.75" style="11" customWidth="1"/>
    <col min="9214" max="9215" width="13.875" style="11" customWidth="1"/>
    <col min="9216" max="9216" width="5" style="11" customWidth="1"/>
    <col min="9217" max="9217" width="12.75" style="11" customWidth="1"/>
    <col min="9218" max="9220" width="13.875" style="11" customWidth="1"/>
    <col min="9221" max="9468" width="9" style="11"/>
    <col min="9469" max="9469" width="24.75" style="11" customWidth="1"/>
    <col min="9470" max="9471" width="13.875" style="11" customWidth="1"/>
    <col min="9472" max="9472" width="5" style="11" customWidth="1"/>
    <col min="9473" max="9473" width="12.75" style="11" customWidth="1"/>
    <col min="9474" max="9476" width="13.875" style="11" customWidth="1"/>
    <col min="9477" max="9724" width="9" style="11"/>
    <col min="9725" max="9725" width="24.75" style="11" customWidth="1"/>
    <col min="9726" max="9727" width="13.875" style="11" customWidth="1"/>
    <col min="9728" max="9728" width="5" style="11" customWidth="1"/>
    <col min="9729" max="9729" width="12.75" style="11" customWidth="1"/>
    <col min="9730" max="9732" width="13.875" style="11" customWidth="1"/>
    <col min="9733" max="9980" width="9" style="11"/>
    <col min="9981" max="9981" width="24.75" style="11" customWidth="1"/>
    <col min="9982" max="9983" width="13.875" style="11" customWidth="1"/>
    <col min="9984" max="9984" width="5" style="11" customWidth="1"/>
    <col min="9985" max="9985" width="12.75" style="11" customWidth="1"/>
    <col min="9986" max="9988" width="13.875" style="11" customWidth="1"/>
    <col min="9989" max="10236" width="9" style="11"/>
    <col min="10237" max="10237" width="24.75" style="11" customWidth="1"/>
    <col min="10238" max="10239" width="13.875" style="11" customWidth="1"/>
    <col min="10240" max="10240" width="5" style="11" customWidth="1"/>
    <col min="10241" max="10241" width="12.75" style="11" customWidth="1"/>
    <col min="10242" max="10244" width="13.875" style="11" customWidth="1"/>
    <col min="10245" max="10492" width="9" style="11"/>
    <col min="10493" max="10493" width="24.75" style="11" customWidth="1"/>
    <col min="10494" max="10495" width="13.875" style="11" customWidth="1"/>
    <col min="10496" max="10496" width="5" style="11" customWidth="1"/>
    <col min="10497" max="10497" width="12.75" style="11" customWidth="1"/>
    <col min="10498" max="10500" width="13.875" style="11" customWidth="1"/>
    <col min="10501" max="10748" width="9" style="11"/>
    <col min="10749" max="10749" width="24.75" style="11" customWidth="1"/>
    <col min="10750" max="10751" width="13.875" style="11" customWidth="1"/>
    <col min="10752" max="10752" width="5" style="11" customWidth="1"/>
    <col min="10753" max="10753" width="12.75" style="11" customWidth="1"/>
    <col min="10754" max="10756" width="13.875" style="11" customWidth="1"/>
    <col min="10757" max="11004" width="9" style="11"/>
    <col min="11005" max="11005" width="24.75" style="11" customWidth="1"/>
    <col min="11006" max="11007" width="13.875" style="11" customWidth="1"/>
    <col min="11008" max="11008" width="5" style="11" customWidth="1"/>
    <col min="11009" max="11009" width="12.75" style="11" customWidth="1"/>
    <col min="11010" max="11012" width="13.875" style="11" customWidth="1"/>
    <col min="11013" max="11260" width="9" style="11"/>
    <col min="11261" max="11261" width="24.75" style="11" customWidth="1"/>
    <col min="11262" max="11263" width="13.875" style="11" customWidth="1"/>
    <col min="11264" max="11264" width="5" style="11" customWidth="1"/>
    <col min="11265" max="11265" width="12.75" style="11" customWidth="1"/>
    <col min="11266" max="11268" width="13.875" style="11" customWidth="1"/>
    <col min="11269" max="11516" width="9" style="11"/>
    <col min="11517" max="11517" width="24.75" style="11" customWidth="1"/>
    <col min="11518" max="11519" width="13.875" style="11" customWidth="1"/>
    <col min="11520" max="11520" width="5" style="11" customWidth="1"/>
    <col min="11521" max="11521" width="12.75" style="11" customWidth="1"/>
    <col min="11522" max="11524" width="13.875" style="11" customWidth="1"/>
    <col min="11525" max="11772" width="9" style="11"/>
    <col min="11773" max="11773" width="24.75" style="11" customWidth="1"/>
    <col min="11774" max="11775" width="13.875" style="11" customWidth="1"/>
    <col min="11776" max="11776" width="5" style="11" customWidth="1"/>
    <col min="11777" max="11777" width="12.75" style="11" customWidth="1"/>
    <col min="11778" max="11780" width="13.875" style="11" customWidth="1"/>
    <col min="11781" max="12028" width="9" style="11"/>
    <col min="12029" max="12029" width="24.75" style="11" customWidth="1"/>
    <col min="12030" max="12031" width="13.875" style="11" customWidth="1"/>
    <col min="12032" max="12032" width="5" style="11" customWidth="1"/>
    <col min="12033" max="12033" width="12.75" style="11" customWidth="1"/>
    <col min="12034" max="12036" width="13.875" style="11" customWidth="1"/>
    <col min="12037" max="12284" width="9" style="11"/>
    <col min="12285" max="12285" width="24.75" style="11" customWidth="1"/>
    <col min="12286" max="12287" width="13.875" style="11" customWidth="1"/>
    <col min="12288" max="12288" width="5" style="11" customWidth="1"/>
    <col min="12289" max="12289" width="12.75" style="11" customWidth="1"/>
    <col min="12290" max="12292" width="13.875" style="11" customWidth="1"/>
    <col min="12293" max="12540" width="9" style="11"/>
    <col min="12541" max="12541" width="24.75" style="11" customWidth="1"/>
    <col min="12542" max="12543" width="13.875" style="11" customWidth="1"/>
    <col min="12544" max="12544" width="5" style="11" customWidth="1"/>
    <col min="12545" max="12545" width="12.75" style="11" customWidth="1"/>
    <col min="12546" max="12548" width="13.875" style="11" customWidth="1"/>
    <col min="12549" max="12796" width="9" style="11"/>
    <col min="12797" max="12797" width="24.75" style="11" customWidth="1"/>
    <col min="12798" max="12799" width="13.875" style="11" customWidth="1"/>
    <col min="12800" max="12800" width="5" style="11" customWidth="1"/>
    <col min="12801" max="12801" width="12.75" style="11" customWidth="1"/>
    <col min="12802" max="12804" width="13.875" style="11" customWidth="1"/>
    <col min="12805" max="13052" width="9" style="11"/>
    <col min="13053" max="13053" width="24.75" style="11" customWidth="1"/>
    <col min="13054" max="13055" width="13.875" style="11" customWidth="1"/>
    <col min="13056" max="13056" width="5" style="11" customWidth="1"/>
    <col min="13057" max="13057" width="12.75" style="11" customWidth="1"/>
    <col min="13058" max="13060" width="13.875" style="11" customWidth="1"/>
    <col min="13061" max="13308" width="9" style="11"/>
    <col min="13309" max="13309" width="24.75" style="11" customWidth="1"/>
    <col min="13310" max="13311" width="13.875" style="11" customWidth="1"/>
    <col min="13312" max="13312" width="5" style="11" customWidth="1"/>
    <col min="13313" max="13313" width="12.75" style="11" customWidth="1"/>
    <col min="13314" max="13316" width="13.875" style="11" customWidth="1"/>
    <col min="13317" max="13564" width="9" style="11"/>
    <col min="13565" max="13565" width="24.75" style="11" customWidth="1"/>
    <col min="13566" max="13567" width="13.875" style="11" customWidth="1"/>
    <col min="13568" max="13568" width="5" style="11" customWidth="1"/>
    <col min="13569" max="13569" width="12.75" style="11" customWidth="1"/>
    <col min="13570" max="13572" width="13.875" style="11" customWidth="1"/>
    <col min="13573" max="13820" width="9" style="11"/>
    <col min="13821" max="13821" width="24.75" style="11" customWidth="1"/>
    <col min="13822" max="13823" width="13.875" style="11" customWidth="1"/>
    <col min="13824" max="13824" width="5" style="11" customWidth="1"/>
    <col min="13825" max="13825" width="12.75" style="11" customWidth="1"/>
    <col min="13826" max="13828" width="13.875" style="11" customWidth="1"/>
    <col min="13829" max="14076" width="9" style="11"/>
    <col min="14077" max="14077" width="24.75" style="11" customWidth="1"/>
    <col min="14078" max="14079" width="13.875" style="11" customWidth="1"/>
    <col min="14080" max="14080" width="5" style="11" customWidth="1"/>
    <col min="14081" max="14081" width="12.75" style="11" customWidth="1"/>
    <col min="14082" max="14084" width="13.875" style="11" customWidth="1"/>
    <col min="14085" max="14332" width="9" style="11"/>
    <col min="14333" max="14333" width="24.75" style="11" customWidth="1"/>
    <col min="14334" max="14335" width="13.875" style="11" customWidth="1"/>
    <col min="14336" max="14336" width="5" style="11" customWidth="1"/>
    <col min="14337" max="14337" width="12.75" style="11" customWidth="1"/>
    <col min="14338" max="14340" width="13.875" style="11" customWidth="1"/>
    <col min="14341" max="14588" width="9" style="11"/>
    <col min="14589" max="14589" width="24.75" style="11" customWidth="1"/>
    <col min="14590" max="14591" width="13.875" style="11" customWidth="1"/>
    <col min="14592" max="14592" width="5" style="11" customWidth="1"/>
    <col min="14593" max="14593" width="12.75" style="11" customWidth="1"/>
    <col min="14594" max="14596" width="13.875" style="11" customWidth="1"/>
    <col min="14597" max="14844" width="9" style="11"/>
    <col min="14845" max="14845" width="24.75" style="11" customWidth="1"/>
    <col min="14846" max="14847" width="13.875" style="11" customWidth="1"/>
    <col min="14848" max="14848" width="5" style="11" customWidth="1"/>
    <col min="14849" max="14849" width="12.75" style="11" customWidth="1"/>
    <col min="14850" max="14852" width="13.875" style="11" customWidth="1"/>
    <col min="14853" max="15100" width="9" style="11"/>
    <col min="15101" max="15101" width="24.75" style="11" customWidth="1"/>
    <col min="15102" max="15103" width="13.875" style="11" customWidth="1"/>
    <col min="15104" max="15104" width="5" style="11" customWidth="1"/>
    <col min="15105" max="15105" width="12.75" style="11" customWidth="1"/>
    <col min="15106" max="15108" width="13.875" style="11" customWidth="1"/>
    <col min="15109" max="15356" width="9" style="11"/>
    <col min="15357" max="15357" width="24.75" style="11" customWidth="1"/>
    <col min="15358" max="15359" width="13.875" style="11" customWidth="1"/>
    <col min="15360" max="15360" width="5" style="11" customWidth="1"/>
    <col min="15361" max="15361" width="12.75" style="11" customWidth="1"/>
    <col min="15362" max="15364" width="13.875" style="11" customWidth="1"/>
    <col min="15365" max="15612" width="9" style="11"/>
    <col min="15613" max="15613" width="24.75" style="11" customWidth="1"/>
    <col min="15614" max="15615" width="13.875" style="11" customWidth="1"/>
    <col min="15616" max="15616" width="5" style="11" customWidth="1"/>
    <col min="15617" max="15617" width="12.75" style="11" customWidth="1"/>
    <col min="15618" max="15620" width="13.875" style="11" customWidth="1"/>
    <col min="15621" max="15868" width="9" style="11"/>
    <col min="15869" max="15869" width="24.75" style="11" customWidth="1"/>
    <col min="15870" max="15871" width="13.875" style="11" customWidth="1"/>
    <col min="15872" max="15872" width="5" style="11" customWidth="1"/>
    <col min="15873" max="15873" width="12.75" style="11" customWidth="1"/>
    <col min="15874" max="15876" width="13.875" style="11" customWidth="1"/>
    <col min="15877" max="16124" width="9" style="11"/>
    <col min="16125" max="16125" width="24.75" style="11" customWidth="1"/>
    <col min="16126" max="16127" width="13.875" style="11" customWidth="1"/>
    <col min="16128" max="16128" width="5" style="11" customWidth="1"/>
    <col min="16129" max="16129" width="12.75" style="11" customWidth="1"/>
    <col min="16130" max="16132" width="13.875" style="11" customWidth="1"/>
    <col min="16133" max="16384" width="9" style="11"/>
  </cols>
  <sheetData>
    <row r="2" spans="2:4" x14ac:dyDescent="0.4">
      <c r="B2" s="12" t="s">
        <v>473</v>
      </c>
      <c r="C2" s="13">
        <v>10</v>
      </c>
    </row>
    <row r="3" spans="2:4" x14ac:dyDescent="0.4">
      <c r="B3" s="12" t="s">
        <v>474</v>
      </c>
      <c r="C3" s="13">
        <v>50</v>
      </c>
    </row>
    <row r="4" spans="2:4" x14ac:dyDescent="0.4">
      <c r="B4" s="12" t="s">
        <v>475</v>
      </c>
      <c r="C4" s="13">
        <v>150</v>
      </c>
    </row>
    <row r="5" spans="2:4" x14ac:dyDescent="0.4">
      <c r="B5" s="12" t="s">
        <v>476</v>
      </c>
      <c r="C5" s="13">
        <v>8</v>
      </c>
    </row>
    <row r="6" spans="2:4" x14ac:dyDescent="0.4">
      <c r="B6" s="12" t="s">
        <v>477</v>
      </c>
      <c r="C6" s="14">
        <v>0.03</v>
      </c>
    </row>
    <row r="7" spans="2:4" x14ac:dyDescent="0.4">
      <c r="B7" s="12" t="s">
        <v>478</v>
      </c>
      <c r="C7" s="13">
        <v>5</v>
      </c>
    </row>
    <row r="8" spans="2:4" x14ac:dyDescent="0.4">
      <c r="B8" s="12" t="s">
        <v>479</v>
      </c>
      <c r="C8" s="13">
        <v>1</v>
      </c>
    </row>
    <row r="9" spans="2:4" x14ac:dyDescent="0.4">
      <c r="B9" s="12" t="s">
        <v>480</v>
      </c>
      <c r="C9" s="13">
        <v>28</v>
      </c>
      <c r="D9" s="15"/>
    </row>
    <row r="10" spans="2:4" x14ac:dyDescent="0.4">
      <c r="B10" s="12" t="s">
        <v>481</v>
      </c>
      <c r="C10" s="13">
        <v>30</v>
      </c>
      <c r="D10" s="15"/>
    </row>
    <row r="11" spans="2:4" x14ac:dyDescent="0.4">
      <c r="B11" s="12" t="s">
        <v>482</v>
      </c>
      <c r="C11" s="14">
        <v>0.04</v>
      </c>
    </row>
    <row r="12" spans="2:4" x14ac:dyDescent="0.4">
      <c r="B12" s="12" t="s">
        <v>483</v>
      </c>
      <c r="C12" s="16"/>
      <c r="D12" s="15"/>
    </row>
    <row r="13" spans="2:4" x14ac:dyDescent="0.4">
      <c r="B13" s="12" t="s">
        <v>484</v>
      </c>
      <c r="C13" s="17"/>
      <c r="D13" s="15"/>
    </row>
    <row r="14" spans="2:4" x14ac:dyDescent="0.4">
      <c r="D14" s="15"/>
    </row>
  </sheetData>
  <phoneticPr fontId="13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8:F14"/>
  <sheetViews>
    <sheetView topLeftCell="A10" workbookViewId="0">
      <selection activeCell="M25" sqref="M25"/>
    </sheetView>
  </sheetViews>
  <sheetFormatPr defaultColWidth="8.625" defaultRowHeight="15.75" x14ac:dyDescent="0.4"/>
  <cols>
    <col min="1" max="1" width="8.625" style="1"/>
    <col min="2" max="6" width="9.375" style="1" customWidth="1"/>
    <col min="7" max="16384" width="8.625" style="1"/>
  </cols>
  <sheetData>
    <row r="8" spans="2:6" x14ac:dyDescent="0.4">
      <c r="C8" s="67" t="s">
        <v>485</v>
      </c>
      <c r="D8" s="67"/>
      <c r="E8" s="67" t="s">
        <v>486</v>
      </c>
      <c r="F8" s="67"/>
    </row>
    <row r="9" spans="2:6" x14ac:dyDescent="0.4">
      <c r="C9" s="8" t="s">
        <v>487</v>
      </c>
      <c r="D9" s="8" t="s">
        <v>488</v>
      </c>
      <c r="E9" s="8" t="s">
        <v>487</v>
      </c>
      <c r="F9" s="8" t="s">
        <v>488</v>
      </c>
    </row>
    <row r="10" spans="2:6" x14ac:dyDescent="0.4">
      <c r="B10" s="8" t="s">
        <v>489</v>
      </c>
      <c r="C10" s="2">
        <v>10</v>
      </c>
      <c r="D10" s="2">
        <v>11</v>
      </c>
      <c r="E10" s="2">
        <v>20</v>
      </c>
      <c r="F10" s="2">
        <v>22</v>
      </c>
    </row>
    <row r="11" spans="2:6" x14ac:dyDescent="0.4">
      <c r="B11" s="8" t="s">
        <v>490</v>
      </c>
      <c r="C11" s="2">
        <v>12</v>
      </c>
      <c r="D11" s="2">
        <v>9</v>
      </c>
      <c r="E11" s="2">
        <v>24</v>
      </c>
      <c r="F11" s="2">
        <v>18</v>
      </c>
    </row>
    <row r="12" spans="2:6" x14ac:dyDescent="0.4">
      <c r="B12" s="8" t="s">
        <v>491</v>
      </c>
      <c r="C12" s="2">
        <v>14</v>
      </c>
      <c r="D12" s="2">
        <v>10</v>
      </c>
      <c r="E12" s="2">
        <v>28</v>
      </c>
      <c r="F12" s="2">
        <v>30</v>
      </c>
    </row>
    <row r="13" spans="2:6" x14ac:dyDescent="0.4">
      <c r="B13" s="9"/>
    </row>
    <row r="14" spans="2:6" x14ac:dyDescent="0.4">
      <c r="B14" s="8" t="s">
        <v>471</v>
      </c>
      <c r="C14" s="10"/>
    </row>
  </sheetData>
  <mergeCells count="2">
    <mergeCell ref="C8:D8"/>
    <mergeCell ref="E8:F8"/>
  </mergeCells>
  <phoneticPr fontId="1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F15"/>
  <sheetViews>
    <sheetView zoomScale="90" zoomScaleNormal="90" workbookViewId="0">
      <selection activeCell="C26" sqref="C26"/>
    </sheetView>
  </sheetViews>
  <sheetFormatPr defaultColWidth="8.625" defaultRowHeight="15.75" x14ac:dyDescent="0.4"/>
  <cols>
    <col min="1" max="1" width="15.625" style="1" customWidth="1"/>
    <col min="2" max="6" width="8.625" style="1" customWidth="1"/>
    <col min="7" max="7" width="8.625" style="1"/>
    <col min="8" max="9" width="8.625" style="1" customWidth="1"/>
    <col min="10" max="13" width="8.5" style="1" customWidth="1"/>
    <col min="14" max="14" width="6.625" style="1" customWidth="1"/>
    <col min="15" max="17" width="8.5" style="1" customWidth="1"/>
    <col min="18" max="18" width="10.375" style="1" customWidth="1"/>
    <col min="19" max="16384" width="8.625" style="1"/>
  </cols>
  <sheetData>
    <row r="3" spans="1:6" x14ac:dyDescent="0.4">
      <c r="A3" s="1" t="s">
        <v>492</v>
      </c>
    </row>
    <row r="4" spans="1:6" x14ac:dyDescent="0.4">
      <c r="A4" s="2">
        <v>2000</v>
      </c>
      <c r="B4" s="2">
        <v>2100</v>
      </c>
      <c r="C4" s="2">
        <v>2200</v>
      </c>
      <c r="D4" s="2">
        <v>2300</v>
      </c>
      <c r="E4" s="2">
        <v>2400</v>
      </c>
      <c r="F4" s="2">
        <v>2500</v>
      </c>
    </row>
    <row r="5" spans="1:6" x14ac:dyDescent="0.4">
      <c r="A5" s="3">
        <v>0.15</v>
      </c>
      <c r="B5" s="3">
        <v>0.17</v>
      </c>
      <c r="C5" s="3">
        <v>0.18</v>
      </c>
      <c r="D5" s="3">
        <v>0.2</v>
      </c>
      <c r="E5" s="3">
        <v>0.15</v>
      </c>
      <c r="F5" s="3">
        <v>0.15</v>
      </c>
    </row>
    <row r="6" spans="1:6" x14ac:dyDescent="0.4">
      <c r="B6" s="4"/>
      <c r="C6" s="4"/>
      <c r="D6" s="4"/>
      <c r="E6" s="4"/>
      <c r="F6" s="4"/>
    </row>
    <row r="8" spans="1:6" x14ac:dyDescent="0.4">
      <c r="A8" s="5" t="s">
        <v>493</v>
      </c>
      <c r="B8" s="6">
        <v>1000</v>
      </c>
    </row>
    <row r="9" spans="1:6" x14ac:dyDescent="0.4">
      <c r="A9" s="5" t="s">
        <v>494</v>
      </c>
      <c r="B9" s="6">
        <v>1500</v>
      </c>
    </row>
    <row r="10" spans="1:6" x14ac:dyDescent="0.4">
      <c r="A10" s="5" t="s">
        <v>495</v>
      </c>
      <c r="B10" s="6">
        <v>3000</v>
      </c>
    </row>
    <row r="11" spans="1:6" x14ac:dyDescent="0.4">
      <c r="A11" s="5" t="s">
        <v>496</v>
      </c>
      <c r="B11" s="6">
        <v>2500</v>
      </c>
    </row>
    <row r="12" spans="1:6" x14ac:dyDescent="0.4">
      <c r="A12" s="5" t="s">
        <v>497</v>
      </c>
      <c r="B12" s="6">
        <v>20</v>
      </c>
    </row>
    <row r="13" spans="1:6" x14ac:dyDescent="0.4">
      <c r="A13" s="5" t="s">
        <v>498</v>
      </c>
      <c r="B13" s="6">
        <v>300</v>
      </c>
    </row>
    <row r="15" spans="1:6" x14ac:dyDescent="0.4">
      <c r="A15" s="5" t="s">
        <v>471</v>
      </c>
      <c r="B15" s="7"/>
    </row>
  </sheetData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第1题</vt:lpstr>
      <vt:lpstr>第2题</vt:lpstr>
      <vt:lpstr>第3题</vt:lpstr>
      <vt:lpstr>第4题 </vt:lpstr>
      <vt:lpstr>第5题</vt:lpstr>
      <vt:lpstr>第6题</vt:lpstr>
      <vt:lpstr>第7题</vt:lpstr>
      <vt:lpstr>第8题</vt:lpstr>
      <vt:lpstr>第9题</vt:lpstr>
      <vt:lpstr>第3题!提取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a77111</cp:lastModifiedBy>
  <dcterms:created xsi:type="dcterms:W3CDTF">2012-09-14T05:52:00Z</dcterms:created>
  <dcterms:modified xsi:type="dcterms:W3CDTF">2026-06-20T08:17:50Z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73888AE4D520476EB9E10BEF3100B3C3_12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