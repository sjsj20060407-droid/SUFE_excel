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24226"/>
  <mc:AlternateContent xmlns:mc="http://schemas.openxmlformats.org/markup-compatibility/2006">
    <mc:Choice Requires="x15">
      <x15ac:absPath xmlns:x15ac="http://schemas.microsoft.com/office/spreadsheetml/2010/11/ac" url="E:\0-2501-教学\复习\"/>
    </mc:Choice>
  </mc:AlternateContent>
  <xr:revisionPtr revIDLastSave="0" documentId="13_ncr:1_{0E864253-3A84-4C8C-AEF8-FAA9AE1B8EF0}" xr6:coauthVersionLast="47" xr6:coauthVersionMax="47" xr10:uidLastSave="{00000000-0000-0000-0000-000000000000}"/>
  <bookViews>
    <workbookView xWindow="-120" yWindow="-120" windowWidth="20730" windowHeight="11160" tabRatio="692" xr2:uid="{00000000-000D-0000-FFFF-FFFF00000000}"/>
  </bookViews>
  <sheets>
    <sheet name="第1题" sheetId="32" r:id="rId1"/>
    <sheet name="第2题" sheetId="23" r:id="rId2"/>
    <sheet name="第3题" sheetId="24" r:id="rId3"/>
    <sheet name="第4题 " sheetId="25" r:id="rId4"/>
    <sheet name="第5题" sheetId="26" r:id="rId5"/>
    <sheet name="第6题" sheetId="27" r:id="rId6"/>
    <sheet name="第7题" sheetId="31" r:id="rId7"/>
    <sheet name="第8题" sheetId="33" r:id="rId8"/>
    <sheet name="第9题" sheetId="29" r:id="rId9"/>
  </sheets>
  <definedNames>
    <definedName name="_xlnm._FilterDatabase" localSheetId="2" hidden="1">第3题!$A$1:$G$348</definedName>
    <definedName name="solver_cvg" localSheetId="8" hidden="1">0.0001</definedName>
    <definedName name="solver_drv" localSheetId="8" hidden="1">1</definedName>
    <definedName name="solver_eng" localSheetId="8" hidden="1">2</definedName>
    <definedName name="solver_est" localSheetId="8" hidden="1">1</definedName>
    <definedName name="solver_itr" localSheetId="8" hidden="1">2147483647</definedName>
    <definedName name="solver_lhs1" localSheetId="8" hidden="1">第9题!$C$2:$D$4</definedName>
    <definedName name="solver_lhs2" localSheetId="8" hidden="1">第9题!$C$2:$D$4</definedName>
    <definedName name="solver_lhs3" localSheetId="8" hidden="1">第9题!$C$5:$D$5</definedName>
    <definedName name="solver_lhs4" localSheetId="8" hidden="1">第9题!$G$10:$G$12</definedName>
    <definedName name="solver_mip" localSheetId="8" hidden="1">2147483647</definedName>
    <definedName name="solver_mni" localSheetId="8" hidden="1">30</definedName>
    <definedName name="solver_mrt" localSheetId="8" hidden="1">0.075</definedName>
    <definedName name="solver_msl" localSheetId="8" hidden="1">2</definedName>
    <definedName name="solver_neg" localSheetId="8" hidden="1">1</definedName>
    <definedName name="solver_nod" localSheetId="8" hidden="1">2147483647</definedName>
    <definedName name="solver_num" localSheetId="8" hidden="1">0</definedName>
    <definedName name="solver_nwt" localSheetId="8" hidden="1">1</definedName>
    <definedName name="solver_pre" localSheetId="8" hidden="1">0.000001</definedName>
    <definedName name="solver_rbv" localSheetId="8" hidden="1">1</definedName>
    <definedName name="solver_rel1" localSheetId="8" hidden="1">4</definedName>
    <definedName name="solver_rel2" localSheetId="8" hidden="1">3</definedName>
    <definedName name="solver_rel3" localSheetId="8" hidden="1">2</definedName>
    <definedName name="solver_rel4" localSheetId="8" hidden="1">1</definedName>
    <definedName name="solver_rhs1" localSheetId="8" hidden="1">整数</definedName>
    <definedName name="solver_rhs2" localSheetId="8" hidden="1">0</definedName>
    <definedName name="solver_rhs3" localSheetId="8" hidden="1">第9题!$C$6:$D$6</definedName>
    <definedName name="solver_rhs4" localSheetId="8" hidden="1">8000</definedName>
    <definedName name="solver_rlx" localSheetId="8" hidden="1">2</definedName>
    <definedName name="solver_rsd" localSheetId="8" hidden="1">0</definedName>
    <definedName name="solver_scl" localSheetId="8" hidden="1">1</definedName>
    <definedName name="solver_sho" localSheetId="8" hidden="1">2</definedName>
    <definedName name="solver_ssz" localSheetId="8" hidden="1">100</definedName>
    <definedName name="solver_tim" localSheetId="8" hidden="1">2147483647</definedName>
    <definedName name="solver_tol" localSheetId="8" hidden="1">0.01</definedName>
    <definedName name="solver_typ" localSheetId="8" hidden="1">1</definedName>
    <definedName name="solver_val" localSheetId="8" hidden="1">0</definedName>
    <definedName name="solver_ver" localSheetId="8"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 i="31" l="1"/>
  <c r="M1" i="31"/>
  <c r="L1" i="31"/>
  <c r="K1" i="31"/>
  <c r="G12" i="25" l="1"/>
  <c r="G11" i="25"/>
  <c r="G10" i="25"/>
  <c r="G9" i="25"/>
  <c r="G8" i="25"/>
  <c r="G7" i="25"/>
  <c r="G6" i="25"/>
  <c r="G5" i="25"/>
  <c r="G4" i="25"/>
  <c r="G3" i="25"/>
  <c r="G2" i="25"/>
</calcChain>
</file>

<file path=xl/sharedStrings.xml><?xml version="1.0" encoding="utf-8"?>
<sst xmlns="http://schemas.openxmlformats.org/spreadsheetml/2006/main" count="1573" uniqueCount="536">
  <si>
    <t>预测值</t>
    <phoneticPr fontId="6" type="noConversion"/>
  </si>
  <si>
    <t>学院</t>
  </si>
  <si>
    <t>学号</t>
  </si>
  <si>
    <t>姓名</t>
  </si>
  <si>
    <t>班级</t>
  </si>
  <si>
    <t>成绩</t>
  </si>
  <si>
    <t>政治面貌</t>
  </si>
  <si>
    <t>金融学院</t>
  </si>
  <si>
    <t>佐忻尔</t>
  </si>
  <si>
    <r>
      <t>金融</t>
    </r>
    <r>
      <rPr>
        <sz val="12"/>
        <rFont val="Arial"/>
        <family val="2"/>
      </rPr>
      <t>1</t>
    </r>
    <r>
      <rPr>
        <sz val="12"/>
        <rFont val="宋体"/>
        <family val="3"/>
        <charset val="134"/>
      </rPr>
      <t>班</t>
    </r>
    <phoneticPr fontId="6" type="noConversion"/>
  </si>
  <si>
    <t>非中共党员</t>
  </si>
  <si>
    <r>
      <t>刘</t>
    </r>
    <r>
      <rPr>
        <sz val="12"/>
        <rFont val="Arial"/>
        <family val="2"/>
      </rPr>
      <t xml:space="preserve">  </t>
    </r>
    <r>
      <rPr>
        <sz val="12"/>
        <rFont val="宋体"/>
        <family val="3"/>
        <charset val="134"/>
      </rPr>
      <t>润</t>
    </r>
  </si>
  <si>
    <r>
      <t>金融</t>
    </r>
    <r>
      <rPr>
        <sz val="12"/>
        <rFont val="Arial"/>
        <family val="2"/>
      </rPr>
      <t>1</t>
    </r>
    <r>
      <rPr>
        <sz val="12"/>
        <rFont val="宋体"/>
        <family val="3"/>
        <charset val="134"/>
      </rPr>
      <t>班</t>
    </r>
  </si>
  <si>
    <t>本科生成绩考核与绩点对照表</t>
  </si>
  <si>
    <t>汪玉婷</t>
  </si>
  <si>
    <t>成绩（百分制）</t>
  </si>
  <si>
    <t>成绩等级</t>
  </si>
  <si>
    <t>绩点</t>
  </si>
  <si>
    <t>施晓琳</t>
  </si>
  <si>
    <t>90~100</t>
  </si>
  <si>
    <t>A</t>
  </si>
  <si>
    <t>谢玉倩</t>
  </si>
  <si>
    <t>85~89</t>
  </si>
  <si>
    <t>A-</t>
  </si>
  <si>
    <r>
      <t>于</t>
    </r>
    <r>
      <rPr>
        <sz val="12"/>
        <rFont val="Arial"/>
        <family val="2"/>
      </rPr>
      <t xml:space="preserve">    </t>
    </r>
    <r>
      <rPr>
        <sz val="12"/>
        <rFont val="宋体"/>
        <family val="3"/>
        <charset val="134"/>
      </rPr>
      <t>洋</t>
    </r>
  </si>
  <si>
    <t>82~84</t>
  </si>
  <si>
    <t>B+</t>
  </si>
  <si>
    <r>
      <t>吴</t>
    </r>
    <r>
      <rPr>
        <sz val="12"/>
        <rFont val="Arial"/>
        <family val="2"/>
      </rPr>
      <t xml:space="preserve">    </t>
    </r>
    <r>
      <rPr>
        <sz val="12"/>
        <rFont val="宋体"/>
        <family val="3"/>
        <charset val="134"/>
      </rPr>
      <t>雁</t>
    </r>
  </si>
  <si>
    <t>78~81</t>
  </si>
  <si>
    <t>B</t>
  </si>
  <si>
    <t>颜蓓蓓</t>
  </si>
  <si>
    <t>75~77</t>
  </si>
  <si>
    <t>B-</t>
  </si>
  <si>
    <t>杜云芳</t>
  </si>
  <si>
    <t>72~74</t>
  </si>
  <si>
    <t>C+</t>
  </si>
  <si>
    <t>吴红梅</t>
  </si>
  <si>
    <t>68~71</t>
  </si>
  <si>
    <t>C</t>
  </si>
  <si>
    <t>吴瑞坚</t>
  </si>
  <si>
    <t>64~67</t>
  </si>
  <si>
    <t>C-</t>
  </si>
  <si>
    <r>
      <t>田</t>
    </r>
    <r>
      <rPr>
        <sz val="12"/>
        <rFont val="Arial"/>
        <family val="2"/>
      </rPr>
      <t xml:space="preserve">  </t>
    </r>
    <r>
      <rPr>
        <sz val="12"/>
        <rFont val="宋体"/>
        <family val="3"/>
        <charset val="134"/>
      </rPr>
      <t>瑶</t>
    </r>
  </si>
  <si>
    <t>60~63</t>
  </si>
  <si>
    <t>D</t>
  </si>
  <si>
    <t>齐玉燕</t>
  </si>
  <si>
    <t>&lt;60</t>
  </si>
  <si>
    <t>F</t>
  </si>
  <si>
    <t>高梦竹</t>
  </si>
  <si>
    <t>解长芳</t>
  </si>
  <si>
    <r>
      <t>陆</t>
    </r>
    <r>
      <rPr>
        <sz val="12"/>
        <rFont val="Arial"/>
        <family val="2"/>
      </rPr>
      <t xml:space="preserve">  </t>
    </r>
    <r>
      <rPr>
        <sz val="12"/>
        <rFont val="宋体"/>
        <family val="3"/>
        <charset val="134"/>
      </rPr>
      <t>斌</t>
    </r>
  </si>
  <si>
    <t>唐怿开</t>
  </si>
  <si>
    <t>蒋文俊</t>
  </si>
  <si>
    <r>
      <t>严</t>
    </r>
    <r>
      <rPr>
        <sz val="12"/>
        <rFont val="Arial"/>
        <family val="2"/>
      </rPr>
      <t xml:space="preserve">  </t>
    </r>
    <r>
      <rPr>
        <sz val="12"/>
        <rFont val="宋体"/>
        <family val="3"/>
        <charset val="134"/>
      </rPr>
      <t>强</t>
    </r>
  </si>
  <si>
    <t>中共党员</t>
  </si>
  <si>
    <r>
      <t>杨</t>
    </r>
    <r>
      <rPr>
        <sz val="12"/>
        <rFont val="Arial"/>
        <family val="2"/>
      </rPr>
      <t xml:space="preserve">  </t>
    </r>
    <r>
      <rPr>
        <sz val="12"/>
        <rFont val="宋体"/>
        <family val="3"/>
        <charset val="134"/>
      </rPr>
      <t>毅</t>
    </r>
  </si>
  <si>
    <t>路文杰</t>
  </si>
  <si>
    <t>高永翔</t>
  </si>
  <si>
    <t>戚继骏</t>
  </si>
  <si>
    <t>钱一闻</t>
  </si>
  <si>
    <r>
      <t>董</t>
    </r>
    <r>
      <rPr>
        <sz val="12"/>
        <rFont val="Arial"/>
        <family val="2"/>
      </rPr>
      <t xml:space="preserve">  </t>
    </r>
    <r>
      <rPr>
        <sz val="12"/>
        <rFont val="宋体"/>
        <family val="3"/>
        <charset val="134"/>
      </rPr>
      <t>凯</t>
    </r>
  </si>
  <si>
    <t>石晓刚</t>
  </si>
  <si>
    <r>
      <t>钢</t>
    </r>
    <r>
      <rPr>
        <sz val="12"/>
        <rFont val="Arial"/>
        <family val="2"/>
      </rPr>
      <t xml:space="preserve">  </t>
    </r>
    <r>
      <rPr>
        <sz val="12"/>
        <rFont val="宋体"/>
        <family val="3"/>
        <charset val="134"/>
      </rPr>
      <t>根</t>
    </r>
  </si>
  <si>
    <t>谢照杰</t>
  </si>
  <si>
    <r>
      <t>张</t>
    </r>
    <r>
      <rPr>
        <sz val="12"/>
        <rFont val="Arial"/>
        <family val="2"/>
      </rPr>
      <t xml:space="preserve">  </t>
    </r>
    <r>
      <rPr>
        <sz val="12"/>
        <rFont val="宋体"/>
        <family val="3"/>
        <charset val="134"/>
      </rPr>
      <t>瑛</t>
    </r>
  </si>
  <si>
    <r>
      <t>吴</t>
    </r>
    <r>
      <rPr>
        <sz val="12"/>
        <rFont val="Arial"/>
        <family val="2"/>
      </rPr>
      <t xml:space="preserve">  </t>
    </r>
    <r>
      <rPr>
        <sz val="12"/>
        <rFont val="宋体"/>
        <family val="3"/>
        <charset val="134"/>
      </rPr>
      <t>珂</t>
    </r>
  </si>
  <si>
    <r>
      <t>金融</t>
    </r>
    <r>
      <rPr>
        <sz val="12"/>
        <rFont val="Arial"/>
        <family val="2"/>
      </rPr>
      <t>2</t>
    </r>
    <r>
      <rPr>
        <sz val="12"/>
        <rFont val="宋体"/>
        <family val="3"/>
        <charset val="134"/>
      </rPr>
      <t>班</t>
    </r>
  </si>
  <si>
    <t>冯亚瑾</t>
  </si>
  <si>
    <r>
      <t>杨</t>
    </r>
    <r>
      <rPr>
        <sz val="12"/>
        <rFont val="Arial"/>
        <family val="2"/>
      </rPr>
      <t xml:space="preserve">  </t>
    </r>
    <r>
      <rPr>
        <sz val="12"/>
        <rFont val="宋体"/>
        <family val="3"/>
        <charset val="134"/>
      </rPr>
      <t>静</t>
    </r>
  </si>
  <si>
    <t>周佳丽</t>
  </si>
  <si>
    <t>严迪鲁</t>
  </si>
  <si>
    <t>刘蓓莎</t>
  </si>
  <si>
    <t>卢文雯</t>
  </si>
  <si>
    <t>潘洁琼</t>
  </si>
  <si>
    <t>严彐花</t>
  </si>
  <si>
    <t>侯丽丽</t>
  </si>
  <si>
    <r>
      <t>张</t>
    </r>
    <r>
      <rPr>
        <sz val="12"/>
        <rFont val="Arial"/>
        <family val="2"/>
      </rPr>
      <t xml:space="preserve">  </t>
    </r>
    <r>
      <rPr>
        <sz val="12"/>
        <rFont val="宋体"/>
        <family val="3"/>
        <charset val="134"/>
      </rPr>
      <t>艳</t>
    </r>
  </si>
  <si>
    <t>李秀雯</t>
  </si>
  <si>
    <t>杨灵慧</t>
  </si>
  <si>
    <t>杨晓忺</t>
  </si>
  <si>
    <t>郑航航</t>
  </si>
  <si>
    <r>
      <t>张</t>
    </r>
    <r>
      <rPr>
        <sz val="12"/>
        <rFont val="Arial"/>
        <family val="2"/>
      </rPr>
      <t xml:space="preserve">  </t>
    </r>
    <r>
      <rPr>
        <sz val="12"/>
        <rFont val="宋体"/>
        <family val="3"/>
        <charset val="134"/>
      </rPr>
      <t>靖</t>
    </r>
  </si>
  <si>
    <t>孙怡雯</t>
  </si>
  <si>
    <t>张官幸子</t>
  </si>
  <si>
    <t>郑如余</t>
  </si>
  <si>
    <t>李元纾</t>
  </si>
  <si>
    <r>
      <t>桑</t>
    </r>
    <r>
      <rPr>
        <sz val="12"/>
        <rFont val="Arial"/>
        <family val="2"/>
      </rPr>
      <t xml:space="preserve">  </t>
    </r>
    <r>
      <rPr>
        <sz val="12"/>
        <rFont val="宋体"/>
        <family val="3"/>
        <charset val="134"/>
      </rPr>
      <t>橤</t>
    </r>
  </si>
  <si>
    <t>夏多全</t>
  </si>
  <si>
    <t>王钇彭</t>
  </si>
  <si>
    <t>张圣骅</t>
  </si>
  <si>
    <t>张思悦</t>
  </si>
  <si>
    <r>
      <t>石</t>
    </r>
    <r>
      <rPr>
        <sz val="12"/>
        <rFont val="Arial"/>
        <family val="2"/>
      </rPr>
      <t xml:space="preserve">  </t>
    </r>
    <r>
      <rPr>
        <sz val="12"/>
        <rFont val="宋体"/>
        <family val="3"/>
        <charset val="134"/>
      </rPr>
      <t>磊</t>
    </r>
  </si>
  <si>
    <r>
      <t>陈</t>
    </r>
    <r>
      <rPr>
        <sz val="12"/>
        <rFont val="Arial"/>
        <family val="2"/>
      </rPr>
      <t xml:space="preserve"> </t>
    </r>
    <r>
      <rPr>
        <sz val="12"/>
        <rFont val="宋体"/>
        <family val="3"/>
        <charset val="134"/>
      </rPr>
      <t>佳俊</t>
    </r>
  </si>
  <si>
    <r>
      <t>李</t>
    </r>
    <r>
      <rPr>
        <sz val="12"/>
        <rFont val="Arial"/>
        <family val="2"/>
      </rPr>
      <t xml:space="preserve">  </t>
    </r>
    <r>
      <rPr>
        <sz val="12"/>
        <rFont val="宋体"/>
        <family val="3"/>
        <charset val="134"/>
      </rPr>
      <t>刚</t>
    </r>
  </si>
  <si>
    <t>朱宸杰</t>
  </si>
  <si>
    <t>周垚遙</t>
  </si>
  <si>
    <t>周天江</t>
  </si>
  <si>
    <r>
      <t>许</t>
    </r>
    <r>
      <rPr>
        <sz val="12"/>
        <rFont val="Arial"/>
        <family val="2"/>
      </rPr>
      <t xml:space="preserve">  </t>
    </r>
    <r>
      <rPr>
        <sz val="12"/>
        <rFont val="宋体"/>
        <family val="3"/>
        <charset val="134"/>
      </rPr>
      <t>凡</t>
    </r>
  </si>
  <si>
    <t>王欣伟</t>
  </si>
  <si>
    <t>程美红</t>
  </si>
  <si>
    <t>金融</t>
  </si>
  <si>
    <r>
      <t>李</t>
    </r>
    <r>
      <rPr>
        <sz val="12"/>
        <rFont val="Arial"/>
        <family val="2"/>
      </rPr>
      <t xml:space="preserve">  </t>
    </r>
    <r>
      <rPr>
        <sz val="12"/>
        <rFont val="宋体"/>
        <family val="3"/>
        <charset val="134"/>
      </rPr>
      <t>微</t>
    </r>
  </si>
  <si>
    <t>何青青</t>
  </si>
  <si>
    <t>陈钟秀</t>
  </si>
  <si>
    <t>石晓蕾</t>
  </si>
  <si>
    <r>
      <t>文</t>
    </r>
    <r>
      <rPr>
        <sz val="12"/>
        <rFont val="Arial"/>
        <family val="2"/>
      </rPr>
      <t xml:space="preserve">  </t>
    </r>
    <r>
      <rPr>
        <sz val="12"/>
        <rFont val="宋体"/>
        <family val="3"/>
        <charset val="134"/>
      </rPr>
      <t>晶</t>
    </r>
  </si>
  <si>
    <t>马闻雯</t>
  </si>
  <si>
    <r>
      <t>张</t>
    </r>
    <r>
      <rPr>
        <sz val="12"/>
        <rFont val="Arial"/>
        <family val="2"/>
      </rPr>
      <t xml:space="preserve">  </t>
    </r>
    <r>
      <rPr>
        <sz val="12"/>
        <rFont val="宋体"/>
        <family val="3"/>
        <charset val="134"/>
      </rPr>
      <t>颖</t>
    </r>
  </si>
  <si>
    <t>周春花</t>
  </si>
  <si>
    <t>刘梅蓉</t>
  </si>
  <si>
    <t>蒋立学</t>
  </si>
  <si>
    <t>季晓霞</t>
  </si>
  <si>
    <t>李菊红</t>
  </si>
  <si>
    <t>康霖丽</t>
  </si>
  <si>
    <t>高郡璐</t>
  </si>
  <si>
    <r>
      <t>郑</t>
    </r>
    <r>
      <rPr>
        <sz val="12"/>
        <rFont val="Arial"/>
        <family val="2"/>
      </rPr>
      <t xml:space="preserve">  </t>
    </r>
    <r>
      <rPr>
        <sz val="12"/>
        <rFont val="宋体"/>
        <family val="3"/>
        <charset val="134"/>
      </rPr>
      <t>虹</t>
    </r>
  </si>
  <si>
    <t>吉瑞琦</t>
  </si>
  <si>
    <t>刘思阳</t>
  </si>
  <si>
    <t>江珂毅</t>
  </si>
  <si>
    <t>李家俊</t>
  </si>
  <si>
    <t>梁庆元</t>
  </si>
  <si>
    <r>
      <t>沈</t>
    </r>
    <r>
      <rPr>
        <sz val="12"/>
        <rFont val="Arial"/>
        <family val="2"/>
      </rPr>
      <t xml:space="preserve">  </t>
    </r>
    <r>
      <rPr>
        <sz val="12"/>
        <rFont val="宋体"/>
        <family val="3"/>
        <charset val="134"/>
      </rPr>
      <t>铨</t>
    </r>
  </si>
  <si>
    <t>曹德强</t>
  </si>
  <si>
    <t>钱佳弘</t>
  </si>
  <si>
    <t>王鹏程</t>
  </si>
  <si>
    <t>朱明杰</t>
  </si>
  <si>
    <t>陈龙廷</t>
  </si>
  <si>
    <t>王丹英</t>
  </si>
  <si>
    <t>邬源凤</t>
  </si>
  <si>
    <t>干佳宁</t>
  </si>
  <si>
    <t>刘冰洁</t>
  </si>
  <si>
    <t>钟敏慧</t>
  </si>
  <si>
    <r>
      <t>梁</t>
    </r>
    <r>
      <rPr>
        <sz val="12"/>
        <rFont val="Arial"/>
        <family val="2"/>
      </rPr>
      <t xml:space="preserve">    </t>
    </r>
    <r>
      <rPr>
        <sz val="12"/>
        <rFont val="宋体"/>
        <family val="3"/>
        <charset val="134"/>
      </rPr>
      <t>迟</t>
    </r>
  </si>
  <si>
    <t>周伟英</t>
  </si>
  <si>
    <t>栾梦秋</t>
  </si>
  <si>
    <t>郑剑平</t>
  </si>
  <si>
    <r>
      <t>梁</t>
    </r>
    <r>
      <rPr>
        <sz val="12"/>
        <rFont val="Arial"/>
        <family val="2"/>
      </rPr>
      <t xml:space="preserve">    </t>
    </r>
    <r>
      <rPr>
        <sz val="12"/>
        <rFont val="宋体"/>
        <family val="3"/>
        <charset val="134"/>
      </rPr>
      <t>玮</t>
    </r>
  </si>
  <si>
    <t>李超英</t>
  </si>
  <si>
    <t>汤丽莉</t>
  </si>
  <si>
    <t>王鑫珍</t>
  </si>
  <si>
    <t>陆海莉</t>
  </si>
  <si>
    <t>徐丹旎</t>
  </si>
  <si>
    <t>杨佳俊</t>
  </si>
  <si>
    <t>石佳祺</t>
  </si>
  <si>
    <t>沈文佳</t>
  </si>
  <si>
    <r>
      <t>陶</t>
    </r>
    <r>
      <rPr>
        <sz val="12"/>
        <rFont val="Arial"/>
        <family val="2"/>
      </rPr>
      <t xml:space="preserve">    </t>
    </r>
    <r>
      <rPr>
        <sz val="12"/>
        <rFont val="宋体"/>
        <family val="3"/>
        <charset val="134"/>
      </rPr>
      <t>晶</t>
    </r>
  </si>
  <si>
    <t>蒋挥乾</t>
  </si>
  <si>
    <t>张承颢</t>
  </si>
  <si>
    <t>李陈君</t>
  </si>
  <si>
    <t>曹之敏</t>
  </si>
  <si>
    <t>顾琛玮</t>
  </si>
  <si>
    <t>庄悦妮</t>
  </si>
  <si>
    <t>蒋韡莲</t>
  </si>
  <si>
    <t>信息学院</t>
  </si>
  <si>
    <r>
      <t>何</t>
    </r>
    <r>
      <rPr>
        <sz val="12"/>
        <rFont val="Arial"/>
        <family val="2"/>
      </rPr>
      <t xml:space="preserve">  </t>
    </r>
    <r>
      <rPr>
        <sz val="12"/>
        <rFont val="宋体"/>
        <family val="3"/>
        <charset val="134"/>
      </rPr>
      <t>玲</t>
    </r>
  </si>
  <si>
    <r>
      <t>信息</t>
    </r>
    <r>
      <rPr>
        <sz val="12"/>
        <rFont val="Arial"/>
        <family val="2"/>
      </rPr>
      <t>1</t>
    </r>
    <r>
      <rPr>
        <sz val="12"/>
        <rFont val="宋体"/>
        <family val="3"/>
        <charset val="134"/>
      </rPr>
      <t>班</t>
    </r>
  </si>
  <si>
    <t>陈晓菲</t>
  </si>
  <si>
    <r>
      <t>陆</t>
    </r>
    <r>
      <rPr>
        <sz val="12"/>
        <rFont val="Arial"/>
        <family val="2"/>
      </rPr>
      <t xml:space="preserve">  </t>
    </r>
    <r>
      <rPr>
        <sz val="12"/>
        <rFont val="宋体"/>
        <family val="3"/>
        <charset val="134"/>
      </rPr>
      <t>婷</t>
    </r>
  </si>
  <si>
    <t>孟丽玲</t>
  </si>
  <si>
    <r>
      <t>赵</t>
    </r>
    <r>
      <rPr>
        <sz val="12"/>
        <rFont val="Arial"/>
        <family val="2"/>
      </rPr>
      <t xml:space="preserve">  </t>
    </r>
    <r>
      <rPr>
        <sz val="12"/>
        <rFont val="宋体"/>
        <family val="3"/>
        <charset val="134"/>
      </rPr>
      <t>阳</t>
    </r>
  </si>
  <si>
    <t>陶凌云</t>
  </si>
  <si>
    <r>
      <t>沈</t>
    </r>
    <r>
      <rPr>
        <sz val="12"/>
        <rFont val="Arial"/>
        <family val="2"/>
      </rPr>
      <t xml:space="preserve">  </t>
    </r>
    <r>
      <rPr>
        <sz val="12"/>
        <rFont val="宋体"/>
        <family val="3"/>
        <charset val="134"/>
      </rPr>
      <t>倩</t>
    </r>
  </si>
  <si>
    <r>
      <t>张</t>
    </r>
    <r>
      <rPr>
        <sz val="12"/>
        <rFont val="Arial"/>
        <family val="2"/>
      </rPr>
      <t xml:space="preserve">  </t>
    </r>
    <r>
      <rPr>
        <sz val="12"/>
        <rFont val="宋体"/>
        <family val="3"/>
        <charset val="134"/>
      </rPr>
      <t>瑾</t>
    </r>
  </si>
  <si>
    <r>
      <t>徐</t>
    </r>
    <r>
      <rPr>
        <sz val="12"/>
        <rFont val="Arial"/>
        <family val="2"/>
      </rPr>
      <t xml:space="preserve">  </t>
    </r>
    <r>
      <rPr>
        <sz val="12"/>
        <rFont val="宋体"/>
        <family val="3"/>
        <charset val="134"/>
      </rPr>
      <t>艳</t>
    </r>
  </si>
  <si>
    <r>
      <t>张</t>
    </r>
    <r>
      <rPr>
        <sz val="12"/>
        <rFont val="Arial"/>
        <family val="2"/>
      </rPr>
      <t xml:space="preserve">  </t>
    </r>
    <r>
      <rPr>
        <sz val="12"/>
        <rFont val="宋体"/>
        <family val="3"/>
        <charset val="134"/>
      </rPr>
      <t>靓</t>
    </r>
  </si>
  <si>
    <t>陈静君</t>
  </si>
  <si>
    <t>沈晓晓</t>
  </si>
  <si>
    <r>
      <t>徐</t>
    </r>
    <r>
      <rPr>
        <sz val="12"/>
        <rFont val="Arial"/>
        <family val="2"/>
      </rPr>
      <t xml:space="preserve">  </t>
    </r>
    <r>
      <rPr>
        <sz val="12"/>
        <rFont val="宋体"/>
        <family val="3"/>
        <charset val="134"/>
      </rPr>
      <t>晶</t>
    </r>
  </si>
  <si>
    <t>李梦媛</t>
  </si>
  <si>
    <t>徐晓婷</t>
  </si>
  <si>
    <t>富杰菁</t>
  </si>
  <si>
    <t>瞿晓雯</t>
  </si>
  <si>
    <r>
      <t>俞</t>
    </r>
    <r>
      <rPr>
        <sz val="12"/>
        <rFont val="Arial"/>
        <family val="2"/>
      </rPr>
      <t xml:space="preserve">  </t>
    </r>
    <r>
      <rPr>
        <sz val="12"/>
        <rFont val="宋体"/>
        <family val="3"/>
        <charset val="134"/>
      </rPr>
      <t>越</t>
    </r>
  </si>
  <si>
    <t>王雯培</t>
  </si>
  <si>
    <t>宋倩芸</t>
  </si>
  <si>
    <t>管文静</t>
  </si>
  <si>
    <r>
      <t>方</t>
    </r>
    <r>
      <rPr>
        <sz val="12"/>
        <rFont val="Arial"/>
        <family val="2"/>
      </rPr>
      <t xml:space="preserve">  </t>
    </r>
    <r>
      <rPr>
        <sz val="12"/>
        <rFont val="宋体"/>
        <family val="3"/>
        <charset val="134"/>
      </rPr>
      <t>丽</t>
    </r>
  </si>
  <si>
    <t>王丽娜</t>
  </si>
  <si>
    <t>赵佳佳</t>
  </si>
  <si>
    <r>
      <t>甘</t>
    </r>
    <r>
      <rPr>
        <sz val="12"/>
        <rFont val="Arial"/>
        <family val="2"/>
      </rPr>
      <t xml:space="preserve">  </t>
    </r>
    <r>
      <rPr>
        <sz val="12"/>
        <rFont val="宋体"/>
        <family val="3"/>
        <charset val="134"/>
      </rPr>
      <t>露</t>
    </r>
  </si>
  <si>
    <t>李梦婷</t>
  </si>
  <si>
    <t>殷姣姣</t>
  </si>
  <si>
    <r>
      <t>周</t>
    </r>
    <r>
      <rPr>
        <sz val="12"/>
        <rFont val="Arial"/>
        <family val="2"/>
      </rPr>
      <t xml:space="preserve">  </t>
    </r>
    <r>
      <rPr>
        <sz val="12"/>
        <rFont val="宋体"/>
        <family val="3"/>
        <charset val="134"/>
      </rPr>
      <t>欢</t>
    </r>
  </si>
  <si>
    <t>钱文婷</t>
  </si>
  <si>
    <r>
      <t>张</t>
    </r>
    <r>
      <rPr>
        <sz val="12"/>
        <rFont val="Arial"/>
        <family val="2"/>
      </rPr>
      <t xml:space="preserve">  </t>
    </r>
    <r>
      <rPr>
        <sz val="12"/>
        <rFont val="宋体"/>
        <family val="3"/>
        <charset val="134"/>
      </rPr>
      <t>怡</t>
    </r>
  </si>
  <si>
    <t>房嘉婕</t>
  </si>
  <si>
    <t>宋飞飞</t>
  </si>
  <si>
    <r>
      <t>钱</t>
    </r>
    <r>
      <rPr>
        <sz val="12"/>
        <rFont val="Arial"/>
        <family val="2"/>
      </rPr>
      <t xml:space="preserve">  </t>
    </r>
    <r>
      <rPr>
        <sz val="12"/>
        <rFont val="宋体"/>
        <family val="3"/>
        <charset val="134"/>
      </rPr>
      <t>卉</t>
    </r>
  </si>
  <si>
    <r>
      <t>李</t>
    </r>
    <r>
      <rPr>
        <sz val="12"/>
        <rFont val="Arial"/>
        <family val="2"/>
      </rPr>
      <t xml:space="preserve">  </t>
    </r>
    <r>
      <rPr>
        <sz val="12"/>
        <rFont val="宋体"/>
        <family val="3"/>
        <charset val="134"/>
      </rPr>
      <t>峻</t>
    </r>
  </si>
  <si>
    <t>王若舟</t>
  </si>
  <si>
    <t>蒋俊杰</t>
  </si>
  <si>
    <t>蒋诚忱</t>
  </si>
  <si>
    <t>陈笑笑</t>
  </si>
  <si>
    <t>马佾麟</t>
  </si>
  <si>
    <t>江煜晨</t>
  </si>
  <si>
    <t>张辞海</t>
  </si>
  <si>
    <t>李晓杰</t>
  </si>
  <si>
    <t>张恒升</t>
  </si>
  <si>
    <t>汪徐亚</t>
  </si>
  <si>
    <r>
      <t>蔡</t>
    </r>
    <r>
      <rPr>
        <sz val="12"/>
        <rFont val="Arial"/>
        <family val="2"/>
      </rPr>
      <t xml:space="preserve">  </t>
    </r>
    <r>
      <rPr>
        <sz val="12"/>
        <rFont val="宋体"/>
        <family val="3"/>
        <charset val="134"/>
      </rPr>
      <t>威</t>
    </r>
  </si>
  <si>
    <r>
      <t>赵</t>
    </r>
    <r>
      <rPr>
        <sz val="12"/>
        <rFont val="Arial"/>
        <family val="2"/>
      </rPr>
      <t xml:space="preserve">  </t>
    </r>
    <r>
      <rPr>
        <sz val="12"/>
        <rFont val="宋体"/>
        <family val="3"/>
        <charset val="134"/>
      </rPr>
      <t>杰</t>
    </r>
  </si>
  <si>
    <t>张小玲</t>
  </si>
  <si>
    <r>
      <t>信息</t>
    </r>
    <r>
      <rPr>
        <sz val="12"/>
        <rFont val="Arial"/>
        <family val="2"/>
      </rPr>
      <t>2</t>
    </r>
    <r>
      <rPr>
        <sz val="12"/>
        <rFont val="宋体"/>
        <family val="3"/>
        <charset val="134"/>
      </rPr>
      <t>班</t>
    </r>
  </si>
  <si>
    <t>吴凤丽</t>
  </si>
  <si>
    <t>俞佳诺</t>
  </si>
  <si>
    <r>
      <t>杜</t>
    </r>
    <r>
      <rPr>
        <sz val="12"/>
        <rFont val="Arial"/>
        <family val="2"/>
      </rPr>
      <t xml:space="preserve">  </t>
    </r>
    <r>
      <rPr>
        <sz val="12"/>
        <rFont val="宋体"/>
        <family val="3"/>
        <charset val="134"/>
      </rPr>
      <t>宇</t>
    </r>
  </si>
  <si>
    <t>钱艳婷</t>
  </si>
  <si>
    <r>
      <t>陈</t>
    </r>
    <r>
      <rPr>
        <sz val="12"/>
        <rFont val="Arial"/>
        <family val="2"/>
      </rPr>
      <t xml:space="preserve">  </t>
    </r>
    <r>
      <rPr>
        <sz val="12"/>
        <rFont val="宋体"/>
        <family val="3"/>
        <charset val="134"/>
      </rPr>
      <t>瑶</t>
    </r>
  </si>
  <si>
    <t>顾佳严</t>
  </si>
  <si>
    <t>赵倩南</t>
  </si>
  <si>
    <r>
      <t>张</t>
    </r>
    <r>
      <rPr>
        <sz val="12"/>
        <rFont val="Arial"/>
        <family val="2"/>
      </rPr>
      <t xml:space="preserve">  </t>
    </r>
    <r>
      <rPr>
        <sz val="12"/>
        <rFont val="宋体"/>
        <family val="3"/>
        <charset val="134"/>
      </rPr>
      <t>岚</t>
    </r>
  </si>
  <si>
    <r>
      <t>周</t>
    </r>
    <r>
      <rPr>
        <sz val="12"/>
        <rFont val="Arial"/>
        <family val="2"/>
      </rPr>
      <t xml:space="preserve">  </t>
    </r>
    <r>
      <rPr>
        <sz val="12"/>
        <rFont val="宋体"/>
        <family val="3"/>
        <charset val="134"/>
      </rPr>
      <t>洁</t>
    </r>
  </si>
  <si>
    <t>张钟妤</t>
  </si>
  <si>
    <r>
      <t>陈</t>
    </r>
    <r>
      <rPr>
        <sz val="12"/>
        <rFont val="Arial"/>
        <family val="2"/>
      </rPr>
      <t xml:space="preserve">  </t>
    </r>
    <r>
      <rPr>
        <sz val="12"/>
        <rFont val="宋体"/>
        <family val="3"/>
        <charset val="134"/>
      </rPr>
      <t>燕</t>
    </r>
  </si>
  <si>
    <t>谢君慧</t>
  </si>
  <si>
    <t>袁薇薇</t>
  </si>
  <si>
    <t>徐佳琪</t>
  </si>
  <si>
    <t>陈雯婷</t>
  </si>
  <si>
    <r>
      <t>王</t>
    </r>
    <r>
      <rPr>
        <sz val="12"/>
        <rFont val="Arial"/>
        <family val="2"/>
      </rPr>
      <t xml:space="preserve">  </t>
    </r>
    <r>
      <rPr>
        <sz val="12"/>
        <rFont val="宋体"/>
        <family val="3"/>
        <charset val="134"/>
      </rPr>
      <t>莉</t>
    </r>
  </si>
  <si>
    <r>
      <t>曾</t>
    </r>
    <r>
      <rPr>
        <sz val="12"/>
        <rFont val="Arial"/>
        <family val="2"/>
      </rPr>
      <t xml:space="preserve">  </t>
    </r>
    <r>
      <rPr>
        <sz val="12"/>
        <rFont val="宋体"/>
        <family val="3"/>
        <charset val="134"/>
      </rPr>
      <t>欣</t>
    </r>
  </si>
  <si>
    <t>杨松鹤</t>
  </si>
  <si>
    <t>张慧鸿</t>
  </si>
  <si>
    <t>韩静雯</t>
  </si>
  <si>
    <t>万舒燕</t>
  </si>
  <si>
    <r>
      <t>孙</t>
    </r>
    <r>
      <rPr>
        <sz val="12"/>
        <rFont val="Arial"/>
        <family val="2"/>
      </rPr>
      <t xml:space="preserve">  </t>
    </r>
    <r>
      <rPr>
        <sz val="12"/>
        <rFont val="宋体"/>
        <family val="3"/>
        <charset val="134"/>
      </rPr>
      <t>倩</t>
    </r>
  </si>
  <si>
    <t>罗香兰</t>
  </si>
  <si>
    <r>
      <t>邵</t>
    </r>
    <r>
      <rPr>
        <sz val="12"/>
        <rFont val="Arial"/>
        <family val="2"/>
      </rPr>
      <t xml:space="preserve">  </t>
    </r>
    <r>
      <rPr>
        <sz val="12"/>
        <rFont val="宋体"/>
        <family val="3"/>
        <charset val="134"/>
      </rPr>
      <t>叶</t>
    </r>
  </si>
  <si>
    <t>廖志梅</t>
  </si>
  <si>
    <t>张胜楠</t>
  </si>
  <si>
    <t>孟慧颖</t>
  </si>
  <si>
    <t>于长霞</t>
  </si>
  <si>
    <t>金梦梦</t>
  </si>
  <si>
    <t>李丽娟</t>
  </si>
  <si>
    <t>李佳楠</t>
  </si>
  <si>
    <t>李苏明</t>
  </si>
  <si>
    <r>
      <t>顾</t>
    </r>
    <r>
      <rPr>
        <sz val="12"/>
        <rFont val="Arial"/>
        <family val="2"/>
      </rPr>
      <t xml:space="preserve">  </t>
    </r>
    <r>
      <rPr>
        <sz val="12"/>
        <rFont val="宋体"/>
        <family val="3"/>
        <charset val="134"/>
      </rPr>
      <t>强</t>
    </r>
  </si>
  <si>
    <t>张臣烨</t>
  </si>
  <si>
    <t>钱伟力</t>
  </si>
  <si>
    <t>高冬钱</t>
  </si>
  <si>
    <r>
      <t>韦</t>
    </r>
    <r>
      <rPr>
        <sz val="12"/>
        <rFont val="Arial"/>
        <family val="2"/>
      </rPr>
      <t xml:space="preserve">  </t>
    </r>
    <r>
      <rPr>
        <sz val="12"/>
        <rFont val="宋体"/>
        <family val="3"/>
        <charset val="134"/>
      </rPr>
      <t>柏</t>
    </r>
  </si>
  <si>
    <t>郭海荣</t>
  </si>
  <si>
    <t>王力成</t>
  </si>
  <si>
    <t>许双双</t>
  </si>
  <si>
    <t>郁立君</t>
  </si>
  <si>
    <t>汤志华</t>
  </si>
  <si>
    <r>
      <t>林</t>
    </r>
    <r>
      <rPr>
        <sz val="12"/>
        <rFont val="Arial"/>
        <family val="2"/>
      </rPr>
      <t xml:space="preserve">  </t>
    </r>
    <r>
      <rPr>
        <sz val="12"/>
        <rFont val="宋体"/>
        <family val="3"/>
        <charset val="134"/>
      </rPr>
      <t>彬</t>
    </r>
  </si>
  <si>
    <t>王平先</t>
  </si>
  <si>
    <r>
      <t>刘</t>
    </r>
    <r>
      <rPr>
        <sz val="12"/>
        <rFont val="Arial"/>
        <family val="2"/>
      </rPr>
      <t xml:space="preserve">  </t>
    </r>
    <r>
      <rPr>
        <sz val="12"/>
        <rFont val="宋体"/>
        <family val="3"/>
        <charset val="134"/>
      </rPr>
      <t>澍</t>
    </r>
  </si>
  <si>
    <t>汤燕珠</t>
  </si>
  <si>
    <r>
      <t>信息</t>
    </r>
    <r>
      <rPr>
        <sz val="12"/>
        <rFont val="Arial"/>
        <family val="2"/>
      </rPr>
      <t>3</t>
    </r>
    <r>
      <rPr>
        <sz val="12"/>
        <rFont val="宋体"/>
        <family val="3"/>
        <charset val="134"/>
      </rPr>
      <t>班</t>
    </r>
  </si>
  <si>
    <t>杨小媚</t>
  </si>
  <si>
    <r>
      <t>施</t>
    </r>
    <r>
      <rPr>
        <sz val="12"/>
        <rFont val="Arial"/>
        <family val="2"/>
      </rPr>
      <t xml:space="preserve">  </t>
    </r>
    <r>
      <rPr>
        <sz val="12"/>
        <rFont val="宋体"/>
        <family val="3"/>
        <charset val="134"/>
      </rPr>
      <t>欢</t>
    </r>
  </si>
  <si>
    <r>
      <t>俞</t>
    </r>
    <r>
      <rPr>
        <sz val="12"/>
        <rFont val="Arial"/>
        <family val="2"/>
      </rPr>
      <t xml:space="preserve">  </t>
    </r>
    <r>
      <rPr>
        <sz val="12"/>
        <rFont val="宋体"/>
        <family val="3"/>
        <charset val="134"/>
      </rPr>
      <t>琼</t>
    </r>
  </si>
  <si>
    <t>马琳峰</t>
  </si>
  <si>
    <t>李铭倩</t>
  </si>
  <si>
    <r>
      <t>周</t>
    </r>
    <r>
      <rPr>
        <sz val="12"/>
        <rFont val="Arial"/>
        <family val="2"/>
      </rPr>
      <t xml:space="preserve">  </t>
    </r>
    <r>
      <rPr>
        <sz val="12"/>
        <rFont val="宋体"/>
        <family val="3"/>
        <charset val="134"/>
      </rPr>
      <t>成</t>
    </r>
  </si>
  <si>
    <t>林颖颖</t>
  </si>
  <si>
    <r>
      <t>倪</t>
    </r>
    <r>
      <rPr>
        <sz val="12"/>
        <rFont val="Arial"/>
        <family val="2"/>
      </rPr>
      <t xml:space="preserve">  </t>
    </r>
    <r>
      <rPr>
        <sz val="12"/>
        <rFont val="宋体"/>
        <family val="3"/>
        <charset val="134"/>
      </rPr>
      <t>佳</t>
    </r>
  </si>
  <si>
    <t>马晓青</t>
  </si>
  <si>
    <t>周冰倩</t>
  </si>
  <si>
    <t>谢霏雯</t>
  </si>
  <si>
    <t>徐慧杰</t>
  </si>
  <si>
    <r>
      <t>江</t>
    </r>
    <r>
      <rPr>
        <sz val="12"/>
        <rFont val="Arial"/>
        <family val="2"/>
      </rPr>
      <t xml:space="preserve">  </t>
    </r>
    <r>
      <rPr>
        <sz val="12"/>
        <rFont val="宋体"/>
        <family val="3"/>
        <charset val="134"/>
      </rPr>
      <t>雯</t>
    </r>
  </si>
  <si>
    <r>
      <t>黄</t>
    </r>
    <r>
      <rPr>
        <sz val="12"/>
        <rFont val="Arial"/>
        <family val="2"/>
      </rPr>
      <t xml:space="preserve">  </t>
    </r>
    <r>
      <rPr>
        <sz val="12"/>
        <rFont val="宋体"/>
        <family val="3"/>
        <charset val="134"/>
      </rPr>
      <t>霜</t>
    </r>
  </si>
  <si>
    <t>杨春婷</t>
  </si>
  <si>
    <r>
      <t>张</t>
    </r>
    <r>
      <rPr>
        <sz val="12"/>
        <rFont val="Arial"/>
        <family val="2"/>
      </rPr>
      <t xml:space="preserve">  </t>
    </r>
    <r>
      <rPr>
        <sz val="12"/>
        <rFont val="宋体"/>
        <family val="3"/>
        <charset val="134"/>
      </rPr>
      <t>婷</t>
    </r>
  </si>
  <si>
    <r>
      <t>沈</t>
    </r>
    <r>
      <rPr>
        <sz val="12"/>
        <rFont val="Arial"/>
        <family val="2"/>
      </rPr>
      <t xml:space="preserve">  </t>
    </r>
    <r>
      <rPr>
        <sz val="12"/>
        <rFont val="宋体"/>
        <family val="3"/>
        <charset val="134"/>
      </rPr>
      <t>雯</t>
    </r>
  </si>
  <si>
    <t>盛思诗</t>
  </si>
  <si>
    <t>陆美花</t>
  </si>
  <si>
    <r>
      <t>封</t>
    </r>
    <r>
      <rPr>
        <sz val="12"/>
        <rFont val="Arial"/>
        <family val="2"/>
      </rPr>
      <t xml:space="preserve">  </t>
    </r>
    <r>
      <rPr>
        <sz val="12"/>
        <rFont val="宋体"/>
        <family val="3"/>
        <charset val="134"/>
      </rPr>
      <t>帆</t>
    </r>
  </si>
  <si>
    <t>朱萍萍</t>
  </si>
  <si>
    <r>
      <t>何</t>
    </r>
    <r>
      <rPr>
        <sz val="12"/>
        <rFont val="Arial"/>
        <family val="2"/>
      </rPr>
      <t xml:space="preserve">  </t>
    </r>
    <r>
      <rPr>
        <sz val="12"/>
        <rFont val="宋体"/>
        <family val="3"/>
        <charset val="134"/>
      </rPr>
      <t>苗</t>
    </r>
  </si>
  <si>
    <t>石红花</t>
  </si>
  <si>
    <t>吴淑敏</t>
  </si>
  <si>
    <r>
      <t>孙</t>
    </r>
    <r>
      <rPr>
        <sz val="12"/>
        <rFont val="Arial"/>
        <family val="2"/>
      </rPr>
      <t xml:space="preserve">  </t>
    </r>
    <r>
      <rPr>
        <sz val="12"/>
        <rFont val="宋体"/>
        <family val="3"/>
        <charset val="134"/>
      </rPr>
      <t>芳</t>
    </r>
  </si>
  <si>
    <t>陈秋宇</t>
  </si>
  <si>
    <t>杨慧玲</t>
  </si>
  <si>
    <r>
      <t>柳</t>
    </r>
    <r>
      <rPr>
        <sz val="12"/>
        <rFont val="Arial"/>
        <family val="2"/>
      </rPr>
      <t xml:space="preserve">  </t>
    </r>
    <r>
      <rPr>
        <sz val="12"/>
        <rFont val="宋体"/>
        <family val="3"/>
        <charset val="134"/>
      </rPr>
      <t>欢</t>
    </r>
  </si>
  <si>
    <t>严露瑶</t>
  </si>
  <si>
    <t>杨沛瑶</t>
  </si>
  <si>
    <t>张宗一</t>
  </si>
  <si>
    <t>施春阳</t>
  </si>
  <si>
    <r>
      <t>王</t>
    </r>
    <r>
      <rPr>
        <sz val="12"/>
        <rFont val="Arial"/>
        <family val="2"/>
      </rPr>
      <t xml:space="preserve">  </t>
    </r>
    <r>
      <rPr>
        <sz val="12"/>
        <rFont val="宋体"/>
        <family val="3"/>
        <charset val="134"/>
      </rPr>
      <t>炜</t>
    </r>
  </si>
  <si>
    <t>姚亚庆</t>
  </si>
  <si>
    <t>陈凌清</t>
  </si>
  <si>
    <t>封建永</t>
  </si>
  <si>
    <t>王嘉乐</t>
  </si>
  <si>
    <t>唐英杰</t>
  </si>
  <si>
    <t>毛佳俊</t>
  </si>
  <si>
    <r>
      <t>王</t>
    </r>
    <r>
      <rPr>
        <sz val="12"/>
        <rFont val="Arial"/>
        <family val="2"/>
      </rPr>
      <t xml:space="preserve">  </t>
    </r>
    <r>
      <rPr>
        <sz val="12"/>
        <rFont val="宋体"/>
        <family val="3"/>
        <charset val="134"/>
      </rPr>
      <t>伟</t>
    </r>
  </si>
  <si>
    <t>程孝钰</t>
  </si>
  <si>
    <t>蒋国安</t>
  </si>
  <si>
    <t>郑仁波</t>
  </si>
  <si>
    <r>
      <t>李</t>
    </r>
    <r>
      <rPr>
        <sz val="12"/>
        <rFont val="Arial"/>
        <family val="2"/>
      </rPr>
      <t xml:space="preserve">  </t>
    </r>
    <r>
      <rPr>
        <sz val="12"/>
        <rFont val="宋体"/>
        <family val="3"/>
        <charset val="134"/>
      </rPr>
      <t>燕</t>
    </r>
  </si>
  <si>
    <r>
      <t>吴</t>
    </r>
    <r>
      <rPr>
        <sz val="12"/>
        <rFont val="Arial"/>
        <family val="2"/>
      </rPr>
      <t xml:space="preserve">  </t>
    </r>
    <r>
      <rPr>
        <sz val="12"/>
        <rFont val="宋体"/>
        <family val="3"/>
        <charset val="134"/>
      </rPr>
      <t>彬</t>
    </r>
  </si>
  <si>
    <t>会计学院</t>
  </si>
  <si>
    <t>朱灵峰</t>
  </si>
  <si>
    <r>
      <t>会计</t>
    </r>
    <r>
      <rPr>
        <sz val="12"/>
        <rFont val="Arial"/>
        <family val="2"/>
      </rPr>
      <t>1</t>
    </r>
    <r>
      <rPr>
        <sz val="12"/>
        <rFont val="宋体"/>
        <family val="3"/>
        <charset val="134"/>
      </rPr>
      <t>班</t>
    </r>
  </si>
  <si>
    <r>
      <t>祝</t>
    </r>
    <r>
      <rPr>
        <sz val="12"/>
        <rFont val="Arial"/>
        <family val="2"/>
      </rPr>
      <t xml:space="preserve">  </t>
    </r>
    <r>
      <rPr>
        <sz val="12"/>
        <rFont val="宋体"/>
        <family val="3"/>
        <charset val="134"/>
      </rPr>
      <t>健</t>
    </r>
  </si>
  <si>
    <r>
      <t>张</t>
    </r>
    <r>
      <rPr>
        <sz val="12"/>
        <rFont val="Arial"/>
        <family val="2"/>
      </rPr>
      <t xml:space="preserve">  </t>
    </r>
    <r>
      <rPr>
        <sz val="12"/>
        <rFont val="宋体"/>
        <family val="3"/>
        <charset val="134"/>
      </rPr>
      <t>青</t>
    </r>
  </si>
  <si>
    <t>颜晓平</t>
  </si>
  <si>
    <t>乔欧伟</t>
  </si>
  <si>
    <r>
      <t>王</t>
    </r>
    <r>
      <rPr>
        <sz val="12"/>
        <rFont val="Arial"/>
        <family val="2"/>
      </rPr>
      <t xml:space="preserve">  </t>
    </r>
    <r>
      <rPr>
        <sz val="12"/>
        <rFont val="宋体"/>
        <family val="3"/>
        <charset val="134"/>
      </rPr>
      <t>波</t>
    </r>
  </si>
  <si>
    <t>魏家峰</t>
  </si>
  <si>
    <t>毛春民</t>
  </si>
  <si>
    <t>徐国帅</t>
  </si>
  <si>
    <t>姚建冬</t>
  </si>
  <si>
    <t>徐义敏</t>
  </si>
  <si>
    <t>路亚栋</t>
  </si>
  <si>
    <t>葛文超</t>
  </si>
  <si>
    <r>
      <t>林</t>
    </r>
    <r>
      <rPr>
        <sz val="12"/>
        <rFont val="Arial"/>
        <family val="2"/>
      </rPr>
      <t xml:space="preserve">  </t>
    </r>
    <r>
      <rPr>
        <sz val="12"/>
        <rFont val="宋体"/>
        <family val="3"/>
        <charset val="134"/>
      </rPr>
      <t>峰</t>
    </r>
  </si>
  <si>
    <r>
      <t>徐</t>
    </r>
    <r>
      <rPr>
        <sz val="12"/>
        <rFont val="Arial"/>
        <family val="2"/>
      </rPr>
      <t xml:space="preserve">  </t>
    </r>
    <r>
      <rPr>
        <sz val="12"/>
        <rFont val="宋体"/>
        <family val="3"/>
        <charset val="134"/>
      </rPr>
      <t>凯</t>
    </r>
  </si>
  <si>
    <r>
      <t>朱</t>
    </r>
    <r>
      <rPr>
        <sz val="12"/>
        <rFont val="Arial"/>
        <family val="2"/>
      </rPr>
      <t xml:space="preserve">  </t>
    </r>
    <r>
      <rPr>
        <sz val="12"/>
        <rFont val="宋体"/>
        <family val="3"/>
        <charset val="134"/>
      </rPr>
      <t>超</t>
    </r>
  </si>
  <si>
    <t>康旭东</t>
  </si>
  <si>
    <r>
      <t>郑</t>
    </r>
    <r>
      <rPr>
        <sz val="12"/>
        <rFont val="Arial"/>
        <family val="2"/>
      </rPr>
      <t xml:space="preserve">  </t>
    </r>
    <r>
      <rPr>
        <sz val="12"/>
        <rFont val="宋体"/>
        <family val="3"/>
        <charset val="134"/>
      </rPr>
      <t>煜</t>
    </r>
  </si>
  <si>
    <t>张中伦</t>
  </si>
  <si>
    <t>苏振文</t>
  </si>
  <si>
    <t>尹金鸣</t>
  </si>
  <si>
    <t>苟修文</t>
  </si>
  <si>
    <t>孙潘丹</t>
  </si>
  <si>
    <t>宣曹燕</t>
  </si>
  <si>
    <t>季丽娟</t>
  </si>
  <si>
    <t>张丹青</t>
  </si>
  <si>
    <r>
      <t>王</t>
    </r>
    <r>
      <rPr>
        <sz val="12"/>
        <rFont val="Arial"/>
        <family val="2"/>
      </rPr>
      <t xml:space="preserve">  </t>
    </r>
    <r>
      <rPr>
        <sz val="12"/>
        <rFont val="宋体"/>
        <family val="3"/>
        <charset val="134"/>
      </rPr>
      <t>贞</t>
    </r>
  </si>
  <si>
    <r>
      <t>洪</t>
    </r>
    <r>
      <rPr>
        <sz val="12"/>
        <rFont val="Arial"/>
        <family val="2"/>
      </rPr>
      <t xml:space="preserve">  </t>
    </r>
    <r>
      <rPr>
        <sz val="12"/>
        <rFont val="宋体"/>
        <family val="3"/>
        <charset val="134"/>
      </rPr>
      <t>韵</t>
    </r>
  </si>
  <si>
    <t>潘思敏</t>
  </si>
  <si>
    <r>
      <t>金</t>
    </r>
    <r>
      <rPr>
        <sz val="12"/>
        <rFont val="Arial"/>
        <family val="2"/>
      </rPr>
      <t xml:space="preserve">  </t>
    </r>
    <r>
      <rPr>
        <sz val="12"/>
        <rFont val="宋体"/>
        <family val="3"/>
        <charset val="134"/>
      </rPr>
      <t>霞</t>
    </r>
  </si>
  <si>
    <r>
      <t>吕</t>
    </r>
    <r>
      <rPr>
        <sz val="12"/>
        <rFont val="Arial"/>
        <family val="2"/>
      </rPr>
      <t xml:space="preserve">  </t>
    </r>
    <r>
      <rPr>
        <sz val="12"/>
        <rFont val="宋体"/>
        <family val="3"/>
        <charset val="134"/>
      </rPr>
      <t>进</t>
    </r>
  </si>
  <si>
    <t>200936201</t>
  </si>
  <si>
    <t>黄天华</t>
  </si>
  <si>
    <r>
      <t>会计</t>
    </r>
    <r>
      <rPr>
        <sz val="12"/>
        <rFont val="Arial"/>
        <family val="2"/>
      </rPr>
      <t>2</t>
    </r>
    <r>
      <rPr>
        <sz val="12"/>
        <rFont val="宋体"/>
        <family val="3"/>
        <charset val="134"/>
      </rPr>
      <t>班</t>
    </r>
  </si>
  <si>
    <t>200936202</t>
  </si>
  <si>
    <t>庄伟明</t>
  </si>
  <si>
    <t>200936203</t>
  </si>
  <si>
    <r>
      <t>张</t>
    </r>
    <r>
      <rPr>
        <sz val="12"/>
        <rFont val="Arial"/>
        <family val="2"/>
      </rPr>
      <t xml:space="preserve">  </t>
    </r>
    <r>
      <rPr>
        <sz val="12"/>
        <rFont val="宋体"/>
        <family val="3"/>
        <charset val="134"/>
      </rPr>
      <t>健</t>
    </r>
  </si>
  <si>
    <t>200936204</t>
  </si>
  <si>
    <t>周皓明</t>
  </si>
  <si>
    <t>200936205</t>
  </si>
  <si>
    <t>200936206</t>
  </si>
  <si>
    <t>李佳伟</t>
  </si>
  <si>
    <t>200936207</t>
  </si>
  <si>
    <t>陈新成</t>
  </si>
  <si>
    <t>200936208</t>
  </si>
  <si>
    <t>徐天明</t>
  </si>
  <si>
    <t>200936209</t>
  </si>
  <si>
    <t>蔡佳惠</t>
  </si>
  <si>
    <t>200936210</t>
  </si>
  <si>
    <t>管弦乐</t>
  </si>
  <si>
    <t>200936211</t>
  </si>
  <si>
    <r>
      <t>陆</t>
    </r>
    <r>
      <rPr>
        <sz val="12"/>
        <rFont val="Arial"/>
        <family val="2"/>
      </rPr>
      <t xml:space="preserve">  </t>
    </r>
    <r>
      <rPr>
        <sz val="12"/>
        <rFont val="宋体"/>
        <family val="3"/>
        <charset val="134"/>
      </rPr>
      <t>剑</t>
    </r>
  </si>
  <si>
    <t>200936212</t>
  </si>
  <si>
    <r>
      <t>陆</t>
    </r>
    <r>
      <rPr>
        <sz val="12"/>
        <rFont val="Arial"/>
        <family val="2"/>
      </rPr>
      <t xml:space="preserve">  </t>
    </r>
    <r>
      <rPr>
        <sz val="12"/>
        <rFont val="宋体"/>
        <family val="3"/>
        <charset val="134"/>
      </rPr>
      <t>滔</t>
    </r>
  </si>
  <si>
    <t>200936213</t>
  </si>
  <si>
    <t>姚蔚铭</t>
  </si>
  <si>
    <t>200936214</t>
  </si>
  <si>
    <t>张昊天</t>
  </si>
  <si>
    <t>200936215</t>
  </si>
  <si>
    <r>
      <t>唐</t>
    </r>
    <r>
      <rPr>
        <sz val="12"/>
        <rFont val="Arial"/>
        <family val="2"/>
      </rPr>
      <t xml:space="preserve">  </t>
    </r>
    <r>
      <rPr>
        <sz val="12"/>
        <rFont val="宋体"/>
        <family val="3"/>
        <charset val="134"/>
      </rPr>
      <t>俊</t>
    </r>
  </si>
  <si>
    <t>200936216</t>
  </si>
  <si>
    <t>潘正超</t>
  </si>
  <si>
    <t>200936217</t>
  </si>
  <si>
    <t>颜家耀</t>
  </si>
  <si>
    <t>200936218</t>
  </si>
  <si>
    <t>吴先富</t>
  </si>
  <si>
    <t>200936219</t>
  </si>
  <si>
    <t>吴坤里</t>
  </si>
  <si>
    <t>200936220</t>
  </si>
  <si>
    <t>李日臣</t>
  </si>
  <si>
    <t>200936221</t>
  </si>
  <si>
    <t>许超龙</t>
  </si>
  <si>
    <t>200936222</t>
  </si>
  <si>
    <t>龚晓蕾</t>
  </si>
  <si>
    <t>200936223</t>
  </si>
  <si>
    <r>
      <t>高</t>
    </r>
    <r>
      <rPr>
        <sz val="12"/>
        <rFont val="Arial"/>
        <family val="2"/>
      </rPr>
      <t xml:space="preserve">  </t>
    </r>
    <r>
      <rPr>
        <sz val="12"/>
        <rFont val="宋体"/>
        <family val="3"/>
        <charset val="134"/>
      </rPr>
      <t>瑾</t>
    </r>
  </si>
  <si>
    <t>200936224</t>
  </si>
  <si>
    <t>汪凤天</t>
  </si>
  <si>
    <t>200936225</t>
  </si>
  <si>
    <t>瞿婷婷</t>
  </si>
  <si>
    <t>200936226</t>
  </si>
  <si>
    <t>马佳玲</t>
  </si>
  <si>
    <t>200936227</t>
  </si>
  <si>
    <r>
      <t>闻</t>
    </r>
    <r>
      <rPr>
        <sz val="12"/>
        <rFont val="Arial"/>
        <family val="2"/>
      </rPr>
      <t xml:space="preserve">  </t>
    </r>
    <r>
      <rPr>
        <sz val="12"/>
        <rFont val="宋体"/>
        <family val="3"/>
        <charset val="134"/>
      </rPr>
      <t>月</t>
    </r>
  </si>
  <si>
    <t>200936228</t>
  </si>
  <si>
    <t>李文瑾</t>
  </si>
  <si>
    <t>200936229</t>
  </si>
  <si>
    <r>
      <t>沈</t>
    </r>
    <r>
      <rPr>
        <sz val="12"/>
        <rFont val="Arial"/>
        <family val="2"/>
      </rPr>
      <t xml:space="preserve">  </t>
    </r>
    <r>
      <rPr>
        <sz val="12"/>
        <rFont val="宋体"/>
        <family val="3"/>
        <charset val="134"/>
      </rPr>
      <t>婷</t>
    </r>
  </si>
  <si>
    <t>200936230</t>
  </si>
  <si>
    <t>施颖颖</t>
  </si>
  <si>
    <t>200936231</t>
  </si>
  <si>
    <t>鲁春媛</t>
  </si>
  <si>
    <t>200936301</t>
  </si>
  <si>
    <r>
      <t>赵</t>
    </r>
    <r>
      <rPr>
        <sz val="12"/>
        <rFont val="Arial"/>
        <family val="2"/>
      </rPr>
      <t xml:space="preserve">  </t>
    </r>
    <r>
      <rPr>
        <sz val="12"/>
        <rFont val="宋体"/>
        <family val="3"/>
        <charset val="134"/>
      </rPr>
      <t>政</t>
    </r>
  </si>
  <si>
    <r>
      <t>会计</t>
    </r>
    <r>
      <rPr>
        <sz val="12"/>
        <rFont val="Arial"/>
        <family val="2"/>
      </rPr>
      <t/>
    </r>
    <phoneticPr fontId="6" type="noConversion"/>
  </si>
  <si>
    <t>200936302</t>
  </si>
  <si>
    <t>黄逸骏</t>
  </si>
  <si>
    <t>200936303</t>
  </si>
  <si>
    <r>
      <t>冯</t>
    </r>
    <r>
      <rPr>
        <sz val="12"/>
        <rFont val="Arial"/>
        <family val="2"/>
      </rPr>
      <t xml:space="preserve">  </t>
    </r>
    <r>
      <rPr>
        <sz val="12"/>
        <rFont val="宋体"/>
        <family val="3"/>
        <charset val="134"/>
      </rPr>
      <t>斌</t>
    </r>
  </si>
  <si>
    <t>会计</t>
  </si>
  <si>
    <t>200936304</t>
  </si>
  <si>
    <t>姚炜诚</t>
  </si>
  <si>
    <t>200936305</t>
  </si>
  <si>
    <r>
      <t>瞿</t>
    </r>
    <r>
      <rPr>
        <sz val="12"/>
        <rFont val="Arial"/>
        <family val="2"/>
      </rPr>
      <t xml:space="preserve">  </t>
    </r>
    <r>
      <rPr>
        <sz val="12"/>
        <rFont val="宋体"/>
        <family val="3"/>
        <charset val="134"/>
      </rPr>
      <t>越</t>
    </r>
  </si>
  <si>
    <t>200936306</t>
  </si>
  <si>
    <r>
      <t>谢</t>
    </r>
    <r>
      <rPr>
        <sz val="12"/>
        <rFont val="Arial"/>
        <family val="2"/>
      </rPr>
      <t xml:space="preserve">  </t>
    </r>
    <r>
      <rPr>
        <sz val="12"/>
        <rFont val="宋体"/>
        <family val="3"/>
        <charset val="134"/>
      </rPr>
      <t>冰</t>
    </r>
  </si>
  <si>
    <t>200936307</t>
  </si>
  <si>
    <t>丁荣荣</t>
  </si>
  <si>
    <t>200936308</t>
  </si>
  <si>
    <t>韩骏千</t>
  </si>
  <si>
    <t>200936309</t>
  </si>
  <si>
    <t>乔建成</t>
  </si>
  <si>
    <t>200936310</t>
  </si>
  <si>
    <t>金圣英</t>
  </si>
  <si>
    <t>200936311</t>
  </si>
  <si>
    <t>朱佳明</t>
  </si>
  <si>
    <t>200936312</t>
  </si>
  <si>
    <t>毛叶新</t>
  </si>
  <si>
    <t>200936313</t>
  </si>
  <si>
    <t>汤斌飞</t>
  </si>
  <si>
    <t>200936314</t>
  </si>
  <si>
    <t>龙佳伟</t>
  </si>
  <si>
    <t>200936315</t>
  </si>
  <si>
    <t>倪惠锋</t>
  </si>
  <si>
    <t>200936316</t>
  </si>
  <si>
    <r>
      <t>沈</t>
    </r>
    <r>
      <rPr>
        <sz val="12"/>
        <rFont val="Arial"/>
        <family val="2"/>
      </rPr>
      <t xml:space="preserve">  </t>
    </r>
    <r>
      <rPr>
        <sz val="12"/>
        <rFont val="宋体"/>
        <family val="3"/>
        <charset val="134"/>
      </rPr>
      <t>翔</t>
    </r>
  </si>
  <si>
    <t>200936317</t>
  </si>
  <si>
    <t>郑驰源</t>
  </si>
  <si>
    <t>200936318</t>
  </si>
  <si>
    <t>王汇丰</t>
  </si>
  <si>
    <t>200936319</t>
  </si>
  <si>
    <t>董秀财</t>
  </si>
  <si>
    <t>200936320</t>
  </si>
  <si>
    <r>
      <t>胡</t>
    </r>
    <r>
      <rPr>
        <sz val="12"/>
        <rFont val="Arial"/>
        <family val="2"/>
      </rPr>
      <t xml:space="preserve">  </t>
    </r>
    <r>
      <rPr>
        <sz val="12"/>
        <rFont val="宋体"/>
        <family val="3"/>
        <charset val="134"/>
      </rPr>
      <t>强</t>
    </r>
  </si>
  <si>
    <t>200936321</t>
  </si>
  <si>
    <r>
      <t>陆</t>
    </r>
    <r>
      <rPr>
        <sz val="12"/>
        <rFont val="Arial"/>
        <family val="2"/>
      </rPr>
      <t xml:space="preserve">  </t>
    </r>
    <r>
      <rPr>
        <sz val="12"/>
        <rFont val="宋体"/>
        <family val="3"/>
        <charset val="134"/>
      </rPr>
      <t>奕</t>
    </r>
  </si>
  <si>
    <t>200936322</t>
  </si>
  <si>
    <t>陶晹妍</t>
  </si>
  <si>
    <t>200936323</t>
  </si>
  <si>
    <t>王佳雯</t>
  </si>
  <si>
    <t>200936324</t>
  </si>
  <si>
    <t>黄天美</t>
  </si>
  <si>
    <t>200936325</t>
  </si>
  <si>
    <r>
      <t>焦</t>
    </r>
    <r>
      <rPr>
        <sz val="12"/>
        <rFont val="Arial"/>
        <family val="2"/>
      </rPr>
      <t xml:space="preserve">  </t>
    </r>
    <r>
      <rPr>
        <sz val="12"/>
        <rFont val="宋体"/>
        <family val="3"/>
        <charset val="134"/>
      </rPr>
      <t>阳</t>
    </r>
  </si>
  <si>
    <t>200936326</t>
  </si>
  <si>
    <t>卢智群</t>
  </si>
  <si>
    <t>200936327</t>
  </si>
  <si>
    <r>
      <t>刘</t>
    </r>
    <r>
      <rPr>
        <sz val="12"/>
        <rFont val="Arial"/>
        <family val="2"/>
      </rPr>
      <t xml:space="preserve">  </t>
    </r>
    <r>
      <rPr>
        <sz val="12"/>
        <rFont val="宋体"/>
        <family val="3"/>
        <charset val="134"/>
      </rPr>
      <t>嘉</t>
    </r>
  </si>
  <si>
    <t>200936328</t>
  </si>
  <si>
    <t>陈婷婷</t>
  </si>
  <si>
    <t>200936329</t>
  </si>
  <si>
    <t>杜金婵</t>
  </si>
  <si>
    <t>200936330</t>
  </si>
  <si>
    <t>张晓婷</t>
  </si>
  <si>
    <t>200936331</t>
  </si>
  <si>
    <r>
      <t>张</t>
    </r>
    <r>
      <rPr>
        <sz val="12"/>
        <rFont val="Arial"/>
        <family val="2"/>
      </rPr>
      <t xml:space="preserve">  </t>
    </r>
    <r>
      <rPr>
        <sz val="12"/>
        <rFont val="宋体"/>
        <family val="3"/>
        <charset val="134"/>
      </rPr>
      <t>迎</t>
    </r>
  </si>
  <si>
    <t>移动平均跨度</t>
    <phoneticPr fontId="6" type="noConversion"/>
  </si>
  <si>
    <t>年月</t>
    <phoneticPr fontId="6" type="noConversion"/>
  </si>
  <si>
    <t>需求量</t>
    <phoneticPr fontId="6" type="noConversion"/>
  </si>
  <si>
    <t>MSE</t>
    <phoneticPr fontId="6" type="noConversion"/>
  </si>
  <si>
    <t>最优移动平均跨度</t>
    <phoneticPr fontId="6" type="noConversion"/>
  </si>
  <si>
    <t>2021年6月的预测值</t>
    <phoneticPr fontId="6" type="noConversion"/>
  </si>
  <si>
    <t>固定成本</t>
    <phoneticPr fontId="6" type="noConversion"/>
  </si>
  <si>
    <t>单价</t>
    <phoneticPr fontId="6" type="noConversion"/>
  </si>
  <si>
    <t>单位变动成本</t>
    <phoneticPr fontId="6" type="noConversion"/>
  </si>
  <si>
    <t>销量</t>
    <phoneticPr fontId="6" type="noConversion"/>
  </si>
  <si>
    <t>销售收益</t>
    <phoneticPr fontId="6" type="noConversion"/>
  </si>
  <si>
    <t>总成本</t>
    <phoneticPr fontId="6" type="noConversion"/>
  </si>
  <si>
    <t>利润</t>
    <phoneticPr fontId="6" type="noConversion"/>
  </si>
  <si>
    <t>贴现率</t>
    <phoneticPr fontId="6" type="noConversion"/>
  </si>
  <si>
    <t>成本</t>
    <phoneticPr fontId="12" type="noConversion"/>
  </si>
  <si>
    <t>用电量</t>
    <phoneticPr fontId="12" type="noConversion"/>
  </si>
  <si>
    <t>A产品</t>
    <phoneticPr fontId="12" type="noConversion"/>
  </si>
  <si>
    <t>B产品</t>
    <phoneticPr fontId="12" type="noConversion"/>
  </si>
  <si>
    <t>B产品</t>
    <phoneticPr fontId="12" type="noConversion"/>
  </si>
  <si>
    <t>分厂1</t>
    <phoneticPr fontId="12" type="noConversion"/>
  </si>
  <si>
    <t>分厂2</t>
  </si>
  <si>
    <t>分厂3</t>
  </si>
  <si>
    <t>总成本</t>
    <phoneticPr fontId="12" type="noConversion"/>
  </si>
  <si>
    <t>第</t>
    <phoneticPr fontId="6" type="noConversion"/>
  </si>
  <si>
    <t>年</t>
    <phoneticPr fontId="17" type="noConversion"/>
  </si>
  <si>
    <t>资金X1</t>
    <phoneticPr fontId="17" type="noConversion"/>
  </si>
  <si>
    <t>员工数X2</t>
    <phoneticPr fontId="17" type="noConversion"/>
  </si>
  <si>
    <t>用电量X3</t>
    <phoneticPr fontId="17" type="noConversion"/>
  </si>
  <si>
    <t>利润</t>
    <phoneticPr fontId="17" type="noConversion"/>
  </si>
  <si>
    <t>2.工作区</t>
    <phoneticPr fontId="6" type="noConversion"/>
  </si>
  <si>
    <t>3.输出区</t>
    <phoneticPr fontId="6" type="noConversion"/>
  </si>
  <si>
    <t>4.试验区</t>
    <phoneticPr fontId="6" type="noConversion"/>
  </si>
  <si>
    <t>年总成本</t>
    <phoneticPr fontId="6" type="noConversion"/>
  </si>
  <si>
    <t>4.试验区（多次）</t>
    <phoneticPr fontId="6" type="noConversion"/>
  </si>
  <si>
    <t>5.统计区</t>
    <phoneticPr fontId="6" type="noConversion"/>
  </si>
  <si>
    <t>1.输入区</t>
    <phoneticPr fontId="6" type="noConversion"/>
  </si>
  <si>
    <t>天</t>
  </si>
  <si>
    <t>日需</t>
  </si>
  <si>
    <t>开始</t>
  </si>
  <si>
    <t>结束</t>
  </si>
  <si>
    <t>订货</t>
  </si>
  <si>
    <t>缺货</t>
    <phoneticPr fontId="6" type="noConversion"/>
  </si>
  <si>
    <t>储存</t>
  </si>
  <si>
    <t>平均值</t>
    <phoneticPr fontId="6" type="noConversion"/>
  </si>
  <si>
    <t>安全库存</t>
    <phoneticPr fontId="6" type="noConversion"/>
  </si>
  <si>
    <t>求量</t>
  </si>
  <si>
    <t>库存</t>
    <phoneticPr fontId="6" type="noConversion"/>
  </si>
  <si>
    <t>标志</t>
  </si>
  <si>
    <t>量</t>
    <phoneticPr fontId="6" type="noConversion"/>
  </si>
  <si>
    <t>成本</t>
    <phoneticPr fontId="6" type="noConversion"/>
  </si>
  <si>
    <t>成本</t>
  </si>
  <si>
    <t>一次订货成本</t>
    <phoneticPr fontId="6" type="noConversion"/>
  </si>
  <si>
    <t>初始库存量</t>
  </si>
  <si>
    <t>单位日储存成本</t>
  </si>
  <si>
    <t>单位缺货成本</t>
    <phoneticPr fontId="6" type="noConversion"/>
  </si>
  <si>
    <t>订货量</t>
  </si>
  <si>
    <t>年缺货成本</t>
    <phoneticPr fontId="6" type="noConversion"/>
  </si>
  <si>
    <t>年订货成本</t>
  </si>
  <si>
    <t>年储存成本</t>
  </si>
  <si>
    <t>年总成本</t>
  </si>
  <si>
    <t>一次模拟参考线</t>
    <phoneticPr fontId="6" type="noConversion"/>
  </si>
  <si>
    <r>
      <rPr>
        <b/>
        <sz val="11"/>
        <rFont val="宋体"/>
        <family val="3"/>
        <charset val="134"/>
      </rPr>
      <t>1.输入区</t>
    </r>
    <r>
      <rPr>
        <sz val="11"/>
        <rFont val="宋体"/>
        <family val="3"/>
        <charset val="134"/>
      </rPr>
      <t>—日需求量分布</t>
    </r>
    <phoneticPr fontId="6" type="noConversion"/>
  </si>
  <si>
    <t>一次随机模拟</t>
    <phoneticPr fontId="6" type="noConversion"/>
  </si>
  <si>
    <t>需求</t>
    <phoneticPr fontId="6" type="noConversion"/>
  </si>
  <si>
    <t>概率</t>
    <phoneticPr fontId="6" type="noConversion"/>
  </si>
  <si>
    <t>累积概率</t>
    <phoneticPr fontId="6" type="noConversion"/>
  </si>
  <si>
    <t>年总成本极小值</t>
  </si>
  <si>
    <t>最优订货量</t>
  </si>
  <si>
    <t>6.图形区</t>
    <phoneticPr fontId="6" type="noConversion"/>
  </si>
  <si>
    <t>单位年储存成本</t>
    <phoneticPr fontId="6" type="noConversion"/>
  </si>
  <si>
    <r>
      <t>初始投资</t>
    </r>
    <r>
      <rPr>
        <b/>
        <sz val="10"/>
        <rFont val="Times New Roman"/>
        <family val="1"/>
      </rPr>
      <t>(</t>
    </r>
    <r>
      <rPr>
        <b/>
        <sz val="10"/>
        <rFont val="宋体"/>
        <family val="3"/>
        <charset val="134"/>
      </rPr>
      <t>万元</t>
    </r>
    <r>
      <rPr>
        <b/>
        <sz val="10"/>
        <rFont val="Times New Roman"/>
        <family val="1"/>
      </rPr>
      <t>)</t>
    </r>
    <phoneticPr fontId="6" type="noConversion"/>
  </si>
  <si>
    <t>年限</t>
    <phoneticPr fontId="6" type="noConversion"/>
  </si>
  <si>
    <r>
      <t>年收益</t>
    </r>
    <r>
      <rPr>
        <b/>
        <sz val="10"/>
        <rFont val="Times New Roman"/>
        <family val="1"/>
      </rPr>
      <t>(</t>
    </r>
    <r>
      <rPr>
        <b/>
        <sz val="10"/>
        <rFont val="宋体"/>
        <family val="3"/>
        <charset val="134"/>
      </rPr>
      <t>万元</t>
    </r>
    <r>
      <rPr>
        <b/>
        <sz val="10"/>
        <rFont val="Times New Roman"/>
        <family val="1"/>
      </rPr>
      <t>)</t>
    </r>
    <phoneticPr fontId="6" type="noConversion"/>
  </si>
  <si>
    <t>1、</t>
    <phoneticPr fontId="12" type="noConversion"/>
  </si>
  <si>
    <r>
      <t>15</t>
    </r>
    <r>
      <rPr>
        <b/>
        <sz val="10"/>
        <rFont val="宋体"/>
        <family val="3"/>
        <charset val="134"/>
      </rPr>
      <t>年收益的现值</t>
    </r>
    <r>
      <rPr>
        <b/>
        <sz val="10"/>
        <rFont val="Times New Roman"/>
        <family val="1"/>
      </rPr>
      <t>(</t>
    </r>
    <r>
      <rPr>
        <b/>
        <sz val="10"/>
        <rFont val="宋体"/>
        <family val="3"/>
        <charset val="134"/>
      </rPr>
      <t>万元</t>
    </r>
    <r>
      <rPr>
        <b/>
        <sz val="10"/>
        <rFont val="Times New Roman"/>
        <family val="1"/>
      </rPr>
      <t>)</t>
    </r>
    <phoneticPr fontId="6" type="noConversion"/>
  </si>
  <si>
    <r>
      <t>银行贷款</t>
    </r>
    <r>
      <rPr>
        <b/>
        <sz val="10"/>
        <rFont val="Times New Roman"/>
        <family val="1"/>
      </rPr>
      <t>(</t>
    </r>
    <r>
      <rPr>
        <b/>
        <sz val="10"/>
        <rFont val="宋体"/>
        <family val="3"/>
        <charset val="134"/>
      </rPr>
      <t>万元</t>
    </r>
    <r>
      <rPr>
        <b/>
        <sz val="10"/>
        <rFont val="Times New Roman"/>
        <family val="1"/>
      </rPr>
      <t>)</t>
    </r>
    <phoneticPr fontId="6" type="noConversion"/>
  </si>
  <si>
    <t>贷款利率</t>
  </si>
  <si>
    <t>还款年限</t>
    <phoneticPr fontId="6" type="noConversion"/>
  </si>
  <si>
    <t>2、</t>
    <phoneticPr fontId="12" type="noConversion"/>
  </si>
  <si>
    <r>
      <t>年还款额</t>
    </r>
    <r>
      <rPr>
        <b/>
        <sz val="10"/>
        <rFont val="Times New Roman"/>
        <family val="1"/>
      </rPr>
      <t>(</t>
    </r>
    <r>
      <rPr>
        <b/>
        <sz val="10"/>
        <rFont val="宋体"/>
        <family val="3"/>
        <charset val="134"/>
      </rPr>
      <t>万元</t>
    </r>
    <r>
      <rPr>
        <b/>
        <sz val="10"/>
        <rFont val="Times New Roman"/>
        <family val="1"/>
      </rPr>
      <t>)</t>
    </r>
    <phoneticPr fontId="6" type="noConversion"/>
  </si>
  <si>
    <t>3、</t>
    <phoneticPr fontId="12" type="noConversion"/>
  </si>
  <si>
    <t>项目的内部报酬率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</si>
</sst>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76" formatCode="_(* #,##0.00_);_(* \(#,##0.00\);_(* &quot;-&quot;??_);_(@_)"/>
    <numFmt numFmtId="177" formatCode="0_);[Red]\(0\)"/>
    <numFmt numFmtId="178" formatCode="0.0"/>
    <numFmt numFmtId="179" formatCode="0.000"/>
    <numFmt numFmtId="180" formatCode="&quot;¥&quot;#,##0.00_);[Red]\(&quot;¥&quot;#,##0.00\)"/>
  </numFmts>
  <fonts count="27" x14ac:knownFonts="1">
    <font>
      <sz val="12"/>
      <name val="宋体"/>
      <charset val="134"/>
    </font>
    <font>
      <sz val="11"/>
      <color theme="1"/>
      <name val="宋体"/>
      <family val="2"/>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2"/>
      <name val="宋体"/>
      <family val="3"/>
      <charset val="134"/>
    </font>
    <font>
      <sz val="9"/>
      <name val="宋体"/>
      <family val="3"/>
      <charset val="134"/>
    </font>
    <font>
      <b/>
      <sz val="12"/>
      <name val="宋体"/>
      <family val="3"/>
      <charset val="134"/>
    </font>
    <font>
      <sz val="12"/>
      <name val="Arial"/>
      <family val="2"/>
    </font>
    <font>
      <sz val="11"/>
      <color theme="1"/>
      <name val="宋体"/>
      <family val="2"/>
      <scheme val="minor"/>
    </font>
    <font>
      <sz val="11"/>
      <color theme="1"/>
      <name val="宋体"/>
      <family val="3"/>
      <charset val="134"/>
      <scheme val="minor"/>
    </font>
    <font>
      <sz val="12"/>
      <color theme="1"/>
      <name val="宋体"/>
      <family val="3"/>
      <charset val="134"/>
    </font>
    <font>
      <sz val="9"/>
      <name val="宋体"/>
      <family val="2"/>
      <charset val="134"/>
      <scheme val="minor"/>
    </font>
    <font>
      <sz val="11"/>
      <name val="宋体"/>
      <family val="3"/>
      <charset val="134"/>
    </font>
    <font>
      <sz val="10"/>
      <name val="Arial"/>
      <family val="2"/>
    </font>
    <font>
      <sz val="8"/>
      <color theme="1"/>
      <name val="宋体"/>
      <family val="3"/>
      <charset val="134"/>
      <scheme val="minor"/>
    </font>
    <font>
      <b/>
      <sz val="11"/>
      <color theme="1"/>
      <name val="宋体"/>
      <family val="3"/>
      <charset val="134"/>
    </font>
    <font>
      <sz val="9"/>
      <name val="宋体"/>
      <family val="3"/>
      <charset val="134"/>
      <scheme val="minor"/>
    </font>
    <font>
      <sz val="11"/>
      <color theme="1"/>
      <name val="宋体"/>
      <family val="3"/>
      <charset val="134"/>
    </font>
    <font>
      <sz val="11"/>
      <color theme="1"/>
      <name val="Arial"/>
      <family val="2"/>
    </font>
    <font>
      <sz val="12"/>
      <name val="宋体"/>
      <family val="3"/>
      <charset val="134"/>
    </font>
    <font>
      <b/>
      <sz val="11"/>
      <color theme="1"/>
      <name val="宋体"/>
      <family val="2"/>
      <charset val="134"/>
      <scheme val="minor"/>
    </font>
    <font>
      <b/>
      <sz val="11"/>
      <name val="宋体"/>
      <family val="3"/>
      <charset val="134"/>
    </font>
    <font>
      <sz val="11"/>
      <name val="Arial"/>
      <family val="2"/>
    </font>
    <font>
      <b/>
      <sz val="11"/>
      <name val="宋体"/>
      <family val="3"/>
      <charset val="134"/>
      <scheme val="minor"/>
    </font>
    <font>
      <b/>
      <sz val="10"/>
      <name val="Times New Roman"/>
      <family val="1"/>
    </font>
    <font>
      <b/>
      <sz val="10"/>
      <name val="宋体"/>
      <family val="3"/>
      <charset val="134"/>
    </font>
  </fonts>
  <fills count="10">
    <fill>
      <patternFill patternType="none"/>
    </fill>
    <fill>
      <patternFill patternType="gray125"/>
    </fill>
    <fill>
      <patternFill patternType="solid">
        <fgColor theme="0" tint="-0.14999847407452621"/>
        <bgColor indexed="64"/>
      </patternFill>
    </fill>
    <fill>
      <patternFill patternType="solid">
        <fgColor rgb="FFFFFFCC"/>
        <bgColor indexed="64"/>
      </patternFill>
    </fill>
    <fill>
      <patternFill patternType="solid">
        <fgColor theme="0" tint="-0.249977111117893"/>
        <bgColor indexed="64"/>
      </patternFill>
    </fill>
    <fill>
      <patternFill patternType="solid">
        <fgColor theme="0"/>
        <bgColor indexed="64"/>
      </patternFill>
    </fill>
    <fill>
      <patternFill patternType="solid">
        <fgColor rgb="FFCCFFCC"/>
        <bgColor indexed="64"/>
      </patternFill>
    </fill>
    <fill>
      <patternFill patternType="solid">
        <fgColor rgb="FFCCFF99"/>
        <bgColor indexed="64"/>
      </patternFill>
    </fill>
    <fill>
      <patternFill patternType="solid">
        <fgColor theme="9" tint="0.59999389629810485"/>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double">
        <color indexed="9"/>
      </left>
      <right/>
      <top/>
      <bottom/>
      <diagonal/>
    </border>
    <border>
      <left style="thin">
        <color indexed="64"/>
      </left>
      <right/>
      <top/>
      <bottom style="thin">
        <color indexed="64"/>
      </bottom>
      <diagonal/>
    </border>
    <border>
      <left style="thin">
        <color indexed="64"/>
      </left>
      <right/>
      <top style="thin">
        <color indexed="64"/>
      </top>
      <bottom/>
      <diagonal/>
    </border>
  </borders>
  <cellStyleXfs count="21">
    <xf numFmtId="0" fontId="0" fillId="0" borderId="0">
      <alignment vertical="center"/>
    </xf>
    <xf numFmtId="9" fontId="5" fillId="0" borderId="0" applyFont="0" applyFill="0" applyBorder="0" applyAlignment="0" applyProtection="0">
      <alignment vertical="center"/>
    </xf>
    <xf numFmtId="0" fontId="5" fillId="0" borderId="0"/>
    <xf numFmtId="0" fontId="5" fillId="0" borderId="0">
      <alignment vertical="center"/>
    </xf>
    <xf numFmtId="0" fontId="9" fillId="0" borderId="0"/>
    <xf numFmtId="9" fontId="9" fillId="0" borderId="0" applyFont="0" applyFill="0" applyBorder="0" applyAlignment="0" applyProtection="0">
      <alignment vertical="center"/>
    </xf>
    <xf numFmtId="0" fontId="4" fillId="0" borderId="0">
      <alignment vertical="center"/>
    </xf>
    <xf numFmtId="0" fontId="10" fillId="0" borderId="0">
      <alignment vertical="center"/>
    </xf>
    <xf numFmtId="176" fontId="5" fillId="0" borderId="0" applyFont="0" applyFill="0" applyBorder="0" applyAlignment="0" applyProtection="0">
      <alignment vertical="center"/>
    </xf>
    <xf numFmtId="0" fontId="5" fillId="0" borderId="0"/>
    <xf numFmtId="9" fontId="5" fillId="0" borderId="0" applyFont="0" applyFill="0" applyBorder="0" applyAlignment="0" applyProtection="0"/>
    <xf numFmtId="0" fontId="9" fillId="0" borderId="0"/>
    <xf numFmtId="0" fontId="3" fillId="0" borderId="0">
      <alignment vertical="center"/>
    </xf>
    <xf numFmtId="0" fontId="5" fillId="0" borderId="0"/>
    <xf numFmtId="0" fontId="5" fillId="0" borderId="0">
      <alignment vertical="center"/>
    </xf>
    <xf numFmtId="0" fontId="14" fillId="0" borderId="0"/>
    <xf numFmtId="0" fontId="2" fillId="0" borderId="0">
      <alignment vertical="center"/>
    </xf>
    <xf numFmtId="0" fontId="2" fillId="0" borderId="0">
      <alignment vertical="center"/>
    </xf>
    <xf numFmtId="176" fontId="5" fillId="0" borderId="0" applyFont="0" applyFill="0" applyBorder="0" applyAlignment="0" applyProtection="0">
      <alignment vertical="center"/>
    </xf>
    <xf numFmtId="0" fontId="1" fillId="0" borderId="0"/>
    <xf numFmtId="43" fontId="20" fillId="0" borderId="0" applyFont="0" applyFill="0" applyBorder="0" applyAlignment="0" applyProtection="0">
      <alignment vertical="center"/>
    </xf>
  </cellStyleXfs>
  <cellXfs count="104">
    <xf numFmtId="0" fontId="0" fillId="0" borderId="0" xfId="0">
      <alignment vertical="center"/>
    </xf>
    <xf numFmtId="0" fontId="9" fillId="0" borderId="0" xfId="11"/>
    <xf numFmtId="0" fontId="7" fillId="4" borderId="1" xfId="2" applyFont="1" applyFill="1" applyBorder="1" applyAlignment="1">
      <alignment horizontal="center"/>
    </xf>
    <xf numFmtId="0" fontId="8" fillId="0" borderId="0" xfId="2" applyFont="1"/>
    <xf numFmtId="0" fontId="5" fillId="3" borderId="1" xfId="2" applyFont="1" applyFill="1" applyBorder="1" applyAlignment="1">
      <alignment horizontal="center"/>
    </xf>
    <xf numFmtId="177" fontId="8" fillId="3" borderId="1" xfId="2" applyNumberFormat="1" applyFont="1" applyFill="1" applyBorder="1" applyAlignment="1">
      <alignment horizontal="center"/>
    </xf>
    <xf numFmtId="0" fontId="8" fillId="3" borderId="1" xfId="2" applyFont="1" applyFill="1" applyBorder="1" applyAlignment="1">
      <alignment horizontal="center"/>
    </xf>
    <xf numFmtId="0" fontId="7" fillId="0" borderId="1" xfId="2" applyFont="1" applyBorder="1" applyAlignment="1">
      <alignment horizontal="justify" vertical="center" wrapText="1"/>
    </xf>
    <xf numFmtId="0" fontId="8" fillId="0" borderId="0" xfId="2" applyFont="1" applyAlignment="1"/>
    <xf numFmtId="0" fontId="8" fillId="0" borderId="0" xfId="2" applyFont="1" applyAlignment="1">
      <alignment horizontal="center"/>
    </xf>
    <xf numFmtId="14" fontId="8" fillId="0" borderId="0" xfId="2" applyNumberFormat="1" applyFont="1" applyAlignment="1">
      <alignment horizontal="center"/>
    </xf>
    <xf numFmtId="0" fontId="5" fillId="2" borderId="1" xfId="14" applyFont="1" applyFill="1" applyBorder="1">
      <alignment vertical="center"/>
    </xf>
    <xf numFmtId="0" fontId="5" fillId="6" borderId="1" xfId="14" applyFont="1" applyFill="1" applyBorder="1">
      <alignment vertical="center"/>
    </xf>
    <xf numFmtId="0" fontId="7" fillId="2" borderId="2" xfId="14" applyFont="1" applyFill="1" applyBorder="1" applyAlignment="1">
      <alignment horizontal="center" vertical="center"/>
    </xf>
    <xf numFmtId="0" fontId="7" fillId="2" borderId="1" xfId="14" applyFont="1" applyFill="1" applyBorder="1" applyAlignment="1">
      <alignment horizontal="center" vertical="center"/>
    </xf>
    <xf numFmtId="57" fontId="5" fillId="2" borderId="2" xfId="14" applyNumberFormat="1" applyFont="1" applyFill="1" applyBorder="1">
      <alignment vertical="center"/>
    </xf>
    <xf numFmtId="0" fontId="5" fillId="3" borderId="5" xfId="14" applyFont="1" applyFill="1" applyBorder="1" applyAlignment="1">
      <alignment horizontal="center" vertical="center"/>
    </xf>
    <xf numFmtId="0" fontId="5" fillId="6" borderId="2" xfId="14" applyFont="1" applyFill="1" applyBorder="1" applyAlignment="1">
      <alignment horizontal="center" vertical="center"/>
    </xf>
    <xf numFmtId="0" fontId="5" fillId="0" borderId="0" xfId="14" applyFont="1">
      <alignment vertical="center"/>
    </xf>
    <xf numFmtId="57" fontId="5" fillId="2" borderId="4" xfId="14" applyNumberFormat="1" applyFont="1" applyFill="1" applyBorder="1">
      <alignment vertical="center"/>
    </xf>
    <xf numFmtId="0" fontId="5" fillId="6" borderId="1" xfId="14" applyFont="1" applyFill="1" applyBorder="1" applyAlignment="1">
      <alignment horizontal="center"/>
    </xf>
    <xf numFmtId="178" fontId="5" fillId="6" borderId="1" xfId="14" applyNumberFormat="1" applyFont="1" applyFill="1" applyBorder="1">
      <alignment vertical="center"/>
    </xf>
    <xf numFmtId="57" fontId="5" fillId="2" borderId="3" xfId="14" applyNumberFormat="1" applyFont="1" applyFill="1" applyBorder="1">
      <alignment vertical="center"/>
    </xf>
    <xf numFmtId="0" fontId="5" fillId="3" borderId="6" xfId="14" applyFont="1" applyFill="1" applyBorder="1" applyAlignment="1">
      <alignment horizontal="center" vertical="center"/>
    </xf>
    <xf numFmtId="0" fontId="5" fillId="0" borderId="7" xfId="14" applyFont="1" applyBorder="1" applyAlignment="1">
      <alignment horizontal="center" vertical="center"/>
    </xf>
    <xf numFmtId="0" fontId="5" fillId="6" borderId="1" xfId="14" applyFont="1" applyFill="1" applyBorder="1" applyAlignment="1">
      <alignment horizontal="center" vertical="center"/>
    </xf>
    <xf numFmtId="0" fontId="11" fillId="0" borderId="0" xfId="17" applyFont="1" applyAlignment="1">
      <alignment vertical="center"/>
    </xf>
    <xf numFmtId="0" fontId="11" fillId="5" borderId="0" xfId="17" applyFont="1" applyFill="1" applyAlignment="1">
      <alignment vertical="center"/>
    </xf>
    <xf numFmtId="0" fontId="11" fillId="0" borderId="0" xfId="17" applyFont="1">
      <alignment vertical="center"/>
    </xf>
    <xf numFmtId="0" fontId="11" fillId="2" borderId="1" xfId="17" applyFont="1" applyFill="1" applyBorder="1" applyAlignment="1">
      <alignment vertical="center"/>
    </xf>
    <xf numFmtId="0" fontId="11" fillId="3" borderId="1" xfId="17" applyFont="1" applyFill="1" applyBorder="1" applyAlignment="1">
      <alignment vertical="center"/>
    </xf>
    <xf numFmtId="0" fontId="11" fillId="0" borderId="1" xfId="17" applyFont="1" applyBorder="1" applyAlignment="1">
      <alignment vertical="center"/>
    </xf>
    <xf numFmtId="0" fontId="11" fillId="7" borderId="1" xfId="17" applyFont="1" applyFill="1" applyBorder="1" applyAlignment="1">
      <alignment vertical="center"/>
    </xf>
    <xf numFmtId="0" fontId="11" fillId="0" borderId="0" xfId="17" applyFont="1" applyFill="1" applyBorder="1">
      <alignment vertical="center"/>
    </xf>
    <xf numFmtId="0" fontId="11" fillId="0" borderId="0" xfId="17" applyFont="1" applyFill="1" applyBorder="1" applyAlignment="1">
      <alignment horizontal="center" vertical="center"/>
    </xf>
    <xf numFmtId="0" fontId="11" fillId="0" borderId="0" xfId="17" applyFont="1" applyFill="1" applyBorder="1" applyAlignment="1">
      <alignment vertical="center"/>
    </xf>
    <xf numFmtId="0" fontId="2" fillId="0" borderId="0" xfId="17" applyFill="1" applyBorder="1">
      <alignment vertical="center"/>
    </xf>
    <xf numFmtId="0" fontId="15" fillId="0" borderId="0" xfId="17" applyFont="1" applyFill="1" applyBorder="1" applyAlignment="1">
      <alignment horizontal="center" vertical="center"/>
    </xf>
    <xf numFmtId="0" fontId="2" fillId="0" borderId="0" xfId="17">
      <alignment vertical="center"/>
    </xf>
    <xf numFmtId="0" fontId="15" fillId="0" borderId="0" xfId="17" applyFont="1" applyAlignment="1">
      <alignment horizontal="center" vertical="center"/>
    </xf>
    <xf numFmtId="0" fontId="2" fillId="0" borderId="0" xfId="17" applyAlignment="1">
      <alignment horizontal="center" vertical="center"/>
    </xf>
    <xf numFmtId="0" fontId="11" fillId="0" borderId="0" xfId="16" applyFont="1">
      <alignment vertical="center"/>
    </xf>
    <xf numFmtId="0" fontId="11" fillId="2" borderId="1" xfId="16" applyFont="1" applyFill="1" applyBorder="1" applyAlignment="1">
      <alignment horizontal="center" vertical="center"/>
    </xf>
    <xf numFmtId="0" fontId="11" fillId="3" borderId="1" xfId="16" applyFont="1" applyFill="1" applyBorder="1" applyAlignment="1">
      <alignment horizontal="center" vertical="center"/>
    </xf>
    <xf numFmtId="0" fontId="11" fillId="0" borderId="0" xfId="16" applyFont="1" applyAlignment="1">
      <alignment horizontal="center" vertical="center"/>
    </xf>
    <xf numFmtId="0" fontId="11" fillId="6" borderId="1" xfId="16" applyFont="1" applyFill="1" applyBorder="1">
      <alignment vertical="center"/>
    </xf>
    <xf numFmtId="0" fontId="5" fillId="0" borderId="0" xfId="0" applyFont="1">
      <alignment vertical="center"/>
    </xf>
    <xf numFmtId="0" fontId="16" fillId="2" borderId="1" xfId="0" applyFont="1" applyFill="1" applyBorder="1" applyAlignment="1">
      <alignment horizontal="center"/>
    </xf>
    <xf numFmtId="0" fontId="0" fillId="0" borderId="0" xfId="0" applyAlignment="1"/>
    <xf numFmtId="0" fontId="18" fillId="0" borderId="0" xfId="19" applyFont="1"/>
    <xf numFmtId="0" fontId="19" fillId="0" borderId="1" xfId="0" applyFont="1" applyBorder="1" applyAlignment="1"/>
    <xf numFmtId="0" fontId="13" fillId="0" borderId="0" xfId="0" applyFont="1" applyAlignment="1"/>
    <xf numFmtId="0" fontId="13" fillId="0" borderId="0" xfId="0" applyFont="1">
      <alignment vertical="center"/>
    </xf>
    <xf numFmtId="0" fontId="13" fillId="0" borderId="0" xfId="0" applyFont="1" applyAlignment="1">
      <alignment horizontal="center" vertical="center"/>
    </xf>
    <xf numFmtId="1" fontId="22" fillId="0" borderId="9" xfId="20" applyNumberFormat="1" applyFont="1" applyFill="1" applyBorder="1" applyAlignment="1">
      <alignment horizontal="left" vertical="center"/>
    </xf>
    <xf numFmtId="1" fontId="13" fillId="0" borderId="0" xfId="20" applyNumberFormat="1" applyFont="1" applyFill="1" applyBorder="1" applyAlignment="1">
      <alignment horizontal="center" vertical="center"/>
    </xf>
    <xf numFmtId="0" fontId="22" fillId="0" borderId="0" xfId="0" applyFont="1" applyAlignment="1">
      <alignment horizontal="right" vertical="center"/>
    </xf>
    <xf numFmtId="1" fontId="13" fillId="0" borderId="1" xfId="0" applyNumberFormat="1" applyFont="1" applyBorder="1" applyAlignment="1">
      <alignment horizontal="center" vertical="center"/>
    </xf>
    <xf numFmtId="0" fontId="22" fillId="0" borderId="0" xfId="0" applyFont="1" applyAlignment="1">
      <alignment horizontal="center" vertical="center"/>
    </xf>
    <xf numFmtId="0" fontId="22" fillId="0" borderId="0" xfId="0" applyFont="1" applyAlignment="1">
      <alignment horizontal="left" vertical="center"/>
    </xf>
    <xf numFmtId="177" fontId="13" fillId="0" borderId="0" xfId="0" applyNumberFormat="1" applyFont="1" applyAlignment="1">
      <alignment horizontal="center" vertical="center"/>
    </xf>
    <xf numFmtId="0" fontId="22" fillId="0" borderId="0" xfId="0" applyFont="1">
      <alignment vertical="center"/>
    </xf>
    <xf numFmtId="0" fontId="22" fillId="0" borderId="2" xfId="0" applyFont="1" applyBorder="1" applyAlignment="1">
      <alignment horizontal="center" vertical="center"/>
    </xf>
    <xf numFmtId="0" fontId="13" fillId="0" borderId="2" xfId="0" applyFont="1" applyBorder="1" applyAlignment="1">
      <alignment horizontal="center" vertical="center" wrapText="1"/>
    </xf>
    <xf numFmtId="1" fontId="13" fillId="0" borderId="2" xfId="20" applyNumberFormat="1" applyFont="1" applyFill="1" applyBorder="1" applyAlignment="1">
      <alignment horizontal="center" vertical="center" wrapText="1"/>
    </xf>
    <xf numFmtId="1" fontId="13" fillId="0" borderId="2" xfId="0" applyNumberFormat="1" applyFont="1" applyBorder="1" applyAlignment="1">
      <alignment horizontal="center" vertical="center" wrapText="1"/>
    </xf>
    <xf numFmtId="1" fontId="13" fillId="0" borderId="0" xfId="0" applyNumberFormat="1" applyFont="1" applyAlignment="1">
      <alignment horizontal="center" vertical="center"/>
    </xf>
    <xf numFmtId="177" fontId="13" fillId="0" borderId="2" xfId="0" applyNumberFormat="1" applyFont="1" applyBorder="1" applyAlignment="1">
      <alignment horizontal="center" vertical="center"/>
    </xf>
    <xf numFmtId="0" fontId="13" fillId="0" borderId="2" xfId="0" applyFont="1" applyBorder="1" applyAlignment="1">
      <alignment horizontal="center" vertical="center"/>
    </xf>
    <xf numFmtId="0" fontId="13" fillId="0" borderId="8" xfId="0" applyFont="1" applyBorder="1">
      <alignment vertical="center"/>
    </xf>
    <xf numFmtId="0" fontId="13" fillId="0" borderId="1" xfId="0" applyFont="1" applyBorder="1" applyAlignment="1">
      <alignment horizontal="center" vertical="center"/>
    </xf>
    <xf numFmtId="0" fontId="22" fillId="0" borderId="3" xfId="0" applyFont="1" applyBorder="1" applyAlignment="1">
      <alignment horizontal="center" vertical="center"/>
    </xf>
    <xf numFmtId="0" fontId="13" fillId="0" borderId="3" xfId="0" applyFont="1" applyBorder="1" applyAlignment="1">
      <alignment horizontal="center" vertical="center" wrapText="1"/>
    </xf>
    <xf numFmtId="1" fontId="13" fillId="0" borderId="3" xfId="20" applyNumberFormat="1" applyFont="1" applyFill="1" applyBorder="1" applyAlignment="1">
      <alignment horizontal="center" vertical="center" wrapText="1"/>
    </xf>
    <xf numFmtId="1" fontId="13" fillId="0" borderId="3" xfId="0" applyNumberFormat="1" applyFont="1" applyBorder="1" applyAlignment="1">
      <alignment horizontal="center" vertical="center" wrapText="1"/>
    </xf>
    <xf numFmtId="177" fontId="13" fillId="0" borderId="1" xfId="0" applyNumberFormat="1" applyFont="1" applyBorder="1" applyAlignment="1">
      <alignment horizontal="center" vertical="center"/>
    </xf>
    <xf numFmtId="0" fontId="13" fillId="0" borderId="10" xfId="0" applyFont="1" applyBorder="1">
      <alignment vertical="center"/>
    </xf>
    <xf numFmtId="1" fontId="13" fillId="0" borderId="1" xfId="0" applyNumberFormat="1" applyFont="1" applyBorder="1">
      <alignment vertical="center"/>
    </xf>
    <xf numFmtId="2" fontId="13" fillId="0" borderId="2" xfId="20" applyNumberFormat="1" applyFont="1" applyFill="1" applyBorder="1" applyAlignment="1">
      <alignment horizontal="center" vertical="center"/>
    </xf>
    <xf numFmtId="0" fontId="13" fillId="0" borderId="11" xfId="0" applyFont="1" applyBorder="1">
      <alignment vertical="center"/>
    </xf>
    <xf numFmtId="179" fontId="13" fillId="0" borderId="1" xfId="0" applyNumberFormat="1" applyFont="1" applyBorder="1" applyAlignment="1">
      <alignment horizontal="center" vertical="center"/>
    </xf>
    <xf numFmtId="0" fontId="0" fillId="0" borderId="0" xfId="0" applyAlignment="1">
      <alignment horizontal="center" vertical="center"/>
    </xf>
    <xf numFmtId="0" fontId="18" fillId="0" borderId="0" xfId="0" applyFont="1" applyAlignment="1">
      <alignment horizontal="left" vertical="center"/>
    </xf>
    <xf numFmtId="0" fontId="23" fillId="0" borderId="0" xfId="0" applyFont="1">
      <alignment vertical="center"/>
    </xf>
    <xf numFmtId="9" fontId="13" fillId="0" borderId="1" xfId="0" applyNumberFormat="1" applyFont="1" applyBorder="1" applyAlignment="1">
      <alignment horizontal="center" vertical="center"/>
    </xf>
    <xf numFmtId="0" fontId="24" fillId="0" borderId="0" xfId="0" applyFont="1" applyAlignment="1">
      <alignment horizontal="left" vertical="center"/>
    </xf>
    <xf numFmtId="0" fontId="19" fillId="0" borderId="0" xfId="0" applyFont="1">
      <alignment vertical="center"/>
    </xf>
    <xf numFmtId="0" fontId="13" fillId="0" borderId="8" xfId="0" applyFont="1" applyBorder="1" applyAlignment="1">
      <alignment horizontal="left" vertical="center"/>
    </xf>
    <xf numFmtId="178" fontId="13" fillId="0" borderId="0" xfId="0" applyNumberFormat="1" applyFont="1" applyAlignment="1">
      <alignment horizontal="center" vertical="center"/>
    </xf>
    <xf numFmtId="2" fontId="13" fillId="0" borderId="1" xfId="20" applyNumberFormat="1" applyFont="1" applyFill="1" applyBorder="1" applyAlignment="1">
      <alignment horizontal="center" vertical="center"/>
    </xf>
    <xf numFmtId="1" fontId="13" fillId="0" borderId="0" xfId="20" applyNumberFormat="1" applyFont="1" applyFill="1" applyAlignment="1">
      <alignment horizontal="center" vertical="center"/>
    </xf>
    <xf numFmtId="43" fontId="13" fillId="0" borderId="0" xfId="20" applyFont="1" applyFill="1" applyAlignment="1">
      <alignment horizontal="center" vertical="center"/>
    </xf>
    <xf numFmtId="2" fontId="13" fillId="0" borderId="0" xfId="0" applyNumberFormat="1" applyFont="1" applyAlignment="1">
      <alignment horizontal="center" vertical="center"/>
    </xf>
    <xf numFmtId="0" fontId="21" fillId="0" borderId="1" xfId="0" applyFont="1" applyBorder="1" applyAlignment="1"/>
    <xf numFmtId="0" fontId="0" fillId="9" borderId="1" xfId="0" applyFill="1" applyBorder="1" applyAlignment="1"/>
    <xf numFmtId="9" fontId="0" fillId="0" borderId="0" xfId="1" applyFont="1" applyAlignment="1"/>
    <xf numFmtId="9" fontId="0" fillId="9" borderId="1" xfId="0" applyNumberFormat="1" applyFill="1" applyBorder="1" applyAlignment="1"/>
    <xf numFmtId="180" fontId="0" fillId="8" borderId="1" xfId="0" applyNumberFormat="1" applyFill="1" applyBorder="1" applyAlignment="1"/>
    <xf numFmtId="0" fontId="0" fillId="0" borderId="1" xfId="0" applyBorder="1" applyAlignment="1"/>
    <xf numFmtId="9" fontId="0" fillId="8" borderId="1" xfId="0" applyNumberFormat="1" applyFill="1" applyBorder="1" applyAlignment="1"/>
    <xf numFmtId="0" fontId="7" fillId="0" borderId="1" xfId="2" applyFont="1" applyBorder="1" applyAlignment="1">
      <alignment horizontal="center" vertical="center" wrapText="1"/>
    </xf>
    <xf numFmtId="0" fontId="13" fillId="0" borderId="2" xfId="0" applyFont="1" applyBorder="1">
      <alignment vertical="center"/>
    </xf>
    <xf numFmtId="0" fontId="13" fillId="0" borderId="3" xfId="0" applyFont="1" applyBorder="1">
      <alignment vertical="center"/>
    </xf>
    <xf numFmtId="0" fontId="11" fillId="2" borderId="1" xfId="16" applyFont="1" applyFill="1" applyBorder="1" applyAlignment="1">
      <alignment horizontal="center" vertical="center"/>
    </xf>
  </cellXfs>
  <cellStyles count="21">
    <cellStyle name="Normal 5" xfId="6" xr:uid="{00000000-0005-0000-0000-000000000000}"/>
    <cellStyle name="百分比 2" xfId="1" xr:uid="{00000000-0005-0000-0000-000001000000}"/>
    <cellStyle name="百分比 2 3" xfId="10" xr:uid="{00000000-0005-0000-0000-000002000000}"/>
    <cellStyle name="百分比 3" xfId="5" xr:uid="{00000000-0005-0000-0000-000003000000}"/>
    <cellStyle name="常规" xfId="0" builtinId="0"/>
    <cellStyle name="常规 2" xfId="2" xr:uid="{00000000-0005-0000-0000-000005000000}"/>
    <cellStyle name="常规 2 2" xfId="9" xr:uid="{00000000-0005-0000-0000-000006000000}"/>
    <cellStyle name="常规 2 2 2" xfId="14" xr:uid="{00000000-0005-0000-0000-000007000000}"/>
    <cellStyle name="常规 2 3" xfId="7" xr:uid="{00000000-0005-0000-0000-000008000000}"/>
    <cellStyle name="常规 2 3 2" xfId="15" xr:uid="{00000000-0005-0000-0000-000009000000}"/>
    <cellStyle name="常规 3" xfId="3" xr:uid="{00000000-0005-0000-0000-00000A000000}"/>
    <cellStyle name="常规 3 2" xfId="11" xr:uid="{00000000-0005-0000-0000-00000B000000}"/>
    <cellStyle name="常规 3 2 2" xfId="16" xr:uid="{00000000-0005-0000-0000-00000C000000}"/>
    <cellStyle name="常规 3_第2次第3场-答案和评分标准" xfId="13" xr:uid="{00000000-0005-0000-0000-00000D000000}"/>
    <cellStyle name="常规 4" xfId="4" xr:uid="{00000000-0005-0000-0000-00000E000000}"/>
    <cellStyle name="常规 4 2" xfId="17" xr:uid="{00000000-0005-0000-0000-00000F000000}"/>
    <cellStyle name="常规 5" xfId="12" xr:uid="{00000000-0005-0000-0000-000010000000}"/>
    <cellStyle name="常规 8" xfId="19" xr:uid="{15329833-7219-4FEF-B946-A6DC56909C7B}"/>
    <cellStyle name="千位分隔" xfId="20" builtinId="3"/>
    <cellStyle name="千位分隔 2" xfId="18" xr:uid="{00000000-0005-0000-0000-000013000000}"/>
    <cellStyle name="千位分隔 4" xfId="8" xr:uid="{00000000-0005-0000-0000-00001400000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_rels/drawing9.x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14</xdr:col>
      <xdr:colOff>342900</xdr:colOff>
      <xdr:row>12</xdr:row>
      <xdr:rowOff>87631</xdr:rowOff>
    </xdr:to>
    <xdr:sp macro="" textlink="">
      <xdr:nvSpPr>
        <xdr:cNvPr id="2" name="文本框 1">
          <a:extLst>
            <a:ext uri="{FF2B5EF4-FFF2-40B4-BE49-F238E27FC236}">
              <a16:creationId xmlns:a16="http://schemas.microsoft.com/office/drawing/2014/main" id="{027F9EE1-C8C3-4221-A8A6-34D093FF3C68}"/>
            </a:ext>
          </a:extLst>
        </xdr:cNvPr>
        <xdr:cNvSpPr txBox="1"/>
      </xdr:nvSpPr>
      <xdr:spPr>
        <a:xfrm>
          <a:off x="5486400" y="180975"/>
          <a:ext cx="4457700" cy="2078356"/>
        </a:xfrm>
        <a:prstGeom prst="rect">
          <a:avLst/>
        </a:prstGeom>
        <a:solidFill>
          <a:schemeClr val="accent5">
            <a:lumMod val="20000"/>
            <a:lumOff val="80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50000"/>
            </a:lnSpc>
          </a:pPr>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1</a:t>
          </a:r>
          <a:r>
            <a:rPr lang="zh-CN" altLang="en-US" sz="1200" b="1">
              <a:latin typeface="宋体" panose="02010600030101010101" pitchFamily="2" charset="-122"/>
              <a:ea typeface="宋体" panose="02010600030101010101" pitchFamily="2" charset="-122"/>
            </a:rPr>
            <a:t>题 </a:t>
          </a:r>
          <a:r>
            <a:rPr lang="zh-CN" altLang="en-US" sz="1200">
              <a:latin typeface="宋体" panose="02010600030101010101" pitchFamily="2" charset="-122"/>
              <a:ea typeface="宋体" panose="02010600030101010101" pitchFamily="2" charset="-122"/>
            </a:rPr>
            <a:t>通过</a:t>
          </a:r>
          <a:r>
            <a:rPr lang="en-US" altLang="zh-CN" sz="1200">
              <a:latin typeface="宋体" panose="02010600030101010101" pitchFamily="2" charset="-122"/>
              <a:ea typeface="宋体" panose="02010600030101010101" pitchFamily="2" charset="-122"/>
            </a:rPr>
            <a:t>MS Query </a:t>
          </a:r>
          <a:r>
            <a:rPr lang="zh-CN" altLang="en-US" sz="1200">
              <a:latin typeface="宋体" panose="02010600030101010101" pitchFamily="2" charset="-122"/>
              <a:ea typeface="宋体" panose="02010600030101010101" pitchFamily="2" charset="-122"/>
            </a:rPr>
            <a:t>从</a:t>
          </a:r>
          <a:r>
            <a:rPr lang="en-US" altLang="zh-CN" sz="1200">
              <a:latin typeface="宋体" panose="02010600030101010101" pitchFamily="2" charset="-122"/>
              <a:ea typeface="宋体" panose="02010600030101010101" pitchFamily="2" charset="-122"/>
            </a:rPr>
            <a:t>Northwind</a:t>
          </a:r>
          <a:r>
            <a:rPr lang="zh-CN" altLang="en-US" sz="1200">
              <a:latin typeface="宋体" panose="02010600030101010101" pitchFamily="2" charset="-122"/>
              <a:ea typeface="宋体" panose="02010600030101010101" pitchFamily="2" charset="-122"/>
            </a:rPr>
            <a:t>数据库查询符合下列要求的客户</a:t>
          </a:r>
          <a:r>
            <a:rPr lang="zh-CN" altLang="zh-CN" sz="1200">
              <a:solidFill>
                <a:schemeClr val="dk1"/>
              </a:solidFill>
              <a:effectLst/>
              <a:latin typeface="宋体" panose="02010600030101010101" pitchFamily="2" charset="-122"/>
              <a:ea typeface="宋体" panose="02010600030101010101" pitchFamily="2" charset="-122"/>
              <a:cs typeface="+mn-cs"/>
            </a:rPr>
            <a:t>公司名称</a:t>
          </a:r>
          <a:r>
            <a:rPr lang="zh-CN" altLang="en-US" sz="1200">
              <a:solidFill>
                <a:schemeClr val="dk1"/>
              </a:solidFill>
              <a:effectLst/>
              <a:latin typeface="宋体" panose="02010600030101010101" pitchFamily="2" charset="-122"/>
              <a:ea typeface="宋体" panose="02010600030101010101" pitchFamily="2" charset="-122"/>
              <a:cs typeface="+mn-cs"/>
            </a:rPr>
            <a:t>、产品</a:t>
          </a:r>
          <a:r>
            <a:rPr lang="zh-CN" altLang="zh-CN" sz="1200">
              <a:solidFill>
                <a:schemeClr val="dk1"/>
              </a:solidFill>
              <a:effectLst/>
              <a:latin typeface="宋体" panose="02010600030101010101" pitchFamily="2" charset="-122"/>
              <a:ea typeface="宋体" panose="02010600030101010101" pitchFamily="2" charset="-122"/>
              <a:cs typeface="+mn-cs"/>
            </a:rPr>
            <a:t>名称和</a:t>
          </a:r>
          <a:r>
            <a:rPr lang="zh-CN" altLang="en-US" sz="1200">
              <a:solidFill>
                <a:schemeClr val="dk1"/>
              </a:solidFill>
              <a:effectLst/>
              <a:latin typeface="宋体" panose="02010600030101010101" pitchFamily="2" charset="-122"/>
              <a:ea typeface="宋体" panose="02010600030101010101" pitchFamily="2" charset="-122"/>
              <a:cs typeface="+mn-cs"/>
            </a:rPr>
            <a:t>订购</a:t>
          </a:r>
          <a:r>
            <a:rPr lang="zh-CN" altLang="zh-CN" sz="1200">
              <a:solidFill>
                <a:schemeClr val="dk1"/>
              </a:solidFill>
              <a:effectLst/>
              <a:latin typeface="宋体" panose="02010600030101010101" pitchFamily="2" charset="-122"/>
              <a:ea typeface="宋体" panose="02010600030101010101" pitchFamily="2" charset="-122"/>
              <a:cs typeface="+mn-cs"/>
            </a:rPr>
            <a:t>数量</a:t>
          </a:r>
          <a:r>
            <a:rPr lang="zh-CN" altLang="en-US" sz="1200">
              <a:latin typeface="宋体" panose="02010600030101010101" pitchFamily="2" charset="-122"/>
              <a:ea typeface="宋体" panose="02010600030101010101" pitchFamily="2" charset="-122"/>
            </a:rPr>
            <a:t>：</a:t>
          </a:r>
          <a:endParaRPr lang="en-US" altLang="zh-CN" sz="1200">
            <a:latin typeface="宋体" panose="02010600030101010101" pitchFamily="2" charset="-122"/>
            <a:ea typeface="宋体" panose="02010600030101010101" pitchFamily="2" charset="-122"/>
          </a:endParaRPr>
        </a:p>
        <a:p>
          <a:pPr indent="288000">
            <a:lnSpc>
              <a:spcPct val="150000"/>
            </a:lnSpc>
          </a:pPr>
          <a:r>
            <a:rPr lang="zh-CN" altLang="en-US" sz="1200">
              <a:latin typeface="宋体" panose="02010600030101010101" pitchFamily="2" charset="-122"/>
              <a:ea typeface="宋体" panose="02010600030101010101" pitchFamily="2" charset="-122"/>
            </a:rPr>
            <a:t>订购饮料类产品数量大于等于</a:t>
          </a:r>
          <a:r>
            <a:rPr lang="en-US" altLang="zh-CN" sz="1200">
              <a:latin typeface="宋体" panose="02010600030101010101" pitchFamily="2" charset="-122"/>
              <a:ea typeface="宋体" panose="02010600030101010101" pitchFamily="2" charset="-122"/>
            </a:rPr>
            <a:t>110</a:t>
          </a:r>
          <a:r>
            <a:rPr lang="zh-CN" altLang="en-US" sz="1200">
              <a:latin typeface="宋体" panose="02010600030101010101" pitchFamily="2" charset="-122"/>
              <a:ea typeface="宋体" panose="02010600030101010101" pitchFamily="2" charset="-122"/>
            </a:rPr>
            <a:t>，以及订购海鲜类产品数量介于</a:t>
          </a:r>
          <a:r>
            <a:rPr lang="en-US" altLang="zh-CN" sz="1200">
              <a:latin typeface="宋体" panose="02010600030101010101" pitchFamily="2" charset="-122"/>
              <a:ea typeface="宋体" panose="02010600030101010101" pitchFamily="2" charset="-122"/>
            </a:rPr>
            <a:t>90</a:t>
          </a:r>
          <a:r>
            <a:rPr lang="zh-CN" altLang="en-US" sz="1200">
              <a:latin typeface="宋体" panose="02010600030101010101" pitchFamily="2" charset="-122"/>
              <a:ea typeface="宋体" panose="02010600030101010101" pitchFamily="2" charset="-122"/>
            </a:rPr>
            <a:t>至</a:t>
          </a:r>
          <a:r>
            <a:rPr lang="en-US" altLang="zh-CN" sz="1200">
              <a:latin typeface="宋体" panose="02010600030101010101" pitchFamily="2" charset="-122"/>
              <a:ea typeface="宋体" panose="02010600030101010101" pitchFamily="2" charset="-122"/>
            </a:rPr>
            <a:t>100</a:t>
          </a:r>
          <a:r>
            <a:rPr lang="zh-CN" altLang="en-US" sz="1200">
              <a:latin typeface="宋体" panose="02010600030101010101" pitchFamily="2" charset="-122"/>
              <a:ea typeface="宋体" panose="02010600030101010101" pitchFamily="2" charset="-122"/>
            </a:rPr>
            <a:t>之间的</a:t>
          </a:r>
          <a:r>
            <a:rPr lang="zh-CN" altLang="zh-CN" sz="1200">
              <a:solidFill>
                <a:schemeClr val="dk1"/>
              </a:solidFill>
              <a:effectLst/>
              <a:latin typeface="宋体" panose="02010600030101010101" pitchFamily="2" charset="-122"/>
              <a:ea typeface="宋体" panose="02010600030101010101" pitchFamily="2" charset="-122"/>
              <a:cs typeface="+mn-cs"/>
            </a:rPr>
            <a:t>相关记录</a:t>
          </a:r>
          <a:r>
            <a:rPr lang="zh-CN" altLang="en-US" sz="1200">
              <a:solidFill>
                <a:schemeClr val="dk1"/>
              </a:solidFill>
              <a:effectLst/>
              <a:latin typeface="宋体" panose="02010600030101010101" pitchFamily="2" charset="-122"/>
              <a:ea typeface="宋体" panose="02010600030101010101" pitchFamily="2" charset="-122"/>
              <a:cs typeface="+mn-cs"/>
            </a:rPr>
            <a:t>；并将查询结果</a:t>
          </a:r>
          <a:r>
            <a:rPr lang="zh-CN" altLang="en-US" sz="1200" b="1">
              <a:solidFill>
                <a:schemeClr val="dk1"/>
              </a:solidFill>
              <a:effectLst/>
              <a:latin typeface="宋体" panose="02010600030101010101" pitchFamily="2" charset="-122"/>
              <a:ea typeface="宋体" panose="02010600030101010101" pitchFamily="2" charset="-122"/>
              <a:cs typeface="+mn-cs"/>
            </a:rPr>
            <a:t>返回到</a:t>
          </a:r>
          <a:r>
            <a:rPr lang="en-US" altLang="zh-CN" sz="1200" b="1">
              <a:solidFill>
                <a:schemeClr val="dk1"/>
              </a:solidFill>
              <a:effectLst/>
              <a:latin typeface="宋体" panose="02010600030101010101" pitchFamily="2" charset="-122"/>
              <a:ea typeface="宋体" panose="02010600030101010101" pitchFamily="2" charset="-122"/>
              <a:cs typeface="+mn-cs"/>
            </a:rPr>
            <a:t>A1</a:t>
          </a:r>
          <a:r>
            <a:rPr lang="zh-CN" altLang="zh-CN" sz="1200" b="1">
              <a:solidFill>
                <a:schemeClr val="dk1"/>
              </a:solidFill>
              <a:effectLst/>
              <a:latin typeface="宋体" panose="02010600030101010101" pitchFamily="2" charset="-122"/>
              <a:ea typeface="宋体" panose="02010600030101010101" pitchFamily="2" charset="-122"/>
              <a:cs typeface="+mn-cs"/>
            </a:rPr>
            <a:t>单元格</a:t>
          </a:r>
          <a:r>
            <a:rPr lang="zh-CN" altLang="en-US" sz="1200">
              <a:solidFill>
                <a:schemeClr val="dk1"/>
              </a:solidFill>
              <a:effectLst/>
              <a:latin typeface="宋体" panose="02010600030101010101" pitchFamily="2" charset="-122"/>
              <a:ea typeface="宋体" panose="02010600030101010101" pitchFamily="2" charset="-122"/>
              <a:cs typeface="+mn-cs"/>
            </a:rPr>
            <a:t>起始的区域。</a:t>
          </a:r>
          <a:endParaRPr lang="en-US" altLang="zh-CN" sz="1200">
            <a:solidFill>
              <a:schemeClr val="dk1"/>
            </a:solidFill>
            <a:effectLst/>
            <a:latin typeface="宋体" panose="02010600030101010101" pitchFamily="2" charset="-122"/>
            <a:ea typeface="宋体" panose="02010600030101010101" pitchFamily="2" charset="-122"/>
            <a:cs typeface="+mn-cs"/>
          </a:endParaRPr>
        </a:p>
        <a:p>
          <a:pPr indent="0">
            <a:lnSpc>
              <a:spcPct val="150000"/>
            </a:lnSpc>
          </a:pPr>
          <a:r>
            <a:rPr lang="zh-CN" altLang="en-US" sz="1200" b="1">
              <a:solidFill>
                <a:schemeClr val="dk1"/>
              </a:solidFill>
              <a:effectLst/>
              <a:latin typeface="宋体" panose="02010600030101010101" pitchFamily="2" charset="-122"/>
              <a:ea typeface="宋体" panose="02010600030101010101" pitchFamily="2" charset="-122"/>
              <a:cs typeface="+mn-cs"/>
            </a:rPr>
            <a:t>注意：</a:t>
          </a:r>
          <a:r>
            <a:rPr lang="zh-CN" altLang="en-US" sz="1200">
              <a:solidFill>
                <a:schemeClr val="dk1"/>
              </a:solidFill>
              <a:effectLst/>
              <a:latin typeface="宋体" panose="02010600030101010101" pitchFamily="2" charset="-122"/>
              <a:ea typeface="宋体" panose="02010600030101010101" pitchFamily="2" charset="-122"/>
              <a:cs typeface="+mn-cs"/>
            </a:rPr>
            <a:t>不能对返回到</a:t>
          </a:r>
          <a:r>
            <a:rPr lang="en-US" altLang="zh-CN" sz="1200">
              <a:solidFill>
                <a:schemeClr val="dk1"/>
              </a:solidFill>
              <a:effectLst/>
              <a:latin typeface="宋体" panose="02010600030101010101" pitchFamily="2" charset="-122"/>
              <a:ea typeface="宋体" panose="02010600030101010101" pitchFamily="2" charset="-122"/>
              <a:cs typeface="+mn-cs"/>
            </a:rPr>
            <a:t>Excel</a:t>
          </a:r>
          <a:r>
            <a:rPr lang="zh-CN" altLang="en-US" sz="1200">
              <a:solidFill>
                <a:schemeClr val="dk1"/>
              </a:solidFill>
              <a:effectLst/>
              <a:latin typeface="宋体" panose="02010600030101010101" pitchFamily="2" charset="-122"/>
              <a:ea typeface="宋体" panose="02010600030101010101" pitchFamily="2" charset="-122"/>
              <a:cs typeface="+mn-cs"/>
            </a:rPr>
            <a:t>后的查询结果做任何编辑修改， </a:t>
          </a:r>
          <a:r>
            <a:rPr lang="zh-CN" altLang="en-US" sz="1200" b="1">
              <a:solidFill>
                <a:srgbClr val="FF0000"/>
              </a:solidFill>
              <a:effectLst/>
              <a:latin typeface="宋体" panose="02010600030101010101" pitchFamily="2" charset="-122"/>
              <a:ea typeface="宋体" panose="02010600030101010101" pitchFamily="2" charset="-122"/>
              <a:cs typeface="+mn-cs"/>
            </a:rPr>
            <a:t>违者不得分</a:t>
          </a:r>
          <a:r>
            <a:rPr lang="zh-CN" altLang="en-US" sz="1200">
              <a:solidFill>
                <a:schemeClr val="dk1"/>
              </a:solidFill>
              <a:effectLst/>
              <a:latin typeface="宋体" panose="02010600030101010101" pitchFamily="2" charset="-122"/>
              <a:ea typeface="宋体" panose="02010600030101010101" pitchFamily="2" charset="-122"/>
              <a:cs typeface="+mn-cs"/>
            </a:rPr>
            <a:t>。</a:t>
          </a:r>
          <a:endParaRPr lang="zh-CN" altLang="en-US" sz="1200">
            <a:latin typeface="宋体" panose="02010600030101010101" pitchFamily="2" charset="-122"/>
            <a:ea typeface="宋体" panose="02010600030101010101" pitchFamily="2" charset="-122"/>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666750</xdr:colOff>
      <xdr:row>1</xdr:row>
      <xdr:rowOff>28575</xdr:rowOff>
    </xdr:from>
    <xdr:to>
      <xdr:col>16</xdr:col>
      <xdr:colOff>55939</xdr:colOff>
      <xdr:row>23</xdr:row>
      <xdr:rowOff>86554</xdr:rowOff>
    </xdr:to>
    <xdr:sp macro="" textlink="">
      <xdr:nvSpPr>
        <xdr:cNvPr id="2" name="文本框 1">
          <a:extLst>
            <a:ext uri="{FF2B5EF4-FFF2-40B4-BE49-F238E27FC236}">
              <a16:creationId xmlns:a16="http://schemas.microsoft.com/office/drawing/2014/main" id="{00000000-0008-0000-0100-000002000000}"/>
            </a:ext>
          </a:extLst>
        </xdr:cNvPr>
        <xdr:cNvSpPr txBox="1"/>
      </xdr:nvSpPr>
      <xdr:spPr>
        <a:xfrm>
          <a:off x="5467350" y="209550"/>
          <a:ext cx="5561389" cy="403942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20000"/>
            </a:lnSpc>
          </a:pPr>
          <a:r>
            <a:rPr lang="zh-CN" altLang="zh-CN" sz="1100" b="1">
              <a:solidFill>
                <a:schemeClr val="dk1"/>
              </a:solidFill>
              <a:effectLst/>
              <a:latin typeface="+mn-lt"/>
              <a:ea typeface="+mn-ea"/>
              <a:cs typeface="+mn-cs"/>
            </a:rPr>
            <a:t>第</a:t>
          </a:r>
          <a:r>
            <a:rPr lang="en-US" altLang="zh-CN" sz="1100" b="1">
              <a:solidFill>
                <a:schemeClr val="dk1"/>
              </a:solidFill>
              <a:effectLst/>
              <a:latin typeface="+mn-lt"/>
              <a:ea typeface="+mn-ea"/>
              <a:cs typeface="+mn-cs"/>
            </a:rPr>
            <a:t>2</a:t>
          </a:r>
          <a:r>
            <a:rPr lang="zh-CN" altLang="zh-CN" sz="1100" b="1">
              <a:solidFill>
                <a:schemeClr val="dk1"/>
              </a:solidFill>
              <a:effectLst/>
              <a:latin typeface="+mn-lt"/>
              <a:ea typeface="+mn-ea"/>
              <a:cs typeface="+mn-cs"/>
            </a:rPr>
            <a:t>题 </a:t>
          </a:r>
          <a:r>
            <a:rPr lang="zh-CN" altLang="zh-CN" sz="1200">
              <a:solidFill>
                <a:schemeClr val="dk1"/>
              </a:solidFill>
              <a:effectLst/>
              <a:latin typeface="宋体" panose="02010600030101010101" pitchFamily="2" charset="-122"/>
              <a:ea typeface="宋体" panose="02010600030101010101" pitchFamily="2" charset="-122"/>
              <a:cs typeface="+mn-cs"/>
            </a:rPr>
            <a:t>使用</a:t>
          </a:r>
          <a:r>
            <a:rPr lang="zh-CN" altLang="zh-CN" sz="1200" b="1">
              <a:solidFill>
                <a:srgbClr val="FF0000"/>
              </a:solidFill>
              <a:effectLst/>
              <a:latin typeface="宋体" panose="02010600030101010101" pitchFamily="2" charset="-122"/>
              <a:ea typeface="宋体" panose="02010600030101010101" pitchFamily="2" charset="-122"/>
              <a:cs typeface="+mn-cs"/>
            </a:rPr>
            <a:t>数据透视表</a:t>
          </a:r>
          <a:r>
            <a:rPr lang="zh-CN" altLang="zh-CN" sz="1200">
              <a:solidFill>
                <a:schemeClr val="dk1"/>
              </a:solidFill>
              <a:effectLst/>
              <a:latin typeface="宋体" panose="02010600030101010101" pitchFamily="2" charset="-122"/>
              <a:ea typeface="宋体" panose="02010600030101010101" pitchFamily="2" charset="-122"/>
              <a:cs typeface="+mn-cs"/>
            </a:rPr>
            <a:t>和</a:t>
          </a:r>
          <a:r>
            <a:rPr lang="en-US" altLang="zh-CN" sz="1200" b="1">
              <a:solidFill>
                <a:srgbClr val="FF0000"/>
              </a:solidFill>
              <a:effectLst/>
              <a:latin typeface="宋体" panose="02010600030101010101" pitchFamily="2" charset="-122"/>
              <a:ea typeface="宋体" panose="02010600030101010101" pitchFamily="2" charset="-122"/>
              <a:cs typeface="+mn-cs"/>
            </a:rPr>
            <a:t>Microsoft Query</a:t>
          </a:r>
          <a:r>
            <a:rPr lang="zh-CN" altLang="zh-CN" sz="1200">
              <a:solidFill>
                <a:schemeClr val="dk1"/>
              </a:solidFill>
              <a:effectLst/>
              <a:latin typeface="宋体" panose="02010600030101010101" pitchFamily="2" charset="-122"/>
              <a:ea typeface="宋体" panose="02010600030101010101" pitchFamily="2" charset="-122"/>
              <a:cs typeface="+mn-cs"/>
            </a:rPr>
            <a:t>软件，在不导入数据的情况下，汇总</a:t>
          </a:r>
          <a:r>
            <a:rPr lang="en-US" altLang="zh-CN" sz="1200">
              <a:solidFill>
                <a:schemeClr val="dk1"/>
              </a:solidFill>
              <a:effectLst/>
              <a:latin typeface="宋体" panose="02010600030101010101" pitchFamily="2" charset="-122"/>
              <a:ea typeface="宋体" panose="02010600030101010101" pitchFamily="2" charset="-122"/>
              <a:cs typeface="+mn-cs"/>
            </a:rPr>
            <a:t>Northwind</a:t>
          </a:r>
          <a:r>
            <a:rPr lang="zh-CN" altLang="zh-CN" sz="1200">
              <a:solidFill>
                <a:schemeClr val="dk1"/>
              </a:solidFill>
              <a:effectLst/>
              <a:latin typeface="宋体" panose="02010600030101010101" pitchFamily="2" charset="-122"/>
              <a:ea typeface="宋体" panose="02010600030101010101" pitchFamily="2" charset="-122"/>
              <a:cs typeface="+mn-cs"/>
            </a:rPr>
            <a:t>公司</a:t>
          </a:r>
          <a:r>
            <a:rPr lang="zh-CN" altLang="en-US" sz="1200" b="1">
              <a:solidFill>
                <a:schemeClr val="dk1"/>
              </a:solidFill>
              <a:effectLst/>
              <a:latin typeface="宋体" panose="02010600030101010101" pitchFamily="2" charset="-122"/>
              <a:ea typeface="宋体" panose="02010600030101010101" pitchFamily="2" charset="-122"/>
              <a:cs typeface="+mn-cs"/>
            </a:rPr>
            <a:t>三类城市</a:t>
          </a:r>
          <a:r>
            <a:rPr lang="zh-CN" altLang="zh-CN" sz="1200">
              <a:solidFill>
                <a:schemeClr val="dk1"/>
              </a:solidFill>
              <a:effectLst/>
              <a:latin typeface="宋体" panose="02010600030101010101" pitchFamily="2" charset="-122"/>
              <a:ea typeface="宋体" panose="02010600030101010101" pitchFamily="2" charset="-122"/>
              <a:cs typeface="+mn-cs"/>
            </a:rPr>
            <a:t>和</a:t>
          </a:r>
          <a:r>
            <a:rPr lang="zh-CN" altLang="en-US" sz="1200">
              <a:solidFill>
                <a:schemeClr val="dk1"/>
              </a:solidFill>
              <a:effectLst/>
              <a:latin typeface="宋体" panose="02010600030101010101" pitchFamily="2" charset="-122"/>
              <a:ea typeface="宋体" panose="02010600030101010101" pitchFamily="2" charset="-122"/>
              <a:cs typeface="+mn-cs"/>
            </a:rPr>
            <a:t>具体</a:t>
          </a:r>
          <a:r>
            <a:rPr lang="zh-CN" altLang="zh-CN" sz="1200">
              <a:solidFill>
                <a:schemeClr val="dk1"/>
              </a:solidFill>
              <a:effectLst/>
              <a:latin typeface="宋体" panose="02010600030101010101" pitchFamily="2" charset="-122"/>
              <a:ea typeface="宋体" panose="02010600030101010101" pitchFamily="2" charset="-122"/>
              <a:cs typeface="+mn-cs"/>
            </a:rPr>
            <a:t>城市各季度的</a:t>
          </a:r>
          <a:r>
            <a:rPr lang="zh-CN" altLang="en-US" sz="1200">
              <a:solidFill>
                <a:schemeClr val="dk1"/>
              </a:solidFill>
              <a:effectLst/>
              <a:latin typeface="宋体" panose="02010600030101010101" pitchFamily="2" charset="-122"/>
              <a:ea typeface="宋体" panose="02010600030101010101" pitchFamily="2" charset="-122"/>
              <a:cs typeface="+mn-cs"/>
            </a:rPr>
            <a:t>运货费情况</a:t>
          </a:r>
          <a:r>
            <a:rPr lang="zh-CN" altLang="zh-CN" sz="1200">
              <a:solidFill>
                <a:schemeClr val="dk1"/>
              </a:solidFill>
              <a:effectLst/>
              <a:latin typeface="宋体" panose="02010600030101010101" pitchFamily="2" charset="-122"/>
              <a:ea typeface="宋体" panose="02010600030101010101" pitchFamily="2" charset="-122"/>
              <a:cs typeface="+mn-cs"/>
            </a:rPr>
            <a:t>。</a:t>
          </a:r>
          <a:r>
            <a:rPr lang="zh-CN" altLang="en-US" sz="1200">
              <a:solidFill>
                <a:schemeClr val="dk1"/>
              </a:solidFill>
              <a:effectLst/>
              <a:latin typeface="宋体" panose="02010600030101010101" pitchFamily="2" charset="-122"/>
              <a:ea typeface="宋体" panose="02010600030101010101" pitchFamily="2" charset="-122"/>
              <a:cs typeface="+mn-cs"/>
            </a:rPr>
            <a:t>该公司</a:t>
          </a:r>
          <a:r>
            <a:rPr lang="zh-CN" altLang="en-US" sz="1200">
              <a:latin typeface="宋体" panose="02010600030101010101" pitchFamily="2" charset="-122"/>
              <a:ea typeface="宋体" panose="02010600030101010101" pitchFamily="2" charset="-122"/>
            </a:rPr>
            <a:t>将三年销售额在</a:t>
          </a:r>
          <a:r>
            <a:rPr lang="en-US" altLang="zh-CN" sz="1200">
              <a:latin typeface="宋体" panose="02010600030101010101" pitchFamily="2" charset="-122"/>
              <a:ea typeface="宋体" panose="02010600030101010101" pitchFamily="2" charset="-122"/>
            </a:rPr>
            <a:t>50,000</a:t>
          </a:r>
          <a:r>
            <a:rPr lang="zh-CN" altLang="en-US" sz="1200">
              <a:latin typeface="宋体" panose="02010600030101010101" pitchFamily="2" charset="-122"/>
              <a:ea typeface="宋体" panose="02010600030101010101" pitchFamily="2" charset="-122"/>
            </a:rPr>
            <a:t>元以上的城市，设为</a:t>
          </a:r>
          <a:r>
            <a:rPr lang="zh-CN" altLang="en-US" sz="1200" b="1" i="1">
              <a:latin typeface="宋体" panose="02010600030101010101" pitchFamily="2" charset="-122"/>
              <a:ea typeface="宋体" panose="02010600030101010101" pitchFamily="2" charset="-122"/>
            </a:rPr>
            <a:t>重要城市</a:t>
          </a:r>
          <a:r>
            <a:rPr lang="zh-CN" altLang="en-US" sz="1200">
              <a:latin typeface="宋体" panose="02010600030101010101" pitchFamily="2" charset="-122"/>
              <a:ea typeface="宋体" panose="02010600030101010101" pitchFamily="2" charset="-122"/>
            </a:rPr>
            <a:t>，</a:t>
          </a:r>
          <a:r>
            <a:rPr lang="en-US" altLang="zh-CN" sz="1200">
              <a:latin typeface="宋体" panose="02010600030101010101" pitchFamily="2" charset="-122"/>
              <a:ea typeface="宋体" panose="02010600030101010101" pitchFamily="2" charset="-122"/>
            </a:rPr>
            <a:t>50</a:t>
          </a:r>
          <a:r>
            <a:rPr lang="en-US" altLang="zh-CN" sz="1200">
              <a:solidFill>
                <a:schemeClr val="dk1"/>
              </a:solidFill>
              <a:effectLst/>
              <a:latin typeface="宋体" panose="02010600030101010101" pitchFamily="2" charset="-122"/>
              <a:ea typeface="宋体" panose="02010600030101010101" pitchFamily="2" charset="-122"/>
              <a:cs typeface="+mn-cs"/>
            </a:rPr>
            <a:t>,</a:t>
          </a:r>
          <a:r>
            <a:rPr lang="en-US" altLang="zh-CN" sz="1200">
              <a:latin typeface="宋体" panose="02010600030101010101" pitchFamily="2" charset="-122"/>
              <a:ea typeface="宋体" panose="02010600030101010101" pitchFamily="2" charset="-122"/>
            </a:rPr>
            <a:t>000</a:t>
          </a:r>
          <a:r>
            <a:rPr lang="zh-CN" altLang="en-US" sz="1200">
              <a:latin typeface="宋体" panose="02010600030101010101" pitchFamily="2" charset="-122"/>
              <a:ea typeface="宋体" panose="02010600030101010101" pitchFamily="2" charset="-122"/>
            </a:rPr>
            <a:t>到</a:t>
          </a:r>
          <a:r>
            <a:rPr lang="en-US" altLang="zh-CN" sz="1200">
              <a:latin typeface="宋体" panose="02010600030101010101" pitchFamily="2" charset="-122"/>
              <a:ea typeface="宋体" panose="02010600030101010101" pitchFamily="2" charset="-122"/>
            </a:rPr>
            <a:t>30</a:t>
          </a:r>
          <a:r>
            <a:rPr lang="en-US" altLang="zh-CN" sz="1200">
              <a:solidFill>
                <a:schemeClr val="dk1"/>
              </a:solidFill>
              <a:effectLst/>
              <a:latin typeface="宋体" panose="02010600030101010101" pitchFamily="2" charset="-122"/>
              <a:ea typeface="宋体" panose="02010600030101010101" pitchFamily="2" charset="-122"/>
              <a:cs typeface="+mn-cs"/>
            </a:rPr>
            <a:t>,</a:t>
          </a:r>
          <a:r>
            <a:rPr lang="en-US" altLang="zh-CN" sz="1200">
              <a:latin typeface="宋体" panose="02010600030101010101" pitchFamily="2" charset="-122"/>
              <a:ea typeface="宋体" panose="02010600030101010101" pitchFamily="2" charset="-122"/>
            </a:rPr>
            <a:t>000</a:t>
          </a:r>
          <a:r>
            <a:rPr lang="zh-CN" altLang="en-US" sz="1200">
              <a:latin typeface="宋体" panose="02010600030101010101" pitchFamily="2" charset="-122"/>
              <a:ea typeface="宋体" panose="02010600030101010101" pitchFamily="2" charset="-122"/>
            </a:rPr>
            <a:t>元销售额设为为</a:t>
          </a:r>
          <a:r>
            <a:rPr lang="zh-CN" altLang="en-US" sz="1200" b="1" i="1">
              <a:latin typeface="宋体" panose="02010600030101010101" pitchFamily="2" charset="-122"/>
              <a:ea typeface="宋体" panose="02010600030101010101" pitchFamily="2" charset="-122"/>
            </a:rPr>
            <a:t>普通城市</a:t>
          </a:r>
          <a:r>
            <a:rPr lang="zh-CN" altLang="en-US" sz="1200">
              <a:latin typeface="宋体" panose="02010600030101010101" pitchFamily="2" charset="-122"/>
              <a:ea typeface="宋体" panose="02010600030101010101" pitchFamily="2" charset="-122"/>
            </a:rPr>
            <a:t>，小于</a:t>
          </a:r>
          <a:r>
            <a:rPr lang="en-US" altLang="zh-CN" sz="1200">
              <a:latin typeface="宋体" panose="02010600030101010101" pitchFamily="2" charset="-122"/>
              <a:ea typeface="宋体" panose="02010600030101010101" pitchFamily="2" charset="-122"/>
            </a:rPr>
            <a:t>30</a:t>
          </a:r>
          <a:r>
            <a:rPr lang="en-US" altLang="zh-CN" sz="1200">
              <a:solidFill>
                <a:schemeClr val="dk1"/>
              </a:solidFill>
              <a:effectLst/>
              <a:latin typeface="宋体" panose="02010600030101010101" pitchFamily="2" charset="-122"/>
              <a:ea typeface="宋体" panose="02010600030101010101" pitchFamily="2" charset="-122"/>
              <a:cs typeface="+mn-cs"/>
            </a:rPr>
            <a:t>,</a:t>
          </a:r>
          <a:r>
            <a:rPr lang="en-US" altLang="zh-CN" sz="1200">
              <a:latin typeface="宋体" panose="02010600030101010101" pitchFamily="2" charset="-122"/>
              <a:ea typeface="宋体" panose="02010600030101010101" pitchFamily="2" charset="-122"/>
            </a:rPr>
            <a:t>000</a:t>
          </a:r>
          <a:r>
            <a:rPr lang="zh-CN" altLang="en-US" sz="1200">
              <a:latin typeface="宋体" panose="02010600030101010101" pitchFamily="2" charset="-122"/>
              <a:ea typeface="宋体" panose="02010600030101010101" pitchFamily="2" charset="-122"/>
            </a:rPr>
            <a:t>的设为</a:t>
          </a:r>
          <a:r>
            <a:rPr lang="zh-CN" altLang="en-US" sz="1200" b="1" i="1">
              <a:latin typeface="宋体" panose="02010600030101010101" pitchFamily="2" charset="-122"/>
              <a:ea typeface="宋体" panose="02010600030101010101" pitchFamily="2" charset="-122"/>
            </a:rPr>
            <a:t>起步城市</a:t>
          </a:r>
          <a:r>
            <a:rPr lang="zh-CN" altLang="en-US" sz="1200">
              <a:latin typeface="宋体" panose="02010600030101010101" pitchFamily="2" charset="-122"/>
              <a:ea typeface="宋体" panose="02010600030101010101" pitchFamily="2" charset="-122"/>
            </a:rPr>
            <a:t>。要求数据透视表需按照</a:t>
          </a:r>
          <a:r>
            <a:rPr lang="zh-CN" altLang="en-US" sz="1200">
              <a:solidFill>
                <a:srgbClr val="0070C0"/>
              </a:solidFill>
              <a:latin typeface="宋体" panose="02010600030101010101" pitchFamily="2" charset="-122"/>
              <a:ea typeface="宋体" panose="02010600030101010101" pitchFamily="2" charset="-122"/>
            </a:rPr>
            <a:t>下图</a:t>
          </a:r>
          <a:r>
            <a:rPr lang="zh-CN" altLang="en-US" sz="1200">
              <a:latin typeface="宋体" panose="02010600030101010101" pitchFamily="2" charset="-122"/>
              <a:ea typeface="宋体" panose="02010600030101010101" pitchFamily="2" charset="-122"/>
            </a:rPr>
            <a:t>进行设定。重要城市类别下显示具体城市的运货费总计值和运货费百分比，另外两类城市只显示该类情况，不显示具体城市信息。并添加代表年份的</a:t>
          </a:r>
          <a:r>
            <a:rPr lang="zh-CN" altLang="en-US" sz="1200" b="1">
              <a:latin typeface="宋体" panose="02010600030101010101" pitchFamily="2" charset="-122"/>
              <a:ea typeface="宋体" panose="02010600030101010101" pitchFamily="2" charset="-122"/>
            </a:rPr>
            <a:t>切片器</a:t>
          </a:r>
          <a:r>
            <a:rPr lang="zh-CN" altLang="en-US" sz="1200">
              <a:latin typeface="宋体" panose="02010600030101010101" pitchFamily="2" charset="-122"/>
              <a:ea typeface="宋体" panose="02010600030101010101" pitchFamily="2" charset="-122"/>
            </a:rPr>
            <a:t>。</a:t>
          </a:r>
          <a:endParaRPr lang="en-US" altLang="zh-CN" sz="1200">
            <a:latin typeface="宋体" panose="02010600030101010101" pitchFamily="2" charset="-122"/>
            <a:ea typeface="宋体" panose="02010600030101010101" pitchFamily="2" charset="-122"/>
          </a:endParaRPr>
        </a:p>
      </xdr:txBody>
    </xdr:sp>
    <xdr:clientData/>
  </xdr:twoCellAnchor>
  <xdr:twoCellAnchor>
    <xdr:from>
      <xdr:col>8</xdr:col>
      <xdr:colOff>131784</xdr:colOff>
      <xdr:row>11</xdr:row>
      <xdr:rowOff>4435</xdr:rowOff>
    </xdr:from>
    <xdr:to>
      <xdr:col>15</xdr:col>
      <xdr:colOff>472684</xdr:colOff>
      <xdr:row>22</xdr:row>
      <xdr:rowOff>180363</xdr:rowOff>
    </xdr:to>
    <xdr:pic>
      <xdr:nvPicPr>
        <xdr:cNvPr id="3" name="图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8184" y="1995160"/>
          <a:ext cx="5141500" cy="2166653"/>
        </a:xfrm>
        <a:prstGeom prst="rect">
          <a:avLst/>
        </a:prstGeom>
        <a:solidFill>
          <a:schemeClr val="bg1"/>
        </a:solidFill>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16</xdr:row>
      <xdr:rowOff>180975</xdr:rowOff>
    </xdr:from>
    <xdr:to>
      <xdr:col>21</xdr:col>
      <xdr:colOff>171449</xdr:colOff>
      <xdr:row>41</xdr:row>
      <xdr:rowOff>28575</xdr:rowOff>
    </xdr:to>
    <xdr:grpSp>
      <xdr:nvGrpSpPr>
        <xdr:cNvPr id="2" name="组合 1">
          <a:extLst>
            <a:ext uri="{FF2B5EF4-FFF2-40B4-BE49-F238E27FC236}">
              <a16:creationId xmlns:a16="http://schemas.microsoft.com/office/drawing/2014/main" id="{00000000-0008-0000-0200-000002000000}"/>
            </a:ext>
          </a:extLst>
        </xdr:cNvPr>
        <xdr:cNvGrpSpPr/>
      </xdr:nvGrpSpPr>
      <xdr:grpSpPr>
        <a:xfrm>
          <a:off x="7164457" y="3228975"/>
          <a:ext cx="8677688" cy="4610100"/>
          <a:chOff x="4632325" y="2997200"/>
          <a:chExt cx="8667749" cy="4927600"/>
        </a:xfrm>
      </xdr:grpSpPr>
      <xdr:sp macro="" textlink="">
        <xdr:nvSpPr>
          <xdr:cNvPr id="3" name="文本框 2">
            <a:extLst>
              <a:ext uri="{FF2B5EF4-FFF2-40B4-BE49-F238E27FC236}">
                <a16:creationId xmlns:a16="http://schemas.microsoft.com/office/drawing/2014/main" id="{00000000-0008-0000-0200-000003000000}"/>
              </a:ext>
            </a:extLst>
          </xdr:cNvPr>
          <xdr:cNvSpPr txBox="1"/>
        </xdr:nvSpPr>
        <xdr:spPr bwMode="auto">
          <a:xfrm>
            <a:off x="4632325" y="2997200"/>
            <a:ext cx="8667749" cy="4927600"/>
          </a:xfrm>
          <a:prstGeom prst="rect">
            <a:avLst/>
          </a:prstGeom>
          <a:solidFill>
            <a:schemeClr val="accent1">
              <a:lumMod val="20000"/>
              <a:lumOff val="80000"/>
            </a:schemeClr>
          </a:solidFill>
          <a:ln w="9525">
            <a:solidFill>
              <a:srgbClr val="000000"/>
            </a:solidFill>
            <a:miter lim="800000"/>
            <a:headEnd/>
            <a:tailEnd/>
          </a:ln>
        </xdr:spPr>
        <xdr:txBody>
          <a:bodyPr vertOverflow="clip" horzOverflow="clip" wrap="square" lIns="27432" tIns="18288" rIns="0" bIns="0" rtlCol="0" anchor="t" upright="1"/>
          <a:lstStyle/>
          <a:p>
            <a:pPr algn="l" rtl="0">
              <a:lnSpc>
                <a:spcPct val="120000"/>
              </a:lnSpc>
              <a:spcBef>
                <a:spcPts val="600"/>
              </a:spcBef>
              <a:spcAft>
                <a:spcPts val="600"/>
              </a:spcAft>
            </a:pPr>
            <a:r>
              <a:rPr lang="zh-CN" altLang="zh-CN" sz="1100" b="1">
                <a:effectLst/>
                <a:latin typeface="+mn-lt"/>
                <a:ea typeface="+mn-ea"/>
                <a:cs typeface="+mn-cs"/>
              </a:rPr>
              <a:t>第</a:t>
            </a:r>
            <a:r>
              <a:rPr lang="en-US" altLang="zh-CN" sz="1100" b="1">
                <a:effectLst/>
                <a:latin typeface="+mn-lt"/>
                <a:ea typeface="+mn-ea"/>
                <a:cs typeface="+mn-cs"/>
              </a:rPr>
              <a:t>3</a:t>
            </a:r>
            <a:r>
              <a:rPr lang="zh-CN" altLang="zh-CN" sz="1100" b="1">
                <a:effectLst/>
                <a:latin typeface="+mn-lt"/>
                <a:ea typeface="+mn-ea"/>
                <a:cs typeface="+mn-cs"/>
              </a:rPr>
              <a:t>题 </a:t>
            </a:r>
            <a:r>
              <a:rPr lang="zh-CN" altLang="zh-CN" sz="1200" b="0" i="0" kern="1600" baseline="0">
                <a:effectLst/>
                <a:latin typeface="宋体" panose="02010600030101010101" pitchFamily="2" charset="-122"/>
                <a:ea typeface="宋体" panose="02010600030101010101" pitchFamily="2" charset="-122"/>
                <a:cs typeface="+mn-cs"/>
              </a:rPr>
              <a:t>根据本工作表数据，利用</a:t>
            </a:r>
            <a:r>
              <a:rPr lang="en-US" altLang="zh-CN" sz="1200" b="0" i="0" kern="1600" baseline="0">
                <a:effectLst/>
                <a:latin typeface="宋体" panose="02010600030101010101" pitchFamily="2" charset="-122"/>
                <a:ea typeface="宋体" panose="02010600030101010101" pitchFamily="2" charset="-122"/>
                <a:cs typeface="+mn-cs"/>
              </a:rPr>
              <a:t>DAVERAGE</a:t>
            </a:r>
            <a:r>
              <a:rPr lang="zh-CN" altLang="zh-CN" sz="1200" b="0" i="0" kern="1600" baseline="0">
                <a:effectLst/>
                <a:latin typeface="宋体" panose="02010600030101010101" pitchFamily="2" charset="-122"/>
                <a:ea typeface="宋体" panose="02010600030101010101" pitchFamily="2" charset="-122"/>
                <a:cs typeface="+mn-cs"/>
              </a:rPr>
              <a:t>()函数、</a:t>
            </a:r>
            <a:r>
              <a:rPr lang="en-US" altLang="zh-CN" sz="1200" b="0" i="0" kern="1600" baseline="0">
                <a:effectLst/>
                <a:latin typeface="宋体" panose="02010600030101010101" pitchFamily="2" charset="-122"/>
                <a:ea typeface="宋体" panose="02010600030101010101" pitchFamily="2" charset="-122"/>
                <a:cs typeface="+mn-cs"/>
              </a:rPr>
              <a:t>DCOUNTA()</a:t>
            </a:r>
            <a:r>
              <a:rPr lang="zh-CN" altLang="zh-CN" sz="1200" b="0" i="0" kern="1600" baseline="0">
                <a:effectLst/>
                <a:latin typeface="宋体" panose="02010600030101010101" pitchFamily="2" charset="-122"/>
                <a:ea typeface="宋体" panose="02010600030101010101" pitchFamily="2" charset="-122"/>
                <a:cs typeface="+mn-cs"/>
              </a:rPr>
              <a:t>函数及模拟运算表，计算各个</a:t>
            </a:r>
            <a:r>
              <a:rPr lang="zh-CN" altLang="en-US" sz="1200" b="0" i="0" kern="1600" baseline="0">
                <a:effectLst/>
                <a:latin typeface="宋体" panose="02010600030101010101" pitchFamily="2" charset="-122"/>
                <a:ea typeface="宋体" panose="02010600030101010101" pitchFamily="2" charset="-122"/>
                <a:cs typeface="+mn-cs"/>
              </a:rPr>
              <a:t>学院各个班级的平均成绩、平均绩点</a:t>
            </a:r>
            <a:r>
              <a:rPr lang="zh-CN" altLang="zh-CN" sz="1200" b="0" i="0" kern="1600" baseline="0">
                <a:effectLst/>
                <a:latin typeface="宋体" panose="02010600030101010101" pitchFamily="2" charset="-122"/>
                <a:ea typeface="宋体" panose="02010600030101010101" pitchFamily="2" charset="-122"/>
                <a:cs typeface="+mn-cs"/>
              </a:rPr>
              <a:t>和</a:t>
            </a:r>
            <a:r>
              <a:rPr lang="zh-CN" altLang="en-US" sz="1200" b="0" i="0" kern="1600" baseline="0">
                <a:effectLst/>
                <a:latin typeface="宋体" panose="02010600030101010101" pitchFamily="2" charset="-122"/>
                <a:ea typeface="宋体" panose="02010600030101010101" pitchFamily="2" charset="-122"/>
                <a:cs typeface="+mn-cs"/>
              </a:rPr>
              <a:t>人</a:t>
            </a:r>
            <a:r>
              <a:rPr lang="zh-CN" altLang="zh-CN" sz="1200" b="0" i="0" kern="1600" baseline="0">
                <a:effectLst/>
                <a:latin typeface="宋体" panose="02010600030101010101" pitchFamily="2" charset="-122"/>
                <a:ea typeface="宋体" panose="02010600030101010101" pitchFamily="2" charset="-122"/>
                <a:cs typeface="+mn-cs"/>
              </a:rPr>
              <a:t>数。创建二个列表框，并</a:t>
            </a:r>
            <a:r>
              <a:rPr lang="zh-CN" altLang="en-US" sz="1200" b="0" i="0" kern="1600" baseline="0">
                <a:effectLst/>
                <a:latin typeface="宋体" panose="02010600030101010101" pitchFamily="2" charset="-122"/>
                <a:ea typeface="宋体" panose="02010600030101010101" pitchFamily="2" charset="-122"/>
                <a:cs typeface="+mn-cs"/>
              </a:rPr>
              <a:t>且</a:t>
            </a:r>
            <a:r>
              <a:rPr lang="zh-CN" altLang="zh-CN" sz="1200" b="0" i="0" kern="1600" baseline="0">
                <a:effectLst/>
                <a:latin typeface="宋体" panose="02010600030101010101" pitchFamily="2" charset="-122"/>
                <a:ea typeface="宋体" panose="02010600030101010101" pitchFamily="2" charset="-122"/>
                <a:cs typeface="+mn-cs"/>
              </a:rPr>
              <a:t>绘制</a:t>
            </a:r>
            <a:r>
              <a:rPr lang="zh-CN" altLang="en-US" sz="1200" b="0" i="0" kern="1600" baseline="0">
                <a:effectLst/>
                <a:latin typeface="宋体" panose="02010600030101010101" pitchFamily="2" charset="-122"/>
                <a:ea typeface="宋体" panose="02010600030101010101" pitchFamily="2" charset="-122"/>
                <a:cs typeface="+mn-cs"/>
              </a:rPr>
              <a:t>样</a:t>
            </a:r>
            <a:r>
              <a:rPr lang="zh-CN" altLang="zh-CN" sz="1200" b="0" i="0" kern="1600" baseline="0">
                <a:effectLst/>
                <a:latin typeface="宋体" panose="02010600030101010101" pitchFamily="2" charset="-122"/>
                <a:ea typeface="宋体" panose="02010600030101010101" pitchFamily="2" charset="-122"/>
                <a:cs typeface="+mn-cs"/>
              </a:rPr>
              <a:t>图所示</a:t>
            </a:r>
            <a:r>
              <a:rPr lang="zh-CN" altLang="en-US" sz="1200" b="0" i="0" kern="1600" baseline="0">
                <a:effectLst/>
                <a:latin typeface="宋体" panose="02010600030101010101" pitchFamily="2" charset="-122"/>
                <a:ea typeface="宋体" panose="02010600030101010101" pitchFamily="2" charset="-122"/>
                <a:cs typeface="+mn-cs"/>
              </a:rPr>
              <a:t>的柱形</a:t>
            </a:r>
            <a:r>
              <a:rPr lang="zh-CN" altLang="zh-CN" sz="1200" b="0" i="0" kern="1600" baseline="0">
                <a:effectLst/>
                <a:latin typeface="宋体" panose="02010600030101010101" pitchFamily="2" charset="-122"/>
                <a:ea typeface="宋体" panose="02010600030101010101" pitchFamily="2" charset="-122"/>
                <a:cs typeface="+mn-cs"/>
              </a:rPr>
              <a:t>图图形。使用</a:t>
            </a:r>
            <a:r>
              <a:rPr lang="zh-CN" altLang="en-US" sz="1200" b="0" i="0" kern="1600" baseline="0">
                <a:effectLst/>
                <a:latin typeface="宋体" panose="02010600030101010101" pitchFamily="2" charset="-122"/>
                <a:ea typeface="宋体" panose="02010600030101010101" pitchFamily="2" charset="-122"/>
                <a:cs typeface="+mn-cs"/>
              </a:rPr>
              <a:t>学院</a:t>
            </a:r>
            <a:r>
              <a:rPr lang="zh-CN" altLang="zh-CN" sz="1200" b="0" i="0" kern="1600" baseline="0">
                <a:effectLst/>
                <a:latin typeface="宋体" panose="02010600030101010101" pitchFamily="2" charset="-122"/>
                <a:ea typeface="宋体" panose="02010600030101010101" pitchFamily="2" charset="-122"/>
                <a:cs typeface="+mn-cs"/>
              </a:rPr>
              <a:t>列表框进行控制，当选择</a:t>
            </a:r>
            <a:r>
              <a:rPr lang="zh-CN" altLang="en-US" sz="1200" b="0" i="0" kern="1600" baseline="0">
                <a:effectLst/>
                <a:latin typeface="宋体" panose="02010600030101010101" pitchFamily="2" charset="-122"/>
                <a:ea typeface="宋体" panose="02010600030101010101" pitchFamily="2" charset="-122"/>
                <a:cs typeface="+mn-cs"/>
              </a:rPr>
              <a:t>学院</a:t>
            </a:r>
            <a:r>
              <a:rPr lang="zh-CN" altLang="zh-CN" sz="1200" b="0" i="0" kern="1600" baseline="0">
                <a:effectLst/>
                <a:latin typeface="宋体" panose="02010600030101010101" pitchFamily="2" charset="-122"/>
                <a:ea typeface="宋体" panose="02010600030101010101" pitchFamily="2" charset="-122"/>
                <a:cs typeface="+mn-cs"/>
              </a:rPr>
              <a:t>列表框中的某个</a:t>
            </a:r>
            <a:r>
              <a:rPr lang="zh-CN" altLang="en-US" sz="1200" b="0" i="0" kern="1600" baseline="0">
                <a:effectLst/>
                <a:latin typeface="宋体" panose="02010600030101010101" pitchFamily="2" charset="-122"/>
                <a:ea typeface="宋体" panose="02010600030101010101" pitchFamily="2" charset="-122"/>
                <a:cs typeface="+mn-cs"/>
              </a:rPr>
              <a:t>学院</a:t>
            </a:r>
            <a:r>
              <a:rPr lang="zh-CN" altLang="zh-CN" sz="1200" b="0" i="0" kern="1600" baseline="0">
                <a:effectLst/>
                <a:latin typeface="宋体" panose="02010600030101010101" pitchFamily="2" charset="-122"/>
                <a:ea typeface="宋体" panose="02010600030101010101" pitchFamily="2" charset="-122"/>
                <a:cs typeface="+mn-cs"/>
              </a:rPr>
              <a:t>时，属于此</a:t>
            </a:r>
            <a:r>
              <a:rPr lang="zh-CN" altLang="en-US" sz="1200" b="0" i="0" kern="1600" baseline="0">
                <a:effectLst/>
                <a:latin typeface="宋体" panose="02010600030101010101" pitchFamily="2" charset="-122"/>
                <a:ea typeface="宋体" panose="02010600030101010101" pitchFamily="2" charset="-122"/>
                <a:cs typeface="+mn-cs"/>
              </a:rPr>
              <a:t>学院的</a:t>
            </a:r>
            <a:r>
              <a:rPr lang="zh-CN" altLang="zh-CN" sz="1200" b="0" i="0" kern="1600" baseline="0">
                <a:effectLst/>
                <a:latin typeface="宋体" panose="02010600030101010101" pitchFamily="2" charset="-122"/>
                <a:ea typeface="宋体" panose="02010600030101010101" pitchFamily="2" charset="-122"/>
                <a:cs typeface="+mn-cs"/>
              </a:rPr>
              <a:t>所有</a:t>
            </a:r>
            <a:r>
              <a:rPr lang="zh-CN" altLang="en-US" sz="1200" b="0" i="0" kern="1600" baseline="0">
                <a:effectLst/>
                <a:latin typeface="宋体" panose="02010600030101010101" pitchFamily="2" charset="-122"/>
                <a:ea typeface="宋体" panose="02010600030101010101" pitchFamily="2" charset="-122"/>
                <a:cs typeface="+mn-cs"/>
              </a:rPr>
              <a:t>班级显示在</a:t>
            </a:r>
            <a:r>
              <a:rPr lang="en-US" altLang="zh-CN" sz="1200" b="0" i="0" kern="1600" baseline="0">
                <a:effectLst/>
                <a:latin typeface="宋体" panose="02010600030101010101" pitchFamily="2" charset="-122"/>
                <a:ea typeface="宋体" panose="02010600030101010101" pitchFamily="2" charset="-122"/>
                <a:cs typeface="+mn-cs"/>
              </a:rPr>
              <a:t>X</a:t>
            </a:r>
            <a:r>
              <a:rPr lang="zh-CN" altLang="en-US" sz="1200" b="0" i="0" kern="1600" baseline="0">
                <a:effectLst/>
                <a:latin typeface="宋体" panose="02010600030101010101" pitchFamily="2" charset="-122"/>
                <a:ea typeface="宋体" panose="02010600030101010101" pitchFamily="2" charset="-122"/>
                <a:cs typeface="+mn-cs"/>
              </a:rPr>
              <a:t>轴。</a:t>
            </a:r>
            <a:r>
              <a:rPr lang="zh-CN" altLang="zh-CN" sz="1200" b="0" i="0" kern="1600" baseline="0">
                <a:effectLst/>
                <a:latin typeface="宋体" panose="02010600030101010101" pitchFamily="2" charset="-122"/>
                <a:ea typeface="宋体" panose="02010600030101010101" pitchFamily="2" charset="-122"/>
                <a:cs typeface="+mn-cs"/>
              </a:rPr>
              <a:t>结果如下图所示。</a:t>
            </a:r>
            <a:r>
              <a:rPr lang="zh-CN" altLang="en-US" sz="1200" b="0" i="0" kern="1600" baseline="0">
                <a:effectLst/>
                <a:latin typeface="宋体" panose="02010600030101010101" pitchFamily="2" charset="-122"/>
                <a:ea typeface="宋体" panose="02010600030101010101" pitchFamily="2" charset="-122"/>
                <a:cs typeface="+mn-cs"/>
              </a:rPr>
              <a:t>样图的</a:t>
            </a:r>
            <a:r>
              <a:rPr lang="en-US" altLang="zh-CN" sz="1200" b="0" i="0" kern="1600" baseline="0">
                <a:effectLst/>
                <a:latin typeface="宋体" panose="02010600030101010101" pitchFamily="2" charset="-122"/>
                <a:ea typeface="宋体" panose="02010600030101010101" pitchFamily="2" charset="-122"/>
                <a:cs typeface="+mn-cs"/>
              </a:rPr>
              <a:t>Y</a:t>
            </a:r>
            <a:r>
              <a:rPr lang="zh-CN" altLang="en-US" sz="1200" b="0" i="0" kern="1600" baseline="0">
                <a:effectLst/>
                <a:latin typeface="宋体" panose="02010600030101010101" pitchFamily="2" charset="-122"/>
                <a:ea typeface="宋体" panose="02010600030101010101" pitchFamily="2" charset="-122"/>
                <a:cs typeface="+mn-cs"/>
              </a:rPr>
              <a:t>轴数据仅供参考。在本工作表的</a:t>
            </a:r>
            <a:r>
              <a:rPr lang="en-US" altLang="zh-CN" sz="1200" b="0" i="0" kern="1600" baseline="0">
                <a:effectLst/>
                <a:latin typeface="宋体" panose="02010600030101010101" pitchFamily="2" charset="-122"/>
                <a:ea typeface="宋体" panose="02010600030101010101" pitchFamily="2" charset="-122"/>
                <a:cs typeface="+mn-cs"/>
              </a:rPr>
              <a:t>K3:M14</a:t>
            </a:r>
            <a:r>
              <a:rPr lang="zh-CN" altLang="en-US" sz="1200" b="0" i="0" kern="1600" baseline="0">
                <a:effectLst/>
                <a:latin typeface="宋体" panose="02010600030101010101" pitchFamily="2" charset="-122"/>
                <a:ea typeface="宋体" panose="02010600030101010101" pitchFamily="2" charset="-122"/>
                <a:cs typeface="+mn-cs"/>
              </a:rPr>
              <a:t>单元格中有本科生成绩与绩点对照表。</a:t>
            </a:r>
            <a:endParaRPr lang="en-US" altLang="zh-CN" sz="1200" b="0" i="0" kern="1600" baseline="0">
              <a:effectLst/>
              <a:latin typeface="宋体" panose="02010600030101010101" pitchFamily="2" charset="-122"/>
              <a:ea typeface="宋体" panose="02010600030101010101" pitchFamily="2" charset="-122"/>
              <a:cs typeface="+mn-cs"/>
            </a:endParaRPr>
          </a:p>
          <a:p>
            <a:pPr algn="l" rtl="0">
              <a:lnSpc>
                <a:spcPct val="120000"/>
              </a:lnSpc>
              <a:spcBef>
                <a:spcPts val="600"/>
              </a:spcBef>
              <a:spcAft>
                <a:spcPts val="600"/>
              </a:spcAft>
            </a:pPr>
            <a:endParaRPr lang="zh-CN" altLang="en-US" sz="1200" b="0" i="0" u="none" strike="noStrike" baseline="0">
              <a:solidFill>
                <a:srgbClr val="000000"/>
              </a:solidFill>
              <a:latin typeface="宋体" panose="02010600030101010101" pitchFamily="2" charset="-122"/>
              <a:ea typeface="宋体" panose="02010600030101010101" pitchFamily="2" charset="-122"/>
            </a:endParaRPr>
          </a:p>
        </xdr:txBody>
      </xdr:sp>
      <xdr:pic>
        <xdr:nvPicPr>
          <xdr:cNvPr id="4" name="图片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5479287" y="4206071"/>
            <a:ext cx="6792536" cy="3291062"/>
          </a:xfrm>
          <a:prstGeom prst="rect">
            <a:avLst/>
          </a:prstGeom>
          <a:ln>
            <a:solidFill>
              <a:schemeClr val="tx1"/>
            </a:solidFill>
          </a:ln>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38098</xdr:colOff>
      <xdr:row>1</xdr:row>
      <xdr:rowOff>19049</xdr:rowOff>
    </xdr:from>
    <xdr:to>
      <xdr:col>16</xdr:col>
      <xdr:colOff>38099</xdr:colOff>
      <xdr:row>8</xdr:row>
      <xdr:rowOff>66674</xdr:rowOff>
    </xdr:to>
    <xdr:sp macro="" textlink="">
      <xdr:nvSpPr>
        <xdr:cNvPr id="2" name="文本框 1">
          <a:extLst>
            <a:ext uri="{FF2B5EF4-FFF2-40B4-BE49-F238E27FC236}">
              <a16:creationId xmlns:a16="http://schemas.microsoft.com/office/drawing/2014/main" id="{00000000-0008-0000-0300-000002000000}"/>
            </a:ext>
          </a:extLst>
        </xdr:cNvPr>
        <xdr:cNvSpPr txBox="1"/>
      </xdr:nvSpPr>
      <xdr:spPr>
        <a:xfrm>
          <a:off x="6296023" y="247649"/>
          <a:ext cx="5486401" cy="16478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zh-CN" altLang="zh-CN" sz="1100" b="1">
              <a:solidFill>
                <a:schemeClr val="dk1"/>
              </a:solidFill>
              <a:effectLst/>
              <a:latin typeface="+mn-lt"/>
              <a:ea typeface="+mn-ea"/>
              <a:cs typeface="+mn-cs"/>
            </a:rPr>
            <a:t>第</a:t>
          </a:r>
          <a:r>
            <a:rPr lang="en-US" altLang="zh-CN" sz="1100" b="1">
              <a:solidFill>
                <a:schemeClr val="dk1"/>
              </a:solidFill>
              <a:effectLst/>
              <a:latin typeface="+mn-lt"/>
              <a:ea typeface="+mn-ea"/>
              <a:cs typeface="+mn-cs"/>
            </a:rPr>
            <a:t>4</a:t>
          </a:r>
          <a:r>
            <a:rPr lang="zh-CN" altLang="zh-CN" sz="1100" b="1">
              <a:solidFill>
                <a:schemeClr val="dk1"/>
              </a:solidFill>
              <a:effectLst/>
              <a:latin typeface="+mn-lt"/>
              <a:ea typeface="+mn-ea"/>
              <a:cs typeface="+mn-cs"/>
            </a:rPr>
            <a:t>题 </a:t>
          </a:r>
          <a:r>
            <a:rPr lang="zh-CN" altLang="en-US" sz="1200">
              <a:latin typeface="宋体" panose="02010600030101010101" pitchFamily="2" charset="-122"/>
              <a:ea typeface="宋体" panose="02010600030101010101" pitchFamily="2" charset="-122"/>
            </a:rPr>
            <a:t>某专卖店销售的一款电子产品，在过去</a:t>
          </a:r>
          <a:r>
            <a:rPr lang="en-US" altLang="zh-CN" sz="1200">
              <a:latin typeface="宋体" panose="02010600030101010101" pitchFamily="2" charset="-122"/>
              <a:ea typeface="宋体" panose="02010600030101010101" pitchFamily="2" charset="-122"/>
            </a:rPr>
            <a:t>10</a:t>
          </a:r>
          <a:r>
            <a:rPr lang="zh-CN" altLang="en-US" sz="1200">
              <a:latin typeface="宋体" panose="02010600030101010101" pitchFamily="2" charset="-122"/>
              <a:ea typeface="宋体" panose="02010600030101010101" pitchFamily="2" charset="-122"/>
            </a:rPr>
            <a:t>个月内的需求量如</a:t>
          </a:r>
          <a:r>
            <a:rPr lang="en-US" altLang="zh-CN" sz="1200">
              <a:latin typeface="宋体" panose="02010600030101010101" pitchFamily="2" charset="-122"/>
              <a:ea typeface="宋体" panose="02010600030101010101" pitchFamily="2" charset="-122"/>
            </a:rPr>
            <a:t>F2:F11</a:t>
          </a:r>
          <a:r>
            <a:rPr lang="zh-CN" altLang="en-US" sz="1200">
              <a:latin typeface="宋体" panose="02010600030101010101" pitchFamily="2" charset="-122"/>
              <a:ea typeface="宋体" panose="02010600030101010101" pitchFamily="2" charset="-122"/>
            </a:rPr>
            <a:t>所示，现要求建立移动平均模型：</a:t>
          </a:r>
        </a:p>
        <a:p>
          <a:r>
            <a:rPr lang="en-US" altLang="zh-CN" sz="1200">
              <a:latin typeface="宋体" panose="02010600030101010101" pitchFamily="2" charset="-122"/>
              <a:ea typeface="宋体" panose="02010600030101010101" pitchFamily="2" charset="-122"/>
            </a:rPr>
            <a:t>1</a:t>
          </a:r>
          <a:r>
            <a:rPr lang="zh-CN" altLang="en-US" sz="1200">
              <a:latin typeface="宋体" panose="02010600030101010101" pitchFamily="2" charset="-122"/>
              <a:ea typeface="宋体" panose="02010600030101010101" pitchFamily="2" charset="-122"/>
            </a:rPr>
            <a:t>、针对在</a:t>
          </a:r>
          <a:r>
            <a:rPr lang="en-US" altLang="zh-CN" sz="1200">
              <a:latin typeface="宋体" panose="02010600030101010101" pitchFamily="2" charset="-122"/>
              <a:ea typeface="宋体" panose="02010600030101010101" pitchFamily="2" charset="-122"/>
            </a:rPr>
            <a:t>B1</a:t>
          </a:r>
          <a:r>
            <a:rPr lang="zh-CN" altLang="en-US" sz="1200">
              <a:latin typeface="宋体" panose="02010600030101010101" pitchFamily="2" charset="-122"/>
              <a:ea typeface="宋体" panose="02010600030101010101" pitchFamily="2" charset="-122"/>
            </a:rPr>
            <a:t>中键入的任意的移动平均跨度值（它可以是在</a:t>
          </a:r>
          <a:r>
            <a:rPr lang="en-US" altLang="zh-CN" sz="1200">
              <a:latin typeface="宋体" panose="02010600030101010101" pitchFamily="2" charset="-122"/>
              <a:ea typeface="宋体" panose="02010600030101010101" pitchFamily="2" charset="-122"/>
            </a:rPr>
            <a:t>3</a:t>
          </a:r>
          <a:r>
            <a:rPr lang="en-US" altLang="zh-CN" sz="1200">
              <a:latin typeface="Arial" panose="020B0604020202020204" pitchFamily="34" charset="0"/>
              <a:ea typeface="宋体" panose="02010600030101010101" pitchFamily="2" charset="-122"/>
              <a:cs typeface="Arial" panose="020B0604020202020204" pitchFamily="34" charset="0"/>
            </a:rPr>
            <a:t>~</a:t>
          </a:r>
          <a:r>
            <a:rPr lang="en-US" altLang="zh-CN" sz="1200">
              <a:latin typeface="宋体" panose="02010600030101010101" pitchFamily="2" charset="-122"/>
              <a:ea typeface="宋体" panose="02010600030101010101" pitchFamily="2" charset="-122"/>
            </a:rPr>
            <a:t>8</a:t>
          </a:r>
          <a:r>
            <a:rPr lang="zh-CN" altLang="en-US" sz="1200">
              <a:latin typeface="宋体" panose="02010600030101010101" pitchFamily="2" charset="-122"/>
              <a:ea typeface="宋体" panose="02010600030101010101" pitchFamily="2" charset="-122"/>
            </a:rPr>
            <a:t>之间的任何整数）在</a:t>
          </a:r>
          <a:r>
            <a:rPr lang="en-US" altLang="zh-CN" sz="1200">
              <a:latin typeface="宋体" panose="02010600030101010101" pitchFamily="2" charset="-122"/>
              <a:ea typeface="宋体" panose="02010600030101010101" pitchFamily="2" charset="-122"/>
            </a:rPr>
            <a:t>G2:G12</a:t>
          </a:r>
          <a:r>
            <a:rPr lang="zh-CN" altLang="en-US" sz="1200">
              <a:latin typeface="宋体" panose="02010600030101010101" pitchFamily="2" charset="-122"/>
              <a:ea typeface="宋体" panose="02010600030101010101" pitchFamily="2" charset="-122"/>
            </a:rPr>
            <a:t>中正确的位置上求出各月的移动平均预测值；</a:t>
          </a:r>
        </a:p>
        <a:p>
          <a:r>
            <a:rPr lang="en-US" altLang="zh-CN" sz="1200">
              <a:latin typeface="宋体" panose="02010600030101010101" pitchFamily="2" charset="-122"/>
              <a:ea typeface="宋体" panose="02010600030101010101" pitchFamily="2" charset="-122"/>
            </a:rPr>
            <a:t>2</a:t>
          </a:r>
          <a:r>
            <a:rPr lang="zh-CN" altLang="en-US" sz="1200">
              <a:latin typeface="宋体" panose="02010600030101010101" pitchFamily="2" charset="-122"/>
              <a:ea typeface="宋体" panose="02010600030101010101" pitchFamily="2" charset="-122"/>
            </a:rPr>
            <a:t>、在单元格</a:t>
          </a:r>
          <a:r>
            <a:rPr lang="en-US" altLang="zh-CN" sz="1200">
              <a:latin typeface="宋体" panose="02010600030101010101" pitchFamily="2" charset="-122"/>
              <a:ea typeface="宋体" panose="02010600030101010101" pitchFamily="2" charset="-122"/>
            </a:rPr>
            <a:t>B2</a:t>
          </a:r>
          <a:r>
            <a:rPr lang="zh-CN" altLang="en-US" sz="1200">
              <a:latin typeface="宋体" panose="02010600030101010101" pitchFamily="2" charset="-122"/>
              <a:ea typeface="宋体" panose="02010600030101010101" pitchFamily="2" charset="-122"/>
            </a:rPr>
            <a:t>中求出这些预测值与对应的需求量实际值之间的均方误差；</a:t>
          </a:r>
        </a:p>
        <a:p>
          <a:r>
            <a:rPr lang="en-US" altLang="zh-CN" sz="1200">
              <a:latin typeface="宋体" panose="02010600030101010101" pitchFamily="2" charset="-122"/>
              <a:ea typeface="宋体" panose="02010600030101010101" pitchFamily="2" charset="-122"/>
            </a:rPr>
            <a:t>3</a:t>
          </a:r>
          <a:r>
            <a:rPr lang="zh-CN" altLang="en-US" sz="1200">
              <a:latin typeface="宋体" panose="02010600030101010101" pitchFamily="2" charset="-122"/>
              <a:ea typeface="宋体" panose="02010600030101010101" pitchFamily="2" charset="-122"/>
            </a:rPr>
            <a:t>、在</a:t>
          </a:r>
          <a:r>
            <a:rPr lang="en-US" altLang="zh-CN" sz="1200">
              <a:latin typeface="宋体" panose="02010600030101010101" pitchFamily="2" charset="-122"/>
              <a:ea typeface="宋体" panose="02010600030101010101" pitchFamily="2" charset="-122"/>
            </a:rPr>
            <a:t>B4</a:t>
          </a:r>
          <a:r>
            <a:rPr lang="zh-CN" altLang="en-US" sz="1200">
              <a:latin typeface="宋体" panose="02010600030101010101" pitchFamily="2" charset="-122"/>
              <a:ea typeface="宋体" panose="02010600030101010101" pitchFamily="2" charset="-122"/>
            </a:rPr>
            <a:t>中求出使均方误差达到极小的最优移动平均跨度；</a:t>
          </a:r>
        </a:p>
        <a:p>
          <a:r>
            <a:rPr lang="en-US" altLang="zh-CN" sz="1200">
              <a:latin typeface="宋体" panose="02010600030101010101" pitchFamily="2" charset="-122"/>
              <a:ea typeface="宋体" panose="02010600030101010101" pitchFamily="2" charset="-122"/>
            </a:rPr>
            <a:t>4</a:t>
          </a:r>
          <a:r>
            <a:rPr lang="zh-CN" altLang="en-US" sz="1200">
              <a:latin typeface="宋体" panose="02010600030101010101" pitchFamily="2" charset="-122"/>
              <a:ea typeface="宋体" panose="02010600030101010101" pitchFamily="2" charset="-122"/>
            </a:rPr>
            <a:t>、利用最优移动平均跨度在</a:t>
          </a:r>
          <a:r>
            <a:rPr lang="en-US" altLang="zh-CN" sz="1200">
              <a:latin typeface="宋体" panose="02010600030101010101" pitchFamily="2" charset="-122"/>
              <a:ea typeface="宋体" panose="02010600030101010101" pitchFamily="2" charset="-122"/>
            </a:rPr>
            <a:t>B5</a:t>
          </a:r>
          <a:r>
            <a:rPr lang="zh-CN" altLang="en-US" sz="1200">
              <a:latin typeface="宋体" panose="02010600030101010101" pitchFamily="2" charset="-122"/>
              <a:ea typeface="宋体" panose="02010600030101010101" pitchFamily="2" charset="-122"/>
            </a:rPr>
            <a:t>中求出</a:t>
          </a:r>
          <a:r>
            <a:rPr lang="en-US" altLang="zh-CN" sz="1200">
              <a:latin typeface="宋体" panose="02010600030101010101" pitchFamily="2" charset="-122"/>
              <a:ea typeface="宋体" panose="02010600030101010101" pitchFamily="2" charset="-122"/>
            </a:rPr>
            <a:t>2021</a:t>
          </a:r>
          <a:r>
            <a:rPr lang="zh-CN" altLang="en-US" sz="1200">
              <a:latin typeface="宋体" panose="02010600030101010101" pitchFamily="2" charset="-122"/>
              <a:ea typeface="宋体" panose="02010600030101010101" pitchFamily="2" charset="-122"/>
            </a:rPr>
            <a:t>年</a:t>
          </a:r>
          <a:r>
            <a:rPr lang="en-US" altLang="zh-CN" sz="1200">
              <a:latin typeface="宋体" panose="02010600030101010101" pitchFamily="2" charset="-122"/>
              <a:ea typeface="宋体" panose="02010600030101010101" pitchFamily="2" charset="-122"/>
            </a:rPr>
            <a:t>6</a:t>
          </a:r>
          <a:r>
            <a:rPr lang="zh-CN" altLang="en-US" sz="1200">
              <a:latin typeface="宋体" panose="02010600030101010101" pitchFamily="2" charset="-122"/>
              <a:ea typeface="宋体" panose="02010600030101010101" pitchFamily="2" charset="-122"/>
            </a:rPr>
            <a:t>月该电子产品的需求量预测值。</a:t>
          </a:r>
          <a:r>
            <a:rPr lang="zh-CN" altLang="en-US" sz="1200" baseline="0">
              <a:latin typeface="宋体" panose="02010600030101010101" pitchFamily="2" charset="-122"/>
              <a:ea typeface="宋体" panose="02010600030101010101" pitchFamily="2" charset="-122"/>
            </a:rPr>
            <a:t>  </a:t>
          </a:r>
          <a:endParaRPr lang="zh-CN" altLang="en-US" sz="1200">
            <a:latin typeface="宋体" panose="02010600030101010101" pitchFamily="2" charset="-122"/>
            <a:ea typeface="宋体" panose="02010600030101010101" pitchFamily="2" charset="-122"/>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249621</xdr:colOff>
      <xdr:row>11</xdr:row>
      <xdr:rowOff>76201</xdr:rowOff>
    </xdr:from>
    <xdr:to>
      <xdr:col>8</xdr:col>
      <xdr:colOff>33131</xdr:colOff>
      <xdr:row>18</xdr:row>
      <xdr:rowOff>124811</xdr:rowOff>
    </xdr:to>
    <xdr:sp macro="" textlink="">
      <xdr:nvSpPr>
        <xdr:cNvPr id="5" name="文本框 4">
          <a:extLst>
            <a:ext uri="{FF2B5EF4-FFF2-40B4-BE49-F238E27FC236}">
              <a16:creationId xmlns:a16="http://schemas.microsoft.com/office/drawing/2014/main" id="{42188E7C-EC01-4C64-928F-68E8A6CA8BA2}"/>
            </a:ext>
          </a:extLst>
        </xdr:cNvPr>
        <xdr:cNvSpPr txBox="1"/>
      </xdr:nvSpPr>
      <xdr:spPr>
        <a:xfrm>
          <a:off x="249621" y="2822029"/>
          <a:ext cx="4999269" cy="1795954"/>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lang="en-US" altLang="zh-CN" sz="1200" b="1">
              <a:latin typeface="宋体" panose="02010600030101010101" pitchFamily="2" charset="-122"/>
              <a:ea typeface="宋体" panose="02010600030101010101" pitchFamily="2" charset="-122"/>
            </a:rPr>
            <a:t>【</a:t>
          </a:r>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5</a:t>
          </a:r>
          <a:r>
            <a:rPr lang="zh-CN" altLang="en-US" sz="1200" b="1">
              <a:latin typeface="宋体" panose="02010600030101010101" pitchFamily="2" charset="-122"/>
              <a:ea typeface="宋体" panose="02010600030101010101" pitchFamily="2" charset="-122"/>
            </a:rPr>
            <a:t>题</a:t>
          </a:r>
          <a:r>
            <a:rPr lang="en-US" altLang="zh-CN" sz="1200" b="1">
              <a:latin typeface="宋体" panose="02010600030101010101" pitchFamily="2" charset="-122"/>
              <a:ea typeface="宋体" panose="02010600030101010101" pitchFamily="2" charset="-122"/>
            </a:rPr>
            <a:t>】</a:t>
          </a:r>
          <a:r>
            <a:rPr lang="zh-CN" altLang="en-US" sz="1200" b="1">
              <a:latin typeface="宋体" panose="02010600030101010101" pitchFamily="2" charset="-122"/>
              <a:ea typeface="宋体" panose="02010600030101010101" pitchFamily="2" charset="-122"/>
            </a:rPr>
            <a:t>（</a:t>
          </a:r>
          <a:r>
            <a:rPr lang="en-US" altLang="zh-CN" sz="1200" b="1">
              <a:solidFill>
                <a:srgbClr val="FF0000"/>
              </a:solidFill>
              <a:latin typeface="宋体" panose="02010600030101010101" pitchFamily="2" charset="-122"/>
              <a:ea typeface="宋体" panose="02010600030101010101" pitchFamily="2" charset="-122"/>
            </a:rPr>
            <a:t>10</a:t>
          </a:r>
          <a:r>
            <a:rPr lang="zh-CN" altLang="en-US" sz="1200" b="1">
              <a:solidFill>
                <a:srgbClr val="FF0000"/>
              </a:solidFill>
              <a:latin typeface="宋体" panose="02010600030101010101" pitchFamily="2" charset="-122"/>
              <a:ea typeface="宋体" panose="02010600030101010101" pitchFamily="2" charset="-122"/>
            </a:rPr>
            <a:t>分</a:t>
          </a:r>
          <a:r>
            <a:rPr lang="zh-CN" altLang="en-US" sz="1200" b="1">
              <a:latin typeface="宋体" panose="02010600030101010101" pitchFamily="2" charset="-122"/>
              <a:ea typeface="宋体" panose="02010600030101010101" pitchFamily="2" charset="-122"/>
            </a:rPr>
            <a:t>）</a:t>
          </a:r>
          <a:r>
            <a:rPr lang="zh-CN" altLang="en-US" sz="1200">
              <a:latin typeface="宋体" panose="02010600030101010101" pitchFamily="2" charset="-122"/>
              <a:ea typeface="宋体" panose="02010600030101010101" pitchFamily="2" charset="-122"/>
            </a:rPr>
            <a:t>本工作表的数据记录了某公司过去</a:t>
          </a:r>
          <a:r>
            <a:rPr lang="en-US" altLang="zh-CN" sz="1200">
              <a:latin typeface="宋体" panose="02010600030101010101" pitchFamily="2" charset="-122"/>
              <a:ea typeface="宋体" panose="02010600030101010101" pitchFamily="2" charset="-122"/>
            </a:rPr>
            <a:t>8</a:t>
          </a:r>
          <a:r>
            <a:rPr lang="zh-CN" altLang="en-US" sz="1200">
              <a:latin typeface="宋体" panose="02010600030101010101" pitchFamily="2" charset="-122"/>
              <a:ea typeface="宋体" panose="02010600030101010101" pitchFamily="2" charset="-122"/>
            </a:rPr>
            <a:t>年的利润、资金投入</a:t>
          </a:r>
          <a:r>
            <a:rPr lang="en-US" altLang="zh-CN" sz="1200">
              <a:latin typeface="宋体" panose="02010600030101010101" pitchFamily="2" charset="-122"/>
              <a:ea typeface="宋体" panose="02010600030101010101" pitchFamily="2" charset="-122"/>
            </a:rPr>
            <a:t>X1</a:t>
          </a:r>
          <a:r>
            <a:rPr lang="zh-CN" altLang="en-US" sz="1200">
              <a:latin typeface="宋体" panose="02010600030101010101" pitchFamily="2" charset="-122"/>
              <a:ea typeface="宋体" panose="02010600030101010101" pitchFamily="2" charset="-122"/>
            </a:rPr>
            <a:t>、员工数</a:t>
          </a:r>
          <a:r>
            <a:rPr lang="en-US" altLang="zh-CN" sz="1200">
              <a:latin typeface="宋体" panose="02010600030101010101" pitchFamily="2" charset="-122"/>
              <a:ea typeface="宋体" panose="02010600030101010101" pitchFamily="2" charset="-122"/>
            </a:rPr>
            <a:t>X2</a:t>
          </a:r>
          <a:r>
            <a:rPr lang="zh-CN" altLang="en-US" sz="1200">
              <a:latin typeface="宋体" panose="02010600030101010101" pitchFamily="2" charset="-122"/>
              <a:ea typeface="宋体" panose="02010600030101010101" pitchFamily="2" charset="-122"/>
            </a:rPr>
            <a:t>、用电量</a:t>
          </a:r>
          <a:r>
            <a:rPr lang="en-US" altLang="zh-CN" sz="1200">
              <a:latin typeface="宋体" panose="02010600030101010101" pitchFamily="2" charset="-122"/>
              <a:ea typeface="宋体" panose="02010600030101010101" pitchFamily="2" charset="-122"/>
            </a:rPr>
            <a:t>X3</a:t>
          </a:r>
          <a:r>
            <a:rPr lang="zh-CN" altLang="en-US" sz="1200">
              <a:latin typeface="宋体" panose="02010600030101010101" pitchFamily="2" charset="-122"/>
              <a:ea typeface="宋体" panose="02010600030101010101" pitchFamily="2" charset="-122"/>
            </a:rPr>
            <a:t>的数据。请采用</a:t>
          </a:r>
          <a:r>
            <a:rPr lang="zh-CN" altLang="en-US" sz="1200" u="sng">
              <a:solidFill>
                <a:sysClr val="windowText" lastClr="000000"/>
              </a:solidFill>
              <a:latin typeface="宋体" panose="02010600030101010101" pitchFamily="2" charset="-122"/>
              <a:ea typeface="宋体" panose="02010600030101010101" pitchFamily="2" charset="-122"/>
            </a:rPr>
            <a:t>向前增选法</a:t>
          </a:r>
          <a:r>
            <a:rPr lang="zh-CN" altLang="en-US" sz="1200">
              <a:latin typeface="宋体" panose="02010600030101010101" pitchFamily="2" charset="-122"/>
              <a:ea typeface="宋体" panose="02010600030101010101" pitchFamily="2" charset="-122"/>
            </a:rPr>
            <a:t>，确定可用于预测利润的</a:t>
          </a:r>
          <a:r>
            <a:rPr lang="zh-CN" altLang="en-US" sz="1200" b="1">
              <a:solidFill>
                <a:srgbClr val="C00000"/>
              </a:solidFill>
              <a:latin typeface="宋体" panose="02010600030101010101" pitchFamily="2" charset="-122"/>
              <a:ea typeface="宋体" panose="02010600030101010101" pitchFamily="2" charset="-122"/>
            </a:rPr>
            <a:t>多元线性回归方程</a:t>
          </a:r>
          <a:r>
            <a:rPr lang="zh-CN" altLang="en-US" sz="1200">
              <a:latin typeface="宋体" panose="02010600030101010101" pitchFamily="2" charset="-122"/>
              <a:ea typeface="宋体" panose="02010600030101010101" pitchFamily="2" charset="-122"/>
            </a:rPr>
            <a:t>。具体要求如下：</a:t>
          </a:r>
        </a:p>
        <a:p>
          <a:pPr>
            <a:spcBef>
              <a:spcPts val="600"/>
            </a:spcBef>
          </a:pPr>
          <a:r>
            <a:rPr lang="en-US" altLang="zh-CN" sz="1200">
              <a:latin typeface="宋体" panose="02010600030101010101" pitchFamily="2" charset="-122"/>
              <a:ea typeface="宋体" panose="02010600030101010101" pitchFamily="2" charset="-122"/>
            </a:rPr>
            <a:t>1</a:t>
          </a:r>
          <a:r>
            <a:rPr lang="zh-CN" altLang="en-US" sz="1200">
              <a:latin typeface="宋体" panose="02010600030101010101" pitchFamily="2" charset="-122"/>
              <a:ea typeface="宋体" panose="02010600030101010101" pitchFamily="2" charset="-122"/>
            </a:rPr>
            <a:t>、绘制散点图，观察数据；</a:t>
          </a:r>
          <a:endParaRPr lang="en-US" altLang="zh-CN" sz="1200">
            <a:latin typeface="宋体" panose="02010600030101010101" pitchFamily="2" charset="-122"/>
            <a:ea typeface="宋体" panose="02010600030101010101" pitchFamily="2" charset="-122"/>
          </a:endParaRPr>
        </a:p>
        <a:p>
          <a:pPr>
            <a:spcBef>
              <a:spcPts val="600"/>
            </a:spcBef>
          </a:pPr>
          <a:r>
            <a:rPr lang="en-US" altLang="zh-CN" sz="1200">
              <a:latin typeface="宋体" panose="02010600030101010101" pitchFamily="2" charset="-122"/>
              <a:ea typeface="宋体" panose="02010600030101010101" pitchFamily="2" charset="-122"/>
            </a:rPr>
            <a:t>2</a:t>
          </a:r>
          <a:r>
            <a:rPr lang="zh-CN" altLang="en-US" sz="1200">
              <a:latin typeface="宋体" panose="02010600030101010101" pitchFamily="2" charset="-122"/>
              <a:ea typeface="宋体" panose="02010600030101010101" pitchFamily="2" charset="-122"/>
            </a:rPr>
            <a:t>、找到合适的回归方程，确定方程的系数，在单元格</a:t>
          </a:r>
          <a:r>
            <a:rPr lang="en-US" altLang="zh-CN" sz="1200">
              <a:latin typeface="宋体" panose="02010600030101010101" pitchFamily="2" charset="-122"/>
              <a:ea typeface="宋体" panose="02010600030101010101" pitchFamily="2" charset="-122"/>
            </a:rPr>
            <a:t>K8</a:t>
          </a:r>
          <a:r>
            <a:rPr lang="zh-CN" altLang="en-US" sz="1200">
              <a:latin typeface="宋体" panose="02010600030101010101" pitchFamily="2" charset="-122"/>
              <a:ea typeface="宋体" panose="02010600030101010101" pitchFamily="2" charset="-122"/>
            </a:rPr>
            <a:t>写下该方程，比如</a:t>
          </a:r>
          <a:r>
            <a:rPr lang="en-US" altLang="zh-CN" sz="1200">
              <a:solidFill>
                <a:schemeClr val="bg1">
                  <a:lumMod val="50000"/>
                </a:schemeClr>
              </a:solidFill>
              <a:latin typeface="宋体" panose="02010600030101010101" pitchFamily="2" charset="-122"/>
              <a:ea typeface="宋体" panose="02010600030101010101" pitchFamily="2" charset="-122"/>
            </a:rPr>
            <a:t>Y=1.33+2.45*X1+3.12*X2+4.12*X3</a:t>
          </a:r>
          <a:r>
            <a:rPr lang="zh-CN" altLang="en-US" sz="1200">
              <a:latin typeface="宋体" panose="02010600030101010101" pitchFamily="2" charset="-122"/>
              <a:ea typeface="宋体" panose="02010600030101010101" pitchFamily="2" charset="-122"/>
            </a:rPr>
            <a:t>；</a:t>
          </a:r>
          <a:endParaRPr lang="en-US" altLang="zh-CN" sz="1200">
            <a:latin typeface="宋体" panose="02010600030101010101" pitchFamily="2" charset="-122"/>
            <a:ea typeface="宋体" panose="02010600030101010101" pitchFamily="2" charset="-122"/>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23813</xdr:colOff>
      <xdr:row>1</xdr:row>
      <xdr:rowOff>4762</xdr:rowOff>
    </xdr:from>
    <xdr:to>
      <xdr:col>14</xdr:col>
      <xdr:colOff>71437</xdr:colOff>
      <xdr:row>36</xdr:row>
      <xdr:rowOff>14288</xdr:rowOff>
    </xdr:to>
    <xdr:grpSp>
      <xdr:nvGrpSpPr>
        <xdr:cNvPr id="2" name="组合 1">
          <a:extLst>
            <a:ext uri="{FF2B5EF4-FFF2-40B4-BE49-F238E27FC236}">
              <a16:creationId xmlns:a16="http://schemas.microsoft.com/office/drawing/2014/main" id="{00000000-0008-0000-0500-000002000000}"/>
            </a:ext>
          </a:extLst>
        </xdr:cNvPr>
        <xdr:cNvGrpSpPr/>
      </xdr:nvGrpSpPr>
      <xdr:grpSpPr>
        <a:xfrm>
          <a:off x="2102984" y="184376"/>
          <a:ext cx="6905624" cy="6230712"/>
          <a:chOff x="5143501" y="3533775"/>
          <a:chExt cx="6905624" cy="6010275"/>
        </a:xfrm>
      </xdr:grpSpPr>
      <xdr:sp macro="" textlink="">
        <xdr:nvSpPr>
          <xdr:cNvPr id="3" name="TextBox 6">
            <a:extLst>
              <a:ext uri="{FF2B5EF4-FFF2-40B4-BE49-F238E27FC236}">
                <a16:creationId xmlns:a16="http://schemas.microsoft.com/office/drawing/2014/main" id="{00000000-0008-0000-0500-000003000000}"/>
              </a:ext>
            </a:extLst>
          </xdr:cNvPr>
          <xdr:cNvSpPr txBox="1"/>
        </xdr:nvSpPr>
        <xdr:spPr>
          <a:xfrm>
            <a:off x="5143501" y="3533775"/>
            <a:ext cx="6905624" cy="6010275"/>
          </a:xfrm>
          <a:prstGeom prst="rect">
            <a:avLst/>
          </a:prstGeom>
          <a:solidFill>
            <a:schemeClr val="accent1">
              <a:lumMod val="20000"/>
              <a:lumOff val="80000"/>
            </a:schemeClr>
          </a:solidFill>
          <a:ln>
            <a:solidFill>
              <a:schemeClr val="tx1"/>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r>
              <a:rPr lang="zh-CN" altLang="zh-CN" sz="1100" b="1">
                <a:solidFill>
                  <a:schemeClr val="dk1"/>
                </a:solidFill>
                <a:effectLst/>
                <a:latin typeface="+mn-lt"/>
                <a:ea typeface="+mn-ea"/>
                <a:cs typeface="+mn-cs"/>
              </a:rPr>
              <a:t>第</a:t>
            </a:r>
            <a:r>
              <a:rPr lang="en-US" altLang="zh-CN" sz="1100" b="1">
                <a:solidFill>
                  <a:schemeClr val="dk1"/>
                </a:solidFill>
                <a:effectLst/>
                <a:latin typeface="+mn-lt"/>
                <a:ea typeface="+mn-ea"/>
                <a:cs typeface="+mn-cs"/>
              </a:rPr>
              <a:t>6</a:t>
            </a:r>
            <a:r>
              <a:rPr lang="zh-CN" altLang="zh-CN" sz="1100" b="1">
                <a:solidFill>
                  <a:schemeClr val="dk1"/>
                </a:solidFill>
                <a:effectLst/>
                <a:latin typeface="+mn-lt"/>
                <a:ea typeface="+mn-ea"/>
                <a:cs typeface="+mn-cs"/>
              </a:rPr>
              <a:t>题 </a:t>
            </a:r>
            <a:r>
              <a:rPr lang="zh-CN" altLang="en-US" sz="1200">
                <a:latin typeface="宋体" pitchFamily="2" charset="-122"/>
                <a:ea typeface="宋体" pitchFamily="2" charset="-122"/>
              </a:rPr>
              <a:t>某公司制造一种产品，公司最大生产能力为</a:t>
            </a:r>
            <a:r>
              <a:rPr lang="en-US" altLang="zh-CN" sz="1200">
                <a:latin typeface="宋体" pitchFamily="2" charset="-122"/>
                <a:ea typeface="宋体" pitchFamily="2" charset="-122"/>
              </a:rPr>
              <a:t>5000</a:t>
            </a:r>
            <a:r>
              <a:rPr lang="zh-CN" altLang="en-US" sz="1200">
                <a:latin typeface="宋体" pitchFamily="2" charset="-122"/>
                <a:ea typeface="宋体" pitchFamily="2" charset="-122"/>
              </a:rPr>
              <a:t>，固定成本为</a:t>
            </a:r>
            <a:r>
              <a:rPr lang="en-US" altLang="zh-CN" sz="1200">
                <a:latin typeface="宋体" pitchFamily="2" charset="-122"/>
                <a:ea typeface="宋体" pitchFamily="2" charset="-122"/>
              </a:rPr>
              <a:t>24000</a:t>
            </a:r>
            <a:r>
              <a:rPr lang="zh-CN" altLang="en-US" sz="1200">
                <a:latin typeface="宋体" pitchFamily="2" charset="-122"/>
                <a:ea typeface="宋体" pitchFamily="2" charset="-122"/>
              </a:rPr>
              <a:t>元，产品的单价为</a:t>
            </a:r>
            <a:r>
              <a:rPr lang="en-US" altLang="zh-CN" sz="1200">
                <a:latin typeface="宋体" pitchFamily="2" charset="-122"/>
                <a:ea typeface="宋体" pitchFamily="2" charset="-122"/>
              </a:rPr>
              <a:t>24</a:t>
            </a:r>
            <a:r>
              <a:rPr lang="zh-CN" altLang="en-US" sz="1200">
                <a:latin typeface="宋体" pitchFamily="2" charset="-122"/>
                <a:ea typeface="宋体" pitchFamily="2" charset="-122"/>
              </a:rPr>
              <a:t>元，单位可变成本为</a:t>
            </a:r>
            <a:r>
              <a:rPr lang="en-US" altLang="zh-CN" sz="1200">
                <a:latin typeface="宋体" pitchFamily="2" charset="-122"/>
                <a:ea typeface="宋体" pitchFamily="2" charset="-122"/>
              </a:rPr>
              <a:t>9</a:t>
            </a:r>
            <a:r>
              <a:rPr lang="zh-CN" altLang="en-US" sz="1200">
                <a:latin typeface="宋体" pitchFamily="2" charset="-122"/>
                <a:ea typeface="宋体" pitchFamily="2" charset="-122"/>
              </a:rPr>
              <a:t>元，假设当前的销量为</a:t>
            </a:r>
            <a:r>
              <a:rPr lang="en-US" altLang="zh-CN" sz="1200">
                <a:latin typeface="宋体" pitchFamily="2" charset="-122"/>
                <a:ea typeface="宋体" pitchFamily="2" charset="-122"/>
              </a:rPr>
              <a:t>3200</a:t>
            </a:r>
            <a:r>
              <a:rPr lang="zh-CN" altLang="en-US" sz="1200">
                <a:latin typeface="宋体" pitchFamily="2" charset="-122"/>
                <a:ea typeface="宋体" pitchFamily="2" charset="-122"/>
              </a:rPr>
              <a:t>，试在本工作表内完成如下操作：</a:t>
            </a:r>
          </a:p>
          <a:p>
            <a:r>
              <a:rPr lang="en-US" altLang="zh-CN" sz="1200">
                <a:latin typeface="宋体" pitchFamily="2" charset="-122"/>
                <a:ea typeface="宋体" pitchFamily="2" charset="-122"/>
              </a:rPr>
              <a:t>1</a:t>
            </a:r>
            <a:r>
              <a:rPr lang="zh-CN" altLang="en-US" sz="1200">
                <a:latin typeface="宋体" pitchFamily="2" charset="-122"/>
                <a:ea typeface="宋体" pitchFamily="2" charset="-122"/>
              </a:rPr>
              <a:t>、计算当前销量下的销售收益、总成本和利润；</a:t>
            </a:r>
            <a:endParaRPr lang="en-US" altLang="zh-CN" sz="1200">
              <a:latin typeface="宋体" pitchFamily="2" charset="-122"/>
              <a:ea typeface="宋体" pitchFamily="2" charset="-122"/>
            </a:endParaRPr>
          </a:p>
          <a:p>
            <a:r>
              <a:rPr lang="en-US" altLang="zh-CN" sz="1200">
                <a:latin typeface="宋体" pitchFamily="2" charset="-122"/>
                <a:ea typeface="宋体" pitchFamily="2" charset="-122"/>
              </a:rPr>
              <a:t>2</a:t>
            </a:r>
            <a:r>
              <a:rPr lang="zh-CN" altLang="en-US" sz="1200">
                <a:latin typeface="宋体" pitchFamily="2" charset="-122"/>
                <a:ea typeface="宋体" pitchFamily="2" charset="-122"/>
              </a:rPr>
              <a:t>、在本工作表中进行适当的数据处理后，绘制如下的利润随销量变化图表，要求：</a:t>
            </a:r>
            <a:endParaRPr lang="en-US" altLang="zh-CN" sz="1200">
              <a:latin typeface="宋体" pitchFamily="2" charset="-122"/>
              <a:ea typeface="宋体" pitchFamily="2" charset="-122"/>
            </a:endParaRPr>
          </a:p>
          <a:p>
            <a:r>
              <a:rPr lang="en-US" altLang="zh-CN" sz="1200">
                <a:latin typeface="宋体" pitchFamily="2" charset="-122"/>
                <a:ea typeface="宋体" pitchFamily="2" charset="-122"/>
              </a:rPr>
              <a:t>(1)</a:t>
            </a:r>
            <a:r>
              <a:rPr lang="zh-CN" altLang="en-US" sz="1200" baseline="0">
                <a:latin typeface="宋体" pitchFamily="2" charset="-122"/>
                <a:ea typeface="宋体" pitchFamily="2" charset="-122"/>
              </a:rPr>
              <a:t>盈利区用粉红色背景，亏损区用黄色背景；</a:t>
            </a:r>
            <a:endParaRPr lang="zh-CN" altLang="en-US" sz="1200">
              <a:latin typeface="宋体" pitchFamily="2" charset="-122"/>
              <a:ea typeface="宋体" pitchFamily="2" charset="-122"/>
            </a:endParaRPr>
          </a:p>
          <a:p>
            <a:r>
              <a:rPr lang="en-US" altLang="zh-CN" sz="1200">
                <a:latin typeface="宋体" pitchFamily="2" charset="-122"/>
                <a:ea typeface="宋体" pitchFamily="2" charset="-122"/>
              </a:rPr>
              <a:t>(2)</a:t>
            </a:r>
            <a:r>
              <a:rPr lang="zh-CN" altLang="en-US" sz="1200">
                <a:latin typeface="宋体" pitchFamily="2" charset="-122"/>
                <a:ea typeface="宋体" pitchFamily="2" charset="-122"/>
              </a:rPr>
              <a:t>在图中添加一个数值调节钮，使其能调节当前销量的值（从</a:t>
            </a:r>
            <a:r>
              <a:rPr lang="en-US" altLang="zh-CN" sz="1200">
                <a:latin typeface="宋体" pitchFamily="2" charset="-122"/>
                <a:ea typeface="宋体" pitchFamily="2" charset="-122"/>
              </a:rPr>
              <a:t>0</a:t>
            </a:r>
            <a:r>
              <a:rPr lang="zh-CN" altLang="en-US" sz="1200">
                <a:latin typeface="宋体" pitchFamily="2" charset="-122"/>
                <a:ea typeface="宋体" pitchFamily="2" charset="-122"/>
              </a:rPr>
              <a:t>变化到</a:t>
            </a:r>
            <a:r>
              <a:rPr lang="en-US" altLang="zh-CN" sz="1200">
                <a:latin typeface="宋体" pitchFamily="2" charset="-122"/>
                <a:ea typeface="宋体" pitchFamily="2" charset="-122"/>
              </a:rPr>
              <a:t>5000</a:t>
            </a:r>
            <a:r>
              <a:rPr lang="zh-CN" altLang="en-US" sz="1200">
                <a:latin typeface="宋体" pitchFamily="2" charset="-122"/>
                <a:ea typeface="宋体" pitchFamily="2" charset="-122"/>
              </a:rPr>
              <a:t>，步长为</a:t>
            </a:r>
            <a:r>
              <a:rPr lang="en-US" altLang="zh-CN" sz="1200">
                <a:latin typeface="宋体" pitchFamily="2" charset="-122"/>
                <a:ea typeface="宋体" pitchFamily="2" charset="-122"/>
              </a:rPr>
              <a:t>200</a:t>
            </a:r>
            <a:r>
              <a:rPr lang="zh-CN" altLang="en-US" sz="1200">
                <a:latin typeface="宋体" pitchFamily="2" charset="-122"/>
                <a:ea typeface="宋体" pitchFamily="2" charset="-122"/>
              </a:rPr>
              <a:t>），并在文本框中显示当前销量下的利润；</a:t>
            </a:r>
            <a:endParaRPr lang="en-US" altLang="zh-CN" sz="1200">
              <a:latin typeface="宋体" pitchFamily="2" charset="-122"/>
              <a:ea typeface="宋体" pitchFamily="2" charset="-122"/>
            </a:endParaRPr>
          </a:p>
          <a:p>
            <a:r>
              <a:rPr lang="en-US" altLang="zh-CN" sz="1200">
                <a:latin typeface="宋体" pitchFamily="2" charset="-122"/>
                <a:ea typeface="宋体" pitchFamily="2" charset="-122"/>
              </a:rPr>
              <a:t>(3)</a:t>
            </a:r>
            <a:r>
              <a:rPr lang="zh-CN" altLang="en-US" sz="1200">
                <a:latin typeface="宋体" pitchFamily="2" charset="-122"/>
                <a:ea typeface="宋体" pitchFamily="2" charset="-122"/>
              </a:rPr>
              <a:t>用户在利用</a:t>
            </a:r>
            <a:r>
              <a:rPr lang="zh-CN" altLang="zh-CN" sz="1200">
                <a:solidFill>
                  <a:schemeClr val="dk1"/>
                </a:solidFill>
                <a:effectLst/>
                <a:latin typeface="宋体" pitchFamily="2" charset="-122"/>
                <a:ea typeface="宋体" pitchFamily="2" charset="-122"/>
                <a:cs typeface="+mn-cs"/>
              </a:rPr>
              <a:t>数值调节钮</a:t>
            </a:r>
            <a:r>
              <a:rPr lang="zh-CN" altLang="en-US" sz="1200">
                <a:solidFill>
                  <a:schemeClr val="dk1"/>
                </a:solidFill>
                <a:effectLst/>
                <a:latin typeface="宋体" pitchFamily="2" charset="-122"/>
                <a:ea typeface="宋体" pitchFamily="2" charset="-122"/>
                <a:cs typeface="+mn-cs"/>
              </a:rPr>
              <a:t>改变</a:t>
            </a:r>
            <a:r>
              <a:rPr lang="zh-CN" altLang="en-US" sz="1200">
                <a:latin typeface="宋体" pitchFamily="2" charset="-122"/>
                <a:ea typeface="宋体" pitchFamily="2" charset="-122"/>
              </a:rPr>
              <a:t>当前销量的值时，图中有一个代表当前销量下的利润的绿色柱形会左右移动，并会在其上显示利润值；</a:t>
            </a:r>
            <a:endParaRPr lang="en-US" altLang="zh-CN" sz="1200">
              <a:latin typeface="宋体" pitchFamily="2" charset="-122"/>
              <a:ea typeface="宋体" pitchFamily="2" charset="-122"/>
            </a:endParaRPr>
          </a:p>
          <a:p>
            <a:r>
              <a:rPr lang="en-US" altLang="zh-CN" sz="1200">
                <a:latin typeface="宋体" pitchFamily="2" charset="-122"/>
                <a:ea typeface="宋体" pitchFamily="2" charset="-122"/>
              </a:rPr>
              <a:t>(4)</a:t>
            </a:r>
            <a:r>
              <a:rPr lang="zh-CN" altLang="en-US" sz="1200">
                <a:latin typeface="宋体" pitchFamily="2" charset="-122"/>
                <a:ea typeface="宋体" pitchFamily="2" charset="-122"/>
              </a:rPr>
              <a:t>在图中绘制关于单价的分组框和选项按钮控件，当用户选中某个单价后，图表会作相应调整。</a:t>
            </a:r>
            <a:endParaRPr lang="en-US" altLang="zh-CN" sz="1200">
              <a:latin typeface="宋体" pitchFamily="2" charset="-122"/>
              <a:ea typeface="宋体" pitchFamily="2" charset="-122"/>
            </a:endParaRPr>
          </a:p>
          <a:p>
            <a:endParaRPr lang="zh-CN" altLang="en-US" sz="1200">
              <a:latin typeface="宋体" pitchFamily="2" charset="-122"/>
              <a:ea typeface="宋体" pitchFamily="2" charset="-122"/>
            </a:endParaRPr>
          </a:p>
        </xdr:txBody>
      </xdr:sp>
      <xdr:pic>
        <xdr:nvPicPr>
          <xdr:cNvPr id="4" name="图片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5601075" y="5734050"/>
            <a:ext cx="5990476" cy="3285714"/>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23</xdr:col>
      <xdr:colOff>597775</xdr:colOff>
      <xdr:row>15</xdr:row>
      <xdr:rowOff>0</xdr:rowOff>
    </xdr:from>
    <xdr:to>
      <xdr:col>32</xdr:col>
      <xdr:colOff>426983</xdr:colOff>
      <xdr:row>50</xdr:row>
      <xdr:rowOff>39413</xdr:rowOff>
    </xdr:to>
    <xdr:sp macro="" textlink="">
      <xdr:nvSpPr>
        <xdr:cNvPr id="9" name="TextBox 4">
          <a:extLst>
            <a:ext uri="{FF2B5EF4-FFF2-40B4-BE49-F238E27FC236}">
              <a16:creationId xmlns:a16="http://schemas.microsoft.com/office/drawing/2014/main" id="{75F2B65A-FF58-4F60-BE91-83514B7FA0F2}"/>
            </a:ext>
          </a:extLst>
        </xdr:cNvPr>
        <xdr:cNvSpPr txBox="1"/>
      </xdr:nvSpPr>
      <xdr:spPr>
        <a:xfrm>
          <a:off x="11827750" y="2457450"/>
          <a:ext cx="5229883" cy="5725838"/>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solidFill>
                <a:schemeClr val="dk1"/>
              </a:solidFill>
              <a:effectLst/>
              <a:latin typeface="+mn-lt"/>
              <a:ea typeface="+mn-ea"/>
              <a:cs typeface="+mn-cs"/>
            </a:rPr>
            <a:t>第</a:t>
          </a:r>
          <a:r>
            <a:rPr lang="en-US" altLang="zh-CN" sz="1100">
              <a:solidFill>
                <a:schemeClr val="dk1"/>
              </a:solidFill>
              <a:effectLst/>
              <a:latin typeface="+mn-lt"/>
              <a:ea typeface="+mn-ea"/>
              <a:cs typeface="+mn-cs"/>
            </a:rPr>
            <a:t>7</a:t>
          </a:r>
          <a:r>
            <a:rPr lang="zh-CN" altLang="en-US" sz="1100">
              <a:solidFill>
                <a:schemeClr val="dk1"/>
              </a:solidFill>
              <a:effectLst/>
              <a:latin typeface="+mn-lt"/>
              <a:ea typeface="+mn-ea"/>
              <a:cs typeface="+mn-cs"/>
            </a:rPr>
            <a:t>题</a:t>
          </a:r>
          <a:r>
            <a:rPr lang="en-US" altLang="zh-CN" sz="1100" baseline="0">
              <a:solidFill>
                <a:schemeClr val="dk1"/>
              </a:solidFill>
              <a:effectLst/>
              <a:latin typeface="+mn-lt"/>
              <a:ea typeface="+mn-ea"/>
              <a:cs typeface="+mn-cs"/>
            </a:rPr>
            <a:t> </a:t>
          </a:r>
          <a:r>
            <a:rPr lang="zh-CN" altLang="zh-CN" sz="1100">
              <a:solidFill>
                <a:schemeClr val="dk1"/>
              </a:solidFill>
              <a:effectLst/>
              <a:latin typeface="+mn-lt"/>
              <a:ea typeface="+mn-ea"/>
              <a:cs typeface="+mn-cs"/>
            </a:rPr>
            <a:t>如果日需求量是服从</a:t>
          </a:r>
          <a:r>
            <a:rPr lang="zh-CN" altLang="en-US" sz="1100">
              <a:solidFill>
                <a:schemeClr val="dk1"/>
              </a:solidFill>
              <a:effectLst/>
              <a:latin typeface="+mn-lt"/>
              <a:ea typeface="+mn-ea"/>
              <a:cs typeface="+mn-cs"/>
            </a:rPr>
            <a:t>下</a:t>
          </a:r>
          <a:r>
            <a:rPr lang="zh-CN" altLang="zh-CN" sz="1100">
              <a:solidFill>
                <a:schemeClr val="dk1"/>
              </a:solidFill>
              <a:effectLst/>
              <a:latin typeface="+mn-lt"/>
              <a:ea typeface="+mn-ea"/>
              <a:cs typeface="+mn-cs"/>
            </a:rPr>
            <a:t>表中特定离散分布的随机数，</a:t>
          </a:r>
          <a:r>
            <a:rPr lang="zh-CN" altLang="en-US" sz="1100">
              <a:solidFill>
                <a:schemeClr val="dk1"/>
              </a:solidFill>
              <a:effectLst/>
              <a:latin typeface="+mn-lt"/>
              <a:ea typeface="+mn-ea"/>
              <a:cs typeface="+mn-cs"/>
            </a:rPr>
            <a:t>如图所示，一次订货成本</a:t>
          </a:r>
          <a:r>
            <a:rPr lang="en-US" altLang="zh-CN" sz="1100">
              <a:solidFill>
                <a:schemeClr val="dk1"/>
              </a:solidFill>
              <a:effectLst/>
              <a:latin typeface="+mn-lt"/>
              <a:ea typeface="+mn-ea"/>
              <a:cs typeface="+mn-cs"/>
            </a:rPr>
            <a:t>200</a:t>
          </a:r>
          <a:r>
            <a:rPr lang="zh-CN" altLang="en-US" sz="1100">
              <a:solidFill>
                <a:schemeClr val="dk1"/>
              </a:solidFill>
              <a:effectLst/>
              <a:latin typeface="+mn-lt"/>
              <a:ea typeface="+mn-ea"/>
              <a:cs typeface="+mn-cs"/>
            </a:rPr>
            <a:t>，单位年储存成本</a:t>
          </a:r>
          <a:r>
            <a:rPr lang="en-US" altLang="zh-CN" sz="1100">
              <a:solidFill>
                <a:schemeClr val="dk1"/>
              </a:solidFill>
              <a:effectLst/>
              <a:latin typeface="+mn-lt"/>
              <a:ea typeface="+mn-ea"/>
              <a:cs typeface="+mn-cs"/>
            </a:rPr>
            <a:t>10</a:t>
          </a:r>
          <a:r>
            <a:rPr lang="zh-CN" altLang="en-US" sz="1100">
              <a:solidFill>
                <a:schemeClr val="dk1"/>
              </a:solidFill>
              <a:effectLst/>
              <a:latin typeface="+mn-lt"/>
              <a:ea typeface="+mn-ea"/>
              <a:cs typeface="+mn-cs"/>
            </a:rPr>
            <a:t>，</a:t>
          </a:r>
          <a:r>
            <a:rPr lang="zh-CN" altLang="zh-CN" sz="1100">
              <a:solidFill>
                <a:schemeClr val="dk1"/>
              </a:solidFill>
              <a:effectLst/>
              <a:latin typeface="+mn-lt"/>
              <a:ea typeface="+mn-ea"/>
              <a:cs typeface="+mn-cs"/>
            </a:rPr>
            <a:t>公司为控制成本，采用安全库存补货策略，安全库存为</a:t>
          </a:r>
          <a:r>
            <a:rPr lang="en-US" altLang="zh-CN" sz="1100">
              <a:solidFill>
                <a:schemeClr val="dk1"/>
              </a:solidFill>
              <a:effectLst/>
              <a:latin typeface="+mn-lt"/>
              <a:ea typeface="+mn-ea"/>
              <a:cs typeface="+mn-cs"/>
            </a:rPr>
            <a:t>100</a:t>
          </a:r>
          <a:r>
            <a:rPr lang="zh-CN" altLang="zh-CN" sz="1100">
              <a:solidFill>
                <a:schemeClr val="dk1"/>
              </a:solidFill>
              <a:effectLst/>
              <a:latin typeface="+mn-lt"/>
              <a:ea typeface="+mn-ea"/>
              <a:cs typeface="+mn-cs"/>
            </a:rPr>
            <a:t>，起始库存显然也是</a:t>
          </a:r>
          <a:r>
            <a:rPr lang="en-US" altLang="zh-CN" sz="1100">
              <a:solidFill>
                <a:schemeClr val="dk1"/>
              </a:solidFill>
              <a:effectLst/>
              <a:latin typeface="+mn-lt"/>
              <a:ea typeface="+mn-ea"/>
              <a:cs typeface="+mn-cs"/>
            </a:rPr>
            <a:t>100</a:t>
          </a:r>
          <a:r>
            <a:rPr lang="zh-CN" altLang="zh-CN" sz="1100">
              <a:solidFill>
                <a:schemeClr val="dk1"/>
              </a:solidFill>
              <a:effectLst/>
              <a:latin typeface="+mn-lt"/>
              <a:ea typeface="+mn-ea"/>
              <a:cs typeface="+mn-cs"/>
            </a:rPr>
            <a:t>。如果发生缺货，每件的缺货成本为</a:t>
          </a:r>
          <a:r>
            <a:rPr lang="en-US" altLang="zh-CN" sz="1100">
              <a:solidFill>
                <a:schemeClr val="dk1"/>
              </a:solidFill>
              <a:effectLst/>
              <a:latin typeface="+mn-lt"/>
              <a:ea typeface="+mn-ea"/>
              <a:cs typeface="+mn-cs"/>
            </a:rPr>
            <a:t>50</a:t>
          </a:r>
          <a:r>
            <a:rPr lang="zh-CN" altLang="zh-CN" sz="1100">
              <a:solidFill>
                <a:schemeClr val="dk1"/>
              </a:solidFill>
              <a:effectLst/>
              <a:latin typeface="+mn-lt"/>
              <a:ea typeface="+mn-ea"/>
              <a:cs typeface="+mn-cs"/>
            </a:rPr>
            <a:t>元，其他已知参数保持不变。用活动扫面方法模拟随机需求且有缺货损失情况下的库存管理决策模型</a:t>
          </a:r>
          <a:r>
            <a:rPr lang="zh-CN" altLang="en-US" sz="1100">
              <a:solidFill>
                <a:schemeClr val="dk1"/>
              </a:solidFill>
              <a:effectLst/>
              <a:latin typeface="+mn-lt"/>
              <a:ea typeface="+mn-ea"/>
              <a:cs typeface="+mn-cs"/>
            </a:rPr>
            <a:t>。</a:t>
          </a:r>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、参考下图建立建立年总成本随订货量变化图形。</a:t>
          </a:r>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r>
            <a:rPr lang="en-US" altLang="zh-CN" sz="1100">
              <a:solidFill>
                <a:schemeClr val="dk1"/>
              </a:solidFill>
              <a:effectLst/>
              <a:latin typeface="+mn-lt"/>
              <a:ea typeface="+mn-ea"/>
              <a:cs typeface="+mn-cs"/>
            </a:rPr>
            <a:t>2</a:t>
          </a:r>
          <a:r>
            <a:rPr lang="zh-CN" altLang="en-US" sz="1100">
              <a:solidFill>
                <a:schemeClr val="dk1"/>
              </a:solidFill>
              <a:effectLst/>
              <a:latin typeface="+mn-lt"/>
              <a:ea typeface="+mn-ea"/>
              <a:cs typeface="+mn-cs"/>
            </a:rPr>
            <a:t>、</a:t>
          </a:r>
          <a:r>
            <a:rPr lang="zh-CN" altLang="zh-CN" sz="1100">
              <a:solidFill>
                <a:schemeClr val="dk1"/>
              </a:solidFill>
              <a:effectLst/>
              <a:latin typeface="+mn-lt"/>
              <a:ea typeface="+mn-ea"/>
              <a:cs typeface="+mn-cs"/>
            </a:rPr>
            <a:t>参考下图建立建立</a:t>
          </a:r>
          <a:r>
            <a:rPr lang="zh-CN" altLang="en-US" sz="1100">
              <a:solidFill>
                <a:schemeClr val="dk1"/>
              </a:solidFill>
              <a:effectLst/>
              <a:latin typeface="+mn-lt"/>
              <a:ea typeface="+mn-ea"/>
              <a:cs typeface="+mn-cs"/>
            </a:rPr>
            <a:t>服务水平随安全库存</a:t>
          </a:r>
          <a:r>
            <a:rPr lang="zh-CN" altLang="zh-CN" sz="1100">
              <a:solidFill>
                <a:schemeClr val="dk1"/>
              </a:solidFill>
              <a:effectLst/>
              <a:latin typeface="+mn-lt"/>
              <a:ea typeface="+mn-ea"/>
              <a:cs typeface="+mn-cs"/>
            </a:rPr>
            <a:t>变化图形</a:t>
          </a:r>
        </a:p>
      </xdr:txBody>
    </xdr:sp>
    <xdr:clientData/>
  </xdr:twoCellAnchor>
  <xdr:twoCellAnchor>
    <xdr:from>
      <xdr:col>24</xdr:col>
      <xdr:colOff>236481</xdr:colOff>
      <xdr:row>22</xdr:row>
      <xdr:rowOff>154889</xdr:rowOff>
    </xdr:from>
    <xdr:to>
      <xdr:col>30</xdr:col>
      <xdr:colOff>328448</xdr:colOff>
      <xdr:row>34</xdr:row>
      <xdr:rowOff>134918</xdr:rowOff>
    </xdr:to>
    <xdr:pic>
      <xdr:nvPicPr>
        <xdr:cNvPr id="10" name="图片 9">
          <a:extLst>
            <a:ext uri="{FF2B5EF4-FFF2-40B4-BE49-F238E27FC236}">
              <a16:creationId xmlns:a16="http://schemas.microsoft.com/office/drawing/2014/main" id="{CFA8DF4A-B5E7-49FA-8610-297A9D8764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77247" y="3744623"/>
          <a:ext cx="3699560" cy="1908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319912</xdr:colOff>
      <xdr:row>37</xdr:row>
      <xdr:rowOff>149854</xdr:rowOff>
    </xdr:from>
    <xdr:to>
      <xdr:col>30</xdr:col>
      <xdr:colOff>585803</xdr:colOff>
      <xdr:row>50</xdr:row>
      <xdr:rowOff>57889</xdr:rowOff>
    </xdr:to>
    <xdr:pic>
      <xdr:nvPicPr>
        <xdr:cNvPr id="11" name="图片 10">
          <a:extLst>
            <a:ext uri="{FF2B5EF4-FFF2-40B4-BE49-F238E27FC236}">
              <a16:creationId xmlns:a16="http://schemas.microsoft.com/office/drawing/2014/main" id="{8FEDA8BD-BC89-4B29-A33D-976A5EAD1BE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160678" y="6150604"/>
          <a:ext cx="3873484" cy="19975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529829</xdr:colOff>
      <xdr:row>20</xdr:row>
      <xdr:rowOff>83343</xdr:rowOff>
    </xdr:from>
    <xdr:to>
      <xdr:col>32</xdr:col>
      <xdr:colOff>217884</xdr:colOff>
      <xdr:row>26</xdr:row>
      <xdr:rowOff>111918</xdr:rowOff>
    </xdr:to>
    <xdr:pic>
      <xdr:nvPicPr>
        <xdr:cNvPr id="15" name="图片 14">
          <a:extLst>
            <a:ext uri="{FF2B5EF4-FFF2-40B4-BE49-F238E27FC236}">
              <a16:creationId xmlns:a16="http://schemas.microsoft.com/office/drawing/2014/main" id="{E3BB167B-A88B-40AD-B639-E616112C943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978188" y="3351609"/>
          <a:ext cx="890587" cy="992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225593</xdr:colOff>
      <xdr:row>1</xdr:row>
      <xdr:rowOff>125329</xdr:rowOff>
    </xdr:from>
    <xdr:to>
      <xdr:col>11</xdr:col>
      <xdr:colOff>295778</xdr:colOff>
      <xdr:row>9</xdr:row>
      <xdr:rowOff>35092</xdr:rowOff>
    </xdr:to>
    <xdr:sp macro="" textlink="">
      <xdr:nvSpPr>
        <xdr:cNvPr id="2" name="Text Box 1">
          <a:extLst>
            <a:ext uri="{FF2B5EF4-FFF2-40B4-BE49-F238E27FC236}">
              <a16:creationId xmlns:a16="http://schemas.microsoft.com/office/drawing/2014/main" id="{0CF793E7-AFCE-4435-90FB-72C5CF68D8FE}"/>
            </a:ext>
          </a:extLst>
        </xdr:cNvPr>
        <xdr:cNvSpPr txBox="1">
          <a:spLocks noChangeArrowheads="1"/>
        </xdr:cNvSpPr>
      </xdr:nvSpPr>
      <xdr:spPr bwMode="auto">
        <a:xfrm>
          <a:off x="3778418" y="306304"/>
          <a:ext cx="3499185" cy="1395663"/>
        </a:xfrm>
        <a:prstGeom prst="rect">
          <a:avLst/>
        </a:prstGeom>
        <a:solidFill>
          <a:schemeClr val="accent4">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zh-CN" altLang="en-US" sz="1000" b="1" i="0" u="none" strike="noStrike" baseline="0">
              <a:solidFill>
                <a:srgbClr val="000000"/>
              </a:solidFill>
              <a:latin typeface="宋体"/>
              <a:ea typeface="宋体"/>
              <a:cs typeface="Times New Roman"/>
            </a:rPr>
            <a:t>第</a:t>
          </a:r>
          <a:r>
            <a:rPr lang="en-US" altLang="zh-CN" sz="1000" b="1" i="0" u="none" strike="noStrike" baseline="0">
              <a:solidFill>
                <a:srgbClr val="000000"/>
              </a:solidFill>
              <a:latin typeface="宋体"/>
              <a:ea typeface="宋体"/>
              <a:cs typeface="Times New Roman"/>
            </a:rPr>
            <a:t>8</a:t>
          </a:r>
          <a:r>
            <a:rPr lang="zh-CN" altLang="en-US" sz="1000" b="1" i="0" u="none" strike="noStrike" baseline="0">
              <a:solidFill>
                <a:srgbClr val="000000"/>
              </a:solidFill>
              <a:latin typeface="宋体"/>
              <a:ea typeface="宋体"/>
              <a:cs typeface="Times New Roman"/>
            </a:rPr>
            <a:t>题 某公司准备投资</a:t>
          </a:r>
          <a:r>
            <a:rPr lang="en-US" altLang="zh-CN" sz="1000" b="1" i="0" u="none" strike="noStrike" baseline="0">
              <a:solidFill>
                <a:srgbClr val="000000"/>
              </a:solidFill>
              <a:latin typeface="宋体"/>
              <a:ea typeface="宋体"/>
              <a:cs typeface="Times New Roman"/>
            </a:rPr>
            <a:t>2</a:t>
          </a:r>
          <a:r>
            <a:rPr lang="zh-CN" altLang="en-US" sz="1000" b="1" i="0" u="none" strike="noStrike" baseline="0">
              <a:solidFill>
                <a:srgbClr val="000000"/>
              </a:solidFill>
              <a:latin typeface="Times New Roman"/>
              <a:ea typeface="宋体"/>
              <a:cs typeface="Times New Roman"/>
            </a:rPr>
            <a:t>000</a:t>
          </a:r>
          <a:r>
            <a:rPr lang="zh-CN" altLang="en-US" sz="1000" b="1" i="0" u="none" strike="noStrike" baseline="0">
              <a:solidFill>
                <a:srgbClr val="000000"/>
              </a:solidFill>
              <a:latin typeface="宋体"/>
              <a:ea typeface="宋体"/>
              <a:cs typeface="Times New Roman"/>
            </a:rPr>
            <a:t>万元建设一座桥梁</a:t>
          </a:r>
          <a:r>
            <a:rPr lang="zh-CN" altLang="en-US" sz="1000" b="1" i="0" u="none" strike="noStrike" baseline="0">
              <a:solidFill>
                <a:srgbClr val="000000"/>
              </a:solidFill>
              <a:latin typeface="Times New Roman"/>
              <a:ea typeface="宋体"/>
              <a:cs typeface="Times New Roman"/>
            </a:rPr>
            <a:t>,</a:t>
          </a:r>
          <a:r>
            <a:rPr lang="zh-CN" altLang="en-US" sz="1000" b="1" i="0" u="none" strike="noStrike" baseline="0">
              <a:solidFill>
                <a:srgbClr val="000000"/>
              </a:solidFill>
              <a:latin typeface="宋体"/>
              <a:ea typeface="宋体"/>
              <a:cs typeface="Times New Roman"/>
            </a:rPr>
            <a:t>当年投资，当年建成，该桥今后</a:t>
          </a:r>
          <a:r>
            <a:rPr lang="zh-CN" altLang="en-US" sz="1000" b="1" i="0" u="none" strike="noStrike" baseline="0">
              <a:solidFill>
                <a:srgbClr val="000000"/>
              </a:solidFill>
              <a:latin typeface="Times New Roman"/>
              <a:ea typeface="宋体"/>
              <a:cs typeface="Times New Roman"/>
            </a:rPr>
            <a:t>15</a:t>
          </a:r>
          <a:r>
            <a:rPr lang="zh-CN" altLang="en-US" sz="1000" b="1" i="0" u="none" strike="noStrike" baseline="0">
              <a:solidFill>
                <a:srgbClr val="000000"/>
              </a:solidFill>
              <a:latin typeface="宋体"/>
              <a:ea typeface="宋体"/>
              <a:cs typeface="Times New Roman"/>
            </a:rPr>
            <a:t>年内预计每年收益</a:t>
          </a:r>
          <a:r>
            <a:rPr lang="en-US" altLang="zh-CN" sz="1000" b="1" i="0" u="none" strike="noStrike" baseline="0">
              <a:solidFill>
                <a:srgbClr val="000000"/>
              </a:solidFill>
              <a:latin typeface="宋体"/>
              <a:ea typeface="宋体"/>
              <a:cs typeface="Times New Roman"/>
            </a:rPr>
            <a:t>2</a:t>
          </a:r>
          <a:r>
            <a:rPr lang="zh-CN" altLang="en-US" sz="1000" b="1" i="0" u="none" strike="noStrike" baseline="0">
              <a:solidFill>
                <a:srgbClr val="000000"/>
              </a:solidFill>
              <a:latin typeface="Times New Roman"/>
              <a:ea typeface="宋体"/>
              <a:cs typeface="Times New Roman"/>
            </a:rPr>
            <a:t>00</a:t>
          </a:r>
          <a:r>
            <a:rPr lang="zh-CN" altLang="en-US" sz="1000" b="1" i="0" u="none" strike="noStrike" baseline="0">
              <a:solidFill>
                <a:srgbClr val="000000"/>
              </a:solidFill>
              <a:latin typeface="宋体"/>
              <a:ea typeface="宋体"/>
              <a:cs typeface="Times New Roman"/>
            </a:rPr>
            <a:t>万元。请问：</a:t>
          </a:r>
        </a:p>
        <a:p>
          <a:pPr algn="l" rtl="0">
            <a:defRPr sz="1000"/>
          </a:pPr>
          <a:r>
            <a:rPr lang="zh-CN" altLang="en-US" sz="1000" b="1" i="0" u="none" strike="noStrike" baseline="0">
              <a:solidFill>
                <a:srgbClr val="000000"/>
              </a:solidFill>
              <a:latin typeface="宋体"/>
              <a:ea typeface="宋体"/>
              <a:cs typeface="Times New Roman"/>
            </a:rPr>
            <a:t>（</a:t>
          </a:r>
          <a:r>
            <a:rPr lang="zh-CN" altLang="en-US" sz="1000" b="1" i="0" u="none" strike="noStrike" baseline="0">
              <a:solidFill>
                <a:srgbClr val="000000"/>
              </a:solidFill>
              <a:latin typeface="Times New Roman"/>
              <a:ea typeface="宋体"/>
              <a:cs typeface="Times New Roman"/>
            </a:rPr>
            <a:t>1</a:t>
          </a:r>
          <a:r>
            <a:rPr lang="zh-CN" altLang="en-US" sz="1000" b="1" i="0" u="none" strike="noStrike" baseline="0">
              <a:solidFill>
                <a:srgbClr val="000000"/>
              </a:solidFill>
              <a:latin typeface="宋体"/>
              <a:ea typeface="宋体"/>
              <a:cs typeface="Times New Roman"/>
            </a:rPr>
            <a:t>）</a:t>
          </a:r>
          <a:r>
            <a:rPr lang="zh-CN" altLang="en-US" sz="1000" b="1" i="0" u="none" strike="noStrike" baseline="0">
              <a:solidFill>
                <a:srgbClr val="000000"/>
              </a:solidFill>
              <a:latin typeface="Times New Roman"/>
              <a:ea typeface="宋体"/>
              <a:cs typeface="Times New Roman"/>
            </a:rPr>
            <a:t> </a:t>
          </a:r>
          <a:r>
            <a:rPr lang="zh-CN" altLang="en-US" sz="1000" b="1" i="0" u="none" strike="noStrike" baseline="0">
              <a:solidFill>
                <a:srgbClr val="000000"/>
              </a:solidFill>
              <a:latin typeface="宋体"/>
              <a:ea typeface="宋体"/>
              <a:cs typeface="Times New Roman"/>
            </a:rPr>
            <a:t>若年贴现率为</a:t>
          </a:r>
          <a:r>
            <a:rPr lang="en-US" altLang="zh-CN" sz="1000" b="1" i="0" u="none" strike="noStrike" baseline="0">
              <a:solidFill>
                <a:srgbClr val="000000"/>
              </a:solidFill>
              <a:latin typeface="宋体"/>
              <a:ea typeface="宋体"/>
              <a:cs typeface="Times New Roman"/>
            </a:rPr>
            <a:t>6</a:t>
          </a:r>
          <a:r>
            <a:rPr lang="zh-CN" altLang="en-US" sz="1000" b="1" i="0" u="none" strike="noStrike" baseline="0">
              <a:solidFill>
                <a:srgbClr val="000000"/>
              </a:solidFill>
              <a:latin typeface="Times New Roman"/>
              <a:ea typeface="宋体"/>
              <a:cs typeface="Times New Roman"/>
            </a:rPr>
            <a:t>%,</a:t>
          </a:r>
          <a:r>
            <a:rPr lang="zh-CN" altLang="en-US" sz="1000" b="1" i="0" u="none" strike="noStrike" baseline="0">
              <a:solidFill>
                <a:srgbClr val="000000"/>
              </a:solidFill>
              <a:latin typeface="宋体"/>
              <a:ea typeface="宋体"/>
              <a:cs typeface="Times New Roman"/>
            </a:rPr>
            <a:t>今后</a:t>
          </a:r>
          <a:r>
            <a:rPr lang="zh-CN" altLang="en-US" sz="1000" b="1" i="0" u="none" strike="noStrike" baseline="0">
              <a:solidFill>
                <a:srgbClr val="000000"/>
              </a:solidFill>
              <a:latin typeface="Times New Roman"/>
              <a:ea typeface="宋体"/>
              <a:cs typeface="Times New Roman"/>
            </a:rPr>
            <a:t>15</a:t>
          </a:r>
          <a:r>
            <a:rPr lang="zh-CN" altLang="en-US" sz="1000" b="1" i="0" u="none" strike="noStrike" baseline="0">
              <a:solidFill>
                <a:srgbClr val="000000"/>
              </a:solidFill>
              <a:latin typeface="宋体"/>
              <a:ea typeface="宋体"/>
              <a:cs typeface="Times New Roman"/>
            </a:rPr>
            <a:t>年内预计收益相当于现值多少</a:t>
          </a:r>
          <a:r>
            <a:rPr lang="zh-CN" altLang="en-US" sz="1000" b="1" i="0" u="none" strike="noStrike" baseline="0">
              <a:solidFill>
                <a:srgbClr val="000000"/>
              </a:solidFill>
              <a:latin typeface="Times New Roman"/>
              <a:ea typeface="宋体"/>
              <a:cs typeface="Times New Roman"/>
            </a:rPr>
            <a:t>?</a:t>
          </a:r>
        </a:p>
        <a:p>
          <a:pPr algn="l" rtl="0">
            <a:lnSpc>
              <a:spcPts val="1200"/>
            </a:lnSpc>
            <a:defRPr sz="1000"/>
          </a:pPr>
          <a:r>
            <a:rPr lang="zh-CN" altLang="en-US" sz="1000" b="1" i="0" u="none" strike="noStrike" baseline="0">
              <a:solidFill>
                <a:srgbClr val="000000"/>
              </a:solidFill>
              <a:latin typeface="宋体"/>
              <a:ea typeface="宋体"/>
            </a:rPr>
            <a:t>（</a:t>
          </a:r>
          <a:r>
            <a:rPr lang="zh-CN" altLang="en-US" sz="1000" b="1" i="0" u="none" strike="noStrike" baseline="0">
              <a:solidFill>
                <a:srgbClr val="000000"/>
              </a:solidFill>
              <a:latin typeface="Times New Roman"/>
              <a:ea typeface="宋体"/>
              <a:cs typeface="Times New Roman"/>
            </a:rPr>
            <a:t>2</a:t>
          </a:r>
          <a:r>
            <a:rPr lang="zh-CN" altLang="en-US" sz="1000" b="1" i="0" u="none" strike="noStrike" baseline="0">
              <a:solidFill>
                <a:srgbClr val="000000"/>
              </a:solidFill>
              <a:latin typeface="宋体"/>
              <a:ea typeface="宋体"/>
              <a:cs typeface="Times New Roman"/>
            </a:rPr>
            <a:t>）</a:t>
          </a:r>
          <a:r>
            <a:rPr lang="zh-CN" altLang="en-US" sz="1000" b="1" i="0" u="none" strike="noStrike" baseline="0">
              <a:solidFill>
                <a:srgbClr val="000000"/>
              </a:solidFill>
              <a:latin typeface="Times New Roman"/>
              <a:ea typeface="宋体"/>
              <a:cs typeface="Times New Roman"/>
            </a:rPr>
            <a:t> </a:t>
          </a:r>
          <a:r>
            <a:rPr lang="zh-CN" altLang="en-US" sz="1000" b="1" i="0" u="none" strike="noStrike" baseline="0">
              <a:solidFill>
                <a:srgbClr val="000000"/>
              </a:solidFill>
              <a:latin typeface="宋体"/>
              <a:ea typeface="宋体"/>
              <a:cs typeface="Times New Roman"/>
            </a:rPr>
            <a:t>若银行贷款利率为</a:t>
          </a:r>
          <a:r>
            <a:rPr lang="zh-CN" altLang="en-US" sz="1000" b="1" i="0" u="none" strike="noStrike" baseline="0">
              <a:solidFill>
                <a:srgbClr val="000000"/>
              </a:solidFill>
              <a:latin typeface="Times New Roman"/>
              <a:ea typeface="宋体"/>
              <a:cs typeface="Times New Roman"/>
            </a:rPr>
            <a:t>5%,</a:t>
          </a:r>
          <a:r>
            <a:rPr lang="zh-CN" altLang="en-US" sz="1000" b="1" i="0" u="none" strike="noStrike" baseline="0">
              <a:solidFill>
                <a:srgbClr val="000000"/>
              </a:solidFill>
              <a:latin typeface="宋体"/>
              <a:ea typeface="宋体"/>
              <a:cs typeface="Times New Roman"/>
            </a:rPr>
            <a:t>贷款</a:t>
          </a:r>
          <a:r>
            <a:rPr lang="en-US" altLang="zh-CN" sz="1000" b="1" i="0" u="none" strike="noStrike" baseline="0">
              <a:solidFill>
                <a:srgbClr val="000000"/>
              </a:solidFill>
              <a:latin typeface="宋体"/>
              <a:ea typeface="宋体"/>
              <a:cs typeface="Times New Roman"/>
            </a:rPr>
            <a:t>10</a:t>
          </a:r>
          <a:r>
            <a:rPr lang="zh-CN" altLang="en-US" sz="1000" b="1" i="0" u="none" strike="noStrike" baseline="0">
              <a:solidFill>
                <a:srgbClr val="000000"/>
              </a:solidFill>
              <a:latin typeface="Times New Roman"/>
              <a:ea typeface="宋体"/>
              <a:cs typeface="Times New Roman"/>
            </a:rPr>
            <a:t>00</a:t>
          </a:r>
          <a:r>
            <a:rPr lang="zh-CN" altLang="en-US" sz="1000" b="1" i="0" u="none" strike="noStrike" baseline="0">
              <a:solidFill>
                <a:srgbClr val="000000"/>
              </a:solidFill>
              <a:latin typeface="宋体"/>
              <a:ea typeface="宋体"/>
              <a:cs typeface="Times New Roman"/>
            </a:rPr>
            <a:t>万元，按计划</a:t>
          </a:r>
          <a:r>
            <a:rPr lang="zh-CN" altLang="en-US" sz="1000" b="1" i="0" u="none" strike="noStrike" baseline="0">
              <a:solidFill>
                <a:srgbClr val="000000"/>
              </a:solidFill>
              <a:latin typeface="Times New Roman"/>
              <a:ea typeface="宋体"/>
              <a:cs typeface="Times New Roman"/>
            </a:rPr>
            <a:t>15</a:t>
          </a:r>
          <a:r>
            <a:rPr lang="zh-CN" altLang="en-US" sz="1000" b="1" i="0" u="none" strike="noStrike" baseline="0">
              <a:solidFill>
                <a:srgbClr val="000000"/>
              </a:solidFill>
              <a:latin typeface="宋体"/>
              <a:ea typeface="宋体"/>
              <a:cs typeface="Times New Roman"/>
            </a:rPr>
            <a:t>年等额还清，每年还款额是多少？</a:t>
          </a:r>
          <a:endParaRPr lang="en-US" altLang="zh-CN" sz="1000" b="1" i="0" u="none" strike="noStrike" baseline="0">
            <a:solidFill>
              <a:srgbClr val="000000"/>
            </a:solidFill>
            <a:latin typeface="宋体"/>
            <a:ea typeface="宋体"/>
            <a:cs typeface="Times New Roman"/>
          </a:endParaRPr>
        </a:p>
        <a:p>
          <a:pPr marL="0" marR="0" indent="0" algn="l" defTabSz="914400" rtl="0" eaLnBrk="1" fontAlgn="auto" latinLnBrk="0" hangingPunct="1">
            <a:lnSpc>
              <a:spcPts val="1200"/>
            </a:lnSpc>
            <a:spcBef>
              <a:spcPts val="0"/>
            </a:spcBef>
            <a:spcAft>
              <a:spcPts val="0"/>
            </a:spcAft>
            <a:buClrTx/>
            <a:buSzTx/>
            <a:buFontTx/>
            <a:buNone/>
            <a:tabLst/>
            <a:defRPr sz="1000"/>
          </a:pPr>
          <a:r>
            <a:rPr lang="zh-CN" altLang="en-US" sz="1000" b="1" i="0" u="none" strike="noStrike" baseline="0">
              <a:solidFill>
                <a:srgbClr val="000000"/>
              </a:solidFill>
              <a:latin typeface="宋体"/>
              <a:ea typeface="宋体"/>
              <a:cs typeface="+mn-cs"/>
            </a:rPr>
            <a:t>（</a:t>
          </a:r>
          <a:r>
            <a:rPr lang="en-US" altLang="zh-CN" sz="1000" b="1" i="0" u="none" strike="noStrike" baseline="0">
              <a:solidFill>
                <a:srgbClr val="000000"/>
              </a:solidFill>
              <a:latin typeface="宋体"/>
              <a:ea typeface="宋体"/>
              <a:cs typeface="+mn-cs"/>
            </a:rPr>
            <a:t>3</a:t>
          </a:r>
          <a:r>
            <a:rPr lang="zh-CN" altLang="en-US" sz="1000" b="1" i="0" u="none" strike="noStrike" baseline="0">
              <a:solidFill>
                <a:srgbClr val="000000"/>
              </a:solidFill>
              <a:latin typeface="宋体"/>
              <a:ea typeface="宋体"/>
              <a:cs typeface="+mn-cs"/>
            </a:rPr>
            <a:t>）</a:t>
          </a:r>
          <a:r>
            <a:rPr lang="zh-CN" altLang="zh-CN" sz="1000" b="1" i="0" u="none" strike="noStrike" baseline="0">
              <a:solidFill>
                <a:srgbClr val="000000"/>
              </a:solidFill>
              <a:latin typeface="宋体"/>
              <a:ea typeface="宋体"/>
              <a:cs typeface="+mn-cs"/>
            </a:rPr>
            <a:t>考虑</a:t>
          </a:r>
          <a:r>
            <a:rPr lang="en-US" altLang="zh-CN" sz="1000" b="1" i="0" u="none" strike="noStrike" baseline="0">
              <a:solidFill>
                <a:srgbClr val="000000"/>
              </a:solidFill>
              <a:latin typeface="宋体"/>
              <a:ea typeface="宋体"/>
              <a:cs typeface="+mn-cs"/>
            </a:rPr>
            <a:t>15</a:t>
          </a:r>
          <a:r>
            <a:rPr lang="zh-CN" altLang="zh-CN" sz="1000" b="1" i="0" u="none" strike="noStrike" baseline="0">
              <a:solidFill>
                <a:srgbClr val="000000"/>
              </a:solidFill>
              <a:latin typeface="宋体"/>
              <a:ea typeface="宋体"/>
              <a:cs typeface="+mn-cs"/>
            </a:rPr>
            <a:t>年的回报期，则该项目的内部报酬率是多少</a:t>
          </a:r>
          <a:r>
            <a:rPr lang="en-US" altLang="zh-CN" sz="1000" b="1" i="0" u="none" strike="noStrike" baseline="0">
              <a:solidFill>
                <a:srgbClr val="000000"/>
              </a:solidFill>
              <a:latin typeface="宋体"/>
              <a:ea typeface="宋体"/>
              <a:cs typeface="+mn-cs"/>
            </a:rPr>
            <a:t>?</a:t>
          </a:r>
          <a:endParaRPr lang="zh-CN" altLang="en-US" sz="1000" b="1" i="0" u="none" strike="noStrike" baseline="0">
            <a:solidFill>
              <a:srgbClr val="000000"/>
            </a:solidFill>
            <a:latin typeface="宋体"/>
            <a:ea typeface="宋体"/>
            <a:cs typeface="+mn-cs"/>
          </a:endParaRPr>
        </a:p>
        <a:p>
          <a:pPr algn="l" rtl="0">
            <a:defRPr sz="1000"/>
          </a:pPr>
          <a:endParaRPr lang="zh-CN" altLang="en-US" sz="1000" b="1" i="0" u="none" strike="noStrike" baseline="0">
            <a:solidFill>
              <a:srgbClr val="000000"/>
            </a:solidFill>
            <a:latin typeface="宋体"/>
            <a:ea typeface="宋体"/>
          </a:endParaRPr>
        </a:p>
        <a:p>
          <a:pPr algn="l" rtl="0">
            <a:defRPr sz="1000"/>
          </a:pPr>
          <a:endParaRPr lang="zh-CN" altLang="en-US"/>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439881</xdr:colOff>
      <xdr:row>2</xdr:row>
      <xdr:rowOff>79085</xdr:rowOff>
    </xdr:from>
    <xdr:to>
      <xdr:col>16</xdr:col>
      <xdr:colOff>619125</xdr:colOff>
      <xdr:row>18</xdr:row>
      <xdr:rowOff>43741</xdr:rowOff>
    </xdr:to>
    <xdr:grpSp>
      <xdr:nvGrpSpPr>
        <xdr:cNvPr id="2" name="组合 1">
          <a:extLst>
            <a:ext uri="{FF2B5EF4-FFF2-40B4-BE49-F238E27FC236}">
              <a16:creationId xmlns:a16="http://schemas.microsoft.com/office/drawing/2014/main" id="{00000000-0008-0000-0700-000002000000}"/>
            </a:ext>
          </a:extLst>
        </xdr:cNvPr>
        <xdr:cNvGrpSpPr/>
      </xdr:nvGrpSpPr>
      <xdr:grpSpPr>
        <a:xfrm>
          <a:off x="5321444" y="436273"/>
          <a:ext cx="6072837" cy="2822156"/>
          <a:chOff x="5507238" y="234950"/>
          <a:chExt cx="6229350" cy="2635250"/>
        </a:xfrm>
      </xdr:grpSpPr>
      <xdr:sp macro="" textlink="">
        <xdr:nvSpPr>
          <xdr:cNvPr id="3" name="Text Box 2">
            <a:extLst>
              <a:ext uri="{FF2B5EF4-FFF2-40B4-BE49-F238E27FC236}">
                <a16:creationId xmlns:a16="http://schemas.microsoft.com/office/drawing/2014/main" id="{00000000-0008-0000-0700-000003000000}"/>
              </a:ext>
            </a:extLst>
          </xdr:cNvPr>
          <xdr:cNvSpPr txBox="1">
            <a:spLocks noChangeArrowheads="1"/>
          </xdr:cNvSpPr>
        </xdr:nvSpPr>
        <xdr:spPr bwMode="auto">
          <a:xfrm>
            <a:off x="5507238" y="234950"/>
            <a:ext cx="6229350" cy="2635250"/>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27432" tIns="18288" rIns="0" bIns="0" anchor="t" upright="1"/>
          <a:lstStyle/>
          <a:p>
            <a:pPr algn="l" rtl="1">
              <a:defRPr sz="1000"/>
            </a:pPr>
            <a:r>
              <a:rPr lang="zh-CN" altLang="zh-CN" sz="1000" b="1">
                <a:effectLst/>
                <a:latin typeface="+mn-lt"/>
                <a:ea typeface="+mn-ea"/>
                <a:cs typeface="+mn-cs"/>
              </a:rPr>
              <a:t>第</a:t>
            </a:r>
            <a:r>
              <a:rPr lang="en-US" altLang="zh-CN" sz="1000" b="1">
                <a:effectLst/>
                <a:latin typeface="+mn-lt"/>
                <a:ea typeface="+mn-ea"/>
                <a:cs typeface="+mn-cs"/>
              </a:rPr>
              <a:t>9</a:t>
            </a:r>
            <a:r>
              <a:rPr lang="zh-CN" altLang="zh-CN" sz="1000" b="1">
                <a:effectLst/>
                <a:latin typeface="+mn-lt"/>
                <a:ea typeface="+mn-ea"/>
                <a:cs typeface="+mn-cs"/>
              </a:rPr>
              <a:t>题 </a:t>
            </a:r>
            <a:r>
              <a:rPr lang="zh-CN" altLang="en-US" sz="1200" b="0" i="0" strike="noStrike">
                <a:solidFill>
                  <a:srgbClr val="000000"/>
                </a:solidFill>
                <a:latin typeface="宋体" panose="02010600030101010101" pitchFamily="2" charset="-122"/>
                <a:ea typeface="宋体" panose="02010600030101010101" pitchFamily="2" charset="-122"/>
              </a:rPr>
              <a:t>某企业有</a:t>
            </a:r>
            <a:r>
              <a:rPr lang="en-US" altLang="zh-CN" sz="1200" b="0" i="0" strike="noStrike">
                <a:solidFill>
                  <a:srgbClr val="000000"/>
                </a:solidFill>
                <a:latin typeface="宋体" panose="02010600030101010101" pitchFamily="2" charset="-122"/>
                <a:ea typeface="宋体" panose="02010600030101010101" pitchFamily="2" charset="-122"/>
              </a:rPr>
              <a:t>3</a:t>
            </a:r>
            <a:r>
              <a:rPr lang="zh-CN" altLang="en-US" sz="1200" b="0" i="0" strike="noStrike">
                <a:solidFill>
                  <a:srgbClr val="000000"/>
                </a:solidFill>
                <a:latin typeface="宋体" panose="02010600030101010101" pitchFamily="2" charset="-122"/>
                <a:ea typeface="宋体" panose="02010600030101010101" pitchFamily="2" charset="-122"/>
              </a:rPr>
              <a:t>个分厂，都可以生产</a:t>
            </a:r>
            <a:r>
              <a:rPr lang="en-US" altLang="zh-CN" sz="1200" b="0" i="0" strike="noStrike">
                <a:solidFill>
                  <a:srgbClr val="000000"/>
                </a:solidFill>
                <a:latin typeface="宋体" panose="02010600030101010101" pitchFamily="2" charset="-122"/>
                <a:ea typeface="宋体" panose="02010600030101010101" pitchFamily="2" charset="-122"/>
              </a:rPr>
              <a:t>A</a:t>
            </a:r>
            <a:r>
              <a:rPr lang="zh-CN" altLang="en-US" sz="1200" b="0" i="0" strike="noStrike">
                <a:solidFill>
                  <a:srgbClr val="000000"/>
                </a:solidFill>
                <a:latin typeface="宋体" panose="02010600030101010101" pitchFamily="2" charset="-122"/>
                <a:ea typeface="宋体" panose="02010600030101010101" pitchFamily="2" charset="-122"/>
              </a:rPr>
              <a:t>产品和</a:t>
            </a:r>
            <a:r>
              <a:rPr lang="en-US" altLang="zh-CN" sz="1200" b="0" i="0" strike="noStrike">
                <a:solidFill>
                  <a:srgbClr val="000000"/>
                </a:solidFill>
                <a:latin typeface="宋体" panose="02010600030101010101" pitchFamily="2" charset="-122"/>
                <a:ea typeface="宋体" panose="02010600030101010101" pitchFamily="2" charset="-122"/>
              </a:rPr>
              <a:t>B</a:t>
            </a:r>
            <a:r>
              <a:rPr lang="zh-CN" altLang="en-US" sz="1200" b="0" i="0" strike="noStrike">
                <a:solidFill>
                  <a:srgbClr val="000000"/>
                </a:solidFill>
                <a:latin typeface="宋体" panose="02010600030101010101" pitchFamily="2" charset="-122"/>
                <a:ea typeface="宋体" panose="02010600030101010101" pitchFamily="2" charset="-122"/>
              </a:rPr>
              <a:t>产品。由于所用设备的不同，三家分厂生产每单位</a:t>
            </a:r>
            <a:r>
              <a:rPr lang="en-US" altLang="zh-CN" sz="1200" b="0" i="0" strike="noStrike">
                <a:solidFill>
                  <a:srgbClr val="000000"/>
                </a:solidFill>
                <a:latin typeface="宋体" panose="02010600030101010101" pitchFamily="2" charset="-122"/>
                <a:ea typeface="宋体" panose="02010600030101010101" pitchFamily="2" charset="-122"/>
              </a:rPr>
              <a:t>A</a:t>
            </a:r>
            <a:r>
              <a:rPr lang="zh-CN" altLang="en-US" sz="1200" b="0" i="0" strike="noStrike">
                <a:solidFill>
                  <a:srgbClr val="000000"/>
                </a:solidFill>
                <a:latin typeface="宋体" panose="02010600030101010101" pitchFamily="2" charset="-122"/>
                <a:ea typeface="宋体" panose="02010600030101010101" pitchFamily="2" charset="-122"/>
              </a:rPr>
              <a:t>、</a:t>
            </a:r>
            <a:r>
              <a:rPr lang="en-US" altLang="zh-CN" sz="1200" b="0" i="0" strike="noStrike">
                <a:solidFill>
                  <a:srgbClr val="000000"/>
                </a:solidFill>
                <a:latin typeface="宋体" panose="02010600030101010101" pitchFamily="2" charset="-122"/>
                <a:ea typeface="宋体" panose="02010600030101010101" pitchFamily="2" charset="-122"/>
              </a:rPr>
              <a:t>B</a:t>
            </a:r>
            <a:r>
              <a:rPr lang="zh-CN" altLang="en-US" sz="1200" b="0" i="0" strike="noStrike">
                <a:solidFill>
                  <a:srgbClr val="000000"/>
                </a:solidFill>
                <a:latin typeface="宋体" panose="02010600030101010101" pitchFamily="2" charset="-122"/>
                <a:ea typeface="宋体" panose="02010600030101010101" pitchFamily="2" charset="-122"/>
              </a:rPr>
              <a:t>产品时的成本和用电量均不同，见下表。三个分厂能提供的用电量均为</a:t>
            </a:r>
            <a:r>
              <a:rPr lang="en-US" altLang="zh-CN" sz="1200" b="0" i="0" strike="noStrike">
                <a:solidFill>
                  <a:srgbClr val="000000"/>
                </a:solidFill>
                <a:latin typeface="宋体" panose="02010600030101010101" pitchFamily="2" charset="-122"/>
                <a:ea typeface="宋体" panose="02010600030101010101" pitchFamily="2" charset="-122"/>
              </a:rPr>
              <a:t>8000</a:t>
            </a:r>
            <a:r>
              <a:rPr lang="zh-CN" altLang="en-US" sz="1200" b="0" i="0" strike="noStrike">
                <a:solidFill>
                  <a:srgbClr val="000000"/>
                </a:solidFill>
                <a:latin typeface="宋体" panose="02010600030101010101" pitchFamily="2" charset="-122"/>
                <a:ea typeface="宋体" panose="02010600030101010101" pitchFamily="2" charset="-122"/>
              </a:rPr>
              <a:t>，两种产品的总生产量必须为</a:t>
            </a:r>
            <a:r>
              <a:rPr lang="en-US" altLang="zh-CN" sz="1200" b="0" i="0" strike="noStrike">
                <a:solidFill>
                  <a:srgbClr val="000000"/>
                </a:solidFill>
                <a:latin typeface="宋体" panose="02010600030101010101" pitchFamily="2" charset="-122"/>
                <a:ea typeface="宋体" panose="02010600030101010101" pitchFamily="2" charset="-122"/>
              </a:rPr>
              <a:t>500</a:t>
            </a:r>
            <a:r>
              <a:rPr lang="zh-CN" altLang="en-US" sz="1200" b="0" i="0" strike="noStrike">
                <a:solidFill>
                  <a:srgbClr val="000000"/>
                </a:solidFill>
                <a:latin typeface="宋体" panose="02010600030101010101" pitchFamily="2" charset="-122"/>
                <a:ea typeface="宋体" panose="02010600030101010101" pitchFamily="2" charset="-122"/>
              </a:rPr>
              <a:t>、</a:t>
            </a:r>
            <a:r>
              <a:rPr lang="en-US" altLang="zh-CN" sz="1200" b="0" i="0" strike="noStrike">
                <a:solidFill>
                  <a:srgbClr val="000000"/>
                </a:solidFill>
                <a:latin typeface="宋体" panose="02010600030101010101" pitchFamily="2" charset="-122"/>
                <a:ea typeface="宋体" panose="02010600030101010101" pitchFamily="2" charset="-122"/>
              </a:rPr>
              <a:t>600</a:t>
            </a:r>
            <a:r>
              <a:rPr lang="zh-CN" altLang="en-US" sz="1200" b="0" i="0" strike="noStrike">
                <a:solidFill>
                  <a:srgbClr val="000000"/>
                </a:solidFill>
                <a:latin typeface="宋体" panose="02010600030101010101" pitchFamily="2" charset="-122"/>
                <a:ea typeface="宋体" panose="02010600030101010101" pitchFamily="2" charset="-122"/>
              </a:rPr>
              <a:t>件。</a:t>
            </a: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r>
              <a:rPr lang="zh-CN" altLang="en-US" sz="1200" b="0" i="0" strike="noStrike">
                <a:solidFill>
                  <a:srgbClr val="000000"/>
                </a:solidFill>
                <a:latin typeface="宋体" panose="02010600030101010101" pitchFamily="2" charset="-122"/>
                <a:ea typeface="宋体" panose="02010600030101010101" pitchFamily="2" charset="-122"/>
              </a:rPr>
              <a:t>要求：确定一种使企业总成本达到最优的</a:t>
            </a:r>
            <a:r>
              <a:rPr lang="en-US" altLang="zh-CN" sz="1200" b="0" i="0" strike="noStrike">
                <a:solidFill>
                  <a:srgbClr val="000000"/>
                </a:solidFill>
                <a:latin typeface="宋体" panose="02010600030101010101" pitchFamily="2" charset="-122"/>
                <a:ea typeface="宋体" panose="02010600030101010101" pitchFamily="2" charset="-122"/>
              </a:rPr>
              <a:t>3</a:t>
            </a:r>
            <a:r>
              <a:rPr lang="zh-CN" altLang="en-US" sz="1200" b="0" i="0" strike="noStrike">
                <a:solidFill>
                  <a:srgbClr val="000000"/>
                </a:solidFill>
                <a:latin typeface="宋体" panose="02010600030101010101" pitchFamily="2" charset="-122"/>
                <a:ea typeface="宋体" panose="02010600030101010101" pitchFamily="2" charset="-122"/>
              </a:rPr>
              <a:t>个分厂生产计划。把规划求解参数保存在</a:t>
            </a:r>
            <a:r>
              <a:rPr lang="en-US" altLang="zh-CN" sz="1200" b="0" i="0" strike="noStrike">
                <a:solidFill>
                  <a:srgbClr val="000000"/>
                </a:solidFill>
                <a:latin typeface="宋体" panose="02010600030101010101" pitchFamily="2" charset="-122"/>
                <a:ea typeface="宋体" panose="02010600030101010101" pitchFamily="2" charset="-122"/>
              </a:rPr>
              <a:t>A1</a:t>
            </a:r>
            <a:r>
              <a:rPr lang="zh-CN" altLang="en-US" sz="1200" b="0" i="0" strike="noStrike">
                <a:solidFill>
                  <a:srgbClr val="000000"/>
                </a:solidFill>
                <a:latin typeface="宋体" panose="02010600030101010101" pitchFamily="2" charset="-122"/>
                <a:ea typeface="宋体" panose="02010600030101010101" pitchFamily="2" charset="-122"/>
              </a:rPr>
              <a:t>开始的单元中。</a:t>
            </a:r>
            <a:endParaRPr lang="zh-CN" altLang="en-US" sz="1000" b="0" i="0" strike="noStrike">
              <a:solidFill>
                <a:srgbClr val="000000"/>
              </a:solidFill>
              <a:latin typeface="宋体" panose="02010600030101010101" pitchFamily="2" charset="-122"/>
              <a:ea typeface="宋体" panose="02010600030101010101" pitchFamily="2" charset="-122"/>
            </a:endParaRPr>
          </a:p>
        </xdr:txBody>
      </xdr:sp>
      <xdr:pic>
        <xdr:nvPicPr>
          <xdr:cNvPr id="4" name="图片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64139" y="979043"/>
            <a:ext cx="3594100" cy="9588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7528D-F842-4CA4-A350-ABEADF7082A2}">
  <dimension ref="A1"/>
  <sheetViews>
    <sheetView tabSelected="1" zoomScale="130" zoomScaleNormal="130" workbookViewId="0">
      <selection activeCell="C12" sqref="C12"/>
    </sheetView>
  </sheetViews>
  <sheetFormatPr defaultRowHeight="14.25" x14ac:dyDescent="0.15"/>
  <sheetData>
    <row r="1" spans="1:1" x14ac:dyDescent="0.15">
      <c r="A1" s="46" t="s">
        <v>477</v>
      </c>
    </row>
  </sheetData>
  <phoneticPr fontId="6"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10" zoomScale="115" zoomScaleNormal="115" workbookViewId="0">
      <selection activeCell="F13" sqref="F13"/>
    </sheetView>
  </sheetViews>
  <sheetFormatPr defaultColWidth="9" defaultRowHeight="13.5" x14ac:dyDescent="0.15"/>
  <cols>
    <col min="1" max="16384" width="9" style="1"/>
  </cols>
  <sheetData/>
  <phoneticPr fontId="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31"/>
  <sheetViews>
    <sheetView topLeftCell="E22" zoomScale="115" zoomScaleNormal="115" workbookViewId="0">
      <selection activeCell="I18" sqref="I18"/>
    </sheetView>
  </sheetViews>
  <sheetFormatPr defaultColWidth="9" defaultRowHeight="15" x14ac:dyDescent="0.2"/>
  <cols>
    <col min="1" max="1" width="10.5" style="9" bestFit="1" customWidth="1"/>
    <col min="2" max="2" width="11.625" style="9" bestFit="1" customWidth="1"/>
    <col min="3" max="3" width="9.5" style="9" bestFit="1" customWidth="1"/>
    <col min="4" max="4" width="8.5" style="9" bestFit="1" customWidth="1"/>
    <col min="5" max="5" width="6" style="9" bestFit="1" customWidth="1"/>
    <col min="6" max="6" width="11.625" style="9" bestFit="1" customWidth="1"/>
    <col min="7" max="8" width="9.125" style="3" customWidth="1"/>
    <col min="9" max="10" width="9" style="3"/>
    <col min="11" max="11" width="16.375" style="3" customWidth="1"/>
    <col min="12" max="12" width="14" style="3" customWidth="1"/>
    <col min="13" max="16384" width="9" style="3"/>
  </cols>
  <sheetData>
    <row r="1" spans="1:13" x14ac:dyDescent="0.2">
      <c r="A1" s="2" t="s">
        <v>1</v>
      </c>
      <c r="B1" s="2" t="s">
        <v>2</v>
      </c>
      <c r="C1" s="2" t="s">
        <v>3</v>
      </c>
      <c r="D1" s="2" t="s">
        <v>4</v>
      </c>
      <c r="E1" s="2" t="s">
        <v>5</v>
      </c>
      <c r="F1" s="2" t="s">
        <v>6</v>
      </c>
    </row>
    <row r="2" spans="1:13" x14ac:dyDescent="0.2">
      <c r="A2" s="4" t="s">
        <v>7</v>
      </c>
      <c r="B2" s="5">
        <v>200931101</v>
      </c>
      <c r="C2" s="4" t="s">
        <v>8</v>
      </c>
      <c r="D2" s="4" t="s">
        <v>9</v>
      </c>
      <c r="E2" s="6">
        <v>74</v>
      </c>
      <c r="F2" s="4" t="s">
        <v>10</v>
      </c>
    </row>
    <row r="3" spans="1:13" x14ac:dyDescent="0.2">
      <c r="A3" s="4" t="s">
        <v>7</v>
      </c>
      <c r="B3" s="5">
        <v>200931102</v>
      </c>
      <c r="C3" s="4" t="s">
        <v>11</v>
      </c>
      <c r="D3" s="4" t="s">
        <v>12</v>
      </c>
      <c r="E3" s="6">
        <v>85</v>
      </c>
      <c r="F3" s="4" t="s">
        <v>10</v>
      </c>
      <c r="K3" s="100" t="s">
        <v>13</v>
      </c>
      <c r="L3" s="100"/>
      <c r="M3" s="100"/>
    </row>
    <row r="4" spans="1:13" x14ac:dyDescent="0.2">
      <c r="A4" s="4" t="s">
        <v>7</v>
      </c>
      <c r="B4" s="5">
        <v>200931103</v>
      </c>
      <c r="C4" s="4" t="s">
        <v>14</v>
      </c>
      <c r="D4" s="4" t="s">
        <v>12</v>
      </c>
      <c r="E4" s="6">
        <v>81</v>
      </c>
      <c r="F4" s="4" t="s">
        <v>10</v>
      </c>
      <c r="K4" s="7" t="s">
        <v>15</v>
      </c>
      <c r="L4" s="7" t="s">
        <v>16</v>
      </c>
      <c r="M4" s="7" t="s">
        <v>17</v>
      </c>
    </row>
    <row r="5" spans="1:13" x14ac:dyDescent="0.2">
      <c r="A5" s="4" t="s">
        <v>7</v>
      </c>
      <c r="B5" s="5">
        <v>200931104</v>
      </c>
      <c r="C5" s="4" t="s">
        <v>18</v>
      </c>
      <c r="D5" s="4" t="s">
        <v>12</v>
      </c>
      <c r="E5" s="6">
        <v>80</v>
      </c>
      <c r="F5" s="4" t="s">
        <v>10</v>
      </c>
      <c r="K5" s="7" t="s">
        <v>19</v>
      </c>
      <c r="L5" s="7" t="s">
        <v>20</v>
      </c>
      <c r="M5" s="7">
        <v>4</v>
      </c>
    </row>
    <row r="6" spans="1:13" x14ac:dyDescent="0.2">
      <c r="A6" s="4" t="s">
        <v>7</v>
      </c>
      <c r="B6" s="5">
        <v>200931105</v>
      </c>
      <c r="C6" s="4" t="s">
        <v>21</v>
      </c>
      <c r="D6" s="4" t="s">
        <v>12</v>
      </c>
      <c r="E6" s="6">
        <v>100</v>
      </c>
      <c r="F6" s="4" t="s">
        <v>10</v>
      </c>
      <c r="K6" s="7" t="s">
        <v>22</v>
      </c>
      <c r="L6" s="7" t="s">
        <v>23</v>
      </c>
      <c r="M6" s="7">
        <v>3.7</v>
      </c>
    </row>
    <row r="7" spans="1:13" x14ac:dyDescent="0.2">
      <c r="A7" s="4" t="s">
        <v>7</v>
      </c>
      <c r="B7" s="5">
        <v>200931106</v>
      </c>
      <c r="C7" s="4" t="s">
        <v>24</v>
      </c>
      <c r="D7" s="4" t="s">
        <v>12</v>
      </c>
      <c r="E7" s="6">
        <v>80</v>
      </c>
      <c r="F7" s="4" t="s">
        <v>10</v>
      </c>
      <c r="K7" s="7" t="s">
        <v>25</v>
      </c>
      <c r="L7" s="7" t="s">
        <v>26</v>
      </c>
      <c r="M7" s="7">
        <v>3.3</v>
      </c>
    </row>
    <row r="8" spans="1:13" x14ac:dyDescent="0.2">
      <c r="A8" s="4" t="s">
        <v>7</v>
      </c>
      <c r="B8" s="5">
        <v>200931107</v>
      </c>
      <c r="C8" s="4" t="s">
        <v>27</v>
      </c>
      <c r="D8" s="4" t="s">
        <v>12</v>
      </c>
      <c r="E8" s="6">
        <v>84</v>
      </c>
      <c r="F8" s="4" t="s">
        <v>10</v>
      </c>
      <c r="K8" s="7" t="s">
        <v>28</v>
      </c>
      <c r="L8" s="7" t="s">
        <v>29</v>
      </c>
      <c r="M8" s="7">
        <v>3</v>
      </c>
    </row>
    <row r="9" spans="1:13" x14ac:dyDescent="0.2">
      <c r="A9" s="4" t="s">
        <v>7</v>
      </c>
      <c r="B9" s="5">
        <v>200931108</v>
      </c>
      <c r="C9" s="4" t="s">
        <v>30</v>
      </c>
      <c r="D9" s="4" t="s">
        <v>12</v>
      </c>
      <c r="E9" s="6">
        <v>72</v>
      </c>
      <c r="F9" s="4" t="s">
        <v>10</v>
      </c>
      <c r="K9" s="7" t="s">
        <v>31</v>
      </c>
      <c r="L9" s="7" t="s">
        <v>32</v>
      </c>
      <c r="M9" s="7">
        <v>2.7</v>
      </c>
    </row>
    <row r="10" spans="1:13" x14ac:dyDescent="0.2">
      <c r="A10" s="4" t="s">
        <v>7</v>
      </c>
      <c r="B10" s="5">
        <v>200931109</v>
      </c>
      <c r="C10" s="4" t="s">
        <v>33</v>
      </c>
      <c r="D10" s="4" t="s">
        <v>12</v>
      </c>
      <c r="E10" s="6">
        <v>70</v>
      </c>
      <c r="F10" s="4" t="s">
        <v>10</v>
      </c>
      <c r="K10" s="7" t="s">
        <v>34</v>
      </c>
      <c r="L10" s="7" t="s">
        <v>35</v>
      </c>
      <c r="M10" s="7">
        <v>2.2999999999999998</v>
      </c>
    </row>
    <row r="11" spans="1:13" x14ac:dyDescent="0.2">
      <c r="A11" s="4" t="s">
        <v>7</v>
      </c>
      <c r="B11" s="5">
        <v>200931110</v>
      </c>
      <c r="C11" s="4" t="s">
        <v>36</v>
      </c>
      <c r="D11" s="4" t="s">
        <v>12</v>
      </c>
      <c r="E11" s="6">
        <v>90</v>
      </c>
      <c r="F11" s="4" t="s">
        <v>10</v>
      </c>
      <c r="K11" s="7" t="s">
        <v>37</v>
      </c>
      <c r="L11" s="7" t="s">
        <v>38</v>
      </c>
      <c r="M11" s="7">
        <v>2</v>
      </c>
    </row>
    <row r="12" spans="1:13" s="8" customFormat="1" x14ac:dyDescent="0.2">
      <c r="A12" s="4" t="s">
        <v>7</v>
      </c>
      <c r="B12" s="5">
        <v>200931111</v>
      </c>
      <c r="C12" s="4" t="s">
        <v>39</v>
      </c>
      <c r="D12" s="4" t="s">
        <v>12</v>
      </c>
      <c r="E12" s="6">
        <v>84</v>
      </c>
      <c r="F12" s="4" t="s">
        <v>10</v>
      </c>
      <c r="G12" s="3"/>
      <c r="H12" s="3"/>
      <c r="K12" s="7" t="s">
        <v>40</v>
      </c>
      <c r="L12" s="7" t="s">
        <v>41</v>
      </c>
      <c r="M12" s="7">
        <v>1.7</v>
      </c>
    </row>
    <row r="13" spans="1:13" s="8" customFormat="1" x14ac:dyDescent="0.2">
      <c r="A13" s="4" t="s">
        <v>7</v>
      </c>
      <c r="B13" s="5">
        <v>200931112</v>
      </c>
      <c r="C13" s="4" t="s">
        <v>42</v>
      </c>
      <c r="D13" s="4" t="s">
        <v>12</v>
      </c>
      <c r="E13" s="6">
        <v>73</v>
      </c>
      <c r="F13" s="4" t="s">
        <v>10</v>
      </c>
      <c r="K13" s="7" t="s">
        <v>43</v>
      </c>
      <c r="L13" s="7" t="s">
        <v>44</v>
      </c>
      <c r="M13" s="7">
        <v>1</v>
      </c>
    </row>
    <row r="14" spans="1:13" s="8" customFormat="1" x14ac:dyDescent="0.2">
      <c r="A14" s="4" t="s">
        <v>7</v>
      </c>
      <c r="B14" s="5">
        <v>200931113</v>
      </c>
      <c r="C14" s="4" t="s">
        <v>45</v>
      </c>
      <c r="D14" s="4" t="s">
        <v>12</v>
      </c>
      <c r="E14" s="6">
        <v>79</v>
      </c>
      <c r="F14" s="4" t="s">
        <v>10</v>
      </c>
      <c r="K14" s="7" t="s">
        <v>46</v>
      </c>
      <c r="L14" s="7" t="s">
        <v>47</v>
      </c>
      <c r="M14" s="7">
        <v>0</v>
      </c>
    </row>
    <row r="15" spans="1:13" s="8" customFormat="1" x14ac:dyDescent="0.2">
      <c r="A15" s="4" t="s">
        <v>7</v>
      </c>
      <c r="B15" s="5">
        <v>200931114</v>
      </c>
      <c r="C15" s="4" t="s">
        <v>48</v>
      </c>
      <c r="D15" s="4" t="s">
        <v>12</v>
      </c>
      <c r="E15" s="6">
        <v>89</v>
      </c>
      <c r="F15" s="4" t="s">
        <v>10</v>
      </c>
      <c r="G15" s="3"/>
      <c r="H15" s="3"/>
    </row>
    <row r="16" spans="1:13" s="8" customFormat="1" x14ac:dyDescent="0.2">
      <c r="A16" s="4" t="s">
        <v>7</v>
      </c>
      <c r="B16" s="5">
        <v>200931115</v>
      </c>
      <c r="C16" s="4" t="s">
        <v>49</v>
      </c>
      <c r="D16" s="4" t="s">
        <v>12</v>
      </c>
      <c r="E16" s="6">
        <v>53</v>
      </c>
      <c r="F16" s="4" t="s">
        <v>10</v>
      </c>
    </row>
    <row r="17" spans="1:8" s="8" customFormat="1" x14ac:dyDescent="0.2">
      <c r="A17" s="4" t="s">
        <v>7</v>
      </c>
      <c r="B17" s="5">
        <v>200931116</v>
      </c>
      <c r="C17" s="4" t="s">
        <v>50</v>
      </c>
      <c r="D17" s="4" t="s">
        <v>12</v>
      </c>
      <c r="E17" s="6">
        <v>74</v>
      </c>
      <c r="F17" s="4" t="s">
        <v>10</v>
      </c>
    </row>
    <row r="18" spans="1:8" s="8" customFormat="1" x14ac:dyDescent="0.2">
      <c r="A18" s="4" t="s">
        <v>7</v>
      </c>
      <c r="B18" s="5">
        <v>200931117</v>
      </c>
      <c r="C18" s="4" t="s">
        <v>51</v>
      </c>
      <c r="D18" s="4" t="s">
        <v>12</v>
      </c>
      <c r="E18" s="6">
        <v>71</v>
      </c>
      <c r="F18" s="4" t="s">
        <v>10</v>
      </c>
      <c r="G18" s="3"/>
      <c r="H18" s="3"/>
    </row>
    <row r="19" spans="1:8" s="8" customFormat="1" x14ac:dyDescent="0.2">
      <c r="A19" s="4" t="s">
        <v>7</v>
      </c>
      <c r="B19" s="5">
        <v>200931118</v>
      </c>
      <c r="C19" s="4" t="s">
        <v>52</v>
      </c>
      <c r="D19" s="4" t="s">
        <v>12</v>
      </c>
      <c r="E19" s="6">
        <v>90</v>
      </c>
      <c r="F19" s="4" t="s">
        <v>10</v>
      </c>
    </row>
    <row r="20" spans="1:8" s="8" customFormat="1" x14ac:dyDescent="0.2">
      <c r="A20" s="4" t="s">
        <v>7</v>
      </c>
      <c r="B20" s="5">
        <v>200931119</v>
      </c>
      <c r="C20" s="4" t="s">
        <v>53</v>
      </c>
      <c r="D20" s="4" t="s">
        <v>12</v>
      </c>
      <c r="E20" s="6">
        <v>71</v>
      </c>
      <c r="F20" s="4" t="s">
        <v>54</v>
      </c>
    </row>
    <row r="21" spans="1:8" s="8" customFormat="1" x14ac:dyDescent="0.2">
      <c r="A21" s="4" t="s">
        <v>7</v>
      </c>
      <c r="B21" s="5">
        <v>200931120</v>
      </c>
      <c r="C21" s="4" t="s">
        <v>55</v>
      </c>
      <c r="D21" s="4" t="s">
        <v>12</v>
      </c>
      <c r="E21" s="6">
        <v>80</v>
      </c>
      <c r="F21" s="4" t="s">
        <v>10</v>
      </c>
    </row>
    <row r="22" spans="1:8" s="8" customFormat="1" x14ac:dyDescent="0.2">
      <c r="A22" s="4" t="s">
        <v>7</v>
      </c>
      <c r="B22" s="5">
        <v>200931121</v>
      </c>
      <c r="C22" s="4" t="s">
        <v>56</v>
      </c>
      <c r="D22" s="4" t="s">
        <v>12</v>
      </c>
      <c r="E22" s="6">
        <v>99</v>
      </c>
      <c r="F22" s="4" t="s">
        <v>10</v>
      </c>
      <c r="G22" s="3"/>
      <c r="H22" s="3"/>
    </row>
    <row r="23" spans="1:8" s="8" customFormat="1" x14ac:dyDescent="0.2">
      <c r="A23" s="4" t="s">
        <v>7</v>
      </c>
      <c r="B23" s="5">
        <v>200931122</v>
      </c>
      <c r="C23" s="4" t="s">
        <v>57</v>
      </c>
      <c r="D23" s="4" t="s">
        <v>12</v>
      </c>
      <c r="E23" s="6">
        <v>64</v>
      </c>
      <c r="F23" s="4" t="s">
        <v>10</v>
      </c>
      <c r="G23" s="3"/>
      <c r="H23" s="3"/>
    </row>
    <row r="24" spans="1:8" s="8" customFormat="1" x14ac:dyDescent="0.2">
      <c r="A24" s="4" t="s">
        <v>7</v>
      </c>
      <c r="B24" s="5">
        <v>200931123</v>
      </c>
      <c r="C24" s="4" t="s">
        <v>58</v>
      </c>
      <c r="D24" s="4" t="s">
        <v>12</v>
      </c>
      <c r="E24" s="6">
        <v>60</v>
      </c>
      <c r="F24" s="4" t="s">
        <v>10</v>
      </c>
    </row>
    <row r="25" spans="1:8" s="8" customFormat="1" x14ac:dyDescent="0.2">
      <c r="A25" s="4" t="s">
        <v>7</v>
      </c>
      <c r="B25" s="5">
        <v>200931124</v>
      </c>
      <c r="C25" s="4" t="s">
        <v>59</v>
      </c>
      <c r="D25" s="4" t="s">
        <v>12</v>
      </c>
      <c r="E25" s="6">
        <v>70</v>
      </c>
      <c r="F25" s="4" t="s">
        <v>10</v>
      </c>
    </row>
    <row r="26" spans="1:8" s="8" customFormat="1" x14ac:dyDescent="0.2">
      <c r="A26" s="4" t="s">
        <v>7</v>
      </c>
      <c r="B26" s="5">
        <v>200931125</v>
      </c>
      <c r="C26" s="4" t="s">
        <v>60</v>
      </c>
      <c r="D26" s="4" t="s">
        <v>12</v>
      </c>
      <c r="E26" s="6">
        <v>81</v>
      </c>
      <c r="F26" s="4" t="s">
        <v>10</v>
      </c>
    </row>
    <row r="27" spans="1:8" s="8" customFormat="1" x14ac:dyDescent="0.2">
      <c r="A27" s="4" t="s">
        <v>7</v>
      </c>
      <c r="B27" s="5">
        <v>200931126</v>
      </c>
      <c r="C27" s="4" t="s">
        <v>61</v>
      </c>
      <c r="D27" s="4" t="s">
        <v>12</v>
      </c>
      <c r="E27" s="6">
        <v>77</v>
      </c>
      <c r="F27" s="4" t="s">
        <v>10</v>
      </c>
    </row>
    <row r="28" spans="1:8" s="8" customFormat="1" x14ac:dyDescent="0.2">
      <c r="A28" s="4" t="s">
        <v>7</v>
      </c>
      <c r="B28" s="5">
        <v>200931127</v>
      </c>
      <c r="C28" s="4" t="s">
        <v>62</v>
      </c>
      <c r="D28" s="4" t="s">
        <v>12</v>
      </c>
      <c r="E28" s="6">
        <v>67</v>
      </c>
      <c r="F28" s="4" t="s">
        <v>10</v>
      </c>
    </row>
    <row r="29" spans="1:8" s="8" customFormat="1" x14ac:dyDescent="0.2">
      <c r="A29" s="4" t="s">
        <v>7</v>
      </c>
      <c r="B29" s="5">
        <v>200931128</v>
      </c>
      <c r="C29" s="4" t="s">
        <v>63</v>
      </c>
      <c r="D29" s="4" t="s">
        <v>12</v>
      </c>
      <c r="E29" s="6">
        <v>73</v>
      </c>
      <c r="F29" s="4" t="s">
        <v>10</v>
      </c>
    </row>
    <row r="30" spans="1:8" s="8" customFormat="1" x14ac:dyDescent="0.2">
      <c r="A30" s="4" t="s">
        <v>7</v>
      </c>
      <c r="B30" s="5">
        <v>200931129</v>
      </c>
      <c r="C30" s="4" t="s">
        <v>64</v>
      </c>
      <c r="D30" s="4" t="s">
        <v>12</v>
      </c>
      <c r="E30" s="6">
        <v>85</v>
      </c>
      <c r="F30" s="4" t="s">
        <v>10</v>
      </c>
    </row>
    <row r="31" spans="1:8" s="8" customFormat="1" x14ac:dyDescent="0.2">
      <c r="A31" s="4" t="s">
        <v>7</v>
      </c>
      <c r="B31" s="5">
        <v>200931201</v>
      </c>
      <c r="C31" s="4" t="s">
        <v>65</v>
      </c>
      <c r="D31" s="4" t="s">
        <v>66</v>
      </c>
      <c r="E31" s="6">
        <v>73</v>
      </c>
      <c r="F31" s="4" t="s">
        <v>10</v>
      </c>
    </row>
    <row r="32" spans="1:8" s="8" customFormat="1" x14ac:dyDescent="0.2">
      <c r="A32" s="4" t="s">
        <v>7</v>
      </c>
      <c r="B32" s="5">
        <v>200931202</v>
      </c>
      <c r="C32" s="4" t="s">
        <v>67</v>
      </c>
      <c r="D32" s="4" t="s">
        <v>66</v>
      </c>
      <c r="E32" s="6">
        <v>69</v>
      </c>
      <c r="F32" s="4" t="s">
        <v>10</v>
      </c>
    </row>
    <row r="33" spans="1:8" s="8" customFormat="1" x14ac:dyDescent="0.2">
      <c r="A33" s="4" t="s">
        <v>7</v>
      </c>
      <c r="B33" s="5">
        <v>200931203</v>
      </c>
      <c r="C33" s="4" t="s">
        <v>68</v>
      </c>
      <c r="D33" s="4" t="s">
        <v>66</v>
      </c>
      <c r="E33" s="6">
        <v>92</v>
      </c>
      <c r="F33" s="4" t="s">
        <v>10</v>
      </c>
    </row>
    <row r="34" spans="1:8" s="8" customFormat="1" x14ac:dyDescent="0.2">
      <c r="A34" s="4" t="s">
        <v>7</v>
      </c>
      <c r="B34" s="5">
        <v>200931204</v>
      </c>
      <c r="C34" s="4" t="s">
        <v>69</v>
      </c>
      <c r="D34" s="4" t="s">
        <v>66</v>
      </c>
      <c r="E34" s="6">
        <v>65</v>
      </c>
      <c r="F34" s="4" t="s">
        <v>10</v>
      </c>
    </row>
    <row r="35" spans="1:8" s="8" customFormat="1" x14ac:dyDescent="0.2">
      <c r="A35" s="4" t="s">
        <v>7</v>
      </c>
      <c r="B35" s="5">
        <v>200931205</v>
      </c>
      <c r="C35" s="4" t="s">
        <v>70</v>
      </c>
      <c r="D35" s="4" t="s">
        <v>66</v>
      </c>
      <c r="E35" s="6">
        <v>97</v>
      </c>
      <c r="F35" s="4" t="s">
        <v>10</v>
      </c>
    </row>
    <row r="36" spans="1:8" s="8" customFormat="1" x14ac:dyDescent="0.2">
      <c r="A36" s="4" t="s">
        <v>7</v>
      </c>
      <c r="B36" s="5">
        <v>200931206</v>
      </c>
      <c r="C36" s="4" t="s">
        <v>71</v>
      </c>
      <c r="D36" s="4" t="s">
        <v>66</v>
      </c>
      <c r="E36" s="6">
        <v>83</v>
      </c>
      <c r="F36" s="4" t="s">
        <v>10</v>
      </c>
      <c r="G36" s="3"/>
      <c r="H36" s="3"/>
    </row>
    <row r="37" spans="1:8" x14ac:dyDescent="0.2">
      <c r="A37" s="4" t="s">
        <v>7</v>
      </c>
      <c r="B37" s="5">
        <v>200931207</v>
      </c>
      <c r="C37" s="4" t="s">
        <v>72</v>
      </c>
      <c r="D37" s="4" t="s">
        <v>66</v>
      </c>
      <c r="E37" s="6">
        <v>72</v>
      </c>
      <c r="F37" s="4" t="s">
        <v>10</v>
      </c>
    </row>
    <row r="38" spans="1:8" x14ac:dyDescent="0.2">
      <c r="A38" s="4" t="s">
        <v>7</v>
      </c>
      <c r="B38" s="5">
        <v>200931208</v>
      </c>
      <c r="C38" s="4" t="s">
        <v>73</v>
      </c>
      <c r="D38" s="4" t="s">
        <v>66</v>
      </c>
      <c r="E38" s="6">
        <v>71</v>
      </c>
      <c r="F38" s="4" t="s">
        <v>10</v>
      </c>
    </row>
    <row r="39" spans="1:8" x14ac:dyDescent="0.2">
      <c r="A39" s="4" t="s">
        <v>7</v>
      </c>
      <c r="B39" s="5">
        <v>200931209</v>
      </c>
      <c r="C39" s="4" t="s">
        <v>74</v>
      </c>
      <c r="D39" s="4" t="s">
        <v>66</v>
      </c>
      <c r="E39" s="6">
        <v>65</v>
      </c>
      <c r="F39" s="4" t="s">
        <v>10</v>
      </c>
    </row>
    <row r="40" spans="1:8" x14ac:dyDescent="0.2">
      <c r="A40" s="4" t="s">
        <v>7</v>
      </c>
      <c r="B40" s="5">
        <v>200931210</v>
      </c>
      <c r="C40" s="4" t="s">
        <v>75</v>
      </c>
      <c r="D40" s="4" t="s">
        <v>66</v>
      </c>
      <c r="E40" s="6">
        <v>77</v>
      </c>
      <c r="F40" s="4" t="s">
        <v>10</v>
      </c>
    </row>
    <row r="41" spans="1:8" x14ac:dyDescent="0.2">
      <c r="A41" s="4" t="s">
        <v>7</v>
      </c>
      <c r="B41" s="5">
        <v>200931211</v>
      </c>
      <c r="C41" s="4" t="s">
        <v>76</v>
      </c>
      <c r="D41" s="4" t="s">
        <v>66</v>
      </c>
      <c r="E41" s="6">
        <v>97</v>
      </c>
      <c r="F41" s="4" t="s">
        <v>54</v>
      </c>
    </row>
    <row r="42" spans="1:8" x14ac:dyDescent="0.2">
      <c r="A42" s="4" t="s">
        <v>7</v>
      </c>
      <c r="B42" s="5">
        <v>200931212</v>
      </c>
      <c r="C42" s="4" t="s">
        <v>77</v>
      </c>
      <c r="D42" s="4" t="s">
        <v>66</v>
      </c>
      <c r="E42" s="6">
        <v>99</v>
      </c>
      <c r="F42" s="4" t="s">
        <v>10</v>
      </c>
    </row>
    <row r="43" spans="1:8" x14ac:dyDescent="0.2">
      <c r="A43" s="4" t="s">
        <v>7</v>
      </c>
      <c r="B43" s="5">
        <v>200931213</v>
      </c>
      <c r="C43" s="4" t="s">
        <v>78</v>
      </c>
      <c r="D43" s="4" t="s">
        <v>66</v>
      </c>
      <c r="E43" s="6">
        <v>65</v>
      </c>
      <c r="F43" s="4" t="s">
        <v>10</v>
      </c>
    </row>
    <row r="44" spans="1:8" x14ac:dyDescent="0.2">
      <c r="A44" s="4" t="s">
        <v>7</v>
      </c>
      <c r="B44" s="5">
        <v>200931214</v>
      </c>
      <c r="C44" s="4" t="s">
        <v>79</v>
      </c>
      <c r="D44" s="4" t="s">
        <v>66</v>
      </c>
      <c r="E44" s="6">
        <v>87</v>
      </c>
      <c r="F44" s="4" t="s">
        <v>10</v>
      </c>
    </row>
    <row r="45" spans="1:8" x14ac:dyDescent="0.2">
      <c r="A45" s="4" t="s">
        <v>7</v>
      </c>
      <c r="B45" s="5">
        <v>200931215</v>
      </c>
      <c r="C45" s="4" t="s">
        <v>80</v>
      </c>
      <c r="D45" s="4" t="s">
        <v>66</v>
      </c>
      <c r="E45" s="6">
        <v>81</v>
      </c>
      <c r="F45" s="4" t="s">
        <v>10</v>
      </c>
    </row>
    <row r="46" spans="1:8" x14ac:dyDescent="0.2">
      <c r="A46" s="4" t="s">
        <v>7</v>
      </c>
      <c r="B46" s="5">
        <v>200931216</v>
      </c>
      <c r="C46" s="4" t="s">
        <v>81</v>
      </c>
      <c r="D46" s="4" t="s">
        <v>66</v>
      </c>
      <c r="E46" s="6">
        <v>52</v>
      </c>
      <c r="F46" s="4" t="s">
        <v>10</v>
      </c>
    </row>
    <row r="47" spans="1:8" x14ac:dyDescent="0.2">
      <c r="A47" s="4" t="s">
        <v>7</v>
      </c>
      <c r="B47" s="5">
        <v>200931217</v>
      </c>
      <c r="C47" s="4" t="s">
        <v>82</v>
      </c>
      <c r="D47" s="4" t="s">
        <v>66</v>
      </c>
      <c r="E47" s="6">
        <v>87</v>
      </c>
      <c r="F47" s="4" t="s">
        <v>10</v>
      </c>
    </row>
    <row r="48" spans="1:8" x14ac:dyDescent="0.2">
      <c r="A48" s="4" t="s">
        <v>7</v>
      </c>
      <c r="B48" s="5">
        <v>200931218</v>
      </c>
      <c r="C48" s="4" t="s">
        <v>83</v>
      </c>
      <c r="D48" s="4" t="s">
        <v>66</v>
      </c>
      <c r="E48" s="6">
        <v>93</v>
      </c>
      <c r="F48" s="4" t="s">
        <v>10</v>
      </c>
    </row>
    <row r="49" spans="1:6" x14ac:dyDescent="0.2">
      <c r="A49" s="4" t="s">
        <v>7</v>
      </c>
      <c r="B49" s="5">
        <v>200931219</v>
      </c>
      <c r="C49" s="4" t="s">
        <v>84</v>
      </c>
      <c r="D49" s="4" t="s">
        <v>66</v>
      </c>
      <c r="E49" s="6">
        <v>94</v>
      </c>
      <c r="F49" s="4" t="s">
        <v>10</v>
      </c>
    </row>
    <row r="50" spans="1:6" x14ac:dyDescent="0.2">
      <c r="A50" s="4" t="s">
        <v>7</v>
      </c>
      <c r="B50" s="5">
        <v>200931220</v>
      </c>
      <c r="C50" s="4" t="s">
        <v>85</v>
      </c>
      <c r="D50" s="4" t="s">
        <v>66</v>
      </c>
      <c r="E50" s="6">
        <v>94</v>
      </c>
      <c r="F50" s="4" t="s">
        <v>10</v>
      </c>
    </row>
    <row r="51" spans="1:6" x14ac:dyDescent="0.2">
      <c r="A51" s="4" t="s">
        <v>7</v>
      </c>
      <c r="B51" s="5">
        <v>200931221</v>
      </c>
      <c r="C51" s="4" t="s">
        <v>86</v>
      </c>
      <c r="D51" s="4" t="s">
        <v>66</v>
      </c>
      <c r="E51" s="6">
        <v>89</v>
      </c>
      <c r="F51" s="4" t="s">
        <v>10</v>
      </c>
    </row>
    <row r="52" spans="1:6" x14ac:dyDescent="0.2">
      <c r="A52" s="4" t="s">
        <v>7</v>
      </c>
      <c r="B52" s="5">
        <v>200931222</v>
      </c>
      <c r="C52" s="4" t="s">
        <v>87</v>
      </c>
      <c r="D52" s="4" t="s">
        <v>66</v>
      </c>
      <c r="E52" s="6">
        <v>5</v>
      </c>
      <c r="F52" s="4" t="s">
        <v>10</v>
      </c>
    </row>
    <row r="53" spans="1:6" x14ac:dyDescent="0.2">
      <c r="A53" s="4" t="s">
        <v>7</v>
      </c>
      <c r="B53" s="5">
        <v>200931223</v>
      </c>
      <c r="C53" s="4" t="s">
        <v>88</v>
      </c>
      <c r="D53" s="4" t="s">
        <v>66</v>
      </c>
      <c r="E53" s="6">
        <v>100</v>
      </c>
      <c r="F53" s="4" t="s">
        <v>10</v>
      </c>
    </row>
    <row r="54" spans="1:6" x14ac:dyDescent="0.2">
      <c r="A54" s="4" t="s">
        <v>7</v>
      </c>
      <c r="B54" s="5">
        <v>200931224</v>
      </c>
      <c r="C54" s="4" t="s">
        <v>89</v>
      </c>
      <c r="D54" s="4" t="s">
        <v>66</v>
      </c>
      <c r="E54" s="6">
        <v>89</v>
      </c>
      <c r="F54" s="4" t="s">
        <v>10</v>
      </c>
    </row>
    <row r="55" spans="1:6" x14ac:dyDescent="0.2">
      <c r="A55" s="4" t="s">
        <v>7</v>
      </c>
      <c r="B55" s="5">
        <v>200931225</v>
      </c>
      <c r="C55" s="4" t="s">
        <v>90</v>
      </c>
      <c r="D55" s="4" t="s">
        <v>66</v>
      </c>
      <c r="E55" s="6">
        <v>71</v>
      </c>
      <c r="F55" s="4" t="s">
        <v>10</v>
      </c>
    </row>
    <row r="56" spans="1:6" x14ac:dyDescent="0.2">
      <c r="A56" s="4" t="s">
        <v>7</v>
      </c>
      <c r="B56" s="5">
        <v>200931226</v>
      </c>
      <c r="C56" s="4" t="s">
        <v>91</v>
      </c>
      <c r="D56" s="4" t="s">
        <v>66</v>
      </c>
      <c r="E56" s="6">
        <v>88</v>
      </c>
      <c r="F56" s="4" t="s">
        <v>10</v>
      </c>
    </row>
    <row r="57" spans="1:6" x14ac:dyDescent="0.2">
      <c r="A57" s="4" t="s">
        <v>7</v>
      </c>
      <c r="B57" s="5">
        <v>200931227</v>
      </c>
      <c r="C57" s="4" t="s">
        <v>92</v>
      </c>
      <c r="D57" s="4" t="s">
        <v>66</v>
      </c>
      <c r="E57" s="6">
        <v>60</v>
      </c>
      <c r="F57" s="4" t="s">
        <v>10</v>
      </c>
    </row>
    <row r="58" spans="1:6" x14ac:dyDescent="0.2">
      <c r="A58" s="4" t="s">
        <v>7</v>
      </c>
      <c r="B58" s="5">
        <v>200931228</v>
      </c>
      <c r="C58" s="4" t="s">
        <v>93</v>
      </c>
      <c r="D58" s="4" t="s">
        <v>66</v>
      </c>
      <c r="E58" s="6">
        <v>86</v>
      </c>
      <c r="F58" s="4" t="s">
        <v>10</v>
      </c>
    </row>
    <row r="59" spans="1:6" x14ac:dyDescent="0.2">
      <c r="A59" s="4" t="s">
        <v>7</v>
      </c>
      <c r="B59" s="5">
        <v>200931229</v>
      </c>
      <c r="C59" s="4" t="s">
        <v>94</v>
      </c>
      <c r="D59" s="4" t="s">
        <v>66</v>
      </c>
      <c r="E59" s="6">
        <v>91</v>
      </c>
      <c r="F59" s="4" t="s">
        <v>10</v>
      </c>
    </row>
    <row r="60" spans="1:6" x14ac:dyDescent="0.2">
      <c r="A60" s="4" t="s">
        <v>7</v>
      </c>
      <c r="B60" s="5">
        <v>200931230</v>
      </c>
      <c r="C60" s="4" t="s">
        <v>95</v>
      </c>
      <c r="D60" s="4" t="s">
        <v>66</v>
      </c>
      <c r="E60" s="6">
        <v>92</v>
      </c>
      <c r="F60" s="4" t="s">
        <v>10</v>
      </c>
    </row>
    <row r="61" spans="1:6" x14ac:dyDescent="0.2">
      <c r="A61" s="4" t="s">
        <v>7</v>
      </c>
      <c r="B61" s="5">
        <v>200931231</v>
      </c>
      <c r="C61" s="4" t="s">
        <v>96</v>
      </c>
      <c r="D61" s="4" t="s">
        <v>66</v>
      </c>
      <c r="E61" s="6">
        <v>52</v>
      </c>
      <c r="F61" s="4" t="s">
        <v>10</v>
      </c>
    </row>
    <row r="62" spans="1:6" x14ac:dyDescent="0.2">
      <c r="A62" s="4" t="s">
        <v>7</v>
      </c>
      <c r="B62" s="5">
        <v>200931232</v>
      </c>
      <c r="C62" s="4" t="s">
        <v>97</v>
      </c>
      <c r="D62" s="4" t="s">
        <v>66</v>
      </c>
      <c r="E62" s="6">
        <v>70</v>
      </c>
      <c r="F62" s="4" t="s">
        <v>10</v>
      </c>
    </row>
    <row r="63" spans="1:6" x14ac:dyDescent="0.2">
      <c r="A63" s="4" t="s">
        <v>7</v>
      </c>
      <c r="B63" s="5">
        <v>200931233</v>
      </c>
      <c r="C63" s="4" t="s">
        <v>98</v>
      </c>
      <c r="D63" s="4" t="s">
        <v>66</v>
      </c>
      <c r="E63" s="6">
        <v>97</v>
      </c>
      <c r="F63" s="4" t="s">
        <v>10</v>
      </c>
    </row>
    <row r="64" spans="1:6" x14ac:dyDescent="0.2">
      <c r="A64" s="4" t="s">
        <v>7</v>
      </c>
      <c r="B64" s="5">
        <v>200933101</v>
      </c>
      <c r="C64" s="4" t="s">
        <v>99</v>
      </c>
      <c r="D64" s="4" t="s">
        <v>100</v>
      </c>
      <c r="E64" s="6">
        <v>65</v>
      </c>
      <c r="F64" s="4" t="s">
        <v>10</v>
      </c>
    </row>
    <row r="65" spans="1:6" x14ac:dyDescent="0.2">
      <c r="A65" s="4" t="s">
        <v>7</v>
      </c>
      <c r="B65" s="5">
        <v>200933102</v>
      </c>
      <c r="C65" s="4" t="s">
        <v>101</v>
      </c>
      <c r="D65" s="4" t="s">
        <v>100</v>
      </c>
      <c r="E65" s="6">
        <v>78</v>
      </c>
      <c r="F65" s="4" t="s">
        <v>54</v>
      </c>
    </row>
    <row r="66" spans="1:6" x14ac:dyDescent="0.2">
      <c r="A66" s="4" t="s">
        <v>7</v>
      </c>
      <c r="B66" s="5">
        <v>200933103</v>
      </c>
      <c r="C66" s="4" t="s">
        <v>102</v>
      </c>
      <c r="D66" s="4" t="s">
        <v>100</v>
      </c>
      <c r="E66" s="6">
        <v>80</v>
      </c>
      <c r="F66" s="4" t="s">
        <v>10</v>
      </c>
    </row>
    <row r="67" spans="1:6" x14ac:dyDescent="0.2">
      <c r="A67" s="4" t="s">
        <v>7</v>
      </c>
      <c r="B67" s="5">
        <v>200933104</v>
      </c>
      <c r="C67" s="4" t="s">
        <v>103</v>
      </c>
      <c r="D67" s="4" t="s">
        <v>100</v>
      </c>
      <c r="E67" s="6">
        <v>84</v>
      </c>
      <c r="F67" s="4" t="s">
        <v>54</v>
      </c>
    </row>
    <row r="68" spans="1:6" x14ac:dyDescent="0.2">
      <c r="A68" s="4" t="s">
        <v>7</v>
      </c>
      <c r="B68" s="5">
        <v>200933105</v>
      </c>
      <c r="C68" s="4" t="s">
        <v>104</v>
      </c>
      <c r="D68" s="4" t="s">
        <v>100</v>
      </c>
      <c r="E68" s="6">
        <v>72</v>
      </c>
      <c r="F68" s="4" t="s">
        <v>10</v>
      </c>
    </row>
    <row r="69" spans="1:6" x14ac:dyDescent="0.2">
      <c r="A69" s="4" t="s">
        <v>7</v>
      </c>
      <c r="B69" s="5">
        <v>200933106</v>
      </c>
      <c r="C69" s="4" t="s">
        <v>105</v>
      </c>
      <c r="D69" s="4" t="s">
        <v>100</v>
      </c>
      <c r="E69" s="6">
        <v>80</v>
      </c>
      <c r="F69" s="4" t="s">
        <v>10</v>
      </c>
    </row>
    <row r="70" spans="1:6" x14ac:dyDescent="0.2">
      <c r="A70" s="4" t="s">
        <v>7</v>
      </c>
      <c r="B70" s="5">
        <v>200933107</v>
      </c>
      <c r="C70" s="4" t="s">
        <v>106</v>
      </c>
      <c r="D70" s="4" t="s">
        <v>100</v>
      </c>
      <c r="E70" s="6">
        <v>64</v>
      </c>
      <c r="F70" s="4" t="s">
        <v>10</v>
      </c>
    </row>
    <row r="71" spans="1:6" x14ac:dyDescent="0.2">
      <c r="A71" s="4" t="s">
        <v>7</v>
      </c>
      <c r="B71" s="5">
        <v>200933108</v>
      </c>
      <c r="C71" s="4" t="s">
        <v>107</v>
      </c>
      <c r="D71" s="4" t="s">
        <v>100</v>
      </c>
      <c r="E71" s="6">
        <v>77</v>
      </c>
      <c r="F71" s="4" t="s">
        <v>10</v>
      </c>
    </row>
    <row r="72" spans="1:6" x14ac:dyDescent="0.2">
      <c r="A72" s="4" t="s">
        <v>7</v>
      </c>
      <c r="B72" s="5">
        <v>200933109</v>
      </c>
      <c r="C72" s="4" t="s">
        <v>108</v>
      </c>
      <c r="D72" s="4" t="s">
        <v>100</v>
      </c>
      <c r="E72" s="6">
        <v>72</v>
      </c>
      <c r="F72" s="4" t="s">
        <v>10</v>
      </c>
    </row>
    <row r="73" spans="1:6" x14ac:dyDescent="0.2">
      <c r="A73" s="4" t="s">
        <v>7</v>
      </c>
      <c r="B73" s="5">
        <v>200933110</v>
      </c>
      <c r="C73" s="4" t="s">
        <v>109</v>
      </c>
      <c r="D73" s="4" t="s">
        <v>100</v>
      </c>
      <c r="E73" s="6">
        <v>89</v>
      </c>
      <c r="F73" s="4" t="s">
        <v>10</v>
      </c>
    </row>
    <row r="74" spans="1:6" x14ac:dyDescent="0.2">
      <c r="A74" s="4" t="s">
        <v>7</v>
      </c>
      <c r="B74" s="5">
        <v>200933111</v>
      </c>
      <c r="C74" s="4" t="s">
        <v>110</v>
      </c>
      <c r="D74" s="4" t="s">
        <v>100</v>
      </c>
      <c r="E74" s="6">
        <v>65</v>
      </c>
      <c r="F74" s="4" t="s">
        <v>10</v>
      </c>
    </row>
    <row r="75" spans="1:6" x14ac:dyDescent="0.2">
      <c r="A75" s="4" t="s">
        <v>7</v>
      </c>
      <c r="B75" s="5">
        <v>200933112</v>
      </c>
      <c r="C75" s="4" t="s">
        <v>111</v>
      </c>
      <c r="D75" s="4" t="s">
        <v>100</v>
      </c>
      <c r="E75" s="6">
        <v>78</v>
      </c>
      <c r="F75" s="4" t="s">
        <v>10</v>
      </c>
    </row>
    <row r="76" spans="1:6" x14ac:dyDescent="0.2">
      <c r="A76" s="4" t="s">
        <v>7</v>
      </c>
      <c r="B76" s="5">
        <v>200933113</v>
      </c>
      <c r="C76" s="4" t="s">
        <v>112</v>
      </c>
      <c r="D76" s="4" t="s">
        <v>100</v>
      </c>
      <c r="E76" s="6">
        <v>72</v>
      </c>
      <c r="F76" s="4" t="s">
        <v>10</v>
      </c>
    </row>
    <row r="77" spans="1:6" x14ac:dyDescent="0.2">
      <c r="A77" s="4" t="s">
        <v>7</v>
      </c>
      <c r="B77" s="5">
        <v>200933114</v>
      </c>
      <c r="C77" s="4" t="s">
        <v>113</v>
      </c>
      <c r="D77" s="4" t="s">
        <v>100</v>
      </c>
      <c r="E77" s="6">
        <v>72</v>
      </c>
      <c r="F77" s="4" t="s">
        <v>10</v>
      </c>
    </row>
    <row r="78" spans="1:6" x14ac:dyDescent="0.2">
      <c r="A78" s="4" t="s">
        <v>7</v>
      </c>
      <c r="B78" s="5">
        <v>200933115</v>
      </c>
      <c r="C78" s="4" t="s">
        <v>114</v>
      </c>
      <c r="D78" s="4" t="s">
        <v>100</v>
      </c>
      <c r="E78" s="6">
        <v>71</v>
      </c>
      <c r="F78" s="4" t="s">
        <v>10</v>
      </c>
    </row>
    <row r="79" spans="1:6" x14ac:dyDescent="0.2">
      <c r="A79" s="4" t="s">
        <v>7</v>
      </c>
      <c r="B79" s="5">
        <v>200933116</v>
      </c>
      <c r="C79" s="4" t="s">
        <v>115</v>
      </c>
      <c r="D79" s="4" t="s">
        <v>100</v>
      </c>
      <c r="E79" s="6">
        <v>95</v>
      </c>
      <c r="F79" s="4" t="s">
        <v>10</v>
      </c>
    </row>
    <row r="80" spans="1:6" x14ac:dyDescent="0.2">
      <c r="A80" s="4" t="s">
        <v>7</v>
      </c>
      <c r="B80" s="5">
        <v>200933117</v>
      </c>
      <c r="C80" s="4" t="s">
        <v>116</v>
      </c>
      <c r="D80" s="4" t="s">
        <v>100</v>
      </c>
      <c r="E80" s="6">
        <v>75</v>
      </c>
      <c r="F80" s="4" t="s">
        <v>10</v>
      </c>
    </row>
    <row r="81" spans="1:6" x14ac:dyDescent="0.2">
      <c r="A81" s="4" t="s">
        <v>7</v>
      </c>
      <c r="B81" s="5">
        <v>200933118</v>
      </c>
      <c r="C81" s="4" t="s">
        <v>117</v>
      </c>
      <c r="D81" s="4" t="s">
        <v>100</v>
      </c>
      <c r="E81" s="6">
        <v>84</v>
      </c>
      <c r="F81" s="4" t="s">
        <v>10</v>
      </c>
    </row>
    <row r="82" spans="1:6" x14ac:dyDescent="0.2">
      <c r="A82" s="4" t="s">
        <v>7</v>
      </c>
      <c r="B82" s="5">
        <v>200933119</v>
      </c>
      <c r="C82" s="4" t="s">
        <v>118</v>
      </c>
      <c r="D82" s="4" t="s">
        <v>100</v>
      </c>
      <c r="E82" s="6">
        <v>91</v>
      </c>
      <c r="F82" s="4" t="s">
        <v>10</v>
      </c>
    </row>
    <row r="83" spans="1:6" x14ac:dyDescent="0.2">
      <c r="A83" s="4" t="s">
        <v>7</v>
      </c>
      <c r="B83" s="5">
        <v>200933120</v>
      </c>
      <c r="C83" s="4" t="s">
        <v>119</v>
      </c>
      <c r="D83" s="4" t="s">
        <v>100</v>
      </c>
      <c r="E83" s="6">
        <v>76</v>
      </c>
      <c r="F83" s="4" t="s">
        <v>10</v>
      </c>
    </row>
    <row r="84" spans="1:6" x14ac:dyDescent="0.2">
      <c r="A84" s="4" t="s">
        <v>7</v>
      </c>
      <c r="B84" s="5">
        <v>200933121</v>
      </c>
      <c r="C84" s="4" t="s">
        <v>120</v>
      </c>
      <c r="D84" s="4" t="s">
        <v>100</v>
      </c>
      <c r="E84" s="6">
        <v>57</v>
      </c>
      <c r="F84" s="4" t="s">
        <v>10</v>
      </c>
    </row>
    <row r="85" spans="1:6" x14ac:dyDescent="0.2">
      <c r="A85" s="4" t="s">
        <v>7</v>
      </c>
      <c r="B85" s="5">
        <v>200933122</v>
      </c>
      <c r="C85" s="4" t="s">
        <v>121</v>
      </c>
      <c r="D85" s="4" t="s">
        <v>100</v>
      </c>
      <c r="E85" s="6">
        <v>66</v>
      </c>
      <c r="F85" s="4" t="s">
        <v>10</v>
      </c>
    </row>
    <row r="86" spans="1:6" x14ac:dyDescent="0.2">
      <c r="A86" s="4" t="s">
        <v>7</v>
      </c>
      <c r="B86" s="5">
        <v>200933123</v>
      </c>
      <c r="C86" s="4" t="s">
        <v>122</v>
      </c>
      <c r="D86" s="4" t="s">
        <v>100</v>
      </c>
      <c r="E86" s="6">
        <v>50</v>
      </c>
      <c r="F86" s="4" t="s">
        <v>10</v>
      </c>
    </row>
    <row r="87" spans="1:6" x14ac:dyDescent="0.2">
      <c r="A87" s="4" t="s">
        <v>7</v>
      </c>
      <c r="B87" s="5">
        <v>200933124</v>
      </c>
      <c r="C87" s="4" t="s">
        <v>123</v>
      </c>
      <c r="D87" s="4" t="s">
        <v>100</v>
      </c>
      <c r="E87" s="6">
        <v>88</v>
      </c>
      <c r="F87" s="4" t="s">
        <v>10</v>
      </c>
    </row>
    <row r="88" spans="1:6" x14ac:dyDescent="0.2">
      <c r="A88" s="4" t="s">
        <v>7</v>
      </c>
      <c r="B88" s="5">
        <v>200933125</v>
      </c>
      <c r="C88" s="4" t="s">
        <v>124</v>
      </c>
      <c r="D88" s="4" t="s">
        <v>100</v>
      </c>
      <c r="E88" s="6">
        <v>75</v>
      </c>
      <c r="F88" s="4" t="s">
        <v>10</v>
      </c>
    </row>
    <row r="89" spans="1:6" x14ac:dyDescent="0.2">
      <c r="A89" s="4" t="s">
        <v>7</v>
      </c>
      <c r="B89" s="5">
        <v>200933126</v>
      </c>
      <c r="C89" s="4" t="s">
        <v>125</v>
      </c>
      <c r="D89" s="4" t="s">
        <v>100</v>
      </c>
      <c r="E89" s="6">
        <v>84</v>
      </c>
      <c r="F89" s="4" t="s">
        <v>54</v>
      </c>
    </row>
    <row r="90" spans="1:6" x14ac:dyDescent="0.2">
      <c r="A90" s="4" t="s">
        <v>7</v>
      </c>
      <c r="B90" s="5">
        <v>200933127</v>
      </c>
      <c r="C90" s="4" t="s">
        <v>126</v>
      </c>
      <c r="D90" s="4" t="s">
        <v>100</v>
      </c>
      <c r="E90" s="6">
        <v>80</v>
      </c>
      <c r="F90" s="4" t="s">
        <v>10</v>
      </c>
    </row>
    <row r="91" spans="1:6" x14ac:dyDescent="0.2">
      <c r="A91" s="4" t="s">
        <v>7</v>
      </c>
      <c r="B91" s="5">
        <v>200933201</v>
      </c>
      <c r="C91" s="4" t="s">
        <v>127</v>
      </c>
      <c r="D91" s="4" t="s">
        <v>100</v>
      </c>
      <c r="E91" s="6">
        <v>78</v>
      </c>
      <c r="F91" s="4" t="s">
        <v>10</v>
      </c>
    </row>
    <row r="92" spans="1:6" x14ac:dyDescent="0.2">
      <c r="A92" s="4" t="s">
        <v>7</v>
      </c>
      <c r="B92" s="5">
        <v>200933202</v>
      </c>
      <c r="C92" s="4" t="s">
        <v>128</v>
      </c>
      <c r="D92" s="4" t="s">
        <v>100</v>
      </c>
      <c r="E92" s="6">
        <v>84</v>
      </c>
      <c r="F92" s="4" t="s">
        <v>10</v>
      </c>
    </row>
    <row r="93" spans="1:6" x14ac:dyDescent="0.2">
      <c r="A93" s="4" t="s">
        <v>7</v>
      </c>
      <c r="B93" s="5">
        <v>200933203</v>
      </c>
      <c r="C93" s="4" t="s">
        <v>129</v>
      </c>
      <c r="D93" s="4" t="s">
        <v>100</v>
      </c>
      <c r="E93" s="6">
        <v>93</v>
      </c>
      <c r="F93" s="4" t="s">
        <v>10</v>
      </c>
    </row>
    <row r="94" spans="1:6" x14ac:dyDescent="0.2">
      <c r="A94" s="4" t="s">
        <v>7</v>
      </c>
      <c r="B94" s="5">
        <v>200933204</v>
      </c>
      <c r="C94" s="4" t="s">
        <v>130</v>
      </c>
      <c r="D94" s="4" t="s">
        <v>100</v>
      </c>
      <c r="E94" s="6">
        <v>69</v>
      </c>
      <c r="F94" s="4" t="s">
        <v>10</v>
      </c>
    </row>
    <row r="95" spans="1:6" x14ac:dyDescent="0.2">
      <c r="A95" s="4" t="s">
        <v>7</v>
      </c>
      <c r="B95" s="5">
        <v>200933205</v>
      </c>
      <c r="C95" s="4" t="s">
        <v>131</v>
      </c>
      <c r="D95" s="4" t="s">
        <v>100</v>
      </c>
      <c r="E95" s="6">
        <v>71</v>
      </c>
      <c r="F95" s="4" t="s">
        <v>10</v>
      </c>
    </row>
    <row r="96" spans="1:6" x14ac:dyDescent="0.2">
      <c r="A96" s="4" t="s">
        <v>7</v>
      </c>
      <c r="B96" s="5">
        <v>200933206</v>
      </c>
      <c r="C96" s="4" t="s">
        <v>132</v>
      </c>
      <c r="D96" s="4" t="s">
        <v>100</v>
      </c>
      <c r="E96" s="6">
        <v>88</v>
      </c>
      <c r="F96" s="4" t="s">
        <v>10</v>
      </c>
    </row>
    <row r="97" spans="1:6" x14ac:dyDescent="0.2">
      <c r="A97" s="4" t="s">
        <v>7</v>
      </c>
      <c r="B97" s="5">
        <v>200933207</v>
      </c>
      <c r="C97" s="4" t="s">
        <v>133</v>
      </c>
      <c r="D97" s="4" t="s">
        <v>100</v>
      </c>
      <c r="E97" s="6">
        <v>77</v>
      </c>
      <c r="F97" s="4" t="s">
        <v>10</v>
      </c>
    </row>
    <row r="98" spans="1:6" x14ac:dyDescent="0.2">
      <c r="A98" s="4" t="s">
        <v>7</v>
      </c>
      <c r="B98" s="5">
        <v>200933208</v>
      </c>
      <c r="C98" s="4" t="s">
        <v>134</v>
      </c>
      <c r="D98" s="4" t="s">
        <v>100</v>
      </c>
      <c r="E98" s="6">
        <v>70</v>
      </c>
      <c r="F98" s="4" t="s">
        <v>54</v>
      </c>
    </row>
    <row r="99" spans="1:6" x14ac:dyDescent="0.2">
      <c r="A99" s="4" t="s">
        <v>7</v>
      </c>
      <c r="B99" s="5">
        <v>200933209</v>
      </c>
      <c r="C99" s="4" t="s">
        <v>135</v>
      </c>
      <c r="D99" s="4" t="s">
        <v>100</v>
      </c>
      <c r="E99" s="6">
        <v>97</v>
      </c>
      <c r="F99" s="4" t="s">
        <v>10</v>
      </c>
    </row>
    <row r="100" spans="1:6" x14ac:dyDescent="0.2">
      <c r="A100" s="4" t="s">
        <v>7</v>
      </c>
      <c r="B100" s="5">
        <v>200933210</v>
      </c>
      <c r="C100" s="4" t="s">
        <v>136</v>
      </c>
      <c r="D100" s="4" t="s">
        <v>100</v>
      </c>
      <c r="E100" s="6">
        <v>69</v>
      </c>
      <c r="F100" s="4" t="s">
        <v>54</v>
      </c>
    </row>
    <row r="101" spans="1:6" x14ac:dyDescent="0.2">
      <c r="A101" s="4" t="s">
        <v>7</v>
      </c>
      <c r="B101" s="5">
        <v>200933211</v>
      </c>
      <c r="C101" s="4" t="s">
        <v>137</v>
      </c>
      <c r="D101" s="4" t="s">
        <v>100</v>
      </c>
      <c r="E101" s="6">
        <v>79</v>
      </c>
      <c r="F101" s="4" t="s">
        <v>10</v>
      </c>
    </row>
    <row r="102" spans="1:6" x14ac:dyDescent="0.2">
      <c r="A102" s="4" t="s">
        <v>7</v>
      </c>
      <c r="B102" s="5">
        <v>200933212</v>
      </c>
      <c r="C102" s="4" t="s">
        <v>138</v>
      </c>
      <c r="D102" s="4" t="s">
        <v>100</v>
      </c>
      <c r="E102" s="6">
        <v>74</v>
      </c>
      <c r="F102" s="4" t="s">
        <v>10</v>
      </c>
    </row>
    <row r="103" spans="1:6" x14ac:dyDescent="0.2">
      <c r="A103" s="4" t="s">
        <v>7</v>
      </c>
      <c r="B103" s="5">
        <v>200933213</v>
      </c>
      <c r="C103" s="4" t="s">
        <v>139</v>
      </c>
      <c r="D103" s="4" t="s">
        <v>100</v>
      </c>
      <c r="E103" s="6">
        <v>67</v>
      </c>
      <c r="F103" s="4" t="s">
        <v>10</v>
      </c>
    </row>
    <row r="104" spans="1:6" x14ac:dyDescent="0.2">
      <c r="A104" s="4" t="s">
        <v>7</v>
      </c>
      <c r="B104" s="5">
        <v>200933214</v>
      </c>
      <c r="C104" s="4" t="s">
        <v>140</v>
      </c>
      <c r="D104" s="4" t="s">
        <v>100</v>
      </c>
      <c r="E104" s="6">
        <v>90</v>
      </c>
      <c r="F104" s="4" t="s">
        <v>10</v>
      </c>
    </row>
    <row r="105" spans="1:6" x14ac:dyDescent="0.2">
      <c r="A105" s="4" t="s">
        <v>7</v>
      </c>
      <c r="B105" s="5">
        <v>200933215</v>
      </c>
      <c r="C105" s="4" t="s">
        <v>141</v>
      </c>
      <c r="D105" s="4" t="s">
        <v>100</v>
      </c>
      <c r="E105" s="6">
        <v>74</v>
      </c>
      <c r="F105" s="4" t="s">
        <v>10</v>
      </c>
    </row>
    <row r="106" spans="1:6" x14ac:dyDescent="0.2">
      <c r="A106" s="4" t="s">
        <v>7</v>
      </c>
      <c r="B106" s="5">
        <v>200933216</v>
      </c>
      <c r="C106" s="4" t="s">
        <v>142</v>
      </c>
      <c r="D106" s="4" t="s">
        <v>100</v>
      </c>
      <c r="E106" s="6">
        <v>96</v>
      </c>
      <c r="F106" s="4" t="s">
        <v>10</v>
      </c>
    </row>
    <row r="107" spans="1:6" x14ac:dyDescent="0.2">
      <c r="A107" s="4" t="s">
        <v>7</v>
      </c>
      <c r="B107" s="5">
        <v>200933217</v>
      </c>
      <c r="C107" s="4" t="s">
        <v>143</v>
      </c>
      <c r="D107" s="4" t="s">
        <v>100</v>
      </c>
      <c r="E107" s="6">
        <v>86</v>
      </c>
      <c r="F107" s="4" t="s">
        <v>10</v>
      </c>
    </row>
    <row r="108" spans="1:6" x14ac:dyDescent="0.2">
      <c r="A108" s="4" t="s">
        <v>7</v>
      </c>
      <c r="B108" s="5">
        <v>200933218</v>
      </c>
      <c r="C108" s="4" t="s">
        <v>144</v>
      </c>
      <c r="D108" s="4" t="s">
        <v>100</v>
      </c>
      <c r="E108" s="6">
        <v>68</v>
      </c>
      <c r="F108" s="4" t="s">
        <v>10</v>
      </c>
    </row>
    <row r="109" spans="1:6" x14ac:dyDescent="0.2">
      <c r="A109" s="4" t="s">
        <v>7</v>
      </c>
      <c r="B109" s="5">
        <v>200933219</v>
      </c>
      <c r="C109" s="4" t="s">
        <v>145</v>
      </c>
      <c r="D109" s="4" t="s">
        <v>100</v>
      </c>
      <c r="E109" s="6">
        <v>74</v>
      </c>
      <c r="F109" s="4" t="s">
        <v>10</v>
      </c>
    </row>
    <row r="110" spans="1:6" x14ac:dyDescent="0.2">
      <c r="A110" s="4" t="s">
        <v>7</v>
      </c>
      <c r="B110" s="5">
        <v>200933220</v>
      </c>
      <c r="C110" s="4" t="s">
        <v>146</v>
      </c>
      <c r="D110" s="4" t="s">
        <v>100</v>
      </c>
      <c r="E110" s="6">
        <v>69</v>
      </c>
      <c r="F110" s="4" t="s">
        <v>10</v>
      </c>
    </row>
    <row r="111" spans="1:6" x14ac:dyDescent="0.2">
      <c r="A111" s="4" t="s">
        <v>7</v>
      </c>
      <c r="B111" s="5">
        <v>200933221</v>
      </c>
      <c r="C111" s="4" t="s">
        <v>147</v>
      </c>
      <c r="D111" s="4" t="s">
        <v>100</v>
      </c>
      <c r="E111" s="6">
        <v>89</v>
      </c>
      <c r="F111" s="4" t="s">
        <v>10</v>
      </c>
    </row>
    <row r="112" spans="1:6" x14ac:dyDescent="0.2">
      <c r="A112" s="4" t="s">
        <v>7</v>
      </c>
      <c r="B112" s="5">
        <v>200933222</v>
      </c>
      <c r="C112" s="4" t="s">
        <v>148</v>
      </c>
      <c r="D112" s="4" t="s">
        <v>100</v>
      </c>
      <c r="E112" s="6">
        <v>88</v>
      </c>
      <c r="F112" s="4" t="s">
        <v>10</v>
      </c>
    </row>
    <row r="113" spans="1:6" x14ac:dyDescent="0.2">
      <c r="A113" s="4" t="s">
        <v>7</v>
      </c>
      <c r="B113" s="5">
        <v>200933223</v>
      </c>
      <c r="C113" s="4" t="s">
        <v>149</v>
      </c>
      <c r="D113" s="4" t="s">
        <v>100</v>
      </c>
      <c r="E113" s="6">
        <v>67</v>
      </c>
      <c r="F113" s="4" t="s">
        <v>10</v>
      </c>
    </row>
    <row r="114" spans="1:6" x14ac:dyDescent="0.2">
      <c r="A114" s="4" t="s">
        <v>7</v>
      </c>
      <c r="B114" s="5">
        <v>200933224</v>
      </c>
      <c r="C114" s="4" t="s">
        <v>150</v>
      </c>
      <c r="D114" s="4" t="s">
        <v>100</v>
      </c>
      <c r="E114" s="6">
        <v>68</v>
      </c>
      <c r="F114" s="4" t="s">
        <v>10</v>
      </c>
    </row>
    <row r="115" spans="1:6" x14ac:dyDescent="0.2">
      <c r="A115" s="4" t="s">
        <v>7</v>
      </c>
      <c r="B115" s="5">
        <v>200933225</v>
      </c>
      <c r="C115" s="4" t="s">
        <v>151</v>
      </c>
      <c r="D115" s="4" t="s">
        <v>100</v>
      </c>
      <c r="E115" s="6">
        <v>62</v>
      </c>
      <c r="F115" s="4" t="s">
        <v>10</v>
      </c>
    </row>
    <row r="116" spans="1:6" x14ac:dyDescent="0.2">
      <c r="A116" s="4" t="s">
        <v>7</v>
      </c>
      <c r="B116" s="5">
        <v>200933226</v>
      </c>
      <c r="C116" s="4" t="s">
        <v>152</v>
      </c>
      <c r="D116" s="4" t="s">
        <v>100</v>
      </c>
      <c r="E116" s="6">
        <v>65</v>
      </c>
      <c r="F116" s="4" t="s">
        <v>10</v>
      </c>
    </row>
    <row r="117" spans="1:6" x14ac:dyDescent="0.2">
      <c r="A117" s="4" t="s">
        <v>153</v>
      </c>
      <c r="B117" s="5">
        <v>200934101</v>
      </c>
      <c r="C117" s="4" t="s">
        <v>154</v>
      </c>
      <c r="D117" s="4" t="s">
        <v>155</v>
      </c>
      <c r="E117" s="6">
        <v>71</v>
      </c>
      <c r="F117" s="4" t="s">
        <v>10</v>
      </c>
    </row>
    <row r="118" spans="1:6" x14ac:dyDescent="0.2">
      <c r="A118" s="4" t="s">
        <v>153</v>
      </c>
      <c r="B118" s="5">
        <v>200934102</v>
      </c>
      <c r="C118" s="4" t="s">
        <v>156</v>
      </c>
      <c r="D118" s="4" t="s">
        <v>155</v>
      </c>
      <c r="E118" s="6">
        <v>67</v>
      </c>
      <c r="F118" s="4" t="s">
        <v>54</v>
      </c>
    </row>
    <row r="119" spans="1:6" x14ac:dyDescent="0.2">
      <c r="A119" s="4" t="s">
        <v>153</v>
      </c>
      <c r="B119" s="5">
        <v>200934103</v>
      </c>
      <c r="C119" s="4" t="s">
        <v>157</v>
      </c>
      <c r="D119" s="4" t="s">
        <v>155</v>
      </c>
      <c r="E119" s="6">
        <v>90</v>
      </c>
      <c r="F119" s="4" t="s">
        <v>10</v>
      </c>
    </row>
    <row r="120" spans="1:6" x14ac:dyDescent="0.2">
      <c r="A120" s="4" t="s">
        <v>153</v>
      </c>
      <c r="B120" s="5">
        <v>200934104</v>
      </c>
      <c r="C120" s="4" t="s">
        <v>158</v>
      </c>
      <c r="D120" s="4" t="s">
        <v>155</v>
      </c>
      <c r="E120" s="6">
        <v>78</v>
      </c>
      <c r="F120" s="4" t="s">
        <v>10</v>
      </c>
    </row>
    <row r="121" spans="1:6" x14ac:dyDescent="0.2">
      <c r="A121" s="4" t="s">
        <v>153</v>
      </c>
      <c r="B121" s="5">
        <v>200934105</v>
      </c>
      <c r="C121" s="4" t="s">
        <v>159</v>
      </c>
      <c r="D121" s="4" t="s">
        <v>155</v>
      </c>
      <c r="E121" s="6">
        <v>56</v>
      </c>
      <c r="F121" s="4" t="s">
        <v>54</v>
      </c>
    </row>
    <row r="122" spans="1:6" x14ac:dyDescent="0.2">
      <c r="A122" s="4" t="s">
        <v>153</v>
      </c>
      <c r="B122" s="5">
        <v>200934106</v>
      </c>
      <c r="C122" s="4" t="s">
        <v>160</v>
      </c>
      <c r="D122" s="4" t="s">
        <v>155</v>
      </c>
      <c r="E122" s="6">
        <v>12</v>
      </c>
      <c r="F122" s="4" t="s">
        <v>10</v>
      </c>
    </row>
    <row r="123" spans="1:6" x14ac:dyDescent="0.2">
      <c r="A123" s="4" t="s">
        <v>153</v>
      </c>
      <c r="B123" s="5">
        <v>200934107</v>
      </c>
      <c r="C123" s="4" t="s">
        <v>161</v>
      </c>
      <c r="D123" s="4" t="s">
        <v>155</v>
      </c>
      <c r="E123" s="6">
        <v>78</v>
      </c>
      <c r="F123" s="4" t="s">
        <v>10</v>
      </c>
    </row>
    <row r="124" spans="1:6" x14ac:dyDescent="0.2">
      <c r="A124" s="4" t="s">
        <v>153</v>
      </c>
      <c r="B124" s="5">
        <v>200934108</v>
      </c>
      <c r="C124" s="4" t="s">
        <v>162</v>
      </c>
      <c r="D124" s="4" t="s">
        <v>155</v>
      </c>
      <c r="E124" s="6">
        <v>74</v>
      </c>
      <c r="F124" s="4" t="s">
        <v>10</v>
      </c>
    </row>
    <row r="125" spans="1:6" x14ac:dyDescent="0.2">
      <c r="A125" s="4" t="s">
        <v>153</v>
      </c>
      <c r="B125" s="5">
        <v>200934109</v>
      </c>
      <c r="C125" s="4" t="s">
        <v>163</v>
      </c>
      <c r="D125" s="4" t="s">
        <v>155</v>
      </c>
      <c r="E125" s="6">
        <v>72</v>
      </c>
      <c r="F125" s="4" t="s">
        <v>10</v>
      </c>
    </row>
    <row r="126" spans="1:6" x14ac:dyDescent="0.2">
      <c r="A126" s="4" t="s">
        <v>153</v>
      </c>
      <c r="B126" s="5">
        <v>200934110</v>
      </c>
      <c r="C126" s="4" t="s">
        <v>164</v>
      </c>
      <c r="D126" s="4" t="s">
        <v>155</v>
      </c>
      <c r="E126" s="6">
        <v>75</v>
      </c>
      <c r="F126" s="4" t="s">
        <v>10</v>
      </c>
    </row>
    <row r="127" spans="1:6" x14ac:dyDescent="0.2">
      <c r="A127" s="4" t="s">
        <v>153</v>
      </c>
      <c r="B127" s="5">
        <v>200934111</v>
      </c>
      <c r="C127" s="4" t="s">
        <v>165</v>
      </c>
      <c r="D127" s="4" t="s">
        <v>155</v>
      </c>
      <c r="E127" s="6">
        <v>72</v>
      </c>
      <c r="F127" s="4" t="s">
        <v>10</v>
      </c>
    </row>
    <row r="128" spans="1:6" x14ac:dyDescent="0.2">
      <c r="A128" s="4" t="s">
        <v>153</v>
      </c>
      <c r="B128" s="5">
        <v>200934112</v>
      </c>
      <c r="C128" s="4" t="s">
        <v>166</v>
      </c>
      <c r="D128" s="4" t="s">
        <v>155</v>
      </c>
      <c r="E128" s="6">
        <v>0</v>
      </c>
      <c r="F128" s="4" t="s">
        <v>10</v>
      </c>
    </row>
    <row r="129" spans="1:6" x14ac:dyDescent="0.2">
      <c r="A129" s="4" t="s">
        <v>153</v>
      </c>
      <c r="B129" s="5">
        <v>200934113</v>
      </c>
      <c r="C129" s="4" t="s">
        <v>167</v>
      </c>
      <c r="D129" s="4" t="s">
        <v>155</v>
      </c>
      <c r="E129" s="6">
        <v>61</v>
      </c>
      <c r="F129" s="4" t="s">
        <v>10</v>
      </c>
    </row>
    <row r="130" spans="1:6" x14ac:dyDescent="0.2">
      <c r="A130" s="4" t="s">
        <v>153</v>
      </c>
      <c r="B130" s="5">
        <v>200934114</v>
      </c>
      <c r="C130" s="4" t="s">
        <v>168</v>
      </c>
      <c r="D130" s="4" t="s">
        <v>155</v>
      </c>
      <c r="E130" s="6">
        <v>71</v>
      </c>
      <c r="F130" s="4" t="s">
        <v>10</v>
      </c>
    </row>
    <row r="131" spans="1:6" x14ac:dyDescent="0.2">
      <c r="A131" s="4" t="s">
        <v>153</v>
      </c>
      <c r="B131" s="5">
        <v>200934115</v>
      </c>
      <c r="C131" s="4" t="s">
        <v>169</v>
      </c>
      <c r="D131" s="4" t="s">
        <v>155</v>
      </c>
      <c r="E131" s="6">
        <v>68</v>
      </c>
      <c r="F131" s="4" t="s">
        <v>10</v>
      </c>
    </row>
    <row r="132" spans="1:6" x14ac:dyDescent="0.2">
      <c r="A132" s="4" t="s">
        <v>153</v>
      </c>
      <c r="B132" s="5">
        <v>200934116</v>
      </c>
      <c r="C132" s="4" t="s">
        <v>170</v>
      </c>
      <c r="D132" s="4" t="s">
        <v>155</v>
      </c>
      <c r="E132" s="6">
        <v>74</v>
      </c>
      <c r="F132" s="4" t="s">
        <v>54</v>
      </c>
    </row>
    <row r="133" spans="1:6" x14ac:dyDescent="0.2">
      <c r="A133" s="4" t="s">
        <v>153</v>
      </c>
      <c r="B133" s="5">
        <v>200934117</v>
      </c>
      <c r="C133" s="4" t="s">
        <v>171</v>
      </c>
      <c r="D133" s="4" t="s">
        <v>155</v>
      </c>
      <c r="E133" s="6">
        <v>80</v>
      </c>
      <c r="F133" s="4" t="s">
        <v>10</v>
      </c>
    </row>
    <row r="134" spans="1:6" x14ac:dyDescent="0.2">
      <c r="A134" s="4" t="s">
        <v>153</v>
      </c>
      <c r="B134" s="5">
        <v>200934118</v>
      </c>
      <c r="C134" s="4" t="s">
        <v>172</v>
      </c>
      <c r="D134" s="4" t="s">
        <v>155</v>
      </c>
      <c r="E134" s="6">
        <v>66</v>
      </c>
      <c r="F134" s="4" t="s">
        <v>10</v>
      </c>
    </row>
    <row r="135" spans="1:6" x14ac:dyDescent="0.2">
      <c r="A135" s="4" t="s">
        <v>153</v>
      </c>
      <c r="B135" s="5">
        <v>200934119</v>
      </c>
      <c r="C135" s="4" t="s">
        <v>173</v>
      </c>
      <c r="D135" s="4" t="s">
        <v>155</v>
      </c>
      <c r="E135" s="6">
        <v>86</v>
      </c>
      <c r="F135" s="4" t="s">
        <v>10</v>
      </c>
    </row>
    <row r="136" spans="1:6" x14ac:dyDescent="0.2">
      <c r="A136" s="4" t="s">
        <v>153</v>
      </c>
      <c r="B136" s="5">
        <v>200934120</v>
      </c>
      <c r="C136" s="4" t="s">
        <v>174</v>
      </c>
      <c r="D136" s="4" t="s">
        <v>155</v>
      </c>
      <c r="E136" s="6">
        <v>71</v>
      </c>
      <c r="F136" s="4" t="s">
        <v>10</v>
      </c>
    </row>
    <row r="137" spans="1:6" x14ac:dyDescent="0.2">
      <c r="A137" s="4" t="s">
        <v>153</v>
      </c>
      <c r="B137" s="5">
        <v>200934121</v>
      </c>
      <c r="C137" s="4" t="s">
        <v>175</v>
      </c>
      <c r="D137" s="4" t="s">
        <v>155</v>
      </c>
      <c r="E137" s="6">
        <v>92</v>
      </c>
      <c r="F137" s="4" t="s">
        <v>10</v>
      </c>
    </row>
    <row r="138" spans="1:6" x14ac:dyDescent="0.2">
      <c r="A138" s="4" t="s">
        <v>153</v>
      </c>
      <c r="B138" s="5">
        <v>200934122</v>
      </c>
      <c r="C138" s="4" t="s">
        <v>176</v>
      </c>
      <c r="D138" s="4" t="s">
        <v>155</v>
      </c>
      <c r="E138" s="6">
        <v>94</v>
      </c>
      <c r="F138" s="4" t="s">
        <v>10</v>
      </c>
    </row>
    <row r="139" spans="1:6" x14ac:dyDescent="0.2">
      <c r="A139" s="4" t="s">
        <v>153</v>
      </c>
      <c r="B139" s="5">
        <v>200934123</v>
      </c>
      <c r="C139" s="4" t="s">
        <v>177</v>
      </c>
      <c r="D139" s="4" t="s">
        <v>155</v>
      </c>
      <c r="E139" s="6">
        <v>74</v>
      </c>
      <c r="F139" s="4" t="s">
        <v>10</v>
      </c>
    </row>
    <row r="140" spans="1:6" x14ac:dyDescent="0.2">
      <c r="A140" s="4" t="s">
        <v>153</v>
      </c>
      <c r="B140" s="5">
        <v>200934124</v>
      </c>
      <c r="C140" s="4" t="s">
        <v>178</v>
      </c>
      <c r="D140" s="4" t="s">
        <v>155</v>
      </c>
      <c r="E140" s="6">
        <v>69</v>
      </c>
      <c r="F140" s="4" t="s">
        <v>10</v>
      </c>
    </row>
    <row r="141" spans="1:6" x14ac:dyDescent="0.2">
      <c r="A141" s="4" t="s">
        <v>153</v>
      </c>
      <c r="B141" s="5">
        <v>200934125</v>
      </c>
      <c r="C141" s="4" t="s">
        <v>179</v>
      </c>
      <c r="D141" s="4" t="s">
        <v>155</v>
      </c>
      <c r="E141" s="6">
        <v>98</v>
      </c>
      <c r="F141" s="4" t="s">
        <v>10</v>
      </c>
    </row>
    <row r="142" spans="1:6" x14ac:dyDescent="0.2">
      <c r="A142" s="4" t="s">
        <v>153</v>
      </c>
      <c r="B142" s="5">
        <v>200934126</v>
      </c>
      <c r="C142" s="4" t="s">
        <v>180</v>
      </c>
      <c r="D142" s="4" t="s">
        <v>155</v>
      </c>
      <c r="E142" s="6">
        <v>100</v>
      </c>
      <c r="F142" s="4" t="s">
        <v>10</v>
      </c>
    </row>
    <row r="143" spans="1:6" x14ac:dyDescent="0.2">
      <c r="A143" s="4" t="s">
        <v>153</v>
      </c>
      <c r="B143" s="5">
        <v>200934127</v>
      </c>
      <c r="C143" s="4" t="s">
        <v>181</v>
      </c>
      <c r="D143" s="4" t="s">
        <v>155</v>
      </c>
      <c r="E143" s="6">
        <v>96</v>
      </c>
      <c r="F143" s="4" t="s">
        <v>10</v>
      </c>
    </row>
    <row r="144" spans="1:6" x14ac:dyDescent="0.2">
      <c r="A144" s="4" t="s">
        <v>153</v>
      </c>
      <c r="B144" s="5">
        <v>200934128</v>
      </c>
      <c r="C144" s="4" t="s">
        <v>182</v>
      </c>
      <c r="D144" s="4" t="s">
        <v>155</v>
      </c>
      <c r="E144" s="6">
        <v>60</v>
      </c>
      <c r="F144" s="4" t="s">
        <v>10</v>
      </c>
    </row>
    <row r="145" spans="1:6" x14ac:dyDescent="0.2">
      <c r="A145" s="4" t="s">
        <v>153</v>
      </c>
      <c r="B145" s="5">
        <v>200934129</v>
      </c>
      <c r="C145" s="4" t="s">
        <v>183</v>
      </c>
      <c r="D145" s="4" t="s">
        <v>155</v>
      </c>
      <c r="E145" s="6">
        <v>71</v>
      </c>
      <c r="F145" s="4" t="s">
        <v>10</v>
      </c>
    </row>
    <row r="146" spans="1:6" x14ac:dyDescent="0.2">
      <c r="A146" s="4" t="s">
        <v>153</v>
      </c>
      <c r="B146" s="5">
        <v>200934130</v>
      </c>
      <c r="C146" s="4" t="s">
        <v>184</v>
      </c>
      <c r="D146" s="4" t="s">
        <v>155</v>
      </c>
      <c r="E146" s="6">
        <v>71</v>
      </c>
      <c r="F146" s="4" t="s">
        <v>10</v>
      </c>
    </row>
    <row r="147" spans="1:6" x14ac:dyDescent="0.2">
      <c r="A147" s="4" t="s">
        <v>153</v>
      </c>
      <c r="B147" s="5">
        <v>200934131</v>
      </c>
      <c r="C147" s="4" t="s">
        <v>185</v>
      </c>
      <c r="D147" s="4" t="s">
        <v>155</v>
      </c>
      <c r="E147" s="6">
        <v>97</v>
      </c>
      <c r="F147" s="4" t="s">
        <v>10</v>
      </c>
    </row>
    <row r="148" spans="1:6" x14ac:dyDescent="0.2">
      <c r="A148" s="4" t="s">
        <v>153</v>
      </c>
      <c r="B148" s="5">
        <v>200934132</v>
      </c>
      <c r="C148" s="4" t="s">
        <v>186</v>
      </c>
      <c r="D148" s="4" t="s">
        <v>155</v>
      </c>
      <c r="E148" s="6">
        <v>86</v>
      </c>
      <c r="F148" s="4" t="s">
        <v>10</v>
      </c>
    </row>
    <row r="149" spans="1:6" x14ac:dyDescent="0.2">
      <c r="A149" s="4" t="s">
        <v>153</v>
      </c>
      <c r="B149" s="5">
        <v>200934133</v>
      </c>
      <c r="C149" s="4" t="s">
        <v>187</v>
      </c>
      <c r="D149" s="4" t="s">
        <v>155</v>
      </c>
      <c r="E149" s="6">
        <v>76</v>
      </c>
      <c r="F149" s="4" t="s">
        <v>10</v>
      </c>
    </row>
    <row r="150" spans="1:6" x14ac:dyDescent="0.2">
      <c r="A150" s="4" t="s">
        <v>153</v>
      </c>
      <c r="B150" s="5">
        <v>200934134</v>
      </c>
      <c r="C150" s="4" t="s">
        <v>188</v>
      </c>
      <c r="D150" s="4" t="s">
        <v>155</v>
      </c>
      <c r="E150" s="6">
        <v>89</v>
      </c>
      <c r="F150" s="4" t="s">
        <v>10</v>
      </c>
    </row>
    <row r="151" spans="1:6" x14ac:dyDescent="0.2">
      <c r="A151" s="4" t="s">
        <v>153</v>
      </c>
      <c r="B151" s="5">
        <v>200934135</v>
      </c>
      <c r="C151" s="4" t="s">
        <v>189</v>
      </c>
      <c r="D151" s="4" t="s">
        <v>155</v>
      </c>
      <c r="E151" s="6">
        <v>54</v>
      </c>
      <c r="F151" s="4" t="s">
        <v>10</v>
      </c>
    </row>
    <row r="152" spans="1:6" x14ac:dyDescent="0.2">
      <c r="A152" s="4" t="s">
        <v>153</v>
      </c>
      <c r="B152" s="5">
        <v>200934136</v>
      </c>
      <c r="C152" s="4" t="s">
        <v>190</v>
      </c>
      <c r="D152" s="4" t="s">
        <v>155</v>
      </c>
      <c r="E152" s="6">
        <v>73</v>
      </c>
      <c r="F152" s="4" t="s">
        <v>10</v>
      </c>
    </row>
    <row r="153" spans="1:6" x14ac:dyDescent="0.2">
      <c r="A153" s="4" t="s">
        <v>153</v>
      </c>
      <c r="B153" s="5">
        <v>200934137</v>
      </c>
      <c r="C153" s="4" t="s">
        <v>191</v>
      </c>
      <c r="D153" s="4" t="s">
        <v>155</v>
      </c>
      <c r="E153" s="6">
        <v>74</v>
      </c>
      <c r="F153" s="4" t="s">
        <v>10</v>
      </c>
    </row>
    <row r="154" spans="1:6" x14ac:dyDescent="0.2">
      <c r="A154" s="4" t="s">
        <v>153</v>
      </c>
      <c r="B154" s="5">
        <v>200934138</v>
      </c>
      <c r="C154" s="4" t="s">
        <v>192</v>
      </c>
      <c r="D154" s="4" t="s">
        <v>155</v>
      </c>
      <c r="E154" s="6">
        <v>74</v>
      </c>
      <c r="F154" s="4" t="s">
        <v>10</v>
      </c>
    </row>
    <row r="155" spans="1:6" x14ac:dyDescent="0.2">
      <c r="A155" s="4" t="s">
        <v>153</v>
      </c>
      <c r="B155" s="5">
        <v>200934139</v>
      </c>
      <c r="C155" s="4" t="s">
        <v>193</v>
      </c>
      <c r="D155" s="4" t="s">
        <v>155</v>
      </c>
      <c r="E155" s="6">
        <v>71</v>
      </c>
      <c r="F155" s="4" t="s">
        <v>10</v>
      </c>
    </row>
    <row r="156" spans="1:6" x14ac:dyDescent="0.2">
      <c r="A156" s="4" t="s">
        <v>153</v>
      </c>
      <c r="B156" s="5">
        <v>200934140</v>
      </c>
      <c r="C156" s="4" t="s">
        <v>194</v>
      </c>
      <c r="D156" s="4" t="s">
        <v>155</v>
      </c>
      <c r="E156" s="6">
        <v>80</v>
      </c>
      <c r="F156" s="4" t="s">
        <v>10</v>
      </c>
    </row>
    <row r="157" spans="1:6" x14ac:dyDescent="0.2">
      <c r="A157" s="4" t="s">
        <v>153</v>
      </c>
      <c r="B157" s="5">
        <v>200934141</v>
      </c>
      <c r="C157" s="4" t="s">
        <v>195</v>
      </c>
      <c r="D157" s="4" t="s">
        <v>155</v>
      </c>
      <c r="E157" s="6">
        <v>73</v>
      </c>
      <c r="F157" s="4" t="s">
        <v>10</v>
      </c>
    </row>
    <row r="158" spans="1:6" x14ac:dyDescent="0.2">
      <c r="A158" s="4" t="s">
        <v>153</v>
      </c>
      <c r="B158" s="5">
        <v>200934142</v>
      </c>
      <c r="C158" s="4" t="s">
        <v>196</v>
      </c>
      <c r="D158" s="4" t="s">
        <v>155</v>
      </c>
      <c r="E158" s="6">
        <v>67</v>
      </c>
      <c r="F158" s="4" t="s">
        <v>10</v>
      </c>
    </row>
    <row r="159" spans="1:6" x14ac:dyDescent="0.2">
      <c r="A159" s="4" t="s">
        <v>153</v>
      </c>
      <c r="B159" s="5">
        <v>200934143</v>
      </c>
      <c r="C159" s="4" t="s">
        <v>197</v>
      </c>
      <c r="D159" s="4" t="s">
        <v>155</v>
      </c>
      <c r="E159" s="6">
        <v>61</v>
      </c>
      <c r="F159" s="4" t="s">
        <v>10</v>
      </c>
    </row>
    <row r="160" spans="1:6" x14ac:dyDescent="0.2">
      <c r="A160" s="4" t="s">
        <v>153</v>
      </c>
      <c r="B160" s="5">
        <v>200934144</v>
      </c>
      <c r="C160" s="4" t="s">
        <v>198</v>
      </c>
      <c r="D160" s="4" t="s">
        <v>155</v>
      </c>
      <c r="E160" s="6">
        <v>81</v>
      </c>
      <c r="F160" s="4" t="s">
        <v>10</v>
      </c>
    </row>
    <row r="161" spans="1:6" x14ac:dyDescent="0.2">
      <c r="A161" s="4" t="s">
        <v>153</v>
      </c>
      <c r="B161" s="5">
        <v>200934145</v>
      </c>
      <c r="C161" s="4" t="s">
        <v>199</v>
      </c>
      <c r="D161" s="4" t="s">
        <v>155</v>
      </c>
      <c r="E161" s="6">
        <v>99</v>
      </c>
      <c r="F161" s="4" t="s">
        <v>10</v>
      </c>
    </row>
    <row r="162" spans="1:6" x14ac:dyDescent="0.2">
      <c r="A162" s="4" t="s">
        <v>153</v>
      </c>
      <c r="B162" s="5">
        <v>200934146</v>
      </c>
      <c r="C162" s="4" t="s">
        <v>200</v>
      </c>
      <c r="D162" s="4" t="s">
        <v>155</v>
      </c>
      <c r="E162" s="6">
        <v>77</v>
      </c>
      <c r="F162" s="4" t="s">
        <v>10</v>
      </c>
    </row>
    <row r="163" spans="1:6" x14ac:dyDescent="0.2">
      <c r="A163" s="4" t="s">
        <v>153</v>
      </c>
      <c r="B163" s="5">
        <v>200934201</v>
      </c>
      <c r="C163" s="4" t="s">
        <v>201</v>
      </c>
      <c r="D163" s="4" t="s">
        <v>202</v>
      </c>
      <c r="E163" s="6">
        <v>71</v>
      </c>
      <c r="F163" s="4" t="s">
        <v>10</v>
      </c>
    </row>
    <row r="164" spans="1:6" x14ac:dyDescent="0.2">
      <c r="A164" s="4" t="s">
        <v>153</v>
      </c>
      <c r="B164" s="5">
        <v>200934202</v>
      </c>
      <c r="C164" s="4" t="s">
        <v>203</v>
      </c>
      <c r="D164" s="4" t="s">
        <v>202</v>
      </c>
      <c r="E164" s="6">
        <v>88</v>
      </c>
      <c r="F164" s="4" t="s">
        <v>10</v>
      </c>
    </row>
    <row r="165" spans="1:6" x14ac:dyDescent="0.2">
      <c r="A165" s="4" t="s">
        <v>153</v>
      </c>
      <c r="B165" s="5">
        <v>200934203</v>
      </c>
      <c r="C165" s="4" t="s">
        <v>204</v>
      </c>
      <c r="D165" s="4" t="s">
        <v>202</v>
      </c>
      <c r="E165" s="6">
        <v>70</v>
      </c>
      <c r="F165" s="4" t="s">
        <v>10</v>
      </c>
    </row>
    <row r="166" spans="1:6" x14ac:dyDescent="0.2">
      <c r="A166" s="4" t="s">
        <v>153</v>
      </c>
      <c r="B166" s="5">
        <v>200934204</v>
      </c>
      <c r="C166" s="4" t="s">
        <v>205</v>
      </c>
      <c r="D166" s="4" t="s">
        <v>202</v>
      </c>
      <c r="E166" s="6">
        <v>78</v>
      </c>
      <c r="F166" s="4" t="s">
        <v>10</v>
      </c>
    </row>
    <row r="167" spans="1:6" x14ac:dyDescent="0.2">
      <c r="A167" s="4" t="s">
        <v>153</v>
      </c>
      <c r="B167" s="5">
        <v>200934205</v>
      </c>
      <c r="C167" s="4" t="s">
        <v>206</v>
      </c>
      <c r="D167" s="4" t="s">
        <v>202</v>
      </c>
      <c r="E167" s="6">
        <v>97</v>
      </c>
      <c r="F167" s="4" t="s">
        <v>10</v>
      </c>
    </row>
    <row r="168" spans="1:6" x14ac:dyDescent="0.2">
      <c r="A168" s="4" t="s">
        <v>153</v>
      </c>
      <c r="B168" s="5">
        <v>200934206</v>
      </c>
      <c r="C168" s="4" t="s">
        <v>207</v>
      </c>
      <c r="D168" s="4" t="s">
        <v>202</v>
      </c>
      <c r="E168" s="6">
        <v>74</v>
      </c>
      <c r="F168" s="4" t="s">
        <v>10</v>
      </c>
    </row>
    <row r="169" spans="1:6" x14ac:dyDescent="0.2">
      <c r="A169" s="4" t="s">
        <v>153</v>
      </c>
      <c r="B169" s="5">
        <v>200934207</v>
      </c>
      <c r="C169" s="4" t="s">
        <v>208</v>
      </c>
      <c r="D169" s="4" t="s">
        <v>202</v>
      </c>
      <c r="E169" s="6">
        <v>84</v>
      </c>
      <c r="F169" s="4" t="s">
        <v>10</v>
      </c>
    </row>
    <row r="170" spans="1:6" x14ac:dyDescent="0.2">
      <c r="A170" s="4" t="s">
        <v>153</v>
      </c>
      <c r="B170" s="5">
        <v>200934208</v>
      </c>
      <c r="C170" s="4" t="s">
        <v>209</v>
      </c>
      <c r="D170" s="4" t="s">
        <v>202</v>
      </c>
      <c r="E170" s="6">
        <v>72</v>
      </c>
      <c r="F170" s="4" t="s">
        <v>10</v>
      </c>
    </row>
    <row r="171" spans="1:6" x14ac:dyDescent="0.2">
      <c r="A171" s="4" t="s">
        <v>153</v>
      </c>
      <c r="B171" s="5">
        <v>200934209</v>
      </c>
      <c r="C171" s="4" t="s">
        <v>210</v>
      </c>
      <c r="D171" s="4" t="s">
        <v>202</v>
      </c>
      <c r="E171" s="6">
        <v>78</v>
      </c>
      <c r="F171" s="4" t="s">
        <v>10</v>
      </c>
    </row>
    <row r="172" spans="1:6" x14ac:dyDescent="0.2">
      <c r="A172" s="4" t="s">
        <v>153</v>
      </c>
      <c r="B172" s="5">
        <v>200934210</v>
      </c>
      <c r="C172" s="4" t="s">
        <v>211</v>
      </c>
      <c r="D172" s="4" t="s">
        <v>202</v>
      </c>
      <c r="E172" s="6">
        <v>94</v>
      </c>
      <c r="F172" s="4" t="s">
        <v>10</v>
      </c>
    </row>
    <row r="173" spans="1:6" x14ac:dyDescent="0.2">
      <c r="A173" s="4" t="s">
        <v>153</v>
      </c>
      <c r="B173" s="5">
        <v>200934211</v>
      </c>
      <c r="C173" s="4" t="s">
        <v>212</v>
      </c>
      <c r="D173" s="4" t="s">
        <v>202</v>
      </c>
      <c r="E173" s="6">
        <v>65</v>
      </c>
      <c r="F173" s="4" t="s">
        <v>10</v>
      </c>
    </row>
    <row r="174" spans="1:6" x14ac:dyDescent="0.2">
      <c r="A174" s="4" t="s">
        <v>153</v>
      </c>
      <c r="B174" s="5">
        <v>200934212</v>
      </c>
      <c r="C174" s="4" t="s">
        <v>213</v>
      </c>
      <c r="D174" s="4" t="s">
        <v>202</v>
      </c>
      <c r="E174" s="6">
        <v>95</v>
      </c>
      <c r="F174" s="4" t="s">
        <v>10</v>
      </c>
    </row>
    <row r="175" spans="1:6" x14ac:dyDescent="0.2">
      <c r="A175" s="4" t="s">
        <v>153</v>
      </c>
      <c r="B175" s="5">
        <v>200934213</v>
      </c>
      <c r="C175" s="4" t="s">
        <v>214</v>
      </c>
      <c r="D175" s="4" t="s">
        <v>202</v>
      </c>
      <c r="E175" s="6">
        <v>85</v>
      </c>
      <c r="F175" s="4" t="s">
        <v>10</v>
      </c>
    </row>
    <row r="176" spans="1:6" x14ac:dyDescent="0.2">
      <c r="A176" s="4" t="s">
        <v>153</v>
      </c>
      <c r="B176" s="5">
        <v>200934214</v>
      </c>
      <c r="C176" s="4" t="s">
        <v>215</v>
      </c>
      <c r="D176" s="4" t="s">
        <v>202</v>
      </c>
      <c r="E176" s="6">
        <v>92</v>
      </c>
      <c r="F176" s="4" t="s">
        <v>10</v>
      </c>
    </row>
    <row r="177" spans="1:6" x14ac:dyDescent="0.2">
      <c r="A177" s="4" t="s">
        <v>153</v>
      </c>
      <c r="B177" s="5">
        <v>200934215</v>
      </c>
      <c r="C177" s="4" t="s">
        <v>216</v>
      </c>
      <c r="D177" s="4" t="s">
        <v>202</v>
      </c>
      <c r="E177" s="6">
        <v>85</v>
      </c>
      <c r="F177" s="4" t="s">
        <v>10</v>
      </c>
    </row>
    <row r="178" spans="1:6" x14ac:dyDescent="0.2">
      <c r="A178" s="4" t="s">
        <v>153</v>
      </c>
      <c r="B178" s="5">
        <v>200934216</v>
      </c>
      <c r="C178" s="4" t="s">
        <v>217</v>
      </c>
      <c r="D178" s="4" t="s">
        <v>202</v>
      </c>
      <c r="E178" s="6">
        <v>82</v>
      </c>
      <c r="F178" s="4" t="s">
        <v>10</v>
      </c>
    </row>
    <row r="179" spans="1:6" x14ac:dyDescent="0.2">
      <c r="A179" s="4" t="s">
        <v>153</v>
      </c>
      <c r="B179" s="5">
        <v>200934217</v>
      </c>
      <c r="C179" s="4" t="s">
        <v>218</v>
      </c>
      <c r="D179" s="4" t="s">
        <v>202</v>
      </c>
      <c r="E179" s="6">
        <v>87</v>
      </c>
      <c r="F179" s="4" t="s">
        <v>10</v>
      </c>
    </row>
    <row r="180" spans="1:6" x14ac:dyDescent="0.2">
      <c r="A180" s="4" t="s">
        <v>153</v>
      </c>
      <c r="B180" s="5">
        <v>200934218</v>
      </c>
      <c r="C180" s="4" t="s">
        <v>219</v>
      </c>
      <c r="D180" s="4" t="s">
        <v>202</v>
      </c>
      <c r="E180" s="6">
        <v>92</v>
      </c>
      <c r="F180" s="4" t="s">
        <v>10</v>
      </c>
    </row>
    <row r="181" spans="1:6" x14ac:dyDescent="0.2">
      <c r="A181" s="4" t="s">
        <v>153</v>
      </c>
      <c r="B181" s="5">
        <v>200934219</v>
      </c>
      <c r="C181" s="4" t="s">
        <v>220</v>
      </c>
      <c r="D181" s="4" t="s">
        <v>202</v>
      </c>
      <c r="E181" s="6">
        <v>83</v>
      </c>
      <c r="F181" s="4" t="s">
        <v>10</v>
      </c>
    </row>
    <row r="182" spans="1:6" x14ac:dyDescent="0.2">
      <c r="A182" s="4" t="s">
        <v>153</v>
      </c>
      <c r="B182" s="5">
        <v>200934220</v>
      </c>
      <c r="C182" s="4" t="s">
        <v>221</v>
      </c>
      <c r="D182" s="4" t="s">
        <v>202</v>
      </c>
      <c r="E182" s="6">
        <v>85</v>
      </c>
      <c r="F182" s="4" t="s">
        <v>10</v>
      </c>
    </row>
    <row r="183" spans="1:6" x14ac:dyDescent="0.2">
      <c r="A183" s="4" t="s">
        <v>153</v>
      </c>
      <c r="B183" s="5">
        <v>200934221</v>
      </c>
      <c r="C183" s="4" t="s">
        <v>222</v>
      </c>
      <c r="D183" s="4" t="s">
        <v>202</v>
      </c>
      <c r="E183" s="6">
        <v>74</v>
      </c>
      <c r="F183" s="4" t="s">
        <v>10</v>
      </c>
    </row>
    <row r="184" spans="1:6" x14ac:dyDescent="0.2">
      <c r="A184" s="4" t="s">
        <v>153</v>
      </c>
      <c r="B184" s="5">
        <v>200934222</v>
      </c>
      <c r="C184" s="4" t="s">
        <v>223</v>
      </c>
      <c r="D184" s="4" t="s">
        <v>202</v>
      </c>
      <c r="E184" s="6">
        <v>77</v>
      </c>
      <c r="F184" s="4" t="s">
        <v>10</v>
      </c>
    </row>
    <row r="185" spans="1:6" x14ac:dyDescent="0.2">
      <c r="A185" s="4" t="s">
        <v>153</v>
      </c>
      <c r="B185" s="5">
        <v>200934223</v>
      </c>
      <c r="C185" s="4" t="s">
        <v>224</v>
      </c>
      <c r="D185" s="4" t="s">
        <v>202</v>
      </c>
      <c r="E185" s="6">
        <v>67</v>
      </c>
      <c r="F185" s="4" t="s">
        <v>10</v>
      </c>
    </row>
    <row r="186" spans="1:6" x14ac:dyDescent="0.2">
      <c r="A186" s="4" t="s">
        <v>153</v>
      </c>
      <c r="B186" s="5">
        <v>200934224</v>
      </c>
      <c r="C186" s="4" t="s">
        <v>225</v>
      </c>
      <c r="D186" s="4" t="s">
        <v>202</v>
      </c>
      <c r="E186" s="6">
        <v>99</v>
      </c>
      <c r="F186" s="4" t="s">
        <v>10</v>
      </c>
    </row>
    <row r="187" spans="1:6" x14ac:dyDescent="0.2">
      <c r="A187" s="4" t="s">
        <v>153</v>
      </c>
      <c r="B187" s="5">
        <v>200934225</v>
      </c>
      <c r="C187" s="4" t="s">
        <v>226</v>
      </c>
      <c r="D187" s="4" t="s">
        <v>202</v>
      </c>
      <c r="E187" s="6">
        <v>72</v>
      </c>
      <c r="F187" s="4" t="s">
        <v>10</v>
      </c>
    </row>
    <row r="188" spans="1:6" x14ac:dyDescent="0.2">
      <c r="A188" s="4" t="s">
        <v>153</v>
      </c>
      <c r="B188" s="5">
        <v>200934226</v>
      </c>
      <c r="C188" s="4" t="s">
        <v>227</v>
      </c>
      <c r="D188" s="4" t="s">
        <v>202</v>
      </c>
      <c r="E188" s="6">
        <v>68</v>
      </c>
      <c r="F188" s="4" t="s">
        <v>10</v>
      </c>
    </row>
    <row r="189" spans="1:6" x14ac:dyDescent="0.2">
      <c r="A189" s="4" t="s">
        <v>153</v>
      </c>
      <c r="B189" s="5">
        <v>200934227</v>
      </c>
      <c r="C189" s="4" t="s">
        <v>228</v>
      </c>
      <c r="D189" s="4" t="s">
        <v>202</v>
      </c>
      <c r="E189" s="6">
        <v>87</v>
      </c>
      <c r="F189" s="4" t="s">
        <v>10</v>
      </c>
    </row>
    <row r="190" spans="1:6" x14ac:dyDescent="0.2">
      <c r="A190" s="4" t="s">
        <v>153</v>
      </c>
      <c r="B190" s="5">
        <v>200934228</v>
      </c>
      <c r="C190" s="4" t="s">
        <v>229</v>
      </c>
      <c r="D190" s="4" t="s">
        <v>202</v>
      </c>
      <c r="E190" s="6">
        <v>95</v>
      </c>
      <c r="F190" s="4" t="s">
        <v>10</v>
      </c>
    </row>
    <row r="191" spans="1:6" x14ac:dyDescent="0.2">
      <c r="A191" s="4" t="s">
        <v>153</v>
      </c>
      <c r="B191" s="5">
        <v>200934229</v>
      </c>
      <c r="C191" s="4" t="s">
        <v>230</v>
      </c>
      <c r="D191" s="4" t="s">
        <v>202</v>
      </c>
      <c r="E191" s="6">
        <v>75</v>
      </c>
      <c r="F191" s="4" t="s">
        <v>10</v>
      </c>
    </row>
    <row r="192" spans="1:6" x14ac:dyDescent="0.2">
      <c r="A192" s="4" t="s">
        <v>153</v>
      </c>
      <c r="B192" s="5">
        <v>200934230</v>
      </c>
      <c r="C192" s="4" t="s">
        <v>231</v>
      </c>
      <c r="D192" s="4" t="s">
        <v>202</v>
      </c>
      <c r="E192" s="6">
        <v>90</v>
      </c>
      <c r="F192" s="4" t="s">
        <v>10</v>
      </c>
    </row>
    <row r="193" spans="1:6" x14ac:dyDescent="0.2">
      <c r="A193" s="4" t="s">
        <v>153</v>
      </c>
      <c r="B193" s="5">
        <v>200934231</v>
      </c>
      <c r="C193" s="4" t="s">
        <v>232</v>
      </c>
      <c r="D193" s="4" t="s">
        <v>202</v>
      </c>
      <c r="E193" s="6">
        <v>59</v>
      </c>
      <c r="F193" s="4" t="s">
        <v>10</v>
      </c>
    </row>
    <row r="194" spans="1:6" x14ac:dyDescent="0.2">
      <c r="A194" s="4" t="s">
        <v>153</v>
      </c>
      <c r="B194" s="5">
        <v>200934232</v>
      </c>
      <c r="C194" s="4" t="s">
        <v>233</v>
      </c>
      <c r="D194" s="4" t="s">
        <v>202</v>
      </c>
      <c r="E194" s="6">
        <v>60</v>
      </c>
      <c r="F194" s="4" t="s">
        <v>54</v>
      </c>
    </row>
    <row r="195" spans="1:6" x14ac:dyDescent="0.2">
      <c r="A195" s="4" t="s">
        <v>153</v>
      </c>
      <c r="B195" s="5">
        <v>200934233</v>
      </c>
      <c r="C195" s="4" t="s">
        <v>234</v>
      </c>
      <c r="D195" s="4" t="s">
        <v>202</v>
      </c>
      <c r="E195" s="6">
        <v>68</v>
      </c>
      <c r="F195" s="4" t="s">
        <v>10</v>
      </c>
    </row>
    <row r="196" spans="1:6" x14ac:dyDescent="0.2">
      <c r="A196" s="4" t="s">
        <v>153</v>
      </c>
      <c r="B196" s="5">
        <v>200934234</v>
      </c>
      <c r="C196" s="4" t="s">
        <v>235</v>
      </c>
      <c r="D196" s="4" t="s">
        <v>202</v>
      </c>
      <c r="E196" s="6">
        <v>88</v>
      </c>
      <c r="F196" s="4" t="s">
        <v>10</v>
      </c>
    </row>
    <row r="197" spans="1:6" x14ac:dyDescent="0.2">
      <c r="A197" s="4" t="s">
        <v>153</v>
      </c>
      <c r="B197" s="5">
        <v>200934235</v>
      </c>
      <c r="C197" s="4" t="s">
        <v>236</v>
      </c>
      <c r="D197" s="4" t="s">
        <v>202</v>
      </c>
      <c r="E197" s="6">
        <v>87</v>
      </c>
      <c r="F197" s="4" t="s">
        <v>10</v>
      </c>
    </row>
    <row r="198" spans="1:6" x14ac:dyDescent="0.2">
      <c r="A198" s="4" t="s">
        <v>153</v>
      </c>
      <c r="B198" s="5">
        <v>200934236</v>
      </c>
      <c r="C198" s="4" t="s">
        <v>237</v>
      </c>
      <c r="D198" s="4" t="s">
        <v>202</v>
      </c>
      <c r="E198" s="6">
        <v>68</v>
      </c>
      <c r="F198" s="4" t="s">
        <v>10</v>
      </c>
    </row>
    <row r="199" spans="1:6" x14ac:dyDescent="0.2">
      <c r="A199" s="4" t="s">
        <v>153</v>
      </c>
      <c r="B199" s="5">
        <v>200934237</v>
      </c>
      <c r="C199" s="4" t="s">
        <v>238</v>
      </c>
      <c r="D199" s="4" t="s">
        <v>202</v>
      </c>
      <c r="E199" s="6">
        <v>84</v>
      </c>
      <c r="F199" s="4" t="s">
        <v>10</v>
      </c>
    </row>
    <row r="200" spans="1:6" x14ac:dyDescent="0.2">
      <c r="A200" s="4" t="s">
        <v>153</v>
      </c>
      <c r="B200" s="5">
        <v>200934238</v>
      </c>
      <c r="C200" s="4" t="s">
        <v>239</v>
      </c>
      <c r="D200" s="4" t="s">
        <v>202</v>
      </c>
      <c r="E200" s="6">
        <v>79</v>
      </c>
      <c r="F200" s="4" t="s">
        <v>10</v>
      </c>
    </row>
    <row r="201" spans="1:6" x14ac:dyDescent="0.2">
      <c r="A201" s="4" t="s">
        <v>153</v>
      </c>
      <c r="B201" s="5">
        <v>200934239</v>
      </c>
      <c r="C201" s="4" t="s">
        <v>240</v>
      </c>
      <c r="D201" s="4" t="s">
        <v>202</v>
      </c>
      <c r="E201" s="6">
        <v>78</v>
      </c>
      <c r="F201" s="4" t="s">
        <v>10</v>
      </c>
    </row>
    <row r="202" spans="1:6" x14ac:dyDescent="0.2">
      <c r="A202" s="4" t="s">
        <v>153</v>
      </c>
      <c r="B202" s="5">
        <v>200934240</v>
      </c>
      <c r="C202" s="4" t="s">
        <v>241</v>
      </c>
      <c r="D202" s="4" t="s">
        <v>202</v>
      </c>
      <c r="E202" s="6">
        <v>77</v>
      </c>
      <c r="F202" s="4" t="s">
        <v>10</v>
      </c>
    </row>
    <row r="203" spans="1:6" x14ac:dyDescent="0.2">
      <c r="A203" s="4" t="s">
        <v>153</v>
      </c>
      <c r="B203" s="5">
        <v>200934241</v>
      </c>
      <c r="C203" s="4" t="s">
        <v>242</v>
      </c>
      <c r="D203" s="4" t="s">
        <v>202</v>
      </c>
      <c r="E203" s="6">
        <v>72</v>
      </c>
      <c r="F203" s="4" t="s">
        <v>10</v>
      </c>
    </row>
    <row r="204" spans="1:6" x14ac:dyDescent="0.2">
      <c r="A204" s="4" t="s">
        <v>153</v>
      </c>
      <c r="B204" s="5">
        <v>200934242</v>
      </c>
      <c r="C204" s="4" t="s">
        <v>243</v>
      </c>
      <c r="D204" s="4" t="s">
        <v>202</v>
      </c>
      <c r="E204" s="6">
        <v>100</v>
      </c>
      <c r="F204" s="4" t="s">
        <v>10</v>
      </c>
    </row>
    <row r="205" spans="1:6" x14ac:dyDescent="0.2">
      <c r="A205" s="4" t="s">
        <v>153</v>
      </c>
      <c r="B205" s="5">
        <v>200934243</v>
      </c>
      <c r="C205" s="4" t="s">
        <v>244</v>
      </c>
      <c r="D205" s="4" t="s">
        <v>202</v>
      </c>
      <c r="E205" s="6">
        <v>75</v>
      </c>
      <c r="F205" s="4" t="s">
        <v>10</v>
      </c>
    </row>
    <row r="206" spans="1:6" x14ac:dyDescent="0.2">
      <c r="A206" s="4" t="s">
        <v>153</v>
      </c>
      <c r="B206" s="5">
        <v>200934244</v>
      </c>
      <c r="C206" s="4" t="s">
        <v>245</v>
      </c>
      <c r="D206" s="4" t="s">
        <v>202</v>
      </c>
      <c r="E206" s="6">
        <v>63</v>
      </c>
      <c r="F206" s="4" t="s">
        <v>10</v>
      </c>
    </row>
    <row r="207" spans="1:6" x14ac:dyDescent="0.2">
      <c r="A207" s="4" t="s">
        <v>153</v>
      </c>
      <c r="B207" s="5">
        <v>200934245</v>
      </c>
      <c r="C207" s="4" t="s">
        <v>246</v>
      </c>
      <c r="D207" s="4" t="s">
        <v>202</v>
      </c>
      <c r="E207" s="6">
        <v>50</v>
      </c>
      <c r="F207" s="4" t="s">
        <v>10</v>
      </c>
    </row>
    <row r="208" spans="1:6" x14ac:dyDescent="0.2">
      <c r="A208" s="4" t="s">
        <v>153</v>
      </c>
      <c r="B208" s="5">
        <v>200934246</v>
      </c>
      <c r="C208" s="4" t="s">
        <v>247</v>
      </c>
      <c r="D208" s="4" t="s">
        <v>202</v>
      </c>
      <c r="E208" s="6">
        <v>72</v>
      </c>
      <c r="F208" s="4" t="s">
        <v>10</v>
      </c>
    </row>
    <row r="209" spans="1:6" x14ac:dyDescent="0.2">
      <c r="A209" s="4" t="s">
        <v>153</v>
      </c>
      <c r="B209" s="5">
        <v>200934301</v>
      </c>
      <c r="C209" s="4" t="s">
        <v>248</v>
      </c>
      <c r="D209" s="4" t="s">
        <v>249</v>
      </c>
      <c r="E209" s="6">
        <v>90</v>
      </c>
      <c r="F209" s="4" t="s">
        <v>10</v>
      </c>
    </row>
    <row r="210" spans="1:6" x14ac:dyDescent="0.2">
      <c r="A210" s="4" t="s">
        <v>153</v>
      </c>
      <c r="B210" s="5">
        <v>200934302</v>
      </c>
      <c r="C210" s="4" t="s">
        <v>250</v>
      </c>
      <c r="D210" s="4" t="s">
        <v>249</v>
      </c>
      <c r="E210" s="6">
        <v>87</v>
      </c>
      <c r="F210" s="4" t="s">
        <v>10</v>
      </c>
    </row>
    <row r="211" spans="1:6" x14ac:dyDescent="0.2">
      <c r="A211" s="4" t="s">
        <v>153</v>
      </c>
      <c r="B211" s="5">
        <v>200934303</v>
      </c>
      <c r="C211" s="4" t="s">
        <v>251</v>
      </c>
      <c r="D211" s="4" t="s">
        <v>249</v>
      </c>
      <c r="E211" s="6">
        <v>78</v>
      </c>
      <c r="F211" s="4" t="s">
        <v>54</v>
      </c>
    </row>
    <row r="212" spans="1:6" x14ac:dyDescent="0.2">
      <c r="A212" s="4" t="s">
        <v>153</v>
      </c>
      <c r="B212" s="5">
        <v>200934304</v>
      </c>
      <c r="C212" s="4" t="s">
        <v>252</v>
      </c>
      <c r="D212" s="4" t="s">
        <v>249</v>
      </c>
      <c r="E212" s="6">
        <v>77</v>
      </c>
      <c r="F212" s="4" t="s">
        <v>10</v>
      </c>
    </row>
    <row r="213" spans="1:6" x14ac:dyDescent="0.2">
      <c r="A213" s="4" t="s">
        <v>153</v>
      </c>
      <c r="B213" s="5">
        <v>200934305</v>
      </c>
      <c r="C213" s="4" t="s">
        <v>253</v>
      </c>
      <c r="D213" s="4" t="s">
        <v>249</v>
      </c>
      <c r="E213" s="6">
        <v>78</v>
      </c>
      <c r="F213" s="4" t="s">
        <v>10</v>
      </c>
    </row>
    <row r="214" spans="1:6" x14ac:dyDescent="0.2">
      <c r="A214" s="4" t="s">
        <v>153</v>
      </c>
      <c r="B214" s="5">
        <v>200934306</v>
      </c>
      <c r="C214" s="4" t="s">
        <v>254</v>
      </c>
      <c r="D214" s="4" t="s">
        <v>249</v>
      </c>
      <c r="E214" s="6">
        <v>69</v>
      </c>
      <c r="F214" s="4" t="s">
        <v>10</v>
      </c>
    </row>
    <row r="215" spans="1:6" x14ac:dyDescent="0.2">
      <c r="A215" s="4" t="s">
        <v>153</v>
      </c>
      <c r="B215" s="5">
        <v>200934307</v>
      </c>
      <c r="C215" s="4" t="s">
        <v>255</v>
      </c>
      <c r="D215" s="4" t="s">
        <v>249</v>
      </c>
      <c r="E215" s="6">
        <v>64</v>
      </c>
      <c r="F215" s="4" t="s">
        <v>10</v>
      </c>
    </row>
    <row r="216" spans="1:6" x14ac:dyDescent="0.2">
      <c r="A216" s="4" t="s">
        <v>153</v>
      </c>
      <c r="B216" s="5">
        <v>200934308</v>
      </c>
      <c r="C216" s="4" t="s">
        <v>256</v>
      </c>
      <c r="D216" s="4" t="s">
        <v>249</v>
      </c>
      <c r="E216" s="6">
        <v>77</v>
      </c>
      <c r="F216" s="4" t="s">
        <v>10</v>
      </c>
    </row>
    <row r="217" spans="1:6" x14ac:dyDescent="0.2">
      <c r="A217" s="4" t="s">
        <v>153</v>
      </c>
      <c r="B217" s="5">
        <v>200934309</v>
      </c>
      <c r="C217" s="4" t="s">
        <v>257</v>
      </c>
      <c r="D217" s="4" t="s">
        <v>249</v>
      </c>
      <c r="E217" s="6">
        <v>62</v>
      </c>
      <c r="F217" s="4" t="s">
        <v>10</v>
      </c>
    </row>
    <row r="218" spans="1:6" x14ac:dyDescent="0.2">
      <c r="A218" s="4" t="s">
        <v>153</v>
      </c>
      <c r="B218" s="5">
        <v>200934310</v>
      </c>
      <c r="C218" s="4" t="s">
        <v>258</v>
      </c>
      <c r="D218" s="4" t="s">
        <v>249</v>
      </c>
      <c r="E218" s="6">
        <v>92</v>
      </c>
      <c r="F218" s="4" t="s">
        <v>10</v>
      </c>
    </row>
    <row r="219" spans="1:6" x14ac:dyDescent="0.2">
      <c r="A219" s="4" t="s">
        <v>153</v>
      </c>
      <c r="B219" s="5">
        <v>200934311</v>
      </c>
      <c r="C219" s="4" t="s">
        <v>259</v>
      </c>
      <c r="D219" s="4" t="s">
        <v>249</v>
      </c>
      <c r="E219" s="6">
        <v>89</v>
      </c>
      <c r="F219" s="4" t="s">
        <v>10</v>
      </c>
    </row>
    <row r="220" spans="1:6" x14ac:dyDescent="0.2">
      <c r="A220" s="4" t="s">
        <v>153</v>
      </c>
      <c r="B220" s="5">
        <v>200934312</v>
      </c>
      <c r="C220" s="4" t="s">
        <v>260</v>
      </c>
      <c r="D220" s="4" t="s">
        <v>249</v>
      </c>
      <c r="E220" s="6">
        <v>82</v>
      </c>
      <c r="F220" s="4" t="s">
        <v>54</v>
      </c>
    </row>
    <row r="221" spans="1:6" x14ac:dyDescent="0.2">
      <c r="A221" s="4" t="s">
        <v>153</v>
      </c>
      <c r="B221" s="5">
        <v>200934313</v>
      </c>
      <c r="C221" s="4" t="s">
        <v>261</v>
      </c>
      <c r="D221" s="4" t="s">
        <v>249</v>
      </c>
      <c r="E221" s="6">
        <v>85</v>
      </c>
      <c r="F221" s="4" t="s">
        <v>10</v>
      </c>
    </row>
    <row r="222" spans="1:6" x14ac:dyDescent="0.2">
      <c r="A222" s="4" t="s">
        <v>153</v>
      </c>
      <c r="B222" s="5">
        <v>200934314</v>
      </c>
      <c r="C222" s="4" t="s">
        <v>262</v>
      </c>
      <c r="D222" s="4" t="s">
        <v>249</v>
      </c>
      <c r="E222" s="6">
        <v>73</v>
      </c>
      <c r="F222" s="4" t="s">
        <v>10</v>
      </c>
    </row>
    <row r="223" spans="1:6" x14ac:dyDescent="0.2">
      <c r="A223" s="4" t="s">
        <v>153</v>
      </c>
      <c r="B223" s="5">
        <v>200934315</v>
      </c>
      <c r="C223" s="4" t="s">
        <v>263</v>
      </c>
      <c r="D223" s="4" t="s">
        <v>249</v>
      </c>
      <c r="E223" s="6">
        <v>92</v>
      </c>
      <c r="F223" s="4" t="s">
        <v>10</v>
      </c>
    </row>
    <row r="224" spans="1:6" x14ac:dyDescent="0.2">
      <c r="A224" s="4" t="s">
        <v>153</v>
      </c>
      <c r="B224" s="5">
        <v>200934316</v>
      </c>
      <c r="C224" s="4" t="s">
        <v>264</v>
      </c>
      <c r="D224" s="4" t="s">
        <v>249</v>
      </c>
      <c r="E224" s="6">
        <v>71</v>
      </c>
      <c r="F224" s="4" t="s">
        <v>10</v>
      </c>
    </row>
    <row r="225" spans="1:6" x14ac:dyDescent="0.2">
      <c r="A225" s="4" t="s">
        <v>153</v>
      </c>
      <c r="B225" s="5">
        <v>200934317</v>
      </c>
      <c r="C225" s="4" t="s">
        <v>265</v>
      </c>
      <c r="D225" s="4" t="s">
        <v>249</v>
      </c>
      <c r="E225" s="6">
        <v>85</v>
      </c>
      <c r="F225" s="4" t="s">
        <v>10</v>
      </c>
    </row>
    <row r="226" spans="1:6" x14ac:dyDescent="0.2">
      <c r="A226" s="4" t="s">
        <v>153</v>
      </c>
      <c r="B226" s="5">
        <v>200934318</v>
      </c>
      <c r="C226" s="4" t="s">
        <v>266</v>
      </c>
      <c r="D226" s="4" t="s">
        <v>249</v>
      </c>
      <c r="E226" s="6">
        <v>79</v>
      </c>
      <c r="F226" s="4" t="s">
        <v>10</v>
      </c>
    </row>
    <row r="227" spans="1:6" x14ac:dyDescent="0.2">
      <c r="A227" s="4" t="s">
        <v>153</v>
      </c>
      <c r="B227" s="5">
        <v>200934319</v>
      </c>
      <c r="C227" s="4" t="s">
        <v>267</v>
      </c>
      <c r="D227" s="4" t="s">
        <v>249</v>
      </c>
      <c r="E227" s="6">
        <v>73</v>
      </c>
      <c r="F227" s="4" t="s">
        <v>10</v>
      </c>
    </row>
    <row r="228" spans="1:6" x14ac:dyDescent="0.2">
      <c r="A228" s="4" t="s">
        <v>153</v>
      </c>
      <c r="B228" s="5">
        <v>200934320</v>
      </c>
      <c r="C228" s="4" t="s">
        <v>268</v>
      </c>
      <c r="D228" s="4" t="s">
        <v>249</v>
      </c>
      <c r="E228" s="6">
        <v>75</v>
      </c>
      <c r="F228" s="4" t="s">
        <v>10</v>
      </c>
    </row>
    <row r="229" spans="1:6" x14ac:dyDescent="0.2">
      <c r="A229" s="4" t="s">
        <v>153</v>
      </c>
      <c r="B229" s="5">
        <v>200934321</v>
      </c>
      <c r="C229" s="4" t="s">
        <v>269</v>
      </c>
      <c r="D229" s="4" t="s">
        <v>249</v>
      </c>
      <c r="E229" s="6">
        <v>82</v>
      </c>
      <c r="F229" s="4" t="s">
        <v>10</v>
      </c>
    </row>
    <row r="230" spans="1:6" x14ac:dyDescent="0.2">
      <c r="A230" s="4" t="s">
        <v>153</v>
      </c>
      <c r="B230" s="5">
        <v>200934322</v>
      </c>
      <c r="C230" s="4" t="s">
        <v>270</v>
      </c>
      <c r="D230" s="4" t="s">
        <v>249</v>
      </c>
      <c r="E230" s="6">
        <v>67</v>
      </c>
      <c r="F230" s="4" t="s">
        <v>10</v>
      </c>
    </row>
    <row r="231" spans="1:6" x14ac:dyDescent="0.2">
      <c r="A231" s="4" t="s">
        <v>153</v>
      </c>
      <c r="B231" s="5">
        <v>200934323</v>
      </c>
      <c r="C231" s="4" t="s">
        <v>271</v>
      </c>
      <c r="D231" s="4" t="s">
        <v>249</v>
      </c>
      <c r="E231" s="6">
        <v>79</v>
      </c>
      <c r="F231" s="4" t="s">
        <v>10</v>
      </c>
    </row>
    <row r="232" spans="1:6" x14ac:dyDescent="0.2">
      <c r="A232" s="4" t="s">
        <v>153</v>
      </c>
      <c r="B232" s="5">
        <v>200934324</v>
      </c>
      <c r="C232" s="4" t="s">
        <v>272</v>
      </c>
      <c r="D232" s="4" t="s">
        <v>249</v>
      </c>
      <c r="E232" s="6">
        <v>82</v>
      </c>
      <c r="F232" s="4" t="s">
        <v>10</v>
      </c>
    </row>
    <row r="233" spans="1:6" x14ac:dyDescent="0.2">
      <c r="A233" s="4" t="s">
        <v>153</v>
      </c>
      <c r="B233" s="5">
        <v>200934325</v>
      </c>
      <c r="C233" s="4" t="s">
        <v>273</v>
      </c>
      <c r="D233" s="4" t="s">
        <v>249</v>
      </c>
      <c r="E233" s="6">
        <v>89</v>
      </c>
      <c r="F233" s="4" t="s">
        <v>10</v>
      </c>
    </row>
    <row r="234" spans="1:6" x14ac:dyDescent="0.2">
      <c r="A234" s="4" t="s">
        <v>153</v>
      </c>
      <c r="B234" s="5">
        <v>200934326</v>
      </c>
      <c r="C234" s="4" t="s">
        <v>274</v>
      </c>
      <c r="D234" s="4" t="s">
        <v>249</v>
      </c>
      <c r="E234" s="6">
        <v>82</v>
      </c>
      <c r="F234" s="4" t="s">
        <v>10</v>
      </c>
    </row>
    <row r="235" spans="1:6" x14ac:dyDescent="0.2">
      <c r="A235" s="4" t="s">
        <v>153</v>
      </c>
      <c r="B235" s="5">
        <v>200934327</v>
      </c>
      <c r="C235" s="4" t="s">
        <v>275</v>
      </c>
      <c r="D235" s="4" t="s">
        <v>249</v>
      </c>
      <c r="E235" s="6">
        <v>72</v>
      </c>
      <c r="F235" s="4" t="s">
        <v>10</v>
      </c>
    </row>
    <row r="236" spans="1:6" x14ac:dyDescent="0.2">
      <c r="A236" s="4" t="s">
        <v>153</v>
      </c>
      <c r="B236" s="5">
        <v>200934328</v>
      </c>
      <c r="C236" s="4" t="s">
        <v>276</v>
      </c>
      <c r="D236" s="4" t="s">
        <v>249</v>
      </c>
      <c r="E236" s="6">
        <v>64</v>
      </c>
      <c r="F236" s="4" t="s">
        <v>10</v>
      </c>
    </row>
    <row r="237" spans="1:6" x14ac:dyDescent="0.2">
      <c r="A237" s="4" t="s">
        <v>153</v>
      </c>
      <c r="B237" s="5">
        <v>200934329</v>
      </c>
      <c r="C237" s="4" t="s">
        <v>277</v>
      </c>
      <c r="D237" s="4" t="s">
        <v>249</v>
      </c>
      <c r="E237" s="6">
        <v>88</v>
      </c>
      <c r="F237" s="4" t="s">
        <v>10</v>
      </c>
    </row>
    <row r="238" spans="1:6" x14ac:dyDescent="0.2">
      <c r="A238" s="4" t="s">
        <v>153</v>
      </c>
      <c r="B238" s="5">
        <v>200934330</v>
      </c>
      <c r="C238" s="4" t="s">
        <v>278</v>
      </c>
      <c r="D238" s="4" t="s">
        <v>249</v>
      </c>
      <c r="E238" s="6">
        <v>97</v>
      </c>
      <c r="F238" s="4" t="s">
        <v>10</v>
      </c>
    </row>
    <row r="239" spans="1:6" x14ac:dyDescent="0.2">
      <c r="A239" s="4" t="s">
        <v>153</v>
      </c>
      <c r="B239" s="5">
        <v>200934331</v>
      </c>
      <c r="C239" s="4" t="s">
        <v>279</v>
      </c>
      <c r="D239" s="4" t="s">
        <v>249</v>
      </c>
      <c r="E239" s="6">
        <v>61</v>
      </c>
      <c r="F239" s="4" t="s">
        <v>10</v>
      </c>
    </row>
    <row r="240" spans="1:6" x14ac:dyDescent="0.2">
      <c r="A240" s="4" t="s">
        <v>153</v>
      </c>
      <c r="B240" s="5">
        <v>200934332</v>
      </c>
      <c r="C240" s="4" t="s">
        <v>280</v>
      </c>
      <c r="D240" s="4" t="s">
        <v>249</v>
      </c>
      <c r="E240" s="6">
        <v>76</v>
      </c>
      <c r="F240" s="4" t="s">
        <v>10</v>
      </c>
    </row>
    <row r="241" spans="1:6" x14ac:dyDescent="0.2">
      <c r="A241" s="4" t="s">
        <v>153</v>
      </c>
      <c r="B241" s="5">
        <v>200934333</v>
      </c>
      <c r="C241" s="4" t="s">
        <v>281</v>
      </c>
      <c r="D241" s="4" t="s">
        <v>249</v>
      </c>
      <c r="E241" s="6">
        <v>64</v>
      </c>
      <c r="F241" s="4" t="s">
        <v>10</v>
      </c>
    </row>
    <row r="242" spans="1:6" x14ac:dyDescent="0.2">
      <c r="A242" s="4" t="s">
        <v>153</v>
      </c>
      <c r="B242" s="5">
        <v>200934334</v>
      </c>
      <c r="C242" s="4" t="s">
        <v>282</v>
      </c>
      <c r="D242" s="4" t="s">
        <v>249</v>
      </c>
      <c r="E242" s="6">
        <v>81</v>
      </c>
      <c r="F242" s="4" t="s">
        <v>10</v>
      </c>
    </row>
    <row r="243" spans="1:6" x14ac:dyDescent="0.2">
      <c r="A243" s="4" t="s">
        <v>153</v>
      </c>
      <c r="B243" s="5">
        <v>200934335</v>
      </c>
      <c r="C243" s="4" t="s">
        <v>283</v>
      </c>
      <c r="D243" s="4" t="s">
        <v>249</v>
      </c>
      <c r="E243" s="6">
        <v>89</v>
      </c>
      <c r="F243" s="4" t="s">
        <v>54</v>
      </c>
    </row>
    <row r="244" spans="1:6" x14ac:dyDescent="0.2">
      <c r="A244" s="4" t="s">
        <v>153</v>
      </c>
      <c r="B244" s="5">
        <v>200934336</v>
      </c>
      <c r="C244" s="4" t="s">
        <v>284</v>
      </c>
      <c r="D244" s="4" t="s">
        <v>249</v>
      </c>
      <c r="E244" s="6">
        <v>83</v>
      </c>
      <c r="F244" s="4" t="s">
        <v>10</v>
      </c>
    </row>
    <row r="245" spans="1:6" x14ac:dyDescent="0.2">
      <c r="A245" s="4" t="s">
        <v>153</v>
      </c>
      <c r="B245" s="5">
        <v>200934337</v>
      </c>
      <c r="C245" s="4" t="s">
        <v>285</v>
      </c>
      <c r="D245" s="4" t="s">
        <v>249</v>
      </c>
      <c r="E245" s="6">
        <v>88</v>
      </c>
      <c r="F245" s="4" t="s">
        <v>10</v>
      </c>
    </row>
    <row r="246" spans="1:6" x14ac:dyDescent="0.2">
      <c r="A246" s="4" t="s">
        <v>153</v>
      </c>
      <c r="B246" s="5">
        <v>200934338</v>
      </c>
      <c r="C246" s="4" t="s">
        <v>286</v>
      </c>
      <c r="D246" s="4" t="s">
        <v>249</v>
      </c>
      <c r="E246" s="6">
        <v>81</v>
      </c>
      <c r="F246" s="4" t="s">
        <v>10</v>
      </c>
    </row>
    <row r="247" spans="1:6" x14ac:dyDescent="0.2">
      <c r="A247" s="4" t="s">
        <v>153</v>
      </c>
      <c r="B247" s="5">
        <v>200934339</v>
      </c>
      <c r="C247" s="4" t="s">
        <v>287</v>
      </c>
      <c r="D247" s="4" t="s">
        <v>249</v>
      </c>
      <c r="E247" s="6">
        <v>81</v>
      </c>
      <c r="F247" s="4" t="s">
        <v>10</v>
      </c>
    </row>
    <row r="248" spans="1:6" x14ac:dyDescent="0.2">
      <c r="A248" s="4" t="s">
        <v>153</v>
      </c>
      <c r="B248" s="5">
        <v>200934340</v>
      </c>
      <c r="C248" s="4" t="s">
        <v>288</v>
      </c>
      <c r="D248" s="4" t="s">
        <v>249</v>
      </c>
      <c r="E248" s="6">
        <v>68</v>
      </c>
      <c r="F248" s="4" t="s">
        <v>10</v>
      </c>
    </row>
    <row r="249" spans="1:6" x14ac:dyDescent="0.2">
      <c r="A249" s="4" t="s">
        <v>153</v>
      </c>
      <c r="B249" s="5">
        <v>200934341</v>
      </c>
      <c r="C249" s="4" t="s">
        <v>289</v>
      </c>
      <c r="D249" s="4" t="s">
        <v>249</v>
      </c>
      <c r="E249" s="6">
        <v>68</v>
      </c>
      <c r="F249" s="4" t="s">
        <v>10</v>
      </c>
    </row>
    <row r="250" spans="1:6" x14ac:dyDescent="0.2">
      <c r="A250" s="4" t="s">
        <v>153</v>
      </c>
      <c r="B250" s="5">
        <v>200934342</v>
      </c>
      <c r="C250" s="4" t="s">
        <v>290</v>
      </c>
      <c r="D250" s="4" t="s">
        <v>249</v>
      </c>
      <c r="E250" s="6">
        <v>70</v>
      </c>
      <c r="F250" s="4" t="s">
        <v>10</v>
      </c>
    </row>
    <row r="251" spans="1:6" x14ac:dyDescent="0.2">
      <c r="A251" s="4" t="s">
        <v>153</v>
      </c>
      <c r="B251" s="5">
        <v>200934343</v>
      </c>
      <c r="C251" s="4" t="s">
        <v>291</v>
      </c>
      <c r="D251" s="4" t="s">
        <v>249</v>
      </c>
      <c r="E251" s="6">
        <v>79</v>
      </c>
      <c r="F251" s="4" t="s">
        <v>10</v>
      </c>
    </row>
    <row r="252" spans="1:6" x14ac:dyDescent="0.2">
      <c r="A252" s="4" t="s">
        <v>153</v>
      </c>
      <c r="B252" s="5">
        <v>200934344</v>
      </c>
      <c r="C252" s="4" t="s">
        <v>292</v>
      </c>
      <c r="D252" s="4" t="s">
        <v>249</v>
      </c>
      <c r="E252" s="6">
        <v>100</v>
      </c>
      <c r="F252" s="4" t="s">
        <v>10</v>
      </c>
    </row>
    <row r="253" spans="1:6" x14ac:dyDescent="0.2">
      <c r="A253" s="4" t="s">
        <v>153</v>
      </c>
      <c r="B253" s="5">
        <v>200934345</v>
      </c>
      <c r="C253" s="4" t="s">
        <v>293</v>
      </c>
      <c r="D253" s="4" t="s">
        <v>249</v>
      </c>
      <c r="E253" s="6">
        <v>27</v>
      </c>
      <c r="F253" s="4" t="s">
        <v>10</v>
      </c>
    </row>
    <row r="254" spans="1:6" x14ac:dyDescent="0.2">
      <c r="A254" s="4" t="s">
        <v>153</v>
      </c>
      <c r="B254" s="5">
        <v>200934346</v>
      </c>
      <c r="C254" s="4" t="s">
        <v>294</v>
      </c>
      <c r="D254" s="4" t="s">
        <v>249</v>
      </c>
      <c r="E254" s="6">
        <v>54</v>
      </c>
      <c r="F254" s="4" t="s">
        <v>54</v>
      </c>
    </row>
    <row r="255" spans="1:6" x14ac:dyDescent="0.2">
      <c r="A255" s="4" t="s">
        <v>295</v>
      </c>
      <c r="B255" s="5">
        <v>200936101</v>
      </c>
      <c r="C255" s="4" t="s">
        <v>296</v>
      </c>
      <c r="D255" s="4" t="s">
        <v>297</v>
      </c>
      <c r="E255" s="6">
        <v>70</v>
      </c>
      <c r="F255" s="4" t="s">
        <v>10</v>
      </c>
    </row>
    <row r="256" spans="1:6" x14ac:dyDescent="0.2">
      <c r="A256" s="4" t="s">
        <v>295</v>
      </c>
      <c r="B256" s="5">
        <v>200936102</v>
      </c>
      <c r="C256" s="4" t="s">
        <v>298</v>
      </c>
      <c r="D256" s="4" t="s">
        <v>297</v>
      </c>
      <c r="E256" s="6">
        <v>66</v>
      </c>
      <c r="F256" s="4" t="s">
        <v>10</v>
      </c>
    </row>
    <row r="257" spans="1:6" x14ac:dyDescent="0.2">
      <c r="A257" s="4" t="s">
        <v>295</v>
      </c>
      <c r="B257" s="5">
        <v>200936103</v>
      </c>
      <c r="C257" s="4" t="s">
        <v>299</v>
      </c>
      <c r="D257" s="4" t="s">
        <v>297</v>
      </c>
      <c r="E257" s="6">
        <v>36</v>
      </c>
      <c r="F257" s="4" t="s">
        <v>10</v>
      </c>
    </row>
    <row r="258" spans="1:6" x14ac:dyDescent="0.2">
      <c r="A258" s="4" t="s">
        <v>295</v>
      </c>
      <c r="B258" s="5">
        <v>200936104</v>
      </c>
      <c r="C258" s="4" t="s">
        <v>300</v>
      </c>
      <c r="D258" s="4" t="s">
        <v>297</v>
      </c>
      <c r="E258" s="6">
        <v>65</v>
      </c>
      <c r="F258" s="4" t="s">
        <v>10</v>
      </c>
    </row>
    <row r="259" spans="1:6" x14ac:dyDescent="0.2">
      <c r="A259" s="4" t="s">
        <v>295</v>
      </c>
      <c r="B259" s="5">
        <v>200936105</v>
      </c>
      <c r="C259" s="4" t="s">
        <v>301</v>
      </c>
      <c r="D259" s="4" t="s">
        <v>297</v>
      </c>
      <c r="E259" s="6">
        <v>18</v>
      </c>
      <c r="F259" s="4" t="s">
        <v>10</v>
      </c>
    </row>
    <row r="260" spans="1:6" x14ac:dyDescent="0.2">
      <c r="A260" s="4" t="s">
        <v>295</v>
      </c>
      <c r="B260" s="5">
        <v>200936106</v>
      </c>
      <c r="C260" s="4" t="s">
        <v>302</v>
      </c>
      <c r="D260" s="4" t="s">
        <v>297</v>
      </c>
      <c r="E260" s="6">
        <v>88</v>
      </c>
      <c r="F260" s="4" t="s">
        <v>10</v>
      </c>
    </row>
    <row r="261" spans="1:6" x14ac:dyDescent="0.2">
      <c r="A261" s="4" t="s">
        <v>295</v>
      </c>
      <c r="B261" s="5">
        <v>200936107</v>
      </c>
      <c r="C261" s="4" t="s">
        <v>303</v>
      </c>
      <c r="D261" s="4" t="s">
        <v>297</v>
      </c>
      <c r="E261" s="6">
        <v>73</v>
      </c>
      <c r="F261" s="4" t="s">
        <v>10</v>
      </c>
    </row>
    <row r="262" spans="1:6" x14ac:dyDescent="0.2">
      <c r="A262" s="4" t="s">
        <v>295</v>
      </c>
      <c r="B262" s="5">
        <v>200936108</v>
      </c>
      <c r="C262" s="4" t="s">
        <v>304</v>
      </c>
      <c r="D262" s="4" t="s">
        <v>297</v>
      </c>
      <c r="E262" s="6">
        <v>72</v>
      </c>
      <c r="F262" s="4" t="s">
        <v>54</v>
      </c>
    </row>
    <row r="263" spans="1:6" x14ac:dyDescent="0.2">
      <c r="A263" s="4" t="s">
        <v>295</v>
      </c>
      <c r="B263" s="5">
        <v>200936109</v>
      </c>
      <c r="C263" s="4" t="s">
        <v>305</v>
      </c>
      <c r="D263" s="4" t="s">
        <v>297</v>
      </c>
      <c r="E263" s="6">
        <v>76</v>
      </c>
      <c r="F263" s="4" t="s">
        <v>10</v>
      </c>
    </row>
    <row r="264" spans="1:6" x14ac:dyDescent="0.2">
      <c r="A264" s="4" t="s">
        <v>295</v>
      </c>
      <c r="B264" s="5">
        <v>200936110</v>
      </c>
      <c r="C264" s="4" t="s">
        <v>306</v>
      </c>
      <c r="D264" s="4" t="s">
        <v>297</v>
      </c>
      <c r="E264" s="6">
        <v>71</v>
      </c>
      <c r="F264" s="4" t="s">
        <v>10</v>
      </c>
    </row>
    <row r="265" spans="1:6" x14ac:dyDescent="0.2">
      <c r="A265" s="4" t="s">
        <v>295</v>
      </c>
      <c r="B265" s="5">
        <v>200936111</v>
      </c>
      <c r="C265" s="4" t="s">
        <v>307</v>
      </c>
      <c r="D265" s="4" t="s">
        <v>297</v>
      </c>
      <c r="E265" s="6">
        <v>77</v>
      </c>
      <c r="F265" s="4" t="s">
        <v>10</v>
      </c>
    </row>
    <row r="266" spans="1:6" x14ac:dyDescent="0.2">
      <c r="A266" s="4" t="s">
        <v>295</v>
      </c>
      <c r="B266" s="5">
        <v>200936112</v>
      </c>
      <c r="C266" s="4" t="s">
        <v>308</v>
      </c>
      <c r="D266" s="4" t="s">
        <v>297</v>
      </c>
      <c r="E266" s="6">
        <v>71</v>
      </c>
      <c r="F266" s="4" t="s">
        <v>10</v>
      </c>
    </row>
    <row r="267" spans="1:6" x14ac:dyDescent="0.2">
      <c r="A267" s="4" t="s">
        <v>295</v>
      </c>
      <c r="B267" s="5">
        <v>200936113</v>
      </c>
      <c r="C267" s="4" t="s">
        <v>309</v>
      </c>
      <c r="D267" s="4" t="s">
        <v>297</v>
      </c>
      <c r="E267" s="6">
        <v>68</v>
      </c>
      <c r="F267" s="4" t="s">
        <v>10</v>
      </c>
    </row>
    <row r="268" spans="1:6" x14ac:dyDescent="0.2">
      <c r="A268" s="4" t="s">
        <v>295</v>
      </c>
      <c r="B268" s="5">
        <v>200936114</v>
      </c>
      <c r="C268" s="4" t="s">
        <v>310</v>
      </c>
      <c r="D268" s="4" t="s">
        <v>297</v>
      </c>
      <c r="E268" s="6">
        <v>90</v>
      </c>
      <c r="F268" s="4" t="s">
        <v>10</v>
      </c>
    </row>
    <row r="269" spans="1:6" x14ac:dyDescent="0.2">
      <c r="A269" s="4" t="s">
        <v>295</v>
      </c>
      <c r="B269" s="5">
        <v>200936115</v>
      </c>
      <c r="C269" s="4" t="s">
        <v>200</v>
      </c>
      <c r="D269" s="4" t="s">
        <v>297</v>
      </c>
      <c r="E269" s="6">
        <v>71</v>
      </c>
      <c r="F269" s="4" t="s">
        <v>10</v>
      </c>
    </row>
    <row r="270" spans="1:6" x14ac:dyDescent="0.2">
      <c r="A270" s="4" t="s">
        <v>295</v>
      </c>
      <c r="B270" s="5">
        <v>200936116</v>
      </c>
      <c r="C270" s="4" t="s">
        <v>311</v>
      </c>
      <c r="D270" s="4" t="s">
        <v>297</v>
      </c>
      <c r="E270" s="6">
        <v>64</v>
      </c>
      <c r="F270" s="4" t="s">
        <v>10</v>
      </c>
    </row>
    <row r="271" spans="1:6" x14ac:dyDescent="0.2">
      <c r="A271" s="4" t="s">
        <v>295</v>
      </c>
      <c r="B271" s="5">
        <v>200936117</v>
      </c>
      <c r="C271" s="4" t="s">
        <v>312</v>
      </c>
      <c r="D271" s="4" t="s">
        <v>297</v>
      </c>
      <c r="E271" s="6">
        <v>38</v>
      </c>
      <c r="F271" s="4" t="s">
        <v>10</v>
      </c>
    </row>
    <row r="272" spans="1:6" x14ac:dyDescent="0.2">
      <c r="A272" s="4" t="s">
        <v>295</v>
      </c>
      <c r="B272" s="5">
        <v>200936118</v>
      </c>
      <c r="C272" s="4" t="s">
        <v>313</v>
      </c>
      <c r="D272" s="4" t="s">
        <v>297</v>
      </c>
      <c r="E272" s="6">
        <v>82</v>
      </c>
      <c r="F272" s="4" t="s">
        <v>10</v>
      </c>
    </row>
    <row r="273" spans="1:6" x14ac:dyDescent="0.2">
      <c r="A273" s="4" t="s">
        <v>295</v>
      </c>
      <c r="B273" s="5">
        <v>200936119</v>
      </c>
      <c r="C273" s="4" t="s">
        <v>314</v>
      </c>
      <c r="D273" s="4" t="s">
        <v>297</v>
      </c>
      <c r="E273" s="6">
        <v>51</v>
      </c>
      <c r="F273" s="4" t="s">
        <v>10</v>
      </c>
    </row>
    <row r="274" spans="1:6" x14ac:dyDescent="0.2">
      <c r="A274" s="4" t="s">
        <v>295</v>
      </c>
      <c r="B274" s="5">
        <v>200936120</v>
      </c>
      <c r="C274" s="4" t="s">
        <v>315</v>
      </c>
      <c r="D274" s="4" t="s">
        <v>297</v>
      </c>
      <c r="E274" s="6">
        <v>83</v>
      </c>
      <c r="F274" s="4" t="s">
        <v>10</v>
      </c>
    </row>
    <row r="275" spans="1:6" x14ac:dyDescent="0.2">
      <c r="A275" s="4" t="s">
        <v>295</v>
      </c>
      <c r="B275" s="5">
        <v>200936121</v>
      </c>
      <c r="C275" s="4" t="s">
        <v>316</v>
      </c>
      <c r="D275" s="4" t="s">
        <v>297</v>
      </c>
      <c r="E275" s="6">
        <v>84</v>
      </c>
      <c r="F275" s="4" t="s">
        <v>10</v>
      </c>
    </row>
    <row r="276" spans="1:6" x14ac:dyDescent="0.2">
      <c r="A276" s="4" t="s">
        <v>295</v>
      </c>
      <c r="B276" s="5">
        <v>200936122</v>
      </c>
      <c r="C276" s="4" t="s">
        <v>317</v>
      </c>
      <c r="D276" s="4" t="s">
        <v>297</v>
      </c>
      <c r="E276" s="6">
        <v>72</v>
      </c>
      <c r="F276" s="4" t="s">
        <v>54</v>
      </c>
    </row>
    <row r="277" spans="1:6" x14ac:dyDescent="0.2">
      <c r="A277" s="4" t="s">
        <v>295</v>
      </c>
      <c r="B277" s="5">
        <v>200936123</v>
      </c>
      <c r="C277" s="4" t="s">
        <v>318</v>
      </c>
      <c r="D277" s="4" t="s">
        <v>297</v>
      </c>
      <c r="E277" s="6">
        <v>73</v>
      </c>
      <c r="F277" s="4" t="s">
        <v>10</v>
      </c>
    </row>
    <row r="278" spans="1:6" x14ac:dyDescent="0.2">
      <c r="A278" s="4" t="s">
        <v>295</v>
      </c>
      <c r="B278" s="5">
        <v>200936124</v>
      </c>
      <c r="C278" s="4" t="s">
        <v>319</v>
      </c>
      <c r="D278" s="4" t="s">
        <v>297</v>
      </c>
      <c r="E278" s="6">
        <v>84</v>
      </c>
      <c r="F278" s="4" t="s">
        <v>10</v>
      </c>
    </row>
    <row r="279" spans="1:6" x14ac:dyDescent="0.2">
      <c r="A279" s="4" t="s">
        <v>295</v>
      </c>
      <c r="B279" s="5">
        <v>200936125</v>
      </c>
      <c r="C279" s="4" t="s">
        <v>320</v>
      </c>
      <c r="D279" s="4" t="s">
        <v>297</v>
      </c>
      <c r="E279" s="6">
        <v>60</v>
      </c>
      <c r="F279" s="4" t="s">
        <v>10</v>
      </c>
    </row>
    <row r="280" spans="1:6" x14ac:dyDescent="0.2">
      <c r="A280" s="4" t="s">
        <v>295</v>
      </c>
      <c r="B280" s="5">
        <v>200936126</v>
      </c>
      <c r="C280" s="4" t="s">
        <v>321</v>
      </c>
      <c r="D280" s="4" t="s">
        <v>297</v>
      </c>
      <c r="E280" s="6">
        <v>77</v>
      </c>
      <c r="F280" s="4" t="s">
        <v>10</v>
      </c>
    </row>
    <row r="281" spans="1:6" x14ac:dyDescent="0.2">
      <c r="A281" s="4" t="s">
        <v>295</v>
      </c>
      <c r="B281" s="5">
        <v>200936127</v>
      </c>
      <c r="C281" s="4" t="s">
        <v>322</v>
      </c>
      <c r="D281" s="4" t="s">
        <v>297</v>
      </c>
      <c r="E281" s="6">
        <v>61</v>
      </c>
      <c r="F281" s="4" t="s">
        <v>10</v>
      </c>
    </row>
    <row r="282" spans="1:6" x14ac:dyDescent="0.2">
      <c r="A282" s="4" t="s">
        <v>295</v>
      </c>
      <c r="B282" s="5">
        <v>200936128</v>
      </c>
      <c r="C282" s="4" t="s">
        <v>323</v>
      </c>
      <c r="D282" s="4" t="s">
        <v>297</v>
      </c>
      <c r="E282" s="6">
        <v>86</v>
      </c>
      <c r="F282" s="4" t="s">
        <v>10</v>
      </c>
    </row>
    <row r="283" spans="1:6" x14ac:dyDescent="0.2">
      <c r="A283" s="4" t="s">
        <v>295</v>
      </c>
      <c r="B283" s="5">
        <v>200936129</v>
      </c>
      <c r="C283" s="4" t="s">
        <v>324</v>
      </c>
      <c r="D283" s="4" t="s">
        <v>297</v>
      </c>
      <c r="E283" s="6">
        <v>85</v>
      </c>
      <c r="F283" s="4" t="s">
        <v>10</v>
      </c>
    </row>
    <row r="284" spans="1:6" x14ac:dyDescent="0.2">
      <c r="A284" s="4" t="s">
        <v>295</v>
      </c>
      <c r="B284" s="5">
        <v>200936130</v>
      </c>
      <c r="C284" s="4" t="s">
        <v>325</v>
      </c>
      <c r="D284" s="4" t="s">
        <v>297</v>
      </c>
      <c r="E284" s="6">
        <v>77</v>
      </c>
      <c r="F284" s="4" t="s">
        <v>10</v>
      </c>
    </row>
    <row r="285" spans="1:6" x14ac:dyDescent="0.2">
      <c r="A285" s="4" t="s">
        <v>295</v>
      </c>
      <c r="B285" s="5">
        <v>200936131</v>
      </c>
      <c r="C285" s="4" t="s">
        <v>326</v>
      </c>
      <c r="D285" s="4" t="s">
        <v>297</v>
      </c>
      <c r="E285" s="6">
        <v>71</v>
      </c>
      <c r="F285" s="4" t="s">
        <v>10</v>
      </c>
    </row>
    <row r="286" spans="1:6" x14ac:dyDescent="0.2">
      <c r="A286" s="4" t="s">
        <v>295</v>
      </c>
      <c r="B286" s="5">
        <v>200936132</v>
      </c>
      <c r="C286" s="4" t="s">
        <v>327</v>
      </c>
      <c r="D286" s="4" t="s">
        <v>297</v>
      </c>
      <c r="E286" s="6">
        <v>73</v>
      </c>
      <c r="F286" s="4" t="s">
        <v>10</v>
      </c>
    </row>
    <row r="287" spans="1:6" x14ac:dyDescent="0.2">
      <c r="A287" s="4" t="s">
        <v>295</v>
      </c>
      <c r="B287" s="5" t="s">
        <v>328</v>
      </c>
      <c r="C287" s="4" t="s">
        <v>329</v>
      </c>
      <c r="D287" s="4" t="s">
        <v>330</v>
      </c>
      <c r="E287" s="6">
        <v>84</v>
      </c>
      <c r="F287" s="4" t="s">
        <v>10</v>
      </c>
    </row>
    <row r="288" spans="1:6" x14ac:dyDescent="0.2">
      <c r="A288" s="4" t="s">
        <v>295</v>
      </c>
      <c r="B288" s="5" t="s">
        <v>331</v>
      </c>
      <c r="C288" s="4" t="s">
        <v>332</v>
      </c>
      <c r="D288" s="4" t="s">
        <v>330</v>
      </c>
      <c r="E288" s="6">
        <v>67</v>
      </c>
      <c r="F288" s="4" t="s">
        <v>10</v>
      </c>
    </row>
    <row r="289" spans="1:6" x14ac:dyDescent="0.2">
      <c r="A289" s="4" t="s">
        <v>295</v>
      </c>
      <c r="B289" s="5" t="s">
        <v>333</v>
      </c>
      <c r="C289" s="4" t="s">
        <v>334</v>
      </c>
      <c r="D289" s="4" t="s">
        <v>330</v>
      </c>
      <c r="E289" s="6">
        <v>84</v>
      </c>
      <c r="F289" s="4" t="s">
        <v>10</v>
      </c>
    </row>
    <row r="290" spans="1:6" x14ac:dyDescent="0.2">
      <c r="A290" s="4" t="s">
        <v>295</v>
      </c>
      <c r="B290" s="5" t="s">
        <v>335</v>
      </c>
      <c r="C290" s="4" t="s">
        <v>336</v>
      </c>
      <c r="D290" s="4" t="s">
        <v>330</v>
      </c>
      <c r="E290" s="6">
        <v>72</v>
      </c>
      <c r="F290" s="4" t="s">
        <v>10</v>
      </c>
    </row>
    <row r="291" spans="1:6" x14ac:dyDescent="0.2">
      <c r="A291" s="4" t="s">
        <v>295</v>
      </c>
      <c r="B291" s="5" t="s">
        <v>337</v>
      </c>
      <c r="C291" s="4" t="s">
        <v>312</v>
      </c>
      <c r="D291" s="4" t="s">
        <v>330</v>
      </c>
      <c r="E291" s="6">
        <v>69</v>
      </c>
      <c r="F291" s="4" t="s">
        <v>10</v>
      </c>
    </row>
    <row r="292" spans="1:6" x14ac:dyDescent="0.2">
      <c r="A292" s="4" t="s">
        <v>295</v>
      </c>
      <c r="B292" s="5" t="s">
        <v>338</v>
      </c>
      <c r="C292" s="4" t="s">
        <v>339</v>
      </c>
      <c r="D292" s="4" t="s">
        <v>330</v>
      </c>
      <c r="E292" s="6">
        <v>68</v>
      </c>
      <c r="F292" s="4" t="s">
        <v>10</v>
      </c>
    </row>
    <row r="293" spans="1:6" x14ac:dyDescent="0.2">
      <c r="A293" s="4" t="s">
        <v>295</v>
      </c>
      <c r="B293" s="5" t="s">
        <v>340</v>
      </c>
      <c r="C293" s="4" t="s">
        <v>341</v>
      </c>
      <c r="D293" s="4" t="s">
        <v>330</v>
      </c>
      <c r="E293" s="6">
        <v>76</v>
      </c>
      <c r="F293" s="4" t="s">
        <v>10</v>
      </c>
    </row>
    <row r="294" spans="1:6" x14ac:dyDescent="0.2">
      <c r="A294" s="4" t="s">
        <v>295</v>
      </c>
      <c r="B294" s="5" t="s">
        <v>342</v>
      </c>
      <c r="C294" s="4" t="s">
        <v>343</v>
      </c>
      <c r="D294" s="4" t="s">
        <v>330</v>
      </c>
      <c r="E294" s="6">
        <v>99</v>
      </c>
      <c r="F294" s="4" t="s">
        <v>10</v>
      </c>
    </row>
    <row r="295" spans="1:6" x14ac:dyDescent="0.2">
      <c r="A295" s="4" t="s">
        <v>295</v>
      </c>
      <c r="B295" s="5" t="s">
        <v>344</v>
      </c>
      <c r="C295" s="4" t="s">
        <v>345</v>
      </c>
      <c r="D295" s="4" t="s">
        <v>330</v>
      </c>
      <c r="E295" s="6">
        <v>70</v>
      </c>
      <c r="F295" s="4" t="s">
        <v>10</v>
      </c>
    </row>
    <row r="296" spans="1:6" x14ac:dyDescent="0.2">
      <c r="A296" s="4" t="s">
        <v>295</v>
      </c>
      <c r="B296" s="5" t="s">
        <v>346</v>
      </c>
      <c r="C296" s="4" t="s">
        <v>347</v>
      </c>
      <c r="D296" s="4" t="s">
        <v>330</v>
      </c>
      <c r="E296" s="6">
        <v>80</v>
      </c>
      <c r="F296" s="4" t="s">
        <v>10</v>
      </c>
    </row>
    <row r="297" spans="1:6" x14ac:dyDescent="0.2">
      <c r="A297" s="4" t="s">
        <v>295</v>
      </c>
      <c r="B297" s="5" t="s">
        <v>348</v>
      </c>
      <c r="C297" s="4" t="s">
        <v>349</v>
      </c>
      <c r="D297" s="4" t="s">
        <v>330</v>
      </c>
      <c r="E297" s="6">
        <v>4</v>
      </c>
      <c r="F297" s="4" t="s">
        <v>10</v>
      </c>
    </row>
    <row r="298" spans="1:6" x14ac:dyDescent="0.2">
      <c r="A298" s="4" t="s">
        <v>295</v>
      </c>
      <c r="B298" s="5" t="s">
        <v>350</v>
      </c>
      <c r="C298" s="4" t="s">
        <v>351</v>
      </c>
      <c r="D298" s="4" t="s">
        <v>330</v>
      </c>
      <c r="E298" s="6">
        <v>62</v>
      </c>
      <c r="F298" s="4" t="s">
        <v>10</v>
      </c>
    </row>
    <row r="299" spans="1:6" x14ac:dyDescent="0.2">
      <c r="A299" s="4" t="s">
        <v>295</v>
      </c>
      <c r="B299" s="5" t="s">
        <v>352</v>
      </c>
      <c r="C299" s="4" t="s">
        <v>353</v>
      </c>
      <c r="D299" s="4" t="s">
        <v>330</v>
      </c>
      <c r="E299" s="6">
        <v>73</v>
      </c>
      <c r="F299" s="4" t="s">
        <v>54</v>
      </c>
    </row>
    <row r="300" spans="1:6" x14ac:dyDescent="0.2">
      <c r="A300" s="4" t="s">
        <v>295</v>
      </c>
      <c r="B300" s="5" t="s">
        <v>354</v>
      </c>
      <c r="C300" s="4" t="s">
        <v>355</v>
      </c>
      <c r="D300" s="4" t="s">
        <v>330</v>
      </c>
      <c r="E300" s="6">
        <v>76</v>
      </c>
      <c r="F300" s="4" t="s">
        <v>10</v>
      </c>
    </row>
    <row r="301" spans="1:6" x14ac:dyDescent="0.2">
      <c r="A301" s="4" t="s">
        <v>295</v>
      </c>
      <c r="B301" s="5" t="s">
        <v>356</v>
      </c>
      <c r="C301" s="4" t="s">
        <v>357</v>
      </c>
      <c r="D301" s="4" t="s">
        <v>330</v>
      </c>
      <c r="E301" s="6">
        <v>34</v>
      </c>
      <c r="F301" s="4" t="s">
        <v>10</v>
      </c>
    </row>
    <row r="302" spans="1:6" x14ac:dyDescent="0.2">
      <c r="A302" s="4" t="s">
        <v>295</v>
      </c>
      <c r="B302" s="5" t="s">
        <v>358</v>
      </c>
      <c r="C302" s="4" t="s">
        <v>359</v>
      </c>
      <c r="D302" s="4" t="s">
        <v>330</v>
      </c>
      <c r="E302" s="6">
        <v>61</v>
      </c>
      <c r="F302" s="4" t="s">
        <v>10</v>
      </c>
    </row>
    <row r="303" spans="1:6" x14ac:dyDescent="0.2">
      <c r="A303" s="4" t="s">
        <v>295</v>
      </c>
      <c r="B303" s="5" t="s">
        <v>360</v>
      </c>
      <c r="C303" s="4" t="s">
        <v>361</v>
      </c>
      <c r="D303" s="4" t="s">
        <v>330</v>
      </c>
      <c r="E303" s="6">
        <v>90</v>
      </c>
      <c r="F303" s="4" t="s">
        <v>10</v>
      </c>
    </row>
    <row r="304" spans="1:6" x14ac:dyDescent="0.2">
      <c r="A304" s="4" t="s">
        <v>295</v>
      </c>
      <c r="B304" s="5" t="s">
        <v>362</v>
      </c>
      <c r="C304" s="4" t="s">
        <v>363</v>
      </c>
      <c r="D304" s="4" t="s">
        <v>330</v>
      </c>
      <c r="E304" s="6">
        <v>81</v>
      </c>
      <c r="F304" s="4" t="s">
        <v>10</v>
      </c>
    </row>
    <row r="305" spans="1:6" x14ac:dyDescent="0.2">
      <c r="A305" s="4" t="s">
        <v>295</v>
      </c>
      <c r="B305" s="5" t="s">
        <v>364</v>
      </c>
      <c r="C305" s="4" t="s">
        <v>365</v>
      </c>
      <c r="D305" s="4" t="s">
        <v>330</v>
      </c>
      <c r="E305" s="6">
        <v>69</v>
      </c>
      <c r="F305" s="4" t="s">
        <v>10</v>
      </c>
    </row>
    <row r="306" spans="1:6" x14ac:dyDescent="0.2">
      <c r="A306" s="4" t="s">
        <v>295</v>
      </c>
      <c r="B306" s="5" t="s">
        <v>366</v>
      </c>
      <c r="C306" s="4" t="s">
        <v>367</v>
      </c>
      <c r="D306" s="4" t="s">
        <v>330</v>
      </c>
      <c r="E306" s="6">
        <v>70</v>
      </c>
      <c r="F306" s="4" t="s">
        <v>10</v>
      </c>
    </row>
    <row r="307" spans="1:6" x14ac:dyDescent="0.2">
      <c r="A307" s="4" t="s">
        <v>295</v>
      </c>
      <c r="B307" s="5" t="s">
        <v>368</v>
      </c>
      <c r="C307" s="4" t="s">
        <v>369</v>
      </c>
      <c r="D307" s="4" t="s">
        <v>330</v>
      </c>
      <c r="E307" s="6">
        <v>72</v>
      </c>
      <c r="F307" s="4" t="s">
        <v>10</v>
      </c>
    </row>
    <row r="308" spans="1:6" x14ac:dyDescent="0.2">
      <c r="A308" s="4" t="s">
        <v>295</v>
      </c>
      <c r="B308" s="5" t="s">
        <v>370</v>
      </c>
      <c r="C308" s="4" t="s">
        <v>371</v>
      </c>
      <c r="D308" s="4" t="s">
        <v>330</v>
      </c>
      <c r="E308" s="6">
        <v>77</v>
      </c>
      <c r="F308" s="4" t="s">
        <v>10</v>
      </c>
    </row>
    <row r="309" spans="1:6" x14ac:dyDescent="0.2">
      <c r="A309" s="4" t="s">
        <v>295</v>
      </c>
      <c r="B309" s="5" t="s">
        <v>372</v>
      </c>
      <c r="C309" s="4" t="s">
        <v>373</v>
      </c>
      <c r="D309" s="4" t="s">
        <v>330</v>
      </c>
      <c r="E309" s="6">
        <v>67</v>
      </c>
      <c r="F309" s="4" t="s">
        <v>10</v>
      </c>
    </row>
    <row r="310" spans="1:6" x14ac:dyDescent="0.2">
      <c r="A310" s="4" t="s">
        <v>295</v>
      </c>
      <c r="B310" s="5" t="s">
        <v>374</v>
      </c>
      <c r="C310" s="4" t="s">
        <v>375</v>
      </c>
      <c r="D310" s="4" t="s">
        <v>330</v>
      </c>
      <c r="E310" s="6">
        <v>71</v>
      </c>
      <c r="F310" s="4" t="s">
        <v>10</v>
      </c>
    </row>
    <row r="311" spans="1:6" x14ac:dyDescent="0.2">
      <c r="A311" s="4" t="s">
        <v>295</v>
      </c>
      <c r="B311" s="5" t="s">
        <v>376</v>
      </c>
      <c r="C311" s="4" t="s">
        <v>377</v>
      </c>
      <c r="D311" s="4" t="s">
        <v>330</v>
      </c>
      <c r="E311" s="6">
        <v>65</v>
      </c>
      <c r="F311" s="4" t="s">
        <v>10</v>
      </c>
    </row>
    <row r="312" spans="1:6" x14ac:dyDescent="0.2">
      <c r="A312" s="4" t="s">
        <v>295</v>
      </c>
      <c r="B312" s="5" t="s">
        <v>378</v>
      </c>
      <c r="C312" s="4" t="s">
        <v>379</v>
      </c>
      <c r="D312" s="4" t="s">
        <v>330</v>
      </c>
      <c r="E312" s="6">
        <v>51</v>
      </c>
      <c r="F312" s="4" t="s">
        <v>10</v>
      </c>
    </row>
    <row r="313" spans="1:6" x14ac:dyDescent="0.2">
      <c r="A313" s="4" t="s">
        <v>295</v>
      </c>
      <c r="B313" s="5" t="s">
        <v>380</v>
      </c>
      <c r="C313" s="4" t="s">
        <v>381</v>
      </c>
      <c r="D313" s="4" t="s">
        <v>330</v>
      </c>
      <c r="E313" s="6">
        <v>71</v>
      </c>
      <c r="F313" s="4" t="s">
        <v>10</v>
      </c>
    </row>
    <row r="314" spans="1:6" x14ac:dyDescent="0.2">
      <c r="A314" s="4" t="s">
        <v>295</v>
      </c>
      <c r="B314" s="5" t="s">
        <v>382</v>
      </c>
      <c r="C314" s="4" t="s">
        <v>383</v>
      </c>
      <c r="D314" s="4" t="s">
        <v>330</v>
      </c>
      <c r="E314" s="6">
        <v>95</v>
      </c>
      <c r="F314" s="4" t="s">
        <v>10</v>
      </c>
    </row>
    <row r="315" spans="1:6" x14ac:dyDescent="0.2">
      <c r="A315" s="4" t="s">
        <v>295</v>
      </c>
      <c r="B315" s="5" t="s">
        <v>384</v>
      </c>
      <c r="C315" s="4" t="s">
        <v>385</v>
      </c>
      <c r="D315" s="4" t="s">
        <v>330</v>
      </c>
      <c r="E315" s="6">
        <v>86</v>
      </c>
      <c r="F315" s="4" t="s">
        <v>10</v>
      </c>
    </row>
    <row r="316" spans="1:6" x14ac:dyDescent="0.2">
      <c r="A316" s="4" t="s">
        <v>295</v>
      </c>
      <c r="B316" s="5" t="s">
        <v>386</v>
      </c>
      <c r="C316" s="4" t="s">
        <v>387</v>
      </c>
      <c r="D316" s="4" t="s">
        <v>330</v>
      </c>
      <c r="E316" s="6">
        <v>94</v>
      </c>
      <c r="F316" s="4" t="s">
        <v>10</v>
      </c>
    </row>
    <row r="317" spans="1:6" x14ac:dyDescent="0.2">
      <c r="A317" s="4" t="s">
        <v>295</v>
      </c>
      <c r="B317" s="5" t="s">
        <v>388</v>
      </c>
      <c r="C317" s="4" t="s">
        <v>389</v>
      </c>
      <c r="D317" s="4" t="s">
        <v>330</v>
      </c>
      <c r="E317" s="6">
        <v>86</v>
      </c>
      <c r="F317" s="4" t="s">
        <v>10</v>
      </c>
    </row>
    <row r="318" spans="1:6" x14ac:dyDescent="0.2">
      <c r="A318" s="4" t="s">
        <v>295</v>
      </c>
      <c r="B318" s="5" t="s">
        <v>390</v>
      </c>
      <c r="C318" s="4" t="s">
        <v>391</v>
      </c>
      <c r="D318" s="4" t="s">
        <v>392</v>
      </c>
      <c r="E318" s="6">
        <v>91</v>
      </c>
      <c r="F318" s="4" t="s">
        <v>10</v>
      </c>
    </row>
    <row r="319" spans="1:6" x14ac:dyDescent="0.2">
      <c r="A319" s="4" t="s">
        <v>295</v>
      </c>
      <c r="B319" s="5" t="s">
        <v>393</v>
      </c>
      <c r="C319" s="4" t="s">
        <v>394</v>
      </c>
      <c r="D319" s="4" t="s">
        <v>392</v>
      </c>
      <c r="E319" s="6">
        <v>93</v>
      </c>
      <c r="F319" s="4" t="s">
        <v>10</v>
      </c>
    </row>
    <row r="320" spans="1:6" x14ac:dyDescent="0.2">
      <c r="A320" s="4" t="s">
        <v>295</v>
      </c>
      <c r="B320" s="5" t="s">
        <v>395</v>
      </c>
      <c r="C320" s="4" t="s">
        <v>396</v>
      </c>
      <c r="D320" s="4" t="s">
        <v>397</v>
      </c>
      <c r="E320" s="6">
        <v>79</v>
      </c>
      <c r="F320" s="4" t="s">
        <v>10</v>
      </c>
    </row>
    <row r="321" spans="1:6" x14ac:dyDescent="0.2">
      <c r="A321" s="4" t="s">
        <v>295</v>
      </c>
      <c r="B321" s="5" t="s">
        <v>398</v>
      </c>
      <c r="C321" s="4" t="s">
        <v>399</v>
      </c>
      <c r="D321" s="4" t="s">
        <v>397</v>
      </c>
      <c r="E321" s="6">
        <v>91</v>
      </c>
      <c r="F321" s="4" t="s">
        <v>10</v>
      </c>
    </row>
    <row r="322" spans="1:6" x14ac:dyDescent="0.2">
      <c r="A322" s="4" t="s">
        <v>295</v>
      </c>
      <c r="B322" s="5" t="s">
        <v>400</v>
      </c>
      <c r="C322" s="4" t="s">
        <v>401</v>
      </c>
      <c r="D322" s="4" t="s">
        <v>397</v>
      </c>
      <c r="E322" s="6">
        <v>65</v>
      </c>
      <c r="F322" s="4" t="s">
        <v>10</v>
      </c>
    </row>
    <row r="323" spans="1:6" x14ac:dyDescent="0.2">
      <c r="A323" s="4" t="s">
        <v>295</v>
      </c>
      <c r="B323" s="5" t="s">
        <v>402</v>
      </c>
      <c r="C323" s="4" t="s">
        <v>403</v>
      </c>
      <c r="D323" s="4" t="s">
        <v>397</v>
      </c>
      <c r="E323" s="6">
        <v>80</v>
      </c>
      <c r="F323" s="4" t="s">
        <v>10</v>
      </c>
    </row>
    <row r="324" spans="1:6" x14ac:dyDescent="0.2">
      <c r="A324" s="4" t="s">
        <v>295</v>
      </c>
      <c r="B324" s="5" t="s">
        <v>404</v>
      </c>
      <c r="C324" s="4" t="s">
        <v>405</v>
      </c>
      <c r="D324" s="4" t="s">
        <v>397</v>
      </c>
      <c r="E324" s="6">
        <v>87</v>
      </c>
      <c r="F324" s="4" t="s">
        <v>10</v>
      </c>
    </row>
    <row r="325" spans="1:6" x14ac:dyDescent="0.2">
      <c r="A325" s="4" t="s">
        <v>295</v>
      </c>
      <c r="B325" s="5" t="s">
        <v>406</v>
      </c>
      <c r="C325" s="4" t="s">
        <v>407</v>
      </c>
      <c r="D325" s="4" t="s">
        <v>397</v>
      </c>
      <c r="E325" s="6">
        <v>56</v>
      </c>
      <c r="F325" s="4" t="s">
        <v>10</v>
      </c>
    </row>
    <row r="326" spans="1:6" x14ac:dyDescent="0.2">
      <c r="A326" s="4" t="s">
        <v>295</v>
      </c>
      <c r="B326" s="5" t="s">
        <v>408</v>
      </c>
      <c r="C326" s="4" t="s">
        <v>409</v>
      </c>
      <c r="D326" s="4" t="s">
        <v>397</v>
      </c>
      <c r="E326" s="6">
        <v>80</v>
      </c>
      <c r="F326" s="4" t="s">
        <v>54</v>
      </c>
    </row>
    <row r="327" spans="1:6" x14ac:dyDescent="0.2">
      <c r="A327" s="4" t="s">
        <v>295</v>
      </c>
      <c r="B327" s="5" t="s">
        <v>410</v>
      </c>
      <c r="C327" s="4" t="s">
        <v>411</v>
      </c>
      <c r="D327" s="4" t="s">
        <v>397</v>
      </c>
      <c r="E327" s="6">
        <v>74</v>
      </c>
      <c r="F327" s="4" t="s">
        <v>10</v>
      </c>
    </row>
    <row r="328" spans="1:6" x14ac:dyDescent="0.2">
      <c r="A328" s="4" t="s">
        <v>295</v>
      </c>
      <c r="B328" s="5" t="s">
        <v>412</v>
      </c>
      <c r="C328" s="4" t="s">
        <v>413</v>
      </c>
      <c r="D328" s="4" t="s">
        <v>397</v>
      </c>
      <c r="E328" s="6">
        <v>63</v>
      </c>
      <c r="F328" s="4" t="s">
        <v>10</v>
      </c>
    </row>
    <row r="329" spans="1:6" x14ac:dyDescent="0.2">
      <c r="A329" s="4" t="s">
        <v>295</v>
      </c>
      <c r="B329" s="5" t="s">
        <v>414</v>
      </c>
      <c r="C329" s="4" t="s">
        <v>415</v>
      </c>
      <c r="D329" s="4" t="s">
        <v>397</v>
      </c>
      <c r="E329" s="6">
        <v>82</v>
      </c>
      <c r="F329" s="4" t="s">
        <v>10</v>
      </c>
    </row>
    <row r="330" spans="1:6" x14ac:dyDescent="0.2">
      <c r="A330" s="4" t="s">
        <v>295</v>
      </c>
      <c r="B330" s="5" t="s">
        <v>416</v>
      </c>
      <c r="C330" s="4" t="s">
        <v>417</v>
      </c>
      <c r="D330" s="4" t="s">
        <v>397</v>
      </c>
      <c r="E330" s="6">
        <v>71</v>
      </c>
      <c r="F330" s="4" t="s">
        <v>10</v>
      </c>
    </row>
    <row r="331" spans="1:6" x14ac:dyDescent="0.2">
      <c r="A331" s="4" t="s">
        <v>295</v>
      </c>
      <c r="B331" s="5" t="s">
        <v>418</v>
      </c>
      <c r="C331" s="4" t="s">
        <v>419</v>
      </c>
      <c r="D331" s="4" t="s">
        <v>397</v>
      </c>
      <c r="E331" s="6">
        <v>84</v>
      </c>
      <c r="F331" s="4" t="s">
        <v>10</v>
      </c>
    </row>
    <row r="332" spans="1:6" x14ac:dyDescent="0.2">
      <c r="A332" s="4" t="s">
        <v>295</v>
      </c>
      <c r="B332" s="5" t="s">
        <v>420</v>
      </c>
      <c r="C332" s="4" t="s">
        <v>421</v>
      </c>
      <c r="D332" s="4" t="s">
        <v>397</v>
      </c>
      <c r="E332" s="6">
        <v>82</v>
      </c>
      <c r="F332" s="4" t="s">
        <v>10</v>
      </c>
    </row>
    <row r="333" spans="1:6" x14ac:dyDescent="0.2">
      <c r="A333" s="4" t="s">
        <v>295</v>
      </c>
      <c r="B333" s="5" t="s">
        <v>422</v>
      </c>
      <c r="C333" s="4" t="s">
        <v>423</v>
      </c>
      <c r="D333" s="4" t="s">
        <v>397</v>
      </c>
      <c r="E333" s="6">
        <v>94</v>
      </c>
      <c r="F333" s="4" t="s">
        <v>10</v>
      </c>
    </row>
    <row r="334" spans="1:6" x14ac:dyDescent="0.2">
      <c r="A334" s="4" t="s">
        <v>295</v>
      </c>
      <c r="B334" s="5" t="s">
        <v>424</v>
      </c>
      <c r="C334" s="4" t="s">
        <v>425</v>
      </c>
      <c r="D334" s="4" t="s">
        <v>397</v>
      </c>
      <c r="E334" s="6">
        <v>70</v>
      </c>
      <c r="F334" s="4" t="s">
        <v>10</v>
      </c>
    </row>
    <row r="335" spans="1:6" x14ac:dyDescent="0.2">
      <c r="A335" s="4" t="s">
        <v>295</v>
      </c>
      <c r="B335" s="5" t="s">
        <v>426</v>
      </c>
      <c r="C335" s="4" t="s">
        <v>427</v>
      </c>
      <c r="D335" s="4" t="s">
        <v>397</v>
      </c>
      <c r="E335" s="6">
        <v>89</v>
      </c>
      <c r="F335" s="4" t="s">
        <v>10</v>
      </c>
    </row>
    <row r="336" spans="1:6" x14ac:dyDescent="0.2">
      <c r="A336" s="4" t="s">
        <v>295</v>
      </c>
      <c r="B336" s="5" t="s">
        <v>428</v>
      </c>
      <c r="C336" s="4" t="s">
        <v>429</v>
      </c>
      <c r="D336" s="4" t="s">
        <v>397</v>
      </c>
      <c r="E336" s="6">
        <v>86</v>
      </c>
      <c r="F336" s="4" t="s">
        <v>10</v>
      </c>
    </row>
    <row r="337" spans="1:6" x14ac:dyDescent="0.2">
      <c r="A337" s="4" t="s">
        <v>295</v>
      </c>
      <c r="B337" s="5" t="s">
        <v>430</v>
      </c>
      <c r="C337" s="4" t="s">
        <v>431</v>
      </c>
      <c r="D337" s="4" t="s">
        <v>397</v>
      </c>
      <c r="E337" s="6">
        <v>87</v>
      </c>
      <c r="F337" s="4" t="s">
        <v>10</v>
      </c>
    </row>
    <row r="338" spans="1:6" x14ac:dyDescent="0.2">
      <c r="A338" s="4" t="s">
        <v>295</v>
      </c>
      <c r="B338" s="5" t="s">
        <v>432</v>
      </c>
      <c r="C338" s="4" t="s">
        <v>433</v>
      </c>
      <c r="D338" s="4" t="s">
        <v>397</v>
      </c>
      <c r="E338" s="6">
        <v>60</v>
      </c>
      <c r="F338" s="4" t="s">
        <v>10</v>
      </c>
    </row>
    <row r="339" spans="1:6" x14ac:dyDescent="0.2">
      <c r="A339" s="4" t="s">
        <v>295</v>
      </c>
      <c r="B339" s="5" t="s">
        <v>434</v>
      </c>
      <c r="C339" s="4" t="s">
        <v>435</v>
      </c>
      <c r="D339" s="4" t="s">
        <v>397</v>
      </c>
      <c r="E339" s="6">
        <v>92</v>
      </c>
      <c r="F339" s="4" t="s">
        <v>10</v>
      </c>
    </row>
    <row r="340" spans="1:6" x14ac:dyDescent="0.2">
      <c r="A340" s="4" t="s">
        <v>295</v>
      </c>
      <c r="B340" s="5" t="s">
        <v>436</v>
      </c>
      <c r="C340" s="4" t="s">
        <v>437</v>
      </c>
      <c r="D340" s="4" t="s">
        <v>397</v>
      </c>
      <c r="E340" s="6">
        <v>71</v>
      </c>
      <c r="F340" s="4" t="s">
        <v>10</v>
      </c>
    </row>
    <row r="341" spans="1:6" x14ac:dyDescent="0.2">
      <c r="A341" s="4" t="s">
        <v>295</v>
      </c>
      <c r="B341" s="5" t="s">
        <v>438</v>
      </c>
      <c r="C341" s="4" t="s">
        <v>439</v>
      </c>
      <c r="D341" s="4" t="s">
        <v>397</v>
      </c>
      <c r="E341" s="6">
        <v>78</v>
      </c>
      <c r="F341" s="4" t="s">
        <v>10</v>
      </c>
    </row>
    <row r="342" spans="1:6" x14ac:dyDescent="0.2">
      <c r="A342" s="4" t="s">
        <v>295</v>
      </c>
      <c r="B342" s="5" t="s">
        <v>440</v>
      </c>
      <c r="C342" s="4" t="s">
        <v>441</v>
      </c>
      <c r="D342" s="4" t="s">
        <v>397</v>
      </c>
      <c r="E342" s="6">
        <v>79</v>
      </c>
      <c r="F342" s="4" t="s">
        <v>10</v>
      </c>
    </row>
    <row r="343" spans="1:6" x14ac:dyDescent="0.2">
      <c r="A343" s="4" t="s">
        <v>295</v>
      </c>
      <c r="B343" s="5" t="s">
        <v>442</v>
      </c>
      <c r="C343" s="4" t="s">
        <v>443</v>
      </c>
      <c r="D343" s="4" t="s">
        <v>397</v>
      </c>
      <c r="E343" s="6">
        <v>80</v>
      </c>
      <c r="F343" s="4" t="s">
        <v>10</v>
      </c>
    </row>
    <row r="344" spans="1:6" x14ac:dyDescent="0.2">
      <c r="A344" s="4" t="s">
        <v>295</v>
      </c>
      <c r="B344" s="5" t="s">
        <v>444</v>
      </c>
      <c r="C344" s="4" t="s">
        <v>445</v>
      </c>
      <c r="D344" s="4" t="s">
        <v>397</v>
      </c>
      <c r="E344" s="6">
        <v>81</v>
      </c>
      <c r="F344" s="4" t="s">
        <v>10</v>
      </c>
    </row>
    <row r="345" spans="1:6" x14ac:dyDescent="0.2">
      <c r="A345" s="4" t="s">
        <v>295</v>
      </c>
      <c r="B345" s="5" t="s">
        <v>446</v>
      </c>
      <c r="C345" s="4" t="s">
        <v>447</v>
      </c>
      <c r="D345" s="4" t="s">
        <v>397</v>
      </c>
      <c r="E345" s="6">
        <v>89</v>
      </c>
      <c r="F345" s="4" t="s">
        <v>10</v>
      </c>
    </row>
    <row r="346" spans="1:6" x14ac:dyDescent="0.2">
      <c r="A346" s="4" t="s">
        <v>295</v>
      </c>
      <c r="B346" s="5" t="s">
        <v>448</v>
      </c>
      <c r="C346" s="4" t="s">
        <v>449</v>
      </c>
      <c r="D346" s="4" t="s">
        <v>397</v>
      </c>
      <c r="E346" s="6">
        <v>74</v>
      </c>
      <c r="F346" s="4" t="s">
        <v>10</v>
      </c>
    </row>
    <row r="347" spans="1:6" x14ac:dyDescent="0.2">
      <c r="A347" s="4" t="s">
        <v>295</v>
      </c>
      <c r="B347" s="5" t="s">
        <v>450</v>
      </c>
      <c r="C347" s="4" t="s">
        <v>451</v>
      </c>
      <c r="D347" s="4" t="s">
        <v>397</v>
      </c>
      <c r="E347" s="6">
        <v>73</v>
      </c>
      <c r="F347" s="4" t="s">
        <v>10</v>
      </c>
    </row>
    <row r="348" spans="1:6" x14ac:dyDescent="0.2">
      <c r="A348" s="4" t="s">
        <v>295</v>
      </c>
      <c r="B348" s="5" t="s">
        <v>452</v>
      </c>
      <c r="C348" s="4" t="s">
        <v>453</v>
      </c>
      <c r="D348" s="4" t="s">
        <v>397</v>
      </c>
      <c r="E348" s="6">
        <v>61</v>
      </c>
      <c r="F348" s="4" t="s">
        <v>10</v>
      </c>
    </row>
    <row r="349" spans="1:6" x14ac:dyDescent="0.2">
      <c r="B349" s="10"/>
    </row>
    <row r="350" spans="1:6" x14ac:dyDescent="0.2">
      <c r="B350" s="10"/>
    </row>
    <row r="351" spans="1:6" x14ac:dyDescent="0.2">
      <c r="B351" s="10"/>
    </row>
    <row r="352" spans="1:6" x14ac:dyDescent="0.2">
      <c r="B352" s="10"/>
    </row>
    <row r="353" spans="2:2" x14ac:dyDescent="0.2">
      <c r="B353" s="10"/>
    </row>
    <row r="354" spans="2:2" x14ac:dyDescent="0.2">
      <c r="B354" s="10"/>
    </row>
    <row r="355" spans="2:2" x14ac:dyDescent="0.2">
      <c r="B355" s="10"/>
    </row>
    <row r="356" spans="2:2" x14ac:dyDescent="0.2">
      <c r="B356" s="10"/>
    </row>
    <row r="357" spans="2:2" x14ac:dyDescent="0.2">
      <c r="B357" s="10"/>
    </row>
    <row r="358" spans="2:2" x14ac:dyDescent="0.2">
      <c r="B358" s="10"/>
    </row>
    <row r="359" spans="2:2" x14ac:dyDescent="0.2">
      <c r="B359" s="10"/>
    </row>
    <row r="360" spans="2:2" x14ac:dyDescent="0.2">
      <c r="B360" s="10"/>
    </row>
    <row r="361" spans="2:2" x14ac:dyDescent="0.2">
      <c r="B361" s="10"/>
    </row>
    <row r="362" spans="2:2" x14ac:dyDescent="0.2">
      <c r="B362" s="10"/>
    </row>
    <row r="363" spans="2:2" x14ac:dyDescent="0.2">
      <c r="B363" s="10"/>
    </row>
    <row r="364" spans="2:2" x14ac:dyDescent="0.2">
      <c r="B364" s="10"/>
    </row>
    <row r="365" spans="2:2" x14ac:dyDescent="0.2">
      <c r="B365" s="10"/>
    </row>
    <row r="366" spans="2:2" x14ac:dyDescent="0.2">
      <c r="B366" s="10"/>
    </row>
    <row r="367" spans="2:2" x14ac:dyDescent="0.2">
      <c r="B367" s="10"/>
    </row>
    <row r="368" spans="2:2" x14ac:dyDescent="0.2">
      <c r="B368" s="10"/>
    </row>
    <row r="369" spans="2:2" x14ac:dyDescent="0.2">
      <c r="B369" s="10"/>
    </row>
    <row r="370" spans="2:2" x14ac:dyDescent="0.2">
      <c r="B370" s="10"/>
    </row>
    <row r="371" spans="2:2" x14ac:dyDescent="0.2">
      <c r="B371" s="10"/>
    </row>
    <row r="372" spans="2:2" x14ac:dyDescent="0.2">
      <c r="B372" s="10"/>
    </row>
    <row r="373" spans="2:2" x14ac:dyDescent="0.2">
      <c r="B373" s="10"/>
    </row>
    <row r="374" spans="2:2" x14ac:dyDescent="0.2">
      <c r="B374" s="10"/>
    </row>
    <row r="375" spans="2:2" x14ac:dyDescent="0.2">
      <c r="B375" s="10"/>
    </row>
    <row r="376" spans="2:2" x14ac:dyDescent="0.2">
      <c r="B376" s="10"/>
    </row>
    <row r="377" spans="2:2" x14ac:dyDescent="0.2">
      <c r="B377" s="10"/>
    </row>
    <row r="378" spans="2:2" x14ac:dyDescent="0.2">
      <c r="B378" s="10"/>
    </row>
    <row r="379" spans="2:2" x14ac:dyDescent="0.2">
      <c r="B379" s="10"/>
    </row>
    <row r="380" spans="2:2" x14ac:dyDescent="0.2">
      <c r="B380" s="10"/>
    </row>
    <row r="381" spans="2:2" x14ac:dyDescent="0.2">
      <c r="B381" s="10"/>
    </row>
    <row r="382" spans="2:2" x14ac:dyDescent="0.2">
      <c r="B382" s="10"/>
    </row>
    <row r="383" spans="2:2" x14ac:dyDescent="0.2">
      <c r="B383" s="10"/>
    </row>
    <row r="384" spans="2:2" x14ac:dyDescent="0.2">
      <c r="B384" s="10"/>
    </row>
    <row r="385" spans="2:2" x14ac:dyDescent="0.2">
      <c r="B385" s="10"/>
    </row>
    <row r="386" spans="2:2" x14ac:dyDescent="0.2">
      <c r="B386" s="10"/>
    </row>
    <row r="387" spans="2:2" x14ac:dyDescent="0.2">
      <c r="B387" s="10"/>
    </row>
    <row r="388" spans="2:2" x14ac:dyDescent="0.2">
      <c r="B388" s="10"/>
    </row>
    <row r="389" spans="2:2" x14ac:dyDescent="0.2">
      <c r="B389" s="10"/>
    </row>
    <row r="390" spans="2:2" x14ac:dyDescent="0.2">
      <c r="B390" s="10"/>
    </row>
    <row r="391" spans="2:2" x14ac:dyDescent="0.2">
      <c r="B391" s="10"/>
    </row>
    <row r="392" spans="2:2" x14ac:dyDescent="0.2">
      <c r="B392" s="10"/>
    </row>
    <row r="393" spans="2:2" x14ac:dyDescent="0.2">
      <c r="B393" s="10"/>
    </row>
    <row r="394" spans="2:2" x14ac:dyDescent="0.2">
      <c r="B394" s="10"/>
    </row>
    <row r="395" spans="2:2" x14ac:dyDescent="0.2">
      <c r="B395" s="10"/>
    </row>
    <row r="396" spans="2:2" x14ac:dyDescent="0.2">
      <c r="B396" s="10"/>
    </row>
    <row r="397" spans="2:2" x14ac:dyDescent="0.2">
      <c r="B397" s="10"/>
    </row>
    <row r="398" spans="2:2" x14ac:dyDescent="0.2">
      <c r="B398" s="10"/>
    </row>
    <row r="399" spans="2:2" x14ac:dyDescent="0.2">
      <c r="B399" s="10"/>
    </row>
    <row r="400" spans="2:2" x14ac:dyDescent="0.2">
      <c r="B400" s="10"/>
    </row>
    <row r="401" spans="2:2" x14ac:dyDescent="0.2">
      <c r="B401" s="10"/>
    </row>
    <row r="402" spans="2:2" x14ac:dyDescent="0.2">
      <c r="B402" s="10"/>
    </row>
    <row r="403" spans="2:2" x14ac:dyDescent="0.2">
      <c r="B403" s="10"/>
    </row>
    <row r="404" spans="2:2" x14ac:dyDescent="0.2">
      <c r="B404" s="10"/>
    </row>
    <row r="405" spans="2:2" x14ac:dyDescent="0.2">
      <c r="B405" s="10"/>
    </row>
    <row r="406" spans="2:2" x14ac:dyDescent="0.2">
      <c r="B406" s="10"/>
    </row>
    <row r="407" spans="2:2" x14ac:dyDescent="0.2">
      <c r="B407" s="10"/>
    </row>
    <row r="408" spans="2:2" x14ac:dyDescent="0.2">
      <c r="B408" s="10"/>
    </row>
    <row r="409" spans="2:2" x14ac:dyDescent="0.2">
      <c r="B409" s="10"/>
    </row>
    <row r="410" spans="2:2" x14ac:dyDescent="0.2">
      <c r="B410" s="10"/>
    </row>
    <row r="411" spans="2:2" x14ac:dyDescent="0.2">
      <c r="B411" s="10"/>
    </row>
    <row r="412" spans="2:2" x14ac:dyDescent="0.2">
      <c r="B412" s="10"/>
    </row>
    <row r="413" spans="2:2" x14ac:dyDescent="0.2">
      <c r="B413" s="10"/>
    </row>
    <row r="414" spans="2:2" x14ac:dyDescent="0.2">
      <c r="B414" s="10"/>
    </row>
    <row r="415" spans="2:2" x14ac:dyDescent="0.2">
      <c r="B415" s="10"/>
    </row>
    <row r="416" spans="2:2" x14ac:dyDescent="0.2">
      <c r="B416" s="10"/>
    </row>
    <row r="417" spans="2:2" x14ac:dyDescent="0.2">
      <c r="B417" s="10"/>
    </row>
    <row r="418" spans="2:2" x14ac:dyDescent="0.2">
      <c r="B418" s="10"/>
    </row>
    <row r="419" spans="2:2" x14ac:dyDescent="0.2">
      <c r="B419" s="10"/>
    </row>
    <row r="420" spans="2:2" x14ac:dyDescent="0.2">
      <c r="B420" s="10"/>
    </row>
    <row r="421" spans="2:2" x14ac:dyDescent="0.2">
      <c r="B421" s="10"/>
    </row>
    <row r="422" spans="2:2" x14ac:dyDescent="0.2">
      <c r="B422" s="10"/>
    </row>
    <row r="423" spans="2:2" x14ac:dyDescent="0.2">
      <c r="B423" s="10"/>
    </row>
    <row r="424" spans="2:2" x14ac:dyDescent="0.2">
      <c r="B424" s="10"/>
    </row>
    <row r="425" spans="2:2" x14ac:dyDescent="0.2">
      <c r="B425" s="10"/>
    </row>
    <row r="426" spans="2:2" x14ac:dyDescent="0.2">
      <c r="B426" s="10"/>
    </row>
    <row r="427" spans="2:2" x14ac:dyDescent="0.2">
      <c r="B427" s="10"/>
    </row>
    <row r="428" spans="2:2" x14ac:dyDescent="0.2">
      <c r="B428" s="10"/>
    </row>
    <row r="429" spans="2:2" x14ac:dyDescent="0.2">
      <c r="B429" s="10"/>
    </row>
    <row r="430" spans="2:2" x14ac:dyDescent="0.2">
      <c r="B430" s="10"/>
    </row>
    <row r="431" spans="2:2" x14ac:dyDescent="0.2">
      <c r="B431" s="10"/>
    </row>
    <row r="432" spans="2:2" x14ac:dyDescent="0.2">
      <c r="B432" s="10"/>
    </row>
    <row r="433" spans="2:2" x14ac:dyDescent="0.2">
      <c r="B433" s="10"/>
    </row>
    <row r="434" spans="2:2" x14ac:dyDescent="0.2">
      <c r="B434" s="10"/>
    </row>
    <row r="435" spans="2:2" x14ac:dyDescent="0.2">
      <c r="B435" s="10"/>
    </row>
    <row r="436" spans="2:2" x14ac:dyDescent="0.2">
      <c r="B436" s="10"/>
    </row>
    <row r="437" spans="2:2" x14ac:dyDescent="0.2">
      <c r="B437" s="10"/>
    </row>
    <row r="438" spans="2:2" x14ac:dyDescent="0.2">
      <c r="B438" s="10"/>
    </row>
    <row r="439" spans="2:2" x14ac:dyDescent="0.2">
      <c r="B439" s="10"/>
    </row>
    <row r="440" spans="2:2" x14ac:dyDescent="0.2">
      <c r="B440" s="10"/>
    </row>
    <row r="441" spans="2:2" x14ac:dyDescent="0.2">
      <c r="B441" s="10"/>
    </row>
    <row r="442" spans="2:2" x14ac:dyDescent="0.2">
      <c r="B442" s="10"/>
    </row>
    <row r="443" spans="2:2" x14ac:dyDescent="0.2">
      <c r="B443" s="10"/>
    </row>
    <row r="444" spans="2:2" x14ac:dyDescent="0.2">
      <c r="B444" s="10"/>
    </row>
    <row r="445" spans="2:2" x14ac:dyDescent="0.2">
      <c r="B445" s="10"/>
    </row>
    <row r="446" spans="2:2" x14ac:dyDescent="0.2">
      <c r="B446" s="10"/>
    </row>
    <row r="447" spans="2:2" x14ac:dyDescent="0.2">
      <c r="B447" s="10"/>
    </row>
    <row r="448" spans="2:2" x14ac:dyDescent="0.2">
      <c r="B448" s="10"/>
    </row>
    <row r="449" spans="2:2" x14ac:dyDescent="0.2">
      <c r="B449" s="10"/>
    </row>
    <row r="450" spans="2:2" x14ac:dyDescent="0.2">
      <c r="B450" s="10"/>
    </row>
    <row r="451" spans="2:2" x14ac:dyDescent="0.2">
      <c r="B451" s="10"/>
    </row>
    <row r="452" spans="2:2" x14ac:dyDescent="0.2">
      <c r="B452" s="10"/>
    </row>
    <row r="453" spans="2:2" x14ac:dyDescent="0.2">
      <c r="B453" s="10"/>
    </row>
    <row r="454" spans="2:2" x14ac:dyDescent="0.2">
      <c r="B454" s="10"/>
    </row>
    <row r="455" spans="2:2" x14ac:dyDescent="0.2">
      <c r="B455" s="10"/>
    </row>
    <row r="456" spans="2:2" x14ac:dyDescent="0.2">
      <c r="B456" s="10"/>
    </row>
    <row r="457" spans="2:2" x14ac:dyDescent="0.2">
      <c r="B457" s="10"/>
    </row>
    <row r="458" spans="2:2" x14ac:dyDescent="0.2">
      <c r="B458" s="10"/>
    </row>
    <row r="459" spans="2:2" x14ac:dyDescent="0.2">
      <c r="B459" s="10"/>
    </row>
    <row r="460" spans="2:2" x14ac:dyDescent="0.2">
      <c r="B460" s="10"/>
    </row>
    <row r="461" spans="2:2" x14ac:dyDescent="0.2">
      <c r="B461" s="10"/>
    </row>
    <row r="462" spans="2:2" x14ac:dyDescent="0.2">
      <c r="B462" s="10"/>
    </row>
    <row r="463" spans="2:2" x14ac:dyDescent="0.2">
      <c r="B463" s="10"/>
    </row>
    <row r="464" spans="2:2" x14ac:dyDescent="0.2">
      <c r="B464" s="10"/>
    </row>
    <row r="465" spans="2:2" x14ac:dyDescent="0.2">
      <c r="B465" s="10"/>
    </row>
    <row r="466" spans="2:2" x14ac:dyDescent="0.2">
      <c r="B466" s="10"/>
    </row>
    <row r="467" spans="2:2" x14ac:dyDescent="0.2">
      <c r="B467" s="10"/>
    </row>
    <row r="468" spans="2:2" x14ac:dyDescent="0.2">
      <c r="B468" s="10"/>
    </row>
    <row r="469" spans="2:2" x14ac:dyDescent="0.2">
      <c r="B469" s="10"/>
    </row>
    <row r="470" spans="2:2" x14ac:dyDescent="0.2">
      <c r="B470" s="10"/>
    </row>
    <row r="471" spans="2:2" x14ac:dyDescent="0.2">
      <c r="B471" s="10"/>
    </row>
    <row r="472" spans="2:2" x14ac:dyDescent="0.2">
      <c r="B472" s="10"/>
    </row>
    <row r="473" spans="2:2" x14ac:dyDescent="0.2">
      <c r="B473" s="10"/>
    </row>
    <row r="474" spans="2:2" x14ac:dyDescent="0.2">
      <c r="B474" s="10"/>
    </row>
    <row r="475" spans="2:2" x14ac:dyDescent="0.2">
      <c r="B475" s="10"/>
    </row>
    <row r="476" spans="2:2" x14ac:dyDescent="0.2">
      <c r="B476" s="10"/>
    </row>
    <row r="477" spans="2:2" x14ac:dyDescent="0.2">
      <c r="B477" s="10"/>
    </row>
    <row r="478" spans="2:2" x14ac:dyDescent="0.2">
      <c r="B478" s="10"/>
    </row>
    <row r="479" spans="2:2" x14ac:dyDescent="0.2">
      <c r="B479" s="10"/>
    </row>
    <row r="480" spans="2:2" x14ac:dyDescent="0.2">
      <c r="B480" s="10"/>
    </row>
    <row r="481" spans="2:2" x14ac:dyDescent="0.2">
      <c r="B481" s="10"/>
    </row>
    <row r="482" spans="2:2" x14ac:dyDescent="0.2">
      <c r="B482" s="10"/>
    </row>
    <row r="483" spans="2:2" x14ac:dyDescent="0.2">
      <c r="B483" s="10"/>
    </row>
    <row r="484" spans="2:2" x14ac:dyDescent="0.2">
      <c r="B484" s="10"/>
    </row>
    <row r="485" spans="2:2" x14ac:dyDescent="0.2">
      <c r="B485" s="10"/>
    </row>
    <row r="486" spans="2:2" x14ac:dyDescent="0.2">
      <c r="B486" s="10"/>
    </row>
    <row r="487" spans="2:2" x14ac:dyDescent="0.2">
      <c r="B487" s="10"/>
    </row>
    <row r="488" spans="2:2" x14ac:dyDescent="0.2">
      <c r="B488" s="10"/>
    </row>
    <row r="489" spans="2:2" x14ac:dyDescent="0.2">
      <c r="B489" s="10"/>
    </row>
    <row r="490" spans="2:2" x14ac:dyDescent="0.2">
      <c r="B490" s="10"/>
    </row>
    <row r="491" spans="2:2" x14ac:dyDescent="0.2">
      <c r="B491" s="10"/>
    </row>
    <row r="492" spans="2:2" x14ac:dyDescent="0.2">
      <c r="B492" s="10"/>
    </row>
    <row r="493" spans="2:2" x14ac:dyDescent="0.2">
      <c r="B493" s="10"/>
    </row>
    <row r="494" spans="2:2" x14ac:dyDescent="0.2">
      <c r="B494" s="10"/>
    </row>
    <row r="495" spans="2:2" x14ac:dyDescent="0.2">
      <c r="B495" s="10"/>
    </row>
    <row r="496" spans="2:2" x14ac:dyDescent="0.2">
      <c r="B496" s="10"/>
    </row>
    <row r="497" spans="2:2" x14ac:dyDescent="0.2">
      <c r="B497" s="10"/>
    </row>
    <row r="498" spans="2:2" x14ac:dyDescent="0.2">
      <c r="B498" s="10"/>
    </row>
    <row r="499" spans="2:2" x14ac:dyDescent="0.2">
      <c r="B499" s="10"/>
    </row>
    <row r="500" spans="2:2" x14ac:dyDescent="0.2">
      <c r="B500" s="10"/>
    </row>
    <row r="501" spans="2:2" x14ac:dyDescent="0.2">
      <c r="B501" s="10"/>
    </row>
    <row r="502" spans="2:2" x14ac:dyDescent="0.2">
      <c r="B502" s="10"/>
    </row>
    <row r="503" spans="2:2" x14ac:dyDescent="0.2">
      <c r="B503" s="10"/>
    </row>
    <row r="504" spans="2:2" x14ac:dyDescent="0.2">
      <c r="B504" s="10"/>
    </row>
    <row r="505" spans="2:2" x14ac:dyDescent="0.2">
      <c r="B505" s="10"/>
    </row>
    <row r="506" spans="2:2" x14ac:dyDescent="0.2">
      <c r="B506" s="10"/>
    </row>
    <row r="507" spans="2:2" x14ac:dyDescent="0.2">
      <c r="B507" s="10"/>
    </row>
    <row r="508" spans="2:2" x14ac:dyDescent="0.2">
      <c r="B508" s="10"/>
    </row>
    <row r="509" spans="2:2" x14ac:dyDescent="0.2">
      <c r="B509" s="10"/>
    </row>
    <row r="510" spans="2:2" x14ac:dyDescent="0.2">
      <c r="B510" s="10"/>
    </row>
    <row r="511" spans="2:2" x14ac:dyDescent="0.2">
      <c r="B511" s="10"/>
    </row>
    <row r="512" spans="2:2" x14ac:dyDescent="0.2">
      <c r="B512" s="10"/>
    </row>
    <row r="513" spans="2:2" x14ac:dyDescent="0.2">
      <c r="B513" s="10"/>
    </row>
    <row r="514" spans="2:2" x14ac:dyDescent="0.2">
      <c r="B514" s="10"/>
    </row>
    <row r="515" spans="2:2" x14ac:dyDescent="0.2">
      <c r="B515" s="10"/>
    </row>
    <row r="516" spans="2:2" x14ac:dyDescent="0.2">
      <c r="B516" s="10"/>
    </row>
    <row r="517" spans="2:2" x14ac:dyDescent="0.2">
      <c r="B517" s="10"/>
    </row>
    <row r="518" spans="2:2" x14ac:dyDescent="0.2">
      <c r="B518" s="10"/>
    </row>
    <row r="519" spans="2:2" x14ac:dyDescent="0.2">
      <c r="B519" s="10"/>
    </row>
    <row r="520" spans="2:2" x14ac:dyDescent="0.2">
      <c r="B520" s="10"/>
    </row>
    <row r="521" spans="2:2" x14ac:dyDescent="0.2">
      <c r="B521" s="10"/>
    </row>
    <row r="522" spans="2:2" x14ac:dyDescent="0.2">
      <c r="B522" s="10"/>
    </row>
    <row r="523" spans="2:2" x14ac:dyDescent="0.2">
      <c r="B523" s="10"/>
    </row>
    <row r="524" spans="2:2" x14ac:dyDescent="0.2">
      <c r="B524" s="10"/>
    </row>
    <row r="525" spans="2:2" x14ac:dyDescent="0.2">
      <c r="B525" s="10"/>
    </row>
    <row r="526" spans="2:2" x14ac:dyDescent="0.2">
      <c r="B526" s="10"/>
    </row>
    <row r="527" spans="2:2" x14ac:dyDescent="0.2">
      <c r="B527" s="10"/>
    </row>
    <row r="528" spans="2:2" x14ac:dyDescent="0.2">
      <c r="B528" s="10"/>
    </row>
    <row r="529" spans="2:2" x14ac:dyDescent="0.2">
      <c r="B529" s="10"/>
    </row>
    <row r="530" spans="2:2" x14ac:dyDescent="0.2">
      <c r="B530" s="10"/>
    </row>
    <row r="531" spans="2:2" x14ac:dyDescent="0.2">
      <c r="B531" s="10"/>
    </row>
    <row r="532" spans="2:2" x14ac:dyDescent="0.2">
      <c r="B532" s="10"/>
    </row>
    <row r="533" spans="2:2" x14ac:dyDescent="0.2">
      <c r="B533" s="10"/>
    </row>
    <row r="534" spans="2:2" x14ac:dyDescent="0.2">
      <c r="B534" s="10"/>
    </row>
    <row r="535" spans="2:2" x14ac:dyDescent="0.2">
      <c r="B535" s="10"/>
    </row>
    <row r="536" spans="2:2" x14ac:dyDescent="0.2">
      <c r="B536" s="10"/>
    </row>
    <row r="537" spans="2:2" x14ac:dyDescent="0.2">
      <c r="B537" s="10"/>
    </row>
    <row r="538" spans="2:2" x14ac:dyDescent="0.2">
      <c r="B538" s="10"/>
    </row>
    <row r="539" spans="2:2" x14ac:dyDescent="0.2">
      <c r="B539" s="10"/>
    </row>
    <row r="540" spans="2:2" x14ac:dyDescent="0.2">
      <c r="B540" s="10"/>
    </row>
    <row r="541" spans="2:2" x14ac:dyDescent="0.2">
      <c r="B541" s="10"/>
    </row>
    <row r="542" spans="2:2" x14ac:dyDescent="0.2">
      <c r="B542" s="10"/>
    </row>
    <row r="543" spans="2:2" x14ac:dyDescent="0.2">
      <c r="B543" s="10"/>
    </row>
    <row r="544" spans="2:2" x14ac:dyDescent="0.2">
      <c r="B544" s="10"/>
    </row>
    <row r="545" spans="2:2" x14ac:dyDescent="0.2">
      <c r="B545" s="10"/>
    </row>
    <row r="546" spans="2:2" x14ac:dyDescent="0.2">
      <c r="B546" s="10"/>
    </row>
    <row r="547" spans="2:2" x14ac:dyDescent="0.2">
      <c r="B547" s="10"/>
    </row>
    <row r="548" spans="2:2" x14ac:dyDescent="0.2">
      <c r="B548" s="10"/>
    </row>
    <row r="549" spans="2:2" x14ac:dyDescent="0.2">
      <c r="B549" s="10"/>
    </row>
    <row r="550" spans="2:2" x14ac:dyDescent="0.2">
      <c r="B550" s="10"/>
    </row>
    <row r="551" spans="2:2" x14ac:dyDescent="0.2">
      <c r="B551" s="10"/>
    </row>
    <row r="552" spans="2:2" x14ac:dyDescent="0.2">
      <c r="B552" s="10"/>
    </row>
    <row r="553" spans="2:2" x14ac:dyDescent="0.2">
      <c r="B553" s="10"/>
    </row>
    <row r="554" spans="2:2" x14ac:dyDescent="0.2">
      <c r="B554" s="10"/>
    </row>
    <row r="555" spans="2:2" x14ac:dyDescent="0.2">
      <c r="B555" s="10"/>
    </row>
    <row r="556" spans="2:2" x14ac:dyDescent="0.2">
      <c r="B556" s="10"/>
    </row>
    <row r="557" spans="2:2" x14ac:dyDescent="0.2">
      <c r="B557" s="10"/>
    </row>
    <row r="558" spans="2:2" x14ac:dyDescent="0.2">
      <c r="B558" s="10"/>
    </row>
    <row r="559" spans="2:2" x14ac:dyDescent="0.2">
      <c r="B559" s="10"/>
    </row>
    <row r="560" spans="2:2" x14ac:dyDescent="0.2">
      <c r="B560" s="10"/>
    </row>
    <row r="561" spans="2:2" x14ac:dyDescent="0.2">
      <c r="B561" s="10"/>
    </row>
    <row r="562" spans="2:2" x14ac:dyDescent="0.2">
      <c r="B562" s="10"/>
    </row>
    <row r="563" spans="2:2" x14ac:dyDescent="0.2">
      <c r="B563" s="10"/>
    </row>
    <row r="564" spans="2:2" x14ac:dyDescent="0.2">
      <c r="B564" s="10"/>
    </row>
    <row r="565" spans="2:2" x14ac:dyDescent="0.2">
      <c r="B565" s="10"/>
    </row>
    <row r="566" spans="2:2" x14ac:dyDescent="0.2">
      <c r="B566" s="10"/>
    </row>
    <row r="567" spans="2:2" x14ac:dyDescent="0.2">
      <c r="B567" s="10"/>
    </row>
    <row r="568" spans="2:2" x14ac:dyDescent="0.2">
      <c r="B568" s="10"/>
    </row>
    <row r="569" spans="2:2" x14ac:dyDescent="0.2">
      <c r="B569" s="10"/>
    </row>
    <row r="570" spans="2:2" x14ac:dyDescent="0.2">
      <c r="B570" s="10"/>
    </row>
    <row r="571" spans="2:2" x14ac:dyDescent="0.2">
      <c r="B571" s="10"/>
    </row>
    <row r="572" spans="2:2" x14ac:dyDescent="0.2">
      <c r="B572" s="10"/>
    </row>
    <row r="573" spans="2:2" x14ac:dyDescent="0.2">
      <c r="B573" s="10"/>
    </row>
    <row r="574" spans="2:2" x14ac:dyDescent="0.2">
      <c r="B574" s="10"/>
    </row>
    <row r="575" spans="2:2" x14ac:dyDescent="0.2">
      <c r="B575" s="10"/>
    </row>
    <row r="576" spans="2:2" x14ac:dyDescent="0.2">
      <c r="B576" s="10"/>
    </row>
    <row r="577" spans="2:2" x14ac:dyDescent="0.2">
      <c r="B577" s="10"/>
    </row>
    <row r="578" spans="2:2" x14ac:dyDescent="0.2">
      <c r="B578" s="10"/>
    </row>
    <row r="579" spans="2:2" x14ac:dyDescent="0.2">
      <c r="B579" s="10"/>
    </row>
    <row r="580" spans="2:2" x14ac:dyDescent="0.2">
      <c r="B580" s="10"/>
    </row>
    <row r="581" spans="2:2" x14ac:dyDescent="0.2">
      <c r="B581" s="10"/>
    </row>
    <row r="582" spans="2:2" x14ac:dyDescent="0.2">
      <c r="B582" s="10"/>
    </row>
    <row r="583" spans="2:2" x14ac:dyDescent="0.2">
      <c r="B583" s="10"/>
    </row>
    <row r="584" spans="2:2" x14ac:dyDescent="0.2">
      <c r="B584" s="10"/>
    </row>
    <row r="585" spans="2:2" x14ac:dyDescent="0.2">
      <c r="B585" s="10"/>
    </row>
    <row r="586" spans="2:2" x14ac:dyDescent="0.2">
      <c r="B586" s="10"/>
    </row>
    <row r="587" spans="2:2" x14ac:dyDescent="0.2">
      <c r="B587" s="10"/>
    </row>
    <row r="588" spans="2:2" x14ac:dyDescent="0.2">
      <c r="B588" s="10"/>
    </row>
    <row r="589" spans="2:2" x14ac:dyDescent="0.2">
      <c r="B589" s="10"/>
    </row>
    <row r="590" spans="2:2" x14ac:dyDescent="0.2">
      <c r="B590" s="10"/>
    </row>
    <row r="591" spans="2:2" x14ac:dyDescent="0.2">
      <c r="B591" s="10"/>
    </row>
    <row r="592" spans="2:2" x14ac:dyDescent="0.2">
      <c r="B592" s="10"/>
    </row>
    <row r="593" spans="2:2" x14ac:dyDescent="0.2">
      <c r="B593" s="10"/>
    </row>
    <row r="594" spans="2:2" x14ac:dyDescent="0.2">
      <c r="B594" s="10"/>
    </row>
    <row r="595" spans="2:2" x14ac:dyDescent="0.2">
      <c r="B595" s="10"/>
    </row>
    <row r="596" spans="2:2" x14ac:dyDescent="0.2">
      <c r="B596" s="10"/>
    </row>
    <row r="597" spans="2:2" x14ac:dyDescent="0.2">
      <c r="B597" s="10"/>
    </row>
    <row r="598" spans="2:2" x14ac:dyDescent="0.2">
      <c r="B598" s="10"/>
    </row>
    <row r="599" spans="2:2" x14ac:dyDescent="0.2">
      <c r="B599" s="10"/>
    </row>
    <row r="600" spans="2:2" x14ac:dyDescent="0.2">
      <c r="B600" s="10"/>
    </row>
    <row r="601" spans="2:2" x14ac:dyDescent="0.2">
      <c r="B601" s="10"/>
    </row>
    <row r="602" spans="2:2" x14ac:dyDescent="0.2">
      <c r="B602" s="10"/>
    </row>
    <row r="603" spans="2:2" x14ac:dyDescent="0.2">
      <c r="B603" s="10"/>
    </row>
    <row r="604" spans="2:2" x14ac:dyDescent="0.2">
      <c r="B604" s="10"/>
    </row>
    <row r="605" spans="2:2" x14ac:dyDescent="0.2">
      <c r="B605" s="10"/>
    </row>
    <row r="606" spans="2:2" x14ac:dyDescent="0.2">
      <c r="B606" s="10"/>
    </row>
    <row r="607" spans="2:2" x14ac:dyDescent="0.2">
      <c r="B607" s="10"/>
    </row>
    <row r="608" spans="2:2" x14ac:dyDescent="0.2">
      <c r="B608" s="10"/>
    </row>
    <row r="609" spans="2:2" x14ac:dyDescent="0.2">
      <c r="B609" s="10"/>
    </row>
    <row r="610" spans="2:2" x14ac:dyDescent="0.2">
      <c r="B610" s="10"/>
    </row>
    <row r="611" spans="2:2" x14ac:dyDescent="0.2">
      <c r="B611" s="10"/>
    </row>
    <row r="612" spans="2:2" x14ac:dyDescent="0.2">
      <c r="B612" s="10"/>
    </row>
    <row r="613" spans="2:2" x14ac:dyDescent="0.2">
      <c r="B613" s="10"/>
    </row>
    <row r="614" spans="2:2" x14ac:dyDescent="0.2">
      <c r="B614" s="10"/>
    </row>
    <row r="615" spans="2:2" x14ac:dyDescent="0.2">
      <c r="B615" s="10"/>
    </row>
    <row r="616" spans="2:2" x14ac:dyDescent="0.2">
      <c r="B616" s="10"/>
    </row>
    <row r="617" spans="2:2" x14ac:dyDescent="0.2">
      <c r="B617" s="10"/>
    </row>
    <row r="618" spans="2:2" x14ac:dyDescent="0.2">
      <c r="B618" s="10"/>
    </row>
    <row r="619" spans="2:2" x14ac:dyDescent="0.2">
      <c r="B619" s="10"/>
    </row>
    <row r="620" spans="2:2" x14ac:dyDescent="0.2">
      <c r="B620" s="10"/>
    </row>
    <row r="621" spans="2:2" x14ac:dyDescent="0.2">
      <c r="B621" s="10"/>
    </row>
    <row r="622" spans="2:2" x14ac:dyDescent="0.2">
      <c r="B622" s="10"/>
    </row>
    <row r="623" spans="2:2" x14ac:dyDescent="0.2">
      <c r="B623" s="10"/>
    </row>
    <row r="624" spans="2:2" x14ac:dyDescent="0.2">
      <c r="B624" s="10"/>
    </row>
    <row r="625" spans="2:2" x14ac:dyDescent="0.2">
      <c r="B625" s="10"/>
    </row>
    <row r="626" spans="2:2" x14ac:dyDescent="0.2">
      <c r="B626" s="10"/>
    </row>
    <row r="627" spans="2:2" x14ac:dyDescent="0.2">
      <c r="B627" s="10"/>
    </row>
    <row r="628" spans="2:2" x14ac:dyDescent="0.2">
      <c r="B628" s="10"/>
    </row>
    <row r="629" spans="2:2" x14ac:dyDescent="0.2">
      <c r="B629" s="10"/>
    </row>
    <row r="630" spans="2:2" x14ac:dyDescent="0.2">
      <c r="B630" s="10"/>
    </row>
    <row r="631" spans="2:2" x14ac:dyDescent="0.2">
      <c r="B631" s="10"/>
    </row>
    <row r="632" spans="2:2" x14ac:dyDescent="0.2">
      <c r="B632" s="10"/>
    </row>
    <row r="633" spans="2:2" x14ac:dyDescent="0.2">
      <c r="B633" s="10"/>
    </row>
    <row r="634" spans="2:2" x14ac:dyDescent="0.2">
      <c r="B634" s="10"/>
    </row>
    <row r="635" spans="2:2" x14ac:dyDescent="0.2">
      <c r="B635" s="10"/>
    </row>
    <row r="636" spans="2:2" x14ac:dyDescent="0.2">
      <c r="B636" s="10"/>
    </row>
    <row r="637" spans="2:2" x14ac:dyDescent="0.2">
      <c r="B637" s="10"/>
    </row>
    <row r="638" spans="2:2" x14ac:dyDescent="0.2">
      <c r="B638" s="10"/>
    </row>
    <row r="639" spans="2:2" x14ac:dyDescent="0.2">
      <c r="B639" s="10"/>
    </row>
    <row r="640" spans="2:2" x14ac:dyDescent="0.2">
      <c r="B640" s="10"/>
    </row>
    <row r="641" spans="2:2" x14ac:dyDescent="0.2">
      <c r="B641" s="10"/>
    </row>
    <row r="642" spans="2:2" x14ac:dyDescent="0.2">
      <c r="B642" s="10"/>
    </row>
    <row r="643" spans="2:2" x14ac:dyDescent="0.2">
      <c r="B643" s="10"/>
    </row>
    <row r="644" spans="2:2" x14ac:dyDescent="0.2">
      <c r="B644" s="10"/>
    </row>
    <row r="645" spans="2:2" x14ac:dyDescent="0.2">
      <c r="B645" s="10"/>
    </row>
    <row r="646" spans="2:2" x14ac:dyDescent="0.2">
      <c r="B646" s="10"/>
    </row>
    <row r="647" spans="2:2" x14ac:dyDescent="0.2">
      <c r="B647" s="10"/>
    </row>
    <row r="648" spans="2:2" x14ac:dyDescent="0.2">
      <c r="B648" s="10"/>
    </row>
    <row r="649" spans="2:2" x14ac:dyDescent="0.2">
      <c r="B649" s="10"/>
    </row>
    <row r="650" spans="2:2" x14ac:dyDescent="0.2">
      <c r="B650" s="10"/>
    </row>
    <row r="651" spans="2:2" x14ac:dyDescent="0.2">
      <c r="B651" s="10"/>
    </row>
    <row r="652" spans="2:2" x14ac:dyDescent="0.2">
      <c r="B652" s="10"/>
    </row>
    <row r="653" spans="2:2" x14ac:dyDescent="0.2">
      <c r="B653" s="10"/>
    </row>
    <row r="654" spans="2:2" x14ac:dyDescent="0.2">
      <c r="B654" s="10"/>
    </row>
    <row r="655" spans="2:2" x14ac:dyDescent="0.2">
      <c r="B655" s="10"/>
    </row>
    <row r="656" spans="2:2" x14ac:dyDescent="0.2">
      <c r="B656" s="10"/>
    </row>
    <row r="657" spans="2:2" x14ac:dyDescent="0.2">
      <c r="B657" s="10"/>
    </row>
    <row r="658" spans="2:2" x14ac:dyDescent="0.2">
      <c r="B658" s="10"/>
    </row>
    <row r="659" spans="2:2" x14ac:dyDescent="0.2">
      <c r="B659" s="10"/>
    </row>
    <row r="660" spans="2:2" x14ac:dyDescent="0.2">
      <c r="B660" s="10"/>
    </row>
    <row r="661" spans="2:2" x14ac:dyDescent="0.2">
      <c r="B661" s="10"/>
    </row>
    <row r="662" spans="2:2" x14ac:dyDescent="0.2">
      <c r="B662" s="10"/>
    </row>
    <row r="663" spans="2:2" x14ac:dyDescent="0.2">
      <c r="B663" s="10"/>
    </row>
    <row r="664" spans="2:2" x14ac:dyDescent="0.2">
      <c r="B664" s="10"/>
    </row>
    <row r="665" spans="2:2" x14ac:dyDescent="0.2">
      <c r="B665" s="10"/>
    </row>
    <row r="666" spans="2:2" x14ac:dyDescent="0.2">
      <c r="B666" s="10"/>
    </row>
    <row r="667" spans="2:2" x14ac:dyDescent="0.2">
      <c r="B667" s="10"/>
    </row>
    <row r="668" spans="2:2" x14ac:dyDescent="0.2">
      <c r="B668" s="10"/>
    </row>
    <row r="669" spans="2:2" x14ac:dyDescent="0.2">
      <c r="B669" s="10"/>
    </row>
    <row r="670" spans="2:2" x14ac:dyDescent="0.2">
      <c r="B670" s="10"/>
    </row>
    <row r="671" spans="2:2" x14ac:dyDescent="0.2">
      <c r="B671" s="10"/>
    </row>
    <row r="672" spans="2:2" x14ac:dyDescent="0.2">
      <c r="B672" s="10"/>
    </row>
    <row r="673" spans="2:2" x14ac:dyDescent="0.2">
      <c r="B673" s="10"/>
    </row>
    <row r="674" spans="2:2" x14ac:dyDescent="0.2">
      <c r="B674" s="10"/>
    </row>
    <row r="675" spans="2:2" x14ac:dyDescent="0.2">
      <c r="B675" s="10"/>
    </row>
    <row r="676" spans="2:2" x14ac:dyDescent="0.2">
      <c r="B676" s="10"/>
    </row>
    <row r="677" spans="2:2" x14ac:dyDescent="0.2">
      <c r="B677" s="10"/>
    </row>
    <row r="678" spans="2:2" x14ac:dyDescent="0.2">
      <c r="B678" s="10"/>
    </row>
    <row r="679" spans="2:2" x14ac:dyDescent="0.2">
      <c r="B679" s="10"/>
    </row>
    <row r="680" spans="2:2" x14ac:dyDescent="0.2">
      <c r="B680" s="10"/>
    </row>
    <row r="681" spans="2:2" x14ac:dyDescent="0.2">
      <c r="B681" s="10"/>
    </row>
    <row r="682" spans="2:2" x14ac:dyDescent="0.2">
      <c r="B682" s="10"/>
    </row>
    <row r="683" spans="2:2" x14ac:dyDescent="0.2">
      <c r="B683" s="10"/>
    </row>
    <row r="684" spans="2:2" x14ac:dyDescent="0.2">
      <c r="B684" s="10"/>
    </row>
    <row r="685" spans="2:2" x14ac:dyDescent="0.2">
      <c r="B685" s="10"/>
    </row>
    <row r="686" spans="2:2" x14ac:dyDescent="0.2">
      <c r="B686" s="10"/>
    </row>
    <row r="687" spans="2:2" x14ac:dyDescent="0.2">
      <c r="B687" s="10"/>
    </row>
    <row r="688" spans="2:2" x14ac:dyDescent="0.2">
      <c r="B688" s="10"/>
    </row>
    <row r="689" spans="2:2" x14ac:dyDescent="0.2">
      <c r="B689" s="10"/>
    </row>
    <row r="690" spans="2:2" x14ac:dyDescent="0.2">
      <c r="B690" s="10"/>
    </row>
    <row r="691" spans="2:2" x14ac:dyDescent="0.2">
      <c r="B691" s="10"/>
    </row>
    <row r="692" spans="2:2" x14ac:dyDescent="0.2">
      <c r="B692" s="10"/>
    </row>
    <row r="693" spans="2:2" x14ac:dyDescent="0.2">
      <c r="B693" s="10"/>
    </row>
    <row r="694" spans="2:2" x14ac:dyDescent="0.2">
      <c r="B694" s="10"/>
    </row>
    <row r="695" spans="2:2" x14ac:dyDescent="0.2">
      <c r="B695" s="10"/>
    </row>
    <row r="696" spans="2:2" x14ac:dyDescent="0.2">
      <c r="B696" s="10"/>
    </row>
    <row r="697" spans="2:2" x14ac:dyDescent="0.2">
      <c r="B697" s="10"/>
    </row>
    <row r="698" spans="2:2" x14ac:dyDescent="0.2">
      <c r="B698" s="10"/>
    </row>
    <row r="699" spans="2:2" x14ac:dyDescent="0.2">
      <c r="B699" s="10"/>
    </row>
    <row r="700" spans="2:2" x14ac:dyDescent="0.2">
      <c r="B700" s="10"/>
    </row>
    <row r="701" spans="2:2" x14ac:dyDescent="0.2">
      <c r="B701" s="10"/>
    </row>
    <row r="702" spans="2:2" x14ac:dyDescent="0.2">
      <c r="B702" s="10"/>
    </row>
    <row r="703" spans="2:2" x14ac:dyDescent="0.2">
      <c r="B703" s="10"/>
    </row>
    <row r="704" spans="2:2" x14ac:dyDescent="0.2">
      <c r="B704" s="10"/>
    </row>
    <row r="705" spans="2:2" x14ac:dyDescent="0.2">
      <c r="B705" s="10"/>
    </row>
    <row r="706" spans="2:2" x14ac:dyDescent="0.2">
      <c r="B706" s="10"/>
    </row>
    <row r="707" spans="2:2" x14ac:dyDescent="0.2">
      <c r="B707" s="10"/>
    </row>
    <row r="708" spans="2:2" x14ac:dyDescent="0.2">
      <c r="B708" s="10"/>
    </row>
    <row r="709" spans="2:2" x14ac:dyDescent="0.2">
      <c r="B709" s="10"/>
    </row>
    <row r="710" spans="2:2" x14ac:dyDescent="0.2">
      <c r="B710" s="10"/>
    </row>
    <row r="711" spans="2:2" x14ac:dyDescent="0.2">
      <c r="B711" s="10"/>
    </row>
    <row r="712" spans="2:2" x14ac:dyDescent="0.2">
      <c r="B712" s="10"/>
    </row>
    <row r="713" spans="2:2" x14ac:dyDescent="0.2">
      <c r="B713" s="10"/>
    </row>
    <row r="714" spans="2:2" x14ac:dyDescent="0.2">
      <c r="B714" s="10"/>
    </row>
    <row r="715" spans="2:2" x14ac:dyDescent="0.2">
      <c r="B715" s="10"/>
    </row>
    <row r="716" spans="2:2" x14ac:dyDescent="0.2">
      <c r="B716" s="10"/>
    </row>
    <row r="717" spans="2:2" x14ac:dyDescent="0.2">
      <c r="B717" s="10"/>
    </row>
    <row r="718" spans="2:2" x14ac:dyDescent="0.2">
      <c r="B718" s="10"/>
    </row>
    <row r="719" spans="2:2" x14ac:dyDescent="0.2">
      <c r="B719" s="10"/>
    </row>
    <row r="720" spans="2:2" x14ac:dyDescent="0.2">
      <c r="B720" s="10"/>
    </row>
    <row r="721" spans="2:2" x14ac:dyDescent="0.2">
      <c r="B721" s="10"/>
    </row>
    <row r="722" spans="2:2" x14ac:dyDescent="0.2">
      <c r="B722" s="10"/>
    </row>
    <row r="723" spans="2:2" x14ac:dyDescent="0.2">
      <c r="B723" s="10"/>
    </row>
    <row r="724" spans="2:2" x14ac:dyDescent="0.2">
      <c r="B724" s="10"/>
    </row>
    <row r="725" spans="2:2" x14ac:dyDescent="0.2">
      <c r="B725" s="10"/>
    </row>
    <row r="726" spans="2:2" x14ac:dyDescent="0.2">
      <c r="B726" s="10"/>
    </row>
    <row r="727" spans="2:2" x14ac:dyDescent="0.2">
      <c r="B727" s="10"/>
    </row>
    <row r="728" spans="2:2" x14ac:dyDescent="0.2">
      <c r="B728" s="10"/>
    </row>
    <row r="729" spans="2:2" x14ac:dyDescent="0.2">
      <c r="B729" s="10"/>
    </row>
    <row r="730" spans="2:2" x14ac:dyDescent="0.2">
      <c r="B730" s="10"/>
    </row>
    <row r="731" spans="2:2" x14ac:dyDescent="0.2">
      <c r="B731" s="10"/>
    </row>
    <row r="732" spans="2:2" x14ac:dyDescent="0.2">
      <c r="B732" s="10"/>
    </row>
    <row r="733" spans="2:2" x14ac:dyDescent="0.2">
      <c r="B733" s="10"/>
    </row>
    <row r="734" spans="2:2" x14ac:dyDescent="0.2">
      <c r="B734" s="10"/>
    </row>
    <row r="735" spans="2:2" x14ac:dyDescent="0.2">
      <c r="B735" s="10"/>
    </row>
    <row r="736" spans="2:2" x14ac:dyDescent="0.2">
      <c r="B736" s="10"/>
    </row>
    <row r="737" spans="2:2" x14ac:dyDescent="0.2">
      <c r="B737" s="10"/>
    </row>
    <row r="738" spans="2:2" x14ac:dyDescent="0.2">
      <c r="B738" s="10"/>
    </row>
    <row r="739" spans="2:2" x14ac:dyDescent="0.2">
      <c r="B739" s="10"/>
    </row>
    <row r="740" spans="2:2" x14ac:dyDescent="0.2">
      <c r="B740" s="10"/>
    </row>
    <row r="741" spans="2:2" x14ac:dyDescent="0.2">
      <c r="B741" s="10"/>
    </row>
    <row r="742" spans="2:2" x14ac:dyDescent="0.2">
      <c r="B742" s="10"/>
    </row>
    <row r="743" spans="2:2" x14ac:dyDescent="0.2">
      <c r="B743" s="10"/>
    </row>
    <row r="744" spans="2:2" x14ac:dyDescent="0.2">
      <c r="B744" s="10"/>
    </row>
    <row r="745" spans="2:2" x14ac:dyDescent="0.2">
      <c r="B745" s="10"/>
    </row>
    <row r="746" spans="2:2" x14ac:dyDescent="0.2">
      <c r="B746" s="10"/>
    </row>
    <row r="747" spans="2:2" x14ac:dyDescent="0.2">
      <c r="B747" s="10"/>
    </row>
    <row r="748" spans="2:2" x14ac:dyDescent="0.2">
      <c r="B748" s="10"/>
    </row>
    <row r="749" spans="2:2" x14ac:dyDescent="0.2">
      <c r="B749" s="10"/>
    </row>
    <row r="750" spans="2:2" x14ac:dyDescent="0.2">
      <c r="B750" s="10"/>
    </row>
    <row r="751" spans="2:2" x14ac:dyDescent="0.2">
      <c r="B751" s="10"/>
    </row>
    <row r="752" spans="2:2" x14ac:dyDescent="0.2">
      <c r="B752" s="10"/>
    </row>
    <row r="753" spans="2:2" x14ac:dyDescent="0.2">
      <c r="B753" s="10"/>
    </row>
    <row r="754" spans="2:2" x14ac:dyDescent="0.2">
      <c r="B754" s="10"/>
    </row>
    <row r="755" spans="2:2" x14ac:dyDescent="0.2">
      <c r="B755" s="10"/>
    </row>
    <row r="756" spans="2:2" x14ac:dyDescent="0.2">
      <c r="B756" s="10"/>
    </row>
    <row r="757" spans="2:2" x14ac:dyDescent="0.2">
      <c r="B757" s="10"/>
    </row>
    <row r="758" spans="2:2" x14ac:dyDescent="0.2">
      <c r="B758" s="10"/>
    </row>
    <row r="759" spans="2:2" x14ac:dyDescent="0.2">
      <c r="B759" s="10"/>
    </row>
    <row r="760" spans="2:2" x14ac:dyDescent="0.2">
      <c r="B760" s="10"/>
    </row>
    <row r="761" spans="2:2" x14ac:dyDescent="0.2">
      <c r="B761" s="10"/>
    </row>
    <row r="762" spans="2:2" x14ac:dyDescent="0.2">
      <c r="B762" s="10"/>
    </row>
    <row r="763" spans="2:2" x14ac:dyDescent="0.2">
      <c r="B763" s="10"/>
    </row>
    <row r="764" spans="2:2" x14ac:dyDescent="0.2">
      <c r="B764" s="10"/>
    </row>
    <row r="765" spans="2:2" x14ac:dyDescent="0.2">
      <c r="B765" s="10"/>
    </row>
    <row r="766" spans="2:2" x14ac:dyDescent="0.2">
      <c r="B766" s="10"/>
    </row>
    <row r="767" spans="2:2" x14ac:dyDescent="0.2">
      <c r="B767" s="10"/>
    </row>
    <row r="768" spans="2:2" x14ac:dyDescent="0.2">
      <c r="B768" s="10"/>
    </row>
    <row r="769" spans="2:2" x14ac:dyDescent="0.2">
      <c r="B769" s="10"/>
    </row>
    <row r="770" spans="2:2" x14ac:dyDescent="0.2">
      <c r="B770" s="10"/>
    </row>
    <row r="771" spans="2:2" x14ac:dyDescent="0.2">
      <c r="B771" s="10"/>
    </row>
    <row r="772" spans="2:2" x14ac:dyDescent="0.2">
      <c r="B772" s="10"/>
    </row>
    <row r="773" spans="2:2" x14ac:dyDescent="0.2">
      <c r="B773" s="10"/>
    </row>
    <row r="774" spans="2:2" x14ac:dyDescent="0.2">
      <c r="B774" s="10"/>
    </row>
    <row r="775" spans="2:2" x14ac:dyDescent="0.2">
      <c r="B775" s="10"/>
    </row>
    <row r="776" spans="2:2" x14ac:dyDescent="0.2">
      <c r="B776" s="10"/>
    </row>
    <row r="777" spans="2:2" x14ac:dyDescent="0.2">
      <c r="B777" s="10"/>
    </row>
    <row r="778" spans="2:2" x14ac:dyDescent="0.2">
      <c r="B778" s="10"/>
    </row>
    <row r="779" spans="2:2" x14ac:dyDescent="0.2">
      <c r="B779" s="10"/>
    </row>
    <row r="780" spans="2:2" x14ac:dyDescent="0.2">
      <c r="B780" s="10"/>
    </row>
    <row r="781" spans="2:2" x14ac:dyDescent="0.2">
      <c r="B781" s="10"/>
    </row>
    <row r="782" spans="2:2" x14ac:dyDescent="0.2">
      <c r="B782" s="10"/>
    </row>
    <row r="783" spans="2:2" x14ac:dyDescent="0.2">
      <c r="B783" s="10"/>
    </row>
    <row r="784" spans="2:2" x14ac:dyDescent="0.2">
      <c r="B784" s="10"/>
    </row>
    <row r="785" spans="2:2" x14ac:dyDescent="0.2">
      <c r="B785" s="10"/>
    </row>
    <row r="786" spans="2:2" x14ac:dyDescent="0.2">
      <c r="B786" s="10"/>
    </row>
    <row r="787" spans="2:2" x14ac:dyDescent="0.2">
      <c r="B787" s="10"/>
    </row>
    <row r="788" spans="2:2" x14ac:dyDescent="0.2">
      <c r="B788" s="10"/>
    </row>
    <row r="789" spans="2:2" x14ac:dyDescent="0.2">
      <c r="B789" s="10"/>
    </row>
    <row r="790" spans="2:2" x14ac:dyDescent="0.2">
      <c r="B790" s="10"/>
    </row>
    <row r="791" spans="2:2" x14ac:dyDescent="0.2">
      <c r="B791" s="10"/>
    </row>
    <row r="792" spans="2:2" x14ac:dyDescent="0.2">
      <c r="B792" s="10"/>
    </row>
    <row r="793" spans="2:2" x14ac:dyDescent="0.2">
      <c r="B793" s="10"/>
    </row>
    <row r="794" spans="2:2" x14ac:dyDescent="0.2">
      <c r="B794" s="10"/>
    </row>
    <row r="795" spans="2:2" x14ac:dyDescent="0.2">
      <c r="B795" s="10"/>
    </row>
    <row r="796" spans="2:2" x14ac:dyDescent="0.2">
      <c r="B796" s="10"/>
    </row>
    <row r="797" spans="2:2" x14ac:dyDescent="0.2">
      <c r="B797" s="10"/>
    </row>
    <row r="798" spans="2:2" x14ac:dyDescent="0.2">
      <c r="B798" s="10"/>
    </row>
    <row r="799" spans="2:2" x14ac:dyDescent="0.2">
      <c r="B799" s="10"/>
    </row>
    <row r="800" spans="2:2" x14ac:dyDescent="0.2">
      <c r="B800" s="10"/>
    </row>
    <row r="801" spans="2:2" x14ac:dyDescent="0.2">
      <c r="B801" s="10"/>
    </row>
    <row r="802" spans="2:2" x14ac:dyDescent="0.2">
      <c r="B802" s="10"/>
    </row>
    <row r="803" spans="2:2" x14ac:dyDescent="0.2">
      <c r="B803" s="10"/>
    </row>
    <row r="804" spans="2:2" x14ac:dyDescent="0.2">
      <c r="B804" s="10"/>
    </row>
    <row r="805" spans="2:2" x14ac:dyDescent="0.2">
      <c r="B805" s="10"/>
    </row>
    <row r="806" spans="2:2" x14ac:dyDescent="0.2">
      <c r="B806" s="10"/>
    </row>
    <row r="807" spans="2:2" x14ac:dyDescent="0.2">
      <c r="B807" s="10"/>
    </row>
    <row r="808" spans="2:2" x14ac:dyDescent="0.2">
      <c r="B808" s="10"/>
    </row>
    <row r="809" spans="2:2" x14ac:dyDescent="0.2">
      <c r="B809" s="10"/>
    </row>
    <row r="810" spans="2:2" x14ac:dyDescent="0.2">
      <c r="B810" s="10"/>
    </row>
    <row r="811" spans="2:2" x14ac:dyDescent="0.2">
      <c r="B811" s="10"/>
    </row>
    <row r="812" spans="2:2" x14ac:dyDescent="0.2">
      <c r="B812" s="10"/>
    </row>
    <row r="813" spans="2:2" x14ac:dyDescent="0.2">
      <c r="B813" s="10"/>
    </row>
    <row r="814" spans="2:2" x14ac:dyDescent="0.2">
      <c r="B814" s="10"/>
    </row>
    <row r="815" spans="2:2" x14ac:dyDescent="0.2">
      <c r="B815" s="10"/>
    </row>
    <row r="816" spans="2:2" x14ac:dyDescent="0.2">
      <c r="B816" s="10"/>
    </row>
    <row r="817" spans="2:2" x14ac:dyDescent="0.2">
      <c r="B817" s="10"/>
    </row>
    <row r="818" spans="2:2" x14ac:dyDescent="0.2">
      <c r="B818" s="10"/>
    </row>
    <row r="819" spans="2:2" x14ac:dyDescent="0.2">
      <c r="B819" s="10"/>
    </row>
    <row r="820" spans="2:2" x14ac:dyDescent="0.2">
      <c r="B820" s="10"/>
    </row>
    <row r="821" spans="2:2" x14ac:dyDescent="0.2">
      <c r="B821" s="10"/>
    </row>
    <row r="822" spans="2:2" x14ac:dyDescent="0.2">
      <c r="B822" s="10"/>
    </row>
    <row r="823" spans="2:2" x14ac:dyDescent="0.2">
      <c r="B823" s="10"/>
    </row>
    <row r="824" spans="2:2" x14ac:dyDescent="0.2">
      <c r="B824" s="10"/>
    </row>
    <row r="825" spans="2:2" x14ac:dyDescent="0.2">
      <c r="B825" s="10"/>
    </row>
    <row r="826" spans="2:2" x14ac:dyDescent="0.2">
      <c r="B826" s="10"/>
    </row>
    <row r="827" spans="2:2" x14ac:dyDescent="0.2">
      <c r="B827" s="10"/>
    </row>
    <row r="828" spans="2:2" x14ac:dyDescent="0.2">
      <c r="B828" s="10"/>
    </row>
    <row r="829" spans="2:2" x14ac:dyDescent="0.2">
      <c r="B829" s="10"/>
    </row>
    <row r="830" spans="2:2" x14ac:dyDescent="0.2">
      <c r="B830" s="10"/>
    </row>
    <row r="831" spans="2:2" x14ac:dyDescent="0.2">
      <c r="B831" s="10"/>
    </row>
  </sheetData>
  <mergeCells count="1">
    <mergeCell ref="K3:M3"/>
  </mergeCells>
  <phoneticPr fontId="6" type="noConversion"/>
  <pageMargins left="0.75" right="0.75" top="1" bottom="1" header="0.5" footer="0.5"/>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
  <sheetViews>
    <sheetView zoomScale="130" zoomScaleNormal="130" workbookViewId="0">
      <selection activeCell="C8" sqref="C8"/>
    </sheetView>
  </sheetViews>
  <sheetFormatPr defaultColWidth="9" defaultRowHeight="13.5" x14ac:dyDescent="0.15"/>
  <cols>
    <col min="1" max="1" width="19.375" style="1" bestFit="1" customWidth="1"/>
    <col min="2" max="2" width="9.25" style="1" customWidth="1"/>
    <col min="3" max="4" width="11.25" style="1" customWidth="1"/>
    <col min="5" max="5" width="11.625" style="1" customWidth="1"/>
    <col min="6" max="6" width="7.625" style="1" bestFit="1" customWidth="1"/>
    <col min="7" max="7" width="9" style="1"/>
    <col min="8" max="8" width="2.75" style="1" customWidth="1"/>
    <col min="9" max="16384" width="9" style="1"/>
  </cols>
  <sheetData>
    <row r="1" spans="1:7" ht="18" customHeight="1" x14ac:dyDescent="0.15">
      <c r="A1" s="11" t="s">
        <v>454</v>
      </c>
      <c r="B1" s="12"/>
      <c r="E1" s="13" t="s">
        <v>455</v>
      </c>
      <c r="F1" s="14" t="s">
        <v>456</v>
      </c>
      <c r="G1" s="14" t="s">
        <v>0</v>
      </c>
    </row>
    <row r="2" spans="1:7" ht="18" customHeight="1" x14ac:dyDescent="0.15">
      <c r="A2" s="11" t="s">
        <v>457</v>
      </c>
      <c r="B2" s="12"/>
      <c r="E2" s="15">
        <v>44044</v>
      </c>
      <c r="F2" s="16">
        <v>25</v>
      </c>
      <c r="G2" s="17" t="str">
        <f ca="1">IF(E2&lt;=$G$1,"",AVERAGE(OFFSET(G2,-$G$1,-1,$G$1,1)))</f>
        <v/>
      </c>
    </row>
    <row r="3" spans="1:7" ht="18" customHeight="1" x14ac:dyDescent="0.15">
      <c r="A3" s="18"/>
      <c r="B3" s="18"/>
      <c r="E3" s="19">
        <v>44075</v>
      </c>
      <c r="F3" s="16">
        <v>20</v>
      </c>
      <c r="G3" s="17" t="str">
        <f t="shared" ref="G3:G12" ca="1" si="0">IF(E3&lt;=$G$1,"",AVERAGE(OFFSET(G3,-$G$1,-1,$G$1,1)))</f>
        <v/>
      </c>
    </row>
    <row r="4" spans="1:7" ht="18" customHeight="1" x14ac:dyDescent="0.15">
      <c r="A4" s="11" t="s">
        <v>458</v>
      </c>
      <c r="B4" s="20"/>
      <c r="E4" s="19">
        <v>44105</v>
      </c>
      <c r="F4" s="16">
        <v>22</v>
      </c>
      <c r="G4" s="17" t="str">
        <f t="shared" ca="1" si="0"/>
        <v/>
      </c>
    </row>
    <row r="5" spans="1:7" ht="18" customHeight="1" x14ac:dyDescent="0.15">
      <c r="A5" s="11" t="s">
        <v>459</v>
      </c>
      <c r="B5" s="21"/>
      <c r="E5" s="19">
        <v>44136</v>
      </c>
      <c r="F5" s="16">
        <v>19</v>
      </c>
      <c r="G5" s="17" t="str">
        <f t="shared" ca="1" si="0"/>
        <v/>
      </c>
    </row>
    <row r="6" spans="1:7" ht="18" customHeight="1" x14ac:dyDescent="0.15">
      <c r="E6" s="19">
        <v>44166</v>
      </c>
      <c r="F6" s="16">
        <v>16</v>
      </c>
      <c r="G6" s="17" t="str">
        <f t="shared" ca="1" si="0"/>
        <v/>
      </c>
    </row>
    <row r="7" spans="1:7" ht="18" customHeight="1" x14ac:dyDescent="0.15">
      <c r="E7" s="19">
        <v>44197</v>
      </c>
      <c r="F7" s="16">
        <v>26</v>
      </c>
      <c r="G7" s="17" t="str">
        <f t="shared" ca="1" si="0"/>
        <v/>
      </c>
    </row>
    <row r="8" spans="1:7" ht="18" customHeight="1" x14ac:dyDescent="0.15">
      <c r="E8" s="19">
        <v>44228</v>
      </c>
      <c r="F8" s="16">
        <v>19</v>
      </c>
      <c r="G8" s="17" t="str">
        <f t="shared" ca="1" si="0"/>
        <v/>
      </c>
    </row>
    <row r="9" spans="1:7" ht="18" customHeight="1" x14ac:dyDescent="0.15">
      <c r="E9" s="19">
        <v>44256</v>
      </c>
      <c r="F9" s="16">
        <v>18</v>
      </c>
      <c r="G9" s="17" t="str">
        <f t="shared" ca="1" si="0"/>
        <v/>
      </c>
    </row>
    <row r="10" spans="1:7" ht="18" customHeight="1" x14ac:dyDescent="0.15">
      <c r="E10" s="19">
        <v>44287</v>
      </c>
      <c r="F10" s="16">
        <v>17</v>
      </c>
      <c r="G10" s="17" t="str">
        <f t="shared" ca="1" si="0"/>
        <v/>
      </c>
    </row>
    <row r="11" spans="1:7" ht="18" customHeight="1" x14ac:dyDescent="0.15">
      <c r="E11" s="22">
        <v>44317</v>
      </c>
      <c r="F11" s="23">
        <v>22</v>
      </c>
      <c r="G11" s="17" t="str">
        <f t="shared" ca="1" si="0"/>
        <v/>
      </c>
    </row>
    <row r="12" spans="1:7" ht="18" customHeight="1" x14ac:dyDescent="0.15">
      <c r="E12" s="22">
        <v>44348</v>
      </c>
      <c r="F12" s="24"/>
      <c r="G12" s="25" t="str">
        <f t="shared" ca="1" si="0"/>
        <v/>
      </c>
    </row>
  </sheetData>
  <phoneticPr fontId="6"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8"/>
  <sheetViews>
    <sheetView topLeftCell="A13" zoomScale="145" zoomScaleNormal="145" workbookViewId="0">
      <selection activeCell="P8" sqref="P8"/>
    </sheetView>
  </sheetViews>
  <sheetFormatPr defaultColWidth="8.75" defaultRowHeight="13.5" x14ac:dyDescent="0.15"/>
  <cols>
    <col min="1" max="1" width="4" style="49" customWidth="1"/>
    <col min="2" max="2" width="11.75" style="49" bestFit="1" customWidth="1"/>
    <col min="3" max="16384" width="8.75" style="49"/>
  </cols>
  <sheetData>
    <row r="1" spans="1:20" ht="20.100000000000001" customHeight="1" x14ac:dyDescent="0.15">
      <c r="A1" s="47" t="s">
        <v>478</v>
      </c>
      <c r="B1" s="47" t="s">
        <v>479</v>
      </c>
      <c r="C1" s="47" t="s">
        <v>480</v>
      </c>
      <c r="D1" s="47" t="s">
        <v>481</v>
      </c>
      <c r="E1" s="47" t="s">
        <v>482</v>
      </c>
      <c r="F1" s="48"/>
      <c r="G1" s="48"/>
      <c r="H1" s="48"/>
      <c r="I1" s="48"/>
      <c r="J1" s="48"/>
      <c r="K1" s="48"/>
      <c r="L1" s="48"/>
      <c r="M1" s="48"/>
      <c r="N1" s="48"/>
      <c r="O1" s="48"/>
      <c r="P1" s="48"/>
      <c r="Q1" s="48"/>
      <c r="R1" s="48"/>
      <c r="S1" s="48"/>
      <c r="T1" s="48"/>
    </row>
    <row r="2" spans="1:20" ht="20.100000000000001" customHeight="1" x14ac:dyDescent="0.2">
      <c r="A2" s="50">
        <v>1</v>
      </c>
      <c r="B2" s="50">
        <v>2500</v>
      </c>
      <c r="C2" s="50">
        <v>1600</v>
      </c>
      <c r="D2" s="50">
        <v>125</v>
      </c>
      <c r="E2" s="50">
        <v>6000</v>
      </c>
      <c r="F2" s="48"/>
      <c r="G2" s="48"/>
      <c r="H2" s="48"/>
      <c r="I2" s="48"/>
      <c r="J2" s="48"/>
      <c r="K2" s="48"/>
      <c r="L2" s="48"/>
      <c r="M2" s="48"/>
      <c r="N2" s="48"/>
      <c r="O2" s="48"/>
      <c r="P2" s="48"/>
      <c r="Q2" s="48"/>
      <c r="R2" s="48"/>
      <c r="S2" s="48"/>
      <c r="T2" s="48"/>
    </row>
    <row r="3" spans="1:20" ht="20.100000000000001" customHeight="1" x14ac:dyDescent="0.2">
      <c r="A3" s="50">
        <v>2</v>
      </c>
      <c r="B3" s="50">
        <v>2600</v>
      </c>
      <c r="C3" s="50">
        <v>1620</v>
      </c>
      <c r="D3" s="50">
        <v>131</v>
      </c>
      <c r="E3" s="50">
        <v>6400</v>
      </c>
      <c r="F3" s="48"/>
      <c r="G3" s="48"/>
      <c r="H3" s="48"/>
      <c r="I3" s="48"/>
      <c r="J3" s="48"/>
      <c r="K3" s="48"/>
      <c r="L3" s="48"/>
      <c r="M3" s="48"/>
      <c r="N3" s="48"/>
      <c r="O3" s="48"/>
      <c r="P3" s="48"/>
      <c r="Q3" s="48"/>
      <c r="R3" s="48"/>
      <c r="S3" s="48"/>
      <c r="T3" s="48"/>
    </row>
    <row r="4" spans="1:20" ht="20.100000000000001" customHeight="1" x14ac:dyDescent="0.2">
      <c r="A4" s="50">
        <v>3</v>
      </c>
      <c r="B4" s="50">
        <v>2900</v>
      </c>
      <c r="C4" s="50">
        <v>1650</v>
      </c>
      <c r="D4" s="50">
        <v>132</v>
      </c>
      <c r="E4" s="50">
        <v>6500</v>
      </c>
      <c r="F4" s="48"/>
      <c r="G4" s="48"/>
      <c r="H4" s="48"/>
      <c r="I4" s="48"/>
      <c r="J4" s="48"/>
      <c r="K4" s="48"/>
      <c r="L4" s="48"/>
      <c r="M4" s="48"/>
      <c r="N4" s="48"/>
      <c r="O4" s="48"/>
      <c r="P4" s="48"/>
      <c r="Q4" s="48"/>
      <c r="R4" s="48"/>
      <c r="S4" s="48"/>
      <c r="T4" s="48"/>
    </row>
    <row r="5" spans="1:20" ht="20.100000000000001" customHeight="1" x14ac:dyDescent="0.2">
      <c r="A5" s="50">
        <v>4</v>
      </c>
      <c r="B5" s="50">
        <v>3100</v>
      </c>
      <c r="C5" s="50">
        <v>1700</v>
      </c>
      <c r="D5" s="50">
        <v>142</v>
      </c>
      <c r="E5" s="50">
        <v>6900</v>
      </c>
      <c r="F5" s="48"/>
      <c r="G5" s="48"/>
      <c r="H5" s="48"/>
      <c r="I5" s="48"/>
      <c r="J5" s="48"/>
      <c r="K5" s="48"/>
      <c r="L5" s="48"/>
      <c r="M5" s="48"/>
      <c r="N5" s="48"/>
      <c r="O5" s="48"/>
      <c r="P5" s="48"/>
      <c r="Q5" s="48"/>
      <c r="R5" s="48"/>
      <c r="S5" s="48"/>
      <c r="T5" s="48"/>
    </row>
    <row r="6" spans="1:20" ht="20.100000000000001" customHeight="1" x14ac:dyDescent="0.2">
      <c r="A6" s="50">
        <v>5</v>
      </c>
      <c r="B6" s="50">
        <v>3500</v>
      </c>
      <c r="C6" s="50">
        <v>1750</v>
      </c>
      <c r="D6" s="50">
        <v>146</v>
      </c>
      <c r="E6" s="50">
        <v>7200</v>
      </c>
      <c r="F6" s="48"/>
      <c r="G6" s="48"/>
      <c r="H6" s="48"/>
      <c r="I6" s="48"/>
      <c r="J6" s="48"/>
      <c r="K6" s="48"/>
      <c r="L6" s="48"/>
      <c r="M6" s="48"/>
      <c r="N6" s="48"/>
      <c r="O6" s="48"/>
      <c r="P6" s="48"/>
      <c r="Q6" s="48"/>
      <c r="R6" s="48"/>
      <c r="S6" s="48"/>
      <c r="T6" s="48"/>
    </row>
    <row r="7" spans="1:20" ht="20.100000000000001" customHeight="1" x14ac:dyDescent="0.2">
      <c r="A7" s="50">
        <v>6</v>
      </c>
      <c r="B7" s="50">
        <v>4000</v>
      </c>
      <c r="C7" s="50">
        <v>1850</v>
      </c>
      <c r="D7" s="50">
        <v>157</v>
      </c>
      <c r="E7" s="50">
        <v>7500</v>
      </c>
      <c r="F7" s="48"/>
      <c r="G7" s="48"/>
      <c r="H7" s="48"/>
      <c r="I7" s="48"/>
      <c r="J7" s="48"/>
      <c r="K7" s="48"/>
      <c r="L7" s="48"/>
      <c r="M7" s="48"/>
      <c r="N7" s="48"/>
      <c r="O7" s="48"/>
      <c r="P7" s="48"/>
      <c r="Q7" s="48"/>
      <c r="R7" s="48"/>
      <c r="S7" s="48"/>
      <c r="T7" s="48"/>
    </row>
    <row r="8" spans="1:20" ht="20.100000000000001" customHeight="1" x14ac:dyDescent="0.2">
      <c r="A8" s="50">
        <v>7</v>
      </c>
      <c r="B8" s="50">
        <v>4500</v>
      </c>
      <c r="C8" s="50">
        <v>1900</v>
      </c>
      <c r="D8" s="50">
        <v>167</v>
      </c>
      <c r="E8" s="50">
        <v>8000</v>
      </c>
      <c r="F8" s="48"/>
      <c r="G8" s="48"/>
      <c r="H8" s="48"/>
      <c r="I8" s="48"/>
      <c r="J8" s="48"/>
      <c r="K8" s="48"/>
      <c r="L8" s="48"/>
      <c r="M8" s="48"/>
      <c r="N8" s="48"/>
      <c r="O8" s="48"/>
      <c r="P8" s="48"/>
      <c r="Q8" s="48"/>
      <c r="R8" s="48"/>
      <c r="S8" s="48"/>
      <c r="T8" s="48"/>
    </row>
    <row r="9" spans="1:20" ht="20.100000000000001" customHeight="1" x14ac:dyDescent="0.2">
      <c r="A9" s="50">
        <v>8</v>
      </c>
      <c r="B9" s="50">
        <v>5000</v>
      </c>
      <c r="C9" s="50">
        <v>2000</v>
      </c>
      <c r="D9" s="50">
        <v>169</v>
      </c>
      <c r="E9" s="50">
        <v>9000</v>
      </c>
      <c r="F9" s="48"/>
      <c r="G9" s="48"/>
      <c r="H9" s="48"/>
      <c r="I9" s="48"/>
      <c r="J9" s="48"/>
      <c r="K9" s="48"/>
      <c r="L9" s="48"/>
      <c r="M9" s="48"/>
      <c r="N9" s="48"/>
      <c r="O9" s="48"/>
      <c r="P9" s="48"/>
      <c r="Q9" s="48"/>
      <c r="R9" s="48"/>
      <c r="S9" s="48"/>
      <c r="T9" s="48"/>
    </row>
    <row r="10" spans="1:20" ht="20.100000000000001" customHeight="1" x14ac:dyDescent="0.15">
      <c r="A10" s="48"/>
      <c r="B10" s="48"/>
      <c r="C10" s="48"/>
      <c r="D10" s="48"/>
      <c r="E10" s="48"/>
      <c r="F10" s="48"/>
      <c r="G10" s="48"/>
      <c r="H10" s="48"/>
      <c r="I10" s="48"/>
      <c r="J10" s="48"/>
      <c r="K10" s="48"/>
      <c r="L10" s="48"/>
      <c r="M10" s="48"/>
      <c r="N10" s="48"/>
      <c r="O10" s="48"/>
      <c r="P10" s="48"/>
      <c r="Q10" s="48"/>
      <c r="R10" s="48"/>
      <c r="S10" s="48"/>
      <c r="T10" s="48"/>
    </row>
    <row r="11" spans="1:20" ht="20.100000000000001" customHeight="1" x14ac:dyDescent="0.15">
      <c r="A11" s="48"/>
      <c r="B11" s="48"/>
      <c r="C11" s="48"/>
      <c r="D11" s="48"/>
      <c r="E11" s="48"/>
      <c r="F11" s="48"/>
      <c r="G11" s="48"/>
      <c r="H11" s="48"/>
      <c r="I11" s="48"/>
      <c r="J11" s="48"/>
      <c r="K11" s="48"/>
      <c r="L11" s="48"/>
      <c r="M11" s="48"/>
      <c r="N11" s="48"/>
      <c r="O11" s="48"/>
      <c r="P11" s="48"/>
      <c r="Q11" s="48"/>
      <c r="R11" s="48"/>
      <c r="S11" s="48"/>
      <c r="T11" s="48"/>
    </row>
    <row r="12" spans="1:20" ht="20.100000000000001" customHeight="1" x14ac:dyDescent="0.15">
      <c r="A12" s="48"/>
      <c r="B12" s="48"/>
      <c r="C12" s="48"/>
      <c r="D12" s="48"/>
      <c r="E12" s="48"/>
      <c r="F12" s="48"/>
      <c r="G12" s="48"/>
      <c r="H12" s="48"/>
      <c r="I12" s="48"/>
      <c r="J12" s="48"/>
      <c r="K12" s="48"/>
      <c r="L12" s="48"/>
      <c r="M12" s="48"/>
      <c r="N12" s="48"/>
      <c r="O12" s="48"/>
      <c r="P12" s="48"/>
      <c r="Q12" s="48"/>
      <c r="R12" s="48"/>
      <c r="S12" s="48"/>
      <c r="T12" s="48"/>
    </row>
    <row r="13" spans="1:20" ht="20.100000000000001" customHeight="1" x14ac:dyDescent="0.15">
      <c r="A13" s="48"/>
      <c r="B13" s="48"/>
      <c r="C13" s="48"/>
      <c r="D13" s="48"/>
      <c r="E13" s="48"/>
      <c r="F13" s="48"/>
      <c r="G13" s="48"/>
      <c r="H13" s="48"/>
      <c r="I13" s="48"/>
      <c r="J13" s="48"/>
      <c r="K13" s="48"/>
      <c r="L13" s="48"/>
      <c r="M13" s="48"/>
      <c r="N13" s="48"/>
      <c r="O13" s="48"/>
      <c r="P13" s="48"/>
      <c r="Q13" s="48"/>
      <c r="R13" s="48"/>
      <c r="S13" s="48"/>
      <c r="T13" s="48"/>
    </row>
    <row r="14" spans="1:20" ht="20.100000000000001" customHeight="1" x14ac:dyDescent="0.15">
      <c r="A14" s="48"/>
      <c r="B14" s="48"/>
      <c r="C14" s="48"/>
      <c r="D14" s="48"/>
      <c r="E14" s="48"/>
      <c r="F14" s="48"/>
      <c r="G14" s="48"/>
      <c r="H14" s="48"/>
      <c r="I14" s="48"/>
      <c r="J14" s="48"/>
      <c r="K14" s="48"/>
      <c r="L14" s="48"/>
      <c r="M14" s="48"/>
      <c r="N14" s="48"/>
      <c r="O14" s="48"/>
      <c r="P14" s="48"/>
      <c r="Q14" s="48"/>
      <c r="R14" s="48"/>
      <c r="S14" s="48"/>
      <c r="T14" s="48"/>
    </row>
    <row r="15" spans="1:20" ht="20.100000000000001" customHeight="1" x14ac:dyDescent="0.15">
      <c r="A15" s="48"/>
      <c r="B15" s="48"/>
      <c r="C15" s="48"/>
      <c r="D15" s="48"/>
      <c r="E15" s="48"/>
      <c r="F15" s="48"/>
      <c r="G15" s="48"/>
      <c r="H15" s="48"/>
      <c r="I15" s="48"/>
      <c r="J15" s="48"/>
      <c r="K15" s="48"/>
      <c r="L15" s="48"/>
      <c r="M15" s="48"/>
      <c r="N15" s="48"/>
      <c r="O15" s="48"/>
      <c r="P15" s="48"/>
      <c r="Q15" s="48"/>
      <c r="R15" s="48"/>
      <c r="S15" s="48"/>
      <c r="T15" s="48"/>
    </row>
    <row r="16" spans="1:20" ht="20.100000000000001" customHeight="1" x14ac:dyDescent="0.15">
      <c r="A16" s="48"/>
      <c r="B16" s="48"/>
      <c r="C16" s="48"/>
      <c r="D16" s="48"/>
      <c r="E16" s="48"/>
      <c r="F16" s="48"/>
      <c r="G16" s="48"/>
      <c r="H16" s="48"/>
      <c r="I16" s="48"/>
      <c r="J16" s="48"/>
      <c r="K16" s="48"/>
      <c r="L16" s="48"/>
      <c r="M16" s="48"/>
      <c r="N16" s="48"/>
      <c r="O16" s="48"/>
      <c r="P16" s="48"/>
      <c r="Q16" s="48"/>
      <c r="R16" s="48"/>
      <c r="S16" s="48"/>
      <c r="T16" s="48"/>
    </row>
    <row r="17" spans="1:20" ht="20.100000000000001" customHeight="1" x14ac:dyDescent="0.15">
      <c r="A17" s="48"/>
      <c r="B17" s="48"/>
      <c r="C17" s="48"/>
      <c r="D17" s="48"/>
      <c r="E17" s="48"/>
      <c r="F17" s="48"/>
      <c r="G17" s="48"/>
      <c r="H17" s="48"/>
      <c r="I17" s="48"/>
      <c r="J17" s="48"/>
      <c r="K17" s="48"/>
      <c r="L17" s="48"/>
      <c r="M17" s="48"/>
      <c r="N17" s="48"/>
      <c r="O17" s="48"/>
      <c r="P17" s="48"/>
      <c r="Q17" s="48"/>
      <c r="R17" s="48"/>
      <c r="S17" s="48"/>
      <c r="T17" s="48"/>
    </row>
    <row r="18" spans="1:20" ht="20.100000000000001" customHeight="1" x14ac:dyDescent="0.15">
      <c r="A18" s="48"/>
      <c r="B18" s="48"/>
      <c r="C18" s="48"/>
      <c r="D18" s="48"/>
      <c r="E18" s="48"/>
      <c r="F18" s="48"/>
      <c r="G18" s="48"/>
      <c r="H18" s="48"/>
      <c r="I18" s="48"/>
      <c r="J18" s="48"/>
      <c r="K18" s="48"/>
      <c r="L18" s="48"/>
      <c r="M18" s="48"/>
      <c r="N18" s="48"/>
      <c r="O18" s="48"/>
      <c r="P18" s="48"/>
      <c r="Q18" s="48"/>
      <c r="R18" s="48"/>
      <c r="S18" s="48"/>
      <c r="T18" s="48"/>
    </row>
    <row r="19" spans="1:20" ht="20.100000000000001" customHeight="1" x14ac:dyDescent="0.15">
      <c r="A19" s="48"/>
      <c r="B19" s="48"/>
      <c r="C19" s="48"/>
      <c r="D19" s="48"/>
      <c r="E19" s="48"/>
      <c r="F19" s="48"/>
      <c r="G19" s="48"/>
      <c r="H19" s="48"/>
      <c r="I19" s="48"/>
      <c r="J19" s="48"/>
      <c r="K19" s="48"/>
      <c r="L19" s="48"/>
      <c r="M19" s="48"/>
      <c r="N19" s="48"/>
      <c r="O19" s="48"/>
      <c r="P19" s="48"/>
      <c r="Q19" s="48"/>
      <c r="R19" s="48"/>
      <c r="S19" s="48"/>
      <c r="T19" s="48"/>
    </row>
    <row r="20" spans="1:20" ht="20.100000000000001" customHeight="1" x14ac:dyDescent="0.15">
      <c r="A20" s="48"/>
      <c r="B20" s="48"/>
      <c r="C20" s="48"/>
      <c r="D20" s="48"/>
      <c r="E20" s="48"/>
      <c r="F20" s="48"/>
      <c r="G20" s="48"/>
      <c r="H20" s="48"/>
      <c r="I20" s="48"/>
      <c r="J20" s="48"/>
      <c r="K20" s="48"/>
      <c r="L20" s="48"/>
      <c r="M20" s="48"/>
      <c r="N20" s="48"/>
      <c r="O20" s="48"/>
      <c r="P20" s="48"/>
      <c r="Q20" s="48"/>
      <c r="R20" s="48"/>
      <c r="S20" s="48"/>
      <c r="T20" s="48"/>
    </row>
    <row r="21" spans="1:20" ht="20.100000000000001" customHeight="1" x14ac:dyDescent="0.15">
      <c r="A21" s="48"/>
      <c r="B21" s="48"/>
      <c r="C21" s="48"/>
      <c r="D21" s="48"/>
      <c r="E21" s="48"/>
      <c r="F21" s="48"/>
      <c r="G21" s="48"/>
      <c r="H21" s="48"/>
      <c r="I21" s="48"/>
      <c r="J21" s="48"/>
      <c r="K21" s="48"/>
      <c r="L21" s="48"/>
      <c r="M21" s="48"/>
      <c r="N21" s="48"/>
      <c r="O21" s="48"/>
      <c r="P21" s="48"/>
      <c r="Q21" s="48"/>
      <c r="R21" s="48"/>
      <c r="S21" s="48"/>
      <c r="T21" s="48"/>
    </row>
    <row r="22" spans="1:20" ht="20.100000000000001" customHeight="1" x14ac:dyDescent="0.15">
      <c r="A22" s="48"/>
      <c r="B22" s="48"/>
      <c r="C22" s="48"/>
      <c r="D22" s="48"/>
      <c r="E22" s="48"/>
      <c r="F22" s="48"/>
      <c r="G22" s="48"/>
      <c r="H22" s="48"/>
      <c r="I22" s="48"/>
      <c r="J22" s="48"/>
      <c r="K22" s="48"/>
      <c r="L22" s="48"/>
      <c r="M22" s="48"/>
      <c r="N22" s="48"/>
      <c r="O22" s="48"/>
      <c r="P22" s="48"/>
      <c r="Q22" s="48"/>
      <c r="R22" s="48"/>
      <c r="S22" s="48"/>
      <c r="T22" s="48"/>
    </row>
    <row r="23" spans="1:20" ht="20.100000000000001" customHeight="1" x14ac:dyDescent="0.15">
      <c r="A23" s="48"/>
      <c r="B23" s="48"/>
      <c r="C23" s="48"/>
      <c r="D23" s="48"/>
      <c r="E23" s="48"/>
      <c r="F23" s="48"/>
      <c r="G23" s="48"/>
      <c r="H23" s="48"/>
      <c r="I23" s="48"/>
      <c r="J23" s="48"/>
      <c r="K23" s="48"/>
      <c r="L23" s="48"/>
      <c r="M23" s="48"/>
      <c r="N23" s="48"/>
      <c r="O23" s="48"/>
      <c r="P23" s="48"/>
      <c r="Q23" s="48"/>
      <c r="R23" s="48"/>
      <c r="S23" s="48"/>
      <c r="T23" s="48"/>
    </row>
    <row r="24" spans="1:20" ht="20.100000000000001" customHeight="1" x14ac:dyDescent="0.15">
      <c r="A24" s="48"/>
      <c r="B24" s="48"/>
      <c r="C24" s="48"/>
      <c r="D24" s="48"/>
      <c r="E24" s="48"/>
      <c r="F24" s="48"/>
      <c r="G24" s="48"/>
      <c r="H24" s="48"/>
      <c r="I24" s="48"/>
      <c r="J24" s="48"/>
      <c r="K24" s="48"/>
      <c r="L24" s="48"/>
      <c r="M24" s="48"/>
      <c r="N24" s="48"/>
      <c r="O24" s="48"/>
      <c r="P24" s="48"/>
      <c r="Q24" s="48"/>
      <c r="R24" s="48"/>
      <c r="S24" s="48"/>
      <c r="T24" s="48"/>
    </row>
    <row r="25" spans="1:20" ht="20.100000000000001" customHeight="1" x14ac:dyDescent="0.15">
      <c r="A25" s="48"/>
      <c r="B25" s="48"/>
      <c r="C25" s="48"/>
      <c r="D25" s="48"/>
      <c r="E25" s="48"/>
      <c r="F25" s="48"/>
      <c r="G25" s="48"/>
      <c r="H25" s="48"/>
      <c r="I25" s="48"/>
      <c r="J25" s="48"/>
      <c r="K25" s="48"/>
      <c r="L25" s="48"/>
      <c r="M25" s="48"/>
      <c r="N25" s="48"/>
      <c r="O25" s="48"/>
      <c r="P25" s="48"/>
      <c r="Q25" s="48"/>
      <c r="R25" s="48"/>
      <c r="S25" s="48"/>
      <c r="T25" s="48"/>
    </row>
    <row r="26" spans="1:20" ht="20.100000000000001" customHeight="1" x14ac:dyDescent="0.15">
      <c r="A26" s="48"/>
      <c r="B26" s="48"/>
      <c r="C26" s="48"/>
      <c r="D26" s="48"/>
      <c r="E26" s="48"/>
      <c r="F26" s="48"/>
      <c r="G26" s="48"/>
      <c r="H26" s="48"/>
      <c r="I26" s="48"/>
      <c r="J26" s="48"/>
      <c r="K26" s="48"/>
      <c r="L26" s="48"/>
      <c r="M26" s="48"/>
      <c r="N26" s="48"/>
      <c r="O26" s="48"/>
      <c r="P26" s="48"/>
      <c r="Q26" s="48"/>
      <c r="R26" s="48"/>
      <c r="S26" s="48"/>
      <c r="T26" s="48"/>
    </row>
    <row r="27" spans="1:20" ht="20.100000000000001" customHeight="1" x14ac:dyDescent="0.15">
      <c r="A27" s="48"/>
      <c r="B27" s="48"/>
      <c r="C27" s="48"/>
      <c r="D27" s="48"/>
      <c r="E27" s="48"/>
      <c r="F27" s="48"/>
      <c r="G27" s="48"/>
      <c r="H27" s="48"/>
      <c r="I27" s="48"/>
      <c r="J27" s="48"/>
      <c r="K27" s="48"/>
      <c r="L27" s="48"/>
      <c r="M27" s="48"/>
      <c r="N27" s="48"/>
      <c r="O27" s="48"/>
      <c r="P27" s="48"/>
      <c r="Q27" s="48"/>
      <c r="R27" s="48"/>
      <c r="S27" s="48"/>
      <c r="T27" s="48"/>
    </row>
    <row r="28" spans="1:20" ht="20.100000000000001" customHeight="1" x14ac:dyDescent="0.15">
      <c r="A28" s="48"/>
      <c r="B28" s="48"/>
      <c r="C28" s="48"/>
      <c r="D28" s="48"/>
      <c r="E28" s="48"/>
      <c r="F28" s="48"/>
      <c r="G28" s="48"/>
      <c r="H28" s="48"/>
      <c r="I28" s="48"/>
      <c r="J28" s="48"/>
      <c r="K28" s="48"/>
      <c r="L28" s="48"/>
      <c r="M28" s="48"/>
      <c r="N28" s="48"/>
      <c r="O28" s="48"/>
      <c r="P28" s="48"/>
      <c r="Q28" s="48"/>
      <c r="R28" s="48"/>
      <c r="S28" s="48"/>
      <c r="T28" s="48"/>
    </row>
  </sheetData>
  <phoneticPr fontId="6" type="noConversion"/>
  <pageMargins left="0.75" right="0.75" top="1" bottom="1" header="0.5" footer="0.5"/>
  <pageSetup paperSize="9" orientation="portrait"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9"/>
  <sheetViews>
    <sheetView topLeftCell="A19" zoomScale="175" zoomScaleNormal="175" workbookViewId="0">
      <selection activeCell="F13" sqref="F13"/>
    </sheetView>
  </sheetViews>
  <sheetFormatPr defaultColWidth="9" defaultRowHeight="13.5" x14ac:dyDescent="0.15"/>
  <cols>
    <col min="1" max="1" width="3.25" style="38" customWidth="1"/>
    <col min="2" max="2" width="14.125" style="38" customWidth="1"/>
    <col min="3" max="3" width="6.5" style="38" bestFit="1" customWidth="1"/>
    <col min="4" max="4" width="3.375" style="38" customWidth="1"/>
    <col min="5" max="16384" width="9" style="38"/>
  </cols>
  <sheetData>
    <row r="1" spans="1:4" s="28" customFormat="1" ht="14.25" x14ac:dyDescent="0.15">
      <c r="A1" s="26"/>
      <c r="B1" s="27"/>
      <c r="C1" s="27"/>
      <c r="D1" s="26"/>
    </row>
    <row r="2" spans="1:4" s="28" customFormat="1" ht="14.25" x14ac:dyDescent="0.15">
      <c r="A2" s="26"/>
      <c r="B2" s="29" t="s">
        <v>460</v>
      </c>
      <c r="C2" s="30">
        <v>24000</v>
      </c>
      <c r="D2" s="26"/>
    </row>
    <row r="3" spans="1:4" s="28" customFormat="1" ht="14.25" x14ac:dyDescent="0.15">
      <c r="A3" s="26"/>
      <c r="B3" s="29" t="s">
        <v>461</v>
      </c>
      <c r="C3" s="30">
        <v>24</v>
      </c>
      <c r="D3" s="26"/>
    </row>
    <row r="4" spans="1:4" s="28" customFormat="1" ht="14.25" x14ac:dyDescent="0.15">
      <c r="A4" s="26"/>
      <c r="B4" s="29" t="s">
        <v>462</v>
      </c>
      <c r="C4" s="30">
        <v>9</v>
      </c>
      <c r="D4" s="26"/>
    </row>
    <row r="5" spans="1:4" s="28" customFormat="1" ht="14.25" x14ac:dyDescent="0.15">
      <c r="A5" s="26"/>
      <c r="B5" s="27"/>
      <c r="C5" s="27"/>
      <c r="D5" s="26"/>
    </row>
    <row r="6" spans="1:4" s="28" customFormat="1" ht="14.25" x14ac:dyDescent="0.15">
      <c r="A6" s="26"/>
      <c r="B6" s="29" t="s">
        <v>463</v>
      </c>
      <c r="C6" s="31">
        <v>3200</v>
      </c>
      <c r="D6" s="26"/>
    </row>
    <row r="7" spans="1:4" s="28" customFormat="1" ht="14.25" x14ac:dyDescent="0.15">
      <c r="A7" s="26"/>
      <c r="B7" s="27"/>
      <c r="C7" s="27"/>
      <c r="D7" s="26"/>
    </row>
    <row r="8" spans="1:4" s="28" customFormat="1" ht="14.25" x14ac:dyDescent="0.15">
      <c r="A8" s="26"/>
      <c r="B8" s="29" t="s">
        <v>464</v>
      </c>
      <c r="C8" s="32"/>
      <c r="D8" s="26"/>
    </row>
    <row r="9" spans="1:4" s="28" customFormat="1" ht="14.25" x14ac:dyDescent="0.15">
      <c r="A9" s="26"/>
      <c r="B9" s="29" t="s">
        <v>465</v>
      </c>
      <c r="C9" s="32"/>
      <c r="D9" s="26"/>
    </row>
    <row r="10" spans="1:4" s="28" customFormat="1" ht="14.25" x14ac:dyDescent="0.15">
      <c r="A10" s="26"/>
      <c r="B10" s="29" t="s">
        <v>466</v>
      </c>
      <c r="C10" s="32"/>
      <c r="D10" s="26"/>
    </row>
    <row r="11" spans="1:4" s="28" customFormat="1" ht="14.25" x14ac:dyDescent="0.15"/>
    <row r="12" spans="1:4" s="33" customFormat="1" ht="14.25" x14ac:dyDescent="0.15">
      <c r="B12" s="34"/>
    </row>
    <row r="13" spans="1:4" s="33" customFormat="1" ht="14.25" x14ac:dyDescent="0.15">
      <c r="B13" s="34"/>
    </row>
    <row r="14" spans="1:4" s="33" customFormat="1" ht="14.25" x14ac:dyDescent="0.15">
      <c r="B14" s="34"/>
    </row>
    <row r="15" spans="1:4" s="33" customFormat="1" ht="14.25" x14ac:dyDescent="0.15">
      <c r="A15" s="35"/>
      <c r="B15" s="34"/>
      <c r="C15" s="35"/>
      <c r="D15" s="35"/>
    </row>
    <row r="16" spans="1:4" s="33" customFormat="1" ht="14.25" x14ac:dyDescent="0.15">
      <c r="A16" s="35"/>
      <c r="B16" s="34"/>
      <c r="C16" s="35"/>
      <c r="D16" s="35"/>
    </row>
    <row r="17" spans="1:4" s="33" customFormat="1" ht="14.25" x14ac:dyDescent="0.15">
      <c r="A17" s="35"/>
      <c r="D17" s="35"/>
    </row>
    <row r="18" spans="1:4" s="33" customFormat="1" ht="14.25" x14ac:dyDescent="0.15"/>
    <row r="19" spans="1:4" s="33" customFormat="1" ht="14.25" x14ac:dyDescent="0.15"/>
    <row r="20" spans="1:4" s="33" customFormat="1" ht="14.25" x14ac:dyDescent="0.15"/>
    <row r="21" spans="1:4" s="33" customFormat="1" ht="14.25" x14ac:dyDescent="0.15">
      <c r="B21" s="34"/>
    </row>
    <row r="22" spans="1:4" s="33" customFormat="1" ht="14.25" x14ac:dyDescent="0.15">
      <c r="B22" s="34"/>
    </row>
    <row r="23" spans="1:4" s="33" customFormat="1" ht="14.25" x14ac:dyDescent="0.15">
      <c r="B23" s="34"/>
      <c r="C23" s="35"/>
    </row>
    <row r="24" spans="1:4" s="33" customFormat="1" ht="14.25" x14ac:dyDescent="0.15">
      <c r="B24" s="34"/>
      <c r="C24" s="35"/>
    </row>
    <row r="25" spans="1:4" s="36" customFormat="1" x14ac:dyDescent="0.15"/>
    <row r="26" spans="1:4" s="36" customFormat="1" x14ac:dyDescent="0.15"/>
    <row r="27" spans="1:4" s="36" customFormat="1" x14ac:dyDescent="0.15">
      <c r="B27" s="37"/>
    </row>
    <row r="28" spans="1:4" s="36" customFormat="1" x14ac:dyDescent="0.15"/>
    <row r="29" spans="1:4" s="36" customFormat="1" x14ac:dyDescent="0.15">
      <c r="B29" s="37"/>
    </row>
    <row r="30" spans="1:4" s="36" customFormat="1" x14ac:dyDescent="0.15"/>
    <row r="31" spans="1:4" x14ac:dyDescent="0.15">
      <c r="B31" s="39"/>
    </row>
    <row r="33" spans="2:2" x14ac:dyDescent="0.15">
      <c r="B33" s="40"/>
    </row>
    <row r="35" spans="2:2" x14ac:dyDescent="0.15">
      <c r="B35" s="39"/>
    </row>
    <row r="37" spans="2:2" x14ac:dyDescent="0.15">
      <c r="B37" s="39"/>
    </row>
    <row r="39" spans="2:2" x14ac:dyDescent="0.15">
      <c r="B39" s="39"/>
    </row>
  </sheetData>
  <phoneticPr fontId="6"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DQ429"/>
  <sheetViews>
    <sheetView topLeftCell="V40" zoomScale="160" zoomScaleNormal="160" workbookViewId="0">
      <selection activeCell="F10" sqref="F10"/>
    </sheetView>
  </sheetViews>
  <sheetFormatPr defaultColWidth="7.875" defaultRowHeight="13.5" x14ac:dyDescent="0.15"/>
  <cols>
    <col min="1" max="1" width="1.25" style="51" customWidth="1"/>
    <col min="2" max="2" width="13.125" style="51" customWidth="1"/>
    <col min="3" max="3" width="7" style="53" customWidth="1"/>
    <col min="4" max="4" width="1.25" style="53" customWidth="1"/>
    <col min="5" max="5" width="3.625" style="53" customWidth="1"/>
    <col min="6" max="6" width="21" style="53" customWidth="1"/>
    <col min="7" max="7" width="6" style="90" customWidth="1"/>
    <col min="8" max="8" width="9" style="91" customWidth="1"/>
    <col min="9" max="9" width="7.25" style="91" customWidth="1"/>
    <col min="10" max="10" width="6.375" style="91" customWidth="1"/>
    <col min="11" max="12" width="4.375" style="53" customWidth="1"/>
    <col min="13" max="13" width="4.375" style="92" customWidth="1"/>
    <col min="14" max="14" width="0.875" style="53" customWidth="1"/>
    <col min="15" max="15" width="6.875" style="53" customWidth="1"/>
    <col min="16" max="16" width="7.625" style="53" customWidth="1"/>
    <col min="17" max="17" width="1.375" style="53" customWidth="1"/>
    <col min="18" max="18" width="5.375" style="53" customWidth="1"/>
    <col min="19" max="19" width="6.125" style="60" customWidth="1"/>
    <col min="20" max="20" width="7.375" style="60" customWidth="1"/>
    <col min="21" max="21" width="7" style="60" customWidth="1"/>
    <col min="22" max="117" width="7.875" style="60"/>
    <col min="118" max="118" width="5.875" style="60" customWidth="1"/>
    <col min="119" max="119" width="5.75" style="53" customWidth="1"/>
    <col min="120" max="120" width="1.375" style="51" customWidth="1"/>
    <col min="121" max="190" width="17.125" style="51" customWidth="1"/>
    <col min="191" max="191" width="9.25" style="51" customWidth="1"/>
    <col min="192" max="199" width="16.25" style="51" customWidth="1"/>
    <col min="200" max="200" width="9.25" style="51" customWidth="1"/>
    <col min="201" max="16384" width="7.875" style="51"/>
  </cols>
  <sheetData>
    <row r="1" spans="2:119" x14ac:dyDescent="0.15">
      <c r="B1" s="52"/>
      <c r="E1" s="54" t="s">
        <v>483</v>
      </c>
      <c r="F1" s="55"/>
      <c r="G1" s="53"/>
      <c r="H1" s="53"/>
      <c r="I1" s="53"/>
      <c r="J1" s="56" t="s">
        <v>484</v>
      </c>
      <c r="K1" s="57">
        <f>SUM(K5:K369)</f>
        <v>0</v>
      </c>
      <c r="L1" s="57">
        <f>SUM(L5:L369)</f>
        <v>0</v>
      </c>
      <c r="M1" s="57">
        <f>SUM(M5:M369)</f>
        <v>0</v>
      </c>
      <c r="O1" s="58" t="s">
        <v>485</v>
      </c>
      <c r="P1" s="53" t="s">
        <v>486</v>
      </c>
      <c r="R1" s="59" t="s">
        <v>487</v>
      </c>
      <c r="DO1" s="56" t="s">
        <v>488</v>
      </c>
    </row>
    <row r="2" spans="2:119" ht="13.9" customHeight="1" x14ac:dyDescent="0.15">
      <c r="B2" s="61" t="s">
        <v>489</v>
      </c>
      <c r="E2" s="101" t="s">
        <v>490</v>
      </c>
      <c r="F2" s="62" t="s">
        <v>491</v>
      </c>
      <c r="G2" s="63" t="s">
        <v>492</v>
      </c>
      <c r="H2" s="63" t="s">
        <v>493</v>
      </c>
      <c r="I2" s="64" t="s">
        <v>494</v>
      </c>
      <c r="J2" s="63" t="s">
        <v>495</v>
      </c>
      <c r="K2" s="65" t="s">
        <v>495</v>
      </c>
      <c r="L2" s="65" t="s">
        <v>494</v>
      </c>
      <c r="M2" s="65" t="s">
        <v>496</v>
      </c>
      <c r="P2" s="57"/>
      <c r="R2" s="66"/>
      <c r="S2" s="67">
        <v>1</v>
      </c>
      <c r="T2" s="67">
        <v>2</v>
      </c>
      <c r="U2" s="67">
        <v>3</v>
      </c>
      <c r="V2" s="67">
        <v>4</v>
      </c>
      <c r="W2" s="67">
        <v>5</v>
      </c>
      <c r="X2" s="67">
        <v>6</v>
      </c>
      <c r="Y2" s="67">
        <v>7</v>
      </c>
      <c r="Z2" s="67">
        <v>8</v>
      </c>
      <c r="AA2" s="67">
        <v>9</v>
      </c>
      <c r="AB2" s="67">
        <v>10</v>
      </c>
      <c r="AC2" s="67">
        <v>11</v>
      </c>
      <c r="AD2" s="67">
        <v>12</v>
      </c>
      <c r="AE2" s="67">
        <v>13</v>
      </c>
      <c r="AF2" s="67">
        <v>14</v>
      </c>
      <c r="AG2" s="67">
        <v>15</v>
      </c>
      <c r="AH2" s="67">
        <v>16</v>
      </c>
      <c r="AI2" s="67">
        <v>17</v>
      </c>
      <c r="AJ2" s="67">
        <v>18</v>
      </c>
      <c r="AK2" s="67">
        <v>19</v>
      </c>
      <c r="AL2" s="67">
        <v>20</v>
      </c>
      <c r="AM2" s="67">
        <v>21</v>
      </c>
      <c r="AN2" s="67">
        <v>22</v>
      </c>
      <c r="AO2" s="67">
        <v>23</v>
      </c>
      <c r="AP2" s="67">
        <v>24</v>
      </c>
      <c r="AQ2" s="67">
        <v>25</v>
      </c>
      <c r="AR2" s="67">
        <v>26</v>
      </c>
      <c r="AS2" s="67">
        <v>27</v>
      </c>
      <c r="AT2" s="67">
        <v>28</v>
      </c>
      <c r="AU2" s="67">
        <v>29</v>
      </c>
      <c r="AV2" s="67">
        <v>30</v>
      </c>
      <c r="AW2" s="67">
        <v>31</v>
      </c>
      <c r="AX2" s="67">
        <v>32</v>
      </c>
      <c r="AY2" s="67">
        <v>33</v>
      </c>
      <c r="AZ2" s="67">
        <v>34</v>
      </c>
      <c r="BA2" s="67">
        <v>35</v>
      </c>
      <c r="BB2" s="67">
        <v>36</v>
      </c>
      <c r="BC2" s="67">
        <v>37</v>
      </c>
      <c r="BD2" s="67">
        <v>38</v>
      </c>
      <c r="BE2" s="67">
        <v>39</v>
      </c>
      <c r="BF2" s="67">
        <v>40</v>
      </c>
      <c r="BG2" s="67">
        <v>41</v>
      </c>
      <c r="BH2" s="67">
        <v>42</v>
      </c>
      <c r="BI2" s="67">
        <v>43</v>
      </c>
      <c r="BJ2" s="67">
        <v>44</v>
      </c>
      <c r="BK2" s="67">
        <v>45</v>
      </c>
      <c r="BL2" s="67">
        <v>46</v>
      </c>
      <c r="BM2" s="67">
        <v>47</v>
      </c>
      <c r="BN2" s="67">
        <v>48</v>
      </c>
      <c r="BO2" s="67">
        <v>49</v>
      </c>
      <c r="BP2" s="67">
        <v>50</v>
      </c>
      <c r="BQ2" s="67">
        <v>51</v>
      </c>
      <c r="BR2" s="67">
        <v>52</v>
      </c>
      <c r="BS2" s="67">
        <v>53</v>
      </c>
      <c r="BT2" s="67">
        <v>54</v>
      </c>
      <c r="BU2" s="67">
        <v>55</v>
      </c>
      <c r="BV2" s="67">
        <v>56</v>
      </c>
      <c r="BW2" s="67">
        <v>57</v>
      </c>
      <c r="BX2" s="67">
        <v>58</v>
      </c>
      <c r="BY2" s="67">
        <v>59</v>
      </c>
      <c r="BZ2" s="67">
        <v>60</v>
      </c>
      <c r="CA2" s="67">
        <v>61</v>
      </c>
      <c r="CB2" s="67">
        <v>62</v>
      </c>
      <c r="CC2" s="67">
        <v>63</v>
      </c>
      <c r="CD2" s="67">
        <v>64</v>
      </c>
      <c r="CE2" s="67">
        <v>65</v>
      </c>
      <c r="CF2" s="67">
        <v>66</v>
      </c>
      <c r="CG2" s="67">
        <v>67</v>
      </c>
      <c r="CH2" s="67">
        <v>68</v>
      </c>
      <c r="CI2" s="67">
        <v>69</v>
      </c>
      <c r="CJ2" s="67">
        <v>70</v>
      </c>
      <c r="CK2" s="67">
        <v>71</v>
      </c>
      <c r="CL2" s="67">
        <v>72</v>
      </c>
      <c r="CM2" s="67">
        <v>73</v>
      </c>
      <c r="CN2" s="67">
        <v>74</v>
      </c>
      <c r="CO2" s="67">
        <v>75</v>
      </c>
      <c r="CP2" s="67">
        <v>76</v>
      </c>
      <c r="CQ2" s="67">
        <v>77</v>
      </c>
      <c r="CR2" s="67">
        <v>78</v>
      </c>
      <c r="CS2" s="67">
        <v>79</v>
      </c>
      <c r="CT2" s="67">
        <v>80</v>
      </c>
      <c r="CU2" s="67">
        <v>81</v>
      </c>
      <c r="CV2" s="67">
        <v>82</v>
      </c>
      <c r="CW2" s="67">
        <v>83</v>
      </c>
      <c r="CX2" s="67">
        <v>84</v>
      </c>
      <c r="CY2" s="67">
        <v>85</v>
      </c>
      <c r="CZ2" s="67">
        <v>86</v>
      </c>
      <c r="DA2" s="67">
        <v>87</v>
      </c>
      <c r="DB2" s="67">
        <v>88</v>
      </c>
      <c r="DC2" s="67">
        <v>89</v>
      </c>
      <c r="DD2" s="67">
        <v>90</v>
      </c>
      <c r="DE2" s="67">
        <v>91</v>
      </c>
      <c r="DF2" s="67">
        <v>92</v>
      </c>
      <c r="DG2" s="67">
        <v>93</v>
      </c>
      <c r="DH2" s="67">
        <v>94</v>
      </c>
      <c r="DI2" s="67">
        <v>95</v>
      </c>
      <c r="DJ2" s="67">
        <v>96</v>
      </c>
      <c r="DK2" s="67">
        <v>97</v>
      </c>
      <c r="DL2" s="67">
        <v>98</v>
      </c>
      <c r="DM2" s="67">
        <v>99</v>
      </c>
      <c r="DN2" s="67">
        <v>100</v>
      </c>
      <c r="DO2" s="68" t="s">
        <v>497</v>
      </c>
    </row>
    <row r="3" spans="2:119" ht="14.1" customHeight="1" x14ac:dyDescent="0.15">
      <c r="B3" s="69" t="s">
        <v>498</v>
      </c>
      <c r="C3" s="70">
        <v>100</v>
      </c>
      <c r="E3" s="102"/>
      <c r="F3" s="71" t="s">
        <v>499</v>
      </c>
      <c r="G3" s="72" t="s">
        <v>500</v>
      </c>
      <c r="H3" s="72" t="s">
        <v>500</v>
      </c>
      <c r="I3" s="73" t="s">
        <v>501</v>
      </c>
      <c r="J3" s="72" t="s">
        <v>502</v>
      </c>
      <c r="K3" s="74" t="s">
        <v>503</v>
      </c>
      <c r="L3" s="74" t="s">
        <v>504</v>
      </c>
      <c r="M3" s="74" t="s">
        <v>504</v>
      </c>
      <c r="O3" s="70">
        <v>600</v>
      </c>
      <c r="P3" s="57"/>
      <c r="R3" s="70">
        <v>600</v>
      </c>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75"/>
      <c r="CZ3" s="75"/>
      <c r="DA3" s="75"/>
      <c r="DB3" s="75"/>
      <c r="DC3" s="75"/>
      <c r="DD3" s="75"/>
      <c r="DE3" s="75"/>
      <c r="DF3" s="75"/>
      <c r="DG3" s="75"/>
      <c r="DH3" s="75"/>
      <c r="DI3" s="75"/>
      <c r="DJ3" s="75"/>
      <c r="DK3" s="75"/>
      <c r="DL3" s="75"/>
      <c r="DM3" s="75"/>
      <c r="DN3" s="75"/>
      <c r="DO3" s="57"/>
    </row>
    <row r="4" spans="2:119" ht="13.35" customHeight="1" x14ac:dyDescent="0.15">
      <c r="B4" s="76" t="s">
        <v>505</v>
      </c>
      <c r="C4" s="70">
        <v>200</v>
      </c>
      <c r="E4" s="77">
        <v>0</v>
      </c>
      <c r="F4" s="57"/>
      <c r="G4" s="57"/>
      <c r="H4" s="57">
        <f>C6</f>
        <v>100</v>
      </c>
      <c r="I4" s="57"/>
      <c r="J4" s="57"/>
      <c r="K4" s="57"/>
      <c r="L4" s="57"/>
      <c r="M4" s="70"/>
      <c r="O4" s="70">
        <v>700</v>
      </c>
      <c r="P4" s="57"/>
      <c r="R4" s="70">
        <v>700</v>
      </c>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c r="CY4" s="75"/>
      <c r="CZ4" s="75"/>
      <c r="DA4" s="75"/>
      <c r="DB4" s="75"/>
      <c r="DC4" s="75"/>
      <c r="DD4" s="75"/>
      <c r="DE4" s="75"/>
      <c r="DF4" s="75"/>
      <c r="DG4" s="75"/>
      <c r="DH4" s="75"/>
      <c r="DI4" s="75"/>
      <c r="DJ4" s="75"/>
      <c r="DK4" s="75"/>
      <c r="DL4" s="75"/>
      <c r="DM4" s="75"/>
      <c r="DN4" s="75"/>
      <c r="DO4" s="57"/>
    </row>
    <row r="5" spans="2:119" ht="13.35" customHeight="1" x14ac:dyDescent="0.15">
      <c r="B5" s="69" t="s">
        <v>523</v>
      </c>
      <c r="C5" s="70">
        <v>10</v>
      </c>
      <c r="E5" s="77">
        <v>1</v>
      </c>
      <c r="F5" s="57"/>
      <c r="G5" s="57"/>
      <c r="H5" s="57"/>
      <c r="I5" s="57"/>
      <c r="J5" s="57"/>
      <c r="K5" s="57"/>
      <c r="L5" s="57"/>
      <c r="M5" s="78"/>
      <c r="O5" s="70">
        <v>800</v>
      </c>
      <c r="P5" s="57"/>
      <c r="R5" s="70">
        <v>800</v>
      </c>
      <c r="S5" s="75"/>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75"/>
      <c r="BE5" s="75"/>
      <c r="BF5" s="75"/>
      <c r="BG5" s="75"/>
      <c r="BH5" s="75"/>
      <c r="BI5" s="75"/>
      <c r="BJ5" s="75"/>
      <c r="BK5" s="75"/>
      <c r="BL5" s="75"/>
      <c r="BM5" s="75"/>
      <c r="BN5" s="75"/>
      <c r="BO5" s="75"/>
      <c r="BP5" s="75"/>
      <c r="BQ5" s="75"/>
      <c r="BR5" s="75"/>
      <c r="BS5" s="75"/>
      <c r="BT5" s="75"/>
      <c r="BU5" s="75"/>
      <c r="BV5" s="75"/>
      <c r="BW5" s="75"/>
      <c r="BX5" s="75"/>
      <c r="BY5" s="75"/>
      <c r="BZ5" s="75"/>
      <c r="CA5" s="75"/>
      <c r="CB5" s="75"/>
      <c r="CC5" s="75"/>
      <c r="CD5" s="75"/>
      <c r="CE5" s="75"/>
      <c r="CF5" s="75"/>
      <c r="CG5" s="75"/>
      <c r="CH5" s="75"/>
      <c r="CI5" s="75"/>
      <c r="CJ5" s="75"/>
      <c r="CK5" s="75"/>
      <c r="CL5" s="75"/>
      <c r="CM5" s="75"/>
      <c r="CN5" s="75"/>
      <c r="CO5" s="75"/>
      <c r="CP5" s="75"/>
      <c r="CQ5" s="75"/>
      <c r="CR5" s="75"/>
      <c r="CS5" s="75"/>
      <c r="CT5" s="75"/>
      <c r="CU5" s="75"/>
      <c r="CV5" s="75"/>
      <c r="CW5" s="75"/>
      <c r="CX5" s="75"/>
      <c r="CY5" s="75"/>
      <c r="CZ5" s="75"/>
      <c r="DA5" s="75"/>
      <c r="DB5" s="75"/>
      <c r="DC5" s="75"/>
      <c r="DD5" s="75"/>
      <c r="DE5" s="75"/>
      <c r="DF5" s="75"/>
      <c r="DG5" s="75"/>
      <c r="DH5" s="75"/>
      <c r="DI5" s="75"/>
      <c r="DJ5" s="75"/>
      <c r="DK5" s="75"/>
      <c r="DL5" s="75"/>
      <c r="DM5" s="75"/>
      <c r="DN5" s="75"/>
      <c r="DO5" s="57"/>
    </row>
    <row r="6" spans="2:119" ht="13.35" customHeight="1" x14ac:dyDescent="0.15">
      <c r="B6" s="76" t="s">
        <v>506</v>
      </c>
      <c r="C6" s="70">
        <v>100</v>
      </c>
      <c r="E6" s="77">
        <v>2</v>
      </c>
      <c r="F6" s="57"/>
      <c r="G6" s="57"/>
      <c r="H6" s="57"/>
      <c r="I6" s="57"/>
      <c r="J6" s="57"/>
      <c r="K6" s="57"/>
      <c r="L6" s="57"/>
      <c r="M6" s="78"/>
      <c r="O6" s="70">
        <v>900</v>
      </c>
      <c r="P6" s="57"/>
      <c r="R6" s="70">
        <v>900</v>
      </c>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5"/>
      <c r="BK6" s="75"/>
      <c r="BL6" s="75"/>
      <c r="BM6" s="75"/>
      <c r="BN6" s="75"/>
      <c r="BO6" s="75"/>
      <c r="BP6" s="75"/>
      <c r="BQ6" s="75"/>
      <c r="BR6" s="75"/>
      <c r="BS6" s="75"/>
      <c r="BT6" s="75"/>
      <c r="BU6" s="75"/>
      <c r="BV6" s="75"/>
      <c r="BW6" s="75"/>
      <c r="BX6" s="75"/>
      <c r="BY6" s="75"/>
      <c r="BZ6" s="75"/>
      <c r="CA6" s="75"/>
      <c r="CB6" s="75"/>
      <c r="CC6" s="75"/>
      <c r="CD6" s="75"/>
      <c r="CE6" s="75"/>
      <c r="CF6" s="75"/>
      <c r="CG6" s="75"/>
      <c r="CH6" s="75"/>
      <c r="CI6" s="75"/>
      <c r="CJ6" s="75"/>
      <c r="CK6" s="75"/>
      <c r="CL6" s="75"/>
      <c r="CM6" s="75"/>
      <c r="CN6" s="75"/>
      <c r="CO6" s="75"/>
      <c r="CP6" s="75"/>
      <c r="CQ6" s="75"/>
      <c r="CR6" s="75"/>
      <c r="CS6" s="75"/>
      <c r="CT6" s="75"/>
      <c r="CU6" s="75"/>
      <c r="CV6" s="75"/>
      <c r="CW6" s="75"/>
      <c r="CX6" s="75"/>
      <c r="CY6" s="75"/>
      <c r="CZ6" s="75"/>
      <c r="DA6" s="75"/>
      <c r="DB6" s="75"/>
      <c r="DC6" s="75"/>
      <c r="DD6" s="75"/>
      <c r="DE6" s="75"/>
      <c r="DF6" s="75"/>
      <c r="DG6" s="75"/>
      <c r="DH6" s="75"/>
      <c r="DI6" s="75"/>
      <c r="DJ6" s="75"/>
      <c r="DK6" s="75"/>
      <c r="DL6" s="75"/>
      <c r="DM6" s="75"/>
      <c r="DN6" s="75"/>
      <c r="DO6" s="57"/>
    </row>
    <row r="7" spans="2:119" ht="13.35" customHeight="1" x14ac:dyDescent="0.15">
      <c r="B7" s="79" t="s">
        <v>507</v>
      </c>
      <c r="C7" s="80"/>
      <c r="E7" s="77">
        <v>3</v>
      </c>
      <c r="F7" s="57"/>
      <c r="G7" s="57"/>
      <c r="H7" s="57"/>
      <c r="I7" s="57"/>
      <c r="J7" s="57"/>
      <c r="K7" s="57"/>
      <c r="L7" s="57"/>
      <c r="M7" s="78"/>
      <c r="O7" s="70">
        <v>1000</v>
      </c>
      <c r="P7" s="57"/>
      <c r="R7" s="70">
        <v>1000</v>
      </c>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c r="AT7" s="75"/>
      <c r="AU7" s="75"/>
      <c r="AV7" s="75"/>
      <c r="AW7" s="75"/>
      <c r="AX7" s="75"/>
      <c r="AY7" s="75"/>
      <c r="AZ7" s="75"/>
      <c r="BA7" s="75"/>
      <c r="BB7" s="75"/>
      <c r="BC7" s="75"/>
      <c r="BD7" s="75"/>
      <c r="BE7" s="75"/>
      <c r="BF7" s="75"/>
      <c r="BG7" s="75"/>
      <c r="BH7" s="75"/>
      <c r="BI7" s="75"/>
      <c r="BJ7" s="75"/>
      <c r="BK7" s="75"/>
      <c r="BL7" s="75"/>
      <c r="BM7" s="75"/>
      <c r="BN7" s="75"/>
      <c r="BO7" s="75"/>
      <c r="BP7" s="75"/>
      <c r="BQ7" s="75"/>
      <c r="BR7" s="75"/>
      <c r="BS7" s="75"/>
      <c r="BT7" s="75"/>
      <c r="BU7" s="75"/>
      <c r="BV7" s="75"/>
      <c r="BW7" s="75"/>
      <c r="BX7" s="75"/>
      <c r="BY7" s="75"/>
      <c r="BZ7" s="75"/>
      <c r="CA7" s="75"/>
      <c r="CB7" s="75"/>
      <c r="CC7" s="75"/>
      <c r="CD7" s="75"/>
      <c r="CE7" s="75"/>
      <c r="CF7" s="75"/>
      <c r="CG7" s="75"/>
      <c r="CH7" s="75"/>
      <c r="CI7" s="75"/>
      <c r="CJ7" s="75"/>
      <c r="CK7" s="75"/>
      <c r="CL7" s="75"/>
      <c r="CM7" s="75"/>
      <c r="CN7" s="75"/>
      <c r="CO7" s="75"/>
      <c r="CP7" s="75"/>
      <c r="CQ7" s="75"/>
      <c r="CR7" s="75"/>
      <c r="CS7" s="75"/>
      <c r="CT7" s="75"/>
      <c r="CU7" s="75"/>
      <c r="CV7" s="75"/>
      <c r="CW7" s="75"/>
      <c r="CX7" s="75"/>
      <c r="CY7" s="75"/>
      <c r="CZ7" s="75"/>
      <c r="DA7" s="75"/>
      <c r="DB7" s="75"/>
      <c r="DC7" s="75"/>
      <c r="DD7" s="75"/>
      <c r="DE7" s="75"/>
      <c r="DF7" s="75"/>
      <c r="DG7" s="75"/>
      <c r="DH7" s="75"/>
      <c r="DI7" s="75"/>
      <c r="DJ7" s="75"/>
      <c r="DK7" s="75"/>
      <c r="DL7" s="75"/>
      <c r="DM7" s="75"/>
      <c r="DN7" s="75"/>
      <c r="DO7" s="57"/>
    </row>
    <row r="8" spans="2:119" ht="13.35" customHeight="1" x14ac:dyDescent="0.15">
      <c r="B8" s="69" t="s">
        <v>508</v>
      </c>
      <c r="C8" s="70">
        <v>50</v>
      </c>
      <c r="E8" s="77">
        <v>4</v>
      </c>
      <c r="F8" s="57"/>
      <c r="G8" s="57"/>
      <c r="H8" s="57"/>
      <c r="I8" s="57"/>
      <c r="J8" s="57"/>
      <c r="K8" s="57"/>
      <c r="L8" s="57"/>
      <c r="M8" s="78"/>
      <c r="O8" s="70">
        <v>1100</v>
      </c>
      <c r="P8" s="57"/>
      <c r="R8" s="70">
        <v>1100</v>
      </c>
      <c r="S8" s="75"/>
      <c r="T8" s="75"/>
      <c r="U8" s="75"/>
      <c r="V8" s="75"/>
      <c r="W8" s="75"/>
      <c r="X8" s="75"/>
      <c r="Y8" s="75"/>
      <c r="Z8" s="75"/>
      <c r="AA8" s="75"/>
      <c r="AB8" s="75"/>
      <c r="AC8" s="75"/>
      <c r="AD8" s="75"/>
      <c r="AE8" s="75"/>
      <c r="AF8" s="75"/>
      <c r="AG8" s="75"/>
      <c r="AH8" s="75"/>
      <c r="AI8" s="75"/>
      <c r="AJ8" s="75"/>
      <c r="AK8" s="75"/>
      <c r="AL8" s="75"/>
      <c r="AM8" s="75"/>
      <c r="AN8" s="75"/>
      <c r="AO8" s="75"/>
      <c r="AP8" s="75"/>
      <c r="AQ8" s="75"/>
      <c r="AR8" s="75"/>
      <c r="AS8" s="75"/>
      <c r="AT8" s="75"/>
      <c r="AU8" s="75"/>
      <c r="AV8" s="75"/>
      <c r="AW8" s="75"/>
      <c r="AX8" s="75"/>
      <c r="AY8" s="75"/>
      <c r="AZ8" s="75"/>
      <c r="BA8" s="75"/>
      <c r="BB8" s="75"/>
      <c r="BC8" s="75"/>
      <c r="BD8" s="75"/>
      <c r="BE8" s="75"/>
      <c r="BF8" s="75"/>
      <c r="BG8" s="75"/>
      <c r="BH8" s="75"/>
      <c r="BI8" s="75"/>
      <c r="BJ8" s="75"/>
      <c r="BK8" s="75"/>
      <c r="BL8" s="75"/>
      <c r="BM8" s="75"/>
      <c r="BN8" s="75"/>
      <c r="BO8" s="75"/>
      <c r="BP8" s="75"/>
      <c r="BQ8" s="75"/>
      <c r="BR8" s="75"/>
      <c r="BS8" s="75"/>
      <c r="BT8" s="75"/>
      <c r="BU8" s="75"/>
      <c r="BV8" s="75"/>
      <c r="BW8" s="75"/>
      <c r="BX8" s="75"/>
      <c r="BY8" s="75"/>
      <c r="BZ8" s="75"/>
      <c r="CA8" s="75"/>
      <c r="CB8" s="75"/>
      <c r="CC8" s="75"/>
      <c r="CD8" s="75"/>
      <c r="CE8" s="75"/>
      <c r="CF8" s="75"/>
      <c r="CG8" s="75"/>
      <c r="CH8" s="75"/>
      <c r="CI8" s="75"/>
      <c r="CJ8" s="75"/>
      <c r="CK8" s="75"/>
      <c r="CL8" s="75"/>
      <c r="CM8" s="75"/>
      <c r="CN8" s="75"/>
      <c r="CO8" s="75"/>
      <c r="CP8" s="75"/>
      <c r="CQ8" s="75"/>
      <c r="CR8" s="75"/>
      <c r="CS8" s="75"/>
      <c r="CT8" s="75"/>
      <c r="CU8" s="75"/>
      <c r="CV8" s="75"/>
      <c r="CW8" s="75"/>
      <c r="CX8" s="75"/>
      <c r="CY8" s="75"/>
      <c r="CZ8" s="75"/>
      <c r="DA8" s="75"/>
      <c r="DB8" s="75"/>
      <c r="DC8" s="75"/>
      <c r="DD8" s="75"/>
      <c r="DE8" s="75"/>
      <c r="DF8" s="75"/>
      <c r="DG8" s="75"/>
      <c r="DH8" s="75"/>
      <c r="DI8" s="75"/>
      <c r="DJ8" s="75"/>
      <c r="DK8" s="75"/>
      <c r="DL8" s="75"/>
      <c r="DM8" s="75"/>
      <c r="DN8" s="75"/>
      <c r="DO8" s="57"/>
    </row>
    <row r="9" spans="2:119" ht="13.35" customHeight="1" x14ac:dyDescent="0.15">
      <c r="B9" s="69" t="s">
        <v>509</v>
      </c>
      <c r="C9" s="70">
        <v>1000</v>
      </c>
      <c r="E9" s="77">
        <v>5</v>
      </c>
      <c r="F9" s="57"/>
      <c r="G9" s="57"/>
      <c r="H9" s="57"/>
      <c r="I9" s="57"/>
      <c r="J9" s="57"/>
      <c r="K9" s="57"/>
      <c r="L9" s="57"/>
      <c r="M9" s="78"/>
      <c r="O9" s="70">
        <v>1200</v>
      </c>
      <c r="P9" s="57"/>
      <c r="R9" s="70">
        <v>1200</v>
      </c>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5"/>
      <c r="BB9" s="75"/>
      <c r="BC9" s="75"/>
      <c r="BD9" s="75"/>
      <c r="BE9" s="75"/>
      <c r="BF9" s="75"/>
      <c r="BG9" s="75"/>
      <c r="BH9" s="75"/>
      <c r="BI9" s="75"/>
      <c r="BJ9" s="75"/>
      <c r="BK9" s="75"/>
      <c r="BL9" s="75"/>
      <c r="BM9" s="75"/>
      <c r="BN9" s="75"/>
      <c r="BO9" s="75"/>
      <c r="BP9" s="75"/>
      <c r="BQ9" s="75"/>
      <c r="BR9" s="75"/>
      <c r="BS9" s="75"/>
      <c r="BT9" s="75"/>
      <c r="BU9" s="75"/>
      <c r="BV9" s="75"/>
      <c r="BW9" s="75"/>
      <c r="BX9" s="75"/>
      <c r="BY9" s="75"/>
      <c r="BZ9" s="75"/>
      <c r="CA9" s="75"/>
      <c r="CB9" s="75"/>
      <c r="CC9" s="75"/>
      <c r="CD9" s="75"/>
      <c r="CE9" s="75"/>
      <c r="CF9" s="75"/>
      <c r="CG9" s="75"/>
      <c r="CH9" s="75"/>
      <c r="CI9" s="75"/>
      <c r="CJ9" s="75"/>
      <c r="CK9" s="75"/>
      <c r="CL9" s="75"/>
      <c r="CM9" s="75"/>
      <c r="CN9" s="75"/>
      <c r="CO9" s="75"/>
      <c r="CP9" s="75"/>
      <c r="CQ9" s="75"/>
      <c r="CR9" s="75"/>
      <c r="CS9" s="75"/>
      <c r="CT9" s="75"/>
      <c r="CU9" s="75"/>
      <c r="CV9" s="75"/>
      <c r="CW9" s="75"/>
      <c r="CX9" s="75"/>
      <c r="CY9" s="75"/>
      <c r="CZ9" s="75"/>
      <c r="DA9" s="75"/>
      <c r="DB9" s="75"/>
      <c r="DC9" s="75"/>
      <c r="DD9" s="75"/>
      <c r="DE9" s="75"/>
      <c r="DF9" s="75"/>
      <c r="DG9" s="75"/>
      <c r="DH9" s="75"/>
      <c r="DI9" s="75"/>
      <c r="DJ9" s="75"/>
      <c r="DK9" s="75"/>
      <c r="DL9" s="75"/>
      <c r="DM9" s="75"/>
      <c r="DN9" s="75"/>
      <c r="DO9" s="57"/>
    </row>
    <row r="10" spans="2:119" ht="13.35" customHeight="1" x14ac:dyDescent="0.15">
      <c r="B10" s="59" t="s">
        <v>484</v>
      </c>
      <c r="E10" s="77">
        <v>6</v>
      </c>
      <c r="F10" s="57"/>
      <c r="G10" s="57"/>
      <c r="H10" s="57"/>
      <c r="I10" s="57"/>
      <c r="J10" s="57"/>
      <c r="K10" s="57"/>
      <c r="L10" s="57"/>
      <c r="M10" s="78"/>
      <c r="O10" s="70">
        <v>1300</v>
      </c>
      <c r="P10" s="57"/>
      <c r="R10" s="70">
        <v>1300</v>
      </c>
      <c r="S10" s="75"/>
      <c r="T10" s="75"/>
      <c r="U10" s="75"/>
      <c r="V10" s="75"/>
      <c r="W10" s="75"/>
      <c r="X10" s="75"/>
      <c r="Y10" s="75"/>
      <c r="Z10" s="75"/>
      <c r="AA10" s="75"/>
      <c r="AB10" s="75"/>
      <c r="AC10" s="75"/>
      <c r="AD10" s="75"/>
      <c r="AE10" s="75"/>
      <c r="AF10" s="75"/>
      <c r="AG10" s="75"/>
      <c r="AH10" s="75"/>
      <c r="AI10" s="75"/>
      <c r="AJ10" s="75"/>
      <c r="AK10" s="75"/>
      <c r="AL10" s="75"/>
      <c r="AM10" s="75"/>
      <c r="AN10" s="75"/>
      <c r="AO10" s="75"/>
      <c r="AP10" s="75"/>
      <c r="AQ10" s="75"/>
      <c r="AR10" s="75"/>
      <c r="AS10" s="75"/>
      <c r="AT10" s="75"/>
      <c r="AU10" s="75"/>
      <c r="AV10" s="75"/>
      <c r="AW10" s="75"/>
      <c r="AX10" s="75"/>
      <c r="AY10" s="75"/>
      <c r="AZ10" s="75"/>
      <c r="BA10" s="75"/>
      <c r="BB10" s="75"/>
      <c r="BC10" s="75"/>
      <c r="BD10" s="75"/>
      <c r="BE10" s="75"/>
      <c r="BF10" s="75"/>
      <c r="BG10" s="75"/>
      <c r="BH10" s="75"/>
      <c r="BI10" s="75"/>
      <c r="BJ10" s="75"/>
      <c r="BK10" s="75"/>
      <c r="BL10" s="75"/>
      <c r="BM10" s="75"/>
      <c r="BN10" s="75"/>
      <c r="BO10" s="75"/>
      <c r="BP10" s="75"/>
      <c r="BQ10" s="75"/>
      <c r="BR10" s="75"/>
      <c r="BS10" s="75"/>
      <c r="BT10" s="75"/>
      <c r="BU10" s="75"/>
      <c r="BV10" s="75"/>
      <c r="BW10" s="75"/>
      <c r="BX10" s="75"/>
      <c r="BY10" s="75"/>
      <c r="BZ10" s="75"/>
      <c r="CA10" s="75"/>
      <c r="CB10" s="75"/>
      <c r="CC10" s="75"/>
      <c r="CD10" s="75"/>
      <c r="CE10" s="75"/>
      <c r="CF10" s="75"/>
      <c r="CG10" s="75"/>
      <c r="CH10" s="75"/>
      <c r="CI10" s="75"/>
      <c r="CJ10" s="75"/>
      <c r="CK10" s="75"/>
      <c r="CL10" s="75"/>
      <c r="CM10" s="75"/>
      <c r="CN10" s="75"/>
      <c r="CO10" s="75"/>
      <c r="CP10" s="75"/>
      <c r="CQ10" s="75"/>
      <c r="CR10" s="75"/>
      <c r="CS10" s="75"/>
      <c r="CT10" s="75"/>
      <c r="CU10" s="75"/>
      <c r="CV10" s="75"/>
      <c r="CW10" s="75"/>
      <c r="CX10" s="75"/>
      <c r="CY10" s="75"/>
      <c r="CZ10" s="75"/>
      <c r="DA10" s="75"/>
      <c r="DB10" s="75"/>
      <c r="DC10" s="75"/>
      <c r="DD10" s="75"/>
      <c r="DE10" s="75"/>
      <c r="DF10" s="75"/>
      <c r="DG10" s="75"/>
      <c r="DH10" s="75"/>
      <c r="DI10" s="75"/>
      <c r="DJ10" s="75"/>
      <c r="DK10" s="75"/>
      <c r="DL10" s="75"/>
      <c r="DM10" s="75"/>
      <c r="DN10" s="75"/>
      <c r="DO10" s="57"/>
    </row>
    <row r="11" spans="2:119" ht="13.35" customHeight="1" x14ac:dyDescent="0.15">
      <c r="B11" s="69" t="s">
        <v>510</v>
      </c>
      <c r="C11" s="57"/>
      <c r="E11" s="77">
        <v>7</v>
      </c>
      <c r="F11" s="57"/>
      <c r="G11" s="57"/>
      <c r="H11" s="57"/>
      <c r="I11" s="57"/>
      <c r="J11" s="57"/>
      <c r="K11" s="57"/>
      <c r="L11" s="57"/>
      <c r="M11" s="78"/>
      <c r="O11" s="70">
        <v>1400</v>
      </c>
      <c r="P11" s="57"/>
      <c r="R11" s="70">
        <v>1400</v>
      </c>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BI11" s="75"/>
      <c r="BJ11" s="75"/>
      <c r="BK11" s="75"/>
      <c r="BL11" s="75"/>
      <c r="BM11" s="75"/>
      <c r="BN11" s="75"/>
      <c r="BO11" s="75"/>
      <c r="BP11" s="75"/>
      <c r="BQ11" s="75"/>
      <c r="BR11" s="75"/>
      <c r="BS11" s="75"/>
      <c r="BT11" s="75"/>
      <c r="BU11" s="75"/>
      <c r="BV11" s="75"/>
      <c r="BW11" s="75"/>
      <c r="BX11" s="75"/>
      <c r="BY11" s="75"/>
      <c r="BZ11" s="75"/>
      <c r="CA11" s="75"/>
      <c r="CB11" s="75"/>
      <c r="CC11" s="75"/>
      <c r="CD11" s="75"/>
      <c r="CE11" s="75"/>
      <c r="CF11" s="75"/>
      <c r="CG11" s="75"/>
      <c r="CH11" s="75"/>
      <c r="CI11" s="75"/>
      <c r="CJ11" s="75"/>
      <c r="CK11" s="75"/>
      <c r="CL11" s="75"/>
      <c r="CM11" s="75"/>
      <c r="CN11" s="75"/>
      <c r="CO11" s="75"/>
      <c r="CP11" s="75"/>
      <c r="CQ11" s="75"/>
      <c r="CR11" s="75"/>
      <c r="CS11" s="75"/>
      <c r="CT11" s="75"/>
      <c r="CU11" s="75"/>
      <c r="CV11" s="75"/>
      <c r="CW11" s="75"/>
      <c r="CX11" s="75"/>
      <c r="CY11" s="75"/>
      <c r="CZ11" s="75"/>
      <c r="DA11" s="75"/>
      <c r="DB11" s="75"/>
      <c r="DC11" s="75"/>
      <c r="DD11" s="75"/>
      <c r="DE11" s="75"/>
      <c r="DF11" s="75"/>
      <c r="DG11" s="75"/>
      <c r="DH11" s="75"/>
      <c r="DI11" s="75"/>
      <c r="DJ11" s="75"/>
      <c r="DK11" s="75"/>
      <c r="DL11" s="75"/>
      <c r="DM11" s="75"/>
      <c r="DN11" s="75"/>
      <c r="DO11" s="57"/>
    </row>
    <row r="12" spans="2:119" ht="12.75" customHeight="1" x14ac:dyDescent="0.15">
      <c r="B12" s="69" t="s">
        <v>511</v>
      </c>
      <c r="C12" s="57"/>
      <c r="E12" s="77">
        <v>8</v>
      </c>
      <c r="F12" s="57"/>
      <c r="G12" s="57"/>
      <c r="H12" s="57"/>
      <c r="I12" s="57"/>
      <c r="J12" s="57"/>
      <c r="K12" s="57"/>
      <c r="L12" s="57"/>
      <c r="M12" s="78"/>
      <c r="O12" s="70">
        <v>1500</v>
      </c>
      <c r="P12" s="57"/>
      <c r="R12" s="70">
        <v>1500</v>
      </c>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5"/>
      <c r="CG12" s="75"/>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75"/>
      <c r="DH12" s="75"/>
      <c r="DI12" s="75"/>
      <c r="DJ12" s="75"/>
      <c r="DK12" s="75"/>
      <c r="DL12" s="75"/>
      <c r="DM12" s="75"/>
      <c r="DN12" s="75"/>
      <c r="DO12" s="57"/>
    </row>
    <row r="13" spans="2:119" ht="13.35" customHeight="1" x14ac:dyDescent="0.15">
      <c r="B13" s="69" t="s">
        <v>512</v>
      </c>
      <c r="C13" s="57"/>
      <c r="E13" s="77">
        <v>9</v>
      </c>
      <c r="F13" s="57"/>
      <c r="G13" s="57"/>
      <c r="H13" s="57"/>
      <c r="I13" s="57"/>
      <c r="J13" s="57"/>
      <c r="K13" s="57"/>
      <c r="L13" s="57"/>
      <c r="M13" s="78"/>
      <c r="O13" s="70">
        <v>1600</v>
      </c>
      <c r="P13" s="57"/>
      <c r="R13" s="70">
        <v>1600</v>
      </c>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5"/>
      <c r="CG13" s="75"/>
      <c r="CH13" s="75"/>
      <c r="CI13" s="75"/>
      <c r="CJ13" s="75"/>
      <c r="CK13" s="75"/>
      <c r="CL13" s="75"/>
      <c r="CM13" s="75"/>
      <c r="CN13" s="75"/>
      <c r="CO13" s="75"/>
      <c r="CP13" s="75"/>
      <c r="CQ13" s="75"/>
      <c r="CR13" s="75"/>
      <c r="CS13" s="75"/>
      <c r="CT13" s="75"/>
      <c r="CU13" s="75"/>
      <c r="CV13" s="75"/>
      <c r="CW13" s="75"/>
      <c r="CX13" s="75"/>
      <c r="CY13" s="75"/>
      <c r="CZ13" s="75"/>
      <c r="DA13" s="75"/>
      <c r="DB13" s="75"/>
      <c r="DC13" s="75"/>
      <c r="DD13" s="75"/>
      <c r="DE13" s="75"/>
      <c r="DF13" s="75"/>
      <c r="DG13" s="75"/>
      <c r="DH13" s="75"/>
      <c r="DI13" s="75"/>
      <c r="DJ13" s="75"/>
      <c r="DK13" s="75"/>
      <c r="DL13" s="75"/>
      <c r="DM13" s="75"/>
      <c r="DN13" s="75"/>
      <c r="DO13" s="57"/>
    </row>
    <row r="14" spans="2:119" ht="12.75" customHeight="1" x14ac:dyDescent="0.15">
      <c r="B14" s="76" t="s">
        <v>513</v>
      </c>
      <c r="C14" s="57"/>
      <c r="E14" s="77">
        <v>10</v>
      </c>
      <c r="F14" s="57"/>
      <c r="G14" s="57"/>
      <c r="H14" s="57"/>
      <c r="I14" s="57"/>
      <c r="J14" s="57"/>
      <c r="K14" s="57"/>
      <c r="L14" s="57"/>
      <c r="M14" s="78"/>
      <c r="P14" s="81"/>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row>
    <row r="15" spans="2:119" ht="12.75" customHeight="1" x14ac:dyDescent="0.15">
      <c r="B15" s="52"/>
      <c r="E15" s="77">
        <v>11</v>
      </c>
      <c r="F15" s="57"/>
      <c r="G15" s="57"/>
      <c r="H15" s="57"/>
      <c r="I15" s="57"/>
      <c r="J15" s="57"/>
      <c r="K15" s="57"/>
      <c r="L15" s="57"/>
      <c r="M15" s="78"/>
      <c r="O15" s="82" t="s">
        <v>514</v>
      </c>
      <c r="P15" s="83"/>
      <c r="Q15" s="52"/>
      <c r="R15" s="52" t="s">
        <v>515</v>
      </c>
      <c r="S15" s="52"/>
      <c r="T15" s="53"/>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row>
    <row r="16" spans="2:119" ht="12.75" customHeight="1" x14ac:dyDescent="0.15">
      <c r="B16" s="52" t="s">
        <v>516</v>
      </c>
      <c r="E16" s="77">
        <v>12</v>
      </c>
      <c r="F16" s="57"/>
      <c r="G16" s="57"/>
      <c r="H16" s="57"/>
      <c r="I16" s="57"/>
      <c r="J16" s="57"/>
      <c r="K16" s="57"/>
      <c r="L16" s="57"/>
      <c r="M16" s="78"/>
      <c r="O16" s="75"/>
      <c r="P16" s="75"/>
      <c r="Q16" s="52"/>
      <c r="R16" s="70" t="s">
        <v>517</v>
      </c>
      <c r="S16" s="70" t="s">
        <v>518</v>
      </c>
      <c r="T16" s="70" t="s">
        <v>519</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row>
    <row r="17" spans="2:121" ht="14.25" x14ac:dyDescent="0.15">
      <c r="B17" s="69" t="s">
        <v>520</v>
      </c>
      <c r="C17" s="57"/>
      <c r="E17" s="77">
        <v>13</v>
      </c>
      <c r="F17" s="57"/>
      <c r="G17" s="57"/>
      <c r="H17" s="57"/>
      <c r="I17" s="57"/>
      <c r="J17" s="57"/>
      <c r="K17" s="57"/>
      <c r="L17" s="57"/>
      <c r="M17" s="78"/>
      <c r="O17" s="75"/>
      <c r="P17" s="75"/>
      <c r="Q17" s="52"/>
      <c r="R17" s="70">
        <v>80</v>
      </c>
      <c r="S17" s="84">
        <v>0.1</v>
      </c>
      <c r="T17" s="70"/>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row>
    <row r="18" spans="2:121" ht="12.75" customHeight="1" x14ac:dyDescent="0.15">
      <c r="B18" s="69" t="s">
        <v>521</v>
      </c>
      <c r="C18" s="70"/>
      <c r="E18" s="77">
        <v>14</v>
      </c>
      <c r="F18" s="57"/>
      <c r="G18" s="57"/>
      <c r="H18" s="57"/>
      <c r="I18" s="57"/>
      <c r="J18" s="57"/>
      <c r="K18" s="57"/>
      <c r="L18" s="57"/>
      <c r="M18" s="78"/>
      <c r="O18" s="75"/>
      <c r="P18" s="75"/>
      <c r="Q18" s="52"/>
      <c r="R18" s="70">
        <v>90</v>
      </c>
      <c r="S18" s="84">
        <v>0.2</v>
      </c>
      <c r="T18" s="84"/>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row>
    <row r="19" spans="2:121" ht="12.75" customHeight="1" x14ac:dyDescent="0.15">
      <c r="B19" s="52"/>
      <c r="E19" s="77">
        <v>15</v>
      </c>
      <c r="F19" s="57"/>
      <c r="G19" s="57"/>
      <c r="H19" s="57"/>
      <c r="I19" s="57"/>
      <c r="J19" s="57"/>
      <c r="K19" s="57"/>
      <c r="L19" s="57"/>
      <c r="M19" s="78"/>
      <c r="P19" s="83"/>
      <c r="Q19" s="52"/>
      <c r="R19" s="70">
        <v>100</v>
      </c>
      <c r="S19" s="84">
        <v>0.25</v>
      </c>
      <c r="T19" s="84"/>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row>
    <row r="20" spans="2:121" ht="12.75" customHeight="1" x14ac:dyDescent="0.15">
      <c r="B20" s="85" t="s">
        <v>522</v>
      </c>
      <c r="E20" s="77">
        <v>16</v>
      </c>
      <c r="F20" s="57"/>
      <c r="G20" s="57"/>
      <c r="H20" s="57"/>
      <c r="I20" s="57"/>
      <c r="J20" s="57"/>
      <c r="K20" s="57"/>
      <c r="L20" s="57"/>
      <c r="M20" s="78"/>
      <c r="O20" s="85" t="s">
        <v>522</v>
      </c>
      <c r="P20" s="83"/>
      <c r="Q20" s="86"/>
      <c r="R20" s="70">
        <v>110</v>
      </c>
      <c r="S20" s="84">
        <v>0.3</v>
      </c>
      <c r="T20" s="84"/>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row>
    <row r="21" spans="2:121" ht="13.35" customHeight="1" x14ac:dyDescent="0.15">
      <c r="B21" s="87" t="s">
        <v>520</v>
      </c>
      <c r="C21" s="57"/>
      <c r="E21" s="77">
        <v>17</v>
      </c>
      <c r="F21" s="57"/>
      <c r="G21" s="57"/>
      <c r="H21" s="57"/>
      <c r="I21" s="57"/>
      <c r="J21" s="57"/>
      <c r="K21" s="57"/>
      <c r="L21" s="57"/>
      <c r="M21" s="78"/>
      <c r="O21" s="75"/>
      <c r="P21" s="75"/>
      <c r="Q21" s="86"/>
      <c r="R21" s="70">
        <v>120</v>
      </c>
      <c r="S21" s="84">
        <v>0.15</v>
      </c>
      <c r="T21" s="84"/>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row>
    <row r="22" spans="2:121" ht="13.35" customHeight="1" x14ac:dyDescent="0.15">
      <c r="B22" s="87" t="s">
        <v>521</v>
      </c>
      <c r="C22" s="70"/>
      <c r="E22" s="77">
        <v>18</v>
      </c>
      <c r="F22" s="57"/>
      <c r="G22" s="57"/>
      <c r="H22" s="57"/>
      <c r="I22" s="57"/>
      <c r="J22" s="57"/>
      <c r="K22" s="57"/>
      <c r="L22" s="57"/>
      <c r="M22" s="78"/>
      <c r="O22" s="75"/>
      <c r="P22" s="75"/>
      <c r="S22" s="53"/>
      <c r="T22" s="53"/>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row>
    <row r="23" spans="2:121" ht="13.35" customHeight="1" x14ac:dyDescent="0.15">
      <c r="B23" s="52"/>
      <c r="E23" s="77">
        <v>19</v>
      </c>
      <c r="F23" s="57"/>
      <c r="G23" s="57"/>
      <c r="H23" s="57"/>
      <c r="I23" s="57"/>
      <c r="J23" s="57"/>
      <c r="K23" s="57"/>
      <c r="L23" s="57"/>
      <c r="M23" s="78"/>
      <c r="O23" s="75"/>
      <c r="P23" s="75"/>
      <c r="S23" s="53"/>
      <c r="T23" s="5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row>
    <row r="24" spans="2:121" ht="13.35" customHeight="1" x14ac:dyDescent="0.15">
      <c r="B24" s="52"/>
      <c r="E24" s="77">
        <v>20</v>
      </c>
      <c r="F24" s="57"/>
      <c r="G24" s="57"/>
      <c r="H24" s="57"/>
      <c r="I24" s="57"/>
      <c r="J24" s="57"/>
      <c r="K24" s="57"/>
      <c r="L24" s="57"/>
      <c r="M24" s="78"/>
      <c r="O24" s="81"/>
      <c r="P24" s="81"/>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row>
    <row r="25" spans="2:121" ht="13.35" customHeight="1" x14ac:dyDescent="0.15">
      <c r="B25" s="52"/>
      <c r="E25" s="77">
        <v>21</v>
      </c>
      <c r="F25" s="57"/>
      <c r="G25" s="57"/>
      <c r="H25" s="57"/>
      <c r="I25" s="57"/>
      <c r="J25" s="57"/>
      <c r="K25" s="57"/>
      <c r="L25" s="57"/>
      <c r="M25" s="78"/>
      <c r="O25" s="81"/>
      <c r="P25" s="81"/>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row>
    <row r="26" spans="2:121" ht="13.35" customHeight="1" x14ac:dyDescent="0.15">
      <c r="B26" s="52"/>
      <c r="E26" s="77">
        <v>22</v>
      </c>
      <c r="F26" s="57"/>
      <c r="G26" s="57"/>
      <c r="H26" s="57"/>
      <c r="I26" s="57"/>
      <c r="J26" s="57"/>
      <c r="K26" s="57"/>
      <c r="L26" s="57"/>
      <c r="M26" s="78"/>
      <c r="O26" s="81"/>
      <c r="P26" s="81"/>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row>
    <row r="27" spans="2:121" ht="13.35" customHeight="1" x14ac:dyDescent="0.15">
      <c r="B27" s="52"/>
      <c r="E27" s="77">
        <v>23</v>
      </c>
      <c r="F27" s="57"/>
      <c r="G27" s="57"/>
      <c r="H27" s="57"/>
      <c r="I27" s="57"/>
      <c r="J27" s="57"/>
      <c r="K27" s="57"/>
      <c r="L27" s="57"/>
      <c r="M27" s="78"/>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s="48"/>
      <c r="DQ27" s="48"/>
    </row>
    <row r="28" spans="2:121" ht="13.35" customHeight="1" x14ac:dyDescent="0.15">
      <c r="B28" s="52"/>
      <c r="E28" s="77">
        <v>24</v>
      </c>
      <c r="F28" s="57"/>
      <c r="G28" s="57"/>
      <c r="H28" s="57"/>
      <c r="I28" s="57"/>
      <c r="J28" s="57"/>
      <c r="K28" s="57"/>
      <c r="L28" s="57"/>
      <c r="M28" s="7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s="48"/>
      <c r="DQ28" s="48"/>
    </row>
    <row r="29" spans="2:121" ht="13.35" customHeight="1" x14ac:dyDescent="0.15">
      <c r="B29" s="52"/>
      <c r="E29" s="77">
        <v>25</v>
      </c>
      <c r="F29" s="57"/>
      <c r="G29" s="57"/>
      <c r="H29" s="57"/>
      <c r="I29" s="57"/>
      <c r="J29" s="57"/>
      <c r="K29" s="57"/>
      <c r="L29" s="57"/>
      <c r="M29" s="78"/>
      <c r="P29" s="88"/>
      <c r="DO29" s="88"/>
    </row>
    <row r="30" spans="2:121" ht="13.35" customHeight="1" x14ac:dyDescent="0.15">
      <c r="B30" s="52"/>
      <c r="E30" s="77">
        <v>26</v>
      </c>
      <c r="F30" s="57"/>
      <c r="G30" s="57"/>
      <c r="H30" s="57"/>
      <c r="I30" s="57"/>
      <c r="J30" s="57"/>
      <c r="K30" s="57"/>
      <c r="L30" s="57"/>
      <c r="M30" s="78"/>
      <c r="P30" s="88"/>
      <c r="DO30" s="88"/>
    </row>
    <row r="31" spans="2:121" ht="13.35" customHeight="1" x14ac:dyDescent="0.15">
      <c r="B31" s="52"/>
      <c r="E31" s="77">
        <v>27</v>
      </c>
      <c r="F31" s="57"/>
      <c r="G31" s="57"/>
      <c r="H31" s="57"/>
      <c r="I31" s="57"/>
      <c r="J31" s="57"/>
      <c r="K31" s="57"/>
      <c r="L31" s="57"/>
      <c r="M31" s="78"/>
      <c r="P31" s="88"/>
      <c r="DO31" s="88"/>
    </row>
    <row r="32" spans="2:121" ht="13.35" customHeight="1" x14ac:dyDescent="0.15">
      <c r="B32" s="52"/>
      <c r="E32" s="77">
        <v>28</v>
      </c>
      <c r="F32" s="57"/>
      <c r="G32" s="57"/>
      <c r="H32" s="57"/>
      <c r="I32" s="57"/>
      <c r="J32" s="57"/>
      <c r="K32" s="57"/>
      <c r="L32" s="57"/>
      <c r="M32" s="78"/>
      <c r="P32" s="88"/>
      <c r="DO32" s="88"/>
    </row>
    <row r="33" spans="2:119" ht="13.35" customHeight="1" x14ac:dyDescent="0.15">
      <c r="B33" s="52"/>
      <c r="E33" s="77">
        <v>29</v>
      </c>
      <c r="F33" s="57"/>
      <c r="G33" s="57"/>
      <c r="H33" s="57"/>
      <c r="I33" s="57"/>
      <c r="J33" s="57"/>
      <c r="K33" s="57"/>
      <c r="L33" s="57"/>
      <c r="M33" s="78"/>
      <c r="P33" s="88"/>
      <c r="DO33" s="88"/>
    </row>
    <row r="34" spans="2:119" ht="13.35" customHeight="1" x14ac:dyDescent="0.15">
      <c r="B34" s="52"/>
      <c r="E34" s="77">
        <v>30</v>
      </c>
      <c r="F34" s="57"/>
      <c r="G34" s="57"/>
      <c r="H34" s="57"/>
      <c r="I34" s="57"/>
      <c r="J34" s="57"/>
      <c r="K34" s="57"/>
      <c r="L34" s="57"/>
      <c r="M34" s="78"/>
      <c r="P34" s="88"/>
      <c r="DO34" s="88"/>
    </row>
    <row r="35" spans="2:119" ht="13.35" customHeight="1" x14ac:dyDescent="0.15">
      <c r="B35" s="52"/>
      <c r="E35" s="77">
        <v>31</v>
      </c>
      <c r="F35" s="57"/>
      <c r="G35" s="57"/>
      <c r="H35" s="57"/>
      <c r="I35" s="57"/>
      <c r="J35" s="57"/>
      <c r="K35" s="57"/>
      <c r="L35" s="57"/>
      <c r="M35" s="78"/>
      <c r="P35" s="88"/>
      <c r="DO35" s="88"/>
    </row>
    <row r="36" spans="2:119" ht="13.35" customHeight="1" x14ac:dyDescent="0.15">
      <c r="B36" s="52"/>
      <c r="E36" s="77">
        <v>32</v>
      </c>
      <c r="F36" s="57"/>
      <c r="G36" s="57"/>
      <c r="H36" s="57"/>
      <c r="I36" s="57"/>
      <c r="J36" s="57"/>
      <c r="K36" s="57"/>
      <c r="L36" s="57"/>
      <c r="M36" s="78"/>
      <c r="P36" s="88"/>
      <c r="DO36" s="88"/>
    </row>
    <row r="37" spans="2:119" ht="13.35" customHeight="1" x14ac:dyDescent="0.15">
      <c r="B37" s="52"/>
      <c r="E37" s="77">
        <v>33</v>
      </c>
      <c r="F37" s="57"/>
      <c r="G37" s="57"/>
      <c r="H37" s="57"/>
      <c r="I37" s="57"/>
      <c r="J37" s="57"/>
      <c r="K37" s="57"/>
      <c r="L37" s="57"/>
      <c r="M37" s="78"/>
      <c r="P37" s="88"/>
      <c r="DO37" s="88"/>
    </row>
    <row r="38" spans="2:119" ht="13.35" customHeight="1" x14ac:dyDescent="0.15">
      <c r="B38" s="52"/>
      <c r="E38" s="77">
        <v>34</v>
      </c>
      <c r="F38" s="57"/>
      <c r="G38" s="57"/>
      <c r="H38" s="57"/>
      <c r="I38" s="57"/>
      <c r="J38" s="57"/>
      <c r="K38" s="57"/>
      <c r="L38" s="57"/>
      <c r="M38" s="78"/>
      <c r="P38" s="88"/>
      <c r="DO38" s="88"/>
    </row>
    <row r="39" spans="2:119" ht="13.35" customHeight="1" x14ac:dyDescent="0.15">
      <c r="B39" s="52"/>
      <c r="E39" s="77">
        <v>35</v>
      </c>
      <c r="F39" s="57"/>
      <c r="G39" s="57"/>
      <c r="H39" s="57"/>
      <c r="I39" s="57"/>
      <c r="J39" s="57"/>
      <c r="K39" s="57"/>
      <c r="L39" s="57"/>
      <c r="M39" s="78"/>
      <c r="P39" s="88"/>
      <c r="DO39" s="88"/>
    </row>
    <row r="40" spans="2:119" ht="13.35" customHeight="1" x14ac:dyDescent="0.15">
      <c r="B40" s="52"/>
      <c r="E40" s="77">
        <v>36</v>
      </c>
      <c r="F40" s="57"/>
      <c r="G40" s="57"/>
      <c r="H40" s="57"/>
      <c r="I40" s="57"/>
      <c r="J40" s="57"/>
      <c r="K40" s="57"/>
      <c r="L40" s="57"/>
      <c r="M40" s="78"/>
      <c r="P40" s="88"/>
      <c r="DO40" s="88"/>
    </row>
    <row r="41" spans="2:119" ht="13.35" customHeight="1" x14ac:dyDescent="0.15">
      <c r="B41" s="52"/>
      <c r="E41" s="77">
        <v>37</v>
      </c>
      <c r="F41" s="57"/>
      <c r="G41" s="57"/>
      <c r="H41" s="57"/>
      <c r="I41" s="57"/>
      <c r="J41" s="57"/>
      <c r="K41" s="57"/>
      <c r="L41" s="57"/>
      <c r="M41" s="78"/>
      <c r="P41" s="88"/>
      <c r="DO41" s="88"/>
    </row>
    <row r="42" spans="2:119" ht="13.35" customHeight="1" x14ac:dyDescent="0.15">
      <c r="B42" s="52"/>
      <c r="E42" s="77">
        <v>38</v>
      </c>
      <c r="F42" s="57"/>
      <c r="G42" s="57"/>
      <c r="H42" s="57"/>
      <c r="I42" s="57"/>
      <c r="J42" s="57"/>
      <c r="K42" s="57"/>
      <c r="L42" s="57"/>
      <c r="M42" s="78"/>
      <c r="P42" s="88"/>
      <c r="DO42" s="88"/>
    </row>
    <row r="43" spans="2:119" ht="13.35" customHeight="1" x14ac:dyDescent="0.15">
      <c r="B43" s="52"/>
      <c r="E43" s="77">
        <v>39</v>
      </c>
      <c r="F43" s="57"/>
      <c r="G43" s="57"/>
      <c r="H43" s="57"/>
      <c r="I43" s="57"/>
      <c r="J43" s="57"/>
      <c r="K43" s="57"/>
      <c r="L43" s="57"/>
      <c r="M43" s="78"/>
      <c r="P43" s="88"/>
      <c r="DO43" s="88"/>
    </row>
    <row r="44" spans="2:119" ht="13.35" customHeight="1" x14ac:dyDescent="0.15">
      <c r="B44" s="52"/>
      <c r="E44" s="77">
        <v>40</v>
      </c>
      <c r="F44" s="57"/>
      <c r="G44" s="57"/>
      <c r="H44" s="57"/>
      <c r="I44" s="57"/>
      <c r="J44" s="57"/>
      <c r="K44" s="57"/>
      <c r="L44" s="57"/>
      <c r="M44" s="78"/>
      <c r="P44" s="88"/>
      <c r="DO44" s="88"/>
    </row>
    <row r="45" spans="2:119" ht="13.35" customHeight="1" x14ac:dyDescent="0.15">
      <c r="B45" s="52"/>
      <c r="E45" s="77">
        <v>41</v>
      </c>
      <c r="F45" s="57"/>
      <c r="G45" s="57"/>
      <c r="H45" s="57"/>
      <c r="I45" s="57"/>
      <c r="J45" s="57"/>
      <c r="K45" s="57"/>
      <c r="L45" s="57"/>
      <c r="M45" s="78"/>
      <c r="P45" s="88"/>
      <c r="DO45" s="88"/>
    </row>
    <row r="46" spans="2:119" ht="13.35" customHeight="1" x14ac:dyDescent="0.15">
      <c r="B46" s="52"/>
      <c r="E46" s="77">
        <v>42</v>
      </c>
      <c r="F46" s="57"/>
      <c r="G46" s="57"/>
      <c r="H46" s="57"/>
      <c r="I46" s="57"/>
      <c r="J46" s="57"/>
      <c r="K46" s="57"/>
      <c r="L46" s="57"/>
      <c r="M46" s="78"/>
      <c r="P46" s="88"/>
      <c r="DO46" s="88"/>
    </row>
    <row r="47" spans="2:119" ht="13.35" customHeight="1" x14ac:dyDescent="0.15">
      <c r="B47" s="52"/>
      <c r="E47" s="77">
        <v>43</v>
      </c>
      <c r="F47" s="57"/>
      <c r="G47" s="57"/>
      <c r="H47" s="57"/>
      <c r="I47" s="57"/>
      <c r="J47" s="57"/>
      <c r="K47" s="57"/>
      <c r="L47" s="57"/>
      <c r="M47" s="78"/>
      <c r="P47" s="88"/>
      <c r="DO47" s="88"/>
    </row>
    <row r="48" spans="2:119" ht="13.35" customHeight="1" x14ac:dyDescent="0.15">
      <c r="B48" s="52"/>
      <c r="E48" s="77">
        <v>44</v>
      </c>
      <c r="F48" s="57"/>
      <c r="G48" s="57"/>
      <c r="H48" s="57"/>
      <c r="I48" s="57"/>
      <c r="J48" s="57"/>
      <c r="K48" s="57"/>
      <c r="L48" s="57"/>
      <c r="M48" s="78"/>
      <c r="P48" s="88"/>
      <c r="DO48" s="88"/>
    </row>
    <row r="49" spans="2:119" ht="13.35" customHeight="1" x14ac:dyDescent="0.15">
      <c r="B49" s="52"/>
      <c r="E49" s="77">
        <v>45</v>
      </c>
      <c r="F49" s="57"/>
      <c r="G49" s="57"/>
      <c r="H49" s="57"/>
      <c r="I49" s="57"/>
      <c r="J49" s="57"/>
      <c r="K49" s="57"/>
      <c r="L49" s="57"/>
      <c r="M49" s="78"/>
      <c r="P49" s="88"/>
      <c r="DO49" s="88"/>
    </row>
    <row r="50" spans="2:119" ht="13.35" customHeight="1" x14ac:dyDescent="0.15">
      <c r="B50" s="52"/>
      <c r="E50" s="77">
        <v>46</v>
      </c>
      <c r="F50" s="57"/>
      <c r="G50" s="57"/>
      <c r="H50" s="57"/>
      <c r="I50" s="57"/>
      <c r="J50" s="57"/>
      <c r="K50" s="57"/>
      <c r="L50" s="57"/>
      <c r="M50" s="78"/>
      <c r="P50" s="88"/>
      <c r="DO50" s="88"/>
    </row>
    <row r="51" spans="2:119" ht="13.35" customHeight="1" x14ac:dyDescent="0.15">
      <c r="B51" s="52"/>
      <c r="E51" s="77">
        <v>47</v>
      </c>
      <c r="F51" s="57"/>
      <c r="G51" s="57"/>
      <c r="H51" s="57"/>
      <c r="I51" s="57"/>
      <c r="J51" s="57"/>
      <c r="K51" s="57"/>
      <c r="L51" s="57"/>
      <c r="M51" s="78"/>
      <c r="P51" s="88"/>
      <c r="DO51" s="88"/>
    </row>
    <row r="52" spans="2:119" ht="13.35" customHeight="1" x14ac:dyDescent="0.15">
      <c r="B52" s="52"/>
      <c r="E52" s="77">
        <v>48</v>
      </c>
      <c r="F52" s="57"/>
      <c r="G52" s="57"/>
      <c r="H52" s="57"/>
      <c r="I52" s="57"/>
      <c r="J52" s="57"/>
      <c r="K52" s="57"/>
      <c r="L52" s="57"/>
      <c r="M52" s="78"/>
      <c r="P52" s="88"/>
      <c r="DO52" s="88"/>
    </row>
    <row r="53" spans="2:119" ht="13.35" customHeight="1" x14ac:dyDescent="0.15">
      <c r="B53" s="52"/>
      <c r="E53" s="77">
        <v>49</v>
      </c>
      <c r="F53" s="57"/>
      <c r="G53" s="57"/>
      <c r="H53" s="57"/>
      <c r="I53" s="57"/>
      <c r="J53" s="57"/>
      <c r="K53" s="57"/>
      <c r="L53" s="57"/>
      <c r="M53" s="78"/>
      <c r="P53" s="88"/>
      <c r="DO53" s="88"/>
    </row>
    <row r="54" spans="2:119" ht="13.35" customHeight="1" x14ac:dyDescent="0.15">
      <c r="B54" s="52"/>
      <c r="E54" s="77">
        <v>50</v>
      </c>
      <c r="F54" s="57"/>
      <c r="G54" s="57"/>
      <c r="H54" s="57"/>
      <c r="I54" s="57"/>
      <c r="J54" s="57"/>
      <c r="K54" s="57"/>
      <c r="L54" s="57"/>
      <c r="M54" s="78"/>
    </row>
    <row r="55" spans="2:119" ht="13.35" customHeight="1" x14ac:dyDescent="0.15">
      <c r="B55" s="52"/>
      <c r="E55" s="77">
        <v>51</v>
      </c>
      <c r="F55" s="57"/>
      <c r="G55" s="57"/>
      <c r="H55" s="57"/>
      <c r="I55" s="57"/>
      <c r="J55" s="57"/>
      <c r="K55" s="57"/>
      <c r="L55" s="57"/>
      <c r="M55" s="78"/>
    </row>
    <row r="56" spans="2:119" ht="13.35" customHeight="1" x14ac:dyDescent="0.15">
      <c r="B56" s="52"/>
      <c r="E56" s="77">
        <v>52</v>
      </c>
      <c r="F56" s="57"/>
      <c r="G56" s="57"/>
      <c r="H56" s="57"/>
      <c r="I56" s="57"/>
      <c r="J56" s="57"/>
      <c r="K56" s="57"/>
      <c r="L56" s="57"/>
      <c r="M56" s="78"/>
    </row>
    <row r="57" spans="2:119" ht="13.35" customHeight="1" x14ac:dyDescent="0.15">
      <c r="B57" s="52"/>
      <c r="E57" s="77">
        <v>53</v>
      </c>
      <c r="F57" s="57"/>
      <c r="G57" s="57"/>
      <c r="H57" s="57"/>
      <c r="I57" s="57"/>
      <c r="J57" s="57"/>
      <c r="K57" s="57"/>
      <c r="L57" s="57"/>
      <c r="M57" s="78"/>
    </row>
    <row r="58" spans="2:119" ht="13.35" customHeight="1" x14ac:dyDescent="0.15">
      <c r="B58" s="52"/>
      <c r="E58" s="77">
        <v>54</v>
      </c>
      <c r="F58" s="57"/>
      <c r="G58" s="57"/>
      <c r="H58" s="57"/>
      <c r="I58" s="57"/>
      <c r="J58" s="57"/>
      <c r="K58" s="57"/>
      <c r="L58" s="57"/>
      <c r="M58" s="78"/>
    </row>
    <row r="59" spans="2:119" ht="13.35" customHeight="1" x14ac:dyDescent="0.15">
      <c r="B59" s="52"/>
      <c r="E59" s="77">
        <v>55</v>
      </c>
      <c r="F59" s="57"/>
      <c r="G59" s="57"/>
      <c r="H59" s="57"/>
      <c r="I59" s="57"/>
      <c r="J59" s="57"/>
      <c r="K59" s="57"/>
      <c r="L59" s="57"/>
      <c r="M59" s="78"/>
    </row>
    <row r="60" spans="2:119" ht="13.35" customHeight="1" x14ac:dyDescent="0.15">
      <c r="B60" s="52"/>
      <c r="E60" s="77">
        <v>56</v>
      </c>
      <c r="F60" s="57"/>
      <c r="G60" s="57"/>
      <c r="H60" s="57"/>
      <c r="I60" s="57"/>
      <c r="J60" s="57"/>
      <c r="K60" s="57"/>
      <c r="L60" s="57"/>
      <c r="M60" s="78"/>
    </row>
    <row r="61" spans="2:119" ht="13.35" customHeight="1" x14ac:dyDescent="0.15">
      <c r="B61" s="52"/>
      <c r="E61" s="77">
        <v>57</v>
      </c>
      <c r="F61" s="57"/>
      <c r="G61" s="57"/>
      <c r="H61" s="57"/>
      <c r="I61" s="57"/>
      <c r="J61" s="57"/>
      <c r="K61" s="57"/>
      <c r="L61" s="57"/>
      <c r="M61" s="78"/>
    </row>
    <row r="62" spans="2:119" ht="13.35" customHeight="1" x14ac:dyDescent="0.15">
      <c r="B62" s="52"/>
      <c r="E62" s="77">
        <v>58</v>
      </c>
      <c r="F62" s="57"/>
      <c r="G62" s="57"/>
      <c r="H62" s="57"/>
      <c r="I62" s="57"/>
      <c r="J62" s="57"/>
      <c r="K62" s="57"/>
      <c r="L62" s="57"/>
      <c r="M62" s="78"/>
    </row>
    <row r="63" spans="2:119" ht="13.35" customHeight="1" x14ac:dyDescent="0.15">
      <c r="B63" s="52"/>
      <c r="E63" s="77">
        <v>59</v>
      </c>
      <c r="F63" s="57"/>
      <c r="G63" s="57"/>
      <c r="H63" s="57"/>
      <c r="I63" s="57"/>
      <c r="J63" s="57"/>
      <c r="K63" s="57"/>
      <c r="L63" s="57"/>
      <c r="M63" s="78"/>
    </row>
    <row r="64" spans="2:119" ht="13.35" customHeight="1" x14ac:dyDescent="0.15">
      <c r="B64" s="52"/>
      <c r="E64" s="77">
        <v>60</v>
      </c>
      <c r="F64" s="57"/>
      <c r="G64" s="57"/>
      <c r="H64" s="57"/>
      <c r="I64" s="57"/>
      <c r="J64" s="57"/>
      <c r="K64" s="57"/>
      <c r="L64" s="57"/>
      <c r="M64" s="78"/>
    </row>
    <row r="65" spans="2:13" ht="13.35" customHeight="1" x14ac:dyDescent="0.15">
      <c r="B65" s="52"/>
      <c r="E65" s="77">
        <v>61</v>
      </c>
      <c r="F65" s="57"/>
      <c r="G65" s="57"/>
      <c r="H65" s="57"/>
      <c r="I65" s="57"/>
      <c r="J65" s="57"/>
      <c r="K65" s="57"/>
      <c r="L65" s="57"/>
      <c r="M65" s="78"/>
    </row>
    <row r="66" spans="2:13" ht="13.35" customHeight="1" x14ac:dyDescent="0.15">
      <c r="B66" s="52"/>
      <c r="E66" s="77">
        <v>62</v>
      </c>
      <c r="F66" s="57"/>
      <c r="G66" s="57"/>
      <c r="H66" s="57"/>
      <c r="I66" s="57"/>
      <c r="J66" s="57"/>
      <c r="K66" s="57"/>
      <c r="L66" s="57"/>
      <c r="M66" s="78"/>
    </row>
    <row r="67" spans="2:13" ht="13.35" customHeight="1" x14ac:dyDescent="0.15">
      <c r="B67" s="52"/>
      <c r="E67" s="77">
        <v>63</v>
      </c>
      <c r="F67" s="57"/>
      <c r="G67" s="57"/>
      <c r="H67" s="57"/>
      <c r="I67" s="57"/>
      <c r="J67" s="57"/>
      <c r="K67" s="57"/>
      <c r="L67" s="57"/>
      <c r="M67" s="78"/>
    </row>
    <row r="68" spans="2:13" ht="13.35" customHeight="1" x14ac:dyDescent="0.15">
      <c r="B68" s="52"/>
      <c r="E68" s="77">
        <v>64</v>
      </c>
      <c r="F68" s="57"/>
      <c r="G68" s="57"/>
      <c r="H68" s="57"/>
      <c r="I68" s="57"/>
      <c r="J68" s="57"/>
      <c r="K68" s="57"/>
      <c r="L68" s="57"/>
      <c r="M68" s="78"/>
    </row>
    <row r="69" spans="2:13" ht="13.35" customHeight="1" x14ac:dyDescent="0.15">
      <c r="B69" s="52"/>
      <c r="E69" s="77">
        <v>65</v>
      </c>
      <c r="F69" s="57"/>
      <c r="G69" s="57"/>
      <c r="H69" s="57"/>
      <c r="I69" s="57"/>
      <c r="J69" s="57"/>
      <c r="K69" s="57"/>
      <c r="L69" s="57"/>
      <c r="M69" s="78"/>
    </row>
    <row r="70" spans="2:13" ht="13.35" customHeight="1" x14ac:dyDescent="0.15">
      <c r="B70" s="52"/>
      <c r="E70" s="77">
        <v>66</v>
      </c>
      <c r="F70" s="57"/>
      <c r="G70" s="57"/>
      <c r="H70" s="57"/>
      <c r="I70" s="57"/>
      <c r="J70" s="57"/>
      <c r="K70" s="57"/>
      <c r="L70" s="57"/>
      <c r="M70" s="78"/>
    </row>
    <row r="71" spans="2:13" ht="13.35" customHeight="1" x14ac:dyDescent="0.15">
      <c r="B71" s="52"/>
      <c r="E71" s="77">
        <v>67</v>
      </c>
      <c r="F71" s="57"/>
      <c r="G71" s="57"/>
      <c r="H71" s="57"/>
      <c r="I71" s="57"/>
      <c r="J71" s="57"/>
      <c r="K71" s="57"/>
      <c r="L71" s="57"/>
      <c r="M71" s="78"/>
    </row>
    <row r="72" spans="2:13" ht="13.35" customHeight="1" x14ac:dyDescent="0.15">
      <c r="B72" s="52"/>
      <c r="E72" s="77">
        <v>68</v>
      </c>
      <c r="F72" s="57"/>
      <c r="G72" s="57"/>
      <c r="H72" s="57"/>
      <c r="I72" s="57"/>
      <c r="J72" s="57"/>
      <c r="K72" s="57"/>
      <c r="L72" s="57"/>
      <c r="M72" s="78"/>
    </row>
    <row r="73" spans="2:13" ht="13.35" customHeight="1" x14ac:dyDescent="0.15">
      <c r="B73" s="52"/>
      <c r="E73" s="77">
        <v>69</v>
      </c>
      <c r="F73" s="57"/>
      <c r="G73" s="57"/>
      <c r="H73" s="57"/>
      <c r="I73" s="57"/>
      <c r="J73" s="57"/>
      <c r="K73" s="57"/>
      <c r="L73" s="57"/>
      <c r="M73" s="78"/>
    </row>
    <row r="74" spans="2:13" ht="13.35" customHeight="1" x14ac:dyDescent="0.15">
      <c r="B74" s="52"/>
      <c r="E74" s="77">
        <v>70</v>
      </c>
      <c r="F74" s="57"/>
      <c r="G74" s="57"/>
      <c r="H74" s="57"/>
      <c r="I74" s="57"/>
      <c r="J74" s="57"/>
      <c r="K74" s="57"/>
      <c r="L74" s="57"/>
      <c r="M74" s="78"/>
    </row>
    <row r="75" spans="2:13" ht="13.35" customHeight="1" x14ac:dyDescent="0.15">
      <c r="B75" s="52"/>
      <c r="E75" s="77">
        <v>71</v>
      </c>
      <c r="F75" s="57"/>
      <c r="G75" s="57"/>
      <c r="H75" s="57"/>
      <c r="I75" s="57"/>
      <c r="J75" s="57"/>
      <c r="K75" s="57"/>
      <c r="L75" s="57"/>
      <c r="M75" s="78"/>
    </row>
    <row r="76" spans="2:13" ht="13.35" customHeight="1" x14ac:dyDescent="0.15">
      <c r="B76" s="52"/>
      <c r="E76" s="77">
        <v>72</v>
      </c>
      <c r="F76" s="57"/>
      <c r="G76" s="57"/>
      <c r="H76" s="57"/>
      <c r="I76" s="57"/>
      <c r="J76" s="57"/>
      <c r="K76" s="57"/>
      <c r="L76" s="57"/>
      <c r="M76" s="78"/>
    </row>
    <row r="77" spans="2:13" ht="13.35" customHeight="1" x14ac:dyDescent="0.15">
      <c r="B77" s="52"/>
      <c r="E77" s="77">
        <v>73</v>
      </c>
      <c r="F77" s="57"/>
      <c r="G77" s="57"/>
      <c r="H77" s="57"/>
      <c r="I77" s="57"/>
      <c r="J77" s="57"/>
      <c r="K77" s="57"/>
      <c r="L77" s="57"/>
      <c r="M77" s="78"/>
    </row>
    <row r="78" spans="2:13" ht="13.35" customHeight="1" x14ac:dyDescent="0.15">
      <c r="B78" s="52"/>
      <c r="E78" s="77">
        <v>74</v>
      </c>
      <c r="F78" s="57"/>
      <c r="G78" s="57"/>
      <c r="H78" s="57"/>
      <c r="I78" s="57"/>
      <c r="J78" s="57"/>
      <c r="K78" s="57"/>
      <c r="L78" s="57"/>
      <c r="M78" s="78"/>
    </row>
    <row r="79" spans="2:13" ht="13.35" customHeight="1" x14ac:dyDescent="0.15">
      <c r="B79" s="52"/>
      <c r="E79" s="77">
        <v>75</v>
      </c>
      <c r="F79" s="57"/>
      <c r="G79" s="57"/>
      <c r="H79" s="57"/>
      <c r="I79" s="57"/>
      <c r="J79" s="57"/>
      <c r="K79" s="57"/>
      <c r="L79" s="57"/>
      <c r="M79" s="78"/>
    </row>
    <row r="80" spans="2:13" ht="13.35" customHeight="1" x14ac:dyDescent="0.15">
      <c r="B80" s="52"/>
      <c r="E80" s="77">
        <v>76</v>
      </c>
      <c r="F80" s="57"/>
      <c r="G80" s="57"/>
      <c r="H80" s="57"/>
      <c r="I80" s="57"/>
      <c r="J80" s="57"/>
      <c r="K80" s="57"/>
      <c r="L80" s="57"/>
      <c r="M80" s="78"/>
    </row>
    <row r="81" spans="2:13" ht="13.35" customHeight="1" x14ac:dyDescent="0.15">
      <c r="B81" s="52"/>
      <c r="E81" s="77">
        <v>77</v>
      </c>
      <c r="F81" s="57"/>
      <c r="G81" s="57"/>
      <c r="H81" s="57"/>
      <c r="I81" s="57"/>
      <c r="J81" s="57"/>
      <c r="K81" s="57"/>
      <c r="L81" s="57"/>
      <c r="M81" s="78"/>
    </row>
    <row r="82" spans="2:13" ht="13.35" customHeight="1" x14ac:dyDescent="0.15">
      <c r="B82" s="52"/>
      <c r="E82" s="77">
        <v>78</v>
      </c>
      <c r="F82" s="57"/>
      <c r="G82" s="57"/>
      <c r="H82" s="57"/>
      <c r="I82" s="57"/>
      <c r="J82" s="57"/>
      <c r="K82" s="57"/>
      <c r="L82" s="57"/>
      <c r="M82" s="78"/>
    </row>
    <row r="83" spans="2:13" ht="13.35" customHeight="1" x14ac:dyDescent="0.15">
      <c r="B83" s="52"/>
      <c r="E83" s="77">
        <v>79</v>
      </c>
      <c r="F83" s="57"/>
      <c r="G83" s="57"/>
      <c r="H83" s="57"/>
      <c r="I83" s="57"/>
      <c r="J83" s="57"/>
      <c r="K83" s="57"/>
      <c r="L83" s="57"/>
      <c r="M83" s="78"/>
    </row>
    <row r="84" spans="2:13" ht="13.35" customHeight="1" x14ac:dyDescent="0.15">
      <c r="B84" s="52"/>
      <c r="E84" s="77">
        <v>80</v>
      </c>
      <c r="F84" s="57"/>
      <c r="G84" s="57"/>
      <c r="H84" s="57"/>
      <c r="I84" s="57"/>
      <c r="J84" s="57"/>
      <c r="K84" s="57"/>
      <c r="L84" s="57"/>
      <c r="M84" s="78"/>
    </row>
    <row r="85" spans="2:13" ht="13.35" customHeight="1" x14ac:dyDescent="0.15">
      <c r="B85" s="52"/>
      <c r="E85" s="77">
        <v>81</v>
      </c>
      <c r="F85" s="57"/>
      <c r="G85" s="57"/>
      <c r="H85" s="57"/>
      <c r="I85" s="57"/>
      <c r="J85" s="57"/>
      <c r="K85" s="57"/>
      <c r="L85" s="57"/>
      <c r="M85" s="78"/>
    </row>
    <row r="86" spans="2:13" ht="13.35" customHeight="1" x14ac:dyDescent="0.15">
      <c r="B86" s="52"/>
      <c r="E86" s="77">
        <v>82</v>
      </c>
      <c r="F86" s="57"/>
      <c r="G86" s="57"/>
      <c r="H86" s="57"/>
      <c r="I86" s="57"/>
      <c r="J86" s="57"/>
      <c r="K86" s="57"/>
      <c r="L86" s="57"/>
      <c r="M86" s="78"/>
    </row>
    <row r="87" spans="2:13" ht="13.35" customHeight="1" x14ac:dyDescent="0.15">
      <c r="B87" s="52"/>
      <c r="E87" s="77">
        <v>83</v>
      </c>
      <c r="F87" s="57"/>
      <c r="G87" s="57"/>
      <c r="H87" s="57"/>
      <c r="I87" s="57"/>
      <c r="J87" s="57"/>
      <c r="K87" s="57"/>
      <c r="L87" s="57"/>
      <c r="M87" s="78"/>
    </row>
    <row r="88" spans="2:13" ht="13.35" customHeight="1" x14ac:dyDescent="0.15">
      <c r="B88" s="52"/>
      <c r="E88" s="77">
        <v>84</v>
      </c>
      <c r="F88" s="57"/>
      <c r="G88" s="57"/>
      <c r="H88" s="57"/>
      <c r="I88" s="57"/>
      <c r="J88" s="57"/>
      <c r="K88" s="57"/>
      <c r="L88" s="57"/>
      <c r="M88" s="78"/>
    </row>
    <row r="89" spans="2:13" ht="13.35" customHeight="1" x14ac:dyDescent="0.15">
      <c r="B89" s="52"/>
      <c r="E89" s="77">
        <v>85</v>
      </c>
      <c r="F89" s="57"/>
      <c r="G89" s="57"/>
      <c r="H89" s="57"/>
      <c r="I89" s="57"/>
      <c r="J89" s="57"/>
      <c r="K89" s="57"/>
      <c r="L89" s="57"/>
      <c r="M89" s="78"/>
    </row>
    <row r="90" spans="2:13" ht="13.35" customHeight="1" x14ac:dyDescent="0.15">
      <c r="B90" s="52"/>
      <c r="E90" s="77">
        <v>86</v>
      </c>
      <c r="F90" s="57"/>
      <c r="G90" s="57"/>
      <c r="H90" s="57"/>
      <c r="I90" s="57"/>
      <c r="J90" s="57"/>
      <c r="K90" s="57"/>
      <c r="L90" s="57"/>
      <c r="M90" s="78"/>
    </row>
    <row r="91" spans="2:13" ht="13.35" customHeight="1" x14ac:dyDescent="0.15">
      <c r="B91" s="52"/>
      <c r="E91" s="77">
        <v>87</v>
      </c>
      <c r="F91" s="57"/>
      <c r="G91" s="57"/>
      <c r="H91" s="57"/>
      <c r="I91" s="57"/>
      <c r="J91" s="57"/>
      <c r="K91" s="57"/>
      <c r="L91" s="57"/>
      <c r="M91" s="78"/>
    </row>
    <row r="92" spans="2:13" ht="13.35" customHeight="1" x14ac:dyDescent="0.15">
      <c r="B92" s="52"/>
      <c r="E92" s="77">
        <v>88</v>
      </c>
      <c r="F92" s="57"/>
      <c r="G92" s="57"/>
      <c r="H92" s="57"/>
      <c r="I92" s="57"/>
      <c r="J92" s="57"/>
      <c r="K92" s="57"/>
      <c r="L92" s="57"/>
      <c r="M92" s="78"/>
    </row>
    <row r="93" spans="2:13" ht="13.35" customHeight="1" x14ac:dyDescent="0.15">
      <c r="B93" s="52"/>
      <c r="E93" s="77">
        <v>89</v>
      </c>
      <c r="F93" s="57"/>
      <c r="G93" s="57"/>
      <c r="H93" s="57"/>
      <c r="I93" s="57"/>
      <c r="J93" s="57"/>
      <c r="K93" s="57"/>
      <c r="L93" s="57"/>
      <c r="M93" s="78"/>
    </row>
    <row r="94" spans="2:13" ht="13.35" customHeight="1" x14ac:dyDescent="0.15">
      <c r="B94" s="52"/>
      <c r="E94" s="77">
        <v>90</v>
      </c>
      <c r="F94" s="57"/>
      <c r="G94" s="57"/>
      <c r="H94" s="57"/>
      <c r="I94" s="57"/>
      <c r="J94" s="57"/>
      <c r="K94" s="57"/>
      <c r="L94" s="57"/>
      <c r="M94" s="78"/>
    </row>
    <row r="95" spans="2:13" ht="13.35" customHeight="1" x14ac:dyDescent="0.15">
      <c r="B95" s="52"/>
      <c r="E95" s="77">
        <v>91</v>
      </c>
      <c r="F95" s="57"/>
      <c r="G95" s="57"/>
      <c r="H95" s="57"/>
      <c r="I95" s="57"/>
      <c r="J95" s="57"/>
      <c r="K95" s="57"/>
      <c r="L95" s="57"/>
      <c r="M95" s="78"/>
    </row>
    <row r="96" spans="2:13" ht="13.35" customHeight="1" x14ac:dyDescent="0.15">
      <c r="B96" s="52"/>
      <c r="E96" s="77">
        <v>92</v>
      </c>
      <c r="F96" s="57"/>
      <c r="G96" s="57"/>
      <c r="H96" s="57"/>
      <c r="I96" s="57"/>
      <c r="J96" s="57"/>
      <c r="K96" s="57"/>
      <c r="L96" s="57"/>
      <c r="M96" s="78"/>
    </row>
    <row r="97" spans="2:13" ht="13.35" customHeight="1" x14ac:dyDescent="0.15">
      <c r="B97" s="52"/>
      <c r="E97" s="77">
        <v>93</v>
      </c>
      <c r="F97" s="57"/>
      <c r="G97" s="57"/>
      <c r="H97" s="57"/>
      <c r="I97" s="57"/>
      <c r="J97" s="57"/>
      <c r="K97" s="57"/>
      <c r="L97" s="57"/>
      <c r="M97" s="78"/>
    </row>
    <row r="98" spans="2:13" ht="13.35" customHeight="1" x14ac:dyDescent="0.15">
      <c r="B98" s="52"/>
      <c r="E98" s="77">
        <v>94</v>
      </c>
      <c r="F98" s="57"/>
      <c r="G98" s="57"/>
      <c r="H98" s="57"/>
      <c r="I98" s="57"/>
      <c r="J98" s="57"/>
      <c r="K98" s="57"/>
      <c r="L98" s="57"/>
      <c r="M98" s="78"/>
    </row>
    <row r="99" spans="2:13" ht="13.35" customHeight="1" x14ac:dyDescent="0.15">
      <c r="B99" s="52"/>
      <c r="E99" s="77">
        <v>95</v>
      </c>
      <c r="F99" s="57"/>
      <c r="G99" s="57"/>
      <c r="H99" s="57"/>
      <c r="I99" s="57"/>
      <c r="J99" s="57"/>
      <c r="K99" s="57"/>
      <c r="L99" s="57"/>
      <c r="M99" s="78"/>
    </row>
    <row r="100" spans="2:13" ht="13.35" customHeight="1" x14ac:dyDescent="0.15">
      <c r="B100" s="52"/>
      <c r="E100" s="77">
        <v>96</v>
      </c>
      <c r="F100" s="57"/>
      <c r="G100" s="57"/>
      <c r="H100" s="57"/>
      <c r="I100" s="57"/>
      <c r="J100" s="57"/>
      <c r="K100" s="57"/>
      <c r="L100" s="57"/>
      <c r="M100" s="78"/>
    </row>
    <row r="101" spans="2:13" ht="13.35" customHeight="1" x14ac:dyDescent="0.15">
      <c r="B101" s="52"/>
      <c r="E101" s="77">
        <v>97</v>
      </c>
      <c r="F101" s="57"/>
      <c r="G101" s="57"/>
      <c r="H101" s="57"/>
      <c r="I101" s="57"/>
      <c r="J101" s="57"/>
      <c r="K101" s="57"/>
      <c r="L101" s="57"/>
      <c r="M101" s="78"/>
    </row>
    <row r="102" spans="2:13" ht="13.35" customHeight="1" x14ac:dyDescent="0.15">
      <c r="B102" s="52"/>
      <c r="E102" s="77">
        <v>98</v>
      </c>
      <c r="F102" s="57"/>
      <c r="G102" s="57"/>
      <c r="H102" s="57"/>
      <c r="I102" s="57"/>
      <c r="J102" s="57"/>
      <c r="K102" s="57"/>
      <c r="L102" s="57"/>
      <c r="M102" s="78"/>
    </row>
    <row r="103" spans="2:13" ht="13.35" customHeight="1" x14ac:dyDescent="0.15">
      <c r="B103" s="52"/>
      <c r="E103" s="77">
        <v>99</v>
      </c>
      <c r="F103" s="57"/>
      <c r="G103" s="57"/>
      <c r="H103" s="57"/>
      <c r="I103" s="57"/>
      <c r="J103" s="57"/>
      <c r="K103" s="57"/>
      <c r="L103" s="57"/>
      <c r="M103" s="78"/>
    </row>
    <row r="104" spans="2:13" ht="13.35" customHeight="1" x14ac:dyDescent="0.15">
      <c r="B104" s="52"/>
      <c r="E104" s="77">
        <v>100</v>
      </c>
      <c r="F104" s="57"/>
      <c r="G104" s="57"/>
      <c r="H104" s="57"/>
      <c r="I104" s="57"/>
      <c r="J104" s="57"/>
      <c r="K104" s="57"/>
      <c r="L104" s="57"/>
      <c r="M104" s="78"/>
    </row>
    <row r="105" spans="2:13" ht="13.35" customHeight="1" x14ac:dyDescent="0.15">
      <c r="B105" s="52"/>
      <c r="E105" s="77">
        <v>101</v>
      </c>
      <c r="F105" s="57"/>
      <c r="G105" s="57"/>
      <c r="H105" s="57"/>
      <c r="I105" s="57"/>
      <c r="J105" s="57"/>
      <c r="K105" s="57"/>
      <c r="L105" s="57"/>
      <c r="M105" s="78"/>
    </row>
    <row r="106" spans="2:13" ht="13.35" customHeight="1" x14ac:dyDescent="0.15">
      <c r="B106" s="52"/>
      <c r="E106" s="77">
        <v>102</v>
      </c>
      <c r="F106" s="57"/>
      <c r="G106" s="57"/>
      <c r="H106" s="57"/>
      <c r="I106" s="57"/>
      <c r="J106" s="57"/>
      <c r="K106" s="57"/>
      <c r="L106" s="57"/>
      <c r="M106" s="78"/>
    </row>
    <row r="107" spans="2:13" ht="13.35" customHeight="1" x14ac:dyDescent="0.15">
      <c r="B107" s="52"/>
      <c r="E107" s="77">
        <v>103</v>
      </c>
      <c r="F107" s="57"/>
      <c r="G107" s="57"/>
      <c r="H107" s="57"/>
      <c r="I107" s="57"/>
      <c r="J107" s="57"/>
      <c r="K107" s="57"/>
      <c r="L107" s="57"/>
      <c r="M107" s="78"/>
    </row>
    <row r="108" spans="2:13" ht="13.35" customHeight="1" x14ac:dyDescent="0.15">
      <c r="B108" s="52"/>
      <c r="E108" s="77">
        <v>104</v>
      </c>
      <c r="F108" s="57"/>
      <c r="G108" s="57"/>
      <c r="H108" s="57"/>
      <c r="I108" s="57"/>
      <c r="J108" s="57"/>
      <c r="K108" s="57"/>
      <c r="L108" s="57"/>
      <c r="M108" s="78"/>
    </row>
    <row r="109" spans="2:13" ht="13.35" customHeight="1" x14ac:dyDescent="0.15">
      <c r="B109" s="52"/>
      <c r="E109" s="77">
        <v>105</v>
      </c>
      <c r="F109" s="57"/>
      <c r="G109" s="57"/>
      <c r="H109" s="57"/>
      <c r="I109" s="57"/>
      <c r="J109" s="57"/>
      <c r="K109" s="57"/>
      <c r="L109" s="57"/>
      <c r="M109" s="78"/>
    </row>
    <row r="110" spans="2:13" ht="13.35" customHeight="1" x14ac:dyDescent="0.15">
      <c r="B110" s="52"/>
      <c r="E110" s="77">
        <v>106</v>
      </c>
      <c r="F110" s="57"/>
      <c r="G110" s="57"/>
      <c r="H110" s="57"/>
      <c r="I110" s="57"/>
      <c r="J110" s="57"/>
      <c r="K110" s="57"/>
      <c r="L110" s="57"/>
      <c r="M110" s="78"/>
    </row>
    <row r="111" spans="2:13" ht="13.35" customHeight="1" x14ac:dyDescent="0.15">
      <c r="B111" s="52"/>
      <c r="E111" s="77">
        <v>107</v>
      </c>
      <c r="F111" s="57"/>
      <c r="G111" s="57"/>
      <c r="H111" s="57"/>
      <c r="I111" s="57"/>
      <c r="J111" s="57"/>
      <c r="K111" s="57"/>
      <c r="L111" s="57"/>
      <c r="M111" s="78"/>
    </row>
    <row r="112" spans="2:13" ht="13.35" customHeight="1" x14ac:dyDescent="0.15">
      <c r="B112" s="52"/>
      <c r="E112" s="77">
        <v>108</v>
      </c>
      <c r="F112" s="57"/>
      <c r="G112" s="57"/>
      <c r="H112" s="57"/>
      <c r="I112" s="57"/>
      <c r="J112" s="57"/>
      <c r="K112" s="57"/>
      <c r="L112" s="57"/>
      <c r="M112" s="78"/>
    </row>
    <row r="113" spans="2:13" ht="13.35" customHeight="1" x14ac:dyDescent="0.15">
      <c r="B113" s="52"/>
      <c r="E113" s="77">
        <v>109</v>
      </c>
      <c r="F113" s="57"/>
      <c r="G113" s="57"/>
      <c r="H113" s="57"/>
      <c r="I113" s="57"/>
      <c r="J113" s="57"/>
      <c r="K113" s="57"/>
      <c r="L113" s="57"/>
      <c r="M113" s="78"/>
    </row>
    <row r="114" spans="2:13" ht="13.35" customHeight="1" x14ac:dyDescent="0.15">
      <c r="B114" s="52"/>
      <c r="E114" s="77">
        <v>110</v>
      </c>
      <c r="F114" s="57"/>
      <c r="G114" s="57"/>
      <c r="H114" s="57"/>
      <c r="I114" s="57"/>
      <c r="J114" s="57"/>
      <c r="K114" s="57"/>
      <c r="L114" s="57"/>
      <c r="M114" s="78"/>
    </row>
    <row r="115" spans="2:13" ht="13.35" customHeight="1" x14ac:dyDescent="0.15">
      <c r="B115" s="52"/>
      <c r="E115" s="77">
        <v>111</v>
      </c>
      <c r="F115" s="57"/>
      <c r="G115" s="57"/>
      <c r="H115" s="57"/>
      <c r="I115" s="57"/>
      <c r="J115" s="57"/>
      <c r="K115" s="57"/>
      <c r="L115" s="57"/>
      <c r="M115" s="78"/>
    </row>
    <row r="116" spans="2:13" ht="13.35" customHeight="1" x14ac:dyDescent="0.15">
      <c r="B116" s="52"/>
      <c r="E116" s="77">
        <v>112</v>
      </c>
      <c r="F116" s="57"/>
      <c r="G116" s="57"/>
      <c r="H116" s="57"/>
      <c r="I116" s="57"/>
      <c r="J116" s="57"/>
      <c r="K116" s="57"/>
      <c r="L116" s="57"/>
      <c r="M116" s="78"/>
    </row>
    <row r="117" spans="2:13" ht="13.35" customHeight="1" x14ac:dyDescent="0.15">
      <c r="B117" s="52"/>
      <c r="E117" s="77">
        <v>113</v>
      </c>
      <c r="F117" s="57"/>
      <c r="G117" s="57"/>
      <c r="H117" s="57"/>
      <c r="I117" s="57"/>
      <c r="J117" s="57"/>
      <c r="K117" s="57"/>
      <c r="L117" s="57"/>
      <c r="M117" s="78"/>
    </row>
    <row r="118" spans="2:13" ht="13.35" customHeight="1" x14ac:dyDescent="0.15">
      <c r="B118" s="52"/>
      <c r="E118" s="77">
        <v>114</v>
      </c>
      <c r="F118" s="57"/>
      <c r="G118" s="57"/>
      <c r="H118" s="57"/>
      <c r="I118" s="57"/>
      <c r="J118" s="57"/>
      <c r="K118" s="57"/>
      <c r="L118" s="57"/>
      <c r="M118" s="78"/>
    </row>
    <row r="119" spans="2:13" ht="13.35" customHeight="1" x14ac:dyDescent="0.15">
      <c r="B119" s="52"/>
      <c r="E119" s="77">
        <v>115</v>
      </c>
      <c r="F119" s="57"/>
      <c r="G119" s="57"/>
      <c r="H119" s="57"/>
      <c r="I119" s="57"/>
      <c r="J119" s="57"/>
      <c r="K119" s="57"/>
      <c r="L119" s="57"/>
      <c r="M119" s="78"/>
    </row>
    <row r="120" spans="2:13" ht="13.35" customHeight="1" x14ac:dyDescent="0.15">
      <c r="B120" s="52"/>
      <c r="E120" s="77">
        <v>116</v>
      </c>
      <c r="F120" s="57"/>
      <c r="G120" s="57"/>
      <c r="H120" s="57"/>
      <c r="I120" s="57"/>
      <c r="J120" s="57"/>
      <c r="K120" s="57"/>
      <c r="L120" s="57"/>
      <c r="M120" s="78"/>
    </row>
    <row r="121" spans="2:13" ht="13.35" customHeight="1" x14ac:dyDescent="0.15">
      <c r="B121" s="52"/>
      <c r="E121" s="77">
        <v>117</v>
      </c>
      <c r="F121" s="57"/>
      <c r="G121" s="57"/>
      <c r="H121" s="57"/>
      <c r="I121" s="57"/>
      <c r="J121" s="57"/>
      <c r="K121" s="57"/>
      <c r="L121" s="57"/>
      <c r="M121" s="78"/>
    </row>
    <row r="122" spans="2:13" ht="13.35" customHeight="1" x14ac:dyDescent="0.15">
      <c r="B122" s="52"/>
      <c r="E122" s="77">
        <v>118</v>
      </c>
      <c r="F122" s="57"/>
      <c r="G122" s="57"/>
      <c r="H122" s="57"/>
      <c r="I122" s="57"/>
      <c r="J122" s="57"/>
      <c r="K122" s="57"/>
      <c r="L122" s="57"/>
      <c r="M122" s="78"/>
    </row>
    <row r="123" spans="2:13" ht="13.35" customHeight="1" x14ac:dyDescent="0.15">
      <c r="B123" s="52"/>
      <c r="E123" s="77">
        <v>119</v>
      </c>
      <c r="F123" s="57"/>
      <c r="G123" s="57"/>
      <c r="H123" s="57"/>
      <c r="I123" s="57"/>
      <c r="J123" s="57"/>
      <c r="K123" s="57"/>
      <c r="L123" s="57"/>
      <c r="M123" s="78"/>
    </row>
    <row r="124" spans="2:13" ht="13.35" customHeight="1" x14ac:dyDescent="0.15">
      <c r="B124" s="52"/>
      <c r="E124" s="77">
        <v>120</v>
      </c>
      <c r="F124" s="57"/>
      <c r="G124" s="57"/>
      <c r="H124" s="57"/>
      <c r="I124" s="57"/>
      <c r="J124" s="57"/>
      <c r="K124" s="57"/>
      <c r="L124" s="57"/>
      <c r="M124" s="78"/>
    </row>
    <row r="125" spans="2:13" ht="13.35" customHeight="1" x14ac:dyDescent="0.15">
      <c r="B125" s="52"/>
      <c r="E125" s="77">
        <v>121</v>
      </c>
      <c r="F125" s="57"/>
      <c r="G125" s="57"/>
      <c r="H125" s="57"/>
      <c r="I125" s="57"/>
      <c r="J125" s="57"/>
      <c r="K125" s="57"/>
      <c r="L125" s="57"/>
      <c r="M125" s="78"/>
    </row>
    <row r="126" spans="2:13" ht="13.35" customHeight="1" x14ac:dyDescent="0.15">
      <c r="B126" s="52"/>
      <c r="E126" s="77">
        <v>122</v>
      </c>
      <c r="F126" s="57"/>
      <c r="G126" s="57"/>
      <c r="H126" s="57"/>
      <c r="I126" s="57"/>
      <c r="J126" s="57"/>
      <c r="K126" s="57"/>
      <c r="L126" s="57"/>
      <c r="M126" s="78"/>
    </row>
    <row r="127" spans="2:13" ht="13.35" customHeight="1" x14ac:dyDescent="0.15">
      <c r="B127" s="52"/>
      <c r="E127" s="77">
        <v>123</v>
      </c>
      <c r="F127" s="57"/>
      <c r="G127" s="57"/>
      <c r="H127" s="57"/>
      <c r="I127" s="57"/>
      <c r="J127" s="57"/>
      <c r="K127" s="57"/>
      <c r="L127" s="57"/>
      <c r="M127" s="78"/>
    </row>
    <row r="128" spans="2:13" ht="13.35" customHeight="1" x14ac:dyDescent="0.15">
      <c r="B128" s="52"/>
      <c r="E128" s="77">
        <v>124</v>
      </c>
      <c r="F128" s="57"/>
      <c r="G128" s="57"/>
      <c r="H128" s="57"/>
      <c r="I128" s="57"/>
      <c r="J128" s="57"/>
      <c r="K128" s="57"/>
      <c r="L128" s="57"/>
      <c r="M128" s="78"/>
    </row>
    <row r="129" spans="2:13" ht="13.35" customHeight="1" x14ac:dyDescent="0.15">
      <c r="B129" s="52"/>
      <c r="E129" s="77">
        <v>125</v>
      </c>
      <c r="F129" s="57"/>
      <c r="G129" s="57"/>
      <c r="H129" s="57"/>
      <c r="I129" s="57"/>
      <c r="J129" s="57"/>
      <c r="K129" s="57"/>
      <c r="L129" s="57"/>
      <c r="M129" s="78"/>
    </row>
    <row r="130" spans="2:13" ht="13.35" customHeight="1" x14ac:dyDescent="0.15">
      <c r="B130" s="52"/>
      <c r="E130" s="77">
        <v>126</v>
      </c>
      <c r="F130" s="57"/>
      <c r="G130" s="57"/>
      <c r="H130" s="57"/>
      <c r="I130" s="57"/>
      <c r="J130" s="57"/>
      <c r="K130" s="57"/>
      <c r="L130" s="57"/>
      <c r="M130" s="78"/>
    </row>
    <row r="131" spans="2:13" ht="13.35" customHeight="1" x14ac:dyDescent="0.15">
      <c r="B131" s="52"/>
      <c r="E131" s="77">
        <v>127</v>
      </c>
      <c r="F131" s="57"/>
      <c r="G131" s="57"/>
      <c r="H131" s="57"/>
      <c r="I131" s="57"/>
      <c r="J131" s="57"/>
      <c r="K131" s="57"/>
      <c r="L131" s="57"/>
      <c r="M131" s="78"/>
    </row>
    <row r="132" spans="2:13" ht="13.35" customHeight="1" x14ac:dyDescent="0.15">
      <c r="B132" s="52"/>
      <c r="E132" s="77">
        <v>128</v>
      </c>
      <c r="F132" s="57"/>
      <c r="G132" s="57"/>
      <c r="H132" s="57"/>
      <c r="I132" s="57"/>
      <c r="J132" s="57"/>
      <c r="K132" s="57"/>
      <c r="L132" s="57"/>
      <c r="M132" s="78"/>
    </row>
    <row r="133" spans="2:13" ht="13.35" customHeight="1" x14ac:dyDescent="0.15">
      <c r="B133" s="52"/>
      <c r="E133" s="77">
        <v>129</v>
      </c>
      <c r="F133" s="57"/>
      <c r="G133" s="57"/>
      <c r="H133" s="57"/>
      <c r="I133" s="57"/>
      <c r="J133" s="57"/>
      <c r="K133" s="57"/>
      <c r="L133" s="57"/>
      <c r="M133" s="78"/>
    </row>
    <row r="134" spans="2:13" ht="13.35" customHeight="1" x14ac:dyDescent="0.15">
      <c r="B134" s="52"/>
      <c r="E134" s="77">
        <v>130</v>
      </c>
      <c r="F134" s="57"/>
      <c r="G134" s="57"/>
      <c r="H134" s="57"/>
      <c r="I134" s="57"/>
      <c r="J134" s="57"/>
      <c r="K134" s="57"/>
      <c r="L134" s="57"/>
      <c r="M134" s="78"/>
    </row>
    <row r="135" spans="2:13" ht="13.35" customHeight="1" x14ac:dyDescent="0.15">
      <c r="B135" s="52"/>
      <c r="E135" s="77">
        <v>131</v>
      </c>
      <c r="F135" s="57"/>
      <c r="G135" s="57"/>
      <c r="H135" s="57"/>
      <c r="I135" s="57"/>
      <c r="J135" s="57"/>
      <c r="K135" s="57"/>
      <c r="L135" s="57"/>
      <c r="M135" s="78"/>
    </row>
    <row r="136" spans="2:13" ht="13.35" customHeight="1" x14ac:dyDescent="0.15">
      <c r="B136" s="52"/>
      <c r="E136" s="77">
        <v>132</v>
      </c>
      <c r="F136" s="57"/>
      <c r="G136" s="57"/>
      <c r="H136" s="57"/>
      <c r="I136" s="57"/>
      <c r="J136" s="57"/>
      <c r="K136" s="57"/>
      <c r="L136" s="57"/>
      <c r="M136" s="78"/>
    </row>
    <row r="137" spans="2:13" ht="13.35" customHeight="1" x14ac:dyDescent="0.15">
      <c r="B137" s="52"/>
      <c r="E137" s="77">
        <v>133</v>
      </c>
      <c r="F137" s="57"/>
      <c r="G137" s="57"/>
      <c r="H137" s="57"/>
      <c r="I137" s="57"/>
      <c r="J137" s="57"/>
      <c r="K137" s="57"/>
      <c r="L137" s="57"/>
      <c r="M137" s="78"/>
    </row>
    <row r="138" spans="2:13" ht="13.35" customHeight="1" x14ac:dyDescent="0.15">
      <c r="B138" s="52"/>
      <c r="E138" s="77">
        <v>134</v>
      </c>
      <c r="F138" s="57"/>
      <c r="G138" s="57"/>
      <c r="H138" s="57"/>
      <c r="I138" s="57"/>
      <c r="J138" s="57"/>
      <c r="K138" s="57"/>
      <c r="L138" s="57"/>
      <c r="M138" s="78"/>
    </row>
    <row r="139" spans="2:13" ht="13.35" customHeight="1" x14ac:dyDescent="0.15">
      <c r="B139" s="52"/>
      <c r="E139" s="77">
        <v>135</v>
      </c>
      <c r="F139" s="57"/>
      <c r="G139" s="57"/>
      <c r="H139" s="57"/>
      <c r="I139" s="57"/>
      <c r="J139" s="57"/>
      <c r="K139" s="57"/>
      <c r="L139" s="57"/>
      <c r="M139" s="78"/>
    </row>
    <row r="140" spans="2:13" ht="13.35" customHeight="1" x14ac:dyDescent="0.15">
      <c r="B140" s="52"/>
      <c r="E140" s="77">
        <v>136</v>
      </c>
      <c r="F140" s="57"/>
      <c r="G140" s="57"/>
      <c r="H140" s="57"/>
      <c r="I140" s="57"/>
      <c r="J140" s="57"/>
      <c r="K140" s="57"/>
      <c r="L140" s="57"/>
      <c r="M140" s="78"/>
    </row>
    <row r="141" spans="2:13" ht="13.35" customHeight="1" x14ac:dyDescent="0.15">
      <c r="B141" s="52"/>
      <c r="E141" s="77">
        <v>137</v>
      </c>
      <c r="F141" s="57"/>
      <c r="G141" s="57"/>
      <c r="H141" s="57"/>
      <c r="I141" s="57"/>
      <c r="J141" s="57"/>
      <c r="K141" s="57"/>
      <c r="L141" s="57"/>
      <c r="M141" s="78"/>
    </row>
    <row r="142" spans="2:13" ht="13.35" customHeight="1" x14ac:dyDescent="0.15">
      <c r="B142" s="52"/>
      <c r="E142" s="77">
        <v>138</v>
      </c>
      <c r="F142" s="57"/>
      <c r="G142" s="57"/>
      <c r="H142" s="57"/>
      <c r="I142" s="57"/>
      <c r="J142" s="57"/>
      <c r="K142" s="57"/>
      <c r="L142" s="57"/>
      <c r="M142" s="78"/>
    </row>
    <row r="143" spans="2:13" ht="13.35" customHeight="1" x14ac:dyDescent="0.15">
      <c r="B143" s="52"/>
      <c r="E143" s="77">
        <v>139</v>
      </c>
      <c r="F143" s="57"/>
      <c r="G143" s="57"/>
      <c r="H143" s="57"/>
      <c r="I143" s="57"/>
      <c r="J143" s="57"/>
      <c r="K143" s="57"/>
      <c r="L143" s="57"/>
      <c r="M143" s="78"/>
    </row>
    <row r="144" spans="2:13" ht="13.35" customHeight="1" x14ac:dyDescent="0.15">
      <c r="B144" s="52"/>
      <c r="E144" s="77">
        <v>140</v>
      </c>
      <c r="F144" s="57"/>
      <c r="G144" s="57"/>
      <c r="H144" s="57"/>
      <c r="I144" s="57"/>
      <c r="J144" s="57"/>
      <c r="K144" s="57"/>
      <c r="L144" s="57"/>
      <c r="M144" s="78"/>
    </row>
    <row r="145" spans="2:13" ht="13.35" customHeight="1" x14ac:dyDescent="0.15">
      <c r="B145" s="52"/>
      <c r="E145" s="77">
        <v>141</v>
      </c>
      <c r="F145" s="57"/>
      <c r="G145" s="57"/>
      <c r="H145" s="57"/>
      <c r="I145" s="57"/>
      <c r="J145" s="57"/>
      <c r="K145" s="57"/>
      <c r="L145" s="57"/>
      <c r="M145" s="78"/>
    </row>
    <row r="146" spans="2:13" ht="13.35" customHeight="1" x14ac:dyDescent="0.15">
      <c r="B146" s="52"/>
      <c r="E146" s="77">
        <v>142</v>
      </c>
      <c r="F146" s="57"/>
      <c r="G146" s="57"/>
      <c r="H146" s="57"/>
      <c r="I146" s="57"/>
      <c r="J146" s="57"/>
      <c r="K146" s="57"/>
      <c r="L146" s="57"/>
      <c r="M146" s="78"/>
    </row>
    <row r="147" spans="2:13" ht="13.35" customHeight="1" x14ac:dyDescent="0.15">
      <c r="B147" s="52"/>
      <c r="E147" s="77">
        <v>143</v>
      </c>
      <c r="F147" s="57"/>
      <c r="G147" s="57"/>
      <c r="H147" s="57"/>
      <c r="I147" s="57"/>
      <c r="J147" s="57"/>
      <c r="K147" s="57"/>
      <c r="L147" s="57"/>
      <c r="M147" s="78"/>
    </row>
    <row r="148" spans="2:13" ht="13.35" customHeight="1" x14ac:dyDescent="0.15">
      <c r="B148" s="52"/>
      <c r="E148" s="77">
        <v>144</v>
      </c>
      <c r="F148" s="57"/>
      <c r="G148" s="57"/>
      <c r="H148" s="57"/>
      <c r="I148" s="57"/>
      <c r="J148" s="57"/>
      <c r="K148" s="57"/>
      <c r="L148" s="57"/>
      <c r="M148" s="78"/>
    </row>
    <row r="149" spans="2:13" ht="13.35" customHeight="1" x14ac:dyDescent="0.15">
      <c r="B149" s="52"/>
      <c r="E149" s="77">
        <v>145</v>
      </c>
      <c r="F149" s="57"/>
      <c r="G149" s="57"/>
      <c r="H149" s="57"/>
      <c r="I149" s="57"/>
      <c r="J149" s="57"/>
      <c r="K149" s="57"/>
      <c r="L149" s="57"/>
      <c r="M149" s="78"/>
    </row>
    <row r="150" spans="2:13" ht="13.35" customHeight="1" x14ac:dyDescent="0.15">
      <c r="B150" s="52"/>
      <c r="E150" s="77">
        <v>146</v>
      </c>
      <c r="F150" s="57"/>
      <c r="G150" s="57"/>
      <c r="H150" s="57"/>
      <c r="I150" s="57"/>
      <c r="J150" s="57"/>
      <c r="K150" s="57"/>
      <c r="L150" s="57"/>
      <c r="M150" s="78"/>
    </row>
    <row r="151" spans="2:13" ht="13.35" customHeight="1" x14ac:dyDescent="0.15">
      <c r="B151" s="52"/>
      <c r="E151" s="77">
        <v>147</v>
      </c>
      <c r="F151" s="57"/>
      <c r="G151" s="57"/>
      <c r="H151" s="57"/>
      <c r="I151" s="57"/>
      <c r="J151" s="57"/>
      <c r="K151" s="57"/>
      <c r="L151" s="57"/>
      <c r="M151" s="78"/>
    </row>
    <row r="152" spans="2:13" ht="13.35" customHeight="1" x14ac:dyDescent="0.15">
      <c r="B152" s="52"/>
      <c r="E152" s="77">
        <v>148</v>
      </c>
      <c r="F152" s="57"/>
      <c r="G152" s="57"/>
      <c r="H152" s="57"/>
      <c r="I152" s="57"/>
      <c r="J152" s="57"/>
      <c r="K152" s="57"/>
      <c r="L152" s="57"/>
      <c r="M152" s="78"/>
    </row>
    <row r="153" spans="2:13" ht="13.35" customHeight="1" x14ac:dyDescent="0.15">
      <c r="B153" s="52"/>
      <c r="E153" s="77">
        <v>149</v>
      </c>
      <c r="F153" s="57"/>
      <c r="G153" s="57"/>
      <c r="H153" s="57"/>
      <c r="I153" s="57"/>
      <c r="J153" s="57"/>
      <c r="K153" s="57"/>
      <c r="L153" s="57"/>
      <c r="M153" s="78"/>
    </row>
    <row r="154" spans="2:13" ht="13.35" customHeight="1" x14ac:dyDescent="0.15">
      <c r="B154" s="52"/>
      <c r="E154" s="77">
        <v>150</v>
      </c>
      <c r="F154" s="57"/>
      <c r="G154" s="57"/>
      <c r="H154" s="57"/>
      <c r="I154" s="57"/>
      <c r="J154" s="57"/>
      <c r="K154" s="57"/>
      <c r="L154" s="57"/>
      <c r="M154" s="78"/>
    </row>
    <row r="155" spans="2:13" ht="13.35" customHeight="1" x14ac:dyDescent="0.15">
      <c r="B155" s="52"/>
      <c r="E155" s="77">
        <v>151</v>
      </c>
      <c r="F155" s="57"/>
      <c r="G155" s="57"/>
      <c r="H155" s="57"/>
      <c r="I155" s="57"/>
      <c r="J155" s="57"/>
      <c r="K155" s="57"/>
      <c r="L155" s="57"/>
      <c r="M155" s="78"/>
    </row>
    <row r="156" spans="2:13" ht="13.35" customHeight="1" x14ac:dyDescent="0.15">
      <c r="B156" s="52"/>
      <c r="E156" s="77">
        <v>152</v>
      </c>
      <c r="F156" s="57"/>
      <c r="G156" s="57"/>
      <c r="H156" s="57"/>
      <c r="I156" s="57"/>
      <c r="J156" s="57"/>
      <c r="K156" s="57"/>
      <c r="L156" s="57"/>
      <c r="M156" s="78"/>
    </row>
    <row r="157" spans="2:13" ht="13.35" customHeight="1" x14ac:dyDescent="0.15">
      <c r="B157" s="52"/>
      <c r="E157" s="77">
        <v>153</v>
      </c>
      <c r="F157" s="57"/>
      <c r="G157" s="57"/>
      <c r="H157" s="57"/>
      <c r="I157" s="57"/>
      <c r="J157" s="57"/>
      <c r="K157" s="57"/>
      <c r="L157" s="57"/>
      <c r="M157" s="78"/>
    </row>
    <row r="158" spans="2:13" ht="13.35" customHeight="1" x14ac:dyDescent="0.15">
      <c r="B158" s="52"/>
      <c r="E158" s="77">
        <v>154</v>
      </c>
      <c r="F158" s="57"/>
      <c r="G158" s="57"/>
      <c r="H158" s="57"/>
      <c r="I158" s="57"/>
      <c r="J158" s="57"/>
      <c r="K158" s="57"/>
      <c r="L158" s="57"/>
      <c r="M158" s="78"/>
    </row>
    <row r="159" spans="2:13" ht="13.35" customHeight="1" x14ac:dyDescent="0.15">
      <c r="B159" s="52"/>
      <c r="E159" s="77">
        <v>155</v>
      </c>
      <c r="F159" s="57"/>
      <c r="G159" s="57"/>
      <c r="H159" s="57"/>
      <c r="I159" s="57"/>
      <c r="J159" s="57"/>
      <c r="K159" s="57"/>
      <c r="L159" s="57"/>
      <c r="M159" s="78"/>
    </row>
    <row r="160" spans="2:13" ht="13.35" customHeight="1" x14ac:dyDescent="0.15">
      <c r="B160" s="52"/>
      <c r="E160" s="77">
        <v>156</v>
      </c>
      <c r="F160" s="57"/>
      <c r="G160" s="57"/>
      <c r="H160" s="57"/>
      <c r="I160" s="57"/>
      <c r="J160" s="57"/>
      <c r="K160" s="57"/>
      <c r="L160" s="57"/>
      <c r="M160" s="78"/>
    </row>
    <row r="161" spans="2:13" ht="13.35" customHeight="1" x14ac:dyDescent="0.15">
      <c r="B161" s="52"/>
      <c r="E161" s="77">
        <v>157</v>
      </c>
      <c r="F161" s="57"/>
      <c r="G161" s="57"/>
      <c r="H161" s="57"/>
      <c r="I161" s="57"/>
      <c r="J161" s="57"/>
      <c r="K161" s="57"/>
      <c r="L161" s="57"/>
      <c r="M161" s="78"/>
    </row>
    <row r="162" spans="2:13" ht="13.35" customHeight="1" x14ac:dyDescent="0.15">
      <c r="B162" s="52"/>
      <c r="E162" s="77">
        <v>158</v>
      </c>
      <c r="F162" s="57"/>
      <c r="G162" s="57"/>
      <c r="H162" s="57"/>
      <c r="I162" s="57"/>
      <c r="J162" s="57"/>
      <c r="K162" s="57"/>
      <c r="L162" s="57"/>
      <c r="M162" s="78"/>
    </row>
    <row r="163" spans="2:13" ht="13.35" customHeight="1" x14ac:dyDescent="0.15">
      <c r="B163" s="52"/>
      <c r="E163" s="77">
        <v>159</v>
      </c>
      <c r="F163" s="57"/>
      <c r="G163" s="57"/>
      <c r="H163" s="57"/>
      <c r="I163" s="57"/>
      <c r="J163" s="57"/>
      <c r="K163" s="57"/>
      <c r="L163" s="57"/>
      <c r="M163" s="78"/>
    </row>
    <row r="164" spans="2:13" ht="13.35" customHeight="1" x14ac:dyDescent="0.15">
      <c r="B164" s="52"/>
      <c r="E164" s="77">
        <v>160</v>
      </c>
      <c r="F164" s="57"/>
      <c r="G164" s="57"/>
      <c r="H164" s="57"/>
      <c r="I164" s="57"/>
      <c r="J164" s="57"/>
      <c r="K164" s="57"/>
      <c r="L164" s="57"/>
      <c r="M164" s="78"/>
    </row>
    <row r="165" spans="2:13" ht="13.35" customHeight="1" x14ac:dyDescent="0.15">
      <c r="B165" s="52"/>
      <c r="E165" s="77">
        <v>161</v>
      </c>
      <c r="F165" s="57"/>
      <c r="G165" s="57"/>
      <c r="H165" s="57"/>
      <c r="I165" s="57"/>
      <c r="J165" s="57"/>
      <c r="K165" s="57"/>
      <c r="L165" s="57"/>
      <c r="M165" s="78"/>
    </row>
    <row r="166" spans="2:13" ht="13.35" customHeight="1" x14ac:dyDescent="0.15">
      <c r="B166" s="52"/>
      <c r="E166" s="77">
        <v>162</v>
      </c>
      <c r="F166" s="57"/>
      <c r="G166" s="57"/>
      <c r="H166" s="57"/>
      <c r="I166" s="57"/>
      <c r="J166" s="57"/>
      <c r="K166" s="57"/>
      <c r="L166" s="57"/>
      <c r="M166" s="78"/>
    </row>
    <row r="167" spans="2:13" ht="13.35" customHeight="1" x14ac:dyDescent="0.15">
      <c r="B167" s="52"/>
      <c r="E167" s="77">
        <v>163</v>
      </c>
      <c r="F167" s="57"/>
      <c r="G167" s="57"/>
      <c r="H167" s="57"/>
      <c r="I167" s="57"/>
      <c r="J167" s="57"/>
      <c r="K167" s="57"/>
      <c r="L167" s="57"/>
      <c r="M167" s="78"/>
    </row>
    <row r="168" spans="2:13" ht="13.35" customHeight="1" x14ac:dyDescent="0.15">
      <c r="B168" s="52"/>
      <c r="E168" s="77">
        <v>164</v>
      </c>
      <c r="F168" s="57"/>
      <c r="G168" s="57"/>
      <c r="H168" s="57"/>
      <c r="I168" s="57"/>
      <c r="J168" s="57"/>
      <c r="K168" s="57"/>
      <c r="L168" s="57"/>
      <c r="M168" s="78"/>
    </row>
    <row r="169" spans="2:13" ht="13.35" customHeight="1" x14ac:dyDescent="0.15">
      <c r="B169" s="52"/>
      <c r="E169" s="77">
        <v>165</v>
      </c>
      <c r="F169" s="57"/>
      <c r="G169" s="57"/>
      <c r="H169" s="57"/>
      <c r="I169" s="57"/>
      <c r="J169" s="57"/>
      <c r="K169" s="57"/>
      <c r="L169" s="57"/>
      <c r="M169" s="78"/>
    </row>
    <row r="170" spans="2:13" ht="13.35" customHeight="1" x14ac:dyDescent="0.15">
      <c r="B170" s="52"/>
      <c r="E170" s="77">
        <v>166</v>
      </c>
      <c r="F170" s="57"/>
      <c r="G170" s="57"/>
      <c r="H170" s="57"/>
      <c r="I170" s="57"/>
      <c r="J170" s="57"/>
      <c r="K170" s="57"/>
      <c r="L170" s="57"/>
      <c r="M170" s="78"/>
    </row>
    <row r="171" spans="2:13" ht="13.35" customHeight="1" x14ac:dyDescent="0.15">
      <c r="B171" s="52"/>
      <c r="E171" s="77">
        <v>167</v>
      </c>
      <c r="F171" s="57"/>
      <c r="G171" s="57"/>
      <c r="H171" s="57"/>
      <c r="I171" s="57"/>
      <c r="J171" s="57"/>
      <c r="K171" s="57"/>
      <c r="L171" s="57"/>
      <c r="M171" s="78"/>
    </row>
    <row r="172" spans="2:13" ht="13.35" customHeight="1" x14ac:dyDescent="0.15">
      <c r="B172" s="52"/>
      <c r="E172" s="77">
        <v>168</v>
      </c>
      <c r="F172" s="57"/>
      <c r="G172" s="57"/>
      <c r="H172" s="57"/>
      <c r="I172" s="57"/>
      <c r="J172" s="57"/>
      <c r="K172" s="57"/>
      <c r="L172" s="57"/>
      <c r="M172" s="78"/>
    </row>
    <row r="173" spans="2:13" ht="13.35" customHeight="1" x14ac:dyDescent="0.15">
      <c r="B173" s="52"/>
      <c r="E173" s="77">
        <v>169</v>
      </c>
      <c r="F173" s="57"/>
      <c r="G173" s="57"/>
      <c r="H173" s="57"/>
      <c r="I173" s="57"/>
      <c r="J173" s="57"/>
      <c r="K173" s="57"/>
      <c r="L173" s="57"/>
      <c r="M173" s="78"/>
    </row>
    <row r="174" spans="2:13" ht="13.35" customHeight="1" x14ac:dyDescent="0.15">
      <c r="B174" s="52"/>
      <c r="E174" s="77">
        <v>170</v>
      </c>
      <c r="F174" s="57"/>
      <c r="G174" s="57"/>
      <c r="H174" s="57"/>
      <c r="I174" s="57"/>
      <c r="J174" s="57"/>
      <c r="K174" s="57"/>
      <c r="L174" s="57"/>
      <c r="M174" s="78"/>
    </row>
    <row r="175" spans="2:13" ht="13.35" customHeight="1" x14ac:dyDescent="0.15">
      <c r="B175" s="52"/>
      <c r="E175" s="77">
        <v>171</v>
      </c>
      <c r="F175" s="57"/>
      <c r="G175" s="57"/>
      <c r="H175" s="57"/>
      <c r="I175" s="57"/>
      <c r="J175" s="57"/>
      <c r="K175" s="57"/>
      <c r="L175" s="57"/>
      <c r="M175" s="78"/>
    </row>
    <row r="176" spans="2:13" ht="13.35" customHeight="1" x14ac:dyDescent="0.15">
      <c r="B176" s="52"/>
      <c r="E176" s="77">
        <v>172</v>
      </c>
      <c r="F176" s="57"/>
      <c r="G176" s="57"/>
      <c r="H176" s="57"/>
      <c r="I176" s="57"/>
      <c r="J176" s="57"/>
      <c r="K176" s="57"/>
      <c r="L176" s="57"/>
      <c r="M176" s="78"/>
    </row>
    <row r="177" spans="2:13" ht="13.35" customHeight="1" x14ac:dyDescent="0.15">
      <c r="B177" s="52"/>
      <c r="E177" s="77">
        <v>173</v>
      </c>
      <c r="F177" s="57"/>
      <c r="G177" s="57"/>
      <c r="H177" s="57"/>
      <c r="I177" s="57"/>
      <c r="J177" s="57"/>
      <c r="K177" s="57"/>
      <c r="L177" s="57"/>
      <c r="M177" s="78"/>
    </row>
    <row r="178" spans="2:13" ht="13.35" customHeight="1" x14ac:dyDescent="0.15">
      <c r="B178" s="52"/>
      <c r="E178" s="77">
        <v>174</v>
      </c>
      <c r="F178" s="57"/>
      <c r="G178" s="57"/>
      <c r="H178" s="57"/>
      <c r="I178" s="57"/>
      <c r="J178" s="57"/>
      <c r="K178" s="57"/>
      <c r="L178" s="57"/>
      <c r="M178" s="78"/>
    </row>
    <row r="179" spans="2:13" ht="13.35" customHeight="1" x14ac:dyDescent="0.15">
      <c r="B179" s="52"/>
      <c r="E179" s="77">
        <v>175</v>
      </c>
      <c r="F179" s="57"/>
      <c r="G179" s="57"/>
      <c r="H179" s="57"/>
      <c r="I179" s="57"/>
      <c r="J179" s="57"/>
      <c r="K179" s="57"/>
      <c r="L179" s="57"/>
      <c r="M179" s="78"/>
    </row>
    <row r="180" spans="2:13" ht="13.35" customHeight="1" x14ac:dyDescent="0.15">
      <c r="B180" s="52"/>
      <c r="E180" s="77">
        <v>176</v>
      </c>
      <c r="F180" s="57"/>
      <c r="G180" s="57"/>
      <c r="H180" s="57"/>
      <c r="I180" s="57"/>
      <c r="J180" s="57"/>
      <c r="K180" s="57"/>
      <c r="L180" s="57"/>
      <c r="M180" s="78"/>
    </row>
    <row r="181" spans="2:13" ht="13.35" customHeight="1" x14ac:dyDescent="0.15">
      <c r="B181" s="52"/>
      <c r="E181" s="77">
        <v>177</v>
      </c>
      <c r="F181" s="57"/>
      <c r="G181" s="57"/>
      <c r="H181" s="57"/>
      <c r="I181" s="57"/>
      <c r="J181" s="57"/>
      <c r="K181" s="57"/>
      <c r="L181" s="57"/>
      <c r="M181" s="78"/>
    </row>
    <row r="182" spans="2:13" ht="13.35" customHeight="1" x14ac:dyDescent="0.15">
      <c r="B182" s="52"/>
      <c r="E182" s="77">
        <v>178</v>
      </c>
      <c r="F182" s="57"/>
      <c r="G182" s="57"/>
      <c r="H182" s="57"/>
      <c r="I182" s="57"/>
      <c r="J182" s="57"/>
      <c r="K182" s="57"/>
      <c r="L182" s="57"/>
      <c r="M182" s="78"/>
    </row>
    <row r="183" spans="2:13" ht="13.35" customHeight="1" x14ac:dyDescent="0.15">
      <c r="B183" s="52"/>
      <c r="E183" s="77">
        <v>179</v>
      </c>
      <c r="F183" s="57"/>
      <c r="G183" s="57"/>
      <c r="H183" s="57"/>
      <c r="I183" s="57"/>
      <c r="J183" s="57"/>
      <c r="K183" s="57"/>
      <c r="L183" s="57"/>
      <c r="M183" s="78"/>
    </row>
    <row r="184" spans="2:13" ht="13.35" customHeight="1" x14ac:dyDescent="0.15">
      <c r="B184" s="52"/>
      <c r="E184" s="77">
        <v>180</v>
      </c>
      <c r="F184" s="57"/>
      <c r="G184" s="57"/>
      <c r="H184" s="57"/>
      <c r="I184" s="57"/>
      <c r="J184" s="57"/>
      <c r="K184" s="57"/>
      <c r="L184" s="57"/>
      <c r="M184" s="78"/>
    </row>
    <row r="185" spans="2:13" ht="13.35" customHeight="1" x14ac:dyDescent="0.15">
      <c r="B185" s="52"/>
      <c r="E185" s="77">
        <v>181</v>
      </c>
      <c r="F185" s="57"/>
      <c r="G185" s="57"/>
      <c r="H185" s="57"/>
      <c r="I185" s="57"/>
      <c r="J185" s="57"/>
      <c r="K185" s="57"/>
      <c r="L185" s="57"/>
      <c r="M185" s="78"/>
    </row>
    <row r="186" spans="2:13" ht="13.35" customHeight="1" x14ac:dyDescent="0.15">
      <c r="B186" s="52"/>
      <c r="E186" s="77">
        <v>182</v>
      </c>
      <c r="F186" s="57"/>
      <c r="G186" s="57"/>
      <c r="H186" s="57"/>
      <c r="I186" s="57"/>
      <c r="J186" s="57"/>
      <c r="K186" s="57"/>
      <c r="L186" s="57"/>
      <c r="M186" s="78"/>
    </row>
    <row r="187" spans="2:13" ht="13.35" customHeight="1" x14ac:dyDescent="0.15">
      <c r="B187" s="52"/>
      <c r="E187" s="77">
        <v>183</v>
      </c>
      <c r="F187" s="57"/>
      <c r="G187" s="57"/>
      <c r="H187" s="57"/>
      <c r="I187" s="57"/>
      <c r="J187" s="57"/>
      <c r="K187" s="57"/>
      <c r="L187" s="57"/>
      <c r="M187" s="78"/>
    </row>
    <row r="188" spans="2:13" ht="13.35" customHeight="1" x14ac:dyDescent="0.15">
      <c r="B188" s="52"/>
      <c r="E188" s="77">
        <v>184</v>
      </c>
      <c r="F188" s="57"/>
      <c r="G188" s="57"/>
      <c r="H188" s="57"/>
      <c r="I188" s="57"/>
      <c r="J188" s="57"/>
      <c r="K188" s="57"/>
      <c r="L188" s="57"/>
      <c r="M188" s="78"/>
    </row>
    <row r="189" spans="2:13" ht="13.35" customHeight="1" x14ac:dyDescent="0.15">
      <c r="B189" s="52"/>
      <c r="E189" s="77">
        <v>185</v>
      </c>
      <c r="F189" s="57"/>
      <c r="G189" s="57"/>
      <c r="H189" s="57"/>
      <c r="I189" s="57"/>
      <c r="J189" s="57"/>
      <c r="K189" s="57"/>
      <c r="L189" s="57"/>
      <c r="M189" s="78"/>
    </row>
    <row r="190" spans="2:13" ht="13.35" customHeight="1" x14ac:dyDescent="0.15">
      <c r="B190" s="52"/>
      <c r="E190" s="77">
        <v>186</v>
      </c>
      <c r="F190" s="57"/>
      <c r="G190" s="57"/>
      <c r="H190" s="57"/>
      <c r="I190" s="57"/>
      <c r="J190" s="57"/>
      <c r="K190" s="57"/>
      <c r="L190" s="57"/>
      <c r="M190" s="78"/>
    </row>
    <row r="191" spans="2:13" ht="13.35" customHeight="1" x14ac:dyDescent="0.15">
      <c r="B191" s="52"/>
      <c r="E191" s="77">
        <v>187</v>
      </c>
      <c r="F191" s="57"/>
      <c r="G191" s="57"/>
      <c r="H191" s="57"/>
      <c r="I191" s="57"/>
      <c r="J191" s="57"/>
      <c r="K191" s="57"/>
      <c r="L191" s="57"/>
      <c r="M191" s="78"/>
    </row>
    <row r="192" spans="2:13" ht="13.35" customHeight="1" x14ac:dyDescent="0.15">
      <c r="B192" s="52"/>
      <c r="E192" s="77">
        <v>188</v>
      </c>
      <c r="F192" s="57"/>
      <c r="G192" s="57"/>
      <c r="H192" s="57"/>
      <c r="I192" s="57"/>
      <c r="J192" s="57"/>
      <c r="K192" s="57"/>
      <c r="L192" s="57"/>
      <c r="M192" s="78"/>
    </row>
    <row r="193" spans="2:13" ht="13.35" customHeight="1" x14ac:dyDescent="0.15">
      <c r="B193" s="52"/>
      <c r="E193" s="77">
        <v>189</v>
      </c>
      <c r="F193" s="57"/>
      <c r="G193" s="57"/>
      <c r="H193" s="57"/>
      <c r="I193" s="57"/>
      <c r="J193" s="57"/>
      <c r="K193" s="57"/>
      <c r="L193" s="57"/>
      <c r="M193" s="78"/>
    </row>
    <row r="194" spans="2:13" ht="13.35" customHeight="1" x14ac:dyDescent="0.15">
      <c r="B194" s="52"/>
      <c r="E194" s="77">
        <v>190</v>
      </c>
      <c r="F194" s="57"/>
      <c r="G194" s="57"/>
      <c r="H194" s="57"/>
      <c r="I194" s="57"/>
      <c r="J194" s="57"/>
      <c r="K194" s="57"/>
      <c r="L194" s="57"/>
      <c r="M194" s="78"/>
    </row>
    <row r="195" spans="2:13" ht="13.35" customHeight="1" x14ac:dyDescent="0.15">
      <c r="B195" s="52"/>
      <c r="E195" s="77">
        <v>191</v>
      </c>
      <c r="F195" s="57"/>
      <c r="G195" s="57"/>
      <c r="H195" s="57"/>
      <c r="I195" s="57"/>
      <c r="J195" s="57"/>
      <c r="K195" s="57"/>
      <c r="L195" s="57"/>
      <c r="M195" s="78"/>
    </row>
    <row r="196" spans="2:13" ht="13.35" customHeight="1" x14ac:dyDescent="0.15">
      <c r="B196" s="52"/>
      <c r="E196" s="77">
        <v>192</v>
      </c>
      <c r="F196" s="57"/>
      <c r="G196" s="57"/>
      <c r="H196" s="57"/>
      <c r="I196" s="57"/>
      <c r="J196" s="57"/>
      <c r="K196" s="57"/>
      <c r="L196" s="57"/>
      <c r="M196" s="78"/>
    </row>
    <row r="197" spans="2:13" ht="13.35" customHeight="1" x14ac:dyDescent="0.15">
      <c r="B197" s="52"/>
      <c r="E197" s="77">
        <v>193</v>
      </c>
      <c r="F197" s="57"/>
      <c r="G197" s="57"/>
      <c r="H197" s="57"/>
      <c r="I197" s="57"/>
      <c r="J197" s="57"/>
      <c r="K197" s="57"/>
      <c r="L197" s="57"/>
      <c r="M197" s="78"/>
    </row>
    <row r="198" spans="2:13" ht="13.35" customHeight="1" x14ac:dyDescent="0.15">
      <c r="B198" s="52"/>
      <c r="E198" s="77">
        <v>194</v>
      </c>
      <c r="F198" s="57"/>
      <c r="G198" s="57"/>
      <c r="H198" s="57"/>
      <c r="I198" s="57"/>
      <c r="J198" s="57"/>
      <c r="K198" s="57"/>
      <c r="L198" s="57"/>
      <c r="M198" s="78"/>
    </row>
    <row r="199" spans="2:13" ht="13.35" customHeight="1" x14ac:dyDescent="0.15">
      <c r="B199" s="52"/>
      <c r="E199" s="77">
        <v>195</v>
      </c>
      <c r="F199" s="57"/>
      <c r="G199" s="57"/>
      <c r="H199" s="57"/>
      <c r="I199" s="57"/>
      <c r="J199" s="57"/>
      <c r="K199" s="57"/>
      <c r="L199" s="57"/>
      <c r="M199" s="78"/>
    </row>
    <row r="200" spans="2:13" ht="13.35" customHeight="1" x14ac:dyDescent="0.15">
      <c r="B200" s="52"/>
      <c r="E200" s="77">
        <v>196</v>
      </c>
      <c r="F200" s="57"/>
      <c r="G200" s="57"/>
      <c r="H200" s="57"/>
      <c r="I200" s="57"/>
      <c r="J200" s="57"/>
      <c r="K200" s="57"/>
      <c r="L200" s="57"/>
      <c r="M200" s="78"/>
    </row>
    <row r="201" spans="2:13" ht="13.35" customHeight="1" x14ac:dyDescent="0.15">
      <c r="B201" s="52"/>
      <c r="E201" s="77">
        <v>197</v>
      </c>
      <c r="F201" s="57"/>
      <c r="G201" s="57"/>
      <c r="H201" s="57"/>
      <c r="I201" s="57"/>
      <c r="J201" s="57"/>
      <c r="K201" s="57"/>
      <c r="L201" s="57"/>
      <c r="M201" s="78"/>
    </row>
    <row r="202" spans="2:13" ht="13.35" customHeight="1" x14ac:dyDescent="0.15">
      <c r="B202" s="52"/>
      <c r="E202" s="77">
        <v>198</v>
      </c>
      <c r="F202" s="57"/>
      <c r="G202" s="57"/>
      <c r="H202" s="57"/>
      <c r="I202" s="57"/>
      <c r="J202" s="57"/>
      <c r="K202" s="57"/>
      <c r="L202" s="57"/>
      <c r="M202" s="78"/>
    </row>
    <row r="203" spans="2:13" ht="13.35" customHeight="1" x14ac:dyDescent="0.15">
      <c r="B203" s="52"/>
      <c r="E203" s="77">
        <v>199</v>
      </c>
      <c r="F203" s="57"/>
      <c r="G203" s="57"/>
      <c r="H203" s="57"/>
      <c r="I203" s="57"/>
      <c r="J203" s="57"/>
      <c r="K203" s="57"/>
      <c r="L203" s="57"/>
      <c r="M203" s="78"/>
    </row>
    <row r="204" spans="2:13" ht="13.35" customHeight="1" x14ac:dyDescent="0.15">
      <c r="B204" s="52"/>
      <c r="E204" s="77">
        <v>200</v>
      </c>
      <c r="F204" s="57"/>
      <c r="G204" s="57"/>
      <c r="H204" s="57"/>
      <c r="I204" s="57"/>
      <c r="J204" s="57"/>
      <c r="K204" s="57"/>
      <c r="L204" s="57"/>
      <c r="M204" s="78"/>
    </row>
    <row r="205" spans="2:13" ht="13.35" customHeight="1" x14ac:dyDescent="0.15">
      <c r="B205" s="52"/>
      <c r="E205" s="77">
        <v>201</v>
      </c>
      <c r="F205" s="57"/>
      <c r="G205" s="57"/>
      <c r="H205" s="57"/>
      <c r="I205" s="57"/>
      <c r="J205" s="57"/>
      <c r="K205" s="57"/>
      <c r="L205" s="57"/>
      <c r="M205" s="78"/>
    </row>
    <row r="206" spans="2:13" ht="13.35" customHeight="1" x14ac:dyDescent="0.15">
      <c r="B206" s="52"/>
      <c r="E206" s="77">
        <v>202</v>
      </c>
      <c r="F206" s="57"/>
      <c r="G206" s="57"/>
      <c r="H206" s="57"/>
      <c r="I206" s="57"/>
      <c r="J206" s="57"/>
      <c r="K206" s="57"/>
      <c r="L206" s="57"/>
      <c r="M206" s="78"/>
    </row>
    <row r="207" spans="2:13" ht="13.35" customHeight="1" x14ac:dyDescent="0.15">
      <c r="B207" s="52"/>
      <c r="E207" s="77">
        <v>203</v>
      </c>
      <c r="F207" s="57"/>
      <c r="G207" s="57"/>
      <c r="H207" s="57"/>
      <c r="I207" s="57"/>
      <c r="J207" s="57"/>
      <c r="K207" s="57"/>
      <c r="L207" s="57"/>
      <c r="M207" s="78"/>
    </row>
    <row r="208" spans="2:13" ht="13.35" customHeight="1" x14ac:dyDescent="0.15">
      <c r="B208" s="52"/>
      <c r="E208" s="77">
        <v>204</v>
      </c>
      <c r="F208" s="57"/>
      <c r="G208" s="57"/>
      <c r="H208" s="57"/>
      <c r="I208" s="57"/>
      <c r="J208" s="57"/>
      <c r="K208" s="57"/>
      <c r="L208" s="57"/>
      <c r="M208" s="78"/>
    </row>
    <row r="209" spans="2:13" ht="13.35" customHeight="1" x14ac:dyDescent="0.15">
      <c r="B209" s="52"/>
      <c r="E209" s="77">
        <v>205</v>
      </c>
      <c r="F209" s="57"/>
      <c r="G209" s="57"/>
      <c r="H209" s="57"/>
      <c r="I209" s="57"/>
      <c r="J209" s="57"/>
      <c r="K209" s="57"/>
      <c r="L209" s="57"/>
      <c r="M209" s="78"/>
    </row>
    <row r="210" spans="2:13" ht="13.35" customHeight="1" x14ac:dyDescent="0.15">
      <c r="B210" s="52"/>
      <c r="E210" s="77">
        <v>206</v>
      </c>
      <c r="F210" s="57"/>
      <c r="G210" s="57"/>
      <c r="H210" s="57"/>
      <c r="I210" s="57"/>
      <c r="J210" s="57"/>
      <c r="K210" s="57"/>
      <c r="L210" s="57"/>
      <c r="M210" s="78"/>
    </row>
    <row r="211" spans="2:13" ht="13.35" customHeight="1" x14ac:dyDescent="0.15">
      <c r="B211" s="52"/>
      <c r="E211" s="77">
        <v>207</v>
      </c>
      <c r="F211" s="57"/>
      <c r="G211" s="57"/>
      <c r="H211" s="57"/>
      <c r="I211" s="57"/>
      <c r="J211" s="57"/>
      <c r="K211" s="57"/>
      <c r="L211" s="57"/>
      <c r="M211" s="78"/>
    </row>
    <row r="212" spans="2:13" ht="13.35" customHeight="1" x14ac:dyDescent="0.15">
      <c r="B212" s="52"/>
      <c r="E212" s="77">
        <v>208</v>
      </c>
      <c r="F212" s="57"/>
      <c r="G212" s="57"/>
      <c r="H212" s="57"/>
      <c r="I212" s="57"/>
      <c r="J212" s="57"/>
      <c r="K212" s="57"/>
      <c r="L212" s="57"/>
      <c r="M212" s="78"/>
    </row>
    <row r="213" spans="2:13" ht="13.35" customHeight="1" x14ac:dyDescent="0.15">
      <c r="B213" s="52"/>
      <c r="E213" s="77">
        <v>209</v>
      </c>
      <c r="F213" s="57"/>
      <c r="G213" s="57"/>
      <c r="H213" s="57"/>
      <c r="I213" s="57"/>
      <c r="J213" s="57"/>
      <c r="K213" s="57"/>
      <c r="L213" s="57"/>
      <c r="M213" s="78"/>
    </row>
    <row r="214" spans="2:13" ht="13.35" customHeight="1" x14ac:dyDescent="0.15">
      <c r="B214" s="52"/>
      <c r="E214" s="77">
        <v>210</v>
      </c>
      <c r="F214" s="57"/>
      <c r="G214" s="57"/>
      <c r="H214" s="57"/>
      <c r="I214" s="57"/>
      <c r="J214" s="57"/>
      <c r="K214" s="57"/>
      <c r="L214" s="57"/>
      <c r="M214" s="78"/>
    </row>
    <row r="215" spans="2:13" ht="13.35" customHeight="1" x14ac:dyDescent="0.15">
      <c r="B215" s="52"/>
      <c r="E215" s="77">
        <v>211</v>
      </c>
      <c r="F215" s="57"/>
      <c r="G215" s="57"/>
      <c r="H215" s="57"/>
      <c r="I215" s="57"/>
      <c r="J215" s="57"/>
      <c r="K215" s="57"/>
      <c r="L215" s="57"/>
      <c r="M215" s="78"/>
    </row>
    <row r="216" spans="2:13" ht="13.35" customHeight="1" x14ac:dyDescent="0.15">
      <c r="B216" s="52"/>
      <c r="E216" s="77">
        <v>212</v>
      </c>
      <c r="F216" s="57"/>
      <c r="G216" s="57"/>
      <c r="H216" s="57"/>
      <c r="I216" s="57"/>
      <c r="J216" s="57"/>
      <c r="K216" s="57"/>
      <c r="L216" s="57"/>
      <c r="M216" s="78"/>
    </row>
    <row r="217" spans="2:13" ht="13.35" customHeight="1" x14ac:dyDescent="0.15">
      <c r="B217" s="52"/>
      <c r="E217" s="77">
        <v>213</v>
      </c>
      <c r="F217" s="57"/>
      <c r="G217" s="57"/>
      <c r="H217" s="57"/>
      <c r="I217" s="57"/>
      <c r="J217" s="57"/>
      <c r="K217" s="57"/>
      <c r="L217" s="57"/>
      <c r="M217" s="78"/>
    </row>
    <row r="218" spans="2:13" ht="13.35" customHeight="1" x14ac:dyDescent="0.15">
      <c r="B218" s="52"/>
      <c r="E218" s="77">
        <v>214</v>
      </c>
      <c r="F218" s="57"/>
      <c r="G218" s="57"/>
      <c r="H218" s="57"/>
      <c r="I218" s="57"/>
      <c r="J218" s="57"/>
      <c r="K218" s="57"/>
      <c r="L218" s="57"/>
      <c r="M218" s="78"/>
    </row>
    <row r="219" spans="2:13" ht="13.35" customHeight="1" x14ac:dyDescent="0.15">
      <c r="B219" s="52"/>
      <c r="E219" s="77">
        <v>215</v>
      </c>
      <c r="F219" s="57"/>
      <c r="G219" s="57"/>
      <c r="H219" s="57"/>
      <c r="I219" s="57"/>
      <c r="J219" s="57"/>
      <c r="K219" s="57"/>
      <c r="L219" s="57"/>
      <c r="M219" s="78"/>
    </row>
    <row r="220" spans="2:13" ht="13.35" customHeight="1" x14ac:dyDescent="0.15">
      <c r="B220" s="52"/>
      <c r="E220" s="77">
        <v>216</v>
      </c>
      <c r="F220" s="57"/>
      <c r="G220" s="57"/>
      <c r="H220" s="57"/>
      <c r="I220" s="57"/>
      <c r="J220" s="57"/>
      <c r="K220" s="57"/>
      <c r="L220" s="57"/>
      <c r="M220" s="78"/>
    </row>
    <row r="221" spans="2:13" ht="13.35" customHeight="1" x14ac:dyDescent="0.15">
      <c r="B221" s="52"/>
      <c r="E221" s="77">
        <v>217</v>
      </c>
      <c r="F221" s="57"/>
      <c r="G221" s="57"/>
      <c r="H221" s="57"/>
      <c r="I221" s="57"/>
      <c r="J221" s="57"/>
      <c r="K221" s="57"/>
      <c r="L221" s="57"/>
      <c r="M221" s="78"/>
    </row>
    <row r="222" spans="2:13" ht="13.35" customHeight="1" x14ac:dyDescent="0.15">
      <c r="B222" s="52"/>
      <c r="E222" s="77">
        <v>218</v>
      </c>
      <c r="F222" s="57"/>
      <c r="G222" s="57"/>
      <c r="H222" s="57"/>
      <c r="I222" s="57"/>
      <c r="J222" s="57"/>
      <c r="K222" s="57"/>
      <c r="L222" s="57"/>
      <c r="M222" s="78"/>
    </row>
    <row r="223" spans="2:13" ht="13.35" customHeight="1" x14ac:dyDescent="0.15">
      <c r="B223" s="52"/>
      <c r="E223" s="77">
        <v>219</v>
      </c>
      <c r="F223" s="57"/>
      <c r="G223" s="57"/>
      <c r="H223" s="57"/>
      <c r="I223" s="57"/>
      <c r="J223" s="57"/>
      <c r="K223" s="57"/>
      <c r="L223" s="57"/>
      <c r="M223" s="78"/>
    </row>
    <row r="224" spans="2:13" ht="13.35" customHeight="1" x14ac:dyDescent="0.15">
      <c r="B224" s="52"/>
      <c r="E224" s="77">
        <v>220</v>
      </c>
      <c r="F224" s="57"/>
      <c r="G224" s="57"/>
      <c r="H224" s="57"/>
      <c r="I224" s="57"/>
      <c r="J224" s="57"/>
      <c r="K224" s="57"/>
      <c r="L224" s="57"/>
      <c r="M224" s="78"/>
    </row>
    <row r="225" spans="2:13" ht="13.35" customHeight="1" x14ac:dyDescent="0.15">
      <c r="B225" s="52"/>
      <c r="E225" s="77">
        <v>221</v>
      </c>
      <c r="F225" s="57"/>
      <c r="G225" s="57"/>
      <c r="H225" s="57"/>
      <c r="I225" s="57"/>
      <c r="J225" s="57"/>
      <c r="K225" s="57"/>
      <c r="L225" s="57"/>
      <c r="M225" s="78"/>
    </row>
    <row r="226" spans="2:13" ht="13.35" customHeight="1" x14ac:dyDescent="0.15">
      <c r="B226" s="52"/>
      <c r="E226" s="77">
        <v>222</v>
      </c>
      <c r="F226" s="57"/>
      <c r="G226" s="57"/>
      <c r="H226" s="57"/>
      <c r="I226" s="57"/>
      <c r="J226" s="57"/>
      <c r="K226" s="57"/>
      <c r="L226" s="57"/>
      <c r="M226" s="78"/>
    </row>
    <row r="227" spans="2:13" ht="13.35" customHeight="1" x14ac:dyDescent="0.15">
      <c r="B227" s="52"/>
      <c r="E227" s="77">
        <v>223</v>
      </c>
      <c r="F227" s="57"/>
      <c r="G227" s="57"/>
      <c r="H227" s="57"/>
      <c r="I227" s="57"/>
      <c r="J227" s="57"/>
      <c r="K227" s="57"/>
      <c r="L227" s="57"/>
      <c r="M227" s="78"/>
    </row>
    <row r="228" spans="2:13" ht="13.35" customHeight="1" x14ac:dyDescent="0.15">
      <c r="B228" s="52"/>
      <c r="E228" s="77">
        <v>224</v>
      </c>
      <c r="F228" s="57"/>
      <c r="G228" s="57"/>
      <c r="H228" s="57"/>
      <c r="I228" s="57"/>
      <c r="J228" s="57"/>
      <c r="K228" s="57"/>
      <c r="L228" s="57"/>
      <c r="M228" s="78"/>
    </row>
    <row r="229" spans="2:13" ht="13.35" customHeight="1" x14ac:dyDescent="0.15">
      <c r="B229" s="52"/>
      <c r="E229" s="77">
        <v>225</v>
      </c>
      <c r="F229" s="57"/>
      <c r="G229" s="57"/>
      <c r="H229" s="57"/>
      <c r="I229" s="57"/>
      <c r="J229" s="57"/>
      <c r="K229" s="57"/>
      <c r="L229" s="57"/>
      <c r="M229" s="78"/>
    </row>
    <row r="230" spans="2:13" ht="13.35" customHeight="1" x14ac:dyDescent="0.15">
      <c r="B230" s="52"/>
      <c r="E230" s="77">
        <v>226</v>
      </c>
      <c r="F230" s="57"/>
      <c r="G230" s="57"/>
      <c r="H230" s="57"/>
      <c r="I230" s="57"/>
      <c r="J230" s="57"/>
      <c r="K230" s="57"/>
      <c r="L230" s="57"/>
      <c r="M230" s="78"/>
    </row>
    <row r="231" spans="2:13" ht="13.35" customHeight="1" x14ac:dyDescent="0.15">
      <c r="B231" s="52"/>
      <c r="E231" s="77">
        <v>227</v>
      </c>
      <c r="F231" s="57"/>
      <c r="G231" s="57"/>
      <c r="H231" s="57"/>
      <c r="I231" s="57"/>
      <c r="J231" s="57"/>
      <c r="K231" s="57"/>
      <c r="L231" s="57"/>
      <c r="M231" s="78"/>
    </row>
    <row r="232" spans="2:13" ht="13.35" customHeight="1" x14ac:dyDescent="0.15">
      <c r="B232" s="52"/>
      <c r="E232" s="77">
        <v>228</v>
      </c>
      <c r="F232" s="57"/>
      <c r="G232" s="57"/>
      <c r="H232" s="57"/>
      <c r="I232" s="57"/>
      <c r="J232" s="57"/>
      <c r="K232" s="57"/>
      <c r="L232" s="57"/>
      <c r="M232" s="78"/>
    </row>
    <row r="233" spans="2:13" ht="13.35" customHeight="1" x14ac:dyDescent="0.15">
      <c r="B233" s="52"/>
      <c r="E233" s="77">
        <v>229</v>
      </c>
      <c r="F233" s="57"/>
      <c r="G233" s="57"/>
      <c r="H233" s="57"/>
      <c r="I233" s="57"/>
      <c r="J233" s="57"/>
      <c r="K233" s="57"/>
      <c r="L233" s="57"/>
      <c r="M233" s="78"/>
    </row>
    <row r="234" spans="2:13" ht="13.35" customHeight="1" x14ac:dyDescent="0.15">
      <c r="B234" s="52"/>
      <c r="E234" s="77">
        <v>230</v>
      </c>
      <c r="F234" s="57"/>
      <c r="G234" s="57"/>
      <c r="H234" s="57"/>
      <c r="I234" s="57"/>
      <c r="J234" s="57"/>
      <c r="K234" s="57"/>
      <c r="L234" s="57"/>
      <c r="M234" s="78"/>
    </row>
    <row r="235" spans="2:13" ht="13.35" customHeight="1" x14ac:dyDescent="0.15">
      <c r="B235" s="52"/>
      <c r="E235" s="77">
        <v>231</v>
      </c>
      <c r="F235" s="57"/>
      <c r="G235" s="57"/>
      <c r="H235" s="57"/>
      <c r="I235" s="57"/>
      <c r="J235" s="57"/>
      <c r="K235" s="57"/>
      <c r="L235" s="57"/>
      <c r="M235" s="78"/>
    </row>
    <row r="236" spans="2:13" ht="13.35" customHeight="1" x14ac:dyDescent="0.15">
      <c r="B236" s="52"/>
      <c r="E236" s="77">
        <v>232</v>
      </c>
      <c r="F236" s="57"/>
      <c r="G236" s="57"/>
      <c r="H236" s="57"/>
      <c r="I236" s="57"/>
      <c r="J236" s="57"/>
      <c r="K236" s="57"/>
      <c r="L236" s="57"/>
      <c r="M236" s="78"/>
    </row>
    <row r="237" spans="2:13" ht="13.35" customHeight="1" x14ac:dyDescent="0.15">
      <c r="B237" s="52"/>
      <c r="E237" s="77">
        <v>233</v>
      </c>
      <c r="F237" s="57"/>
      <c r="G237" s="57"/>
      <c r="H237" s="57"/>
      <c r="I237" s="57"/>
      <c r="J237" s="57"/>
      <c r="K237" s="57"/>
      <c r="L237" s="57"/>
      <c r="M237" s="78"/>
    </row>
    <row r="238" spans="2:13" ht="13.35" customHeight="1" x14ac:dyDescent="0.15">
      <c r="B238" s="52"/>
      <c r="E238" s="77">
        <v>234</v>
      </c>
      <c r="F238" s="57"/>
      <c r="G238" s="57"/>
      <c r="H238" s="57"/>
      <c r="I238" s="57"/>
      <c r="J238" s="57"/>
      <c r="K238" s="57"/>
      <c r="L238" s="57"/>
      <c r="M238" s="78"/>
    </row>
    <row r="239" spans="2:13" ht="13.35" customHeight="1" x14ac:dyDescent="0.15">
      <c r="B239" s="52"/>
      <c r="E239" s="77">
        <v>235</v>
      </c>
      <c r="F239" s="57"/>
      <c r="G239" s="57"/>
      <c r="H239" s="57"/>
      <c r="I239" s="57"/>
      <c r="J239" s="57"/>
      <c r="K239" s="57"/>
      <c r="L239" s="57"/>
      <c r="M239" s="78"/>
    </row>
    <row r="240" spans="2:13" ht="13.35" customHeight="1" x14ac:dyDescent="0.15">
      <c r="B240" s="52"/>
      <c r="E240" s="77">
        <v>236</v>
      </c>
      <c r="F240" s="57"/>
      <c r="G240" s="57"/>
      <c r="H240" s="57"/>
      <c r="I240" s="57"/>
      <c r="J240" s="57"/>
      <c r="K240" s="57"/>
      <c r="L240" s="57"/>
      <c r="M240" s="78"/>
    </row>
    <row r="241" spans="2:13" ht="13.35" customHeight="1" x14ac:dyDescent="0.15">
      <c r="B241" s="52"/>
      <c r="E241" s="77">
        <v>237</v>
      </c>
      <c r="F241" s="57"/>
      <c r="G241" s="57"/>
      <c r="H241" s="57"/>
      <c r="I241" s="57"/>
      <c r="J241" s="57"/>
      <c r="K241" s="57"/>
      <c r="L241" s="57"/>
      <c r="M241" s="78"/>
    </row>
    <row r="242" spans="2:13" ht="13.35" customHeight="1" x14ac:dyDescent="0.15">
      <c r="B242" s="52"/>
      <c r="E242" s="77">
        <v>238</v>
      </c>
      <c r="F242" s="57"/>
      <c r="G242" s="57"/>
      <c r="H242" s="57"/>
      <c r="I242" s="57"/>
      <c r="J242" s="57"/>
      <c r="K242" s="57"/>
      <c r="L242" s="57"/>
      <c r="M242" s="78"/>
    </row>
    <row r="243" spans="2:13" ht="13.35" customHeight="1" x14ac:dyDescent="0.15">
      <c r="B243" s="52"/>
      <c r="E243" s="77">
        <v>239</v>
      </c>
      <c r="F243" s="57"/>
      <c r="G243" s="57"/>
      <c r="H243" s="57"/>
      <c r="I243" s="57"/>
      <c r="J243" s="57"/>
      <c r="K243" s="57"/>
      <c r="L243" s="57"/>
      <c r="M243" s="78"/>
    </row>
    <row r="244" spans="2:13" ht="13.35" customHeight="1" x14ac:dyDescent="0.15">
      <c r="B244" s="52"/>
      <c r="E244" s="77">
        <v>240</v>
      </c>
      <c r="F244" s="57"/>
      <c r="G244" s="57"/>
      <c r="H244" s="57"/>
      <c r="I244" s="57"/>
      <c r="J244" s="57"/>
      <c r="K244" s="57"/>
      <c r="L244" s="57"/>
      <c r="M244" s="78"/>
    </row>
    <row r="245" spans="2:13" ht="13.35" customHeight="1" x14ac:dyDescent="0.15">
      <c r="B245" s="52"/>
      <c r="E245" s="77">
        <v>241</v>
      </c>
      <c r="F245" s="57"/>
      <c r="G245" s="57"/>
      <c r="H245" s="57"/>
      <c r="I245" s="57"/>
      <c r="J245" s="57"/>
      <c r="K245" s="57"/>
      <c r="L245" s="57"/>
      <c r="M245" s="78"/>
    </row>
    <row r="246" spans="2:13" ht="13.35" customHeight="1" x14ac:dyDescent="0.15">
      <c r="B246" s="52"/>
      <c r="E246" s="77">
        <v>242</v>
      </c>
      <c r="F246" s="57"/>
      <c r="G246" s="57"/>
      <c r="H246" s="57"/>
      <c r="I246" s="57"/>
      <c r="J246" s="57"/>
      <c r="K246" s="57"/>
      <c r="L246" s="57"/>
      <c r="M246" s="78"/>
    </row>
    <row r="247" spans="2:13" ht="13.35" customHeight="1" x14ac:dyDescent="0.15">
      <c r="B247" s="52"/>
      <c r="E247" s="77">
        <v>243</v>
      </c>
      <c r="F247" s="57"/>
      <c r="G247" s="57"/>
      <c r="H247" s="57"/>
      <c r="I247" s="57"/>
      <c r="J247" s="57"/>
      <c r="K247" s="57"/>
      <c r="L247" s="57"/>
      <c r="M247" s="78"/>
    </row>
    <row r="248" spans="2:13" ht="13.35" customHeight="1" x14ac:dyDescent="0.15">
      <c r="B248" s="52"/>
      <c r="E248" s="77">
        <v>244</v>
      </c>
      <c r="F248" s="57"/>
      <c r="G248" s="57"/>
      <c r="H248" s="57"/>
      <c r="I248" s="57"/>
      <c r="J248" s="57"/>
      <c r="K248" s="57"/>
      <c r="L248" s="57"/>
      <c r="M248" s="78"/>
    </row>
    <row r="249" spans="2:13" ht="13.35" customHeight="1" x14ac:dyDescent="0.15">
      <c r="B249" s="52"/>
      <c r="E249" s="77">
        <v>245</v>
      </c>
      <c r="F249" s="57"/>
      <c r="G249" s="57"/>
      <c r="H249" s="57"/>
      <c r="I249" s="57"/>
      <c r="J249" s="57"/>
      <c r="K249" s="57"/>
      <c r="L249" s="57"/>
      <c r="M249" s="78"/>
    </row>
    <row r="250" spans="2:13" ht="13.35" customHeight="1" x14ac:dyDescent="0.15">
      <c r="B250" s="52"/>
      <c r="E250" s="77">
        <v>246</v>
      </c>
      <c r="F250" s="57"/>
      <c r="G250" s="57"/>
      <c r="H250" s="57"/>
      <c r="I250" s="57"/>
      <c r="J250" s="57"/>
      <c r="K250" s="57"/>
      <c r="L250" s="57"/>
      <c r="M250" s="78"/>
    </row>
    <row r="251" spans="2:13" ht="13.35" customHeight="1" x14ac:dyDescent="0.15">
      <c r="B251" s="52"/>
      <c r="E251" s="77">
        <v>247</v>
      </c>
      <c r="F251" s="57"/>
      <c r="G251" s="57"/>
      <c r="H251" s="57"/>
      <c r="I251" s="57"/>
      <c r="J251" s="57"/>
      <c r="K251" s="57"/>
      <c r="L251" s="57"/>
      <c r="M251" s="78"/>
    </row>
    <row r="252" spans="2:13" ht="13.35" customHeight="1" x14ac:dyDescent="0.15">
      <c r="B252" s="52"/>
      <c r="E252" s="77">
        <v>248</v>
      </c>
      <c r="F252" s="57"/>
      <c r="G252" s="57"/>
      <c r="H252" s="57"/>
      <c r="I252" s="57"/>
      <c r="J252" s="57"/>
      <c r="K252" s="57"/>
      <c r="L252" s="57"/>
      <c r="M252" s="78"/>
    </row>
    <row r="253" spans="2:13" ht="13.35" customHeight="1" x14ac:dyDescent="0.15">
      <c r="B253" s="52"/>
      <c r="E253" s="77">
        <v>249</v>
      </c>
      <c r="F253" s="57"/>
      <c r="G253" s="57"/>
      <c r="H253" s="57"/>
      <c r="I253" s="57"/>
      <c r="J253" s="57"/>
      <c r="K253" s="57"/>
      <c r="L253" s="57"/>
      <c r="M253" s="78"/>
    </row>
    <row r="254" spans="2:13" ht="13.35" customHeight="1" x14ac:dyDescent="0.15">
      <c r="B254" s="52"/>
      <c r="E254" s="77">
        <v>250</v>
      </c>
      <c r="F254" s="57"/>
      <c r="G254" s="57"/>
      <c r="H254" s="57"/>
      <c r="I254" s="57"/>
      <c r="J254" s="57"/>
      <c r="K254" s="57"/>
      <c r="L254" s="57"/>
      <c r="M254" s="78"/>
    </row>
    <row r="255" spans="2:13" ht="13.35" customHeight="1" x14ac:dyDescent="0.15">
      <c r="B255" s="52"/>
      <c r="E255" s="77">
        <v>251</v>
      </c>
      <c r="F255" s="57"/>
      <c r="G255" s="57"/>
      <c r="H255" s="57"/>
      <c r="I255" s="57"/>
      <c r="J255" s="57"/>
      <c r="K255" s="57"/>
      <c r="L255" s="57"/>
      <c r="M255" s="78"/>
    </row>
    <row r="256" spans="2:13" ht="13.35" customHeight="1" x14ac:dyDescent="0.15">
      <c r="B256" s="52"/>
      <c r="E256" s="77">
        <v>252</v>
      </c>
      <c r="F256" s="57"/>
      <c r="G256" s="57"/>
      <c r="H256" s="57"/>
      <c r="I256" s="57"/>
      <c r="J256" s="57"/>
      <c r="K256" s="57"/>
      <c r="L256" s="57"/>
      <c r="M256" s="78"/>
    </row>
    <row r="257" spans="2:13" ht="13.35" customHeight="1" x14ac:dyDescent="0.15">
      <c r="B257" s="52"/>
      <c r="E257" s="77">
        <v>253</v>
      </c>
      <c r="F257" s="57"/>
      <c r="G257" s="57"/>
      <c r="H257" s="57"/>
      <c r="I257" s="57"/>
      <c r="J257" s="57"/>
      <c r="K257" s="57"/>
      <c r="L257" s="57"/>
      <c r="M257" s="78"/>
    </row>
    <row r="258" spans="2:13" ht="13.35" customHeight="1" x14ac:dyDescent="0.15">
      <c r="B258" s="52"/>
      <c r="E258" s="77">
        <v>254</v>
      </c>
      <c r="F258" s="57"/>
      <c r="G258" s="57"/>
      <c r="H258" s="57"/>
      <c r="I258" s="57"/>
      <c r="J258" s="57"/>
      <c r="K258" s="57"/>
      <c r="L258" s="57"/>
      <c r="M258" s="78"/>
    </row>
    <row r="259" spans="2:13" ht="13.35" customHeight="1" x14ac:dyDescent="0.15">
      <c r="B259" s="52"/>
      <c r="E259" s="77">
        <v>255</v>
      </c>
      <c r="F259" s="57"/>
      <c r="G259" s="57"/>
      <c r="H259" s="57"/>
      <c r="I259" s="57"/>
      <c r="J259" s="57"/>
      <c r="K259" s="57"/>
      <c r="L259" s="57"/>
      <c r="M259" s="78"/>
    </row>
    <row r="260" spans="2:13" ht="13.35" customHeight="1" x14ac:dyDescent="0.15">
      <c r="B260" s="52"/>
      <c r="E260" s="77">
        <v>256</v>
      </c>
      <c r="F260" s="57"/>
      <c r="G260" s="57"/>
      <c r="H260" s="57"/>
      <c r="I260" s="57"/>
      <c r="J260" s="57"/>
      <c r="K260" s="57"/>
      <c r="L260" s="57"/>
      <c r="M260" s="78"/>
    </row>
    <row r="261" spans="2:13" ht="13.35" customHeight="1" x14ac:dyDescent="0.15">
      <c r="B261" s="52"/>
      <c r="E261" s="77">
        <v>257</v>
      </c>
      <c r="F261" s="57"/>
      <c r="G261" s="57"/>
      <c r="H261" s="57"/>
      <c r="I261" s="57"/>
      <c r="J261" s="57"/>
      <c r="K261" s="57"/>
      <c r="L261" s="57"/>
      <c r="M261" s="78"/>
    </row>
    <row r="262" spans="2:13" ht="13.35" customHeight="1" x14ac:dyDescent="0.15">
      <c r="B262" s="52"/>
      <c r="E262" s="77">
        <v>258</v>
      </c>
      <c r="F262" s="57"/>
      <c r="G262" s="57"/>
      <c r="H262" s="57"/>
      <c r="I262" s="57"/>
      <c r="J262" s="57"/>
      <c r="K262" s="57"/>
      <c r="L262" s="57"/>
      <c r="M262" s="78"/>
    </row>
    <row r="263" spans="2:13" ht="13.35" customHeight="1" x14ac:dyDescent="0.15">
      <c r="B263" s="52"/>
      <c r="E263" s="77">
        <v>259</v>
      </c>
      <c r="F263" s="57"/>
      <c r="G263" s="57"/>
      <c r="H263" s="57"/>
      <c r="I263" s="57"/>
      <c r="J263" s="57"/>
      <c r="K263" s="57"/>
      <c r="L263" s="57"/>
      <c r="M263" s="78"/>
    </row>
    <row r="264" spans="2:13" ht="13.35" customHeight="1" x14ac:dyDescent="0.15">
      <c r="B264" s="52"/>
      <c r="E264" s="77">
        <v>260</v>
      </c>
      <c r="F264" s="57"/>
      <c r="G264" s="57"/>
      <c r="H264" s="57"/>
      <c r="I264" s="57"/>
      <c r="J264" s="57"/>
      <c r="K264" s="57"/>
      <c r="L264" s="57"/>
      <c r="M264" s="78"/>
    </row>
    <row r="265" spans="2:13" ht="13.35" customHeight="1" x14ac:dyDescent="0.15">
      <c r="B265" s="52"/>
      <c r="E265" s="77">
        <v>261</v>
      </c>
      <c r="F265" s="57"/>
      <c r="G265" s="57"/>
      <c r="H265" s="57"/>
      <c r="I265" s="57"/>
      <c r="J265" s="57"/>
      <c r="K265" s="57"/>
      <c r="L265" s="57"/>
      <c r="M265" s="78"/>
    </row>
    <row r="266" spans="2:13" ht="13.35" customHeight="1" x14ac:dyDescent="0.15">
      <c r="B266" s="52"/>
      <c r="E266" s="77">
        <v>262</v>
      </c>
      <c r="F266" s="57"/>
      <c r="G266" s="57"/>
      <c r="H266" s="57"/>
      <c r="I266" s="57"/>
      <c r="J266" s="57"/>
      <c r="K266" s="57"/>
      <c r="L266" s="57"/>
      <c r="M266" s="78"/>
    </row>
    <row r="267" spans="2:13" ht="13.35" customHeight="1" x14ac:dyDescent="0.15">
      <c r="B267" s="52"/>
      <c r="E267" s="77">
        <v>263</v>
      </c>
      <c r="F267" s="57"/>
      <c r="G267" s="57"/>
      <c r="H267" s="57"/>
      <c r="I267" s="57"/>
      <c r="J267" s="57"/>
      <c r="K267" s="57"/>
      <c r="L267" s="57"/>
      <c r="M267" s="78"/>
    </row>
    <row r="268" spans="2:13" ht="13.35" customHeight="1" x14ac:dyDescent="0.15">
      <c r="B268" s="52"/>
      <c r="E268" s="77">
        <v>264</v>
      </c>
      <c r="F268" s="57"/>
      <c r="G268" s="57"/>
      <c r="H268" s="57"/>
      <c r="I268" s="57"/>
      <c r="J268" s="57"/>
      <c r="K268" s="57"/>
      <c r="L268" s="57"/>
      <c r="M268" s="78"/>
    </row>
    <row r="269" spans="2:13" ht="13.35" customHeight="1" x14ac:dyDescent="0.15">
      <c r="B269" s="52"/>
      <c r="E269" s="77">
        <v>265</v>
      </c>
      <c r="F269" s="57"/>
      <c r="G269" s="57"/>
      <c r="H269" s="57"/>
      <c r="I269" s="57"/>
      <c r="J269" s="57"/>
      <c r="K269" s="57"/>
      <c r="L269" s="57"/>
      <c r="M269" s="78"/>
    </row>
    <row r="270" spans="2:13" ht="13.35" customHeight="1" x14ac:dyDescent="0.15">
      <c r="B270" s="52"/>
      <c r="E270" s="77">
        <v>266</v>
      </c>
      <c r="F270" s="57"/>
      <c r="G270" s="57"/>
      <c r="H270" s="57"/>
      <c r="I270" s="57"/>
      <c r="J270" s="57"/>
      <c r="K270" s="57"/>
      <c r="L270" s="57"/>
      <c r="M270" s="78"/>
    </row>
    <row r="271" spans="2:13" ht="13.35" customHeight="1" x14ac:dyDescent="0.15">
      <c r="B271" s="52"/>
      <c r="E271" s="77">
        <v>267</v>
      </c>
      <c r="F271" s="57"/>
      <c r="G271" s="57"/>
      <c r="H271" s="57"/>
      <c r="I271" s="57"/>
      <c r="J271" s="57"/>
      <c r="K271" s="57"/>
      <c r="L271" s="57"/>
      <c r="M271" s="78"/>
    </row>
    <row r="272" spans="2:13" ht="13.35" customHeight="1" x14ac:dyDescent="0.15">
      <c r="B272" s="52"/>
      <c r="E272" s="77">
        <v>268</v>
      </c>
      <c r="F272" s="57"/>
      <c r="G272" s="57"/>
      <c r="H272" s="57"/>
      <c r="I272" s="57"/>
      <c r="J272" s="57"/>
      <c r="K272" s="57"/>
      <c r="L272" s="57"/>
      <c r="M272" s="78"/>
    </row>
    <row r="273" spans="2:13" ht="13.35" customHeight="1" x14ac:dyDescent="0.15">
      <c r="B273" s="52"/>
      <c r="E273" s="77">
        <v>269</v>
      </c>
      <c r="F273" s="57"/>
      <c r="G273" s="57"/>
      <c r="H273" s="57"/>
      <c r="I273" s="57"/>
      <c r="J273" s="57"/>
      <c r="K273" s="57"/>
      <c r="L273" s="57"/>
      <c r="M273" s="78"/>
    </row>
    <row r="274" spans="2:13" ht="13.35" customHeight="1" x14ac:dyDescent="0.15">
      <c r="B274" s="52"/>
      <c r="E274" s="77">
        <v>270</v>
      </c>
      <c r="F274" s="57"/>
      <c r="G274" s="57"/>
      <c r="H274" s="57"/>
      <c r="I274" s="57"/>
      <c r="J274" s="57"/>
      <c r="K274" s="57"/>
      <c r="L274" s="57"/>
      <c r="M274" s="78"/>
    </row>
    <row r="275" spans="2:13" ht="13.35" customHeight="1" x14ac:dyDescent="0.15">
      <c r="B275" s="52"/>
      <c r="E275" s="77">
        <v>271</v>
      </c>
      <c r="F275" s="57"/>
      <c r="G275" s="57"/>
      <c r="H275" s="57"/>
      <c r="I275" s="57"/>
      <c r="J275" s="57"/>
      <c r="K275" s="57"/>
      <c r="L275" s="57"/>
      <c r="M275" s="78"/>
    </row>
    <row r="276" spans="2:13" ht="13.35" customHeight="1" x14ac:dyDescent="0.15">
      <c r="B276" s="52"/>
      <c r="E276" s="77">
        <v>272</v>
      </c>
      <c r="F276" s="57"/>
      <c r="G276" s="57"/>
      <c r="H276" s="57"/>
      <c r="I276" s="57"/>
      <c r="J276" s="57"/>
      <c r="K276" s="57"/>
      <c r="L276" s="57"/>
      <c r="M276" s="78"/>
    </row>
    <row r="277" spans="2:13" ht="13.35" customHeight="1" x14ac:dyDescent="0.15">
      <c r="B277" s="52"/>
      <c r="E277" s="77">
        <v>273</v>
      </c>
      <c r="F277" s="57"/>
      <c r="G277" s="57"/>
      <c r="H277" s="57"/>
      <c r="I277" s="57"/>
      <c r="J277" s="57"/>
      <c r="K277" s="57"/>
      <c r="L277" s="57"/>
      <c r="M277" s="78"/>
    </row>
    <row r="278" spans="2:13" ht="13.35" customHeight="1" x14ac:dyDescent="0.15">
      <c r="B278" s="52"/>
      <c r="E278" s="77">
        <v>274</v>
      </c>
      <c r="F278" s="57"/>
      <c r="G278" s="57"/>
      <c r="H278" s="57"/>
      <c r="I278" s="57"/>
      <c r="J278" s="57"/>
      <c r="K278" s="57"/>
      <c r="L278" s="57"/>
      <c r="M278" s="78"/>
    </row>
    <row r="279" spans="2:13" ht="13.35" customHeight="1" x14ac:dyDescent="0.15">
      <c r="B279" s="52"/>
      <c r="E279" s="77">
        <v>275</v>
      </c>
      <c r="F279" s="57"/>
      <c r="G279" s="57"/>
      <c r="H279" s="57"/>
      <c r="I279" s="57"/>
      <c r="J279" s="57"/>
      <c r="K279" s="57"/>
      <c r="L279" s="57"/>
      <c r="M279" s="78"/>
    </row>
    <row r="280" spans="2:13" ht="13.35" customHeight="1" x14ac:dyDescent="0.15">
      <c r="B280" s="52"/>
      <c r="E280" s="77">
        <v>276</v>
      </c>
      <c r="F280" s="57"/>
      <c r="G280" s="57"/>
      <c r="H280" s="57"/>
      <c r="I280" s="57"/>
      <c r="J280" s="57"/>
      <c r="K280" s="57"/>
      <c r="L280" s="57"/>
      <c r="M280" s="78"/>
    </row>
    <row r="281" spans="2:13" ht="13.35" customHeight="1" x14ac:dyDescent="0.15">
      <c r="B281" s="52"/>
      <c r="E281" s="77">
        <v>277</v>
      </c>
      <c r="F281" s="57"/>
      <c r="G281" s="57"/>
      <c r="H281" s="57"/>
      <c r="I281" s="57"/>
      <c r="J281" s="57"/>
      <c r="K281" s="57"/>
      <c r="L281" s="57"/>
      <c r="M281" s="78"/>
    </row>
    <row r="282" spans="2:13" ht="13.35" customHeight="1" x14ac:dyDescent="0.15">
      <c r="B282" s="52"/>
      <c r="E282" s="77">
        <v>278</v>
      </c>
      <c r="F282" s="57"/>
      <c r="G282" s="57"/>
      <c r="H282" s="57"/>
      <c r="I282" s="57"/>
      <c r="J282" s="57"/>
      <c r="K282" s="57"/>
      <c r="L282" s="57"/>
      <c r="M282" s="78"/>
    </row>
    <row r="283" spans="2:13" ht="13.35" customHeight="1" x14ac:dyDescent="0.15">
      <c r="B283" s="52"/>
      <c r="E283" s="77">
        <v>279</v>
      </c>
      <c r="F283" s="57"/>
      <c r="G283" s="57"/>
      <c r="H283" s="57"/>
      <c r="I283" s="57"/>
      <c r="J283" s="57"/>
      <c r="K283" s="57"/>
      <c r="L283" s="57"/>
      <c r="M283" s="78"/>
    </row>
    <row r="284" spans="2:13" ht="13.35" customHeight="1" x14ac:dyDescent="0.15">
      <c r="B284" s="52"/>
      <c r="E284" s="77">
        <v>280</v>
      </c>
      <c r="F284" s="57"/>
      <c r="G284" s="57"/>
      <c r="H284" s="57"/>
      <c r="I284" s="57"/>
      <c r="J284" s="57"/>
      <c r="K284" s="57"/>
      <c r="L284" s="57"/>
      <c r="M284" s="78"/>
    </row>
    <row r="285" spans="2:13" ht="13.35" customHeight="1" x14ac:dyDescent="0.15">
      <c r="B285" s="52"/>
      <c r="E285" s="77">
        <v>281</v>
      </c>
      <c r="F285" s="57"/>
      <c r="G285" s="57"/>
      <c r="H285" s="57"/>
      <c r="I285" s="57"/>
      <c r="J285" s="57"/>
      <c r="K285" s="57"/>
      <c r="L285" s="57"/>
      <c r="M285" s="78"/>
    </row>
    <row r="286" spans="2:13" ht="13.35" customHeight="1" x14ac:dyDescent="0.15">
      <c r="B286" s="52"/>
      <c r="E286" s="77">
        <v>282</v>
      </c>
      <c r="F286" s="57"/>
      <c r="G286" s="57"/>
      <c r="H286" s="57"/>
      <c r="I286" s="57"/>
      <c r="J286" s="57"/>
      <c r="K286" s="57"/>
      <c r="L286" s="57"/>
      <c r="M286" s="78"/>
    </row>
    <row r="287" spans="2:13" ht="13.35" customHeight="1" x14ac:dyDescent="0.15">
      <c r="B287" s="52"/>
      <c r="E287" s="77">
        <v>283</v>
      </c>
      <c r="F287" s="57"/>
      <c r="G287" s="57"/>
      <c r="H287" s="57"/>
      <c r="I287" s="57"/>
      <c r="J287" s="57"/>
      <c r="K287" s="57"/>
      <c r="L287" s="57"/>
      <c r="M287" s="78"/>
    </row>
    <row r="288" spans="2:13" ht="13.35" customHeight="1" x14ac:dyDescent="0.15">
      <c r="B288" s="52"/>
      <c r="E288" s="77">
        <v>284</v>
      </c>
      <c r="F288" s="57"/>
      <c r="G288" s="57"/>
      <c r="H288" s="57"/>
      <c r="I288" s="57"/>
      <c r="J288" s="57"/>
      <c r="K288" s="57"/>
      <c r="L288" s="57"/>
      <c r="M288" s="78"/>
    </row>
    <row r="289" spans="2:13" ht="13.35" customHeight="1" x14ac:dyDescent="0.15">
      <c r="B289" s="52"/>
      <c r="E289" s="77">
        <v>285</v>
      </c>
      <c r="F289" s="57"/>
      <c r="G289" s="57"/>
      <c r="H289" s="57"/>
      <c r="I289" s="57"/>
      <c r="J289" s="57"/>
      <c r="K289" s="57"/>
      <c r="L289" s="57"/>
      <c r="M289" s="78"/>
    </row>
    <row r="290" spans="2:13" ht="13.35" customHeight="1" x14ac:dyDescent="0.15">
      <c r="B290" s="52"/>
      <c r="E290" s="77">
        <v>286</v>
      </c>
      <c r="F290" s="57"/>
      <c r="G290" s="57"/>
      <c r="H290" s="57"/>
      <c r="I290" s="57"/>
      <c r="J290" s="57"/>
      <c r="K290" s="57"/>
      <c r="L290" s="57"/>
      <c r="M290" s="78"/>
    </row>
    <row r="291" spans="2:13" ht="13.35" customHeight="1" x14ac:dyDescent="0.15">
      <c r="B291" s="52"/>
      <c r="E291" s="77">
        <v>287</v>
      </c>
      <c r="F291" s="57"/>
      <c r="G291" s="57"/>
      <c r="H291" s="57"/>
      <c r="I291" s="57"/>
      <c r="J291" s="57"/>
      <c r="K291" s="57"/>
      <c r="L291" s="57"/>
      <c r="M291" s="78"/>
    </row>
    <row r="292" spans="2:13" ht="13.35" customHeight="1" x14ac:dyDescent="0.15">
      <c r="B292" s="52"/>
      <c r="E292" s="77">
        <v>288</v>
      </c>
      <c r="F292" s="57"/>
      <c r="G292" s="57"/>
      <c r="H292" s="57"/>
      <c r="I292" s="57"/>
      <c r="J292" s="57"/>
      <c r="K292" s="57"/>
      <c r="L292" s="57"/>
      <c r="M292" s="78"/>
    </row>
    <row r="293" spans="2:13" ht="13.35" customHeight="1" x14ac:dyDescent="0.15">
      <c r="B293" s="52"/>
      <c r="E293" s="77">
        <v>289</v>
      </c>
      <c r="F293" s="57"/>
      <c r="G293" s="57"/>
      <c r="H293" s="57"/>
      <c r="I293" s="57"/>
      <c r="J293" s="57"/>
      <c r="K293" s="57"/>
      <c r="L293" s="57"/>
      <c r="M293" s="78"/>
    </row>
    <row r="294" spans="2:13" ht="13.35" customHeight="1" x14ac:dyDescent="0.15">
      <c r="B294" s="52"/>
      <c r="E294" s="77">
        <v>290</v>
      </c>
      <c r="F294" s="57"/>
      <c r="G294" s="57"/>
      <c r="H294" s="57"/>
      <c r="I294" s="57"/>
      <c r="J294" s="57"/>
      <c r="K294" s="57"/>
      <c r="L294" s="57"/>
      <c r="M294" s="78"/>
    </row>
    <row r="295" spans="2:13" ht="13.35" customHeight="1" x14ac:dyDescent="0.15">
      <c r="B295" s="52"/>
      <c r="E295" s="77">
        <v>291</v>
      </c>
      <c r="F295" s="57"/>
      <c r="G295" s="57"/>
      <c r="H295" s="57"/>
      <c r="I295" s="57"/>
      <c r="J295" s="57"/>
      <c r="K295" s="57"/>
      <c r="L295" s="57"/>
      <c r="M295" s="78"/>
    </row>
    <row r="296" spans="2:13" ht="13.35" customHeight="1" x14ac:dyDescent="0.15">
      <c r="B296" s="52"/>
      <c r="E296" s="77">
        <v>292</v>
      </c>
      <c r="F296" s="57"/>
      <c r="G296" s="57"/>
      <c r="H296" s="57"/>
      <c r="I296" s="57"/>
      <c r="J296" s="57"/>
      <c r="K296" s="57"/>
      <c r="L296" s="57"/>
      <c r="M296" s="78"/>
    </row>
    <row r="297" spans="2:13" ht="13.35" customHeight="1" x14ac:dyDescent="0.15">
      <c r="B297" s="52"/>
      <c r="E297" s="77">
        <v>293</v>
      </c>
      <c r="F297" s="57"/>
      <c r="G297" s="57"/>
      <c r="H297" s="57"/>
      <c r="I297" s="57"/>
      <c r="J297" s="57"/>
      <c r="K297" s="57"/>
      <c r="L297" s="57"/>
      <c r="M297" s="78"/>
    </row>
    <row r="298" spans="2:13" ht="13.35" customHeight="1" x14ac:dyDescent="0.15">
      <c r="B298" s="52"/>
      <c r="E298" s="77">
        <v>294</v>
      </c>
      <c r="F298" s="57"/>
      <c r="G298" s="57"/>
      <c r="H298" s="57"/>
      <c r="I298" s="57"/>
      <c r="J298" s="57"/>
      <c r="K298" s="57"/>
      <c r="L298" s="57"/>
      <c r="M298" s="78"/>
    </row>
    <row r="299" spans="2:13" ht="13.35" customHeight="1" x14ac:dyDescent="0.15">
      <c r="B299" s="52"/>
      <c r="E299" s="77">
        <v>295</v>
      </c>
      <c r="F299" s="57"/>
      <c r="G299" s="57"/>
      <c r="H299" s="57"/>
      <c r="I299" s="57"/>
      <c r="J299" s="57"/>
      <c r="K299" s="57"/>
      <c r="L299" s="57"/>
      <c r="M299" s="78"/>
    </row>
    <row r="300" spans="2:13" ht="13.35" customHeight="1" x14ac:dyDescent="0.15">
      <c r="B300" s="52"/>
      <c r="E300" s="77">
        <v>296</v>
      </c>
      <c r="F300" s="57"/>
      <c r="G300" s="57"/>
      <c r="H300" s="57"/>
      <c r="I300" s="57"/>
      <c r="J300" s="57"/>
      <c r="K300" s="57"/>
      <c r="L300" s="57"/>
      <c r="M300" s="78"/>
    </row>
    <row r="301" spans="2:13" ht="13.35" customHeight="1" x14ac:dyDescent="0.15">
      <c r="B301" s="52"/>
      <c r="E301" s="77">
        <v>297</v>
      </c>
      <c r="F301" s="57"/>
      <c r="G301" s="57"/>
      <c r="H301" s="57"/>
      <c r="I301" s="57"/>
      <c r="J301" s="57"/>
      <c r="K301" s="57"/>
      <c r="L301" s="57"/>
      <c r="M301" s="78"/>
    </row>
    <row r="302" spans="2:13" ht="13.35" customHeight="1" x14ac:dyDescent="0.15">
      <c r="B302" s="52"/>
      <c r="E302" s="77">
        <v>298</v>
      </c>
      <c r="F302" s="57"/>
      <c r="G302" s="57"/>
      <c r="H302" s="57"/>
      <c r="I302" s="57"/>
      <c r="J302" s="57"/>
      <c r="K302" s="57"/>
      <c r="L302" s="57"/>
      <c r="M302" s="78"/>
    </row>
    <row r="303" spans="2:13" ht="13.35" customHeight="1" x14ac:dyDescent="0.15">
      <c r="B303" s="52"/>
      <c r="E303" s="77">
        <v>299</v>
      </c>
      <c r="F303" s="57"/>
      <c r="G303" s="57"/>
      <c r="H303" s="57"/>
      <c r="I303" s="57"/>
      <c r="J303" s="57"/>
      <c r="K303" s="57"/>
      <c r="L303" s="57"/>
      <c r="M303" s="78"/>
    </row>
    <row r="304" spans="2:13" ht="13.35" customHeight="1" x14ac:dyDescent="0.15">
      <c r="B304" s="52"/>
      <c r="E304" s="77">
        <v>300</v>
      </c>
      <c r="F304" s="57"/>
      <c r="G304" s="57"/>
      <c r="H304" s="57"/>
      <c r="I304" s="57"/>
      <c r="J304" s="57"/>
      <c r="K304" s="57"/>
      <c r="L304" s="57"/>
      <c r="M304" s="78"/>
    </row>
    <row r="305" spans="2:13" ht="13.35" customHeight="1" x14ac:dyDescent="0.15">
      <c r="B305" s="52"/>
      <c r="E305" s="77">
        <v>301</v>
      </c>
      <c r="F305" s="57"/>
      <c r="G305" s="57"/>
      <c r="H305" s="57"/>
      <c r="I305" s="57"/>
      <c r="J305" s="57"/>
      <c r="K305" s="57"/>
      <c r="L305" s="57"/>
      <c r="M305" s="78"/>
    </row>
    <row r="306" spans="2:13" ht="13.35" customHeight="1" x14ac:dyDescent="0.15">
      <c r="B306" s="52"/>
      <c r="E306" s="77">
        <v>302</v>
      </c>
      <c r="F306" s="57"/>
      <c r="G306" s="57"/>
      <c r="H306" s="57"/>
      <c r="I306" s="57"/>
      <c r="J306" s="57"/>
      <c r="K306" s="57"/>
      <c r="L306" s="57"/>
      <c r="M306" s="78"/>
    </row>
    <row r="307" spans="2:13" ht="13.35" customHeight="1" x14ac:dyDescent="0.15">
      <c r="B307" s="52"/>
      <c r="E307" s="77">
        <v>303</v>
      </c>
      <c r="F307" s="57"/>
      <c r="G307" s="57"/>
      <c r="H307" s="57"/>
      <c r="I307" s="57"/>
      <c r="J307" s="57"/>
      <c r="K307" s="57"/>
      <c r="L307" s="57"/>
      <c r="M307" s="78"/>
    </row>
    <row r="308" spans="2:13" ht="13.35" customHeight="1" x14ac:dyDescent="0.15">
      <c r="B308" s="52"/>
      <c r="E308" s="77">
        <v>304</v>
      </c>
      <c r="F308" s="57"/>
      <c r="G308" s="57"/>
      <c r="H308" s="57"/>
      <c r="I308" s="57"/>
      <c r="J308" s="57"/>
      <c r="K308" s="57"/>
      <c r="L308" s="57"/>
      <c r="M308" s="78"/>
    </row>
    <row r="309" spans="2:13" ht="13.35" customHeight="1" x14ac:dyDescent="0.15">
      <c r="B309" s="52"/>
      <c r="E309" s="77">
        <v>305</v>
      </c>
      <c r="F309" s="57"/>
      <c r="G309" s="57"/>
      <c r="H309" s="57"/>
      <c r="I309" s="57"/>
      <c r="J309" s="57"/>
      <c r="K309" s="57"/>
      <c r="L309" s="57"/>
      <c r="M309" s="78"/>
    </row>
    <row r="310" spans="2:13" ht="13.35" customHeight="1" x14ac:dyDescent="0.15">
      <c r="B310" s="52"/>
      <c r="E310" s="77">
        <v>306</v>
      </c>
      <c r="F310" s="57"/>
      <c r="G310" s="57"/>
      <c r="H310" s="57"/>
      <c r="I310" s="57"/>
      <c r="J310" s="57"/>
      <c r="K310" s="57"/>
      <c r="L310" s="57"/>
      <c r="M310" s="78"/>
    </row>
    <row r="311" spans="2:13" ht="13.35" customHeight="1" x14ac:dyDescent="0.15">
      <c r="B311" s="52"/>
      <c r="E311" s="77">
        <v>307</v>
      </c>
      <c r="F311" s="57"/>
      <c r="G311" s="57"/>
      <c r="H311" s="57"/>
      <c r="I311" s="57"/>
      <c r="J311" s="57"/>
      <c r="K311" s="57"/>
      <c r="L311" s="57"/>
      <c r="M311" s="78"/>
    </row>
    <row r="312" spans="2:13" ht="13.35" customHeight="1" x14ac:dyDescent="0.15">
      <c r="B312" s="52"/>
      <c r="E312" s="77">
        <v>308</v>
      </c>
      <c r="F312" s="57"/>
      <c r="G312" s="57"/>
      <c r="H312" s="57"/>
      <c r="I312" s="57"/>
      <c r="J312" s="57"/>
      <c r="K312" s="57"/>
      <c r="L312" s="57"/>
      <c r="M312" s="78"/>
    </row>
    <row r="313" spans="2:13" ht="13.35" customHeight="1" x14ac:dyDescent="0.15">
      <c r="B313" s="52"/>
      <c r="E313" s="77">
        <v>309</v>
      </c>
      <c r="F313" s="57"/>
      <c r="G313" s="57"/>
      <c r="H313" s="57"/>
      <c r="I313" s="57"/>
      <c r="J313" s="57"/>
      <c r="K313" s="57"/>
      <c r="L313" s="57"/>
      <c r="M313" s="78"/>
    </row>
    <row r="314" spans="2:13" ht="13.35" customHeight="1" x14ac:dyDescent="0.15">
      <c r="B314" s="52"/>
      <c r="E314" s="77">
        <v>310</v>
      </c>
      <c r="F314" s="57"/>
      <c r="G314" s="57"/>
      <c r="H314" s="57"/>
      <c r="I314" s="57"/>
      <c r="J314" s="57"/>
      <c r="K314" s="57"/>
      <c r="L314" s="57"/>
      <c r="M314" s="78"/>
    </row>
    <row r="315" spans="2:13" ht="13.35" customHeight="1" x14ac:dyDescent="0.15">
      <c r="B315" s="52"/>
      <c r="E315" s="77">
        <v>311</v>
      </c>
      <c r="F315" s="57"/>
      <c r="G315" s="57"/>
      <c r="H315" s="57"/>
      <c r="I315" s="57"/>
      <c r="J315" s="57"/>
      <c r="K315" s="57"/>
      <c r="L315" s="57"/>
      <c r="M315" s="78"/>
    </row>
    <row r="316" spans="2:13" ht="13.35" customHeight="1" x14ac:dyDescent="0.15">
      <c r="B316" s="52"/>
      <c r="E316" s="77">
        <v>312</v>
      </c>
      <c r="F316" s="57"/>
      <c r="G316" s="57"/>
      <c r="H316" s="57"/>
      <c r="I316" s="57"/>
      <c r="J316" s="57"/>
      <c r="K316" s="57"/>
      <c r="L316" s="57"/>
      <c r="M316" s="78"/>
    </row>
    <row r="317" spans="2:13" ht="13.35" customHeight="1" x14ac:dyDescent="0.15">
      <c r="B317" s="52"/>
      <c r="E317" s="77">
        <v>313</v>
      </c>
      <c r="F317" s="57"/>
      <c r="G317" s="57"/>
      <c r="H317" s="57"/>
      <c r="I317" s="57"/>
      <c r="J317" s="57"/>
      <c r="K317" s="57"/>
      <c r="L317" s="57"/>
      <c r="M317" s="78"/>
    </row>
    <row r="318" spans="2:13" ht="13.35" customHeight="1" x14ac:dyDescent="0.15">
      <c r="B318" s="52"/>
      <c r="E318" s="77">
        <v>314</v>
      </c>
      <c r="F318" s="57"/>
      <c r="G318" s="57"/>
      <c r="H318" s="57"/>
      <c r="I318" s="57"/>
      <c r="J318" s="57"/>
      <c r="K318" s="57"/>
      <c r="L318" s="57"/>
      <c r="M318" s="78"/>
    </row>
    <row r="319" spans="2:13" ht="13.35" customHeight="1" x14ac:dyDescent="0.15">
      <c r="B319" s="52"/>
      <c r="E319" s="77">
        <v>315</v>
      </c>
      <c r="F319" s="57"/>
      <c r="G319" s="57"/>
      <c r="H319" s="57"/>
      <c r="I319" s="57"/>
      <c r="J319" s="57"/>
      <c r="K319" s="57"/>
      <c r="L319" s="57"/>
      <c r="M319" s="78"/>
    </row>
    <row r="320" spans="2:13" ht="13.35" customHeight="1" x14ac:dyDescent="0.15">
      <c r="B320" s="52"/>
      <c r="E320" s="77">
        <v>316</v>
      </c>
      <c r="F320" s="57"/>
      <c r="G320" s="57"/>
      <c r="H320" s="57"/>
      <c r="I320" s="57"/>
      <c r="J320" s="57"/>
      <c r="K320" s="57"/>
      <c r="L320" s="57"/>
      <c r="M320" s="78"/>
    </row>
    <row r="321" spans="2:13" ht="13.35" customHeight="1" x14ac:dyDescent="0.15">
      <c r="B321" s="52"/>
      <c r="E321" s="77">
        <v>317</v>
      </c>
      <c r="F321" s="57"/>
      <c r="G321" s="57"/>
      <c r="H321" s="57"/>
      <c r="I321" s="57"/>
      <c r="J321" s="57"/>
      <c r="K321" s="57"/>
      <c r="L321" s="57"/>
      <c r="M321" s="78"/>
    </row>
    <row r="322" spans="2:13" ht="13.35" customHeight="1" x14ac:dyDescent="0.15">
      <c r="B322" s="52"/>
      <c r="E322" s="77">
        <v>318</v>
      </c>
      <c r="F322" s="57"/>
      <c r="G322" s="57"/>
      <c r="H322" s="57"/>
      <c r="I322" s="57"/>
      <c r="J322" s="57"/>
      <c r="K322" s="57"/>
      <c r="L322" s="57"/>
      <c r="M322" s="78"/>
    </row>
    <row r="323" spans="2:13" ht="13.35" customHeight="1" x14ac:dyDescent="0.15">
      <c r="B323" s="52"/>
      <c r="E323" s="77">
        <v>319</v>
      </c>
      <c r="F323" s="57"/>
      <c r="G323" s="57"/>
      <c r="H323" s="57"/>
      <c r="I323" s="57"/>
      <c r="J323" s="57"/>
      <c r="K323" s="57"/>
      <c r="L323" s="57"/>
      <c r="M323" s="78"/>
    </row>
    <row r="324" spans="2:13" ht="13.35" customHeight="1" x14ac:dyDescent="0.15">
      <c r="B324" s="52"/>
      <c r="E324" s="77">
        <v>320</v>
      </c>
      <c r="F324" s="57"/>
      <c r="G324" s="57"/>
      <c r="H324" s="57"/>
      <c r="I324" s="57"/>
      <c r="J324" s="57"/>
      <c r="K324" s="57"/>
      <c r="L324" s="57"/>
      <c r="M324" s="78"/>
    </row>
    <row r="325" spans="2:13" ht="13.35" customHeight="1" x14ac:dyDescent="0.15">
      <c r="B325" s="52"/>
      <c r="E325" s="77">
        <v>321</v>
      </c>
      <c r="F325" s="57"/>
      <c r="G325" s="57"/>
      <c r="H325" s="57"/>
      <c r="I325" s="57"/>
      <c r="J325" s="57"/>
      <c r="K325" s="57"/>
      <c r="L325" s="57"/>
      <c r="M325" s="78"/>
    </row>
    <row r="326" spans="2:13" ht="13.35" customHeight="1" x14ac:dyDescent="0.15">
      <c r="B326" s="52"/>
      <c r="E326" s="77">
        <v>322</v>
      </c>
      <c r="F326" s="57"/>
      <c r="G326" s="57"/>
      <c r="H326" s="57"/>
      <c r="I326" s="57"/>
      <c r="J326" s="57"/>
      <c r="K326" s="57"/>
      <c r="L326" s="57"/>
      <c r="M326" s="78"/>
    </row>
    <row r="327" spans="2:13" ht="13.35" customHeight="1" x14ac:dyDescent="0.15">
      <c r="B327" s="52"/>
      <c r="E327" s="77">
        <v>323</v>
      </c>
      <c r="F327" s="57"/>
      <c r="G327" s="57"/>
      <c r="H327" s="57"/>
      <c r="I327" s="57"/>
      <c r="J327" s="57"/>
      <c r="K327" s="57"/>
      <c r="L327" s="57"/>
      <c r="M327" s="78"/>
    </row>
    <row r="328" spans="2:13" ht="13.35" customHeight="1" x14ac:dyDescent="0.15">
      <c r="B328" s="52"/>
      <c r="E328" s="77">
        <v>324</v>
      </c>
      <c r="F328" s="57"/>
      <c r="G328" s="57"/>
      <c r="H328" s="57"/>
      <c r="I328" s="57"/>
      <c r="J328" s="57"/>
      <c r="K328" s="57"/>
      <c r="L328" s="57"/>
      <c r="M328" s="78"/>
    </row>
    <row r="329" spans="2:13" ht="13.35" customHeight="1" x14ac:dyDescent="0.15">
      <c r="B329" s="52"/>
      <c r="E329" s="77">
        <v>325</v>
      </c>
      <c r="F329" s="57"/>
      <c r="G329" s="57"/>
      <c r="H329" s="57"/>
      <c r="I329" s="57"/>
      <c r="J329" s="57"/>
      <c r="K329" s="57"/>
      <c r="L329" s="57"/>
      <c r="M329" s="78"/>
    </row>
    <row r="330" spans="2:13" ht="13.35" customHeight="1" x14ac:dyDescent="0.15">
      <c r="B330" s="52"/>
      <c r="E330" s="77">
        <v>326</v>
      </c>
      <c r="F330" s="57"/>
      <c r="G330" s="57"/>
      <c r="H330" s="57"/>
      <c r="I330" s="57"/>
      <c r="J330" s="57"/>
      <c r="K330" s="57"/>
      <c r="L330" s="57"/>
      <c r="M330" s="78"/>
    </row>
    <row r="331" spans="2:13" ht="13.35" customHeight="1" x14ac:dyDescent="0.15">
      <c r="B331" s="52"/>
      <c r="E331" s="77">
        <v>327</v>
      </c>
      <c r="F331" s="57"/>
      <c r="G331" s="57"/>
      <c r="H331" s="57"/>
      <c r="I331" s="57"/>
      <c r="J331" s="57"/>
      <c r="K331" s="57"/>
      <c r="L331" s="57"/>
      <c r="M331" s="78"/>
    </row>
    <row r="332" spans="2:13" ht="13.35" customHeight="1" x14ac:dyDescent="0.15">
      <c r="B332" s="52"/>
      <c r="E332" s="77">
        <v>328</v>
      </c>
      <c r="F332" s="57"/>
      <c r="G332" s="57"/>
      <c r="H332" s="57"/>
      <c r="I332" s="57"/>
      <c r="J332" s="57"/>
      <c r="K332" s="57"/>
      <c r="L332" s="57"/>
      <c r="M332" s="78"/>
    </row>
    <row r="333" spans="2:13" ht="13.35" customHeight="1" x14ac:dyDescent="0.15">
      <c r="B333" s="52"/>
      <c r="E333" s="77">
        <v>329</v>
      </c>
      <c r="F333" s="57"/>
      <c r="G333" s="57"/>
      <c r="H333" s="57"/>
      <c r="I333" s="57"/>
      <c r="J333" s="57"/>
      <c r="K333" s="57"/>
      <c r="L333" s="57"/>
      <c r="M333" s="78"/>
    </row>
    <row r="334" spans="2:13" ht="13.35" customHeight="1" x14ac:dyDescent="0.15">
      <c r="B334" s="52"/>
      <c r="E334" s="77">
        <v>330</v>
      </c>
      <c r="F334" s="57"/>
      <c r="G334" s="57"/>
      <c r="H334" s="57"/>
      <c r="I334" s="57"/>
      <c r="J334" s="57"/>
      <c r="K334" s="57"/>
      <c r="L334" s="57"/>
      <c r="M334" s="78"/>
    </row>
    <row r="335" spans="2:13" ht="13.35" customHeight="1" x14ac:dyDescent="0.15">
      <c r="B335" s="52"/>
      <c r="E335" s="77">
        <v>331</v>
      </c>
      <c r="F335" s="57"/>
      <c r="G335" s="57"/>
      <c r="H335" s="57"/>
      <c r="I335" s="57"/>
      <c r="J335" s="57"/>
      <c r="K335" s="57"/>
      <c r="L335" s="57"/>
      <c r="M335" s="78"/>
    </row>
    <row r="336" spans="2:13" ht="13.35" customHeight="1" x14ac:dyDescent="0.15">
      <c r="B336" s="52"/>
      <c r="E336" s="77">
        <v>332</v>
      </c>
      <c r="F336" s="57"/>
      <c r="G336" s="57"/>
      <c r="H336" s="57"/>
      <c r="I336" s="57"/>
      <c r="J336" s="57"/>
      <c r="K336" s="57"/>
      <c r="L336" s="57"/>
      <c r="M336" s="78"/>
    </row>
    <row r="337" spans="2:13" ht="13.35" customHeight="1" x14ac:dyDescent="0.15">
      <c r="B337" s="52"/>
      <c r="E337" s="77">
        <v>333</v>
      </c>
      <c r="F337" s="57"/>
      <c r="G337" s="57"/>
      <c r="H337" s="57"/>
      <c r="I337" s="57"/>
      <c r="J337" s="57"/>
      <c r="K337" s="57"/>
      <c r="L337" s="57"/>
      <c r="M337" s="78"/>
    </row>
    <row r="338" spans="2:13" ht="13.35" customHeight="1" x14ac:dyDescent="0.15">
      <c r="B338" s="52"/>
      <c r="E338" s="77">
        <v>334</v>
      </c>
      <c r="F338" s="57"/>
      <c r="G338" s="57"/>
      <c r="H338" s="57"/>
      <c r="I338" s="57"/>
      <c r="J338" s="57"/>
      <c r="K338" s="57"/>
      <c r="L338" s="57"/>
      <c r="M338" s="78"/>
    </row>
    <row r="339" spans="2:13" ht="13.35" customHeight="1" x14ac:dyDescent="0.15">
      <c r="B339" s="52"/>
      <c r="E339" s="77">
        <v>335</v>
      </c>
      <c r="F339" s="57"/>
      <c r="G339" s="57"/>
      <c r="H339" s="57"/>
      <c r="I339" s="57"/>
      <c r="J339" s="57"/>
      <c r="K339" s="57"/>
      <c r="L339" s="57"/>
      <c r="M339" s="78"/>
    </row>
    <row r="340" spans="2:13" ht="13.35" customHeight="1" x14ac:dyDescent="0.15">
      <c r="B340" s="52"/>
      <c r="E340" s="77">
        <v>336</v>
      </c>
      <c r="F340" s="57"/>
      <c r="G340" s="57"/>
      <c r="H340" s="57"/>
      <c r="I340" s="57"/>
      <c r="J340" s="57"/>
      <c r="K340" s="57"/>
      <c r="L340" s="57"/>
      <c r="M340" s="78"/>
    </row>
    <row r="341" spans="2:13" ht="13.35" customHeight="1" x14ac:dyDescent="0.15">
      <c r="B341" s="52"/>
      <c r="E341" s="77">
        <v>337</v>
      </c>
      <c r="F341" s="57"/>
      <c r="G341" s="57"/>
      <c r="H341" s="57"/>
      <c r="I341" s="57"/>
      <c r="J341" s="57"/>
      <c r="K341" s="57"/>
      <c r="L341" s="57"/>
      <c r="M341" s="78"/>
    </row>
    <row r="342" spans="2:13" ht="13.35" customHeight="1" x14ac:dyDescent="0.15">
      <c r="B342" s="52"/>
      <c r="E342" s="77">
        <v>338</v>
      </c>
      <c r="F342" s="57"/>
      <c r="G342" s="57"/>
      <c r="H342" s="57"/>
      <c r="I342" s="57"/>
      <c r="J342" s="57"/>
      <c r="K342" s="57"/>
      <c r="L342" s="57"/>
      <c r="M342" s="78"/>
    </row>
    <row r="343" spans="2:13" ht="13.35" customHeight="1" x14ac:dyDescent="0.15">
      <c r="B343" s="52"/>
      <c r="E343" s="77">
        <v>339</v>
      </c>
      <c r="F343" s="57"/>
      <c r="G343" s="57"/>
      <c r="H343" s="57"/>
      <c r="I343" s="57"/>
      <c r="J343" s="57"/>
      <c r="K343" s="57"/>
      <c r="L343" s="57"/>
      <c r="M343" s="78"/>
    </row>
    <row r="344" spans="2:13" ht="13.35" customHeight="1" x14ac:dyDescent="0.15">
      <c r="B344" s="52"/>
      <c r="E344" s="77">
        <v>340</v>
      </c>
      <c r="F344" s="57"/>
      <c r="G344" s="57"/>
      <c r="H344" s="57"/>
      <c r="I344" s="57"/>
      <c r="J344" s="57"/>
      <c r="K344" s="57"/>
      <c r="L344" s="57"/>
      <c r="M344" s="78"/>
    </row>
    <row r="345" spans="2:13" ht="13.35" customHeight="1" x14ac:dyDescent="0.15">
      <c r="B345" s="52"/>
      <c r="E345" s="77">
        <v>341</v>
      </c>
      <c r="F345" s="57"/>
      <c r="G345" s="57"/>
      <c r="H345" s="57"/>
      <c r="I345" s="57"/>
      <c r="J345" s="57"/>
      <c r="K345" s="57"/>
      <c r="L345" s="57"/>
      <c r="M345" s="78"/>
    </row>
    <row r="346" spans="2:13" ht="13.35" customHeight="1" x14ac:dyDescent="0.15">
      <c r="B346" s="52"/>
      <c r="E346" s="77">
        <v>342</v>
      </c>
      <c r="F346" s="57"/>
      <c r="G346" s="57"/>
      <c r="H346" s="57"/>
      <c r="I346" s="57"/>
      <c r="J346" s="57"/>
      <c r="K346" s="57"/>
      <c r="L346" s="57"/>
      <c r="M346" s="78"/>
    </row>
    <row r="347" spans="2:13" ht="13.35" customHeight="1" x14ac:dyDescent="0.15">
      <c r="B347" s="52"/>
      <c r="E347" s="77">
        <v>343</v>
      </c>
      <c r="F347" s="57"/>
      <c r="G347" s="57"/>
      <c r="H347" s="57"/>
      <c r="I347" s="57"/>
      <c r="J347" s="57"/>
      <c r="K347" s="57"/>
      <c r="L347" s="57"/>
      <c r="M347" s="78"/>
    </row>
    <row r="348" spans="2:13" ht="13.35" customHeight="1" x14ac:dyDescent="0.15">
      <c r="B348" s="52"/>
      <c r="E348" s="77">
        <v>344</v>
      </c>
      <c r="F348" s="57"/>
      <c r="G348" s="57"/>
      <c r="H348" s="57"/>
      <c r="I348" s="57"/>
      <c r="J348" s="57"/>
      <c r="K348" s="57"/>
      <c r="L348" s="57"/>
      <c r="M348" s="78"/>
    </row>
    <row r="349" spans="2:13" ht="13.35" customHeight="1" x14ac:dyDescent="0.15">
      <c r="B349" s="52"/>
      <c r="E349" s="77">
        <v>345</v>
      </c>
      <c r="F349" s="57"/>
      <c r="G349" s="57"/>
      <c r="H349" s="57"/>
      <c r="I349" s="57"/>
      <c r="J349" s="57"/>
      <c r="K349" s="57"/>
      <c r="L349" s="57"/>
      <c r="M349" s="78"/>
    </row>
    <row r="350" spans="2:13" ht="13.35" customHeight="1" x14ac:dyDescent="0.15">
      <c r="B350" s="52"/>
      <c r="E350" s="77">
        <v>346</v>
      </c>
      <c r="F350" s="57"/>
      <c r="G350" s="57"/>
      <c r="H350" s="57"/>
      <c r="I350" s="57"/>
      <c r="J350" s="57"/>
      <c r="K350" s="57"/>
      <c r="L350" s="57"/>
      <c r="M350" s="78"/>
    </row>
    <row r="351" spans="2:13" ht="13.35" customHeight="1" x14ac:dyDescent="0.15">
      <c r="B351" s="52"/>
      <c r="E351" s="77">
        <v>347</v>
      </c>
      <c r="F351" s="57"/>
      <c r="G351" s="57"/>
      <c r="H351" s="57"/>
      <c r="I351" s="57"/>
      <c r="J351" s="57"/>
      <c r="K351" s="57"/>
      <c r="L351" s="57"/>
      <c r="M351" s="78"/>
    </row>
    <row r="352" spans="2:13" ht="13.35" customHeight="1" x14ac:dyDescent="0.15">
      <c r="B352" s="52"/>
      <c r="E352" s="77">
        <v>348</v>
      </c>
      <c r="F352" s="57"/>
      <c r="G352" s="57"/>
      <c r="H352" s="57"/>
      <c r="I352" s="57"/>
      <c r="J352" s="57"/>
      <c r="K352" s="57"/>
      <c r="L352" s="57"/>
      <c r="M352" s="78"/>
    </row>
    <row r="353" spans="2:13" ht="13.35" customHeight="1" x14ac:dyDescent="0.15">
      <c r="B353" s="52"/>
      <c r="E353" s="77">
        <v>349</v>
      </c>
      <c r="F353" s="57"/>
      <c r="G353" s="57"/>
      <c r="H353" s="57"/>
      <c r="I353" s="57"/>
      <c r="J353" s="57"/>
      <c r="K353" s="57"/>
      <c r="L353" s="57"/>
      <c r="M353" s="78"/>
    </row>
    <row r="354" spans="2:13" ht="13.35" customHeight="1" x14ac:dyDescent="0.15">
      <c r="B354" s="52"/>
      <c r="E354" s="77">
        <v>350</v>
      </c>
      <c r="F354" s="57"/>
      <c r="G354" s="57"/>
      <c r="H354" s="57"/>
      <c r="I354" s="57"/>
      <c r="J354" s="57"/>
      <c r="K354" s="57"/>
      <c r="L354" s="57"/>
      <c r="M354" s="78"/>
    </row>
    <row r="355" spans="2:13" ht="13.35" customHeight="1" x14ac:dyDescent="0.15">
      <c r="B355" s="52"/>
      <c r="E355" s="77">
        <v>351</v>
      </c>
      <c r="F355" s="57"/>
      <c r="G355" s="57"/>
      <c r="H355" s="57"/>
      <c r="I355" s="57"/>
      <c r="J355" s="57"/>
      <c r="K355" s="57"/>
      <c r="L355" s="57"/>
      <c r="M355" s="78"/>
    </row>
    <row r="356" spans="2:13" ht="13.35" customHeight="1" x14ac:dyDescent="0.15">
      <c r="B356" s="52"/>
      <c r="E356" s="77">
        <v>352</v>
      </c>
      <c r="F356" s="57"/>
      <c r="G356" s="57"/>
      <c r="H356" s="57"/>
      <c r="I356" s="57"/>
      <c r="J356" s="57"/>
      <c r="K356" s="57"/>
      <c r="L356" s="57"/>
      <c r="M356" s="78"/>
    </row>
    <row r="357" spans="2:13" ht="13.35" customHeight="1" x14ac:dyDescent="0.15">
      <c r="B357" s="52"/>
      <c r="E357" s="77">
        <v>353</v>
      </c>
      <c r="F357" s="57"/>
      <c r="G357" s="57"/>
      <c r="H357" s="57"/>
      <c r="I357" s="57"/>
      <c r="J357" s="57"/>
      <c r="K357" s="57"/>
      <c r="L357" s="57"/>
      <c r="M357" s="78"/>
    </row>
    <row r="358" spans="2:13" ht="13.35" customHeight="1" x14ac:dyDescent="0.15">
      <c r="B358" s="52"/>
      <c r="E358" s="77">
        <v>354</v>
      </c>
      <c r="F358" s="57"/>
      <c r="G358" s="57"/>
      <c r="H358" s="57"/>
      <c r="I358" s="57"/>
      <c r="J358" s="57"/>
      <c r="K358" s="57"/>
      <c r="L358" s="57"/>
      <c r="M358" s="78"/>
    </row>
    <row r="359" spans="2:13" ht="13.35" customHeight="1" x14ac:dyDescent="0.15">
      <c r="B359" s="52"/>
      <c r="E359" s="77">
        <v>355</v>
      </c>
      <c r="F359" s="57"/>
      <c r="G359" s="57"/>
      <c r="H359" s="57"/>
      <c r="I359" s="57"/>
      <c r="J359" s="57"/>
      <c r="K359" s="57"/>
      <c r="L359" s="57"/>
      <c r="M359" s="78"/>
    </row>
    <row r="360" spans="2:13" ht="13.35" customHeight="1" x14ac:dyDescent="0.15">
      <c r="B360" s="52"/>
      <c r="E360" s="77">
        <v>356</v>
      </c>
      <c r="F360" s="57"/>
      <c r="G360" s="57"/>
      <c r="H360" s="57"/>
      <c r="I360" s="57"/>
      <c r="J360" s="57"/>
      <c r="K360" s="57"/>
      <c r="L360" s="57"/>
      <c r="M360" s="78"/>
    </row>
    <row r="361" spans="2:13" ht="13.35" customHeight="1" x14ac:dyDescent="0.15">
      <c r="B361" s="52"/>
      <c r="E361" s="77">
        <v>357</v>
      </c>
      <c r="F361" s="57"/>
      <c r="G361" s="57"/>
      <c r="H361" s="57"/>
      <c r="I361" s="57"/>
      <c r="J361" s="57"/>
      <c r="K361" s="57"/>
      <c r="L361" s="57"/>
      <c r="M361" s="78"/>
    </row>
    <row r="362" spans="2:13" ht="13.35" customHeight="1" x14ac:dyDescent="0.15">
      <c r="B362" s="52"/>
      <c r="E362" s="77">
        <v>358</v>
      </c>
      <c r="F362" s="57"/>
      <c r="G362" s="57"/>
      <c r="H362" s="57"/>
      <c r="I362" s="57"/>
      <c r="J362" s="57"/>
      <c r="K362" s="57"/>
      <c r="L362" s="57"/>
      <c r="M362" s="78"/>
    </row>
    <row r="363" spans="2:13" ht="13.35" customHeight="1" x14ac:dyDescent="0.15">
      <c r="B363" s="52"/>
      <c r="E363" s="77">
        <v>359</v>
      </c>
      <c r="F363" s="57"/>
      <c r="G363" s="57"/>
      <c r="H363" s="57"/>
      <c r="I363" s="57"/>
      <c r="J363" s="57"/>
      <c r="K363" s="57"/>
      <c r="L363" s="57"/>
      <c r="M363" s="78"/>
    </row>
    <row r="364" spans="2:13" ht="13.35" customHeight="1" x14ac:dyDescent="0.15">
      <c r="B364" s="52"/>
      <c r="E364" s="77">
        <v>360</v>
      </c>
      <c r="F364" s="57"/>
      <c r="G364" s="57"/>
      <c r="H364" s="57"/>
      <c r="I364" s="57"/>
      <c r="J364" s="57"/>
      <c r="K364" s="57"/>
      <c r="L364" s="57"/>
      <c r="M364" s="78"/>
    </row>
    <row r="365" spans="2:13" ht="13.35" customHeight="1" x14ac:dyDescent="0.15">
      <c r="B365" s="52"/>
      <c r="E365" s="77">
        <v>361</v>
      </c>
      <c r="F365" s="57"/>
      <c r="G365" s="57"/>
      <c r="H365" s="57"/>
      <c r="I365" s="57"/>
      <c r="J365" s="57"/>
      <c r="K365" s="57"/>
      <c r="L365" s="57"/>
      <c r="M365" s="78"/>
    </row>
    <row r="366" spans="2:13" ht="13.35" customHeight="1" x14ac:dyDescent="0.15">
      <c r="B366" s="52"/>
      <c r="E366" s="77">
        <v>362</v>
      </c>
      <c r="F366" s="57"/>
      <c r="G366" s="57"/>
      <c r="H366" s="57"/>
      <c r="I366" s="57"/>
      <c r="J366" s="57"/>
      <c r="K366" s="57"/>
      <c r="L366" s="57"/>
      <c r="M366" s="78"/>
    </row>
    <row r="367" spans="2:13" ht="13.35" customHeight="1" x14ac:dyDescent="0.15">
      <c r="B367" s="52"/>
      <c r="E367" s="77">
        <v>363</v>
      </c>
      <c r="F367" s="57"/>
      <c r="G367" s="57"/>
      <c r="H367" s="57"/>
      <c r="I367" s="57"/>
      <c r="J367" s="57"/>
      <c r="K367" s="57"/>
      <c r="L367" s="57"/>
      <c r="M367" s="78"/>
    </row>
    <row r="368" spans="2:13" ht="13.35" customHeight="1" x14ac:dyDescent="0.15">
      <c r="B368" s="52"/>
      <c r="E368" s="77">
        <v>364</v>
      </c>
      <c r="F368" s="57"/>
      <c r="G368" s="57"/>
      <c r="H368" s="57"/>
      <c r="I368" s="57"/>
      <c r="J368" s="57"/>
      <c r="K368" s="57"/>
      <c r="L368" s="57"/>
      <c r="M368" s="78"/>
    </row>
    <row r="369" spans="2:13" ht="13.35" customHeight="1" x14ac:dyDescent="0.15">
      <c r="B369" s="52"/>
      <c r="E369" s="77">
        <v>365</v>
      </c>
      <c r="F369" s="57"/>
      <c r="G369" s="57"/>
      <c r="H369" s="57"/>
      <c r="I369" s="57"/>
      <c r="J369" s="57"/>
      <c r="K369" s="57"/>
      <c r="L369" s="57"/>
      <c r="M369" s="89"/>
    </row>
    <row r="370" spans="2:13" ht="14.25" x14ac:dyDescent="0.15">
      <c r="E370" s="81"/>
      <c r="F370" s="81"/>
      <c r="G370" s="81"/>
      <c r="H370" s="81"/>
      <c r="I370" s="81"/>
      <c r="J370" s="81"/>
      <c r="K370" s="81"/>
      <c r="L370" s="81"/>
      <c r="M370" s="81"/>
    </row>
    <row r="371" spans="2:13" ht="13.35" customHeight="1" x14ac:dyDescent="0.15">
      <c r="F371" s="90"/>
      <c r="G371" s="91"/>
      <c r="K371" s="66"/>
      <c r="L371" s="66"/>
      <c r="M371" s="53"/>
    </row>
    <row r="372" spans="2:13" ht="13.35" customHeight="1" x14ac:dyDescent="0.15">
      <c r="F372" s="90"/>
      <c r="G372" s="91"/>
      <c r="K372" s="66"/>
      <c r="L372" s="66"/>
      <c r="M372" s="53"/>
    </row>
    <row r="373" spans="2:13" ht="13.35" customHeight="1" x14ac:dyDescent="0.15">
      <c r="F373" s="90"/>
      <c r="G373" s="91"/>
      <c r="K373" s="66"/>
      <c r="L373" s="66"/>
      <c r="M373" s="53"/>
    </row>
    <row r="374" spans="2:13" ht="13.35" customHeight="1" x14ac:dyDescent="0.15">
      <c r="F374" s="90"/>
      <c r="G374" s="91"/>
      <c r="K374" s="66"/>
      <c r="L374" s="66"/>
      <c r="M374" s="53"/>
    </row>
    <row r="375" spans="2:13" ht="13.35" customHeight="1" x14ac:dyDescent="0.15">
      <c r="F375" s="90"/>
      <c r="G375" s="91"/>
      <c r="K375" s="66"/>
      <c r="L375" s="66"/>
      <c r="M375" s="53"/>
    </row>
    <row r="376" spans="2:13" ht="13.35" customHeight="1" x14ac:dyDescent="0.15">
      <c r="F376" s="90"/>
      <c r="G376" s="91"/>
      <c r="K376" s="66"/>
      <c r="L376" s="66"/>
      <c r="M376" s="53"/>
    </row>
    <row r="377" spans="2:13" ht="13.35" customHeight="1" x14ac:dyDescent="0.15">
      <c r="F377" s="90"/>
      <c r="G377" s="91"/>
      <c r="K377" s="66"/>
      <c r="L377" s="66"/>
      <c r="M377" s="53"/>
    </row>
    <row r="378" spans="2:13" ht="13.35" customHeight="1" x14ac:dyDescent="0.15">
      <c r="F378" s="90"/>
      <c r="G378" s="91"/>
      <c r="K378" s="66"/>
      <c r="L378" s="66"/>
      <c r="M378" s="53"/>
    </row>
    <row r="379" spans="2:13" ht="13.35" customHeight="1" x14ac:dyDescent="0.15">
      <c r="F379" s="90"/>
      <c r="G379" s="91"/>
      <c r="K379" s="66"/>
      <c r="L379" s="66"/>
      <c r="M379" s="53"/>
    </row>
    <row r="380" spans="2:13" ht="13.35" customHeight="1" x14ac:dyDescent="0.15">
      <c r="F380" s="90"/>
      <c r="G380" s="91"/>
      <c r="K380" s="66"/>
      <c r="L380" s="66"/>
      <c r="M380" s="53"/>
    </row>
    <row r="381" spans="2:13" ht="13.35" customHeight="1" x14ac:dyDescent="0.15">
      <c r="F381" s="90"/>
      <c r="G381" s="91"/>
      <c r="K381" s="66"/>
      <c r="L381" s="66"/>
      <c r="M381" s="53"/>
    </row>
    <row r="382" spans="2:13" ht="13.35" customHeight="1" x14ac:dyDescent="0.15">
      <c r="F382" s="90"/>
      <c r="G382" s="91"/>
      <c r="K382" s="66"/>
      <c r="L382" s="66"/>
      <c r="M382" s="53"/>
    </row>
    <row r="383" spans="2:13" ht="13.35" customHeight="1" x14ac:dyDescent="0.15">
      <c r="F383" s="90"/>
      <c r="G383" s="91"/>
      <c r="K383" s="66"/>
      <c r="L383" s="66"/>
      <c r="M383" s="53"/>
    </row>
    <row r="384" spans="2:13" ht="13.35" customHeight="1" x14ac:dyDescent="0.15">
      <c r="F384" s="90"/>
      <c r="G384" s="91"/>
      <c r="K384" s="66"/>
      <c r="L384" s="66"/>
      <c r="M384" s="53"/>
    </row>
    <row r="385" spans="6:13" ht="13.35" customHeight="1" x14ac:dyDescent="0.15">
      <c r="F385" s="90"/>
      <c r="G385" s="91"/>
      <c r="K385" s="66"/>
      <c r="L385" s="66"/>
      <c r="M385" s="53"/>
    </row>
    <row r="386" spans="6:13" ht="13.35" customHeight="1" x14ac:dyDescent="0.15">
      <c r="F386" s="90"/>
      <c r="G386" s="91"/>
      <c r="K386" s="66"/>
      <c r="L386" s="66"/>
      <c r="M386" s="53"/>
    </row>
    <row r="387" spans="6:13" ht="13.35" customHeight="1" x14ac:dyDescent="0.15">
      <c r="F387" s="90"/>
      <c r="G387" s="91"/>
      <c r="K387" s="66"/>
      <c r="L387" s="66"/>
      <c r="M387" s="53"/>
    </row>
    <row r="388" spans="6:13" ht="13.35" customHeight="1" x14ac:dyDescent="0.15">
      <c r="F388" s="90"/>
      <c r="G388" s="91"/>
      <c r="K388" s="66"/>
      <c r="L388" s="66"/>
      <c r="M388" s="53"/>
    </row>
    <row r="389" spans="6:13" ht="13.35" customHeight="1" x14ac:dyDescent="0.15">
      <c r="F389" s="90"/>
      <c r="G389" s="91"/>
      <c r="K389" s="66"/>
      <c r="L389" s="66"/>
      <c r="M389" s="53"/>
    </row>
    <row r="390" spans="6:13" ht="13.35" customHeight="1" x14ac:dyDescent="0.15">
      <c r="F390" s="90"/>
      <c r="G390" s="91"/>
      <c r="K390" s="66"/>
      <c r="L390" s="66"/>
      <c r="M390" s="53"/>
    </row>
    <row r="391" spans="6:13" ht="13.35" customHeight="1" x14ac:dyDescent="0.15">
      <c r="F391" s="90"/>
      <c r="G391" s="91"/>
      <c r="K391" s="66"/>
      <c r="L391" s="66"/>
      <c r="M391" s="53"/>
    </row>
    <row r="392" spans="6:13" ht="13.35" customHeight="1" x14ac:dyDescent="0.15">
      <c r="F392" s="90"/>
      <c r="G392" s="91"/>
      <c r="K392" s="66"/>
      <c r="L392" s="66"/>
      <c r="M392" s="53"/>
    </row>
    <row r="393" spans="6:13" ht="13.35" customHeight="1" x14ac:dyDescent="0.15">
      <c r="F393" s="90"/>
      <c r="G393" s="91"/>
      <c r="K393" s="66"/>
      <c r="L393" s="66"/>
      <c r="M393" s="53"/>
    </row>
    <row r="394" spans="6:13" ht="13.35" customHeight="1" x14ac:dyDescent="0.15">
      <c r="F394" s="90"/>
      <c r="G394" s="91"/>
      <c r="K394" s="66"/>
      <c r="L394" s="66"/>
      <c r="M394" s="53"/>
    </row>
    <row r="395" spans="6:13" ht="13.35" customHeight="1" x14ac:dyDescent="0.15">
      <c r="F395" s="90"/>
      <c r="G395" s="91"/>
      <c r="K395" s="66"/>
      <c r="L395" s="66"/>
      <c r="M395" s="53"/>
    </row>
    <row r="396" spans="6:13" ht="13.35" customHeight="1" x14ac:dyDescent="0.15">
      <c r="F396" s="90"/>
      <c r="G396" s="91"/>
      <c r="K396" s="66"/>
      <c r="L396" s="66"/>
      <c r="M396" s="53"/>
    </row>
    <row r="397" spans="6:13" ht="13.35" customHeight="1" x14ac:dyDescent="0.15">
      <c r="F397" s="90"/>
      <c r="G397" s="91"/>
      <c r="K397" s="66"/>
      <c r="L397" s="66"/>
      <c r="M397" s="53"/>
    </row>
    <row r="398" spans="6:13" ht="13.35" customHeight="1" x14ac:dyDescent="0.15">
      <c r="F398" s="90"/>
      <c r="G398" s="91"/>
      <c r="K398" s="66"/>
      <c r="L398" s="66"/>
      <c r="M398" s="53"/>
    </row>
    <row r="399" spans="6:13" ht="13.35" customHeight="1" x14ac:dyDescent="0.15">
      <c r="F399" s="90"/>
      <c r="G399" s="91"/>
      <c r="K399" s="66"/>
      <c r="L399" s="66"/>
      <c r="M399" s="53"/>
    </row>
    <row r="400" spans="6:13" ht="13.35" customHeight="1" x14ac:dyDescent="0.15">
      <c r="F400" s="90"/>
      <c r="G400" s="91"/>
      <c r="K400" s="66"/>
      <c r="L400" s="66"/>
      <c r="M400" s="53"/>
    </row>
    <row r="401" spans="6:13" ht="13.35" customHeight="1" x14ac:dyDescent="0.15">
      <c r="F401" s="90"/>
      <c r="G401" s="91"/>
      <c r="K401" s="66"/>
      <c r="L401" s="66"/>
      <c r="M401" s="53"/>
    </row>
    <row r="402" spans="6:13" ht="13.35" customHeight="1" x14ac:dyDescent="0.15">
      <c r="F402" s="90"/>
      <c r="G402" s="91"/>
      <c r="K402" s="66"/>
      <c r="L402" s="66"/>
      <c r="M402" s="53"/>
    </row>
    <row r="403" spans="6:13" ht="13.35" customHeight="1" x14ac:dyDescent="0.15">
      <c r="F403" s="90"/>
      <c r="G403" s="91"/>
      <c r="K403" s="66"/>
      <c r="L403" s="66"/>
      <c r="M403" s="53"/>
    </row>
    <row r="404" spans="6:13" ht="13.35" customHeight="1" x14ac:dyDescent="0.15">
      <c r="F404" s="90"/>
      <c r="G404" s="91"/>
      <c r="K404" s="66"/>
      <c r="L404" s="66"/>
      <c r="M404" s="53"/>
    </row>
    <row r="405" spans="6:13" ht="13.35" customHeight="1" x14ac:dyDescent="0.15">
      <c r="F405" s="90"/>
      <c r="G405" s="91"/>
      <c r="K405" s="66"/>
      <c r="L405" s="66"/>
      <c r="M405" s="53"/>
    </row>
    <row r="406" spans="6:13" ht="13.35" customHeight="1" x14ac:dyDescent="0.15">
      <c r="F406" s="90"/>
      <c r="G406" s="91"/>
      <c r="K406" s="66"/>
      <c r="L406" s="66"/>
      <c r="M406" s="53"/>
    </row>
    <row r="407" spans="6:13" ht="13.35" customHeight="1" x14ac:dyDescent="0.15">
      <c r="F407" s="90"/>
      <c r="G407" s="91"/>
      <c r="K407" s="66"/>
      <c r="L407" s="66"/>
      <c r="M407" s="53"/>
    </row>
    <row r="408" spans="6:13" ht="13.35" customHeight="1" x14ac:dyDescent="0.15">
      <c r="F408" s="90"/>
      <c r="G408" s="91"/>
      <c r="K408" s="66"/>
      <c r="L408" s="66"/>
      <c r="M408" s="53"/>
    </row>
    <row r="409" spans="6:13" ht="13.35" customHeight="1" x14ac:dyDescent="0.15">
      <c r="F409" s="90"/>
      <c r="G409" s="91"/>
      <c r="K409" s="66"/>
      <c r="L409" s="66"/>
      <c r="M409" s="53"/>
    </row>
    <row r="410" spans="6:13" ht="13.35" customHeight="1" x14ac:dyDescent="0.15">
      <c r="F410" s="90"/>
      <c r="G410" s="91"/>
      <c r="K410" s="66"/>
      <c r="L410" s="66"/>
      <c r="M410" s="53"/>
    </row>
    <row r="411" spans="6:13" ht="13.35" customHeight="1" x14ac:dyDescent="0.15">
      <c r="F411" s="90"/>
      <c r="G411" s="91"/>
      <c r="K411" s="66"/>
      <c r="L411" s="66"/>
      <c r="M411" s="53"/>
    </row>
    <row r="412" spans="6:13" ht="13.35" customHeight="1" x14ac:dyDescent="0.15">
      <c r="F412" s="90"/>
      <c r="G412" s="91"/>
      <c r="K412" s="66"/>
      <c r="L412" s="66"/>
      <c r="M412" s="53"/>
    </row>
    <row r="413" spans="6:13" ht="13.35" customHeight="1" x14ac:dyDescent="0.15">
      <c r="F413" s="90"/>
      <c r="G413" s="91"/>
      <c r="K413" s="66"/>
      <c r="L413" s="66"/>
      <c r="M413" s="53"/>
    </row>
    <row r="414" spans="6:13" ht="13.35" customHeight="1" x14ac:dyDescent="0.15">
      <c r="F414" s="90"/>
      <c r="G414" s="91"/>
      <c r="K414" s="66"/>
      <c r="L414" s="66"/>
      <c r="M414" s="53"/>
    </row>
    <row r="415" spans="6:13" ht="13.35" customHeight="1" x14ac:dyDescent="0.15">
      <c r="F415" s="90"/>
      <c r="G415" s="91"/>
      <c r="K415" s="66"/>
      <c r="L415" s="66"/>
      <c r="M415" s="53"/>
    </row>
    <row r="416" spans="6:13" ht="13.35" customHeight="1" x14ac:dyDescent="0.15">
      <c r="F416" s="90"/>
      <c r="G416" s="91"/>
      <c r="K416" s="66"/>
      <c r="L416" s="66"/>
      <c r="M416" s="53"/>
    </row>
    <row r="417" spans="6:13" ht="13.35" customHeight="1" x14ac:dyDescent="0.15">
      <c r="F417" s="90"/>
      <c r="G417" s="91"/>
      <c r="K417" s="66"/>
      <c r="L417" s="66"/>
      <c r="M417" s="53"/>
    </row>
    <row r="418" spans="6:13" ht="13.35" customHeight="1" x14ac:dyDescent="0.15">
      <c r="F418" s="90"/>
      <c r="G418" s="91"/>
      <c r="K418" s="66"/>
      <c r="L418" s="66"/>
      <c r="M418" s="53"/>
    </row>
    <row r="419" spans="6:13" ht="13.35" customHeight="1" x14ac:dyDescent="0.15">
      <c r="F419" s="90"/>
      <c r="G419" s="91"/>
      <c r="K419" s="66"/>
      <c r="L419" s="66"/>
      <c r="M419" s="53"/>
    </row>
    <row r="420" spans="6:13" ht="13.35" customHeight="1" x14ac:dyDescent="0.15">
      <c r="F420" s="90"/>
      <c r="G420" s="91"/>
      <c r="K420" s="66"/>
      <c r="L420" s="66"/>
      <c r="M420" s="53"/>
    </row>
    <row r="421" spans="6:13" ht="13.35" customHeight="1" x14ac:dyDescent="0.15">
      <c r="F421" s="90"/>
      <c r="G421" s="91"/>
      <c r="K421" s="66"/>
      <c r="L421" s="66"/>
      <c r="M421" s="53"/>
    </row>
    <row r="422" spans="6:13" ht="13.35" customHeight="1" x14ac:dyDescent="0.15">
      <c r="F422" s="90"/>
      <c r="G422" s="91"/>
      <c r="K422" s="66"/>
      <c r="L422" s="66"/>
      <c r="M422" s="53"/>
    </row>
    <row r="423" spans="6:13" ht="13.35" customHeight="1" x14ac:dyDescent="0.15">
      <c r="F423" s="90"/>
      <c r="G423" s="91"/>
      <c r="K423" s="66"/>
      <c r="L423" s="66"/>
      <c r="M423" s="53"/>
    </row>
    <row r="424" spans="6:13" ht="13.35" customHeight="1" x14ac:dyDescent="0.15">
      <c r="F424" s="90"/>
      <c r="G424" s="91"/>
      <c r="K424" s="66"/>
      <c r="L424" s="66"/>
      <c r="M424" s="53"/>
    </row>
    <row r="425" spans="6:13" ht="13.35" customHeight="1" x14ac:dyDescent="0.15"/>
    <row r="426" spans="6:13" ht="13.35" customHeight="1" x14ac:dyDescent="0.15"/>
    <row r="427" spans="6:13" ht="13.35" customHeight="1" x14ac:dyDescent="0.15"/>
    <row r="428" spans="6:13" ht="13.35" customHeight="1" x14ac:dyDescent="0.15"/>
    <row r="429" spans="6:13" ht="13.35" customHeight="1" x14ac:dyDescent="0.15"/>
  </sheetData>
  <mergeCells count="1">
    <mergeCell ref="E2:E3"/>
  </mergeCells>
  <phoneticPr fontId="6"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E9ED4-7F10-43AA-8256-52FCD721A2FE}">
  <dimension ref="A3:H14"/>
  <sheetViews>
    <sheetView zoomScale="130" zoomScaleNormal="130" workbookViewId="0">
      <selection activeCell="O12" sqref="O12"/>
    </sheetView>
  </sheetViews>
  <sheetFormatPr defaultRowHeight="14.25" x14ac:dyDescent="0.15"/>
  <cols>
    <col min="1" max="2" width="2.75" style="48" customWidth="1"/>
    <col min="3" max="3" width="20.5" style="48" customWidth="1"/>
    <col min="4" max="4" width="9.25" style="48" bestFit="1" customWidth="1"/>
    <col min="5" max="5" width="2.375" style="48" customWidth="1"/>
    <col min="6" max="16384" width="9" style="48"/>
  </cols>
  <sheetData>
    <row r="3" spans="1:8" ht="15" x14ac:dyDescent="0.2">
      <c r="C3" s="93" t="s">
        <v>524</v>
      </c>
      <c r="D3" s="94">
        <v>2000</v>
      </c>
      <c r="H3" s="95"/>
    </row>
    <row r="4" spans="1:8" x14ac:dyDescent="0.15">
      <c r="C4" s="93" t="s">
        <v>525</v>
      </c>
      <c r="D4" s="94">
        <v>15</v>
      </c>
    </row>
    <row r="5" spans="1:8" ht="15" x14ac:dyDescent="0.2">
      <c r="C5" s="93" t="s">
        <v>526</v>
      </c>
      <c r="D5" s="94">
        <v>200</v>
      </c>
    </row>
    <row r="6" spans="1:8" x14ac:dyDescent="0.15">
      <c r="C6" s="93" t="s">
        <v>467</v>
      </c>
      <c r="D6" s="96">
        <v>0.06</v>
      </c>
    </row>
    <row r="7" spans="1:8" ht="15" x14ac:dyDescent="0.2">
      <c r="B7" s="48" t="s">
        <v>527</v>
      </c>
      <c r="C7" s="93" t="s">
        <v>528</v>
      </c>
      <c r="D7" s="97"/>
    </row>
    <row r="8" spans="1:8" x14ac:dyDescent="0.15">
      <c r="C8" s="93"/>
      <c r="D8" s="98"/>
    </row>
    <row r="9" spans="1:8" ht="15" x14ac:dyDescent="0.2">
      <c r="C9" s="93" t="s">
        <v>529</v>
      </c>
      <c r="D9" s="94">
        <v>1000</v>
      </c>
    </row>
    <row r="10" spans="1:8" x14ac:dyDescent="0.15">
      <c r="C10" s="93" t="s">
        <v>530</v>
      </c>
      <c r="D10" s="96">
        <v>0.05</v>
      </c>
    </row>
    <row r="11" spans="1:8" x14ac:dyDescent="0.15">
      <c r="C11" s="93" t="s">
        <v>531</v>
      </c>
      <c r="D11" s="94">
        <v>15</v>
      </c>
    </row>
    <row r="12" spans="1:8" ht="15" x14ac:dyDescent="0.2">
      <c r="A12" s="48" t="s">
        <v>532</v>
      </c>
      <c r="B12" s="48" t="s">
        <v>532</v>
      </c>
      <c r="C12" s="93" t="s">
        <v>533</v>
      </c>
      <c r="D12" s="97"/>
    </row>
    <row r="13" spans="1:8" x14ac:dyDescent="0.15">
      <c r="C13" s="93"/>
      <c r="D13" s="98"/>
    </row>
    <row r="14" spans="1:8" x14ac:dyDescent="0.15">
      <c r="B14" s="48" t="s">
        <v>534</v>
      </c>
      <c r="C14" s="93" t="s">
        <v>535</v>
      </c>
      <c r="D14" s="99"/>
    </row>
  </sheetData>
  <phoneticPr fontId="6"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8:F14"/>
  <sheetViews>
    <sheetView topLeftCell="A11" zoomScale="160" zoomScaleNormal="160" workbookViewId="0">
      <selection activeCell="E22" sqref="E22"/>
    </sheetView>
  </sheetViews>
  <sheetFormatPr defaultColWidth="8.625" defaultRowHeight="14.25" x14ac:dyDescent="0.15"/>
  <cols>
    <col min="1" max="1" width="8.625" style="41"/>
    <col min="2" max="6" width="9.375" style="41" customWidth="1"/>
    <col min="7" max="16384" width="8.625" style="41"/>
  </cols>
  <sheetData>
    <row r="8" spans="2:6" x14ac:dyDescent="0.15">
      <c r="C8" s="103" t="s">
        <v>468</v>
      </c>
      <c r="D8" s="103"/>
      <c r="E8" s="103" t="s">
        <v>469</v>
      </c>
      <c r="F8" s="103"/>
    </row>
    <row r="9" spans="2:6" x14ac:dyDescent="0.15">
      <c r="C9" s="42" t="s">
        <v>470</v>
      </c>
      <c r="D9" s="42" t="s">
        <v>471</v>
      </c>
      <c r="E9" s="42" t="s">
        <v>470</v>
      </c>
      <c r="F9" s="42" t="s">
        <v>472</v>
      </c>
    </row>
    <row r="10" spans="2:6" x14ac:dyDescent="0.15">
      <c r="B10" s="42" t="s">
        <v>473</v>
      </c>
      <c r="C10" s="43">
        <v>10</v>
      </c>
      <c r="D10" s="43">
        <v>11</v>
      </c>
      <c r="E10" s="43">
        <v>20</v>
      </c>
      <c r="F10" s="43">
        <v>22</v>
      </c>
    </row>
    <row r="11" spans="2:6" x14ac:dyDescent="0.15">
      <c r="B11" s="42" t="s">
        <v>474</v>
      </c>
      <c r="C11" s="43">
        <v>12</v>
      </c>
      <c r="D11" s="43">
        <v>9</v>
      </c>
      <c r="E11" s="43">
        <v>24</v>
      </c>
      <c r="F11" s="43">
        <v>18</v>
      </c>
    </row>
    <row r="12" spans="2:6" x14ac:dyDescent="0.15">
      <c r="B12" s="42" t="s">
        <v>475</v>
      </c>
      <c r="C12" s="43">
        <v>14</v>
      </c>
      <c r="D12" s="43">
        <v>10</v>
      </c>
      <c r="E12" s="43">
        <v>28</v>
      </c>
      <c r="F12" s="43">
        <v>30</v>
      </c>
    </row>
    <row r="13" spans="2:6" x14ac:dyDescent="0.15">
      <c r="B13" s="44"/>
    </row>
    <row r="14" spans="2:6" x14ac:dyDescent="0.15">
      <c r="B14" s="42" t="s">
        <v>476</v>
      </c>
      <c r="C14" s="45"/>
    </row>
  </sheetData>
  <mergeCells count="2">
    <mergeCell ref="C8:D8"/>
    <mergeCell ref="E8:F8"/>
  </mergeCells>
  <phoneticPr fontId="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第1题</vt:lpstr>
      <vt:lpstr>第2题</vt:lpstr>
      <vt:lpstr>第3题</vt:lpstr>
      <vt:lpstr>第4题 </vt:lpstr>
      <vt:lpstr>第5题</vt:lpstr>
      <vt:lpstr>第6题</vt:lpstr>
      <vt:lpstr>第7题</vt:lpstr>
      <vt:lpstr>第8题</vt:lpstr>
      <vt:lpstr>第9题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zlqfujitsu</dc:creator>
  <cp:lastModifiedBy>煜</cp:lastModifiedBy>
  <dcterms:created xsi:type="dcterms:W3CDTF">2012-09-14T05:52:01Z</dcterms:created>
  <dcterms:modified xsi:type="dcterms:W3CDTF">2026-06-18T01:06:37Z</dcterms:modified>
</cp:coreProperties>
</file>