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040" yWindow="570" windowWidth="7350" windowHeight="4130" tabRatio="853"/>
  </bookViews>
  <sheets>
    <sheet name="例9-2" sheetId="11" r:id="rId1"/>
    <sheet name="商贸大夏投资分析模型" sheetId="10" r:id="rId2"/>
  </sheets>
  <calcPr calcId="145621"/>
</workbook>
</file>

<file path=xl/calcChain.xml><?xml version="1.0" encoding="utf-8"?>
<calcChain xmlns="http://schemas.openxmlformats.org/spreadsheetml/2006/main">
  <c r="C14" i="10" l="1"/>
  <c r="C8" i="10"/>
  <c r="C21" i="10" l="1"/>
  <c r="C16" i="10"/>
  <c r="C13" i="10"/>
  <c r="C7" i="10"/>
</calcChain>
</file>

<file path=xl/sharedStrings.xml><?xml version="1.0" encoding="utf-8"?>
<sst xmlns="http://schemas.openxmlformats.org/spreadsheetml/2006/main" count="20" uniqueCount="15">
  <si>
    <t>年限</t>
    <phoneticPr fontId="3" type="noConversion"/>
  </si>
  <si>
    <t>贴现率</t>
    <phoneticPr fontId="3" type="noConversion"/>
  </si>
  <si>
    <t>贷款利率</t>
  </si>
  <si>
    <t>还款年限</t>
    <phoneticPr fontId="3" type="noConversion"/>
  </si>
  <si>
    <t>(1)</t>
    <phoneticPr fontId="3" type="noConversion"/>
  </si>
  <si>
    <t>(2)</t>
    <phoneticPr fontId="3" type="noConversion"/>
  </si>
  <si>
    <t>(3)</t>
    <phoneticPr fontId="3" type="noConversion"/>
  </si>
  <si>
    <t>内部报酬率</t>
  </si>
  <si>
    <t>(4)</t>
    <phoneticPr fontId="3" type="noConversion"/>
  </si>
  <si>
    <t>是否合算</t>
    <phoneticPr fontId="3" type="noConversion"/>
  </si>
  <si>
    <t>初始投资(万元)</t>
    <phoneticPr fontId="3" type="noConversion"/>
  </si>
  <si>
    <t>年收益(万元)</t>
    <phoneticPr fontId="3" type="noConversion"/>
  </si>
  <si>
    <t>15年收益的现值(万元)</t>
    <phoneticPr fontId="3" type="noConversion"/>
  </si>
  <si>
    <t>银行贷款(万元)</t>
    <phoneticPr fontId="3" type="noConversion"/>
  </si>
  <si>
    <t>年还款额(万元)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</si>
</sst>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%"/>
  </numFmts>
  <fonts count="5">
    <font>
      <sz val="10"/>
      <name val="宋体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9"/>
      <name val="宋体"/>
      <family val="3"/>
      <charset val="134"/>
    </font>
    <font>
      <sz val="11"/>
      <name val="宋体"/>
      <family val="3"/>
      <charset val="134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quotePrefix="1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0" fillId="2" borderId="0" xfId="0" quotePrefix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9" fontId="0" fillId="0" borderId="0" xfId="1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9" fontId="4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9" fontId="4" fillId="4" borderId="1" xfId="1" applyNumberFormat="1" applyFont="1" applyFill="1" applyBorder="1" applyAlignment="1">
      <alignment horizontal="center" vertical="center"/>
    </xf>
    <xf numFmtId="177" fontId="4" fillId="5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FF99CC"/>
      <rgbColor rgb="00CC99FF"/>
      <rgbColor rgb="00DDDDD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FF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153736</xdr:colOff>
      <xdr:row>0</xdr:row>
      <xdr:rowOff>133684</xdr:rowOff>
    </xdr:from>
    <xdr:to>
      <xdr:col>7</xdr:col>
      <xdr:colOff>82550</xdr:colOff>
      <xdr:row>13</xdr:row>
      <xdr:rowOff>20888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53736" y="133684"/>
          <a:ext cx="3840414" cy="203350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headEnd/>
          <a:tailEnd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【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例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9-2】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某公司准备投资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5000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万元建设一座商贸大厦，当年投资，当年建成，该大厦今后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15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年内预计每年收益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500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万元。公司事先评估这项投资的价值，需要了解以下情况，以便投资决策判断。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（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1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） 若公司资本成本率为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8%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，今后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15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年内预计收益相当于现值多少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? 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（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2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） 若该公司向银行贷款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5000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万元建设该商贸大厦，银行贷款利率为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5%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，按计划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15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年等额还清，每年还款额是多少？ 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（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3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）考虑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15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年的回报期，则该项目的内部报酬率是多少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?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（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4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）若银行贷款利率为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6%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，该公司每年还款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500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万元，几年能够还清贷款？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Normal="100" workbookViewId="0"/>
  </sheetViews>
  <sheetFormatPr defaultRowHeight="13"/>
  <sheetData/>
  <phoneticPr fontId="3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zoomScaleNormal="100" workbookViewId="0">
      <selection activeCell="G19" sqref="G19"/>
    </sheetView>
  </sheetViews>
  <sheetFormatPr defaultRowHeight="13"/>
  <cols>
    <col min="1" max="1" width="3.69921875" style="5" customWidth="1"/>
    <col min="2" max="2" width="23.69921875" style="12" bestFit="1" customWidth="1"/>
    <col min="3" max="3" width="17.59765625" style="5" bestFit="1" customWidth="1"/>
    <col min="4" max="4" width="2.69921875" style="5" customWidth="1"/>
    <col min="5" max="5" width="2.8984375" style="5" customWidth="1"/>
    <col min="6" max="16384" width="8.796875" style="5"/>
  </cols>
  <sheetData>
    <row r="1" spans="1:7">
      <c r="A1" s="2"/>
      <c r="B1" s="4"/>
      <c r="C1" s="2"/>
      <c r="D1" s="2"/>
    </row>
    <row r="2" spans="1:7" ht="14">
      <c r="A2" s="2"/>
      <c r="B2" s="6" t="s">
        <v>10</v>
      </c>
      <c r="C2" s="13">
        <v>5000</v>
      </c>
      <c r="D2" s="2"/>
      <c r="G2" s="7"/>
    </row>
    <row r="3" spans="1:7" ht="14">
      <c r="A3" s="2"/>
      <c r="B3" s="6" t="s">
        <v>0</v>
      </c>
      <c r="C3" s="13">
        <v>15</v>
      </c>
      <c r="D3" s="2"/>
    </row>
    <row r="4" spans="1:7" ht="14">
      <c r="A4" s="2"/>
      <c r="B4" s="6" t="s">
        <v>11</v>
      </c>
      <c r="C4" s="13">
        <v>500</v>
      </c>
      <c r="D4" s="2"/>
    </row>
    <row r="5" spans="1:7" ht="14">
      <c r="A5" s="2"/>
      <c r="B5" s="8"/>
      <c r="C5" s="9"/>
      <c r="D5" s="2"/>
    </row>
    <row r="6" spans="1:7" ht="14">
      <c r="A6" s="1" t="s">
        <v>4</v>
      </c>
      <c r="B6" s="6" t="s">
        <v>1</v>
      </c>
      <c r="C6" s="15">
        <v>0.08</v>
      </c>
      <c r="D6" s="2"/>
    </row>
    <row r="7" spans="1:7" ht="14">
      <c r="A7" s="2"/>
      <c r="B7" s="6" t="s">
        <v>12</v>
      </c>
      <c r="C7" s="14">
        <f>PV(C6,C3,-C4)</f>
        <v>4279.7393439631878</v>
      </c>
      <c r="D7" s="2"/>
    </row>
    <row r="8" spans="1:7" ht="14">
      <c r="A8" s="2"/>
      <c r="B8" s="6" t="s">
        <v>9</v>
      </c>
      <c r="C8" s="17" t="str">
        <f>IF(C7&gt;C2,"项目值得投资","项目不值得投资")</f>
        <v>项目不值得投资</v>
      </c>
      <c r="D8" s="2"/>
    </row>
    <row r="9" spans="1:7" ht="14">
      <c r="A9" s="2"/>
      <c r="B9" s="8"/>
      <c r="C9" s="9"/>
      <c r="D9" s="2"/>
    </row>
    <row r="10" spans="1:7" ht="14">
      <c r="A10" s="3" t="s">
        <v>5</v>
      </c>
      <c r="B10" s="6" t="s">
        <v>13</v>
      </c>
      <c r="C10" s="13">
        <v>5000</v>
      </c>
      <c r="D10" s="2"/>
    </row>
    <row r="11" spans="1:7" ht="14">
      <c r="A11" s="2"/>
      <c r="B11" s="6" t="s">
        <v>2</v>
      </c>
      <c r="C11" s="15">
        <v>0.05</v>
      </c>
      <c r="D11" s="2"/>
    </row>
    <row r="12" spans="1:7" ht="14">
      <c r="A12" s="2"/>
      <c r="B12" s="6" t="s">
        <v>3</v>
      </c>
      <c r="C12" s="13">
        <v>15</v>
      </c>
      <c r="D12" s="2"/>
    </row>
    <row r="13" spans="1:7" ht="14">
      <c r="A13" s="2"/>
      <c r="B13" s="6" t="s">
        <v>14</v>
      </c>
      <c r="C13" s="14">
        <f>PMT(C11,C12,-C10)</f>
        <v>481.71143804622182</v>
      </c>
      <c r="D13" s="2"/>
      <c r="F13" s="10"/>
    </row>
    <row r="14" spans="1:7" ht="14">
      <c r="A14" s="2"/>
      <c r="B14" s="6" t="s">
        <v>9</v>
      </c>
      <c r="C14" s="17" t="str">
        <f>IF(C13&lt;C4,"项目值得投资","项目不值得投资")</f>
        <v>项目值得投资</v>
      </c>
      <c r="D14" s="2"/>
      <c r="F14" s="10"/>
    </row>
    <row r="15" spans="1:7" ht="14">
      <c r="A15" s="2"/>
      <c r="B15" s="8"/>
      <c r="C15" s="9"/>
      <c r="D15" s="2"/>
    </row>
    <row r="16" spans="1:7" ht="14">
      <c r="A16" s="1" t="s">
        <v>6</v>
      </c>
      <c r="B16" s="11" t="s">
        <v>7</v>
      </c>
      <c r="C16" s="16">
        <f>RATE(C3,C4,-C2)</f>
        <v>5.5564974703630567E-2</v>
      </c>
      <c r="D16" s="2"/>
    </row>
    <row r="17" spans="1:4" ht="14">
      <c r="A17" s="2"/>
      <c r="B17" s="8"/>
      <c r="C17" s="9"/>
      <c r="D17" s="2"/>
    </row>
    <row r="18" spans="1:4" ht="14">
      <c r="A18" s="1" t="s">
        <v>8</v>
      </c>
      <c r="B18" s="6" t="s">
        <v>13</v>
      </c>
      <c r="C18" s="13">
        <v>5000</v>
      </c>
      <c r="D18" s="2"/>
    </row>
    <row r="19" spans="1:4" ht="14">
      <c r="A19" s="2"/>
      <c r="B19" s="6" t="s">
        <v>2</v>
      </c>
      <c r="C19" s="15">
        <v>0.06</v>
      </c>
      <c r="D19" s="2"/>
    </row>
    <row r="20" spans="1:4" ht="14">
      <c r="A20" s="2"/>
      <c r="B20" s="6" t="s">
        <v>14</v>
      </c>
      <c r="C20" s="13">
        <v>500</v>
      </c>
      <c r="D20" s="2"/>
    </row>
    <row r="21" spans="1:4" ht="14">
      <c r="A21" s="2"/>
      <c r="B21" s="6" t="s">
        <v>3</v>
      </c>
      <c r="C21" s="14">
        <f>NPER(C19,C20,-C18)</f>
        <v>15.725208543887753</v>
      </c>
      <c r="D21" s="2"/>
    </row>
    <row r="22" spans="1:4">
      <c r="A22" s="2"/>
      <c r="B22" s="4"/>
      <c r="C22" s="2"/>
      <c r="D22" s="2"/>
    </row>
  </sheetData>
  <phoneticPr fontId="3" type="noConversion"/>
  <printOptions headings="1" gridLines="1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例9-2</vt:lpstr>
      <vt:lpstr>商贸大夏投资分析模型</vt:lpstr>
    </vt:vector>
  </TitlesOfParts>
  <Company>SUFE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Xingde Wang</dc:creator>
  <cp:lastModifiedBy>张喆</cp:lastModifiedBy>
  <cp:lastPrinted>2004-08-02T15:06:45Z</cp:lastPrinted>
  <dcterms:created xsi:type="dcterms:W3CDTF">2000-03-26T02:04:55Z</dcterms:created>
  <dcterms:modified xsi:type="dcterms:W3CDTF">2020-05-29T05:40:01Z</dcterms:modified>
</cp:coreProperties>
</file>