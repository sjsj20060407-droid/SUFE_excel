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harts/chart2.xml" ContentType="application/vnd.openxmlformats-officedocument.drawingml.chart+xml"/>
  <Override PartName="/xl/drawings/drawing6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da5265628b68d8/Desktop/1-财经管理中的计算机应用第五版-0406启动/0-第五版/1-第五版PPT^0数据源^0例题-0722/3-第五版例题答案-0722/第八章例题答案/"/>
    </mc:Choice>
  </mc:AlternateContent>
  <xr:revisionPtr revIDLastSave="5" documentId="8_{AB749CDF-4646-431C-A180-A1B7A91520B4}" xr6:coauthVersionLast="47" xr6:coauthVersionMax="47" xr10:uidLastSave="{7BE12154-933E-46EF-8A64-848387581335}"/>
  <bookViews>
    <workbookView xWindow="22932" yWindow="-108" windowWidth="23256" windowHeight="12456" tabRatio="644" activeTab="1" xr2:uid="{00000000-000D-0000-FFFF-FFFF00000000}"/>
  </bookViews>
  <sheets>
    <sheet name="例8-8" sheetId="60031" r:id="rId1"/>
    <sheet name="延期交货模拟模型" sheetId="60025" r:id="rId2"/>
    <sheet name="延期交货模拟图形" sheetId="60026" r:id="rId3"/>
    <sheet name="延期交货服务水平模拟模型" sheetId="60032" r:id="rId4"/>
    <sheet name="延期交货服务水平模拟图形" sheetId="60033" r:id="rId5"/>
    <sheet name="延期交货库存变化模拟图形" sheetId="60034" r:id="rId6"/>
  </sheets>
  <definedNames>
    <definedName name="_xlnm.Print_Area" localSheetId="3">延期交货服务水平模拟模型!$A$3:$D$13</definedName>
    <definedName name="_xlnm.Print_Area" localSheetId="1">延期交货模拟模型!$A$3:$D$13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60032" l="1"/>
  <c r="U23" i="60032"/>
  <c r="U24" i="60032" s="1"/>
  <c r="U25" i="60032" s="1"/>
  <c r="U26" i="60032" s="1"/>
  <c r="B370" i="60025"/>
  <c r="F6" i="60025"/>
  <c r="F7" i="60025"/>
  <c r="F8" i="60025"/>
  <c r="F9" i="60025"/>
  <c r="F10" i="60025"/>
  <c r="F11" i="60025"/>
  <c r="F12" i="60025"/>
  <c r="F13" i="60025"/>
  <c r="F14" i="60025"/>
  <c r="F15" i="60025"/>
  <c r="F16" i="60025"/>
  <c r="F17" i="60025"/>
  <c r="F18" i="60025"/>
  <c r="F19" i="60025"/>
  <c r="F20" i="60025"/>
  <c r="F21" i="60025"/>
  <c r="F22" i="60025"/>
  <c r="F23" i="60025"/>
  <c r="F24" i="60025"/>
  <c r="F25" i="60025"/>
  <c r="F26" i="60025"/>
  <c r="F27" i="60025"/>
  <c r="F28" i="60025"/>
  <c r="F29" i="60025"/>
  <c r="F30" i="60025"/>
  <c r="F31" i="60025"/>
  <c r="F32" i="60025"/>
  <c r="F33" i="60025"/>
  <c r="F34" i="60025"/>
  <c r="F35" i="60025"/>
  <c r="F36" i="60025"/>
  <c r="F37" i="60025"/>
  <c r="F38" i="60025"/>
  <c r="F39" i="60025"/>
  <c r="F40" i="60025"/>
  <c r="F41" i="60025"/>
  <c r="F42" i="60025"/>
  <c r="F43" i="60025"/>
  <c r="F44" i="60025"/>
  <c r="F45" i="60025"/>
  <c r="F46" i="60025"/>
  <c r="F47" i="60025"/>
  <c r="F48" i="60025"/>
  <c r="F49" i="60025"/>
  <c r="F50" i="60025"/>
  <c r="F51" i="60025"/>
  <c r="F52" i="60025"/>
  <c r="F53" i="60025"/>
  <c r="F54" i="60025"/>
  <c r="F55" i="60025"/>
  <c r="F56" i="60025"/>
  <c r="F57" i="60025"/>
  <c r="F58" i="60025"/>
  <c r="F59" i="60025"/>
  <c r="F60" i="60025"/>
  <c r="F61" i="60025"/>
  <c r="F62" i="60025"/>
  <c r="F63" i="60025"/>
  <c r="F64" i="60025"/>
  <c r="F65" i="60025"/>
  <c r="F66" i="60025"/>
  <c r="F67" i="60025"/>
  <c r="F68" i="60025"/>
  <c r="F69" i="60025"/>
  <c r="F70" i="60025"/>
  <c r="F71" i="60025"/>
  <c r="F72" i="60025"/>
  <c r="F73" i="60025"/>
  <c r="F74" i="60025"/>
  <c r="F75" i="60025"/>
  <c r="F76" i="60025"/>
  <c r="F77" i="60025"/>
  <c r="F78" i="60025"/>
  <c r="F79" i="60025"/>
  <c r="F80" i="60025"/>
  <c r="F81" i="60025"/>
  <c r="F82" i="60025"/>
  <c r="F83" i="60025"/>
  <c r="F84" i="60025"/>
  <c r="F85" i="60025"/>
  <c r="F86" i="60025"/>
  <c r="F87" i="60025"/>
  <c r="F88" i="60025"/>
  <c r="F89" i="60025"/>
  <c r="F90" i="60025"/>
  <c r="F91" i="60025"/>
  <c r="F92" i="60025"/>
  <c r="F93" i="60025"/>
  <c r="F94" i="60025"/>
  <c r="F95" i="60025"/>
  <c r="F96" i="60025"/>
  <c r="F97" i="60025"/>
  <c r="F98" i="60025"/>
  <c r="F99" i="60025"/>
  <c r="F100" i="60025"/>
  <c r="F101" i="60025"/>
  <c r="F102" i="60025"/>
  <c r="F103" i="60025"/>
  <c r="F104" i="60025"/>
  <c r="F105" i="60025"/>
  <c r="F106" i="60025"/>
  <c r="F107" i="60025"/>
  <c r="F108" i="60025"/>
  <c r="F109" i="60025"/>
  <c r="F110" i="60025"/>
  <c r="F111" i="60025"/>
  <c r="F112" i="60025"/>
  <c r="F113" i="60025"/>
  <c r="F114" i="60025"/>
  <c r="F115" i="60025"/>
  <c r="F116" i="60025"/>
  <c r="F117" i="60025"/>
  <c r="F118" i="60025"/>
  <c r="F119" i="60025"/>
  <c r="F120" i="60025"/>
  <c r="F121" i="60025"/>
  <c r="F122" i="60025"/>
  <c r="F123" i="60025"/>
  <c r="F124" i="60025"/>
  <c r="F125" i="60025"/>
  <c r="F126" i="60025"/>
  <c r="F127" i="60025"/>
  <c r="F128" i="60025"/>
  <c r="F129" i="60025"/>
  <c r="F130" i="60025"/>
  <c r="F131" i="60025"/>
  <c r="F132" i="60025"/>
  <c r="F133" i="60025"/>
  <c r="F134" i="60025"/>
  <c r="F135" i="60025"/>
  <c r="F136" i="60025"/>
  <c r="F137" i="60025"/>
  <c r="F138" i="60025"/>
  <c r="F139" i="60025"/>
  <c r="F140" i="60025"/>
  <c r="F141" i="60025"/>
  <c r="F142" i="60025"/>
  <c r="F143" i="60025"/>
  <c r="F144" i="60025"/>
  <c r="F145" i="60025"/>
  <c r="F146" i="60025"/>
  <c r="F147" i="60025"/>
  <c r="F148" i="60025"/>
  <c r="F149" i="60025"/>
  <c r="F150" i="60025"/>
  <c r="F151" i="60025"/>
  <c r="F152" i="60025"/>
  <c r="F153" i="60025"/>
  <c r="F154" i="60025"/>
  <c r="F155" i="60025"/>
  <c r="F156" i="60025"/>
  <c r="F157" i="60025"/>
  <c r="F158" i="60025"/>
  <c r="F159" i="60025"/>
  <c r="F160" i="60025"/>
  <c r="F161" i="60025"/>
  <c r="F162" i="60025"/>
  <c r="F163" i="60025"/>
  <c r="F164" i="60025"/>
  <c r="F165" i="60025"/>
  <c r="F166" i="60025"/>
  <c r="F167" i="60025"/>
  <c r="F168" i="60025"/>
  <c r="F169" i="60025"/>
  <c r="F170" i="60025"/>
  <c r="F171" i="60025"/>
  <c r="F172" i="60025"/>
  <c r="F173" i="60025"/>
  <c r="F174" i="60025"/>
  <c r="F175" i="60025"/>
  <c r="F176" i="60025"/>
  <c r="F177" i="60025"/>
  <c r="F178" i="60025"/>
  <c r="F179" i="60025"/>
  <c r="F180" i="60025"/>
  <c r="F181" i="60025"/>
  <c r="F182" i="60025"/>
  <c r="F183" i="60025"/>
  <c r="F184" i="60025"/>
  <c r="F185" i="60025"/>
  <c r="F186" i="60025"/>
  <c r="F187" i="60025"/>
  <c r="F188" i="60025"/>
  <c r="F189" i="60025"/>
  <c r="F190" i="60025"/>
  <c r="F191" i="60025"/>
  <c r="F192" i="60025"/>
  <c r="F193" i="60025"/>
  <c r="F194" i="60025"/>
  <c r="F195" i="60025"/>
  <c r="F196" i="60025"/>
  <c r="F197" i="60025"/>
  <c r="F198" i="60025"/>
  <c r="F199" i="60025"/>
  <c r="F200" i="60025"/>
  <c r="F201" i="60025"/>
  <c r="F202" i="60025"/>
  <c r="F203" i="60025"/>
  <c r="F204" i="60025"/>
  <c r="F205" i="60025"/>
  <c r="F206" i="60025"/>
  <c r="F207" i="60025"/>
  <c r="F208" i="60025"/>
  <c r="F209" i="60025"/>
  <c r="F210" i="60025"/>
  <c r="F211" i="60025"/>
  <c r="F212" i="60025"/>
  <c r="F213" i="60025"/>
  <c r="F214" i="60025"/>
  <c r="F215" i="60025"/>
  <c r="F216" i="60025"/>
  <c r="F217" i="60025"/>
  <c r="F218" i="60025"/>
  <c r="F219" i="60025"/>
  <c r="F220" i="60025"/>
  <c r="F221" i="60025"/>
  <c r="F222" i="60025"/>
  <c r="F223" i="60025"/>
  <c r="F224" i="60025"/>
  <c r="F225" i="60025"/>
  <c r="F226" i="60025"/>
  <c r="F227" i="60025"/>
  <c r="F228" i="60025"/>
  <c r="F229" i="60025"/>
  <c r="F230" i="60025"/>
  <c r="F231" i="60025"/>
  <c r="F232" i="60025"/>
  <c r="F233" i="60025"/>
  <c r="F234" i="60025"/>
  <c r="F235" i="60025"/>
  <c r="F236" i="60025"/>
  <c r="F237" i="60025"/>
  <c r="F238" i="60025"/>
  <c r="F239" i="60025"/>
  <c r="F240" i="60025"/>
  <c r="F241" i="60025"/>
  <c r="F242" i="60025"/>
  <c r="F243" i="60025"/>
  <c r="F244" i="60025"/>
  <c r="F245" i="60025"/>
  <c r="F246" i="60025"/>
  <c r="F247" i="60025"/>
  <c r="F248" i="60025"/>
  <c r="F249" i="60025"/>
  <c r="F250" i="60025"/>
  <c r="F251" i="60025"/>
  <c r="F252" i="60025"/>
  <c r="F253" i="60025"/>
  <c r="F254" i="60025"/>
  <c r="F255" i="60025"/>
  <c r="F256" i="60025"/>
  <c r="F257" i="60025"/>
  <c r="F258" i="60025"/>
  <c r="F259" i="60025"/>
  <c r="F260" i="60025"/>
  <c r="F261" i="60025"/>
  <c r="F262" i="60025"/>
  <c r="F263" i="60025"/>
  <c r="F264" i="60025"/>
  <c r="F265" i="60025"/>
  <c r="F266" i="60025"/>
  <c r="F267" i="60025"/>
  <c r="F268" i="60025"/>
  <c r="F269" i="60025"/>
  <c r="F270" i="60025"/>
  <c r="F271" i="60025"/>
  <c r="F272" i="60025"/>
  <c r="F273" i="60025"/>
  <c r="F274" i="60025"/>
  <c r="F275" i="60025"/>
  <c r="F276" i="60025"/>
  <c r="F277" i="60025"/>
  <c r="F278" i="60025"/>
  <c r="F279" i="60025"/>
  <c r="F280" i="60025"/>
  <c r="F281" i="60025"/>
  <c r="F282" i="60025"/>
  <c r="F283" i="60025"/>
  <c r="F284" i="60025"/>
  <c r="F285" i="60025"/>
  <c r="F286" i="60025"/>
  <c r="F287" i="60025"/>
  <c r="F288" i="60025"/>
  <c r="F289" i="60025"/>
  <c r="F290" i="60025"/>
  <c r="F291" i="60025"/>
  <c r="F292" i="60025"/>
  <c r="F293" i="60025"/>
  <c r="F294" i="60025"/>
  <c r="F295" i="60025"/>
  <c r="F296" i="60025"/>
  <c r="F297" i="60025"/>
  <c r="F298" i="60025"/>
  <c r="F299" i="60025"/>
  <c r="F300" i="60025"/>
  <c r="F301" i="60025"/>
  <c r="F302" i="60025"/>
  <c r="F303" i="60025"/>
  <c r="F304" i="60025"/>
  <c r="F305" i="60025"/>
  <c r="F306" i="60025"/>
  <c r="F307" i="60025"/>
  <c r="F308" i="60025"/>
  <c r="F309" i="60025"/>
  <c r="F310" i="60025"/>
  <c r="F311" i="60025"/>
  <c r="F312" i="60025"/>
  <c r="F313" i="60025"/>
  <c r="F314" i="60025"/>
  <c r="F315" i="60025"/>
  <c r="F316" i="60025"/>
  <c r="F317" i="60025"/>
  <c r="F318" i="60025"/>
  <c r="F319" i="60025"/>
  <c r="F320" i="60025"/>
  <c r="F321" i="60025"/>
  <c r="F322" i="60025"/>
  <c r="F323" i="60025"/>
  <c r="F324" i="60025"/>
  <c r="F325" i="60025"/>
  <c r="F326" i="60025"/>
  <c r="F327" i="60025"/>
  <c r="F328" i="60025"/>
  <c r="F329" i="60025"/>
  <c r="F330" i="60025"/>
  <c r="F331" i="60025"/>
  <c r="F332" i="60025"/>
  <c r="F333" i="60025"/>
  <c r="F334" i="60025"/>
  <c r="F335" i="60025"/>
  <c r="F336" i="60025"/>
  <c r="F337" i="60025"/>
  <c r="F338" i="60025"/>
  <c r="F339" i="60025"/>
  <c r="F340" i="60025"/>
  <c r="F341" i="60025"/>
  <c r="F342" i="60025"/>
  <c r="F343" i="60025"/>
  <c r="F344" i="60025"/>
  <c r="F345" i="60025"/>
  <c r="F346" i="60025"/>
  <c r="F347" i="60025"/>
  <c r="F348" i="60025"/>
  <c r="F349" i="60025"/>
  <c r="F350" i="60025"/>
  <c r="F351" i="60025"/>
  <c r="F352" i="60025"/>
  <c r="F353" i="60025"/>
  <c r="F354" i="60025"/>
  <c r="F355" i="60025"/>
  <c r="F356" i="60025"/>
  <c r="F357" i="60025"/>
  <c r="F358" i="60025"/>
  <c r="F359" i="60025"/>
  <c r="F360" i="60025"/>
  <c r="F361" i="60025"/>
  <c r="F362" i="60025"/>
  <c r="F363" i="60025"/>
  <c r="F364" i="60025"/>
  <c r="F365" i="60025"/>
  <c r="F366" i="60025"/>
  <c r="F367" i="60025"/>
  <c r="F368" i="60025"/>
  <c r="F369" i="60025"/>
  <c r="F5" i="60025"/>
  <c r="V18" i="60025"/>
  <c r="V19" i="60025" s="1"/>
  <c r="V20" i="60025" s="1"/>
  <c r="C6" i="60025"/>
  <c r="B368" i="60025"/>
  <c r="B369" i="60025"/>
  <c r="O6" i="60025"/>
  <c r="O7" i="60025"/>
  <c r="O8" i="60025"/>
  <c r="O9" i="60025"/>
  <c r="O10" i="60025"/>
  <c r="O11" i="60025"/>
  <c r="O12" i="60025"/>
  <c r="O13" i="60025"/>
  <c r="O14" i="60025"/>
  <c r="O15" i="60025"/>
  <c r="O16" i="60025"/>
  <c r="O17" i="60025"/>
  <c r="O18" i="60025"/>
  <c r="O24" i="60025"/>
  <c r="O25" i="60025"/>
  <c r="O26" i="60025"/>
  <c r="O27" i="60025"/>
  <c r="O28" i="60025"/>
  <c r="O29" i="60025"/>
  <c r="O30" i="60025"/>
  <c r="O31" i="60025"/>
  <c r="O32" i="60025"/>
  <c r="O33" i="60025"/>
  <c r="O34" i="60025"/>
  <c r="O35" i="60025"/>
  <c r="O36" i="60025"/>
  <c r="O37" i="60025"/>
  <c r="O38" i="60025"/>
  <c r="O39" i="60025"/>
  <c r="O40" i="60025"/>
  <c r="O41" i="60025"/>
  <c r="O42" i="60025"/>
  <c r="O43" i="60025"/>
  <c r="O44" i="60025"/>
  <c r="O45" i="60025"/>
  <c r="O46" i="60025"/>
  <c r="O47" i="60025"/>
  <c r="O48" i="60025"/>
  <c r="O49" i="60025"/>
  <c r="O50" i="60025"/>
  <c r="O51" i="60025"/>
  <c r="O52" i="60025"/>
  <c r="O53" i="60025"/>
  <c r="O54" i="60025"/>
  <c r="O55" i="60025"/>
  <c r="O56" i="60025"/>
  <c r="O57" i="60025"/>
  <c r="O58" i="60025"/>
  <c r="O59" i="60025"/>
  <c r="O60" i="60025"/>
  <c r="O61" i="60025"/>
  <c r="O62" i="60025"/>
  <c r="O63" i="60025"/>
  <c r="O64" i="60025"/>
  <c r="O65" i="60025"/>
  <c r="O66" i="60025"/>
  <c r="O67" i="60025"/>
  <c r="O68" i="60025"/>
  <c r="O69" i="60025"/>
  <c r="O70" i="60025"/>
  <c r="O71" i="60025"/>
  <c r="O72" i="60025"/>
  <c r="O73" i="60025"/>
  <c r="O74" i="60025"/>
  <c r="O75" i="60025"/>
  <c r="O76" i="60025"/>
  <c r="O77" i="60025"/>
  <c r="O78" i="60025"/>
  <c r="O79" i="60025"/>
  <c r="O80" i="60025"/>
  <c r="O81" i="60025"/>
  <c r="O82" i="60025"/>
  <c r="O83" i="60025"/>
  <c r="O84" i="60025"/>
  <c r="O85" i="60025"/>
  <c r="O86" i="60025"/>
  <c r="O87" i="60025"/>
  <c r="O88" i="60025"/>
  <c r="O89" i="60025"/>
  <c r="O90" i="60025"/>
  <c r="O91" i="60025"/>
  <c r="O92" i="60025"/>
  <c r="O93" i="60025"/>
  <c r="O94" i="60025"/>
  <c r="O95" i="60025"/>
  <c r="O96" i="60025"/>
  <c r="O97" i="60025"/>
  <c r="O98" i="60025"/>
  <c r="O99" i="60025"/>
  <c r="O100" i="60025"/>
  <c r="O101" i="60025"/>
  <c r="O102" i="60025"/>
  <c r="O103" i="60025"/>
  <c r="O104" i="60025"/>
  <c r="O105" i="60025"/>
  <c r="O106" i="60025"/>
  <c r="O107" i="60025"/>
  <c r="O108" i="60025"/>
  <c r="O109" i="60025"/>
  <c r="O110" i="60025"/>
  <c r="O111" i="60025"/>
  <c r="O112" i="60025"/>
  <c r="O113" i="60025"/>
  <c r="O114" i="60025"/>
  <c r="O115" i="60025"/>
  <c r="O116" i="60025"/>
  <c r="O117" i="60025"/>
  <c r="O118" i="60025"/>
  <c r="O119" i="60025"/>
  <c r="O120" i="60025"/>
  <c r="O121" i="60025"/>
  <c r="O122" i="60025"/>
  <c r="O123" i="60025"/>
  <c r="O124" i="60025"/>
  <c r="O125" i="60025"/>
  <c r="O126" i="60025"/>
  <c r="O127" i="60025"/>
  <c r="O128" i="60025"/>
  <c r="O129" i="60025"/>
  <c r="O130" i="60025"/>
  <c r="O131" i="60025"/>
  <c r="O132" i="60025"/>
  <c r="O133" i="60025"/>
  <c r="O134" i="60025"/>
  <c r="O135" i="60025"/>
  <c r="O136" i="60025"/>
  <c r="O137" i="60025"/>
  <c r="O138" i="60025"/>
  <c r="O139" i="60025"/>
  <c r="O140" i="60025"/>
  <c r="O141" i="60025"/>
  <c r="O142" i="60025"/>
  <c r="O143" i="60025"/>
  <c r="O144" i="60025"/>
  <c r="O145" i="60025"/>
  <c r="O146" i="60025"/>
  <c r="O147" i="60025"/>
  <c r="O148" i="60025"/>
  <c r="O149" i="60025"/>
  <c r="O150" i="60025"/>
  <c r="O151" i="60025"/>
  <c r="O152" i="60025"/>
  <c r="O153" i="60025"/>
  <c r="O154" i="60025"/>
  <c r="O155" i="60025"/>
  <c r="O156" i="60025"/>
  <c r="O157" i="60025"/>
  <c r="O158" i="60025"/>
  <c r="O159" i="60025"/>
  <c r="O160" i="60025"/>
  <c r="O161" i="60025"/>
  <c r="O162" i="60025"/>
  <c r="O163" i="60025"/>
  <c r="O164" i="60025"/>
  <c r="O165" i="60025"/>
  <c r="O166" i="60025"/>
  <c r="O167" i="60025"/>
  <c r="O168" i="60025"/>
  <c r="O169" i="60025"/>
  <c r="O170" i="60025"/>
  <c r="O171" i="60025"/>
  <c r="O172" i="60025"/>
  <c r="O173" i="60025"/>
  <c r="O174" i="60025"/>
  <c r="O175" i="60025"/>
  <c r="O176" i="60025"/>
  <c r="O177" i="60025"/>
  <c r="O178" i="60025"/>
  <c r="O179" i="60025"/>
  <c r="O180" i="60025"/>
  <c r="O181" i="60025"/>
  <c r="O182" i="60025"/>
  <c r="O183" i="60025"/>
  <c r="O184" i="60025"/>
  <c r="O185" i="60025"/>
  <c r="O186" i="60025"/>
  <c r="O187" i="60025"/>
  <c r="O188" i="60025"/>
  <c r="O189" i="60025"/>
  <c r="O190" i="60025"/>
  <c r="O191" i="60025"/>
  <c r="O192" i="60025"/>
  <c r="O193" i="60025"/>
  <c r="O194" i="60025"/>
  <c r="O195" i="60025"/>
  <c r="O196" i="60025"/>
  <c r="O197" i="60025"/>
  <c r="O198" i="60025"/>
  <c r="O199" i="60025"/>
  <c r="O200" i="60025"/>
  <c r="O201" i="60025"/>
  <c r="O202" i="60025"/>
  <c r="O203" i="60025"/>
  <c r="O204" i="60025"/>
  <c r="O205" i="60025"/>
  <c r="O206" i="60025"/>
  <c r="O207" i="60025"/>
  <c r="O208" i="60025"/>
  <c r="O209" i="60025"/>
  <c r="O210" i="60025"/>
  <c r="O211" i="60025"/>
  <c r="O212" i="60025"/>
  <c r="O213" i="60025"/>
  <c r="O214" i="60025"/>
  <c r="O215" i="60025"/>
  <c r="O216" i="60025"/>
  <c r="O217" i="60025"/>
  <c r="O218" i="60025"/>
  <c r="O219" i="60025"/>
  <c r="O220" i="60025"/>
  <c r="O221" i="60025"/>
  <c r="O222" i="60025"/>
  <c r="O223" i="60025"/>
  <c r="O224" i="60025"/>
  <c r="O225" i="60025"/>
  <c r="O226" i="60025"/>
  <c r="O227" i="60025"/>
  <c r="O228" i="60025"/>
  <c r="O229" i="60025"/>
  <c r="O230" i="60025"/>
  <c r="O231" i="60025"/>
  <c r="O232" i="60025"/>
  <c r="O233" i="60025"/>
  <c r="O234" i="60025"/>
  <c r="O235" i="60025"/>
  <c r="O236" i="60025"/>
  <c r="O237" i="60025"/>
  <c r="O238" i="60025"/>
  <c r="O239" i="60025"/>
  <c r="O240" i="60025"/>
  <c r="O241" i="60025"/>
  <c r="O242" i="60025"/>
  <c r="O243" i="60025"/>
  <c r="O244" i="60025"/>
  <c r="O245" i="60025"/>
  <c r="O246" i="60025"/>
  <c r="O247" i="60025"/>
  <c r="O248" i="60025"/>
  <c r="O249" i="60025"/>
  <c r="O250" i="60025"/>
  <c r="O251" i="60025"/>
  <c r="O252" i="60025"/>
  <c r="O253" i="60025"/>
  <c r="O254" i="60025"/>
  <c r="O255" i="60025"/>
  <c r="O256" i="60025"/>
  <c r="O257" i="60025"/>
  <c r="O258" i="60025"/>
  <c r="O259" i="60025"/>
  <c r="O260" i="60025"/>
  <c r="O261" i="60025"/>
  <c r="O262" i="60025"/>
  <c r="O263" i="60025"/>
  <c r="O264" i="60025"/>
  <c r="O265" i="60025"/>
  <c r="O266" i="60025"/>
  <c r="O267" i="60025"/>
  <c r="O268" i="60025"/>
  <c r="O269" i="60025"/>
  <c r="O270" i="60025"/>
  <c r="O271" i="60025"/>
  <c r="O272" i="60025"/>
  <c r="O273" i="60025"/>
  <c r="O274" i="60025"/>
  <c r="O275" i="60025"/>
  <c r="O276" i="60025"/>
  <c r="O277" i="60025"/>
  <c r="O278" i="60025"/>
  <c r="O279" i="60025"/>
  <c r="O280" i="60025"/>
  <c r="O281" i="60025"/>
  <c r="O282" i="60025"/>
  <c r="O283" i="60025"/>
  <c r="O284" i="60025"/>
  <c r="O285" i="60025"/>
  <c r="O286" i="60025"/>
  <c r="O287" i="60025"/>
  <c r="O288" i="60025"/>
  <c r="O289" i="60025"/>
  <c r="O290" i="60025"/>
  <c r="O291" i="60025"/>
  <c r="O292" i="60025"/>
  <c r="O293" i="60025"/>
  <c r="O294" i="60025"/>
  <c r="O295" i="60025"/>
  <c r="O296" i="60025"/>
  <c r="O297" i="60025"/>
  <c r="O298" i="60025"/>
  <c r="O299" i="60025"/>
  <c r="O300" i="60025"/>
  <c r="O301" i="60025"/>
  <c r="O302" i="60025"/>
  <c r="O303" i="60025"/>
  <c r="O304" i="60025"/>
  <c r="O305" i="60025"/>
  <c r="O306" i="60025"/>
  <c r="O307" i="60025"/>
  <c r="O308" i="60025"/>
  <c r="O309" i="60025"/>
  <c r="O310" i="60025"/>
  <c r="O311" i="60025"/>
  <c r="O312" i="60025"/>
  <c r="O313" i="60025"/>
  <c r="O314" i="60025"/>
  <c r="O315" i="60025"/>
  <c r="O316" i="60025"/>
  <c r="O317" i="60025"/>
  <c r="O318" i="60025"/>
  <c r="O319" i="60025"/>
  <c r="O320" i="60025"/>
  <c r="O321" i="60025"/>
  <c r="O322" i="60025"/>
  <c r="O323" i="60025"/>
  <c r="O324" i="60025"/>
  <c r="O325" i="60025"/>
  <c r="O326" i="60025"/>
  <c r="O327" i="60025"/>
  <c r="O328" i="60025"/>
  <c r="O329" i="60025"/>
  <c r="O330" i="60025"/>
  <c r="O331" i="60025"/>
  <c r="O332" i="60025"/>
  <c r="O333" i="60025"/>
  <c r="O334" i="60025"/>
  <c r="O335" i="60025"/>
  <c r="O336" i="60025"/>
  <c r="O337" i="60025"/>
  <c r="O338" i="60025"/>
  <c r="O339" i="60025"/>
  <c r="O340" i="60025"/>
  <c r="O341" i="60025"/>
  <c r="O342" i="60025"/>
  <c r="O343" i="60025"/>
  <c r="O344" i="60025"/>
  <c r="O345" i="60025"/>
  <c r="O346" i="60025"/>
  <c r="O347" i="60025"/>
  <c r="O348" i="60025"/>
  <c r="O349" i="60025"/>
  <c r="O350" i="60025"/>
  <c r="O351" i="60025"/>
  <c r="O352" i="60025"/>
  <c r="O353" i="60025"/>
  <c r="O354" i="60025"/>
  <c r="O355" i="60025"/>
  <c r="O356" i="60025"/>
  <c r="O357" i="60025"/>
  <c r="O358" i="60025"/>
  <c r="O359" i="60025"/>
  <c r="O360" i="60025"/>
  <c r="O361" i="60025"/>
  <c r="O362" i="60025"/>
  <c r="O363" i="60025"/>
  <c r="O364" i="60025"/>
  <c r="O365" i="60025"/>
  <c r="O366" i="60025"/>
  <c r="O367" i="60025"/>
  <c r="O368" i="60025"/>
  <c r="O369" i="60025"/>
  <c r="O5" i="60025"/>
  <c r="V21" i="60025" l="1"/>
  <c r="DM16" i="60032"/>
  <c r="DM17" i="60032"/>
  <c r="DM18" i="60032"/>
  <c r="DM14" i="60032"/>
  <c r="DM15" i="60032"/>
  <c r="B23" i="60032" l="1"/>
  <c r="DM3" i="60032"/>
  <c r="DM4" i="60032"/>
  <c r="B22" i="60032"/>
  <c r="B21" i="60032"/>
  <c r="B18" i="60032" l="1"/>
  <c r="DM13" i="60032" l="1"/>
  <c r="DM12" i="60032"/>
  <c r="DM11" i="60032"/>
  <c r="DM10" i="60032"/>
  <c r="DM9" i="60032"/>
  <c r="C7" i="60032"/>
  <c r="DM8" i="60032"/>
  <c r="DM7" i="60032"/>
  <c r="C17" i="60032" s="1"/>
  <c r="C18" i="60032" s="1"/>
  <c r="DM6" i="60032"/>
  <c r="H4" i="60032"/>
  <c r="G5" i="60032" s="1"/>
  <c r="DM5" i="60032"/>
  <c r="C19" i="60032" l="1"/>
  <c r="DQ4" i="60025"/>
  <c r="DQ5" i="60025"/>
  <c r="DQ6" i="60025"/>
  <c r="DQ7" i="60025"/>
  <c r="DQ8" i="60025"/>
  <c r="DQ9" i="60025"/>
  <c r="DQ10" i="60025"/>
  <c r="DQ11" i="60025"/>
  <c r="DQ12" i="60025"/>
  <c r="DQ13" i="60025"/>
  <c r="DQ3" i="60025"/>
  <c r="C22" i="60032" l="1"/>
  <c r="F16" i="60032"/>
  <c r="F57" i="60032"/>
  <c r="F82" i="60032"/>
  <c r="F62" i="60032"/>
  <c r="F45" i="60032"/>
  <c r="F334" i="60032"/>
  <c r="F173" i="60032"/>
  <c r="F10" i="60032"/>
  <c r="F339" i="60032"/>
  <c r="F106" i="60032"/>
  <c r="F63" i="60032"/>
  <c r="F58" i="60032"/>
  <c r="F47" i="60032"/>
  <c r="F247" i="60032"/>
  <c r="F336" i="60032"/>
  <c r="F92" i="60032"/>
  <c r="F114" i="60032"/>
  <c r="F53" i="60032"/>
  <c r="F267" i="60032"/>
  <c r="F78" i="60032"/>
  <c r="F73" i="60032"/>
  <c r="F54" i="60032"/>
  <c r="F142" i="60032"/>
  <c r="F280" i="60032"/>
  <c r="F205" i="60032"/>
  <c r="F72" i="60032"/>
  <c r="F74" i="60032"/>
  <c r="F210" i="60032"/>
  <c r="F216" i="60032"/>
  <c r="F71" i="60032"/>
  <c r="F105" i="60032"/>
  <c r="F201" i="60032"/>
  <c r="F229" i="60032"/>
  <c r="F133" i="60032"/>
  <c r="F161" i="60032"/>
  <c r="F293" i="60032"/>
  <c r="F284" i="60032"/>
  <c r="F304" i="60032"/>
  <c r="F366" i="60032"/>
  <c r="F61" i="60032"/>
  <c r="F141" i="60032"/>
  <c r="F164" i="60032"/>
  <c r="F248" i="60032"/>
  <c r="F253" i="60032"/>
  <c r="F272" i="60032"/>
  <c r="F288" i="60032"/>
  <c r="F307" i="60032"/>
  <c r="F340" i="60032"/>
  <c r="F64" i="60032"/>
  <c r="F108" i="60032"/>
  <c r="F112" i="60032"/>
  <c r="F21" i="60032"/>
  <c r="F81" i="60032"/>
  <c r="F29" i="60032"/>
  <c r="F49" i="60032"/>
  <c r="F56" i="60032"/>
  <c r="F217" i="60032"/>
  <c r="F119" i="60032"/>
  <c r="F165" i="60032"/>
  <c r="F245" i="60032"/>
  <c r="F255" i="60032"/>
  <c r="F279" i="60032"/>
  <c r="F322" i="60032"/>
  <c r="F308" i="60032"/>
  <c r="F354" i="60032"/>
  <c r="F351" i="60032"/>
  <c r="F17" i="60032"/>
  <c r="F226" i="60032"/>
  <c r="F26" i="60032"/>
  <c r="F115" i="60032"/>
  <c r="F68" i="60032"/>
  <c r="F206" i="60032"/>
  <c r="F94" i="60032"/>
  <c r="F202" i="60032"/>
  <c r="F204" i="60032"/>
  <c r="F12" i="60032"/>
  <c r="F65" i="60032"/>
  <c r="F83" i="60032"/>
  <c r="F33" i="60032"/>
  <c r="F50" i="60032"/>
  <c r="F193" i="60032"/>
  <c r="F219" i="60032"/>
  <c r="F129" i="60032"/>
  <c r="F153" i="60032"/>
  <c r="F166" i="60032"/>
  <c r="F256" i="60032"/>
  <c r="F303" i="60032"/>
  <c r="F364" i="60032"/>
  <c r="F7" i="60032"/>
  <c r="F42" i="60032"/>
  <c r="F121" i="60032"/>
  <c r="F134" i="60032"/>
  <c r="F157" i="60032"/>
  <c r="F169" i="60032"/>
  <c r="F181" i="60032"/>
  <c r="F235" i="60032"/>
  <c r="F104" i="60032"/>
  <c r="F198" i="60032"/>
  <c r="F66" i="60032"/>
  <c r="F90" i="60032"/>
  <c r="F110" i="60032"/>
  <c r="F96" i="60032"/>
  <c r="F200" i="60032"/>
  <c r="F220" i="60032"/>
  <c r="F20" i="60032"/>
  <c r="F89" i="60032"/>
  <c r="F101" i="60032"/>
  <c r="F113" i="60032"/>
  <c r="F24" i="60032"/>
  <c r="F30" i="60032"/>
  <c r="F37" i="60032"/>
  <c r="F41" i="60032"/>
  <c r="F46" i="60032"/>
  <c r="F51" i="60032"/>
  <c r="F203" i="60032"/>
  <c r="F213" i="60032"/>
  <c r="F225" i="60032"/>
  <c r="F250" i="60032"/>
  <c r="F126" i="60032"/>
  <c r="F149" i="60032"/>
  <c r="F156" i="60032"/>
  <c r="F162" i="60032"/>
  <c r="F174" i="60032"/>
  <c r="F180" i="60032"/>
  <c r="F190" i="60032"/>
  <c r="F244" i="60032"/>
  <c r="F233" i="60032"/>
  <c r="F243" i="60032"/>
  <c r="F289" i="60032"/>
  <c r="F252" i="60032"/>
  <c r="F257" i="60032"/>
  <c r="F264" i="60032"/>
  <c r="F271" i="60032"/>
  <c r="F276" i="60032"/>
  <c r="F282" i="60032"/>
  <c r="F287" i="60032"/>
  <c r="F327" i="60032"/>
  <c r="F300" i="60032"/>
  <c r="F316" i="60032"/>
  <c r="F349" i="60032"/>
  <c r="F363" i="60032"/>
  <c r="F103" i="60032"/>
  <c r="F227" i="60032"/>
  <c r="F163" i="60032"/>
  <c r="F232" i="60032"/>
  <c r="F259" i="60032"/>
  <c r="F296" i="60032"/>
  <c r="F311" i="60032"/>
  <c r="F332" i="60032"/>
  <c r="F356" i="60032"/>
  <c r="F365" i="60032"/>
  <c r="F11" i="60032"/>
  <c r="F76" i="60032"/>
  <c r="F19" i="60032"/>
  <c r="F214" i="60032"/>
  <c r="F98" i="60032"/>
  <c r="F80" i="60032"/>
  <c r="F8" i="60032"/>
  <c r="F218" i="60032"/>
  <c r="F13" i="60032"/>
  <c r="F212" i="60032"/>
  <c r="F230" i="60032"/>
  <c r="F14" i="60032"/>
  <c r="F75" i="60032"/>
  <c r="F85" i="60032"/>
  <c r="F95" i="60032"/>
  <c r="F18" i="60032"/>
  <c r="F34" i="60032"/>
  <c r="F39" i="60032"/>
  <c r="F44" i="60032"/>
  <c r="F60" i="60032"/>
  <c r="F195" i="60032"/>
  <c r="F209" i="60032"/>
  <c r="F117" i="60032"/>
  <c r="F122" i="60032"/>
  <c r="F137" i="60032"/>
  <c r="F145" i="60032"/>
  <c r="F158" i="60032"/>
  <c r="F170" i="60032"/>
  <c r="F177" i="60032"/>
  <c r="F182" i="60032"/>
  <c r="F236" i="60032"/>
  <c r="F290" i="60032"/>
  <c r="F237" i="60032"/>
  <c r="F260" i="60032"/>
  <c r="F273" i="60032"/>
  <c r="F319" i="60032"/>
  <c r="F324" i="60032"/>
  <c r="F297" i="60032"/>
  <c r="F312" i="60032"/>
  <c r="F348" i="60032"/>
  <c r="F358" i="60032"/>
  <c r="F331" i="60032"/>
  <c r="F345" i="60032"/>
  <c r="F355" i="60032"/>
  <c r="F369" i="60032"/>
  <c r="F93" i="60032"/>
  <c r="F25" i="60032"/>
  <c r="F38" i="60032"/>
  <c r="F215" i="60032"/>
  <c r="F127" i="60032"/>
  <c r="F150" i="60032"/>
  <c r="F175" i="60032"/>
  <c r="F291" i="60032"/>
  <c r="F266" i="60032"/>
  <c r="F277" i="60032"/>
  <c r="F283" i="60032"/>
  <c r="F323" i="60032"/>
  <c r="F342" i="60032"/>
  <c r="F329" i="60032"/>
  <c r="F341" i="60032"/>
  <c r="F191" i="60032"/>
  <c r="F9" i="60032"/>
  <c r="F84" i="60032"/>
  <c r="F183" i="60032"/>
  <c r="F6" i="60032"/>
  <c r="F196" i="60032"/>
  <c r="F238" i="60032"/>
  <c r="F79" i="60032"/>
  <c r="F87" i="60032"/>
  <c r="F97" i="60032"/>
  <c r="F111" i="60032"/>
  <c r="F22" i="60032"/>
  <c r="F35" i="60032"/>
  <c r="F40" i="60032"/>
  <c r="F211" i="60032"/>
  <c r="F242" i="60032"/>
  <c r="F118" i="60032"/>
  <c r="F125" i="60032"/>
  <c r="F130" i="60032"/>
  <c r="F138" i="60032"/>
  <c r="F146" i="60032"/>
  <c r="F154" i="60032"/>
  <c r="F178" i="60032"/>
  <c r="F188" i="60032"/>
  <c r="F240" i="60032"/>
  <c r="F294" i="60032"/>
  <c r="F239" i="60032"/>
  <c r="F251" i="60032"/>
  <c r="F295" i="60032"/>
  <c r="F263" i="60032"/>
  <c r="F268" i="60032"/>
  <c r="F275" i="60032"/>
  <c r="F286" i="60032"/>
  <c r="F320" i="60032"/>
  <c r="F325" i="60032"/>
  <c r="F299" i="60032"/>
  <c r="F315" i="60032"/>
  <c r="F350" i="60032"/>
  <c r="F333" i="60032"/>
  <c r="F347" i="60032"/>
  <c r="F357" i="60032"/>
  <c r="F67" i="60032"/>
  <c r="F91" i="60032"/>
  <c r="F99" i="60032"/>
  <c r="F107" i="60032"/>
  <c r="F222" i="60032"/>
  <c r="F27" i="60032"/>
  <c r="F31" i="60032"/>
  <c r="F43" i="60032"/>
  <c r="F55" i="60032"/>
  <c r="F59" i="60032"/>
  <c r="F185" i="60032"/>
  <c r="F197" i="60032"/>
  <c r="F221" i="60032"/>
  <c r="F123" i="60032"/>
  <c r="F131" i="60032"/>
  <c r="F135" i="60032"/>
  <c r="F139" i="60032"/>
  <c r="F143" i="60032"/>
  <c r="F147" i="60032"/>
  <c r="F151" i="60032"/>
  <c r="F155" i="60032"/>
  <c r="F159" i="60032"/>
  <c r="F167" i="60032"/>
  <c r="F171" i="60032"/>
  <c r="F179" i="60032"/>
  <c r="F184" i="60032"/>
  <c r="F192" i="60032"/>
  <c r="F231" i="60032"/>
  <c r="F261" i="60032"/>
  <c r="F265" i="60032"/>
  <c r="F269" i="60032"/>
  <c r="F281" i="60032"/>
  <c r="F285" i="60032"/>
  <c r="F317" i="60032"/>
  <c r="F321" i="60032"/>
  <c r="F301" i="60032"/>
  <c r="F305" i="60032"/>
  <c r="F309" i="60032"/>
  <c r="F313" i="60032"/>
  <c r="F328" i="60032"/>
  <c r="F344" i="60032"/>
  <c r="F352" i="60032"/>
  <c r="F360" i="60032"/>
  <c r="F368" i="60032"/>
  <c r="F335" i="60032"/>
  <c r="F343" i="60032"/>
  <c r="F359" i="60032"/>
  <c r="F367" i="60032"/>
  <c r="F88" i="60032"/>
  <c r="K5" i="60032"/>
  <c r="F70" i="60032"/>
  <c r="F86" i="60032"/>
  <c r="F102" i="60032"/>
  <c r="F292" i="60032"/>
  <c r="F100" i="60032"/>
  <c r="F194" i="60032"/>
  <c r="F187" i="60032"/>
  <c r="F208" i="60032"/>
  <c r="F224" i="60032"/>
  <c r="F246" i="60032"/>
  <c r="F15" i="60032"/>
  <c r="F23" i="60032"/>
  <c r="F69" i="60032"/>
  <c r="F77" i="60032"/>
  <c r="F109" i="60032"/>
  <c r="F228" i="60032"/>
  <c r="F28" i="60032"/>
  <c r="F32" i="60032"/>
  <c r="F36" i="60032"/>
  <c r="F48" i="60032"/>
  <c r="F52" i="60032"/>
  <c r="F189" i="60032"/>
  <c r="F199" i="60032"/>
  <c r="F207" i="60032"/>
  <c r="F223" i="60032"/>
  <c r="F234" i="60032"/>
  <c r="F116" i="60032"/>
  <c r="F120" i="60032"/>
  <c r="F124" i="60032"/>
  <c r="F128" i="60032"/>
  <c r="F132" i="60032"/>
  <c r="F136" i="60032"/>
  <c r="F140" i="60032"/>
  <c r="F144" i="60032"/>
  <c r="F148" i="60032"/>
  <c r="F152" i="60032"/>
  <c r="F160" i="60032"/>
  <c r="F168" i="60032"/>
  <c r="F172" i="60032"/>
  <c r="F176" i="60032"/>
  <c r="F186" i="60032"/>
  <c r="F241" i="60032"/>
  <c r="F249" i="60032"/>
  <c r="F254" i="60032"/>
  <c r="F258" i="60032"/>
  <c r="F262" i="60032"/>
  <c r="F270" i="60032"/>
  <c r="F274" i="60032"/>
  <c r="F278" i="60032"/>
  <c r="F318" i="60032"/>
  <c r="F326" i="60032"/>
  <c r="F298" i="60032"/>
  <c r="F302" i="60032"/>
  <c r="F306" i="60032"/>
  <c r="F310" i="60032"/>
  <c r="F314" i="60032"/>
  <c r="F330" i="60032"/>
  <c r="F338" i="60032"/>
  <c r="F346" i="60032"/>
  <c r="F362" i="60032"/>
  <c r="F337" i="60032"/>
  <c r="F353" i="60032"/>
  <c r="F361" i="60032"/>
  <c r="C17" i="60025"/>
  <c r="R17" i="60025" s="1"/>
  <c r="H5" i="60032" l="1"/>
  <c r="I5" i="60032" s="1"/>
  <c r="C18" i="60025"/>
  <c r="Q16" i="60025" s="1"/>
  <c r="Q17" i="60025" s="1"/>
  <c r="Q18" i="60025" s="1"/>
  <c r="M5" i="60032" l="1"/>
  <c r="J5" i="60032"/>
  <c r="C7" i="60025"/>
  <c r="L5" i="60032" l="1"/>
  <c r="G6" i="60032"/>
  <c r="H6" i="60032" l="1"/>
  <c r="I6" i="60032" s="1"/>
  <c r="K6" i="60032"/>
  <c r="M6" i="60032" l="1"/>
  <c r="J6" i="60032"/>
  <c r="H4" i="60025"/>
  <c r="G5" i="60025" s="1"/>
  <c r="C21" i="60025"/>
  <c r="L6" i="60032" l="1"/>
  <c r="G7" i="60032"/>
  <c r="K7" i="60032" s="1"/>
  <c r="R22" i="60025"/>
  <c r="C22" i="60025"/>
  <c r="Q21" i="60025" s="1"/>
  <c r="Q22" i="60025" s="1"/>
  <c r="Q23" i="60025" s="1"/>
  <c r="H5" i="60025"/>
  <c r="H7" i="60032" l="1"/>
  <c r="I7" i="60032" s="1"/>
  <c r="I5" i="60025"/>
  <c r="J5" i="60025" s="1"/>
  <c r="G6" i="60025" s="1"/>
  <c r="N5" i="60025"/>
  <c r="K5" i="60025"/>
  <c r="L5" i="60025" s="1"/>
  <c r="M7" i="60032" l="1"/>
  <c r="M5" i="60025"/>
  <c r="J7" i="60032"/>
  <c r="G8" i="60032" s="1"/>
  <c r="L7" i="60032" l="1"/>
  <c r="K8" i="60032"/>
  <c r="K6" i="60025"/>
  <c r="L6" i="60025" s="1"/>
  <c r="H6" i="60025" l="1"/>
  <c r="I6" i="60025" s="1"/>
  <c r="H8" i="60032"/>
  <c r="I8" i="60032" s="1"/>
  <c r="N6" i="60025" l="1"/>
  <c r="M8" i="60032"/>
  <c r="J8" i="60032"/>
  <c r="G9" i="60032" s="1"/>
  <c r="M6" i="60025" l="1"/>
  <c r="J6" i="60025"/>
  <c r="G7" i="60025" s="1"/>
  <c r="H7" i="60025" s="1"/>
  <c r="I7" i="60025" s="1"/>
  <c r="L8" i="60032"/>
  <c r="H9" i="60032"/>
  <c r="I9" i="60032" s="1"/>
  <c r="K7" i="60025" l="1"/>
  <c r="L7" i="60025" s="1"/>
  <c r="J9" i="60032"/>
  <c r="G10" i="60032" s="1"/>
  <c r="M9" i="60032"/>
  <c r="K9" i="60032"/>
  <c r="J7" i="60025"/>
  <c r="G8" i="60025" s="1"/>
  <c r="N7" i="60025"/>
  <c r="L9" i="60032" l="1"/>
  <c r="K10" i="60032"/>
  <c r="M7" i="60025"/>
  <c r="K8" i="60025" l="1"/>
  <c r="L8" i="60025" s="1"/>
  <c r="H10" i="60032"/>
  <c r="I10" i="60032" s="1"/>
  <c r="M10" i="60032" l="1"/>
  <c r="H8" i="60025"/>
  <c r="I8" i="60025" s="1"/>
  <c r="J10" i="60032"/>
  <c r="G11" i="60032" s="1"/>
  <c r="N8" i="60025" l="1"/>
  <c r="L10" i="60032"/>
  <c r="H11" i="60032"/>
  <c r="I11" i="60032" s="1"/>
  <c r="M8" i="60025" l="1"/>
  <c r="J8" i="60025"/>
  <c r="M11" i="60032"/>
  <c r="J11" i="60032"/>
  <c r="G12" i="60032" s="1"/>
  <c r="K11" i="60032"/>
  <c r="G9" i="60025" l="1"/>
  <c r="K9" i="60025" s="1"/>
  <c r="L9" i="60025" s="1"/>
  <c r="L11" i="60032"/>
  <c r="H12" i="60032"/>
  <c r="I12" i="60032" s="1"/>
  <c r="H9" i="60025" l="1"/>
  <c r="I9" i="60025" s="1"/>
  <c r="M12" i="60032"/>
  <c r="K12" i="60032"/>
  <c r="J12" i="60032"/>
  <c r="G13" i="60032" s="1"/>
  <c r="N9" i="60025" l="1"/>
  <c r="J9" i="60025"/>
  <c r="G10" i="60025" s="1"/>
  <c r="K10" i="60025" s="1"/>
  <c r="L10" i="60025" s="1"/>
  <c r="L12" i="60032"/>
  <c r="K13" i="60032"/>
  <c r="M9" i="60025" l="1"/>
  <c r="H10" i="60025"/>
  <c r="I10" i="60025" s="1"/>
  <c r="H13" i="60032"/>
  <c r="I13" i="60032" s="1"/>
  <c r="J10" i="60025" l="1"/>
  <c r="N10" i="60025"/>
  <c r="M13" i="60032"/>
  <c r="M10" i="60025" l="1"/>
  <c r="G11" i="60025"/>
  <c r="H11" i="60025" s="1"/>
  <c r="I11" i="60025" s="1"/>
  <c r="J13" i="60032"/>
  <c r="G14" i="60032" s="1"/>
  <c r="L13" i="60032"/>
  <c r="N11" i="60025" l="1"/>
  <c r="J11" i="60025"/>
  <c r="K11" i="60025"/>
  <c r="L11" i="60025" s="1"/>
  <c r="K14" i="60032"/>
  <c r="H14" i="60032"/>
  <c r="I14" i="60032" s="1"/>
  <c r="M11" i="60025" l="1"/>
  <c r="G12" i="60025"/>
  <c r="K12" i="60025" s="1"/>
  <c r="L12" i="60025" s="1"/>
  <c r="J14" i="60032"/>
  <c r="G15" i="60032" s="1"/>
  <c r="K15" i="60032" s="1"/>
  <c r="M14" i="60032"/>
  <c r="H12" i="60025" l="1"/>
  <c r="I12" i="60025" s="1"/>
  <c r="L14" i="60032"/>
  <c r="H15" i="60032"/>
  <c r="I15" i="60032" s="1"/>
  <c r="N12" i="60025" l="1"/>
  <c r="M15" i="60032"/>
  <c r="J12" i="60025" l="1"/>
  <c r="G13" i="60025" s="1"/>
  <c r="M12" i="60025"/>
  <c r="L15" i="60032"/>
  <c r="J15" i="60032"/>
  <c r="K13" i="60025" l="1"/>
  <c r="L13" i="60025" s="1"/>
  <c r="H13" i="60025"/>
  <c r="I13" i="60025" s="1"/>
  <c r="G16" i="60032"/>
  <c r="H16" i="60032" s="1"/>
  <c r="I16" i="60032" s="1"/>
  <c r="N13" i="60025" l="1"/>
  <c r="K16" i="60032"/>
  <c r="M16" i="60032"/>
  <c r="J13" i="60025" l="1"/>
  <c r="G14" i="60025" s="1"/>
  <c r="M13" i="60025"/>
  <c r="J16" i="60032"/>
  <c r="G17" i="60032" s="1"/>
  <c r="L16" i="60032"/>
  <c r="K14" i="60025" l="1"/>
  <c r="L14" i="60025" s="1"/>
  <c r="H14" i="60025"/>
  <c r="I14" i="60025" s="1"/>
  <c r="K17" i="60032"/>
  <c r="H17" i="60032"/>
  <c r="I17" i="60032" s="1"/>
  <c r="N14" i="60025" l="1"/>
  <c r="M17" i="60032"/>
  <c r="J14" i="60025" l="1"/>
  <c r="G15" i="60025" s="1"/>
  <c r="M14" i="60025"/>
  <c r="J17" i="60032"/>
  <c r="G18" i="60032" s="1"/>
  <c r="L17" i="60032"/>
  <c r="H15" i="60025" l="1"/>
  <c r="I15" i="60025" s="1"/>
  <c r="K15" i="60025"/>
  <c r="L15" i="60025" s="1"/>
  <c r="K18" i="60032"/>
  <c r="H18" i="60032"/>
  <c r="I18" i="60032" s="1"/>
  <c r="N15" i="60025" l="1"/>
  <c r="M18" i="60032"/>
  <c r="J15" i="60025" l="1"/>
  <c r="G16" i="60025" s="1"/>
  <c r="M15" i="60025"/>
  <c r="J18" i="60032"/>
  <c r="G19" i="60032" s="1"/>
  <c r="L18" i="60032"/>
  <c r="K16" i="60025" l="1"/>
  <c r="L16" i="60025" s="1"/>
  <c r="H16" i="60025"/>
  <c r="I16" i="60025" s="1"/>
  <c r="H19" i="60032"/>
  <c r="I19" i="60032" s="1"/>
  <c r="K19" i="60032"/>
  <c r="N16" i="60025" l="1"/>
  <c r="M19" i="60032"/>
  <c r="J16" i="60025" l="1"/>
  <c r="G17" i="60025" s="1"/>
  <c r="M16" i="60025"/>
  <c r="J19" i="60032"/>
  <c r="G20" i="60032" s="1"/>
  <c r="L19" i="60032"/>
  <c r="H17" i="60025" l="1"/>
  <c r="I17" i="60025" s="1"/>
  <c r="K17" i="60025"/>
  <c r="L17" i="60025" s="1"/>
  <c r="K20" i="60032"/>
  <c r="H20" i="60032"/>
  <c r="I20" i="60032" s="1"/>
  <c r="N17" i="60025" l="1"/>
  <c r="M20" i="60032"/>
  <c r="J17" i="60025" l="1"/>
  <c r="G18" i="60025" s="1"/>
  <c r="M17" i="60025"/>
  <c r="J20" i="60032"/>
  <c r="G21" i="60032" s="1"/>
  <c r="L20" i="60032"/>
  <c r="K18" i="60025" l="1"/>
  <c r="L18" i="60025" s="1"/>
  <c r="H18" i="60025"/>
  <c r="I18" i="60025" s="1"/>
  <c r="H21" i="60032"/>
  <c r="I21" i="60032" s="1"/>
  <c r="K21" i="60032"/>
  <c r="N18" i="60025" l="1"/>
  <c r="M21" i="60032"/>
  <c r="J18" i="60025" l="1"/>
  <c r="G19" i="60025" s="1"/>
  <c r="M18" i="60025"/>
  <c r="J21" i="60032"/>
  <c r="G22" i="60032" s="1"/>
  <c r="L21" i="60032"/>
  <c r="H19" i="60025" l="1"/>
  <c r="I19" i="60025" s="1"/>
  <c r="K19" i="60025"/>
  <c r="L19" i="60025" s="1"/>
  <c r="K22" i="60032"/>
  <c r="H22" i="60032"/>
  <c r="I22" i="60032" s="1"/>
  <c r="O19" i="60025" l="1"/>
  <c r="N19" i="60025"/>
  <c r="M22" i="60032"/>
  <c r="J19" i="60025" l="1"/>
  <c r="G20" i="60025" s="1"/>
  <c r="M19" i="60025"/>
  <c r="J22" i="60032"/>
  <c r="G23" i="60032" s="1"/>
  <c r="L22" i="60032"/>
  <c r="H20" i="60025" l="1"/>
  <c r="I20" i="60025" s="1"/>
  <c r="K20" i="60025"/>
  <c r="L20" i="60025" s="1"/>
  <c r="K23" i="60032"/>
  <c r="H23" i="60032"/>
  <c r="I23" i="60032" s="1"/>
  <c r="O20" i="60025" l="1"/>
  <c r="N20" i="60025"/>
  <c r="M23" i="60032"/>
  <c r="J20" i="60025" l="1"/>
  <c r="G21" i="60025" s="1"/>
  <c r="M20" i="60025"/>
  <c r="J23" i="60032"/>
  <c r="G24" i="60032" s="1"/>
  <c r="L23" i="60032"/>
  <c r="H21" i="60025" l="1"/>
  <c r="I21" i="60025" s="1"/>
  <c r="K21" i="60025"/>
  <c r="L21" i="60025" s="1"/>
  <c r="K24" i="60032"/>
  <c r="H24" i="60032"/>
  <c r="I24" i="60032" s="1"/>
  <c r="O21" i="60025" l="1"/>
  <c r="N21" i="60025"/>
  <c r="M24" i="60032"/>
  <c r="J21" i="60025" l="1"/>
  <c r="G22" i="60025" s="1"/>
  <c r="M21" i="60025"/>
  <c r="J24" i="60032"/>
  <c r="G25" i="60032" s="1"/>
  <c r="L24" i="60032"/>
  <c r="K22" i="60025" l="1"/>
  <c r="L22" i="60025" s="1"/>
  <c r="H22" i="60025"/>
  <c r="I22" i="60025" s="1"/>
  <c r="K25" i="60032"/>
  <c r="H25" i="60032"/>
  <c r="I25" i="60032" s="1"/>
  <c r="O22" i="60025" l="1"/>
  <c r="N22" i="60025"/>
  <c r="M25" i="60032"/>
  <c r="J22" i="60025" l="1"/>
  <c r="G23" i="60025" s="1"/>
  <c r="M22" i="60025"/>
  <c r="J25" i="60032"/>
  <c r="G26" i="60032" s="1"/>
  <c r="L25" i="60032"/>
  <c r="K23" i="60025" l="1"/>
  <c r="L23" i="60025" s="1"/>
  <c r="H23" i="60025"/>
  <c r="I23" i="60025" s="1"/>
  <c r="H26" i="60032"/>
  <c r="I26" i="60032" s="1"/>
  <c r="K26" i="60032"/>
  <c r="O23" i="60025" l="1"/>
  <c r="N23" i="60025"/>
  <c r="M26" i="60032"/>
  <c r="J23" i="60025" l="1"/>
  <c r="G24" i="60025" s="1"/>
  <c r="M23" i="60025"/>
  <c r="J26" i="60032"/>
  <c r="G27" i="60032" s="1"/>
  <c r="L26" i="60032"/>
  <c r="K24" i="60025" l="1"/>
  <c r="L24" i="60025" s="1"/>
  <c r="H24" i="60025"/>
  <c r="I24" i="60025" s="1"/>
  <c r="H27" i="60032"/>
  <c r="I27" i="60032" s="1"/>
  <c r="K27" i="60032"/>
  <c r="N24" i="60025" l="1"/>
  <c r="M27" i="60032"/>
  <c r="J24" i="60025" l="1"/>
  <c r="G25" i="60025" s="1"/>
  <c r="M24" i="60025"/>
  <c r="J27" i="60032"/>
  <c r="G28" i="60032" s="1"/>
  <c r="L27" i="60032"/>
  <c r="H25" i="60025" l="1"/>
  <c r="I25" i="60025" s="1"/>
  <c r="K25" i="60025"/>
  <c r="L25" i="60025" s="1"/>
  <c r="H28" i="60032"/>
  <c r="I28" i="60032" s="1"/>
  <c r="K28" i="60032"/>
  <c r="N25" i="60025" l="1"/>
  <c r="M28" i="60032"/>
  <c r="J25" i="60025" l="1"/>
  <c r="G26" i="60025" s="1"/>
  <c r="M25" i="60025"/>
  <c r="J28" i="60032"/>
  <c r="G29" i="60032" s="1"/>
  <c r="L28" i="60032"/>
  <c r="K26" i="60025" l="1"/>
  <c r="L26" i="60025" s="1"/>
  <c r="H26" i="60025"/>
  <c r="I26" i="60025" s="1"/>
  <c r="K29" i="60032"/>
  <c r="H29" i="60032"/>
  <c r="I29" i="60032" s="1"/>
  <c r="N26" i="60025" l="1"/>
  <c r="M29" i="60032"/>
  <c r="J26" i="60025" l="1"/>
  <c r="G27" i="60025" s="1"/>
  <c r="M26" i="60025"/>
  <c r="J29" i="60032"/>
  <c r="G30" i="60032" s="1"/>
  <c r="L29" i="60032"/>
  <c r="K27" i="60025" l="1"/>
  <c r="L27" i="60025" s="1"/>
  <c r="H27" i="60025"/>
  <c r="I27" i="60025" s="1"/>
  <c r="H30" i="60032"/>
  <c r="I30" i="60032" s="1"/>
  <c r="K30" i="60032"/>
  <c r="N27" i="60025" l="1"/>
  <c r="M30" i="60032"/>
  <c r="J27" i="60025" l="1"/>
  <c r="G28" i="60025" s="1"/>
  <c r="M27" i="60025"/>
  <c r="J30" i="60032"/>
  <c r="G31" i="60032" s="1"/>
  <c r="L30" i="60032"/>
  <c r="K28" i="60025" l="1"/>
  <c r="L28" i="60025" s="1"/>
  <c r="H28" i="60025"/>
  <c r="I28" i="60025" s="1"/>
  <c r="K31" i="60032"/>
  <c r="H31" i="60032"/>
  <c r="I31" i="60032" s="1"/>
  <c r="N28" i="60025" l="1"/>
  <c r="M31" i="60032"/>
  <c r="J28" i="60025" l="1"/>
  <c r="G29" i="60025" s="1"/>
  <c r="M28" i="60025"/>
  <c r="J31" i="60032"/>
  <c r="G32" i="60032" s="1"/>
  <c r="L31" i="60032"/>
  <c r="K29" i="60025" l="1"/>
  <c r="L29" i="60025" s="1"/>
  <c r="H29" i="60025"/>
  <c r="I29" i="60025" s="1"/>
  <c r="K32" i="60032"/>
  <c r="H32" i="60032"/>
  <c r="I32" i="60032" s="1"/>
  <c r="N29" i="60025" l="1"/>
  <c r="M32" i="60032"/>
  <c r="J29" i="60025" l="1"/>
  <c r="G30" i="60025" s="1"/>
  <c r="M29" i="60025"/>
  <c r="J32" i="60032"/>
  <c r="G33" i="60032" s="1"/>
  <c r="L32" i="60032"/>
  <c r="H30" i="60025" l="1"/>
  <c r="I30" i="60025" s="1"/>
  <c r="K30" i="60025"/>
  <c r="L30" i="60025" s="1"/>
  <c r="K33" i="60032"/>
  <c r="H33" i="60032"/>
  <c r="I33" i="60032" s="1"/>
  <c r="N30" i="60025" l="1"/>
  <c r="M33" i="60032"/>
  <c r="J30" i="60025" l="1"/>
  <c r="G31" i="60025" s="1"/>
  <c r="M30" i="60025"/>
  <c r="J33" i="60032"/>
  <c r="G34" i="60032" s="1"/>
  <c r="L33" i="60032"/>
  <c r="K31" i="60025" l="1"/>
  <c r="L31" i="60025" s="1"/>
  <c r="H31" i="60025"/>
  <c r="I31" i="60025" s="1"/>
  <c r="K34" i="60032"/>
  <c r="H34" i="60032"/>
  <c r="I34" i="60032" s="1"/>
  <c r="N31" i="60025" l="1"/>
  <c r="M34" i="60032"/>
  <c r="J31" i="60025" l="1"/>
  <c r="G32" i="60025" s="1"/>
  <c r="M31" i="60025"/>
  <c r="J34" i="60032"/>
  <c r="G35" i="60032" s="1"/>
  <c r="L34" i="60032"/>
  <c r="K32" i="60025" l="1"/>
  <c r="L32" i="60025" s="1"/>
  <c r="H32" i="60025"/>
  <c r="I32" i="60025" s="1"/>
  <c r="K35" i="60032"/>
  <c r="H35" i="60032"/>
  <c r="I35" i="60032" s="1"/>
  <c r="N32" i="60025" l="1"/>
  <c r="M35" i="60032"/>
  <c r="J32" i="60025" l="1"/>
  <c r="G33" i="60025" s="1"/>
  <c r="M32" i="60025"/>
  <c r="J35" i="60032"/>
  <c r="G36" i="60032" s="1"/>
  <c r="L35" i="60032"/>
  <c r="K33" i="60025" l="1"/>
  <c r="L33" i="60025" s="1"/>
  <c r="H33" i="60025"/>
  <c r="I33" i="60025" s="1"/>
  <c r="K36" i="60032"/>
  <c r="H36" i="60032"/>
  <c r="I36" i="60032" s="1"/>
  <c r="N33" i="60025" l="1"/>
  <c r="M36" i="60032"/>
  <c r="J33" i="60025" l="1"/>
  <c r="G34" i="60025" s="1"/>
  <c r="M33" i="60025"/>
  <c r="J36" i="60032"/>
  <c r="G37" i="60032" s="1"/>
  <c r="L36" i="60032"/>
  <c r="K34" i="60025" l="1"/>
  <c r="L34" i="60025" s="1"/>
  <c r="H34" i="60025"/>
  <c r="I34" i="60025" s="1"/>
  <c r="K37" i="60032"/>
  <c r="H37" i="60032"/>
  <c r="I37" i="60032" s="1"/>
  <c r="N34" i="60025" l="1"/>
  <c r="M37" i="60032"/>
  <c r="J34" i="60025" l="1"/>
  <c r="G35" i="60025" s="1"/>
  <c r="M34" i="60025"/>
  <c r="J37" i="60032"/>
  <c r="G38" i="60032" s="1"/>
  <c r="L37" i="60032"/>
  <c r="K35" i="60025" l="1"/>
  <c r="L35" i="60025" s="1"/>
  <c r="H35" i="60025"/>
  <c r="I35" i="60025" s="1"/>
  <c r="H38" i="60032"/>
  <c r="I38" i="60032" s="1"/>
  <c r="K38" i="60032"/>
  <c r="N35" i="60025" l="1"/>
  <c r="M38" i="60032"/>
  <c r="J35" i="60025" l="1"/>
  <c r="G36" i="60025" s="1"/>
  <c r="M35" i="60025"/>
  <c r="J38" i="60032"/>
  <c r="G39" i="60032" s="1"/>
  <c r="L38" i="60032"/>
  <c r="K36" i="60025" l="1"/>
  <c r="L36" i="60025" s="1"/>
  <c r="H36" i="60025"/>
  <c r="I36" i="60025" s="1"/>
  <c r="H39" i="60032"/>
  <c r="I39" i="60032" s="1"/>
  <c r="K39" i="60032"/>
  <c r="N36" i="60025" l="1"/>
  <c r="M39" i="60032"/>
  <c r="J36" i="60025" l="1"/>
  <c r="G37" i="60025" s="1"/>
  <c r="M36" i="60025"/>
  <c r="J39" i="60032"/>
  <c r="G40" i="60032" s="1"/>
  <c r="L39" i="60032"/>
  <c r="K37" i="60025" l="1"/>
  <c r="L37" i="60025" s="1"/>
  <c r="H37" i="60025"/>
  <c r="I37" i="60025" s="1"/>
  <c r="H40" i="60032"/>
  <c r="I40" i="60032" s="1"/>
  <c r="K40" i="60032"/>
  <c r="N37" i="60025" l="1"/>
  <c r="M40" i="60032"/>
  <c r="J37" i="60025" l="1"/>
  <c r="G38" i="60025" s="1"/>
  <c r="M37" i="60025"/>
  <c r="J40" i="60032"/>
  <c r="G41" i="60032" s="1"/>
  <c r="L40" i="60032"/>
  <c r="H38" i="60025" l="1"/>
  <c r="I38" i="60025" s="1"/>
  <c r="K38" i="60025"/>
  <c r="L38" i="60025" s="1"/>
  <c r="H41" i="60032"/>
  <c r="I41" i="60032" s="1"/>
  <c r="K41" i="60032"/>
  <c r="N38" i="60025" l="1"/>
  <c r="M41" i="60032"/>
  <c r="J38" i="60025" l="1"/>
  <c r="G39" i="60025" s="1"/>
  <c r="M38" i="60025"/>
  <c r="J41" i="60032"/>
  <c r="G42" i="60032" s="1"/>
  <c r="L41" i="60032"/>
  <c r="K39" i="60025" l="1"/>
  <c r="L39" i="60025" s="1"/>
  <c r="H39" i="60025"/>
  <c r="I39" i="60025" s="1"/>
  <c r="K42" i="60032"/>
  <c r="H42" i="60032"/>
  <c r="I42" i="60032" s="1"/>
  <c r="N39" i="60025" l="1"/>
  <c r="M42" i="60032"/>
  <c r="J39" i="60025" l="1"/>
  <c r="G40" i="60025" s="1"/>
  <c r="M39" i="60025"/>
  <c r="J42" i="60032"/>
  <c r="G43" i="60032" s="1"/>
  <c r="L42" i="60032"/>
  <c r="H40" i="60025" l="1"/>
  <c r="I40" i="60025" s="1"/>
  <c r="K40" i="60025"/>
  <c r="L40" i="60025" s="1"/>
  <c r="K43" i="60032"/>
  <c r="H43" i="60032"/>
  <c r="I43" i="60032" s="1"/>
  <c r="N40" i="60025" l="1"/>
  <c r="M43" i="60032"/>
  <c r="J40" i="60025" l="1"/>
  <c r="G41" i="60025" s="1"/>
  <c r="M40" i="60025"/>
  <c r="J43" i="60032"/>
  <c r="G44" i="60032" s="1"/>
  <c r="L43" i="60032"/>
  <c r="H41" i="60025" l="1"/>
  <c r="I41" i="60025" s="1"/>
  <c r="K41" i="60025"/>
  <c r="L41" i="60025" s="1"/>
  <c r="K44" i="60032"/>
  <c r="H44" i="60032"/>
  <c r="I44" i="60032" s="1"/>
  <c r="N41" i="60025" l="1"/>
  <c r="M44" i="60032"/>
  <c r="J41" i="60025" l="1"/>
  <c r="G42" i="60025" s="1"/>
  <c r="M41" i="60025"/>
  <c r="J44" i="60032"/>
  <c r="G45" i="60032" s="1"/>
  <c r="L44" i="60032"/>
  <c r="K42" i="60025" l="1"/>
  <c r="L42" i="60025" s="1"/>
  <c r="H42" i="60025"/>
  <c r="I42" i="60025" s="1"/>
  <c r="H45" i="60032"/>
  <c r="I45" i="60032" s="1"/>
  <c r="K45" i="60032"/>
  <c r="N42" i="60025" l="1"/>
  <c r="M45" i="60032"/>
  <c r="J42" i="60025" l="1"/>
  <c r="G43" i="60025" s="1"/>
  <c r="M42" i="60025"/>
  <c r="J45" i="60032"/>
  <c r="G46" i="60032" s="1"/>
  <c r="L45" i="60032"/>
  <c r="K43" i="60025" l="1"/>
  <c r="L43" i="60025" s="1"/>
  <c r="H43" i="60025"/>
  <c r="I43" i="60025" s="1"/>
  <c r="K46" i="60032"/>
  <c r="H46" i="60032"/>
  <c r="I46" i="60032" s="1"/>
  <c r="N43" i="60025" l="1"/>
  <c r="M46" i="60032"/>
  <c r="J43" i="60025" l="1"/>
  <c r="G44" i="60025" s="1"/>
  <c r="M43" i="60025"/>
  <c r="J46" i="60032"/>
  <c r="G47" i="60032" s="1"/>
  <c r="L46" i="60032"/>
  <c r="K44" i="60025" l="1"/>
  <c r="L44" i="60025" s="1"/>
  <c r="H44" i="60025"/>
  <c r="I44" i="60025" s="1"/>
  <c r="K47" i="60032"/>
  <c r="H47" i="60032"/>
  <c r="I47" i="60032" s="1"/>
  <c r="N44" i="60025" l="1"/>
  <c r="M47" i="60032"/>
  <c r="J44" i="60025" l="1"/>
  <c r="G45" i="60025" s="1"/>
  <c r="M44" i="60025"/>
  <c r="J47" i="60032"/>
  <c r="G48" i="60032" s="1"/>
  <c r="L47" i="60032"/>
  <c r="K45" i="60025" l="1"/>
  <c r="L45" i="60025" s="1"/>
  <c r="H45" i="60025"/>
  <c r="I45" i="60025" s="1"/>
  <c r="H48" i="60032"/>
  <c r="I48" i="60032" s="1"/>
  <c r="K48" i="60032"/>
  <c r="N45" i="60025" l="1"/>
  <c r="M48" i="60032"/>
  <c r="J45" i="60025" l="1"/>
  <c r="G46" i="60025" s="1"/>
  <c r="M45" i="60025"/>
  <c r="J48" i="60032"/>
  <c r="G49" i="60032" s="1"/>
  <c r="L48" i="60032"/>
  <c r="H46" i="60025" l="1"/>
  <c r="I46" i="60025" s="1"/>
  <c r="K46" i="60025"/>
  <c r="L46" i="60025" s="1"/>
  <c r="H49" i="60032"/>
  <c r="I49" i="60032" s="1"/>
  <c r="K49" i="60032"/>
  <c r="N46" i="60025" l="1"/>
  <c r="M49" i="60032"/>
  <c r="J46" i="60025" l="1"/>
  <c r="G47" i="60025" s="1"/>
  <c r="M46" i="60025"/>
  <c r="J49" i="60032"/>
  <c r="G50" i="60032" s="1"/>
  <c r="L49" i="60032"/>
  <c r="K47" i="60025" l="1"/>
  <c r="L47" i="60025" s="1"/>
  <c r="H47" i="60025"/>
  <c r="I47" i="60025" s="1"/>
  <c r="K50" i="60032"/>
  <c r="H50" i="60032"/>
  <c r="I50" i="60032" s="1"/>
  <c r="N47" i="60025" l="1"/>
  <c r="M50" i="60032"/>
  <c r="J47" i="60025" l="1"/>
  <c r="G48" i="60025" s="1"/>
  <c r="M47" i="60025"/>
  <c r="J50" i="60032"/>
  <c r="G51" i="60032" s="1"/>
  <c r="L50" i="60032"/>
  <c r="H48" i="60025" l="1"/>
  <c r="I48" i="60025" s="1"/>
  <c r="K48" i="60025"/>
  <c r="L48" i="60025" s="1"/>
  <c r="K51" i="60032"/>
  <c r="H51" i="60032"/>
  <c r="I51" i="60032" s="1"/>
  <c r="N48" i="60025" l="1"/>
  <c r="M51" i="60032"/>
  <c r="J48" i="60025" l="1"/>
  <c r="G49" i="60025" s="1"/>
  <c r="M48" i="60025"/>
  <c r="J51" i="60032"/>
  <c r="G52" i="60032" s="1"/>
  <c r="L51" i="60032"/>
  <c r="K49" i="60025" l="1"/>
  <c r="L49" i="60025" s="1"/>
  <c r="H49" i="60025"/>
  <c r="I49" i="60025" s="1"/>
  <c r="H52" i="60032"/>
  <c r="I52" i="60032" s="1"/>
  <c r="K52" i="60032"/>
  <c r="N49" i="60025" l="1"/>
  <c r="M52" i="60032"/>
  <c r="J49" i="60025" l="1"/>
  <c r="G50" i="60025" s="1"/>
  <c r="M49" i="60025"/>
  <c r="J52" i="60032"/>
  <c r="G53" i="60032" s="1"/>
  <c r="L52" i="60032"/>
  <c r="K50" i="60025" l="1"/>
  <c r="L50" i="60025" s="1"/>
  <c r="H50" i="60025"/>
  <c r="I50" i="60025" s="1"/>
  <c r="K53" i="60032"/>
  <c r="H53" i="60032"/>
  <c r="I53" i="60032" s="1"/>
  <c r="N50" i="60025" l="1"/>
  <c r="M53" i="60032"/>
  <c r="J50" i="60025" l="1"/>
  <c r="G51" i="60025" s="1"/>
  <c r="M50" i="60025"/>
  <c r="J53" i="60032"/>
  <c r="G54" i="60032" s="1"/>
  <c r="L53" i="60032"/>
  <c r="K51" i="60025" l="1"/>
  <c r="L51" i="60025" s="1"/>
  <c r="H51" i="60025"/>
  <c r="I51" i="60025" s="1"/>
  <c r="K54" i="60032"/>
  <c r="H54" i="60032"/>
  <c r="I54" i="60032" s="1"/>
  <c r="N51" i="60025" l="1"/>
  <c r="M54" i="60032"/>
  <c r="J51" i="60025" l="1"/>
  <c r="G52" i="60025" s="1"/>
  <c r="M51" i="60025"/>
  <c r="J54" i="60032"/>
  <c r="G55" i="60032" s="1"/>
  <c r="L54" i="60032"/>
  <c r="K52" i="60025" l="1"/>
  <c r="L52" i="60025" s="1"/>
  <c r="H52" i="60025"/>
  <c r="I52" i="60025" s="1"/>
  <c r="H55" i="60032"/>
  <c r="I55" i="60032" s="1"/>
  <c r="K55" i="60032"/>
  <c r="N52" i="60025" l="1"/>
  <c r="M55" i="60032"/>
  <c r="J52" i="60025" l="1"/>
  <c r="G53" i="60025" s="1"/>
  <c r="M52" i="60025"/>
  <c r="J55" i="60032"/>
  <c r="G56" i="60032" s="1"/>
  <c r="L55" i="60032"/>
  <c r="K53" i="60025" l="1"/>
  <c r="L53" i="60025" s="1"/>
  <c r="H53" i="60025"/>
  <c r="I53" i="60025" s="1"/>
  <c r="K56" i="60032"/>
  <c r="H56" i="60032"/>
  <c r="I56" i="60032" s="1"/>
  <c r="N53" i="60025" l="1"/>
  <c r="M56" i="60032"/>
  <c r="J53" i="60025" l="1"/>
  <c r="G54" i="60025" s="1"/>
  <c r="M53" i="60025"/>
  <c r="J56" i="60032"/>
  <c r="G57" i="60032" s="1"/>
  <c r="L56" i="60032"/>
  <c r="H54" i="60025" l="1"/>
  <c r="I54" i="60025" s="1"/>
  <c r="K54" i="60025"/>
  <c r="L54" i="60025" s="1"/>
  <c r="K57" i="60032"/>
  <c r="H57" i="60032"/>
  <c r="I57" i="60032" s="1"/>
  <c r="N54" i="60025" l="1"/>
  <c r="M57" i="60032"/>
  <c r="J54" i="60025" l="1"/>
  <c r="G55" i="60025" s="1"/>
  <c r="M54" i="60025"/>
  <c r="J57" i="60032"/>
  <c r="G58" i="60032" s="1"/>
  <c r="L57" i="60032"/>
  <c r="H55" i="60025" l="1"/>
  <c r="I55" i="60025" s="1"/>
  <c r="K55" i="60025"/>
  <c r="L55" i="60025" s="1"/>
  <c r="K58" i="60032"/>
  <c r="H58" i="60032"/>
  <c r="I58" i="60032" s="1"/>
  <c r="N55" i="60025" l="1"/>
  <c r="M58" i="60032"/>
  <c r="J55" i="60025" l="1"/>
  <c r="G56" i="60025" s="1"/>
  <c r="M55" i="60025"/>
  <c r="J58" i="60032"/>
  <c r="G59" i="60032" s="1"/>
  <c r="L58" i="60032"/>
  <c r="K56" i="60025" l="1"/>
  <c r="L56" i="60025" s="1"/>
  <c r="H56" i="60025"/>
  <c r="I56" i="60025" s="1"/>
  <c r="K59" i="60032"/>
  <c r="H59" i="60032"/>
  <c r="I59" i="60032" s="1"/>
  <c r="N56" i="60025" l="1"/>
  <c r="M59" i="60032"/>
  <c r="J56" i="60025" l="1"/>
  <c r="G57" i="60025" s="1"/>
  <c r="M56" i="60025"/>
  <c r="J59" i="60032"/>
  <c r="G60" i="60032" s="1"/>
  <c r="L59" i="60032"/>
  <c r="K57" i="60025" l="1"/>
  <c r="L57" i="60025" s="1"/>
  <c r="H57" i="60025"/>
  <c r="I57" i="60025" s="1"/>
  <c r="K60" i="60032"/>
  <c r="H60" i="60032"/>
  <c r="I60" i="60032" s="1"/>
  <c r="N57" i="60025" l="1"/>
  <c r="M60" i="60032"/>
  <c r="J57" i="60025" l="1"/>
  <c r="G58" i="60025" s="1"/>
  <c r="M57" i="60025"/>
  <c r="J60" i="60032"/>
  <c r="G61" i="60032" s="1"/>
  <c r="L60" i="60032"/>
  <c r="K58" i="60025" l="1"/>
  <c r="L58" i="60025" s="1"/>
  <c r="H58" i="60025"/>
  <c r="I58" i="60025" s="1"/>
  <c r="H61" i="60032"/>
  <c r="I61" i="60032" s="1"/>
  <c r="K61" i="60032"/>
  <c r="N58" i="60025" l="1"/>
  <c r="M61" i="60032"/>
  <c r="J58" i="60025" l="1"/>
  <c r="G59" i="60025" s="1"/>
  <c r="M58" i="60025"/>
  <c r="J61" i="60032"/>
  <c r="G62" i="60032" s="1"/>
  <c r="L61" i="60032"/>
  <c r="H59" i="60025" l="1"/>
  <c r="I59" i="60025" s="1"/>
  <c r="K59" i="60025"/>
  <c r="L59" i="60025" s="1"/>
  <c r="K62" i="60032"/>
  <c r="H62" i="60032"/>
  <c r="I62" i="60032" s="1"/>
  <c r="N59" i="60025" l="1"/>
  <c r="M62" i="60032"/>
  <c r="J59" i="60025" l="1"/>
  <c r="G60" i="60025" s="1"/>
  <c r="M59" i="60025"/>
  <c r="J62" i="60032"/>
  <c r="G63" i="60032" s="1"/>
  <c r="L62" i="60032"/>
  <c r="K60" i="60025" l="1"/>
  <c r="L60" i="60025" s="1"/>
  <c r="H60" i="60025"/>
  <c r="I60" i="60025" s="1"/>
  <c r="K63" i="60032"/>
  <c r="H63" i="60032"/>
  <c r="I63" i="60032" s="1"/>
  <c r="N60" i="60025" l="1"/>
  <c r="M63" i="60032"/>
  <c r="J60" i="60025" l="1"/>
  <c r="G61" i="60025" s="1"/>
  <c r="M60" i="60025"/>
  <c r="J63" i="60032"/>
  <c r="G64" i="60032" s="1"/>
  <c r="L63" i="60032"/>
  <c r="K61" i="60025" l="1"/>
  <c r="L61" i="60025" s="1"/>
  <c r="H61" i="60025"/>
  <c r="I61" i="60025" s="1"/>
  <c r="H64" i="60032"/>
  <c r="I64" i="60032" s="1"/>
  <c r="K64" i="60032"/>
  <c r="N61" i="60025" l="1"/>
  <c r="M64" i="60032"/>
  <c r="J61" i="60025" l="1"/>
  <c r="G62" i="60025" s="1"/>
  <c r="M61" i="60025"/>
  <c r="J64" i="60032"/>
  <c r="G65" i="60032" s="1"/>
  <c r="L64" i="60032"/>
  <c r="K62" i="60025" l="1"/>
  <c r="L62" i="60025" s="1"/>
  <c r="H62" i="60025"/>
  <c r="I62" i="60025" s="1"/>
  <c r="K65" i="60032"/>
  <c r="H65" i="60032"/>
  <c r="I65" i="60032" s="1"/>
  <c r="N62" i="60025" l="1"/>
  <c r="M65" i="60032"/>
  <c r="J62" i="60025" l="1"/>
  <c r="G63" i="60025" s="1"/>
  <c r="M62" i="60025"/>
  <c r="J65" i="60032"/>
  <c r="G66" i="60032" s="1"/>
  <c r="L65" i="60032"/>
  <c r="K63" i="60025" l="1"/>
  <c r="L63" i="60025" s="1"/>
  <c r="H63" i="60025"/>
  <c r="I63" i="60025" s="1"/>
  <c r="H66" i="60032"/>
  <c r="I66" i="60032" s="1"/>
  <c r="K66" i="60032"/>
  <c r="N63" i="60025" l="1"/>
  <c r="M66" i="60032"/>
  <c r="J63" i="60025" l="1"/>
  <c r="G64" i="60025" s="1"/>
  <c r="M63" i="60025"/>
  <c r="J66" i="60032"/>
  <c r="G67" i="60032" s="1"/>
  <c r="L66" i="60032"/>
  <c r="H64" i="60025" l="1"/>
  <c r="I64" i="60025" s="1"/>
  <c r="K64" i="60025"/>
  <c r="L64" i="60025" s="1"/>
  <c r="K67" i="60032"/>
  <c r="H67" i="60032"/>
  <c r="I67" i="60032" s="1"/>
  <c r="N64" i="60025" l="1"/>
  <c r="M67" i="60032"/>
  <c r="J64" i="60025" l="1"/>
  <c r="G65" i="60025" s="1"/>
  <c r="M64" i="60025"/>
  <c r="J67" i="60032"/>
  <c r="G68" i="60032" s="1"/>
  <c r="L67" i="60032"/>
  <c r="H65" i="60025" l="1"/>
  <c r="I65" i="60025" s="1"/>
  <c r="K65" i="60025"/>
  <c r="L65" i="60025" s="1"/>
  <c r="K68" i="60032"/>
  <c r="H68" i="60032"/>
  <c r="I68" i="60032" s="1"/>
  <c r="N65" i="60025" l="1"/>
  <c r="M68" i="60032"/>
  <c r="J65" i="60025" l="1"/>
  <c r="G66" i="60025" s="1"/>
  <c r="M65" i="60025"/>
  <c r="J68" i="60032"/>
  <c r="G69" i="60032" s="1"/>
  <c r="L68" i="60032"/>
  <c r="H66" i="60025" l="1"/>
  <c r="I66" i="60025" s="1"/>
  <c r="K66" i="60025"/>
  <c r="L66" i="60025" s="1"/>
  <c r="K69" i="60032"/>
  <c r="H69" i="60032"/>
  <c r="I69" i="60032" s="1"/>
  <c r="N66" i="60025" l="1"/>
  <c r="M69" i="60032"/>
  <c r="J66" i="60025" l="1"/>
  <c r="G67" i="60025" s="1"/>
  <c r="M66" i="60025"/>
  <c r="J69" i="60032"/>
  <c r="G70" i="60032" s="1"/>
  <c r="L69" i="60032"/>
  <c r="H67" i="60025" l="1"/>
  <c r="I67" i="60025" s="1"/>
  <c r="K67" i="60025"/>
  <c r="L67" i="60025" s="1"/>
  <c r="K70" i="60032"/>
  <c r="H70" i="60032"/>
  <c r="I70" i="60032" s="1"/>
  <c r="N67" i="60025" l="1"/>
  <c r="M70" i="60032"/>
  <c r="J67" i="60025" l="1"/>
  <c r="G68" i="60025" s="1"/>
  <c r="M67" i="60025"/>
  <c r="J70" i="60032"/>
  <c r="G71" i="60032" s="1"/>
  <c r="L70" i="60032"/>
  <c r="K68" i="60025" l="1"/>
  <c r="L68" i="60025" s="1"/>
  <c r="H68" i="60025"/>
  <c r="I68" i="60025" s="1"/>
  <c r="K71" i="60032"/>
  <c r="H71" i="60032"/>
  <c r="I71" i="60032" s="1"/>
  <c r="N68" i="60025" l="1"/>
  <c r="M71" i="60032"/>
  <c r="J68" i="60025" l="1"/>
  <c r="G69" i="60025" s="1"/>
  <c r="M68" i="60025"/>
  <c r="J71" i="60032"/>
  <c r="G72" i="60032" s="1"/>
  <c r="L71" i="60032"/>
  <c r="H69" i="60025" l="1"/>
  <c r="I69" i="60025" s="1"/>
  <c r="K69" i="60025"/>
  <c r="L69" i="60025" s="1"/>
  <c r="K72" i="60032"/>
  <c r="H72" i="60032"/>
  <c r="I72" i="60032" s="1"/>
  <c r="N69" i="60025" l="1"/>
  <c r="M72" i="60032"/>
  <c r="J69" i="60025" l="1"/>
  <c r="G70" i="60025" s="1"/>
  <c r="M69" i="60025"/>
  <c r="J72" i="60032"/>
  <c r="G73" i="60032" s="1"/>
  <c r="L72" i="60032"/>
  <c r="K70" i="60025" l="1"/>
  <c r="L70" i="60025" s="1"/>
  <c r="H70" i="60025"/>
  <c r="I70" i="60025" s="1"/>
  <c r="K73" i="60032"/>
  <c r="H73" i="60032"/>
  <c r="I73" i="60032" s="1"/>
  <c r="N70" i="60025" l="1"/>
  <c r="M73" i="60032"/>
  <c r="J70" i="60025" l="1"/>
  <c r="G71" i="60025" s="1"/>
  <c r="M70" i="60025"/>
  <c r="J73" i="60032"/>
  <c r="G74" i="60032" s="1"/>
  <c r="L73" i="60032"/>
  <c r="K71" i="60025" l="1"/>
  <c r="L71" i="60025" s="1"/>
  <c r="H71" i="60025"/>
  <c r="I71" i="60025" s="1"/>
  <c r="K74" i="60032"/>
  <c r="H74" i="60032"/>
  <c r="I74" i="60032" s="1"/>
  <c r="N71" i="60025" l="1"/>
  <c r="M74" i="60032"/>
  <c r="J71" i="60025" l="1"/>
  <c r="G72" i="60025" s="1"/>
  <c r="M71" i="60025"/>
  <c r="J74" i="60032"/>
  <c r="G75" i="60032" s="1"/>
  <c r="L74" i="60032"/>
  <c r="H72" i="60025" l="1"/>
  <c r="I72" i="60025" s="1"/>
  <c r="K72" i="60025"/>
  <c r="L72" i="60025" s="1"/>
  <c r="K75" i="60032"/>
  <c r="H75" i="60032"/>
  <c r="I75" i="60032" s="1"/>
  <c r="N72" i="60025" l="1"/>
  <c r="M75" i="60032"/>
  <c r="J72" i="60025" l="1"/>
  <c r="G73" i="60025" s="1"/>
  <c r="M72" i="60025"/>
  <c r="J75" i="60032"/>
  <c r="G76" i="60032" s="1"/>
  <c r="L75" i="60032"/>
  <c r="K73" i="60025" l="1"/>
  <c r="L73" i="60025" s="1"/>
  <c r="H73" i="60025"/>
  <c r="I73" i="60025" s="1"/>
  <c r="K76" i="60032"/>
  <c r="H76" i="60032"/>
  <c r="I76" i="60032" s="1"/>
  <c r="N73" i="60025" l="1"/>
  <c r="M76" i="60032"/>
  <c r="J73" i="60025" l="1"/>
  <c r="G74" i="60025" s="1"/>
  <c r="M73" i="60025"/>
  <c r="J76" i="60032"/>
  <c r="G77" i="60032" s="1"/>
  <c r="L76" i="60032"/>
  <c r="H74" i="60025" l="1"/>
  <c r="I74" i="60025" s="1"/>
  <c r="K74" i="60025"/>
  <c r="L74" i="60025" s="1"/>
  <c r="K77" i="60032"/>
  <c r="H77" i="60032"/>
  <c r="I77" i="60032" s="1"/>
  <c r="N74" i="60025" l="1"/>
  <c r="M77" i="60032"/>
  <c r="J74" i="60025" l="1"/>
  <c r="G75" i="60025" s="1"/>
  <c r="M74" i="60025"/>
  <c r="J77" i="60032"/>
  <c r="G78" i="60032" s="1"/>
  <c r="L77" i="60032"/>
  <c r="K75" i="60025" l="1"/>
  <c r="L75" i="60025" s="1"/>
  <c r="H75" i="60025"/>
  <c r="I75" i="60025" s="1"/>
  <c r="K78" i="60032"/>
  <c r="H78" i="60032"/>
  <c r="I78" i="60032" s="1"/>
  <c r="N75" i="60025" l="1"/>
  <c r="M78" i="60032"/>
  <c r="J75" i="60025" l="1"/>
  <c r="G76" i="60025" s="1"/>
  <c r="M75" i="60025"/>
  <c r="J78" i="60032"/>
  <c r="G79" i="60032" s="1"/>
  <c r="L78" i="60032"/>
  <c r="K76" i="60025" l="1"/>
  <c r="L76" i="60025" s="1"/>
  <c r="H76" i="60025"/>
  <c r="I76" i="60025" s="1"/>
  <c r="K79" i="60032"/>
  <c r="H79" i="60032"/>
  <c r="I79" i="60032" s="1"/>
  <c r="N76" i="60025" l="1"/>
  <c r="M79" i="60032"/>
  <c r="J76" i="60025" l="1"/>
  <c r="G77" i="60025" s="1"/>
  <c r="M76" i="60025"/>
  <c r="L79" i="60032"/>
  <c r="J79" i="60032"/>
  <c r="K77" i="60025" l="1"/>
  <c r="L77" i="60025" s="1"/>
  <c r="H77" i="60025"/>
  <c r="I77" i="60025" s="1"/>
  <c r="G80" i="60032"/>
  <c r="H80" i="60032" s="1"/>
  <c r="I80" i="60032" s="1"/>
  <c r="N77" i="60025" l="1"/>
  <c r="M80" i="60032"/>
  <c r="K80" i="60032"/>
  <c r="J77" i="60025" l="1"/>
  <c r="G78" i="60025" s="1"/>
  <c r="M77" i="60025"/>
  <c r="L80" i="60032"/>
  <c r="J80" i="60032"/>
  <c r="H78" i="60025" l="1"/>
  <c r="I78" i="60025" s="1"/>
  <c r="K78" i="60025"/>
  <c r="L78" i="60025" s="1"/>
  <c r="G81" i="60032"/>
  <c r="H81" i="60032" s="1"/>
  <c r="I81" i="60032" s="1"/>
  <c r="N78" i="60025" l="1"/>
  <c r="K81" i="60032"/>
  <c r="M81" i="60032"/>
  <c r="J78" i="60025" l="1"/>
  <c r="G79" i="60025" s="1"/>
  <c r="M78" i="60025"/>
  <c r="J81" i="60032"/>
  <c r="L81" i="60032"/>
  <c r="H79" i="60025" l="1"/>
  <c r="I79" i="60025" s="1"/>
  <c r="K79" i="60025"/>
  <c r="L79" i="60025" s="1"/>
  <c r="G82" i="60032"/>
  <c r="H82" i="60032" s="1"/>
  <c r="I82" i="60032" s="1"/>
  <c r="N79" i="60025" l="1"/>
  <c r="K82" i="60032"/>
  <c r="M82" i="60032"/>
  <c r="J79" i="60025" l="1"/>
  <c r="G80" i="60025" s="1"/>
  <c r="M79" i="60025"/>
  <c r="J82" i="60032"/>
  <c r="G83" i="60032" s="1"/>
  <c r="L82" i="60032"/>
  <c r="K80" i="60025" l="1"/>
  <c r="L80" i="60025" s="1"/>
  <c r="H80" i="60025"/>
  <c r="I80" i="60025" s="1"/>
  <c r="K83" i="60032"/>
  <c r="H83" i="60032"/>
  <c r="I83" i="60032" s="1"/>
  <c r="N80" i="60025" l="1"/>
  <c r="M83" i="60032"/>
  <c r="J80" i="60025" l="1"/>
  <c r="G81" i="60025" s="1"/>
  <c r="M80" i="60025"/>
  <c r="J83" i="60032"/>
  <c r="G84" i="60032" s="1"/>
  <c r="L83" i="60032"/>
  <c r="H81" i="60025" l="1"/>
  <c r="I81" i="60025" s="1"/>
  <c r="K81" i="60025"/>
  <c r="L81" i="60025" s="1"/>
  <c r="K84" i="60032"/>
  <c r="H84" i="60032"/>
  <c r="I84" i="60032" s="1"/>
  <c r="N81" i="60025" l="1"/>
  <c r="M84" i="60032"/>
  <c r="J81" i="60025" l="1"/>
  <c r="G82" i="60025" s="1"/>
  <c r="M81" i="60025"/>
  <c r="J84" i="60032"/>
  <c r="G85" i="60032" s="1"/>
  <c r="L84" i="60032"/>
  <c r="K82" i="60025" l="1"/>
  <c r="L82" i="60025" s="1"/>
  <c r="H82" i="60025"/>
  <c r="I82" i="60025" s="1"/>
  <c r="K85" i="60032"/>
  <c r="H85" i="60032"/>
  <c r="I85" i="60032" s="1"/>
  <c r="N82" i="60025" l="1"/>
  <c r="M85" i="60032"/>
  <c r="J82" i="60025" l="1"/>
  <c r="G83" i="60025" s="1"/>
  <c r="M82" i="60025"/>
  <c r="J85" i="60032"/>
  <c r="G86" i="60032" s="1"/>
  <c r="L85" i="60032"/>
  <c r="K83" i="60025" l="1"/>
  <c r="L83" i="60025" s="1"/>
  <c r="H83" i="60025"/>
  <c r="I83" i="60025" s="1"/>
  <c r="K86" i="60032"/>
  <c r="H86" i="60032"/>
  <c r="I86" i="60032" s="1"/>
  <c r="N83" i="60025" l="1"/>
  <c r="M86" i="60032"/>
  <c r="J83" i="60025" l="1"/>
  <c r="G84" i="60025" s="1"/>
  <c r="M83" i="60025"/>
  <c r="J86" i="60032"/>
  <c r="G87" i="60032" s="1"/>
  <c r="L86" i="60032"/>
  <c r="H84" i="60025" l="1"/>
  <c r="I84" i="60025" s="1"/>
  <c r="K84" i="60025"/>
  <c r="L84" i="60025" s="1"/>
  <c r="K87" i="60032"/>
  <c r="H87" i="60032"/>
  <c r="I87" i="60032" s="1"/>
  <c r="N84" i="60025" l="1"/>
  <c r="M87" i="60032"/>
  <c r="J84" i="60025" l="1"/>
  <c r="G85" i="60025" s="1"/>
  <c r="M84" i="60025"/>
  <c r="J87" i="60032"/>
  <c r="G88" i="60032" s="1"/>
  <c r="L87" i="60032"/>
  <c r="K85" i="60025" l="1"/>
  <c r="L85" i="60025" s="1"/>
  <c r="H85" i="60025"/>
  <c r="I85" i="60025" s="1"/>
  <c r="H88" i="60032"/>
  <c r="I88" i="60032" s="1"/>
  <c r="K88" i="60032"/>
  <c r="N85" i="60025" l="1"/>
  <c r="M88" i="60032"/>
  <c r="J85" i="60025" l="1"/>
  <c r="G86" i="60025" s="1"/>
  <c r="M85" i="60025"/>
  <c r="J88" i="60032"/>
  <c r="G89" i="60032" s="1"/>
  <c r="L88" i="60032"/>
  <c r="K86" i="60025" l="1"/>
  <c r="L86" i="60025" s="1"/>
  <c r="H86" i="60025"/>
  <c r="I86" i="60025" s="1"/>
  <c r="K89" i="60032"/>
  <c r="H89" i="60032"/>
  <c r="I89" i="60032" s="1"/>
  <c r="N86" i="60025" l="1"/>
  <c r="M89" i="60032"/>
  <c r="J86" i="60025" l="1"/>
  <c r="G87" i="60025" s="1"/>
  <c r="M86" i="60025"/>
  <c r="J89" i="60032"/>
  <c r="G90" i="60032" s="1"/>
  <c r="L89" i="60032"/>
  <c r="K87" i="60025" l="1"/>
  <c r="L87" i="60025" s="1"/>
  <c r="H87" i="60025"/>
  <c r="I87" i="60025" s="1"/>
  <c r="H90" i="60032"/>
  <c r="I90" i="60032" s="1"/>
  <c r="K90" i="60032"/>
  <c r="N87" i="60025" l="1"/>
  <c r="M90" i="60032"/>
  <c r="J87" i="60025" l="1"/>
  <c r="G88" i="60025" s="1"/>
  <c r="M87" i="60025"/>
  <c r="J90" i="60032"/>
  <c r="G91" i="60032" s="1"/>
  <c r="L90" i="60032"/>
  <c r="K88" i="60025" l="1"/>
  <c r="L88" i="60025" s="1"/>
  <c r="H88" i="60025"/>
  <c r="I88" i="60025" s="1"/>
  <c r="K91" i="60032"/>
  <c r="H91" i="60032"/>
  <c r="I91" i="60032" s="1"/>
  <c r="N88" i="60025" l="1"/>
  <c r="M91" i="60032"/>
  <c r="J88" i="60025" l="1"/>
  <c r="G89" i="60025" s="1"/>
  <c r="M88" i="60025"/>
  <c r="J91" i="60032"/>
  <c r="G92" i="60032" s="1"/>
  <c r="L91" i="60032"/>
  <c r="K89" i="60025" l="1"/>
  <c r="L89" i="60025" s="1"/>
  <c r="H89" i="60025"/>
  <c r="I89" i="60025" s="1"/>
  <c r="K92" i="60032"/>
  <c r="H92" i="60032"/>
  <c r="I92" i="60032" s="1"/>
  <c r="N89" i="60025" l="1"/>
  <c r="M92" i="60032"/>
  <c r="J89" i="60025" l="1"/>
  <c r="G90" i="60025" s="1"/>
  <c r="M89" i="60025"/>
  <c r="L92" i="60032"/>
  <c r="J92" i="60032"/>
  <c r="K90" i="60025" l="1"/>
  <c r="L90" i="60025" s="1"/>
  <c r="H90" i="60025"/>
  <c r="I90" i="60025" s="1"/>
  <c r="G93" i="60032"/>
  <c r="H93" i="60032" s="1"/>
  <c r="I93" i="60032" s="1"/>
  <c r="N90" i="60025" l="1"/>
  <c r="K93" i="60032"/>
  <c r="M93" i="60032"/>
  <c r="J90" i="60025" l="1"/>
  <c r="G91" i="60025" s="1"/>
  <c r="M90" i="60025"/>
  <c r="J93" i="60032"/>
  <c r="G94" i="60032" s="1"/>
  <c r="L93" i="60032"/>
  <c r="H91" i="60025" l="1"/>
  <c r="I91" i="60025" s="1"/>
  <c r="K91" i="60025"/>
  <c r="L91" i="60025" s="1"/>
  <c r="K94" i="60032"/>
  <c r="H94" i="60032"/>
  <c r="I94" i="60032" s="1"/>
  <c r="N91" i="60025" l="1"/>
  <c r="M94" i="60032"/>
  <c r="J91" i="60025" l="1"/>
  <c r="G92" i="60025" s="1"/>
  <c r="M91" i="60025"/>
  <c r="J94" i="60032"/>
  <c r="L94" i="60032"/>
  <c r="H92" i="60025" l="1"/>
  <c r="I92" i="60025" s="1"/>
  <c r="K92" i="60025"/>
  <c r="L92" i="60025" s="1"/>
  <c r="G95" i="60032"/>
  <c r="H95" i="60032" s="1"/>
  <c r="I95" i="60032" s="1"/>
  <c r="N92" i="60025" l="1"/>
  <c r="K95" i="60032"/>
  <c r="M95" i="60032"/>
  <c r="J92" i="60025" l="1"/>
  <c r="G93" i="60025" s="1"/>
  <c r="M92" i="60025"/>
  <c r="J95" i="60032"/>
  <c r="G96" i="60032" s="1"/>
  <c r="L95" i="60032"/>
  <c r="K93" i="60025" l="1"/>
  <c r="L93" i="60025" s="1"/>
  <c r="H93" i="60025"/>
  <c r="I93" i="60025" s="1"/>
  <c r="K96" i="60032"/>
  <c r="H96" i="60032"/>
  <c r="I96" i="60032" s="1"/>
  <c r="N93" i="60025" l="1"/>
  <c r="M96" i="60032"/>
  <c r="J93" i="60025" l="1"/>
  <c r="G94" i="60025" s="1"/>
  <c r="M93" i="60025"/>
  <c r="L96" i="60032"/>
  <c r="J96" i="60032"/>
  <c r="K94" i="60025" l="1"/>
  <c r="L94" i="60025" s="1"/>
  <c r="H94" i="60025"/>
  <c r="I94" i="60025" s="1"/>
  <c r="G97" i="60032"/>
  <c r="H97" i="60032" s="1"/>
  <c r="I97" i="60032" s="1"/>
  <c r="N94" i="60025" l="1"/>
  <c r="K97" i="60032"/>
  <c r="M97" i="60032"/>
  <c r="J94" i="60025" l="1"/>
  <c r="G95" i="60025" s="1"/>
  <c r="M94" i="60025"/>
  <c r="L97" i="60032"/>
  <c r="J97" i="60032"/>
  <c r="H95" i="60025" l="1"/>
  <c r="I95" i="60025" s="1"/>
  <c r="K95" i="60025"/>
  <c r="L95" i="60025" s="1"/>
  <c r="G98" i="60032"/>
  <c r="H98" i="60032" s="1"/>
  <c r="I98" i="60032" s="1"/>
  <c r="N95" i="60025" l="1"/>
  <c r="M98" i="60032"/>
  <c r="K98" i="60032"/>
  <c r="J95" i="60025" l="1"/>
  <c r="G96" i="60025" s="1"/>
  <c r="M95" i="60025"/>
  <c r="J98" i="60032"/>
  <c r="G99" i="60032" s="1"/>
  <c r="L98" i="60032"/>
  <c r="H96" i="60025" l="1"/>
  <c r="I96" i="60025" s="1"/>
  <c r="K96" i="60025"/>
  <c r="L96" i="60025" s="1"/>
  <c r="K99" i="60032"/>
  <c r="H99" i="60032"/>
  <c r="I99" i="60032" s="1"/>
  <c r="N96" i="60025" l="1"/>
  <c r="M99" i="60032"/>
  <c r="J96" i="60025" l="1"/>
  <c r="G97" i="60025" s="1"/>
  <c r="M96" i="60025"/>
  <c r="J99" i="60032"/>
  <c r="G100" i="60032" s="1"/>
  <c r="L99" i="60032"/>
  <c r="K97" i="60025" l="1"/>
  <c r="L97" i="60025" s="1"/>
  <c r="H97" i="60025"/>
  <c r="I97" i="60025" s="1"/>
  <c r="K100" i="60032"/>
  <c r="H100" i="60032"/>
  <c r="I100" i="60032" s="1"/>
  <c r="N97" i="60025" l="1"/>
  <c r="M100" i="60032"/>
  <c r="J97" i="60025" l="1"/>
  <c r="G98" i="60025" s="1"/>
  <c r="M97" i="60025"/>
  <c r="J100" i="60032"/>
  <c r="G101" i="60032" s="1"/>
  <c r="L100" i="60032"/>
  <c r="K98" i="60025" l="1"/>
  <c r="L98" i="60025" s="1"/>
  <c r="H98" i="60025"/>
  <c r="I98" i="60025" s="1"/>
  <c r="K101" i="60032"/>
  <c r="H101" i="60032"/>
  <c r="I101" i="60032" s="1"/>
  <c r="N98" i="60025" l="1"/>
  <c r="M101" i="60032"/>
  <c r="J98" i="60025" l="1"/>
  <c r="G99" i="60025" s="1"/>
  <c r="M98" i="60025"/>
  <c r="J101" i="60032"/>
  <c r="G102" i="60032" s="1"/>
  <c r="L101" i="60032"/>
  <c r="H99" i="60025" l="1"/>
  <c r="I99" i="60025" s="1"/>
  <c r="K99" i="60025"/>
  <c r="L99" i="60025" s="1"/>
  <c r="K102" i="60032"/>
  <c r="H102" i="60032"/>
  <c r="I102" i="60032" s="1"/>
  <c r="N99" i="60025" l="1"/>
  <c r="M102" i="60032"/>
  <c r="J99" i="60025" l="1"/>
  <c r="G100" i="60025" s="1"/>
  <c r="M99" i="60025"/>
  <c r="J102" i="60032"/>
  <c r="G103" i="60032" s="1"/>
  <c r="L102" i="60032"/>
  <c r="H100" i="60025" l="1"/>
  <c r="I100" i="60025" s="1"/>
  <c r="K100" i="60025"/>
  <c r="L100" i="60025" s="1"/>
  <c r="K103" i="60032"/>
  <c r="H103" i="60032"/>
  <c r="I103" i="60032" s="1"/>
  <c r="N100" i="60025" l="1"/>
  <c r="M103" i="60032"/>
  <c r="J100" i="60025" l="1"/>
  <c r="G101" i="60025" s="1"/>
  <c r="M100" i="60025"/>
  <c r="J103" i="60032"/>
  <c r="G104" i="60032" s="1"/>
  <c r="L103" i="60032"/>
  <c r="H101" i="60025" l="1"/>
  <c r="I101" i="60025" s="1"/>
  <c r="K101" i="60025"/>
  <c r="L101" i="60025" s="1"/>
  <c r="K104" i="60032"/>
  <c r="H104" i="60032"/>
  <c r="I104" i="60032" s="1"/>
  <c r="N101" i="60025" l="1"/>
  <c r="M104" i="60032"/>
  <c r="J101" i="60025" l="1"/>
  <c r="G102" i="60025" s="1"/>
  <c r="M101" i="60025"/>
  <c r="J104" i="60032"/>
  <c r="G105" i="60032" s="1"/>
  <c r="L104" i="60032"/>
  <c r="K102" i="60025" l="1"/>
  <c r="L102" i="60025" s="1"/>
  <c r="H102" i="60025"/>
  <c r="I102" i="60025" s="1"/>
  <c r="H105" i="60032"/>
  <c r="I105" i="60032" s="1"/>
  <c r="K105" i="60032"/>
  <c r="N102" i="60025" l="1"/>
  <c r="M105" i="60032"/>
  <c r="J102" i="60025" l="1"/>
  <c r="G103" i="60025" s="1"/>
  <c r="M102" i="60025"/>
  <c r="J105" i="60032"/>
  <c r="G106" i="60032" s="1"/>
  <c r="L105" i="60032"/>
  <c r="H103" i="60025" l="1"/>
  <c r="I103" i="60025" s="1"/>
  <c r="K103" i="60025"/>
  <c r="L103" i="60025" s="1"/>
  <c r="K106" i="60032"/>
  <c r="H106" i="60032"/>
  <c r="I106" i="60032" s="1"/>
  <c r="N103" i="60025" l="1"/>
  <c r="M106" i="60032"/>
  <c r="J103" i="60025" l="1"/>
  <c r="G104" i="60025" s="1"/>
  <c r="M103" i="60025"/>
  <c r="J106" i="60032"/>
  <c r="G107" i="60032" s="1"/>
  <c r="L106" i="60032"/>
  <c r="H104" i="60025" l="1"/>
  <c r="I104" i="60025" s="1"/>
  <c r="K104" i="60025"/>
  <c r="L104" i="60025" s="1"/>
  <c r="K107" i="60032"/>
  <c r="H107" i="60032"/>
  <c r="I107" i="60032" s="1"/>
  <c r="N104" i="60025" l="1"/>
  <c r="M107" i="60032"/>
  <c r="J104" i="60025" l="1"/>
  <c r="G105" i="60025" s="1"/>
  <c r="M104" i="60025"/>
  <c r="J107" i="60032"/>
  <c r="G108" i="60032" s="1"/>
  <c r="L107" i="60032"/>
  <c r="H105" i="60025" l="1"/>
  <c r="I105" i="60025" s="1"/>
  <c r="K105" i="60025"/>
  <c r="L105" i="60025" s="1"/>
  <c r="K108" i="60032"/>
  <c r="H108" i="60032"/>
  <c r="I108" i="60032" s="1"/>
  <c r="N105" i="60025" l="1"/>
  <c r="M108" i="60032"/>
  <c r="J105" i="60025" l="1"/>
  <c r="G106" i="60025" s="1"/>
  <c r="M105" i="60025"/>
  <c r="J108" i="60032"/>
  <c r="G109" i="60032" s="1"/>
  <c r="L108" i="60032"/>
  <c r="H106" i="60025" l="1"/>
  <c r="I106" i="60025" s="1"/>
  <c r="K106" i="60025"/>
  <c r="L106" i="60025" s="1"/>
  <c r="K109" i="60032"/>
  <c r="H109" i="60032"/>
  <c r="I109" i="60032" s="1"/>
  <c r="N106" i="60025" l="1"/>
  <c r="M109" i="60032"/>
  <c r="J106" i="60025" l="1"/>
  <c r="G107" i="60025" s="1"/>
  <c r="M106" i="60025"/>
  <c r="J109" i="60032"/>
  <c r="G110" i="60032" s="1"/>
  <c r="L109" i="60032"/>
  <c r="H107" i="60025" l="1"/>
  <c r="I107" i="60025" s="1"/>
  <c r="K107" i="60025"/>
  <c r="L107" i="60025" s="1"/>
  <c r="K110" i="60032"/>
  <c r="H110" i="60032"/>
  <c r="I110" i="60032" s="1"/>
  <c r="N107" i="60025" l="1"/>
  <c r="M110" i="60032"/>
  <c r="J107" i="60025" l="1"/>
  <c r="G108" i="60025" s="1"/>
  <c r="M107" i="60025"/>
  <c r="J110" i="60032"/>
  <c r="G111" i="60032" s="1"/>
  <c r="L110" i="60032"/>
  <c r="K108" i="60025" l="1"/>
  <c r="L108" i="60025" s="1"/>
  <c r="H108" i="60025"/>
  <c r="I108" i="60025" s="1"/>
  <c r="K111" i="60032"/>
  <c r="H111" i="60032"/>
  <c r="I111" i="60032" s="1"/>
  <c r="N108" i="60025" l="1"/>
  <c r="M111" i="60032"/>
  <c r="J108" i="60025" l="1"/>
  <c r="G109" i="60025" s="1"/>
  <c r="M108" i="60025"/>
  <c r="J111" i="60032"/>
  <c r="G112" i="60032" s="1"/>
  <c r="L111" i="60032"/>
  <c r="K109" i="60025" l="1"/>
  <c r="L109" i="60025" s="1"/>
  <c r="H109" i="60025"/>
  <c r="I109" i="60025" s="1"/>
  <c r="K112" i="60032"/>
  <c r="H112" i="60032"/>
  <c r="I112" i="60032" s="1"/>
  <c r="N109" i="60025" l="1"/>
  <c r="M112" i="60032"/>
  <c r="J109" i="60025" l="1"/>
  <c r="G110" i="60025" s="1"/>
  <c r="M109" i="60025"/>
  <c r="L112" i="60032"/>
  <c r="J112" i="60032"/>
  <c r="G113" i="60032" s="1"/>
  <c r="K110" i="60025" l="1"/>
  <c r="L110" i="60025" s="1"/>
  <c r="H110" i="60025"/>
  <c r="I110" i="60025" s="1"/>
  <c r="K113" i="60032"/>
  <c r="H113" i="60032"/>
  <c r="I113" i="60032" s="1"/>
  <c r="N110" i="60025" l="1"/>
  <c r="M113" i="60032"/>
  <c r="J110" i="60025" l="1"/>
  <c r="G111" i="60025" s="1"/>
  <c r="M110" i="60025"/>
  <c r="J113" i="60032"/>
  <c r="G114" i="60032" s="1"/>
  <c r="L113" i="60032"/>
  <c r="H111" i="60025" l="1"/>
  <c r="I111" i="60025" s="1"/>
  <c r="K111" i="60025"/>
  <c r="L111" i="60025" s="1"/>
  <c r="K114" i="60032"/>
  <c r="H114" i="60032"/>
  <c r="I114" i="60032" s="1"/>
  <c r="N111" i="60025" l="1"/>
  <c r="M114" i="60032"/>
  <c r="J111" i="60025" l="1"/>
  <c r="G112" i="60025" s="1"/>
  <c r="M111" i="60025"/>
  <c r="J114" i="60032"/>
  <c r="G115" i="60032" s="1"/>
  <c r="L114" i="60032"/>
  <c r="H112" i="60025" l="1"/>
  <c r="I112" i="60025" s="1"/>
  <c r="K112" i="60025"/>
  <c r="L112" i="60025" s="1"/>
  <c r="K115" i="60032"/>
  <c r="H115" i="60032"/>
  <c r="I115" i="60032" s="1"/>
  <c r="N112" i="60025" l="1"/>
  <c r="M115" i="60032"/>
  <c r="J112" i="60025" l="1"/>
  <c r="G113" i="60025" s="1"/>
  <c r="M112" i="60025"/>
  <c r="J115" i="60032"/>
  <c r="G116" i="60032" s="1"/>
  <c r="L115" i="60032"/>
  <c r="H113" i="60025" l="1"/>
  <c r="I113" i="60025" s="1"/>
  <c r="K113" i="60025"/>
  <c r="L113" i="60025" s="1"/>
  <c r="K116" i="60032"/>
  <c r="H116" i="60032"/>
  <c r="I116" i="60032" s="1"/>
  <c r="N113" i="60025" l="1"/>
  <c r="M116" i="60032"/>
  <c r="J113" i="60025" l="1"/>
  <c r="G114" i="60025" s="1"/>
  <c r="M113" i="60025"/>
  <c r="J116" i="60032"/>
  <c r="G117" i="60032" s="1"/>
  <c r="L116" i="60032"/>
  <c r="K114" i="60025" l="1"/>
  <c r="L114" i="60025" s="1"/>
  <c r="H114" i="60025"/>
  <c r="I114" i="60025" s="1"/>
  <c r="K117" i="60032"/>
  <c r="H117" i="60032"/>
  <c r="I117" i="60032" s="1"/>
  <c r="N114" i="60025" l="1"/>
  <c r="M117" i="60032"/>
  <c r="J114" i="60025" l="1"/>
  <c r="G115" i="60025" s="1"/>
  <c r="M114" i="60025"/>
  <c r="J117" i="60032"/>
  <c r="G118" i="60032" s="1"/>
  <c r="L117" i="60032"/>
  <c r="H115" i="60025" l="1"/>
  <c r="I115" i="60025" s="1"/>
  <c r="K115" i="60025"/>
  <c r="L115" i="60025" s="1"/>
  <c r="H118" i="60032"/>
  <c r="I118" i="60032" s="1"/>
  <c r="K118" i="60032"/>
  <c r="N115" i="60025" l="1"/>
  <c r="M118" i="60032"/>
  <c r="J115" i="60025" l="1"/>
  <c r="G116" i="60025" s="1"/>
  <c r="M115" i="60025"/>
  <c r="J118" i="60032"/>
  <c r="G119" i="60032" s="1"/>
  <c r="L118" i="60032"/>
  <c r="K116" i="60025" l="1"/>
  <c r="L116" i="60025" s="1"/>
  <c r="H116" i="60025"/>
  <c r="I116" i="60025" s="1"/>
  <c r="K119" i="60032"/>
  <c r="H119" i="60032"/>
  <c r="I119" i="60032" s="1"/>
  <c r="N116" i="60025" l="1"/>
  <c r="M119" i="60032"/>
  <c r="J116" i="60025" l="1"/>
  <c r="G117" i="60025" s="1"/>
  <c r="M116" i="60025"/>
  <c r="J119" i="60032"/>
  <c r="G120" i="60032" s="1"/>
  <c r="L119" i="60032"/>
  <c r="H117" i="60025" l="1"/>
  <c r="I117" i="60025" s="1"/>
  <c r="K117" i="60025"/>
  <c r="L117" i="60025" s="1"/>
  <c r="H120" i="60032"/>
  <c r="I120" i="60032" s="1"/>
  <c r="K120" i="60032"/>
  <c r="N117" i="60025" l="1"/>
  <c r="M120" i="60032"/>
  <c r="J117" i="60025" l="1"/>
  <c r="G118" i="60025" s="1"/>
  <c r="M117" i="60025"/>
  <c r="J120" i="60032"/>
  <c r="G121" i="60032" s="1"/>
  <c r="L120" i="60032"/>
  <c r="K118" i="60025" l="1"/>
  <c r="L118" i="60025" s="1"/>
  <c r="H118" i="60025"/>
  <c r="I118" i="60025" s="1"/>
  <c r="K121" i="60032"/>
  <c r="H121" i="60032"/>
  <c r="I121" i="60032" s="1"/>
  <c r="N118" i="60025" l="1"/>
  <c r="M121" i="60032"/>
  <c r="J118" i="60025" l="1"/>
  <c r="G119" i="60025" s="1"/>
  <c r="M118" i="60025"/>
  <c r="J121" i="60032"/>
  <c r="G122" i="60032" s="1"/>
  <c r="L121" i="60032"/>
  <c r="K119" i="60025" l="1"/>
  <c r="L119" i="60025" s="1"/>
  <c r="H119" i="60025"/>
  <c r="I119" i="60025" s="1"/>
  <c r="H122" i="60032"/>
  <c r="I122" i="60032" s="1"/>
  <c r="K122" i="60032"/>
  <c r="N119" i="60025" l="1"/>
  <c r="M122" i="60032"/>
  <c r="J119" i="60025" l="1"/>
  <c r="G120" i="60025" s="1"/>
  <c r="M119" i="60025"/>
  <c r="J122" i="60032"/>
  <c r="G123" i="60032" s="1"/>
  <c r="L122" i="60032"/>
  <c r="K120" i="60025" l="1"/>
  <c r="L120" i="60025" s="1"/>
  <c r="H120" i="60025"/>
  <c r="I120" i="60025" s="1"/>
  <c r="K123" i="60032"/>
  <c r="H123" i="60032"/>
  <c r="I123" i="60032" s="1"/>
  <c r="N120" i="60025" l="1"/>
  <c r="M123" i="60032"/>
  <c r="J120" i="60025" l="1"/>
  <c r="G121" i="60025" s="1"/>
  <c r="M120" i="60025"/>
  <c r="J123" i="60032"/>
  <c r="G124" i="60032" s="1"/>
  <c r="L123" i="60032"/>
  <c r="H121" i="60025" l="1"/>
  <c r="I121" i="60025" s="1"/>
  <c r="K121" i="60025"/>
  <c r="L121" i="60025" s="1"/>
  <c r="K124" i="60032"/>
  <c r="H124" i="60032"/>
  <c r="I124" i="60032" s="1"/>
  <c r="N121" i="60025" l="1"/>
  <c r="M124" i="60032"/>
  <c r="J121" i="60025" l="1"/>
  <c r="G122" i="60025" s="1"/>
  <c r="M121" i="60025"/>
  <c r="J124" i="60032"/>
  <c r="G125" i="60032" s="1"/>
  <c r="L124" i="60032"/>
  <c r="K122" i="60025" l="1"/>
  <c r="L122" i="60025" s="1"/>
  <c r="H122" i="60025"/>
  <c r="I122" i="60025" s="1"/>
  <c r="K125" i="60032"/>
  <c r="H125" i="60032"/>
  <c r="I125" i="60032" s="1"/>
  <c r="N122" i="60025" l="1"/>
  <c r="M125" i="60032"/>
  <c r="J122" i="60025" l="1"/>
  <c r="G123" i="60025" s="1"/>
  <c r="M122" i="60025"/>
  <c r="J125" i="60032"/>
  <c r="G126" i="60032" s="1"/>
  <c r="L125" i="60032"/>
  <c r="K123" i="60025" l="1"/>
  <c r="L123" i="60025" s="1"/>
  <c r="H123" i="60025"/>
  <c r="I123" i="60025" s="1"/>
  <c r="K126" i="60032"/>
  <c r="H126" i="60032"/>
  <c r="I126" i="60032" s="1"/>
  <c r="N123" i="60025" l="1"/>
  <c r="M126" i="60032"/>
  <c r="J123" i="60025" l="1"/>
  <c r="G124" i="60025" s="1"/>
  <c r="M123" i="60025"/>
  <c r="J126" i="60032"/>
  <c r="G127" i="60032" s="1"/>
  <c r="L126" i="60032"/>
  <c r="K124" i="60025" l="1"/>
  <c r="L124" i="60025" s="1"/>
  <c r="H124" i="60025"/>
  <c r="I124" i="60025" s="1"/>
  <c r="K127" i="60032"/>
  <c r="H127" i="60032"/>
  <c r="I127" i="60032" s="1"/>
  <c r="N124" i="60025" l="1"/>
  <c r="M127" i="60032"/>
  <c r="J124" i="60025" l="1"/>
  <c r="G125" i="60025" s="1"/>
  <c r="M124" i="60025"/>
  <c r="J127" i="60032"/>
  <c r="G128" i="60032" s="1"/>
  <c r="L127" i="60032"/>
  <c r="H125" i="60025" l="1"/>
  <c r="I125" i="60025" s="1"/>
  <c r="K125" i="60025"/>
  <c r="L125" i="60025" s="1"/>
  <c r="K128" i="60032"/>
  <c r="H128" i="60032"/>
  <c r="I128" i="60032" s="1"/>
  <c r="N125" i="60025" l="1"/>
  <c r="M128" i="60032"/>
  <c r="J125" i="60025" l="1"/>
  <c r="G126" i="60025" s="1"/>
  <c r="M125" i="60025"/>
  <c r="J128" i="60032"/>
  <c r="G129" i="60032" s="1"/>
  <c r="L128" i="60032"/>
  <c r="K126" i="60025" l="1"/>
  <c r="L126" i="60025" s="1"/>
  <c r="H126" i="60025"/>
  <c r="I126" i="60025" s="1"/>
  <c r="K129" i="60032"/>
  <c r="H129" i="60032"/>
  <c r="I129" i="60032" s="1"/>
  <c r="N126" i="60025" l="1"/>
  <c r="M129" i="60032"/>
  <c r="J126" i="60025" l="1"/>
  <c r="G127" i="60025" s="1"/>
  <c r="M126" i="60025"/>
  <c r="J129" i="60032"/>
  <c r="G130" i="60032" s="1"/>
  <c r="L129" i="60032"/>
  <c r="H127" i="60025" l="1"/>
  <c r="I127" i="60025" s="1"/>
  <c r="K127" i="60025"/>
  <c r="L127" i="60025" s="1"/>
  <c r="H130" i="60032"/>
  <c r="I130" i="60032" s="1"/>
  <c r="K130" i="60032"/>
  <c r="N127" i="60025" l="1"/>
  <c r="M130" i="60032"/>
  <c r="J127" i="60025" l="1"/>
  <c r="G128" i="60025" s="1"/>
  <c r="M127" i="60025"/>
  <c r="J130" i="60032"/>
  <c r="G131" i="60032" s="1"/>
  <c r="L130" i="60032"/>
  <c r="H128" i="60025" l="1"/>
  <c r="I128" i="60025" s="1"/>
  <c r="K128" i="60025"/>
  <c r="L128" i="60025" s="1"/>
  <c r="K131" i="60032"/>
  <c r="H131" i="60032"/>
  <c r="I131" i="60032" s="1"/>
  <c r="N128" i="60025" l="1"/>
  <c r="M131" i="60032"/>
  <c r="J128" i="60025" l="1"/>
  <c r="G129" i="60025" s="1"/>
  <c r="M128" i="60025"/>
  <c r="J131" i="60032"/>
  <c r="G132" i="60032" s="1"/>
  <c r="L131" i="60032"/>
  <c r="H129" i="60025" l="1"/>
  <c r="I129" i="60025" s="1"/>
  <c r="K129" i="60025"/>
  <c r="L129" i="60025" s="1"/>
  <c r="H132" i="60032"/>
  <c r="I132" i="60032" s="1"/>
  <c r="K132" i="60032"/>
  <c r="N129" i="60025" l="1"/>
  <c r="M132" i="60032"/>
  <c r="J129" i="60025" l="1"/>
  <c r="G130" i="60025" s="1"/>
  <c r="M129" i="60025"/>
  <c r="J132" i="60032"/>
  <c r="G133" i="60032" s="1"/>
  <c r="L132" i="60032"/>
  <c r="H130" i="60025" l="1"/>
  <c r="I130" i="60025" s="1"/>
  <c r="K130" i="60025"/>
  <c r="L130" i="60025" s="1"/>
  <c r="K133" i="60032"/>
  <c r="H133" i="60032"/>
  <c r="I133" i="60032" s="1"/>
  <c r="N130" i="60025" l="1"/>
  <c r="M133" i="60032"/>
  <c r="J130" i="60025" l="1"/>
  <c r="G131" i="60025" s="1"/>
  <c r="M130" i="60025"/>
  <c r="J133" i="60032"/>
  <c r="G134" i="60032" s="1"/>
  <c r="L133" i="60032"/>
  <c r="K131" i="60025" l="1"/>
  <c r="L131" i="60025" s="1"/>
  <c r="H131" i="60025"/>
  <c r="I131" i="60025" s="1"/>
  <c r="K134" i="60032"/>
  <c r="H134" i="60032"/>
  <c r="I134" i="60032" s="1"/>
  <c r="N131" i="60025" l="1"/>
  <c r="M134" i="60032"/>
  <c r="J131" i="60025" l="1"/>
  <c r="G132" i="60025" s="1"/>
  <c r="M131" i="60025"/>
  <c r="J134" i="60032"/>
  <c r="G135" i="60032" s="1"/>
  <c r="L134" i="60032"/>
  <c r="K132" i="60025" l="1"/>
  <c r="L132" i="60025" s="1"/>
  <c r="H132" i="60025"/>
  <c r="I132" i="60025" s="1"/>
  <c r="K135" i="60032"/>
  <c r="H135" i="60032"/>
  <c r="I135" i="60032" s="1"/>
  <c r="N132" i="60025" l="1"/>
  <c r="M135" i="60032"/>
  <c r="J132" i="60025" l="1"/>
  <c r="G133" i="60025" s="1"/>
  <c r="M132" i="60025"/>
  <c r="J135" i="60032"/>
  <c r="G136" i="60032" s="1"/>
  <c r="L135" i="60032"/>
  <c r="K133" i="60025" l="1"/>
  <c r="L133" i="60025" s="1"/>
  <c r="H133" i="60025"/>
  <c r="I133" i="60025" s="1"/>
  <c r="K136" i="60032"/>
  <c r="H136" i="60032"/>
  <c r="I136" i="60032" s="1"/>
  <c r="N133" i="60025" l="1"/>
  <c r="M136" i="60032"/>
  <c r="J133" i="60025" l="1"/>
  <c r="G134" i="60025" s="1"/>
  <c r="M133" i="60025"/>
  <c r="J136" i="60032"/>
  <c r="G137" i="60032" s="1"/>
  <c r="L136" i="60032"/>
  <c r="K134" i="60025" l="1"/>
  <c r="L134" i="60025" s="1"/>
  <c r="H134" i="60025"/>
  <c r="I134" i="60025" s="1"/>
  <c r="K137" i="60032"/>
  <c r="H137" i="60032"/>
  <c r="I137" i="60032" s="1"/>
  <c r="N134" i="60025" l="1"/>
  <c r="M137" i="60032"/>
  <c r="J134" i="60025" l="1"/>
  <c r="G135" i="60025" s="1"/>
  <c r="M134" i="60025"/>
  <c r="J137" i="60032"/>
  <c r="G138" i="60032" s="1"/>
  <c r="L137" i="60032"/>
  <c r="K135" i="60025" l="1"/>
  <c r="L135" i="60025" s="1"/>
  <c r="H135" i="60025"/>
  <c r="I135" i="60025" s="1"/>
  <c r="K138" i="60032"/>
  <c r="H138" i="60032"/>
  <c r="I138" i="60032" s="1"/>
  <c r="N135" i="60025" l="1"/>
  <c r="M138" i="60032"/>
  <c r="J135" i="60025" l="1"/>
  <c r="G136" i="60025" s="1"/>
  <c r="M135" i="60025"/>
  <c r="J138" i="60032"/>
  <c r="G139" i="60032" s="1"/>
  <c r="L138" i="60032"/>
  <c r="H136" i="60025" l="1"/>
  <c r="I136" i="60025" s="1"/>
  <c r="K136" i="60025"/>
  <c r="L136" i="60025" s="1"/>
  <c r="K139" i="60032"/>
  <c r="H139" i="60032"/>
  <c r="I139" i="60032" s="1"/>
  <c r="N136" i="60025" l="1"/>
  <c r="M139" i="60032"/>
  <c r="J136" i="60025" l="1"/>
  <c r="G137" i="60025" s="1"/>
  <c r="M136" i="60025"/>
  <c r="J139" i="60032"/>
  <c r="G140" i="60032" s="1"/>
  <c r="L139" i="60032"/>
  <c r="H137" i="60025" l="1"/>
  <c r="I137" i="60025" s="1"/>
  <c r="K137" i="60025"/>
  <c r="L137" i="60025" s="1"/>
  <c r="H140" i="60032"/>
  <c r="I140" i="60032" s="1"/>
  <c r="K140" i="60032"/>
  <c r="N137" i="60025" l="1"/>
  <c r="M140" i="60032"/>
  <c r="J137" i="60025" l="1"/>
  <c r="G138" i="60025" s="1"/>
  <c r="M137" i="60025"/>
  <c r="J140" i="60032"/>
  <c r="G141" i="60032" s="1"/>
  <c r="L140" i="60032"/>
  <c r="H138" i="60025" l="1"/>
  <c r="I138" i="60025" s="1"/>
  <c r="K138" i="60025"/>
  <c r="L138" i="60025" s="1"/>
  <c r="K141" i="60032"/>
  <c r="H141" i="60032"/>
  <c r="I141" i="60032" s="1"/>
  <c r="N138" i="60025" l="1"/>
  <c r="M141" i="60032"/>
  <c r="J138" i="60025" l="1"/>
  <c r="G139" i="60025" s="1"/>
  <c r="M138" i="60025"/>
  <c r="J141" i="60032"/>
  <c r="G142" i="60032" s="1"/>
  <c r="L141" i="60032"/>
  <c r="H139" i="60025" l="1"/>
  <c r="I139" i="60025" s="1"/>
  <c r="K139" i="60025"/>
  <c r="L139" i="60025" s="1"/>
  <c r="K142" i="60032"/>
  <c r="H142" i="60032"/>
  <c r="I142" i="60032" s="1"/>
  <c r="N139" i="60025" l="1"/>
  <c r="M142" i="60032"/>
  <c r="J139" i="60025" l="1"/>
  <c r="G140" i="60025" s="1"/>
  <c r="M139" i="60025"/>
  <c r="L142" i="60032"/>
  <c r="J142" i="60032"/>
  <c r="G143" i="60032" s="1"/>
  <c r="H140" i="60025" l="1"/>
  <c r="I140" i="60025" s="1"/>
  <c r="K140" i="60025"/>
  <c r="L140" i="60025" s="1"/>
  <c r="H143" i="60032"/>
  <c r="I143" i="60032" s="1"/>
  <c r="K143" i="60032"/>
  <c r="N140" i="60025" l="1"/>
  <c r="M143" i="60032"/>
  <c r="J140" i="60025" l="1"/>
  <c r="G141" i="60025" s="1"/>
  <c r="M140" i="60025"/>
  <c r="L143" i="60032"/>
  <c r="J143" i="60032"/>
  <c r="K141" i="60025" l="1"/>
  <c r="L141" i="60025" s="1"/>
  <c r="H141" i="60025"/>
  <c r="I141" i="60025" s="1"/>
  <c r="G144" i="60032"/>
  <c r="H144" i="60032" s="1"/>
  <c r="I144" i="60032" s="1"/>
  <c r="N141" i="60025" l="1"/>
  <c r="K144" i="60032"/>
  <c r="M144" i="60032"/>
  <c r="J141" i="60025" l="1"/>
  <c r="G142" i="60025" s="1"/>
  <c r="M141" i="60025"/>
  <c r="J144" i="60032"/>
  <c r="L144" i="60032"/>
  <c r="H142" i="60025" l="1"/>
  <c r="I142" i="60025" s="1"/>
  <c r="K142" i="60025"/>
  <c r="L142" i="60025" s="1"/>
  <c r="G145" i="60032"/>
  <c r="H145" i="60032" s="1"/>
  <c r="I145" i="60032" s="1"/>
  <c r="N142" i="60025" l="1"/>
  <c r="K145" i="60032"/>
  <c r="M145" i="60032"/>
  <c r="J142" i="60025" l="1"/>
  <c r="G143" i="60025" s="1"/>
  <c r="M142" i="60025"/>
  <c r="J145" i="60032"/>
  <c r="G146" i="60032" s="1"/>
  <c r="L145" i="60032"/>
  <c r="H143" i="60025" l="1"/>
  <c r="I143" i="60025" s="1"/>
  <c r="K143" i="60025"/>
  <c r="L143" i="60025" s="1"/>
  <c r="K146" i="60032"/>
  <c r="H146" i="60032"/>
  <c r="I146" i="60032" s="1"/>
  <c r="N143" i="60025" l="1"/>
  <c r="M146" i="60032"/>
  <c r="J143" i="60025" l="1"/>
  <c r="G144" i="60025" s="1"/>
  <c r="M143" i="60025"/>
  <c r="J146" i="60032"/>
  <c r="G147" i="60032" s="1"/>
  <c r="L146" i="60032"/>
  <c r="K144" i="60025" l="1"/>
  <c r="L144" i="60025" s="1"/>
  <c r="H144" i="60025"/>
  <c r="I144" i="60025" s="1"/>
  <c r="K147" i="60032"/>
  <c r="H147" i="60032"/>
  <c r="I147" i="60032" s="1"/>
  <c r="N144" i="60025" l="1"/>
  <c r="M147" i="60032"/>
  <c r="J144" i="60025" l="1"/>
  <c r="G145" i="60025" s="1"/>
  <c r="M144" i="60025"/>
  <c r="J147" i="60032"/>
  <c r="G148" i="60032" s="1"/>
  <c r="L147" i="60032"/>
  <c r="H145" i="60025" l="1"/>
  <c r="I145" i="60025" s="1"/>
  <c r="K145" i="60025"/>
  <c r="L145" i="60025" s="1"/>
  <c r="K148" i="60032"/>
  <c r="H148" i="60032"/>
  <c r="I148" i="60032" s="1"/>
  <c r="N145" i="60025" l="1"/>
  <c r="M148" i="60032"/>
  <c r="J145" i="60025" l="1"/>
  <c r="G146" i="60025" s="1"/>
  <c r="M145" i="60025"/>
  <c r="J148" i="60032"/>
  <c r="G149" i="60032" s="1"/>
  <c r="L148" i="60032"/>
  <c r="H146" i="60025" l="1"/>
  <c r="I146" i="60025" s="1"/>
  <c r="K146" i="60025"/>
  <c r="L146" i="60025" s="1"/>
  <c r="K149" i="60032"/>
  <c r="H149" i="60032"/>
  <c r="I149" i="60032" s="1"/>
  <c r="N146" i="60025" l="1"/>
  <c r="M149" i="60032"/>
  <c r="J146" i="60025" l="1"/>
  <c r="G147" i="60025" s="1"/>
  <c r="M146" i="60025"/>
  <c r="J149" i="60032"/>
  <c r="G150" i="60032" s="1"/>
  <c r="L149" i="60032"/>
  <c r="H147" i="60025" l="1"/>
  <c r="I147" i="60025" s="1"/>
  <c r="K147" i="60025"/>
  <c r="L147" i="60025" s="1"/>
  <c r="K150" i="60032"/>
  <c r="H150" i="60032"/>
  <c r="I150" i="60032" s="1"/>
  <c r="N147" i="60025" l="1"/>
  <c r="M150" i="60032"/>
  <c r="J147" i="60025" l="1"/>
  <c r="G148" i="60025" s="1"/>
  <c r="M147" i="60025"/>
  <c r="J150" i="60032"/>
  <c r="G151" i="60032" s="1"/>
  <c r="L150" i="60032"/>
  <c r="H148" i="60025" l="1"/>
  <c r="I148" i="60025" s="1"/>
  <c r="K148" i="60025"/>
  <c r="L148" i="60025" s="1"/>
  <c r="K151" i="60032"/>
  <c r="H151" i="60032"/>
  <c r="I151" i="60032" s="1"/>
  <c r="N148" i="60025" l="1"/>
  <c r="M151" i="60032"/>
  <c r="J148" i="60025" l="1"/>
  <c r="G149" i="60025" s="1"/>
  <c r="M148" i="60025"/>
  <c r="J151" i="60032"/>
  <c r="G152" i="60032" s="1"/>
  <c r="L151" i="60032"/>
  <c r="K149" i="60025" l="1"/>
  <c r="L149" i="60025" s="1"/>
  <c r="H149" i="60025"/>
  <c r="I149" i="60025" s="1"/>
  <c r="K152" i="60032"/>
  <c r="H152" i="60032"/>
  <c r="I152" i="60032" s="1"/>
  <c r="N149" i="60025" l="1"/>
  <c r="M152" i="60032"/>
  <c r="J149" i="60025" l="1"/>
  <c r="G150" i="60025" s="1"/>
  <c r="M149" i="60025"/>
  <c r="J152" i="60032"/>
  <c r="G153" i="60032" s="1"/>
  <c r="L152" i="60032"/>
  <c r="K150" i="60025" l="1"/>
  <c r="L150" i="60025" s="1"/>
  <c r="H150" i="60025"/>
  <c r="I150" i="60025" s="1"/>
  <c r="K153" i="60032"/>
  <c r="H153" i="60032"/>
  <c r="I153" i="60032" s="1"/>
  <c r="N150" i="60025" l="1"/>
  <c r="M153" i="60032"/>
  <c r="J150" i="60025" l="1"/>
  <c r="G151" i="60025" s="1"/>
  <c r="M150" i="60025"/>
  <c r="J153" i="60032"/>
  <c r="G154" i="60032" s="1"/>
  <c r="L153" i="60032"/>
  <c r="K151" i="60025" l="1"/>
  <c r="L151" i="60025" s="1"/>
  <c r="H151" i="60025"/>
  <c r="I151" i="60025" s="1"/>
  <c r="K154" i="60032"/>
  <c r="H154" i="60032"/>
  <c r="I154" i="60032" s="1"/>
  <c r="N151" i="60025" l="1"/>
  <c r="M154" i="60032"/>
  <c r="J151" i="60025" l="1"/>
  <c r="G152" i="60025" s="1"/>
  <c r="M151" i="60025"/>
  <c r="J154" i="60032"/>
  <c r="G155" i="60032" s="1"/>
  <c r="L154" i="60032"/>
  <c r="K152" i="60025" l="1"/>
  <c r="L152" i="60025" s="1"/>
  <c r="H152" i="60025"/>
  <c r="I152" i="60025" s="1"/>
  <c r="K155" i="60032"/>
  <c r="H155" i="60032"/>
  <c r="I155" i="60032" s="1"/>
  <c r="N152" i="60025" l="1"/>
  <c r="M155" i="60032"/>
  <c r="J152" i="60025" l="1"/>
  <c r="G153" i="60025" s="1"/>
  <c r="M152" i="60025"/>
  <c r="J155" i="60032"/>
  <c r="G156" i="60032" s="1"/>
  <c r="L155" i="60032"/>
  <c r="H153" i="60025" l="1"/>
  <c r="I153" i="60025" s="1"/>
  <c r="K153" i="60025"/>
  <c r="L153" i="60025" s="1"/>
  <c r="K156" i="60032"/>
  <c r="H156" i="60032"/>
  <c r="I156" i="60032" s="1"/>
  <c r="N153" i="60025" l="1"/>
  <c r="M156" i="60032"/>
  <c r="J153" i="60025" l="1"/>
  <c r="G154" i="60025" s="1"/>
  <c r="M153" i="60025"/>
  <c r="J156" i="60032"/>
  <c r="G157" i="60032" s="1"/>
  <c r="L156" i="60032"/>
  <c r="K154" i="60025" l="1"/>
  <c r="L154" i="60025" s="1"/>
  <c r="H154" i="60025"/>
  <c r="I154" i="60025" s="1"/>
  <c r="K157" i="60032"/>
  <c r="H157" i="60032"/>
  <c r="I157" i="60032" s="1"/>
  <c r="N154" i="60025" l="1"/>
  <c r="M157" i="60032"/>
  <c r="J154" i="60025" l="1"/>
  <c r="G155" i="60025" s="1"/>
  <c r="M154" i="60025"/>
  <c r="J157" i="60032"/>
  <c r="G158" i="60032" s="1"/>
  <c r="L157" i="60032"/>
  <c r="K155" i="60025" l="1"/>
  <c r="L155" i="60025" s="1"/>
  <c r="H155" i="60025"/>
  <c r="I155" i="60025" s="1"/>
  <c r="K158" i="60032"/>
  <c r="H158" i="60032"/>
  <c r="I158" i="60032" s="1"/>
  <c r="N155" i="60025" l="1"/>
  <c r="M158" i="60032"/>
  <c r="J155" i="60025" l="1"/>
  <c r="G156" i="60025" s="1"/>
  <c r="M155" i="60025"/>
  <c r="J158" i="60032"/>
  <c r="G159" i="60032" s="1"/>
  <c r="L158" i="60032"/>
  <c r="H156" i="60025" l="1"/>
  <c r="I156" i="60025" s="1"/>
  <c r="K156" i="60025"/>
  <c r="L156" i="60025" s="1"/>
  <c r="K159" i="60032"/>
  <c r="H159" i="60032"/>
  <c r="I159" i="60032" s="1"/>
  <c r="N156" i="60025" l="1"/>
  <c r="M159" i="60032"/>
  <c r="J156" i="60025" l="1"/>
  <c r="G157" i="60025" s="1"/>
  <c r="M156" i="60025"/>
  <c r="J159" i="60032"/>
  <c r="G160" i="60032" s="1"/>
  <c r="L159" i="60032"/>
  <c r="K157" i="60025" l="1"/>
  <c r="L157" i="60025" s="1"/>
  <c r="H157" i="60025"/>
  <c r="I157" i="60025" s="1"/>
  <c r="K160" i="60032"/>
  <c r="H160" i="60032"/>
  <c r="I160" i="60032" s="1"/>
  <c r="N157" i="60025" l="1"/>
  <c r="M160" i="60032"/>
  <c r="J157" i="60025" l="1"/>
  <c r="G158" i="60025" s="1"/>
  <c r="M157" i="60025"/>
  <c r="J160" i="60032"/>
  <c r="G161" i="60032" s="1"/>
  <c r="L160" i="60032"/>
  <c r="H158" i="60025" l="1"/>
  <c r="I158" i="60025" s="1"/>
  <c r="K158" i="60025"/>
  <c r="L158" i="60025" s="1"/>
  <c r="H161" i="60032"/>
  <c r="I161" i="60032" s="1"/>
  <c r="K161" i="60032"/>
  <c r="N158" i="60025" l="1"/>
  <c r="M161" i="60032"/>
  <c r="J158" i="60025" l="1"/>
  <c r="G159" i="60025" s="1"/>
  <c r="M158" i="60025"/>
  <c r="J161" i="60032"/>
  <c r="G162" i="60032" s="1"/>
  <c r="L161" i="60032"/>
  <c r="H159" i="60025" l="1"/>
  <c r="I159" i="60025" s="1"/>
  <c r="K159" i="60025"/>
  <c r="L159" i="60025" s="1"/>
  <c r="K162" i="60032"/>
  <c r="H162" i="60032"/>
  <c r="I162" i="60032" s="1"/>
  <c r="N159" i="60025" l="1"/>
  <c r="M162" i="60032"/>
  <c r="J159" i="60025" l="1"/>
  <c r="G160" i="60025" s="1"/>
  <c r="M159" i="60025"/>
  <c r="J162" i="60032"/>
  <c r="G163" i="60032" s="1"/>
  <c r="L162" i="60032"/>
  <c r="H160" i="60025" l="1"/>
  <c r="I160" i="60025" s="1"/>
  <c r="K160" i="60025"/>
  <c r="L160" i="60025" s="1"/>
  <c r="K163" i="60032"/>
  <c r="H163" i="60032"/>
  <c r="I163" i="60032" s="1"/>
  <c r="N160" i="60025" l="1"/>
  <c r="M163" i="60032"/>
  <c r="J160" i="60025" l="1"/>
  <c r="G161" i="60025" s="1"/>
  <c r="M160" i="60025"/>
  <c r="J163" i="60032"/>
  <c r="G164" i="60032" s="1"/>
  <c r="L163" i="60032"/>
  <c r="K161" i="60025" l="1"/>
  <c r="L161" i="60025" s="1"/>
  <c r="H161" i="60025"/>
  <c r="I161" i="60025" s="1"/>
  <c r="H164" i="60032"/>
  <c r="I164" i="60032" s="1"/>
  <c r="K164" i="60032"/>
  <c r="N161" i="60025" l="1"/>
  <c r="M164" i="60032"/>
  <c r="J161" i="60025" l="1"/>
  <c r="G162" i="60025" s="1"/>
  <c r="M161" i="60025"/>
  <c r="J164" i="60032"/>
  <c r="G165" i="60032" s="1"/>
  <c r="L164" i="60032"/>
  <c r="K162" i="60025" l="1"/>
  <c r="L162" i="60025" s="1"/>
  <c r="H162" i="60025"/>
  <c r="I162" i="60025" s="1"/>
  <c r="K165" i="60032"/>
  <c r="H165" i="60032"/>
  <c r="I165" i="60032" s="1"/>
  <c r="N162" i="60025" l="1"/>
  <c r="M165" i="60032"/>
  <c r="J162" i="60025" l="1"/>
  <c r="G163" i="60025" s="1"/>
  <c r="M162" i="60025"/>
  <c r="J165" i="60032"/>
  <c r="G166" i="60032" s="1"/>
  <c r="L165" i="60032"/>
  <c r="H163" i="60025" l="1"/>
  <c r="I163" i="60025" s="1"/>
  <c r="K163" i="60025"/>
  <c r="L163" i="60025" s="1"/>
  <c r="K166" i="60032"/>
  <c r="H166" i="60032"/>
  <c r="I166" i="60032" s="1"/>
  <c r="N163" i="60025" l="1"/>
  <c r="M166" i="60032"/>
  <c r="J163" i="60025" l="1"/>
  <c r="G164" i="60025" s="1"/>
  <c r="M163" i="60025"/>
  <c r="J166" i="60032"/>
  <c r="G167" i="60032" s="1"/>
  <c r="L166" i="60032"/>
  <c r="K164" i="60025" l="1"/>
  <c r="L164" i="60025" s="1"/>
  <c r="H164" i="60025"/>
  <c r="I164" i="60025" s="1"/>
  <c r="K167" i="60032"/>
  <c r="H167" i="60032"/>
  <c r="I167" i="60032" s="1"/>
  <c r="N164" i="60025" l="1"/>
  <c r="M167" i="60032"/>
  <c r="J164" i="60025" l="1"/>
  <c r="G165" i="60025" s="1"/>
  <c r="M164" i="60025"/>
  <c r="J167" i="60032"/>
  <c r="G168" i="60032" s="1"/>
  <c r="L167" i="60032"/>
  <c r="K165" i="60025" l="1"/>
  <c r="L165" i="60025" s="1"/>
  <c r="H165" i="60025"/>
  <c r="I165" i="60025" s="1"/>
  <c r="K168" i="60032"/>
  <c r="H168" i="60032"/>
  <c r="I168" i="60032" s="1"/>
  <c r="N165" i="60025" l="1"/>
  <c r="M168" i="60032"/>
  <c r="J165" i="60025" l="1"/>
  <c r="G166" i="60025" s="1"/>
  <c r="M165" i="60025"/>
  <c r="J168" i="60032"/>
  <c r="G169" i="60032" s="1"/>
  <c r="L168" i="60032"/>
  <c r="H166" i="60025" l="1"/>
  <c r="I166" i="60025" s="1"/>
  <c r="K166" i="60025"/>
  <c r="L166" i="60025" s="1"/>
  <c r="K169" i="60032"/>
  <c r="H169" i="60032"/>
  <c r="I169" i="60032" s="1"/>
  <c r="N166" i="60025" l="1"/>
  <c r="M169" i="60032"/>
  <c r="J166" i="60025" l="1"/>
  <c r="G167" i="60025" s="1"/>
  <c r="M166" i="60025"/>
  <c r="J169" i="60032"/>
  <c r="G170" i="60032" s="1"/>
  <c r="L169" i="60032"/>
  <c r="H167" i="60025" l="1"/>
  <c r="I167" i="60025" s="1"/>
  <c r="K167" i="60025"/>
  <c r="L167" i="60025" s="1"/>
  <c r="K170" i="60032"/>
  <c r="H170" i="60032"/>
  <c r="I170" i="60032" s="1"/>
  <c r="N167" i="60025" l="1"/>
  <c r="M170" i="60032"/>
  <c r="J167" i="60025" l="1"/>
  <c r="G168" i="60025" s="1"/>
  <c r="M167" i="60025"/>
  <c r="J170" i="60032"/>
  <c r="G171" i="60032" s="1"/>
  <c r="L170" i="60032"/>
  <c r="H168" i="60025" l="1"/>
  <c r="I168" i="60025" s="1"/>
  <c r="K168" i="60025"/>
  <c r="L168" i="60025" s="1"/>
  <c r="K171" i="60032"/>
  <c r="H171" i="60032"/>
  <c r="I171" i="60032" s="1"/>
  <c r="N168" i="60025" l="1"/>
  <c r="M171" i="60032"/>
  <c r="J168" i="60025" l="1"/>
  <c r="G169" i="60025" s="1"/>
  <c r="M168" i="60025"/>
  <c r="J171" i="60032"/>
  <c r="G172" i="60032" s="1"/>
  <c r="L171" i="60032"/>
  <c r="K169" i="60025" l="1"/>
  <c r="L169" i="60025" s="1"/>
  <c r="H169" i="60025"/>
  <c r="I169" i="60025" s="1"/>
  <c r="K172" i="60032"/>
  <c r="H172" i="60032"/>
  <c r="I172" i="60032" s="1"/>
  <c r="N169" i="60025" l="1"/>
  <c r="M172" i="60032"/>
  <c r="J169" i="60025" l="1"/>
  <c r="G170" i="60025" s="1"/>
  <c r="M169" i="60025"/>
  <c r="J172" i="60032"/>
  <c r="G173" i="60032" s="1"/>
  <c r="L172" i="60032"/>
  <c r="K170" i="60025" l="1"/>
  <c r="L170" i="60025" s="1"/>
  <c r="H170" i="60025"/>
  <c r="I170" i="60025" s="1"/>
  <c r="K173" i="60032"/>
  <c r="H173" i="60032"/>
  <c r="I173" i="60032" s="1"/>
  <c r="N170" i="60025" l="1"/>
  <c r="M173" i="60032"/>
  <c r="J170" i="60025" l="1"/>
  <c r="G171" i="60025" s="1"/>
  <c r="M170" i="60025"/>
  <c r="J173" i="60032"/>
  <c r="G174" i="60032" s="1"/>
  <c r="L173" i="60032"/>
  <c r="H171" i="60025" l="1"/>
  <c r="I171" i="60025" s="1"/>
  <c r="K171" i="60025"/>
  <c r="L171" i="60025" s="1"/>
  <c r="K174" i="60032"/>
  <c r="H174" i="60032"/>
  <c r="I174" i="60032" s="1"/>
  <c r="N171" i="60025" l="1"/>
  <c r="M174" i="60032"/>
  <c r="J171" i="60025" l="1"/>
  <c r="G172" i="60025" s="1"/>
  <c r="M171" i="60025"/>
  <c r="J174" i="60032"/>
  <c r="G175" i="60032" s="1"/>
  <c r="L174" i="60032"/>
  <c r="K172" i="60025" l="1"/>
  <c r="L172" i="60025" s="1"/>
  <c r="H172" i="60025"/>
  <c r="I172" i="60025" s="1"/>
  <c r="K175" i="60032"/>
  <c r="H175" i="60032"/>
  <c r="I175" i="60032" s="1"/>
  <c r="N172" i="60025" l="1"/>
  <c r="M175" i="60032"/>
  <c r="J172" i="60025" l="1"/>
  <c r="G173" i="60025" s="1"/>
  <c r="M172" i="60025"/>
  <c r="J175" i="60032"/>
  <c r="G176" i="60032" s="1"/>
  <c r="L175" i="60032"/>
  <c r="H173" i="60025" l="1"/>
  <c r="I173" i="60025" s="1"/>
  <c r="K173" i="60025"/>
  <c r="L173" i="60025" s="1"/>
  <c r="K176" i="60032"/>
  <c r="H176" i="60032"/>
  <c r="I176" i="60032" s="1"/>
  <c r="N173" i="60025" l="1"/>
  <c r="M176" i="60032"/>
  <c r="J173" i="60025" l="1"/>
  <c r="G174" i="60025" s="1"/>
  <c r="M173" i="60025"/>
  <c r="J176" i="60032"/>
  <c r="G177" i="60032" s="1"/>
  <c r="L176" i="60032"/>
  <c r="H174" i="60025" l="1"/>
  <c r="I174" i="60025" s="1"/>
  <c r="K174" i="60025"/>
  <c r="L174" i="60025" s="1"/>
  <c r="K177" i="60032"/>
  <c r="H177" i="60032"/>
  <c r="I177" i="60032" s="1"/>
  <c r="N174" i="60025" l="1"/>
  <c r="M177" i="60032"/>
  <c r="J174" i="60025" l="1"/>
  <c r="G175" i="60025" s="1"/>
  <c r="M174" i="60025"/>
  <c r="J177" i="60032"/>
  <c r="G178" i="60032" s="1"/>
  <c r="L177" i="60032"/>
  <c r="K175" i="60025" l="1"/>
  <c r="L175" i="60025" s="1"/>
  <c r="H175" i="60025"/>
  <c r="I175" i="60025" s="1"/>
  <c r="K178" i="60032"/>
  <c r="H178" i="60032"/>
  <c r="I178" i="60032" s="1"/>
  <c r="N175" i="60025" l="1"/>
  <c r="M178" i="60032"/>
  <c r="J175" i="60025" l="1"/>
  <c r="G176" i="60025" s="1"/>
  <c r="M175" i="60025"/>
  <c r="J178" i="60032"/>
  <c r="G179" i="60032" s="1"/>
  <c r="L178" i="60032"/>
  <c r="K176" i="60025" l="1"/>
  <c r="L176" i="60025" s="1"/>
  <c r="H176" i="60025"/>
  <c r="I176" i="60025" s="1"/>
  <c r="K179" i="60032"/>
  <c r="H179" i="60032"/>
  <c r="I179" i="60032" s="1"/>
  <c r="N176" i="60025" l="1"/>
  <c r="M179" i="60032"/>
  <c r="J176" i="60025" l="1"/>
  <c r="G177" i="60025" s="1"/>
  <c r="M176" i="60025"/>
  <c r="J179" i="60032"/>
  <c r="G180" i="60032" s="1"/>
  <c r="L179" i="60032"/>
  <c r="K177" i="60025" l="1"/>
  <c r="L177" i="60025" s="1"/>
  <c r="H177" i="60025"/>
  <c r="I177" i="60025" s="1"/>
  <c r="K180" i="60032"/>
  <c r="H180" i="60032"/>
  <c r="I180" i="60032" s="1"/>
  <c r="N177" i="60025" l="1"/>
  <c r="M180" i="60032"/>
  <c r="J177" i="60025" l="1"/>
  <c r="G178" i="60025" s="1"/>
  <c r="M177" i="60025"/>
  <c r="J180" i="60032"/>
  <c r="G181" i="60032" s="1"/>
  <c r="L180" i="60032"/>
  <c r="H178" i="60025" l="1"/>
  <c r="I178" i="60025" s="1"/>
  <c r="K178" i="60025"/>
  <c r="L178" i="60025" s="1"/>
  <c r="H181" i="60032"/>
  <c r="I181" i="60032" s="1"/>
  <c r="K181" i="60032"/>
  <c r="N178" i="60025" l="1"/>
  <c r="M181" i="60032"/>
  <c r="J178" i="60025" l="1"/>
  <c r="G179" i="60025" s="1"/>
  <c r="M178" i="60025"/>
  <c r="J181" i="60032"/>
  <c r="G182" i="60032" s="1"/>
  <c r="L181" i="60032"/>
  <c r="H179" i="60025" l="1"/>
  <c r="I179" i="60025" s="1"/>
  <c r="K179" i="60025"/>
  <c r="L179" i="60025" s="1"/>
  <c r="K182" i="60032"/>
  <c r="H182" i="60032"/>
  <c r="I182" i="60032" s="1"/>
  <c r="N179" i="60025" l="1"/>
  <c r="M182" i="60032"/>
  <c r="J179" i="60025" l="1"/>
  <c r="G180" i="60025" s="1"/>
  <c r="M179" i="60025"/>
  <c r="J182" i="60032"/>
  <c r="G183" i="60032" s="1"/>
  <c r="L182" i="60032"/>
  <c r="H180" i="60025" l="1"/>
  <c r="I180" i="60025" s="1"/>
  <c r="K180" i="60025"/>
  <c r="L180" i="60025" s="1"/>
  <c r="K183" i="60032"/>
  <c r="H183" i="60032"/>
  <c r="I183" i="60032" s="1"/>
  <c r="N180" i="60025" l="1"/>
  <c r="M183" i="60032"/>
  <c r="J180" i="60025" l="1"/>
  <c r="G181" i="60025" s="1"/>
  <c r="M180" i="60025"/>
  <c r="J183" i="60032"/>
  <c r="G184" i="60032" s="1"/>
  <c r="L183" i="60032"/>
  <c r="H181" i="60025" l="1"/>
  <c r="I181" i="60025" s="1"/>
  <c r="K181" i="60025"/>
  <c r="L181" i="60025" s="1"/>
  <c r="K184" i="60032"/>
  <c r="H184" i="60032"/>
  <c r="I184" i="60032" s="1"/>
  <c r="N181" i="60025" l="1"/>
  <c r="M184" i="60032"/>
  <c r="J181" i="60025" l="1"/>
  <c r="G182" i="60025" s="1"/>
  <c r="M181" i="60025"/>
  <c r="J184" i="60032"/>
  <c r="L184" i="60032"/>
  <c r="K182" i="60025" l="1"/>
  <c r="L182" i="60025" s="1"/>
  <c r="H182" i="60025"/>
  <c r="I182" i="60025" s="1"/>
  <c r="G185" i="60032"/>
  <c r="H185" i="60032" s="1"/>
  <c r="I185" i="60032" s="1"/>
  <c r="N182" i="60025" l="1"/>
  <c r="M185" i="60032"/>
  <c r="K185" i="60032"/>
  <c r="J182" i="60025" l="1"/>
  <c r="G183" i="60025" s="1"/>
  <c r="M182" i="60025"/>
  <c r="J185" i="60032"/>
  <c r="G186" i="60032" s="1"/>
  <c r="L185" i="60032"/>
  <c r="K183" i="60025" l="1"/>
  <c r="L183" i="60025" s="1"/>
  <c r="H183" i="60025"/>
  <c r="I183" i="60025" s="1"/>
  <c r="K186" i="60032"/>
  <c r="H186" i="60032"/>
  <c r="I186" i="60032" s="1"/>
  <c r="N183" i="60025" l="1"/>
  <c r="M186" i="60032"/>
  <c r="J183" i="60025" l="1"/>
  <c r="G184" i="60025" s="1"/>
  <c r="M183" i="60025"/>
  <c r="J186" i="60032"/>
  <c r="G187" i="60032" s="1"/>
  <c r="L186" i="60032"/>
  <c r="K184" i="60025" l="1"/>
  <c r="L184" i="60025" s="1"/>
  <c r="H184" i="60025"/>
  <c r="I184" i="60025" s="1"/>
  <c r="K187" i="60032"/>
  <c r="H187" i="60032"/>
  <c r="I187" i="60032" s="1"/>
  <c r="N184" i="60025" l="1"/>
  <c r="M187" i="60032"/>
  <c r="J184" i="60025" l="1"/>
  <c r="G185" i="60025" s="1"/>
  <c r="M184" i="60025"/>
  <c r="J187" i="60032"/>
  <c r="G188" i="60032" s="1"/>
  <c r="L187" i="60032"/>
  <c r="K185" i="60025" l="1"/>
  <c r="L185" i="60025" s="1"/>
  <c r="H185" i="60025"/>
  <c r="I185" i="60025" s="1"/>
  <c r="K188" i="60032"/>
  <c r="H188" i="60032"/>
  <c r="I188" i="60032" s="1"/>
  <c r="N185" i="60025" l="1"/>
  <c r="M188" i="60032"/>
  <c r="J185" i="60025" l="1"/>
  <c r="G186" i="60025" s="1"/>
  <c r="M185" i="60025"/>
  <c r="J188" i="60032"/>
  <c r="G189" i="60032" s="1"/>
  <c r="L188" i="60032"/>
  <c r="K186" i="60025" l="1"/>
  <c r="L186" i="60025" s="1"/>
  <c r="H186" i="60025"/>
  <c r="I186" i="60025" s="1"/>
  <c r="K189" i="60032"/>
  <c r="H189" i="60032"/>
  <c r="I189" i="60032" s="1"/>
  <c r="N186" i="60025" l="1"/>
  <c r="M189" i="60032"/>
  <c r="J186" i="60025" l="1"/>
  <c r="G187" i="60025" s="1"/>
  <c r="M186" i="60025"/>
  <c r="L189" i="60032"/>
  <c r="J189" i="60032"/>
  <c r="G190" i="60032" s="1"/>
  <c r="K187" i="60025" l="1"/>
  <c r="L187" i="60025" s="1"/>
  <c r="H187" i="60025"/>
  <c r="I187" i="60025" s="1"/>
  <c r="K190" i="60032"/>
  <c r="H190" i="60032"/>
  <c r="I190" i="60032" s="1"/>
  <c r="N187" i="60025" l="1"/>
  <c r="M190" i="60032"/>
  <c r="J187" i="60025" l="1"/>
  <c r="G188" i="60025" s="1"/>
  <c r="M187" i="60025"/>
  <c r="J190" i="60032"/>
  <c r="G191" i="60032" s="1"/>
  <c r="L190" i="60032"/>
  <c r="H188" i="60025" l="1"/>
  <c r="I188" i="60025" s="1"/>
  <c r="K188" i="60025"/>
  <c r="L188" i="60025" s="1"/>
  <c r="H191" i="60032"/>
  <c r="I191" i="60032" s="1"/>
  <c r="K191" i="60032"/>
  <c r="N188" i="60025" l="1"/>
  <c r="M191" i="60032"/>
  <c r="J188" i="60025" l="1"/>
  <c r="G189" i="60025" s="1"/>
  <c r="M188" i="60025"/>
  <c r="J191" i="60032"/>
  <c r="G192" i="60032" s="1"/>
  <c r="L191" i="60032"/>
  <c r="K189" i="60025" l="1"/>
  <c r="L189" i="60025" s="1"/>
  <c r="H189" i="60025"/>
  <c r="I189" i="60025" s="1"/>
  <c r="H192" i="60032"/>
  <c r="I192" i="60032" s="1"/>
  <c r="K192" i="60032"/>
  <c r="N189" i="60025" l="1"/>
  <c r="M192" i="60032"/>
  <c r="J189" i="60025" l="1"/>
  <c r="G190" i="60025" s="1"/>
  <c r="M189" i="60025"/>
  <c r="J192" i="60032"/>
  <c r="G193" i="60032" s="1"/>
  <c r="L192" i="60032"/>
  <c r="H190" i="60025" l="1"/>
  <c r="I190" i="60025" s="1"/>
  <c r="K190" i="60025"/>
  <c r="L190" i="60025" s="1"/>
  <c r="H193" i="60032"/>
  <c r="I193" i="60032" s="1"/>
  <c r="K193" i="60032"/>
  <c r="N190" i="60025" l="1"/>
  <c r="M193" i="60032"/>
  <c r="J190" i="60025" l="1"/>
  <c r="G191" i="60025" s="1"/>
  <c r="M190" i="60025"/>
  <c r="J193" i="60032"/>
  <c r="G194" i="60032" s="1"/>
  <c r="L193" i="60032"/>
  <c r="H191" i="60025" l="1"/>
  <c r="I191" i="60025" s="1"/>
  <c r="K191" i="60025"/>
  <c r="L191" i="60025" s="1"/>
  <c r="K194" i="60032"/>
  <c r="H194" i="60032"/>
  <c r="I194" i="60032" s="1"/>
  <c r="N191" i="60025" l="1"/>
  <c r="M194" i="60032"/>
  <c r="J191" i="60025" l="1"/>
  <c r="G192" i="60025" s="1"/>
  <c r="M191" i="60025"/>
  <c r="J194" i="60032"/>
  <c r="G195" i="60032" s="1"/>
  <c r="L194" i="60032"/>
  <c r="K192" i="60025" l="1"/>
  <c r="L192" i="60025" s="1"/>
  <c r="H192" i="60025"/>
  <c r="I192" i="60025" s="1"/>
  <c r="K195" i="60032"/>
  <c r="H195" i="60032"/>
  <c r="I195" i="60032" s="1"/>
  <c r="N192" i="60025" l="1"/>
  <c r="M195" i="60032"/>
  <c r="J192" i="60025" l="1"/>
  <c r="G193" i="60025" s="1"/>
  <c r="M192" i="60025"/>
  <c r="J195" i="60032"/>
  <c r="G196" i="60032" s="1"/>
  <c r="L195" i="60032"/>
  <c r="K193" i="60025" l="1"/>
  <c r="L193" i="60025" s="1"/>
  <c r="H193" i="60025"/>
  <c r="I193" i="60025" s="1"/>
  <c r="K196" i="60032"/>
  <c r="H196" i="60032"/>
  <c r="I196" i="60032" s="1"/>
  <c r="N193" i="60025" l="1"/>
  <c r="M196" i="60032"/>
  <c r="J193" i="60025" l="1"/>
  <c r="G194" i="60025" s="1"/>
  <c r="M193" i="60025"/>
  <c r="J196" i="60032"/>
  <c r="G197" i="60032" s="1"/>
  <c r="L196" i="60032"/>
  <c r="K194" i="60025" l="1"/>
  <c r="L194" i="60025" s="1"/>
  <c r="H194" i="60025"/>
  <c r="I194" i="60025" s="1"/>
  <c r="K197" i="60032"/>
  <c r="H197" i="60032"/>
  <c r="I197" i="60032" s="1"/>
  <c r="N194" i="60025" l="1"/>
  <c r="M197" i="60032"/>
  <c r="J194" i="60025" l="1"/>
  <c r="G195" i="60025" s="1"/>
  <c r="M194" i="60025"/>
  <c r="J197" i="60032"/>
  <c r="G198" i="60032" s="1"/>
  <c r="L197" i="60032"/>
  <c r="K195" i="60025" l="1"/>
  <c r="L195" i="60025" s="1"/>
  <c r="H195" i="60025"/>
  <c r="I195" i="60025" s="1"/>
  <c r="K198" i="60032"/>
  <c r="H198" i="60032"/>
  <c r="I198" i="60032" s="1"/>
  <c r="N195" i="60025" l="1"/>
  <c r="M198" i="60032"/>
  <c r="J195" i="60025" l="1"/>
  <c r="G196" i="60025" s="1"/>
  <c r="M195" i="60025"/>
  <c r="J198" i="60032"/>
  <c r="G199" i="60032" s="1"/>
  <c r="L198" i="60032"/>
  <c r="K196" i="60025" l="1"/>
  <c r="L196" i="60025" s="1"/>
  <c r="H196" i="60025"/>
  <c r="I196" i="60025" s="1"/>
  <c r="K199" i="60032"/>
  <c r="H199" i="60032"/>
  <c r="I199" i="60032" s="1"/>
  <c r="N196" i="60025" l="1"/>
  <c r="M199" i="60032"/>
  <c r="J196" i="60025" l="1"/>
  <c r="G197" i="60025" s="1"/>
  <c r="M196" i="60025"/>
  <c r="J199" i="60032"/>
  <c r="G200" i="60032" s="1"/>
  <c r="L199" i="60032"/>
  <c r="H197" i="60025" l="1"/>
  <c r="I197" i="60025" s="1"/>
  <c r="K197" i="60025"/>
  <c r="L197" i="60025" s="1"/>
  <c r="K200" i="60032"/>
  <c r="H200" i="60032"/>
  <c r="I200" i="60032" s="1"/>
  <c r="N197" i="60025" l="1"/>
  <c r="M200" i="60032"/>
  <c r="J197" i="60025" l="1"/>
  <c r="G198" i="60025" s="1"/>
  <c r="M197" i="60025"/>
  <c r="J200" i="60032"/>
  <c r="G201" i="60032" s="1"/>
  <c r="L200" i="60032"/>
  <c r="H198" i="60025" l="1"/>
  <c r="I198" i="60025" s="1"/>
  <c r="K198" i="60025"/>
  <c r="L198" i="60025" s="1"/>
  <c r="K201" i="60032"/>
  <c r="H201" i="60032"/>
  <c r="I201" i="60032" s="1"/>
  <c r="N198" i="60025" l="1"/>
  <c r="M201" i="60032"/>
  <c r="J198" i="60025" l="1"/>
  <c r="G199" i="60025" s="1"/>
  <c r="M198" i="60025"/>
  <c r="J201" i="60032"/>
  <c r="G202" i="60032" s="1"/>
  <c r="L201" i="60032"/>
  <c r="K199" i="60025" l="1"/>
  <c r="L199" i="60025" s="1"/>
  <c r="H199" i="60025"/>
  <c r="I199" i="60025" s="1"/>
  <c r="K202" i="60032"/>
  <c r="H202" i="60032"/>
  <c r="I202" i="60032" s="1"/>
  <c r="N199" i="60025" l="1"/>
  <c r="M202" i="60032"/>
  <c r="J199" i="60025" l="1"/>
  <c r="G200" i="60025" s="1"/>
  <c r="M199" i="60025"/>
  <c r="J202" i="60032"/>
  <c r="G203" i="60032" s="1"/>
  <c r="L202" i="60032"/>
  <c r="H200" i="60025" l="1"/>
  <c r="I200" i="60025" s="1"/>
  <c r="K200" i="60025"/>
  <c r="L200" i="60025" s="1"/>
  <c r="H203" i="60032"/>
  <c r="I203" i="60032" s="1"/>
  <c r="K203" i="60032"/>
  <c r="N200" i="60025" l="1"/>
  <c r="M203" i="60032"/>
  <c r="J200" i="60025" l="1"/>
  <c r="G201" i="60025" s="1"/>
  <c r="M200" i="60025"/>
  <c r="J203" i="60032"/>
  <c r="G204" i="60032" s="1"/>
  <c r="L203" i="60032"/>
  <c r="H201" i="60025" l="1"/>
  <c r="I201" i="60025" s="1"/>
  <c r="K201" i="60025"/>
  <c r="L201" i="60025" s="1"/>
  <c r="K204" i="60032"/>
  <c r="H204" i="60032"/>
  <c r="I204" i="60032" s="1"/>
  <c r="N201" i="60025" l="1"/>
  <c r="M204" i="60032"/>
  <c r="J201" i="60025" l="1"/>
  <c r="G202" i="60025" s="1"/>
  <c r="M201" i="60025"/>
  <c r="J204" i="60032"/>
  <c r="G205" i="60032" s="1"/>
  <c r="L204" i="60032"/>
  <c r="K202" i="60025" l="1"/>
  <c r="L202" i="60025" s="1"/>
  <c r="H202" i="60025"/>
  <c r="I202" i="60025" s="1"/>
  <c r="K205" i="60032"/>
  <c r="H205" i="60032"/>
  <c r="I205" i="60032" s="1"/>
  <c r="N202" i="60025" l="1"/>
  <c r="M205" i="60032"/>
  <c r="J202" i="60025" l="1"/>
  <c r="G203" i="60025" s="1"/>
  <c r="M202" i="60025"/>
  <c r="J205" i="60032"/>
  <c r="G206" i="60032" s="1"/>
  <c r="L205" i="60032"/>
  <c r="K203" i="60025" l="1"/>
  <c r="L203" i="60025" s="1"/>
  <c r="H203" i="60025"/>
  <c r="I203" i="60025" s="1"/>
  <c r="K206" i="60032"/>
  <c r="H206" i="60032"/>
  <c r="I206" i="60032" s="1"/>
  <c r="N203" i="60025" l="1"/>
  <c r="M206" i="60032"/>
  <c r="J203" i="60025" l="1"/>
  <c r="G204" i="60025" s="1"/>
  <c r="M203" i="60025"/>
  <c r="J206" i="60032"/>
  <c r="G207" i="60032" s="1"/>
  <c r="L206" i="60032"/>
  <c r="H204" i="60025" l="1"/>
  <c r="I204" i="60025" s="1"/>
  <c r="K204" i="60025"/>
  <c r="L204" i="60025" s="1"/>
  <c r="K207" i="60032"/>
  <c r="H207" i="60032"/>
  <c r="I207" i="60032" s="1"/>
  <c r="N204" i="60025" l="1"/>
  <c r="M207" i="60032"/>
  <c r="J204" i="60025" l="1"/>
  <c r="G205" i="60025" s="1"/>
  <c r="M204" i="60025"/>
  <c r="J207" i="60032"/>
  <c r="G208" i="60032" s="1"/>
  <c r="L207" i="60032"/>
  <c r="H205" i="60025" l="1"/>
  <c r="I205" i="60025" s="1"/>
  <c r="K205" i="60025"/>
  <c r="L205" i="60025" s="1"/>
  <c r="K208" i="60032"/>
  <c r="H208" i="60032"/>
  <c r="I208" i="60032" s="1"/>
  <c r="N205" i="60025" l="1"/>
  <c r="M208" i="60032"/>
  <c r="J205" i="60025" l="1"/>
  <c r="G206" i="60025" s="1"/>
  <c r="M205" i="60025"/>
  <c r="J208" i="60032"/>
  <c r="G209" i="60032" s="1"/>
  <c r="L208" i="60032"/>
  <c r="H206" i="60025" l="1"/>
  <c r="I206" i="60025" s="1"/>
  <c r="K206" i="60025"/>
  <c r="L206" i="60025" s="1"/>
  <c r="K209" i="60032"/>
  <c r="H209" i="60032"/>
  <c r="I209" i="60032" s="1"/>
  <c r="N206" i="60025" l="1"/>
  <c r="M209" i="60032"/>
  <c r="J206" i="60025" l="1"/>
  <c r="G207" i="60025" s="1"/>
  <c r="M206" i="60025"/>
  <c r="J209" i="60032"/>
  <c r="G210" i="60032" s="1"/>
  <c r="L209" i="60032"/>
  <c r="K207" i="60025" l="1"/>
  <c r="L207" i="60025" s="1"/>
  <c r="H207" i="60025"/>
  <c r="I207" i="60025" s="1"/>
  <c r="K210" i="60032"/>
  <c r="H210" i="60032"/>
  <c r="I210" i="60032" s="1"/>
  <c r="N207" i="60025" l="1"/>
  <c r="M210" i="60032"/>
  <c r="J207" i="60025" l="1"/>
  <c r="G208" i="60025" s="1"/>
  <c r="M207" i="60025"/>
  <c r="J210" i="60032"/>
  <c r="G211" i="60032" s="1"/>
  <c r="L210" i="60032"/>
  <c r="K208" i="60025" l="1"/>
  <c r="L208" i="60025" s="1"/>
  <c r="H208" i="60025"/>
  <c r="I208" i="60025" s="1"/>
  <c r="K211" i="60032"/>
  <c r="H211" i="60032"/>
  <c r="I211" i="60032" s="1"/>
  <c r="N208" i="60025" l="1"/>
  <c r="M211" i="60032"/>
  <c r="J208" i="60025" l="1"/>
  <c r="G209" i="60025" s="1"/>
  <c r="M208" i="60025"/>
  <c r="J211" i="60032"/>
  <c r="G212" i="60032" s="1"/>
  <c r="L211" i="60032"/>
  <c r="H209" i="60025" l="1"/>
  <c r="I209" i="60025" s="1"/>
  <c r="K209" i="60025"/>
  <c r="L209" i="60025" s="1"/>
  <c r="K212" i="60032"/>
  <c r="H212" i="60032"/>
  <c r="I212" i="60032" s="1"/>
  <c r="N209" i="60025" l="1"/>
  <c r="M212" i="60032"/>
  <c r="J209" i="60025" l="1"/>
  <c r="G210" i="60025" s="1"/>
  <c r="M209" i="60025"/>
  <c r="J212" i="60032"/>
  <c r="G213" i="60032" s="1"/>
  <c r="L212" i="60032"/>
  <c r="H210" i="60025" l="1"/>
  <c r="I210" i="60025" s="1"/>
  <c r="K210" i="60025"/>
  <c r="L210" i="60025" s="1"/>
  <c r="K213" i="60032"/>
  <c r="H213" i="60032"/>
  <c r="I213" i="60032" s="1"/>
  <c r="N210" i="60025" l="1"/>
  <c r="M213" i="60032"/>
  <c r="J210" i="60025" l="1"/>
  <c r="G211" i="60025" s="1"/>
  <c r="M210" i="60025"/>
  <c r="J213" i="60032"/>
  <c r="G214" i="60032" s="1"/>
  <c r="L213" i="60032"/>
  <c r="H211" i="60025" l="1"/>
  <c r="I211" i="60025" s="1"/>
  <c r="K211" i="60025"/>
  <c r="L211" i="60025" s="1"/>
  <c r="K214" i="60032"/>
  <c r="H214" i="60032"/>
  <c r="I214" i="60032" s="1"/>
  <c r="N211" i="60025" l="1"/>
  <c r="M214" i="60032"/>
  <c r="J211" i="60025" l="1"/>
  <c r="G212" i="60025" s="1"/>
  <c r="M211" i="60025"/>
  <c r="J214" i="60032"/>
  <c r="G215" i="60032" s="1"/>
  <c r="L214" i="60032"/>
  <c r="K212" i="60025" l="1"/>
  <c r="L212" i="60025" s="1"/>
  <c r="H212" i="60025"/>
  <c r="I212" i="60025" s="1"/>
  <c r="K215" i="60032"/>
  <c r="H215" i="60032"/>
  <c r="I215" i="60032" s="1"/>
  <c r="N212" i="60025" l="1"/>
  <c r="M215" i="60032"/>
  <c r="J212" i="60025" l="1"/>
  <c r="G213" i="60025" s="1"/>
  <c r="M212" i="60025"/>
  <c r="J215" i="60032"/>
  <c r="G216" i="60032" s="1"/>
  <c r="L215" i="60032"/>
  <c r="K213" i="60025" l="1"/>
  <c r="L213" i="60025" s="1"/>
  <c r="H213" i="60025"/>
  <c r="I213" i="60025" s="1"/>
  <c r="K216" i="60032"/>
  <c r="H216" i="60032"/>
  <c r="I216" i="60032" s="1"/>
  <c r="N213" i="60025" l="1"/>
  <c r="M216" i="60032"/>
  <c r="J213" i="60025" l="1"/>
  <c r="G214" i="60025" s="1"/>
  <c r="M213" i="60025"/>
  <c r="J216" i="60032"/>
  <c r="G217" i="60032" s="1"/>
  <c r="L216" i="60032"/>
  <c r="K214" i="60025" l="1"/>
  <c r="L214" i="60025" s="1"/>
  <c r="H214" i="60025"/>
  <c r="I214" i="60025" s="1"/>
  <c r="K217" i="60032"/>
  <c r="H217" i="60032"/>
  <c r="I217" i="60032" s="1"/>
  <c r="N214" i="60025" l="1"/>
  <c r="M217" i="60032"/>
  <c r="J214" i="60025" l="1"/>
  <c r="G215" i="60025" s="1"/>
  <c r="M214" i="60025"/>
  <c r="J217" i="60032"/>
  <c r="G218" i="60032" s="1"/>
  <c r="L217" i="60032"/>
  <c r="K215" i="60025" l="1"/>
  <c r="L215" i="60025" s="1"/>
  <c r="H215" i="60025"/>
  <c r="I215" i="60025" s="1"/>
  <c r="K218" i="60032"/>
  <c r="H218" i="60032"/>
  <c r="I218" i="60032" s="1"/>
  <c r="N215" i="60025" l="1"/>
  <c r="M218" i="60032"/>
  <c r="J215" i="60025" l="1"/>
  <c r="G216" i="60025" s="1"/>
  <c r="M215" i="60025"/>
  <c r="J218" i="60032"/>
  <c r="G219" i="60032" s="1"/>
  <c r="L218" i="60032"/>
  <c r="K216" i="60025" l="1"/>
  <c r="L216" i="60025" s="1"/>
  <c r="H216" i="60025"/>
  <c r="I216" i="60025" s="1"/>
  <c r="K219" i="60032"/>
  <c r="H219" i="60032"/>
  <c r="I219" i="60032" s="1"/>
  <c r="N216" i="60025" l="1"/>
  <c r="M219" i="60032"/>
  <c r="J216" i="60025" l="1"/>
  <c r="G217" i="60025" s="1"/>
  <c r="M216" i="60025"/>
  <c r="J219" i="60032"/>
  <c r="G220" i="60032" s="1"/>
  <c r="L219" i="60032"/>
  <c r="K217" i="60025" l="1"/>
  <c r="L217" i="60025" s="1"/>
  <c r="H217" i="60025"/>
  <c r="I217" i="60025" s="1"/>
  <c r="K220" i="60032"/>
  <c r="H220" i="60032"/>
  <c r="I220" i="60032" s="1"/>
  <c r="N217" i="60025" l="1"/>
  <c r="M220" i="60032"/>
  <c r="J217" i="60025" l="1"/>
  <c r="G218" i="60025" s="1"/>
  <c r="M217" i="60025"/>
  <c r="J220" i="60032"/>
  <c r="G221" i="60032" s="1"/>
  <c r="L220" i="60032"/>
  <c r="H218" i="60025" l="1"/>
  <c r="I218" i="60025" s="1"/>
  <c r="K218" i="60025"/>
  <c r="L218" i="60025" s="1"/>
  <c r="K221" i="60032"/>
  <c r="H221" i="60032"/>
  <c r="I221" i="60032" s="1"/>
  <c r="N218" i="60025" l="1"/>
  <c r="M221" i="60032"/>
  <c r="J218" i="60025" l="1"/>
  <c r="G219" i="60025" s="1"/>
  <c r="M218" i="60025"/>
  <c r="J221" i="60032"/>
  <c r="G222" i="60032" s="1"/>
  <c r="L221" i="60032"/>
  <c r="K219" i="60025" l="1"/>
  <c r="L219" i="60025" s="1"/>
  <c r="H219" i="60025"/>
  <c r="I219" i="60025" s="1"/>
  <c r="K222" i="60032"/>
  <c r="H222" i="60032"/>
  <c r="I222" i="60032" s="1"/>
  <c r="N219" i="60025" l="1"/>
  <c r="M222" i="60032"/>
  <c r="J219" i="60025" l="1"/>
  <c r="G220" i="60025" s="1"/>
  <c r="M219" i="60025"/>
  <c r="J222" i="60032"/>
  <c r="G223" i="60032" s="1"/>
  <c r="L222" i="60032"/>
  <c r="K220" i="60025" l="1"/>
  <c r="L220" i="60025" s="1"/>
  <c r="H220" i="60025"/>
  <c r="I220" i="60025" s="1"/>
  <c r="K223" i="60032"/>
  <c r="H223" i="60032"/>
  <c r="I223" i="60032" s="1"/>
  <c r="N220" i="60025" l="1"/>
  <c r="M223" i="60032"/>
  <c r="J220" i="60025" l="1"/>
  <c r="G221" i="60025" s="1"/>
  <c r="M220" i="60025"/>
  <c r="J223" i="60032"/>
  <c r="G224" i="60032" s="1"/>
  <c r="L223" i="60032"/>
  <c r="H221" i="60025" l="1"/>
  <c r="I221" i="60025" s="1"/>
  <c r="K221" i="60025"/>
  <c r="L221" i="60025" s="1"/>
  <c r="K224" i="60032"/>
  <c r="H224" i="60032"/>
  <c r="I224" i="60032" s="1"/>
  <c r="N221" i="60025" l="1"/>
  <c r="M224" i="60032"/>
  <c r="J221" i="60025" l="1"/>
  <c r="G222" i="60025" s="1"/>
  <c r="M221" i="60025"/>
  <c r="J224" i="60032"/>
  <c r="G225" i="60032" s="1"/>
  <c r="L224" i="60032"/>
  <c r="H222" i="60025" l="1"/>
  <c r="I222" i="60025" s="1"/>
  <c r="K222" i="60025"/>
  <c r="L222" i="60025" s="1"/>
  <c r="K225" i="60032"/>
  <c r="H225" i="60032"/>
  <c r="I225" i="60032" s="1"/>
  <c r="N222" i="60025" l="1"/>
  <c r="M225" i="60032"/>
  <c r="J222" i="60025" l="1"/>
  <c r="G223" i="60025" s="1"/>
  <c r="M222" i="60025"/>
  <c r="J225" i="60032"/>
  <c r="G226" i="60032" s="1"/>
  <c r="L225" i="60032"/>
  <c r="H223" i="60025" l="1"/>
  <c r="I223" i="60025" s="1"/>
  <c r="K223" i="60025"/>
  <c r="L223" i="60025" s="1"/>
  <c r="K226" i="60032"/>
  <c r="H226" i="60032"/>
  <c r="I226" i="60032" s="1"/>
  <c r="N223" i="60025" l="1"/>
  <c r="M226" i="60032"/>
  <c r="J223" i="60025" l="1"/>
  <c r="G224" i="60025" s="1"/>
  <c r="M223" i="60025"/>
  <c r="J226" i="60032"/>
  <c r="G227" i="60032" s="1"/>
  <c r="L226" i="60032"/>
  <c r="H224" i="60025" l="1"/>
  <c r="I224" i="60025" s="1"/>
  <c r="K224" i="60025"/>
  <c r="L224" i="60025" s="1"/>
  <c r="K227" i="60032"/>
  <c r="H227" i="60032"/>
  <c r="I227" i="60032" s="1"/>
  <c r="N224" i="60025" l="1"/>
  <c r="M227" i="60032"/>
  <c r="J224" i="60025" l="1"/>
  <c r="G225" i="60025" s="1"/>
  <c r="M224" i="60025"/>
  <c r="J227" i="60032"/>
  <c r="G228" i="60032" s="1"/>
  <c r="L227" i="60032"/>
  <c r="H225" i="60025" l="1"/>
  <c r="I225" i="60025" s="1"/>
  <c r="K225" i="60025"/>
  <c r="L225" i="60025" s="1"/>
  <c r="K228" i="60032"/>
  <c r="H228" i="60032"/>
  <c r="I228" i="60032" s="1"/>
  <c r="N225" i="60025" l="1"/>
  <c r="M228" i="60032"/>
  <c r="J225" i="60025" l="1"/>
  <c r="G226" i="60025" s="1"/>
  <c r="M225" i="60025"/>
  <c r="J228" i="60032"/>
  <c r="G229" i="60032" s="1"/>
  <c r="L228" i="60032"/>
  <c r="H226" i="60025" l="1"/>
  <c r="I226" i="60025" s="1"/>
  <c r="K226" i="60025"/>
  <c r="L226" i="60025" s="1"/>
  <c r="K229" i="60032"/>
  <c r="H229" i="60032"/>
  <c r="I229" i="60032" s="1"/>
  <c r="N226" i="60025" l="1"/>
  <c r="M229" i="60032"/>
  <c r="J226" i="60025" l="1"/>
  <c r="G227" i="60025" s="1"/>
  <c r="M226" i="60025"/>
  <c r="J229" i="60032"/>
  <c r="G230" i="60032" s="1"/>
  <c r="L229" i="60032"/>
  <c r="K227" i="60025" l="1"/>
  <c r="L227" i="60025" s="1"/>
  <c r="H227" i="60025"/>
  <c r="I227" i="60025" s="1"/>
  <c r="K230" i="60032"/>
  <c r="H230" i="60032"/>
  <c r="I230" i="60032" s="1"/>
  <c r="N227" i="60025" l="1"/>
  <c r="M230" i="60032"/>
  <c r="J227" i="60025" l="1"/>
  <c r="G228" i="60025" s="1"/>
  <c r="M227" i="60025"/>
  <c r="J230" i="60032"/>
  <c r="G231" i="60032" s="1"/>
  <c r="L230" i="60032"/>
  <c r="H228" i="60025" l="1"/>
  <c r="I228" i="60025" s="1"/>
  <c r="K228" i="60025"/>
  <c r="L228" i="60025" s="1"/>
  <c r="K231" i="60032"/>
  <c r="H231" i="60032"/>
  <c r="I231" i="60032" s="1"/>
  <c r="N228" i="60025" l="1"/>
  <c r="M231" i="60032"/>
  <c r="J228" i="60025" l="1"/>
  <c r="G229" i="60025" s="1"/>
  <c r="M228" i="60025"/>
  <c r="J231" i="60032"/>
  <c r="G232" i="60032" s="1"/>
  <c r="L231" i="60032"/>
  <c r="K229" i="60025" l="1"/>
  <c r="L229" i="60025" s="1"/>
  <c r="H229" i="60025"/>
  <c r="I229" i="60025" s="1"/>
  <c r="K232" i="60032"/>
  <c r="H232" i="60032"/>
  <c r="I232" i="60032" s="1"/>
  <c r="N229" i="60025" l="1"/>
  <c r="M232" i="60032"/>
  <c r="J229" i="60025" l="1"/>
  <c r="G230" i="60025" s="1"/>
  <c r="M229" i="60025"/>
  <c r="J232" i="60032"/>
  <c r="G233" i="60032" s="1"/>
  <c r="L232" i="60032"/>
  <c r="K230" i="60025" l="1"/>
  <c r="L230" i="60025" s="1"/>
  <c r="H230" i="60025"/>
  <c r="I230" i="60025" s="1"/>
  <c r="K233" i="60032"/>
  <c r="H233" i="60032"/>
  <c r="I233" i="60032" s="1"/>
  <c r="N230" i="60025" l="1"/>
  <c r="M233" i="60032"/>
  <c r="J230" i="60025" l="1"/>
  <c r="G231" i="60025" s="1"/>
  <c r="M230" i="60025"/>
  <c r="J233" i="60032"/>
  <c r="G234" i="60032" s="1"/>
  <c r="L233" i="60032"/>
  <c r="H231" i="60025" l="1"/>
  <c r="I231" i="60025" s="1"/>
  <c r="K231" i="60025"/>
  <c r="L231" i="60025" s="1"/>
  <c r="K234" i="60032"/>
  <c r="H234" i="60032"/>
  <c r="I234" i="60032" s="1"/>
  <c r="N231" i="60025" l="1"/>
  <c r="M234" i="60032"/>
  <c r="J231" i="60025" l="1"/>
  <c r="G232" i="60025" s="1"/>
  <c r="M231" i="60025"/>
  <c r="J234" i="60032"/>
  <c r="G235" i="60032" s="1"/>
  <c r="L234" i="60032"/>
  <c r="H232" i="60025" l="1"/>
  <c r="I232" i="60025" s="1"/>
  <c r="K232" i="60025"/>
  <c r="L232" i="60025" s="1"/>
  <c r="K235" i="60032"/>
  <c r="H235" i="60032"/>
  <c r="I235" i="60032" s="1"/>
  <c r="N232" i="60025" l="1"/>
  <c r="M235" i="60032"/>
  <c r="J232" i="60025" l="1"/>
  <c r="G233" i="60025" s="1"/>
  <c r="M232" i="60025"/>
  <c r="J235" i="60032"/>
  <c r="G236" i="60032" s="1"/>
  <c r="L235" i="60032"/>
  <c r="K233" i="60025" l="1"/>
  <c r="L233" i="60025" s="1"/>
  <c r="H233" i="60025"/>
  <c r="I233" i="60025" s="1"/>
  <c r="K236" i="60032"/>
  <c r="H236" i="60032"/>
  <c r="I236" i="60032" s="1"/>
  <c r="N233" i="60025" l="1"/>
  <c r="M236" i="60032"/>
  <c r="J233" i="60025" l="1"/>
  <c r="G234" i="60025" s="1"/>
  <c r="M233" i="60025"/>
  <c r="J236" i="60032"/>
  <c r="G237" i="60032" s="1"/>
  <c r="L236" i="60032"/>
  <c r="H234" i="60025" l="1"/>
  <c r="I234" i="60025" s="1"/>
  <c r="K234" i="60025"/>
  <c r="L234" i="60025" s="1"/>
  <c r="K237" i="60032"/>
  <c r="H237" i="60032"/>
  <c r="I237" i="60032" s="1"/>
  <c r="N234" i="60025" l="1"/>
  <c r="M237" i="60032"/>
  <c r="J234" i="60025" l="1"/>
  <c r="G235" i="60025" s="1"/>
  <c r="M234" i="60025"/>
  <c r="J237" i="60032"/>
  <c r="G238" i="60032" s="1"/>
  <c r="L237" i="60032"/>
  <c r="H235" i="60025" l="1"/>
  <c r="I235" i="60025" s="1"/>
  <c r="K235" i="60025"/>
  <c r="L235" i="60025" s="1"/>
  <c r="K238" i="60032"/>
  <c r="H238" i="60032"/>
  <c r="I238" i="60032" s="1"/>
  <c r="N235" i="60025" l="1"/>
  <c r="M238" i="60032"/>
  <c r="J235" i="60025" l="1"/>
  <c r="G236" i="60025" s="1"/>
  <c r="M235" i="60025"/>
  <c r="J238" i="60032"/>
  <c r="G239" i="60032" s="1"/>
  <c r="L238" i="60032"/>
  <c r="K236" i="60025" l="1"/>
  <c r="L236" i="60025" s="1"/>
  <c r="H236" i="60025"/>
  <c r="I236" i="60025" s="1"/>
  <c r="K239" i="60032"/>
  <c r="H239" i="60032"/>
  <c r="I239" i="60032" s="1"/>
  <c r="N236" i="60025" l="1"/>
  <c r="M239" i="60032"/>
  <c r="J236" i="60025" l="1"/>
  <c r="G237" i="60025" s="1"/>
  <c r="M236" i="60025"/>
  <c r="J239" i="60032"/>
  <c r="G240" i="60032" s="1"/>
  <c r="L239" i="60032"/>
  <c r="K237" i="60025" l="1"/>
  <c r="L237" i="60025" s="1"/>
  <c r="H237" i="60025"/>
  <c r="I237" i="60025" s="1"/>
  <c r="K240" i="60032"/>
  <c r="H240" i="60032"/>
  <c r="I240" i="60032" s="1"/>
  <c r="N237" i="60025" l="1"/>
  <c r="M240" i="60032"/>
  <c r="J237" i="60025" l="1"/>
  <c r="G238" i="60025" s="1"/>
  <c r="M237" i="60025"/>
  <c r="J240" i="60032"/>
  <c r="G241" i="60032" s="1"/>
  <c r="L240" i="60032"/>
  <c r="H238" i="60025" l="1"/>
  <c r="I238" i="60025" s="1"/>
  <c r="K238" i="60025"/>
  <c r="L238" i="60025" s="1"/>
  <c r="K241" i="60032"/>
  <c r="H241" i="60032"/>
  <c r="I241" i="60032" s="1"/>
  <c r="N238" i="60025" l="1"/>
  <c r="M241" i="60032"/>
  <c r="J238" i="60025" l="1"/>
  <c r="G239" i="60025" s="1"/>
  <c r="M238" i="60025"/>
  <c r="J241" i="60032"/>
  <c r="G242" i="60032" s="1"/>
  <c r="L241" i="60032"/>
  <c r="H239" i="60025" l="1"/>
  <c r="I239" i="60025" s="1"/>
  <c r="K239" i="60025"/>
  <c r="L239" i="60025" s="1"/>
  <c r="K242" i="60032"/>
  <c r="H242" i="60032"/>
  <c r="I242" i="60032" s="1"/>
  <c r="N239" i="60025" l="1"/>
  <c r="M242" i="60032"/>
  <c r="J239" i="60025" l="1"/>
  <c r="G240" i="60025" s="1"/>
  <c r="M239" i="60025"/>
  <c r="J242" i="60032"/>
  <c r="G243" i="60032" s="1"/>
  <c r="L242" i="60032"/>
  <c r="H240" i="60025" l="1"/>
  <c r="I240" i="60025" s="1"/>
  <c r="K240" i="60025"/>
  <c r="L240" i="60025" s="1"/>
  <c r="K243" i="60032"/>
  <c r="H243" i="60032"/>
  <c r="I243" i="60032" s="1"/>
  <c r="N240" i="60025" l="1"/>
  <c r="M243" i="60032"/>
  <c r="J240" i="60025" l="1"/>
  <c r="G241" i="60025" s="1"/>
  <c r="M240" i="60025"/>
  <c r="J243" i="60032"/>
  <c r="G244" i="60032" s="1"/>
  <c r="L243" i="60032"/>
  <c r="H241" i="60025" l="1"/>
  <c r="I241" i="60025" s="1"/>
  <c r="K241" i="60025"/>
  <c r="L241" i="60025" s="1"/>
  <c r="K244" i="60032"/>
  <c r="H244" i="60032"/>
  <c r="I244" i="60032" s="1"/>
  <c r="N241" i="60025" l="1"/>
  <c r="M244" i="60032"/>
  <c r="J241" i="60025" l="1"/>
  <c r="G242" i="60025" s="1"/>
  <c r="M241" i="60025"/>
  <c r="J244" i="60032"/>
  <c r="G245" i="60032" s="1"/>
  <c r="L244" i="60032"/>
  <c r="H242" i="60025" l="1"/>
  <c r="I242" i="60025" s="1"/>
  <c r="K242" i="60025"/>
  <c r="L242" i="60025" s="1"/>
  <c r="K245" i="60032"/>
  <c r="H245" i="60032"/>
  <c r="I245" i="60032" s="1"/>
  <c r="N242" i="60025" l="1"/>
  <c r="M245" i="60032"/>
  <c r="J242" i="60025" l="1"/>
  <c r="G243" i="60025" s="1"/>
  <c r="M242" i="60025"/>
  <c r="J245" i="60032"/>
  <c r="G246" i="60032" s="1"/>
  <c r="L245" i="60032"/>
  <c r="H243" i="60025" l="1"/>
  <c r="I243" i="60025" s="1"/>
  <c r="K243" i="60025"/>
  <c r="L243" i="60025" s="1"/>
  <c r="K246" i="60032"/>
  <c r="H246" i="60032"/>
  <c r="I246" i="60032" s="1"/>
  <c r="N243" i="60025" l="1"/>
  <c r="M246" i="60032"/>
  <c r="J243" i="60025" l="1"/>
  <c r="G244" i="60025" s="1"/>
  <c r="M243" i="60025"/>
  <c r="J246" i="60032"/>
  <c r="G247" i="60032" s="1"/>
  <c r="L246" i="60032"/>
  <c r="H244" i="60025" l="1"/>
  <c r="I244" i="60025" s="1"/>
  <c r="K244" i="60025"/>
  <c r="L244" i="60025" s="1"/>
  <c r="K247" i="60032"/>
  <c r="H247" i="60032"/>
  <c r="I247" i="60032" s="1"/>
  <c r="N244" i="60025" l="1"/>
  <c r="M247" i="60032"/>
  <c r="J244" i="60025" l="1"/>
  <c r="G245" i="60025" s="1"/>
  <c r="M244" i="60025"/>
  <c r="J247" i="60032"/>
  <c r="G248" i="60032" s="1"/>
  <c r="L247" i="60032"/>
  <c r="K245" i="60025" l="1"/>
  <c r="L245" i="60025" s="1"/>
  <c r="H245" i="60025"/>
  <c r="I245" i="60025" s="1"/>
  <c r="H248" i="60032"/>
  <c r="I248" i="60032" s="1"/>
  <c r="K248" i="60032"/>
  <c r="N245" i="60025" l="1"/>
  <c r="M248" i="60032"/>
  <c r="J245" i="60025" l="1"/>
  <c r="G246" i="60025" s="1"/>
  <c r="M245" i="60025"/>
  <c r="J248" i="60032"/>
  <c r="G249" i="60032" s="1"/>
  <c r="L248" i="60032"/>
  <c r="H246" i="60025" l="1"/>
  <c r="I246" i="60025" s="1"/>
  <c r="K246" i="60025"/>
  <c r="L246" i="60025" s="1"/>
  <c r="H249" i="60032"/>
  <c r="I249" i="60032" s="1"/>
  <c r="K249" i="60032"/>
  <c r="N246" i="60025" l="1"/>
  <c r="M249" i="60032"/>
  <c r="J246" i="60025" l="1"/>
  <c r="G247" i="60025" s="1"/>
  <c r="M246" i="60025"/>
  <c r="J249" i="60032"/>
  <c r="G250" i="60032" s="1"/>
  <c r="L249" i="60032"/>
  <c r="H247" i="60025" l="1"/>
  <c r="I247" i="60025" s="1"/>
  <c r="K247" i="60025"/>
  <c r="L247" i="60025" s="1"/>
  <c r="K250" i="60032"/>
  <c r="H250" i="60032"/>
  <c r="I250" i="60032" s="1"/>
  <c r="N247" i="60025" l="1"/>
  <c r="M250" i="60032"/>
  <c r="J247" i="60025" l="1"/>
  <c r="G248" i="60025" s="1"/>
  <c r="M247" i="60025"/>
  <c r="J250" i="60032"/>
  <c r="G251" i="60032" s="1"/>
  <c r="L250" i="60032"/>
  <c r="K248" i="60025" l="1"/>
  <c r="L248" i="60025" s="1"/>
  <c r="H248" i="60025"/>
  <c r="I248" i="60025" s="1"/>
  <c r="K251" i="60032"/>
  <c r="H251" i="60032"/>
  <c r="I251" i="60032" s="1"/>
  <c r="N248" i="60025" l="1"/>
  <c r="M251" i="60032"/>
  <c r="J248" i="60025" l="1"/>
  <c r="G249" i="60025" s="1"/>
  <c r="M248" i="60025"/>
  <c r="J251" i="60032"/>
  <c r="G252" i="60032" s="1"/>
  <c r="L251" i="60032"/>
  <c r="H249" i="60025" l="1"/>
  <c r="I249" i="60025" s="1"/>
  <c r="K249" i="60025"/>
  <c r="L249" i="60025" s="1"/>
  <c r="K252" i="60032"/>
  <c r="H252" i="60032"/>
  <c r="I252" i="60032" s="1"/>
  <c r="N249" i="60025" l="1"/>
  <c r="M252" i="60032"/>
  <c r="J249" i="60025" l="1"/>
  <c r="G250" i="60025" s="1"/>
  <c r="M249" i="60025"/>
  <c r="J252" i="60032"/>
  <c r="G253" i="60032" s="1"/>
  <c r="L252" i="60032"/>
  <c r="K250" i="60025" l="1"/>
  <c r="L250" i="60025" s="1"/>
  <c r="H250" i="60025"/>
  <c r="I250" i="60025" s="1"/>
  <c r="K253" i="60032"/>
  <c r="H253" i="60032"/>
  <c r="I253" i="60032" s="1"/>
  <c r="N250" i="60025" l="1"/>
  <c r="M253" i="60032"/>
  <c r="J250" i="60025" l="1"/>
  <c r="G251" i="60025" s="1"/>
  <c r="M250" i="60025"/>
  <c r="J253" i="60032"/>
  <c r="G254" i="60032" s="1"/>
  <c r="L253" i="60032"/>
  <c r="K251" i="60025" l="1"/>
  <c r="L251" i="60025" s="1"/>
  <c r="H251" i="60025"/>
  <c r="I251" i="60025" s="1"/>
  <c r="H254" i="60032"/>
  <c r="I254" i="60032" s="1"/>
  <c r="K254" i="60032"/>
  <c r="N251" i="60025" l="1"/>
  <c r="M254" i="60032"/>
  <c r="J251" i="60025" l="1"/>
  <c r="G252" i="60025" s="1"/>
  <c r="M251" i="60025"/>
  <c r="J254" i="60032"/>
  <c r="G255" i="60032" s="1"/>
  <c r="L254" i="60032"/>
  <c r="H252" i="60025" l="1"/>
  <c r="I252" i="60025" s="1"/>
  <c r="K252" i="60025"/>
  <c r="L252" i="60025" s="1"/>
  <c r="K255" i="60032"/>
  <c r="H255" i="60032"/>
  <c r="I255" i="60032" s="1"/>
  <c r="N252" i="60025" l="1"/>
  <c r="M255" i="60032"/>
  <c r="J252" i="60025" l="1"/>
  <c r="G253" i="60025" s="1"/>
  <c r="M252" i="60025"/>
  <c r="J255" i="60032"/>
  <c r="G256" i="60032" s="1"/>
  <c r="L255" i="60032"/>
  <c r="H253" i="60025" l="1"/>
  <c r="I253" i="60025" s="1"/>
  <c r="K253" i="60025"/>
  <c r="L253" i="60025" s="1"/>
  <c r="K256" i="60032"/>
  <c r="H256" i="60032"/>
  <c r="I256" i="60032" s="1"/>
  <c r="N253" i="60025" l="1"/>
  <c r="M256" i="60032"/>
  <c r="J253" i="60025" l="1"/>
  <c r="G254" i="60025" s="1"/>
  <c r="M253" i="60025"/>
  <c r="J256" i="60032"/>
  <c r="G257" i="60032" s="1"/>
  <c r="L256" i="60032"/>
  <c r="H254" i="60025" l="1"/>
  <c r="I254" i="60025" s="1"/>
  <c r="K254" i="60025"/>
  <c r="L254" i="60025" s="1"/>
  <c r="K257" i="60032"/>
  <c r="H257" i="60032"/>
  <c r="I257" i="60032" s="1"/>
  <c r="N254" i="60025" l="1"/>
  <c r="M257" i="60032"/>
  <c r="J254" i="60025" l="1"/>
  <c r="G255" i="60025" s="1"/>
  <c r="M254" i="60025"/>
  <c r="J257" i="60032"/>
  <c r="G258" i="60032" s="1"/>
  <c r="L257" i="60032"/>
  <c r="H255" i="60025" l="1"/>
  <c r="I255" i="60025" s="1"/>
  <c r="K255" i="60025"/>
  <c r="L255" i="60025" s="1"/>
  <c r="K258" i="60032"/>
  <c r="H258" i="60032"/>
  <c r="I258" i="60032" s="1"/>
  <c r="N255" i="60025" l="1"/>
  <c r="M258" i="60032"/>
  <c r="J255" i="60025" l="1"/>
  <c r="G256" i="60025" s="1"/>
  <c r="M255" i="60025"/>
  <c r="J258" i="60032"/>
  <c r="G259" i="60032" s="1"/>
  <c r="L258" i="60032"/>
  <c r="K256" i="60025" l="1"/>
  <c r="L256" i="60025" s="1"/>
  <c r="H256" i="60025"/>
  <c r="I256" i="60025" s="1"/>
  <c r="K259" i="60032"/>
  <c r="H259" i="60032"/>
  <c r="I259" i="60032" s="1"/>
  <c r="N256" i="60025" l="1"/>
  <c r="M259" i="60032"/>
  <c r="J256" i="60025" l="1"/>
  <c r="G257" i="60025" s="1"/>
  <c r="M256" i="60025"/>
  <c r="J259" i="60032"/>
  <c r="G260" i="60032" s="1"/>
  <c r="L259" i="60032"/>
  <c r="K257" i="60025" l="1"/>
  <c r="L257" i="60025" s="1"/>
  <c r="H257" i="60025"/>
  <c r="I257" i="60025" s="1"/>
  <c r="K260" i="60032"/>
  <c r="H260" i="60032"/>
  <c r="I260" i="60032" s="1"/>
  <c r="N257" i="60025" l="1"/>
  <c r="M260" i="60032"/>
  <c r="J257" i="60025" l="1"/>
  <c r="G258" i="60025" s="1"/>
  <c r="M257" i="60025"/>
  <c r="J260" i="60032"/>
  <c r="G261" i="60032" s="1"/>
  <c r="L260" i="60032"/>
  <c r="K258" i="60025" l="1"/>
  <c r="L258" i="60025" s="1"/>
  <c r="H258" i="60025"/>
  <c r="I258" i="60025" s="1"/>
  <c r="K261" i="60032"/>
  <c r="H261" i="60032"/>
  <c r="I261" i="60032" s="1"/>
  <c r="N258" i="60025" l="1"/>
  <c r="M261" i="60032"/>
  <c r="J258" i="60025" l="1"/>
  <c r="G259" i="60025" s="1"/>
  <c r="M258" i="60025"/>
  <c r="J261" i="60032"/>
  <c r="G262" i="60032" s="1"/>
  <c r="L261" i="60032"/>
  <c r="K259" i="60025" l="1"/>
  <c r="L259" i="60025" s="1"/>
  <c r="H259" i="60025"/>
  <c r="I259" i="60025" s="1"/>
  <c r="K262" i="60032"/>
  <c r="H262" i="60032"/>
  <c r="I262" i="60032" s="1"/>
  <c r="N259" i="60025" l="1"/>
  <c r="M262" i="60032"/>
  <c r="J259" i="60025" l="1"/>
  <c r="G260" i="60025" s="1"/>
  <c r="M259" i="60025"/>
  <c r="J262" i="60032"/>
  <c r="G263" i="60032" s="1"/>
  <c r="L262" i="60032"/>
  <c r="K260" i="60025" l="1"/>
  <c r="L260" i="60025" s="1"/>
  <c r="H260" i="60025"/>
  <c r="I260" i="60025" s="1"/>
  <c r="K263" i="60032"/>
  <c r="H263" i="60032"/>
  <c r="I263" i="60032" s="1"/>
  <c r="N260" i="60025" l="1"/>
  <c r="M263" i="60032"/>
  <c r="J260" i="60025" l="1"/>
  <c r="G261" i="60025" s="1"/>
  <c r="M260" i="60025"/>
  <c r="J263" i="60032"/>
  <c r="G264" i="60032" s="1"/>
  <c r="L263" i="60032"/>
  <c r="H261" i="60025" l="1"/>
  <c r="I261" i="60025" s="1"/>
  <c r="K261" i="60025"/>
  <c r="L261" i="60025" s="1"/>
  <c r="K264" i="60032"/>
  <c r="H264" i="60032"/>
  <c r="I264" i="60032" s="1"/>
  <c r="N261" i="60025" l="1"/>
  <c r="M264" i="60032"/>
  <c r="J261" i="60025" l="1"/>
  <c r="G262" i="60025" s="1"/>
  <c r="M261" i="60025"/>
  <c r="J264" i="60032"/>
  <c r="G265" i="60032" s="1"/>
  <c r="L264" i="60032"/>
  <c r="K262" i="60025" l="1"/>
  <c r="L262" i="60025" s="1"/>
  <c r="H262" i="60025"/>
  <c r="I262" i="60025" s="1"/>
  <c r="K265" i="60032"/>
  <c r="H265" i="60032"/>
  <c r="I265" i="60032" s="1"/>
  <c r="N262" i="60025" l="1"/>
  <c r="M265" i="60032"/>
  <c r="J262" i="60025" l="1"/>
  <c r="G263" i="60025" s="1"/>
  <c r="M262" i="60025"/>
  <c r="J265" i="60032"/>
  <c r="G266" i="60032" s="1"/>
  <c r="L265" i="60032"/>
  <c r="H263" i="60025" l="1"/>
  <c r="I263" i="60025" s="1"/>
  <c r="K263" i="60025"/>
  <c r="L263" i="60025" s="1"/>
  <c r="K266" i="60032"/>
  <c r="H266" i="60032"/>
  <c r="I266" i="60032" s="1"/>
  <c r="N263" i="60025" l="1"/>
  <c r="M266" i="60032"/>
  <c r="J263" i="60025" l="1"/>
  <c r="G264" i="60025" s="1"/>
  <c r="M263" i="60025"/>
  <c r="J266" i="60032"/>
  <c r="G267" i="60032" s="1"/>
  <c r="L266" i="60032"/>
  <c r="H264" i="60025" l="1"/>
  <c r="I264" i="60025" s="1"/>
  <c r="K264" i="60025"/>
  <c r="L264" i="60025" s="1"/>
  <c r="K267" i="60032"/>
  <c r="H267" i="60032"/>
  <c r="I267" i="60032" s="1"/>
  <c r="N264" i="60025" l="1"/>
  <c r="M267" i="60032"/>
  <c r="J264" i="60025" l="1"/>
  <c r="G265" i="60025" s="1"/>
  <c r="M264" i="60025"/>
  <c r="J267" i="60032"/>
  <c r="G268" i="60032" s="1"/>
  <c r="L267" i="60032"/>
  <c r="H265" i="60025" l="1"/>
  <c r="I265" i="60025" s="1"/>
  <c r="K265" i="60025"/>
  <c r="L265" i="60025" s="1"/>
  <c r="K268" i="60032"/>
  <c r="H268" i="60032"/>
  <c r="I268" i="60032" s="1"/>
  <c r="N265" i="60025" l="1"/>
  <c r="M268" i="60032"/>
  <c r="J265" i="60025" l="1"/>
  <c r="G266" i="60025" s="1"/>
  <c r="M265" i="60025"/>
  <c r="J268" i="60032"/>
  <c r="G269" i="60032" s="1"/>
  <c r="L268" i="60032"/>
  <c r="K266" i="60025" l="1"/>
  <c r="L266" i="60025" s="1"/>
  <c r="H266" i="60025"/>
  <c r="I266" i="60025" s="1"/>
  <c r="K269" i="60032"/>
  <c r="H269" i="60032"/>
  <c r="I269" i="60032" s="1"/>
  <c r="N266" i="60025" l="1"/>
  <c r="M269" i="60032"/>
  <c r="J266" i="60025" l="1"/>
  <c r="G267" i="60025" s="1"/>
  <c r="M266" i="60025"/>
  <c r="J269" i="60032"/>
  <c r="G270" i="60032" s="1"/>
  <c r="L269" i="60032"/>
  <c r="K267" i="60025" l="1"/>
  <c r="L267" i="60025" s="1"/>
  <c r="H267" i="60025"/>
  <c r="I267" i="60025" s="1"/>
  <c r="K270" i="60032"/>
  <c r="H270" i="60032"/>
  <c r="I270" i="60032" s="1"/>
  <c r="N267" i="60025" l="1"/>
  <c r="M270" i="60032"/>
  <c r="J267" i="60025" l="1"/>
  <c r="G268" i="60025" s="1"/>
  <c r="M267" i="60025"/>
  <c r="J270" i="60032"/>
  <c r="G271" i="60032" s="1"/>
  <c r="L270" i="60032"/>
  <c r="K268" i="60025" l="1"/>
  <c r="L268" i="60025" s="1"/>
  <c r="H268" i="60025"/>
  <c r="I268" i="60025" s="1"/>
  <c r="K271" i="60032"/>
  <c r="H271" i="60032"/>
  <c r="I271" i="60032" s="1"/>
  <c r="N268" i="60025" l="1"/>
  <c r="M271" i="60032"/>
  <c r="J268" i="60025" l="1"/>
  <c r="G269" i="60025" s="1"/>
  <c r="M268" i="60025"/>
  <c r="J271" i="60032"/>
  <c r="G272" i="60032" s="1"/>
  <c r="L271" i="60032"/>
  <c r="K269" i="60025" l="1"/>
  <c r="L269" i="60025" s="1"/>
  <c r="H269" i="60025"/>
  <c r="I269" i="60025" s="1"/>
  <c r="K272" i="60032"/>
  <c r="H272" i="60032"/>
  <c r="I272" i="60032" s="1"/>
  <c r="N269" i="60025" l="1"/>
  <c r="M272" i="60032"/>
  <c r="J269" i="60025" l="1"/>
  <c r="G270" i="60025" s="1"/>
  <c r="M269" i="60025"/>
  <c r="J272" i="60032"/>
  <c r="G273" i="60032" s="1"/>
  <c r="L272" i="60032"/>
  <c r="H270" i="60025" l="1"/>
  <c r="I270" i="60025" s="1"/>
  <c r="K270" i="60025"/>
  <c r="L270" i="60025" s="1"/>
  <c r="K273" i="60032"/>
  <c r="H273" i="60032"/>
  <c r="I273" i="60032" s="1"/>
  <c r="N270" i="60025" l="1"/>
  <c r="M273" i="60032"/>
  <c r="J270" i="60025" l="1"/>
  <c r="G271" i="60025" s="1"/>
  <c r="M270" i="60025"/>
  <c r="J273" i="60032"/>
  <c r="G274" i="60032" s="1"/>
  <c r="L273" i="60032"/>
  <c r="K271" i="60025" l="1"/>
  <c r="L271" i="60025" s="1"/>
  <c r="H271" i="60025"/>
  <c r="I271" i="60025" s="1"/>
  <c r="K274" i="60032"/>
  <c r="H274" i="60032"/>
  <c r="I274" i="60032" s="1"/>
  <c r="N271" i="60025" l="1"/>
  <c r="M274" i="60032"/>
  <c r="J271" i="60025" l="1"/>
  <c r="G272" i="60025" s="1"/>
  <c r="M271" i="60025"/>
  <c r="J274" i="60032"/>
  <c r="G275" i="60032" s="1"/>
  <c r="L274" i="60032"/>
  <c r="K272" i="60025" l="1"/>
  <c r="L272" i="60025" s="1"/>
  <c r="H272" i="60025"/>
  <c r="I272" i="60025" s="1"/>
  <c r="K275" i="60032"/>
  <c r="H275" i="60032"/>
  <c r="I275" i="60032" s="1"/>
  <c r="N272" i="60025" l="1"/>
  <c r="M275" i="60032"/>
  <c r="J272" i="60025" l="1"/>
  <c r="G273" i="60025" s="1"/>
  <c r="M272" i="60025"/>
  <c r="J275" i="60032"/>
  <c r="G276" i="60032" s="1"/>
  <c r="L275" i="60032"/>
  <c r="H273" i="60025" l="1"/>
  <c r="I273" i="60025" s="1"/>
  <c r="K273" i="60025"/>
  <c r="L273" i="60025" s="1"/>
  <c r="H276" i="60032"/>
  <c r="I276" i="60032" s="1"/>
  <c r="K276" i="60032"/>
  <c r="N273" i="60025" l="1"/>
  <c r="M276" i="60032"/>
  <c r="J273" i="60025" l="1"/>
  <c r="G274" i="60025" s="1"/>
  <c r="M273" i="60025"/>
  <c r="J276" i="60032"/>
  <c r="G277" i="60032" s="1"/>
  <c r="L276" i="60032"/>
  <c r="K274" i="60025" l="1"/>
  <c r="L274" i="60025" s="1"/>
  <c r="H274" i="60025"/>
  <c r="I274" i="60025" s="1"/>
  <c r="K277" i="60032"/>
  <c r="H277" i="60032"/>
  <c r="I277" i="60032" s="1"/>
  <c r="N274" i="60025" l="1"/>
  <c r="M277" i="60032"/>
  <c r="J274" i="60025" l="1"/>
  <c r="G275" i="60025" s="1"/>
  <c r="M274" i="60025"/>
  <c r="J277" i="60032"/>
  <c r="G278" i="60032" s="1"/>
  <c r="L277" i="60032"/>
  <c r="K275" i="60025" l="1"/>
  <c r="L275" i="60025" s="1"/>
  <c r="H275" i="60025"/>
  <c r="I275" i="60025" s="1"/>
  <c r="K278" i="60032"/>
  <c r="H278" i="60032"/>
  <c r="I278" i="60032" s="1"/>
  <c r="N275" i="60025" l="1"/>
  <c r="M278" i="60032"/>
  <c r="J275" i="60025" l="1"/>
  <c r="G276" i="60025" s="1"/>
  <c r="M275" i="60025"/>
  <c r="J278" i="60032"/>
  <c r="G279" i="60032" s="1"/>
  <c r="L278" i="60032"/>
  <c r="H276" i="60025" l="1"/>
  <c r="I276" i="60025" s="1"/>
  <c r="K276" i="60025"/>
  <c r="L276" i="60025" s="1"/>
  <c r="K279" i="60032"/>
  <c r="H279" i="60032"/>
  <c r="I279" i="60032" s="1"/>
  <c r="N276" i="60025" l="1"/>
  <c r="M279" i="60032"/>
  <c r="J276" i="60025" l="1"/>
  <c r="G277" i="60025" s="1"/>
  <c r="M276" i="60025"/>
  <c r="J279" i="60032"/>
  <c r="G280" i="60032" s="1"/>
  <c r="L279" i="60032"/>
  <c r="K277" i="60025" l="1"/>
  <c r="L277" i="60025" s="1"/>
  <c r="H277" i="60025"/>
  <c r="I277" i="60025" s="1"/>
  <c r="K280" i="60032"/>
  <c r="H280" i="60032"/>
  <c r="I280" i="60032" s="1"/>
  <c r="N277" i="60025" l="1"/>
  <c r="M280" i="60032"/>
  <c r="J277" i="60025" l="1"/>
  <c r="G278" i="60025" s="1"/>
  <c r="M277" i="60025"/>
  <c r="J280" i="60032"/>
  <c r="G281" i="60032" s="1"/>
  <c r="L280" i="60032"/>
  <c r="K278" i="60025" l="1"/>
  <c r="L278" i="60025" s="1"/>
  <c r="H278" i="60025"/>
  <c r="I278" i="60025" s="1"/>
  <c r="K281" i="60032"/>
  <c r="H281" i="60032"/>
  <c r="I281" i="60032" s="1"/>
  <c r="N278" i="60025" l="1"/>
  <c r="M281" i="60032"/>
  <c r="J278" i="60025" l="1"/>
  <c r="G279" i="60025" s="1"/>
  <c r="M278" i="60025"/>
  <c r="J281" i="60032"/>
  <c r="G282" i="60032" s="1"/>
  <c r="L281" i="60032"/>
  <c r="K279" i="60025" l="1"/>
  <c r="L279" i="60025" s="1"/>
  <c r="H279" i="60025"/>
  <c r="I279" i="60025" s="1"/>
  <c r="K282" i="60032"/>
  <c r="H282" i="60032"/>
  <c r="I282" i="60032" s="1"/>
  <c r="N279" i="60025" l="1"/>
  <c r="M282" i="60032"/>
  <c r="J279" i="60025" l="1"/>
  <c r="G280" i="60025" s="1"/>
  <c r="M279" i="60025"/>
  <c r="J282" i="60032"/>
  <c r="G283" i="60032" s="1"/>
  <c r="L282" i="60032"/>
  <c r="H280" i="60025" l="1"/>
  <c r="I280" i="60025" s="1"/>
  <c r="K280" i="60025"/>
  <c r="L280" i="60025" s="1"/>
  <c r="K283" i="60032"/>
  <c r="H283" i="60032"/>
  <c r="I283" i="60032" s="1"/>
  <c r="N280" i="60025" l="1"/>
  <c r="M283" i="60032"/>
  <c r="J280" i="60025" l="1"/>
  <c r="G281" i="60025" s="1"/>
  <c r="M280" i="60025"/>
  <c r="J283" i="60032"/>
  <c r="G284" i="60032" s="1"/>
  <c r="L283" i="60032"/>
  <c r="H281" i="60025" l="1"/>
  <c r="I281" i="60025" s="1"/>
  <c r="K281" i="60025"/>
  <c r="L281" i="60025" s="1"/>
  <c r="K284" i="60032"/>
  <c r="H284" i="60032"/>
  <c r="I284" i="60032" s="1"/>
  <c r="N281" i="60025" l="1"/>
  <c r="M284" i="60032"/>
  <c r="J281" i="60025" l="1"/>
  <c r="G282" i="60025" s="1"/>
  <c r="M281" i="60025"/>
  <c r="J284" i="60032"/>
  <c r="G285" i="60032" s="1"/>
  <c r="L284" i="60032"/>
  <c r="K282" i="60025" l="1"/>
  <c r="L282" i="60025" s="1"/>
  <c r="H282" i="60025"/>
  <c r="I282" i="60025" s="1"/>
  <c r="K285" i="60032"/>
  <c r="H285" i="60032"/>
  <c r="I285" i="60032" s="1"/>
  <c r="N282" i="60025" l="1"/>
  <c r="M285" i="60032"/>
  <c r="J282" i="60025" l="1"/>
  <c r="G283" i="60025" s="1"/>
  <c r="M282" i="60025"/>
  <c r="J285" i="60032"/>
  <c r="G286" i="60032" s="1"/>
  <c r="L285" i="60032"/>
  <c r="H283" i="60025" l="1"/>
  <c r="I283" i="60025" s="1"/>
  <c r="K283" i="60025"/>
  <c r="L283" i="60025" s="1"/>
  <c r="H286" i="60032"/>
  <c r="I286" i="60032" s="1"/>
  <c r="K286" i="60032"/>
  <c r="N283" i="60025" l="1"/>
  <c r="M286" i="60032"/>
  <c r="J283" i="60025" l="1"/>
  <c r="G284" i="60025" s="1"/>
  <c r="M283" i="60025"/>
  <c r="J286" i="60032"/>
  <c r="G287" i="60032" s="1"/>
  <c r="L286" i="60032"/>
  <c r="H284" i="60025" l="1"/>
  <c r="I284" i="60025" s="1"/>
  <c r="K284" i="60025"/>
  <c r="L284" i="60025" s="1"/>
  <c r="K287" i="60032"/>
  <c r="H287" i="60032"/>
  <c r="I287" i="60032" s="1"/>
  <c r="N284" i="60025" l="1"/>
  <c r="M287" i="60032"/>
  <c r="J284" i="60025" l="1"/>
  <c r="G285" i="60025" s="1"/>
  <c r="M284" i="60025"/>
  <c r="J287" i="60032"/>
  <c r="G288" i="60032" s="1"/>
  <c r="L287" i="60032"/>
  <c r="K285" i="60025" l="1"/>
  <c r="L285" i="60025" s="1"/>
  <c r="H285" i="60025"/>
  <c r="I285" i="60025" s="1"/>
  <c r="H288" i="60032"/>
  <c r="I288" i="60032" s="1"/>
  <c r="K288" i="60032"/>
  <c r="N285" i="60025" l="1"/>
  <c r="M288" i="60032"/>
  <c r="J285" i="60025" l="1"/>
  <c r="G286" i="60025" s="1"/>
  <c r="M285" i="60025"/>
  <c r="J288" i="60032"/>
  <c r="G289" i="60032" s="1"/>
  <c r="L288" i="60032"/>
  <c r="K286" i="60025" l="1"/>
  <c r="L286" i="60025" s="1"/>
  <c r="H286" i="60025"/>
  <c r="I286" i="60025" s="1"/>
  <c r="K289" i="60032"/>
  <c r="H289" i="60032"/>
  <c r="I289" i="60032" s="1"/>
  <c r="N286" i="60025" l="1"/>
  <c r="M289" i="60032"/>
  <c r="J286" i="60025" l="1"/>
  <c r="G287" i="60025" s="1"/>
  <c r="M286" i="60025"/>
  <c r="J289" i="60032"/>
  <c r="G290" i="60032" s="1"/>
  <c r="L289" i="60032"/>
  <c r="K287" i="60025" l="1"/>
  <c r="L287" i="60025" s="1"/>
  <c r="H287" i="60025"/>
  <c r="I287" i="60025" s="1"/>
  <c r="K290" i="60032"/>
  <c r="H290" i="60032"/>
  <c r="I290" i="60032" s="1"/>
  <c r="N287" i="60025" l="1"/>
  <c r="M290" i="60032"/>
  <c r="J287" i="60025" l="1"/>
  <c r="G288" i="60025" s="1"/>
  <c r="M287" i="60025"/>
  <c r="J290" i="60032"/>
  <c r="G291" i="60032" s="1"/>
  <c r="L290" i="60032"/>
  <c r="H288" i="60025" l="1"/>
  <c r="I288" i="60025" s="1"/>
  <c r="K288" i="60025"/>
  <c r="L288" i="60025" s="1"/>
  <c r="H291" i="60032"/>
  <c r="I291" i="60032" s="1"/>
  <c r="K291" i="60032"/>
  <c r="N288" i="60025" l="1"/>
  <c r="M291" i="60032"/>
  <c r="J288" i="60025" l="1"/>
  <c r="G289" i="60025" s="1"/>
  <c r="M288" i="60025"/>
  <c r="J291" i="60032"/>
  <c r="G292" i="60032" s="1"/>
  <c r="L291" i="60032"/>
  <c r="K289" i="60025" l="1"/>
  <c r="L289" i="60025" s="1"/>
  <c r="H289" i="60025"/>
  <c r="I289" i="60025" s="1"/>
  <c r="K292" i="60032"/>
  <c r="H292" i="60032"/>
  <c r="I292" i="60032" s="1"/>
  <c r="N289" i="60025" l="1"/>
  <c r="M292" i="60032"/>
  <c r="J289" i="60025" l="1"/>
  <c r="G290" i="60025" s="1"/>
  <c r="M289" i="60025"/>
  <c r="J292" i="60032"/>
  <c r="G293" i="60032" s="1"/>
  <c r="L292" i="60032"/>
  <c r="K290" i="60025" l="1"/>
  <c r="L290" i="60025" s="1"/>
  <c r="H290" i="60025"/>
  <c r="I290" i="60025" s="1"/>
  <c r="K293" i="60032"/>
  <c r="H293" i="60032"/>
  <c r="I293" i="60032" s="1"/>
  <c r="N290" i="60025" l="1"/>
  <c r="M293" i="60032"/>
  <c r="J290" i="60025" l="1"/>
  <c r="G291" i="60025" s="1"/>
  <c r="M290" i="60025"/>
  <c r="J293" i="60032"/>
  <c r="G294" i="60032" s="1"/>
  <c r="L293" i="60032"/>
  <c r="H291" i="60025" l="1"/>
  <c r="I291" i="60025" s="1"/>
  <c r="K291" i="60025"/>
  <c r="L291" i="60025" s="1"/>
  <c r="K294" i="60032"/>
  <c r="H294" i="60032"/>
  <c r="I294" i="60032" s="1"/>
  <c r="N291" i="60025" l="1"/>
  <c r="M294" i="60032"/>
  <c r="J291" i="60025" l="1"/>
  <c r="G292" i="60025" s="1"/>
  <c r="M291" i="60025"/>
  <c r="L294" i="60032"/>
  <c r="J294" i="60032"/>
  <c r="H292" i="60025" l="1"/>
  <c r="I292" i="60025" s="1"/>
  <c r="K292" i="60025"/>
  <c r="L292" i="60025" s="1"/>
  <c r="G295" i="60032"/>
  <c r="H295" i="60032" s="1"/>
  <c r="I295" i="60032" s="1"/>
  <c r="N292" i="60025" l="1"/>
  <c r="K295" i="60032"/>
  <c r="M295" i="60032"/>
  <c r="J292" i="60025" l="1"/>
  <c r="G293" i="60025" s="1"/>
  <c r="M292" i="60025"/>
  <c r="J295" i="60032"/>
  <c r="G296" i="60032" s="1"/>
  <c r="L295" i="60032"/>
  <c r="K293" i="60025" l="1"/>
  <c r="L293" i="60025" s="1"/>
  <c r="H293" i="60025"/>
  <c r="I293" i="60025" s="1"/>
  <c r="K296" i="60032"/>
  <c r="H296" i="60032"/>
  <c r="I296" i="60032" s="1"/>
  <c r="N293" i="60025" l="1"/>
  <c r="M296" i="60032"/>
  <c r="J293" i="60025" l="1"/>
  <c r="G294" i="60025" s="1"/>
  <c r="M293" i="60025"/>
  <c r="J296" i="60032"/>
  <c r="L296" i="60032"/>
  <c r="H294" i="60025" l="1"/>
  <c r="I294" i="60025" s="1"/>
  <c r="K294" i="60025"/>
  <c r="L294" i="60025" s="1"/>
  <c r="G297" i="60032"/>
  <c r="H297" i="60032" s="1"/>
  <c r="I297" i="60032" s="1"/>
  <c r="N294" i="60025" l="1"/>
  <c r="K297" i="60032"/>
  <c r="M297" i="60032"/>
  <c r="J294" i="60025" l="1"/>
  <c r="G295" i="60025" s="1"/>
  <c r="M294" i="60025"/>
  <c r="J297" i="60032"/>
  <c r="G298" i="60032" s="1"/>
  <c r="L297" i="60032"/>
  <c r="H295" i="60025" l="1"/>
  <c r="I295" i="60025" s="1"/>
  <c r="K295" i="60025"/>
  <c r="L295" i="60025" s="1"/>
  <c r="K298" i="60032"/>
  <c r="H298" i="60032"/>
  <c r="I298" i="60032" s="1"/>
  <c r="N295" i="60025" l="1"/>
  <c r="M298" i="60032"/>
  <c r="J295" i="60025" l="1"/>
  <c r="G296" i="60025" s="1"/>
  <c r="M295" i="60025"/>
  <c r="J298" i="60032"/>
  <c r="G299" i="60032" s="1"/>
  <c r="L298" i="60032"/>
  <c r="H296" i="60025" l="1"/>
  <c r="I296" i="60025" s="1"/>
  <c r="K296" i="60025"/>
  <c r="L296" i="60025" s="1"/>
  <c r="K299" i="60032"/>
  <c r="H299" i="60032"/>
  <c r="I299" i="60032" s="1"/>
  <c r="N296" i="60025" l="1"/>
  <c r="M299" i="60032"/>
  <c r="J296" i="60025" l="1"/>
  <c r="G297" i="60025" s="1"/>
  <c r="M296" i="60025"/>
  <c r="J299" i="60032"/>
  <c r="G300" i="60032" s="1"/>
  <c r="L299" i="60032"/>
  <c r="H297" i="60025" l="1"/>
  <c r="I297" i="60025" s="1"/>
  <c r="K297" i="60025"/>
  <c r="L297" i="60025" s="1"/>
  <c r="K300" i="60032"/>
  <c r="H300" i="60032"/>
  <c r="I300" i="60032" s="1"/>
  <c r="N297" i="60025" l="1"/>
  <c r="M300" i="60032"/>
  <c r="J297" i="60025" l="1"/>
  <c r="G298" i="60025" s="1"/>
  <c r="M297" i="60025"/>
  <c r="J300" i="60032"/>
  <c r="G301" i="60032" s="1"/>
  <c r="L300" i="60032"/>
  <c r="H298" i="60025" l="1"/>
  <c r="I298" i="60025" s="1"/>
  <c r="K298" i="60025"/>
  <c r="L298" i="60025" s="1"/>
  <c r="K301" i="60032"/>
  <c r="H301" i="60032"/>
  <c r="I301" i="60032" s="1"/>
  <c r="N298" i="60025" l="1"/>
  <c r="M301" i="60032"/>
  <c r="J298" i="60025" l="1"/>
  <c r="G299" i="60025" s="1"/>
  <c r="M298" i="60025"/>
  <c r="J301" i="60032"/>
  <c r="G302" i="60032" s="1"/>
  <c r="L301" i="60032"/>
  <c r="K299" i="60025" l="1"/>
  <c r="L299" i="60025" s="1"/>
  <c r="H299" i="60025"/>
  <c r="I299" i="60025" s="1"/>
  <c r="K302" i="60032"/>
  <c r="H302" i="60032"/>
  <c r="I302" i="60032" s="1"/>
  <c r="N299" i="60025" l="1"/>
  <c r="M302" i="60032"/>
  <c r="J299" i="60025" l="1"/>
  <c r="G300" i="60025" s="1"/>
  <c r="M299" i="60025"/>
  <c r="J302" i="60032"/>
  <c r="G303" i="60032" s="1"/>
  <c r="L302" i="60032"/>
  <c r="H300" i="60025" l="1"/>
  <c r="I300" i="60025" s="1"/>
  <c r="K300" i="60025"/>
  <c r="L300" i="60025" s="1"/>
  <c r="K303" i="60032"/>
  <c r="H303" i="60032"/>
  <c r="I303" i="60032" s="1"/>
  <c r="N300" i="60025" l="1"/>
  <c r="M303" i="60032"/>
  <c r="J300" i="60025" l="1"/>
  <c r="G301" i="60025" s="1"/>
  <c r="M300" i="60025"/>
  <c r="J303" i="60032"/>
  <c r="G304" i="60032" s="1"/>
  <c r="L303" i="60032"/>
  <c r="H301" i="60025" l="1"/>
  <c r="I301" i="60025" s="1"/>
  <c r="K301" i="60025"/>
  <c r="L301" i="60025" s="1"/>
  <c r="K304" i="60032"/>
  <c r="H304" i="60032"/>
  <c r="I304" i="60032" s="1"/>
  <c r="N301" i="60025" l="1"/>
  <c r="M304" i="60032"/>
  <c r="J301" i="60025" l="1"/>
  <c r="G302" i="60025" s="1"/>
  <c r="M301" i="60025"/>
  <c r="J304" i="60032"/>
  <c r="G305" i="60032" s="1"/>
  <c r="L304" i="60032"/>
  <c r="K302" i="60025" l="1"/>
  <c r="L302" i="60025" s="1"/>
  <c r="H302" i="60025"/>
  <c r="I302" i="60025" s="1"/>
  <c r="H305" i="60032"/>
  <c r="I305" i="60032" s="1"/>
  <c r="K305" i="60032"/>
  <c r="N302" i="60025" l="1"/>
  <c r="M305" i="60032"/>
  <c r="J302" i="60025" l="1"/>
  <c r="G303" i="60025" s="1"/>
  <c r="M302" i="60025"/>
  <c r="J305" i="60032"/>
  <c r="G306" i="60032" s="1"/>
  <c r="L305" i="60032"/>
  <c r="H303" i="60025" l="1"/>
  <c r="I303" i="60025" s="1"/>
  <c r="K303" i="60025"/>
  <c r="L303" i="60025" s="1"/>
  <c r="K306" i="60032"/>
  <c r="H306" i="60032"/>
  <c r="I306" i="60032" s="1"/>
  <c r="N303" i="60025" l="1"/>
  <c r="M306" i="60032"/>
  <c r="J303" i="60025" l="1"/>
  <c r="G304" i="60025" s="1"/>
  <c r="M303" i="60025"/>
  <c r="J306" i="60032"/>
  <c r="G307" i="60032" s="1"/>
  <c r="L306" i="60032"/>
  <c r="H304" i="60025" l="1"/>
  <c r="I304" i="60025" s="1"/>
  <c r="K304" i="60025"/>
  <c r="L304" i="60025" s="1"/>
  <c r="K307" i="60032"/>
  <c r="H307" i="60032"/>
  <c r="I307" i="60032" s="1"/>
  <c r="N304" i="60025" l="1"/>
  <c r="M307" i="60032"/>
  <c r="J304" i="60025" l="1"/>
  <c r="G305" i="60025" s="1"/>
  <c r="M304" i="60025"/>
  <c r="J307" i="60032"/>
  <c r="G308" i="60032" s="1"/>
  <c r="L307" i="60032"/>
  <c r="H305" i="60025" l="1"/>
  <c r="I305" i="60025" s="1"/>
  <c r="K305" i="60025"/>
  <c r="L305" i="60025" s="1"/>
  <c r="K308" i="60032"/>
  <c r="H308" i="60032"/>
  <c r="I308" i="60032" s="1"/>
  <c r="N305" i="60025" l="1"/>
  <c r="M308" i="60032"/>
  <c r="J305" i="60025" l="1"/>
  <c r="G306" i="60025" s="1"/>
  <c r="M305" i="60025"/>
  <c r="J308" i="60032"/>
  <c r="G309" i="60032" s="1"/>
  <c r="L308" i="60032"/>
  <c r="H306" i="60025" l="1"/>
  <c r="I306" i="60025" s="1"/>
  <c r="K306" i="60025"/>
  <c r="L306" i="60025" s="1"/>
  <c r="K309" i="60032"/>
  <c r="H309" i="60032"/>
  <c r="I309" i="60032" s="1"/>
  <c r="N306" i="60025" l="1"/>
  <c r="M309" i="60032"/>
  <c r="J306" i="60025" l="1"/>
  <c r="G307" i="60025" s="1"/>
  <c r="M306" i="60025"/>
  <c r="J309" i="60032"/>
  <c r="G310" i="60032" s="1"/>
  <c r="L309" i="60032"/>
  <c r="H307" i="60025" l="1"/>
  <c r="I307" i="60025" s="1"/>
  <c r="K307" i="60025"/>
  <c r="L307" i="60025" s="1"/>
  <c r="K310" i="60032"/>
  <c r="H310" i="60032"/>
  <c r="I310" i="60032" s="1"/>
  <c r="N307" i="60025" l="1"/>
  <c r="M310" i="60032"/>
  <c r="J307" i="60025" l="1"/>
  <c r="G308" i="60025" s="1"/>
  <c r="M307" i="60025"/>
  <c r="J310" i="60032"/>
  <c r="G311" i="60032" s="1"/>
  <c r="L310" i="60032"/>
  <c r="K308" i="60025" l="1"/>
  <c r="L308" i="60025" s="1"/>
  <c r="H308" i="60025"/>
  <c r="I308" i="60025" s="1"/>
  <c r="K311" i="60032"/>
  <c r="H311" i="60032"/>
  <c r="I311" i="60032" s="1"/>
  <c r="N308" i="60025" l="1"/>
  <c r="M311" i="60032"/>
  <c r="J308" i="60025" l="1"/>
  <c r="G309" i="60025" s="1"/>
  <c r="M308" i="60025"/>
  <c r="J311" i="60032"/>
  <c r="G312" i="60032" s="1"/>
  <c r="L311" i="60032"/>
  <c r="K309" i="60025" l="1"/>
  <c r="L309" i="60025" s="1"/>
  <c r="H309" i="60025"/>
  <c r="I309" i="60025" s="1"/>
  <c r="K312" i="60032"/>
  <c r="H312" i="60032"/>
  <c r="I312" i="60032" s="1"/>
  <c r="N309" i="60025" l="1"/>
  <c r="M312" i="60032"/>
  <c r="J309" i="60025" l="1"/>
  <c r="G310" i="60025" s="1"/>
  <c r="M309" i="60025"/>
  <c r="J312" i="60032"/>
  <c r="G313" i="60032" s="1"/>
  <c r="L312" i="60032"/>
  <c r="H310" i="60025" l="1"/>
  <c r="I310" i="60025" s="1"/>
  <c r="K310" i="60025"/>
  <c r="L310" i="60025" s="1"/>
  <c r="K313" i="60032"/>
  <c r="H313" i="60032"/>
  <c r="I313" i="60032" s="1"/>
  <c r="N310" i="60025" l="1"/>
  <c r="M313" i="60032"/>
  <c r="J310" i="60025" l="1"/>
  <c r="G311" i="60025" s="1"/>
  <c r="M310" i="60025"/>
  <c r="J313" i="60032"/>
  <c r="G314" i="60032" s="1"/>
  <c r="L313" i="60032"/>
  <c r="H311" i="60025" l="1"/>
  <c r="I311" i="60025" s="1"/>
  <c r="K311" i="60025"/>
  <c r="L311" i="60025" s="1"/>
  <c r="K314" i="60032"/>
  <c r="H314" i="60032"/>
  <c r="I314" i="60032" s="1"/>
  <c r="N311" i="60025" l="1"/>
  <c r="M314" i="60032"/>
  <c r="J311" i="60025" l="1"/>
  <c r="G312" i="60025" s="1"/>
  <c r="M311" i="60025"/>
  <c r="J314" i="60032"/>
  <c r="G315" i="60032" s="1"/>
  <c r="L314" i="60032"/>
  <c r="H312" i="60025" l="1"/>
  <c r="I312" i="60025" s="1"/>
  <c r="K312" i="60025"/>
  <c r="L312" i="60025" s="1"/>
  <c r="K315" i="60032"/>
  <c r="H315" i="60032"/>
  <c r="I315" i="60032" s="1"/>
  <c r="N312" i="60025" l="1"/>
  <c r="M315" i="60032"/>
  <c r="J312" i="60025" l="1"/>
  <c r="G313" i="60025" s="1"/>
  <c r="M312" i="60025"/>
  <c r="J315" i="60032"/>
  <c r="G316" i="60032" s="1"/>
  <c r="L315" i="60032"/>
  <c r="H313" i="60025" l="1"/>
  <c r="I313" i="60025" s="1"/>
  <c r="K313" i="60025"/>
  <c r="L313" i="60025" s="1"/>
  <c r="H316" i="60032"/>
  <c r="I316" i="60032" s="1"/>
  <c r="K316" i="60032"/>
  <c r="N313" i="60025" l="1"/>
  <c r="M316" i="60032"/>
  <c r="J313" i="60025" l="1"/>
  <c r="G314" i="60025" s="1"/>
  <c r="M313" i="60025"/>
  <c r="J316" i="60032"/>
  <c r="G317" i="60032" s="1"/>
  <c r="L316" i="60032"/>
  <c r="H314" i="60025" l="1"/>
  <c r="I314" i="60025" s="1"/>
  <c r="K314" i="60025"/>
  <c r="L314" i="60025" s="1"/>
  <c r="K317" i="60032"/>
  <c r="H317" i="60032"/>
  <c r="I317" i="60032" s="1"/>
  <c r="N314" i="60025" l="1"/>
  <c r="M317" i="60032"/>
  <c r="J314" i="60025" l="1"/>
  <c r="G315" i="60025" s="1"/>
  <c r="M314" i="60025"/>
  <c r="J317" i="60032"/>
  <c r="G318" i="60032" s="1"/>
  <c r="L317" i="60032"/>
  <c r="H315" i="60025" l="1"/>
  <c r="I315" i="60025" s="1"/>
  <c r="K315" i="60025"/>
  <c r="L315" i="60025" s="1"/>
  <c r="H318" i="60032"/>
  <c r="I318" i="60032" s="1"/>
  <c r="K318" i="60032"/>
  <c r="N315" i="60025" l="1"/>
  <c r="M318" i="60032"/>
  <c r="J315" i="60025" l="1"/>
  <c r="G316" i="60025" s="1"/>
  <c r="M315" i="60025"/>
  <c r="J318" i="60032"/>
  <c r="G319" i="60032" s="1"/>
  <c r="L318" i="60032"/>
  <c r="K316" i="60025" l="1"/>
  <c r="L316" i="60025" s="1"/>
  <c r="H316" i="60025"/>
  <c r="I316" i="60025" s="1"/>
  <c r="H319" i="60032"/>
  <c r="I319" i="60032" s="1"/>
  <c r="K319" i="60032"/>
  <c r="N316" i="60025" l="1"/>
  <c r="M319" i="60032"/>
  <c r="J316" i="60025" l="1"/>
  <c r="G317" i="60025" s="1"/>
  <c r="M316" i="60025"/>
  <c r="J319" i="60032"/>
  <c r="G320" i="60032" s="1"/>
  <c r="L319" i="60032"/>
  <c r="K317" i="60025" l="1"/>
  <c r="L317" i="60025" s="1"/>
  <c r="H317" i="60025"/>
  <c r="I317" i="60025" s="1"/>
  <c r="H320" i="60032"/>
  <c r="I320" i="60032" s="1"/>
  <c r="K320" i="60032"/>
  <c r="N317" i="60025" l="1"/>
  <c r="M320" i="60032"/>
  <c r="J317" i="60025" l="1"/>
  <c r="G318" i="60025" s="1"/>
  <c r="M317" i="60025"/>
  <c r="J320" i="60032"/>
  <c r="G321" i="60032" s="1"/>
  <c r="L320" i="60032"/>
  <c r="H318" i="60025" l="1"/>
  <c r="I318" i="60025" s="1"/>
  <c r="K318" i="60025"/>
  <c r="L318" i="60025" s="1"/>
  <c r="H321" i="60032"/>
  <c r="I321" i="60032" s="1"/>
  <c r="K321" i="60032"/>
  <c r="N318" i="60025" l="1"/>
  <c r="M321" i="60032"/>
  <c r="J318" i="60025" l="1"/>
  <c r="G319" i="60025" s="1"/>
  <c r="M318" i="60025"/>
  <c r="J321" i="60032"/>
  <c r="G322" i="60032" s="1"/>
  <c r="L321" i="60032"/>
  <c r="K319" i="60025" l="1"/>
  <c r="L319" i="60025" s="1"/>
  <c r="H319" i="60025"/>
  <c r="I319" i="60025" s="1"/>
  <c r="H322" i="60032"/>
  <c r="I322" i="60032" s="1"/>
  <c r="K322" i="60032"/>
  <c r="N319" i="60025" l="1"/>
  <c r="M322" i="60032"/>
  <c r="J319" i="60025" l="1"/>
  <c r="G320" i="60025" s="1"/>
  <c r="M319" i="60025"/>
  <c r="J322" i="60032"/>
  <c r="G323" i="60032" s="1"/>
  <c r="L322" i="60032"/>
  <c r="H320" i="60025" l="1"/>
  <c r="I320" i="60025" s="1"/>
  <c r="K320" i="60025"/>
  <c r="L320" i="60025" s="1"/>
  <c r="H323" i="60032"/>
  <c r="I323" i="60032" s="1"/>
  <c r="K323" i="60032"/>
  <c r="N320" i="60025" l="1"/>
  <c r="M323" i="60032"/>
  <c r="J320" i="60025" l="1"/>
  <c r="G321" i="60025" s="1"/>
  <c r="M320" i="60025"/>
  <c r="J323" i="60032"/>
  <c r="G324" i="60032" s="1"/>
  <c r="L323" i="60032"/>
  <c r="K321" i="60025" l="1"/>
  <c r="L321" i="60025" s="1"/>
  <c r="H321" i="60025"/>
  <c r="I321" i="60025" s="1"/>
  <c r="K324" i="60032"/>
  <c r="H324" i="60032"/>
  <c r="I324" i="60032" s="1"/>
  <c r="N321" i="60025" l="1"/>
  <c r="M324" i="60032"/>
  <c r="J321" i="60025" l="1"/>
  <c r="G322" i="60025" s="1"/>
  <c r="M321" i="60025"/>
  <c r="J324" i="60032"/>
  <c r="G325" i="60032" s="1"/>
  <c r="L324" i="60032"/>
  <c r="H322" i="60025" l="1"/>
  <c r="I322" i="60025" s="1"/>
  <c r="K322" i="60025"/>
  <c r="L322" i="60025" s="1"/>
  <c r="K325" i="60032"/>
  <c r="H325" i="60032"/>
  <c r="I325" i="60032" s="1"/>
  <c r="N322" i="60025" l="1"/>
  <c r="M325" i="60032"/>
  <c r="J322" i="60025" l="1"/>
  <c r="G323" i="60025" s="1"/>
  <c r="M322" i="60025"/>
  <c r="L325" i="60032"/>
  <c r="J325" i="60032"/>
  <c r="K323" i="60025" l="1"/>
  <c r="L323" i="60025" s="1"/>
  <c r="H323" i="60025"/>
  <c r="I323" i="60025" s="1"/>
  <c r="G326" i="60032"/>
  <c r="K326" i="60032" s="1"/>
  <c r="N323" i="60025" l="1"/>
  <c r="H326" i="60032"/>
  <c r="I326" i="60032" s="1"/>
  <c r="J323" i="60025" l="1"/>
  <c r="G324" i="60025" s="1"/>
  <c r="M323" i="60025"/>
  <c r="M326" i="60032"/>
  <c r="K324" i="60025" l="1"/>
  <c r="L324" i="60025" s="1"/>
  <c r="H324" i="60025"/>
  <c r="I324" i="60025" s="1"/>
  <c r="L326" i="60032"/>
  <c r="J326" i="60032"/>
  <c r="N324" i="60025" l="1"/>
  <c r="G327" i="60032"/>
  <c r="H327" i="60032" s="1"/>
  <c r="I327" i="60032" s="1"/>
  <c r="J324" i="60025" l="1"/>
  <c r="G325" i="60025" s="1"/>
  <c r="M324" i="60025"/>
  <c r="M327" i="60032"/>
  <c r="K327" i="60032"/>
  <c r="H325" i="60025" l="1"/>
  <c r="I325" i="60025" s="1"/>
  <c r="K325" i="60025"/>
  <c r="L325" i="60025" s="1"/>
  <c r="L327" i="60032"/>
  <c r="J327" i="60032"/>
  <c r="N325" i="60025" l="1"/>
  <c r="G328" i="60032"/>
  <c r="H328" i="60032" s="1"/>
  <c r="I328" i="60032" s="1"/>
  <c r="J325" i="60025" l="1"/>
  <c r="G326" i="60025" s="1"/>
  <c r="M325" i="60025"/>
  <c r="M328" i="60032"/>
  <c r="K328" i="60032"/>
  <c r="K326" i="60025" l="1"/>
  <c r="L326" i="60025" s="1"/>
  <c r="H326" i="60025"/>
  <c r="I326" i="60025" s="1"/>
  <c r="L328" i="60032"/>
  <c r="J328" i="60032"/>
  <c r="N326" i="60025" l="1"/>
  <c r="G329" i="60032"/>
  <c r="H329" i="60032" s="1"/>
  <c r="I329" i="60032" s="1"/>
  <c r="J326" i="60025" l="1"/>
  <c r="G327" i="60025" s="1"/>
  <c r="M326" i="60025"/>
  <c r="M329" i="60032"/>
  <c r="K329" i="60032"/>
  <c r="K327" i="60025" l="1"/>
  <c r="L327" i="60025" s="1"/>
  <c r="H327" i="60025"/>
  <c r="I327" i="60025" s="1"/>
  <c r="J329" i="60032"/>
  <c r="L329" i="60032"/>
  <c r="N327" i="60025" l="1"/>
  <c r="G330" i="60032"/>
  <c r="K330" i="60032" s="1"/>
  <c r="J327" i="60025" l="1"/>
  <c r="G328" i="60025" s="1"/>
  <c r="M327" i="60025"/>
  <c r="H330" i="60032"/>
  <c r="I330" i="60032" s="1"/>
  <c r="K328" i="60025" l="1"/>
  <c r="L328" i="60025" s="1"/>
  <c r="H328" i="60025"/>
  <c r="I328" i="60025" s="1"/>
  <c r="M330" i="60032"/>
  <c r="N328" i="60025" l="1"/>
  <c r="J330" i="60032"/>
  <c r="G331" i="60032" s="1"/>
  <c r="L330" i="60032"/>
  <c r="J328" i="60025" l="1"/>
  <c r="G329" i="60025" s="1"/>
  <c r="M328" i="60025"/>
  <c r="H331" i="60032"/>
  <c r="I331" i="60032" s="1"/>
  <c r="K331" i="60032"/>
  <c r="H329" i="60025" l="1"/>
  <c r="I329" i="60025" s="1"/>
  <c r="K329" i="60025"/>
  <c r="L329" i="60025" s="1"/>
  <c r="M331" i="60032"/>
  <c r="N329" i="60025" l="1"/>
  <c r="J331" i="60032"/>
  <c r="G332" i="60032" s="1"/>
  <c r="L331" i="60032"/>
  <c r="J329" i="60025" l="1"/>
  <c r="G330" i="60025" s="1"/>
  <c r="M329" i="60025"/>
  <c r="H332" i="60032"/>
  <c r="I332" i="60032" s="1"/>
  <c r="K332" i="60032"/>
  <c r="K330" i="60025" l="1"/>
  <c r="L330" i="60025" s="1"/>
  <c r="H330" i="60025"/>
  <c r="I330" i="60025" s="1"/>
  <c r="M332" i="60032"/>
  <c r="N330" i="60025" l="1"/>
  <c r="J332" i="60032"/>
  <c r="G333" i="60032" s="1"/>
  <c r="L332" i="60032"/>
  <c r="J330" i="60025" l="1"/>
  <c r="G331" i="60025" s="1"/>
  <c r="M330" i="60025"/>
  <c r="H333" i="60032"/>
  <c r="I333" i="60032" s="1"/>
  <c r="K333" i="60032"/>
  <c r="H331" i="60025" l="1"/>
  <c r="I331" i="60025" s="1"/>
  <c r="K331" i="60025"/>
  <c r="L331" i="60025" s="1"/>
  <c r="M333" i="60032"/>
  <c r="N331" i="60025" l="1"/>
  <c r="J333" i="60032"/>
  <c r="G334" i="60032" s="1"/>
  <c r="L333" i="60032"/>
  <c r="J331" i="60025" l="1"/>
  <c r="G332" i="60025" s="1"/>
  <c r="M331" i="60025"/>
  <c r="K334" i="60032"/>
  <c r="H334" i="60032"/>
  <c r="I334" i="60032" s="1"/>
  <c r="H332" i="60025" l="1"/>
  <c r="I332" i="60025" s="1"/>
  <c r="K332" i="60025"/>
  <c r="L332" i="60025" s="1"/>
  <c r="M334" i="60032"/>
  <c r="N332" i="60025" l="1"/>
  <c r="J334" i="60032"/>
  <c r="G335" i="60032" s="1"/>
  <c r="L334" i="60032"/>
  <c r="J332" i="60025" l="1"/>
  <c r="G333" i="60025" s="1"/>
  <c r="M332" i="60025"/>
  <c r="K335" i="60032"/>
  <c r="H335" i="60032"/>
  <c r="I335" i="60032" s="1"/>
  <c r="K333" i="60025" l="1"/>
  <c r="L333" i="60025" s="1"/>
  <c r="H333" i="60025"/>
  <c r="I333" i="60025" s="1"/>
  <c r="M335" i="60032"/>
  <c r="N333" i="60025" l="1"/>
  <c r="J335" i="60032"/>
  <c r="G336" i="60032" s="1"/>
  <c r="L335" i="60032"/>
  <c r="J333" i="60025" l="1"/>
  <c r="G334" i="60025" s="1"/>
  <c r="M333" i="60025"/>
  <c r="K336" i="60032"/>
  <c r="H336" i="60032"/>
  <c r="I336" i="60032" s="1"/>
  <c r="K334" i="60025" l="1"/>
  <c r="L334" i="60025" s="1"/>
  <c r="H334" i="60025"/>
  <c r="I334" i="60025" s="1"/>
  <c r="M336" i="60032"/>
  <c r="N334" i="60025" l="1"/>
  <c r="J336" i="60032"/>
  <c r="G337" i="60032" s="1"/>
  <c r="L336" i="60032"/>
  <c r="J334" i="60025" l="1"/>
  <c r="G335" i="60025" s="1"/>
  <c r="M334" i="60025"/>
  <c r="K337" i="60032"/>
  <c r="H337" i="60032"/>
  <c r="I337" i="60032" s="1"/>
  <c r="K335" i="60025" l="1"/>
  <c r="L335" i="60025" s="1"/>
  <c r="H335" i="60025"/>
  <c r="I335" i="60025" s="1"/>
  <c r="M337" i="60032"/>
  <c r="N335" i="60025" l="1"/>
  <c r="J337" i="60032"/>
  <c r="G338" i="60032" s="1"/>
  <c r="L337" i="60032"/>
  <c r="J335" i="60025" l="1"/>
  <c r="G336" i="60025" s="1"/>
  <c r="M335" i="60025"/>
  <c r="K338" i="60032"/>
  <c r="H338" i="60032"/>
  <c r="I338" i="60032" s="1"/>
  <c r="H336" i="60025" l="1"/>
  <c r="I336" i="60025" s="1"/>
  <c r="K336" i="60025"/>
  <c r="L336" i="60025" s="1"/>
  <c r="M338" i="60032"/>
  <c r="N336" i="60025" l="1"/>
  <c r="J338" i="60032"/>
  <c r="G339" i="60032" s="1"/>
  <c r="L338" i="60032"/>
  <c r="J336" i="60025" l="1"/>
  <c r="G337" i="60025" s="1"/>
  <c r="M336" i="60025"/>
  <c r="K339" i="60032"/>
  <c r="H339" i="60032"/>
  <c r="I339" i="60032" s="1"/>
  <c r="K337" i="60025" l="1"/>
  <c r="L337" i="60025" s="1"/>
  <c r="H337" i="60025"/>
  <c r="I337" i="60025" s="1"/>
  <c r="M339" i="60032"/>
  <c r="N337" i="60025" l="1"/>
  <c r="J339" i="60032"/>
  <c r="G340" i="60032" s="1"/>
  <c r="L339" i="60032"/>
  <c r="J337" i="60025" l="1"/>
  <c r="G338" i="60025" s="1"/>
  <c r="M337" i="60025"/>
  <c r="K340" i="60032"/>
  <c r="H340" i="60032"/>
  <c r="I340" i="60032" s="1"/>
  <c r="K338" i="60025" l="1"/>
  <c r="L338" i="60025" s="1"/>
  <c r="H338" i="60025"/>
  <c r="I338" i="60025" s="1"/>
  <c r="M340" i="60032"/>
  <c r="N338" i="60025" l="1"/>
  <c r="J340" i="60032"/>
  <c r="G341" i="60032" s="1"/>
  <c r="L340" i="60032"/>
  <c r="J338" i="60025" l="1"/>
  <c r="G339" i="60025" s="1"/>
  <c r="M338" i="60025"/>
  <c r="K341" i="60032"/>
  <c r="H341" i="60032"/>
  <c r="I341" i="60032" s="1"/>
  <c r="H339" i="60025" l="1"/>
  <c r="I339" i="60025" s="1"/>
  <c r="K339" i="60025"/>
  <c r="L339" i="60025" s="1"/>
  <c r="M341" i="60032"/>
  <c r="N339" i="60025" l="1"/>
  <c r="J341" i="60032"/>
  <c r="G342" i="60032" s="1"/>
  <c r="L341" i="60032"/>
  <c r="J339" i="60025" l="1"/>
  <c r="G340" i="60025" s="1"/>
  <c r="M339" i="60025"/>
  <c r="K342" i="60032"/>
  <c r="H342" i="60032"/>
  <c r="I342" i="60032" s="1"/>
  <c r="K340" i="60025" l="1"/>
  <c r="L340" i="60025" s="1"/>
  <c r="H340" i="60025"/>
  <c r="I340" i="60025" s="1"/>
  <c r="M342" i="60032"/>
  <c r="N340" i="60025" l="1"/>
  <c r="J342" i="60032"/>
  <c r="G343" i="60032" s="1"/>
  <c r="L342" i="60032"/>
  <c r="J340" i="60025" l="1"/>
  <c r="G341" i="60025" s="1"/>
  <c r="M340" i="60025"/>
  <c r="K343" i="60032"/>
  <c r="H343" i="60032"/>
  <c r="I343" i="60032" s="1"/>
  <c r="K341" i="60025" l="1"/>
  <c r="L341" i="60025" s="1"/>
  <c r="H341" i="60025"/>
  <c r="I341" i="60025" s="1"/>
  <c r="M343" i="60032"/>
  <c r="N341" i="60025" l="1"/>
  <c r="J343" i="60032"/>
  <c r="G344" i="60032" s="1"/>
  <c r="L343" i="60032"/>
  <c r="J341" i="60025" l="1"/>
  <c r="G342" i="60025" s="1"/>
  <c r="M341" i="60025"/>
  <c r="K344" i="60032"/>
  <c r="H344" i="60032"/>
  <c r="I344" i="60032" s="1"/>
  <c r="K342" i="60025" l="1"/>
  <c r="L342" i="60025" s="1"/>
  <c r="H342" i="60025"/>
  <c r="I342" i="60025" s="1"/>
  <c r="M344" i="60032"/>
  <c r="N342" i="60025" l="1"/>
  <c r="L344" i="60032"/>
  <c r="J344" i="60032"/>
  <c r="J342" i="60025" l="1"/>
  <c r="G343" i="60025" s="1"/>
  <c r="M342" i="60025"/>
  <c r="G345" i="60032"/>
  <c r="H345" i="60032" s="1"/>
  <c r="I345" i="60032" s="1"/>
  <c r="H343" i="60025" l="1"/>
  <c r="I343" i="60025" s="1"/>
  <c r="K343" i="60025"/>
  <c r="L343" i="60025" s="1"/>
  <c r="M345" i="60032"/>
  <c r="K345" i="60032"/>
  <c r="N343" i="60025" l="1"/>
  <c r="L345" i="60032"/>
  <c r="J345" i="60032"/>
  <c r="G346" i="60032" s="1"/>
  <c r="J343" i="60025" l="1"/>
  <c r="G344" i="60025" s="1"/>
  <c r="M343" i="60025"/>
  <c r="K346" i="60032"/>
  <c r="H346" i="60032"/>
  <c r="I346" i="60032" s="1"/>
  <c r="K344" i="60025" l="1"/>
  <c r="L344" i="60025" s="1"/>
  <c r="H344" i="60025"/>
  <c r="I344" i="60025" s="1"/>
  <c r="M346" i="60032"/>
  <c r="N344" i="60025" l="1"/>
  <c r="J346" i="60032"/>
  <c r="L346" i="60032"/>
  <c r="J344" i="60025" l="1"/>
  <c r="G345" i="60025" s="1"/>
  <c r="M344" i="60025"/>
  <c r="G347" i="60032"/>
  <c r="H347" i="60032" s="1"/>
  <c r="I347" i="60032" s="1"/>
  <c r="H345" i="60025" l="1"/>
  <c r="I345" i="60025" s="1"/>
  <c r="K345" i="60025"/>
  <c r="L345" i="60025" s="1"/>
  <c r="M347" i="60032"/>
  <c r="K347" i="60032"/>
  <c r="N345" i="60025" l="1"/>
  <c r="J347" i="60032"/>
  <c r="G348" i="60032" s="1"/>
  <c r="L347" i="60032"/>
  <c r="J345" i="60025" l="1"/>
  <c r="G346" i="60025" s="1"/>
  <c r="M345" i="60025"/>
  <c r="K348" i="60032"/>
  <c r="H348" i="60032"/>
  <c r="I348" i="60032" s="1"/>
  <c r="K346" i="60025" l="1"/>
  <c r="L346" i="60025" s="1"/>
  <c r="H346" i="60025"/>
  <c r="I346" i="60025" s="1"/>
  <c r="M348" i="60032"/>
  <c r="N346" i="60025" l="1"/>
  <c r="L348" i="60032"/>
  <c r="J348" i="60032"/>
  <c r="J346" i="60025" l="1"/>
  <c r="G347" i="60025" s="1"/>
  <c r="M346" i="60025"/>
  <c r="G349" i="60032"/>
  <c r="H349" i="60032" s="1"/>
  <c r="I349" i="60032" s="1"/>
  <c r="K347" i="60025" l="1"/>
  <c r="L347" i="60025" s="1"/>
  <c r="H347" i="60025"/>
  <c r="I347" i="60025" s="1"/>
  <c r="M349" i="60032"/>
  <c r="K349" i="60032"/>
  <c r="N347" i="60025" l="1"/>
  <c r="L349" i="60032"/>
  <c r="J349" i="60032"/>
  <c r="J347" i="60025" l="1"/>
  <c r="G348" i="60025" s="1"/>
  <c r="M347" i="60025"/>
  <c r="G350" i="60032"/>
  <c r="H350" i="60032" s="1"/>
  <c r="I350" i="60032" s="1"/>
  <c r="H348" i="60025" l="1"/>
  <c r="I348" i="60025" s="1"/>
  <c r="K348" i="60025"/>
  <c r="L348" i="60025" s="1"/>
  <c r="M350" i="60032"/>
  <c r="K350" i="60032"/>
  <c r="N348" i="60025" l="1"/>
  <c r="L350" i="60032"/>
  <c r="J350" i="60032"/>
  <c r="J348" i="60025" l="1"/>
  <c r="G349" i="60025" s="1"/>
  <c r="M348" i="60025"/>
  <c r="G351" i="60032"/>
  <c r="H351" i="60032" s="1"/>
  <c r="I351" i="60032" s="1"/>
  <c r="H349" i="60025" l="1"/>
  <c r="I349" i="60025" s="1"/>
  <c r="K349" i="60025"/>
  <c r="L349" i="60025" s="1"/>
  <c r="M351" i="60032"/>
  <c r="K351" i="60032"/>
  <c r="N349" i="60025" l="1"/>
  <c r="J351" i="60032"/>
  <c r="G352" i="60032" s="1"/>
  <c r="L351" i="60032"/>
  <c r="J349" i="60025" l="1"/>
  <c r="G350" i="60025" s="1"/>
  <c r="M349" i="60025"/>
  <c r="H352" i="60032"/>
  <c r="I352" i="60032" s="1"/>
  <c r="K352" i="60032"/>
  <c r="K350" i="60025" l="1"/>
  <c r="L350" i="60025" s="1"/>
  <c r="H350" i="60025"/>
  <c r="I350" i="60025" s="1"/>
  <c r="M352" i="60032"/>
  <c r="N350" i="60025" l="1"/>
  <c r="J352" i="60032"/>
  <c r="G353" i="60032" s="1"/>
  <c r="L352" i="60032"/>
  <c r="J350" i="60025" l="1"/>
  <c r="G351" i="60025" s="1"/>
  <c r="M350" i="60025"/>
  <c r="K353" i="60032"/>
  <c r="H353" i="60032"/>
  <c r="I353" i="60032" s="1"/>
  <c r="H351" i="60025" l="1"/>
  <c r="I351" i="60025" s="1"/>
  <c r="K351" i="60025"/>
  <c r="L351" i="60025" s="1"/>
  <c r="M353" i="60032"/>
  <c r="N351" i="60025" l="1"/>
  <c r="J353" i="60032"/>
  <c r="G354" i="60032" s="1"/>
  <c r="L353" i="60032"/>
  <c r="J351" i="60025" l="1"/>
  <c r="G352" i="60025" s="1"/>
  <c r="M351" i="60025"/>
  <c r="K354" i="60032"/>
  <c r="H354" i="60032"/>
  <c r="I354" i="60032" s="1"/>
  <c r="K352" i="60025" l="1"/>
  <c r="L352" i="60025" s="1"/>
  <c r="H352" i="60025"/>
  <c r="I352" i="60025" s="1"/>
  <c r="M354" i="60032"/>
  <c r="N352" i="60025" l="1"/>
  <c r="J354" i="60032"/>
  <c r="G355" i="60032" s="1"/>
  <c r="L354" i="60032"/>
  <c r="J352" i="60025" l="1"/>
  <c r="G353" i="60025" s="1"/>
  <c r="M352" i="60025"/>
  <c r="K355" i="60032"/>
  <c r="H355" i="60032"/>
  <c r="I355" i="60032" s="1"/>
  <c r="H353" i="60025" l="1"/>
  <c r="I353" i="60025" s="1"/>
  <c r="K353" i="60025"/>
  <c r="L353" i="60025" s="1"/>
  <c r="M355" i="60032"/>
  <c r="N353" i="60025" l="1"/>
  <c r="J355" i="60032"/>
  <c r="G356" i="60032" s="1"/>
  <c r="L355" i="60032"/>
  <c r="J353" i="60025" l="1"/>
  <c r="G354" i="60025" s="1"/>
  <c r="M353" i="60025"/>
  <c r="K356" i="60032"/>
  <c r="H356" i="60032"/>
  <c r="I356" i="60032" s="1"/>
  <c r="H354" i="60025" l="1"/>
  <c r="I354" i="60025" s="1"/>
  <c r="K354" i="60025"/>
  <c r="L354" i="60025" s="1"/>
  <c r="M356" i="60032"/>
  <c r="N354" i="60025" l="1"/>
  <c r="J356" i="60032"/>
  <c r="G357" i="60032" s="1"/>
  <c r="L356" i="60032"/>
  <c r="J354" i="60025" l="1"/>
  <c r="G355" i="60025" s="1"/>
  <c r="M354" i="60025"/>
  <c r="H357" i="60032"/>
  <c r="I357" i="60032" s="1"/>
  <c r="K357" i="60032"/>
  <c r="H355" i="60025" l="1"/>
  <c r="I355" i="60025" s="1"/>
  <c r="K355" i="60025"/>
  <c r="L355" i="60025" s="1"/>
  <c r="M357" i="60032"/>
  <c r="N355" i="60025" l="1"/>
  <c r="J357" i="60032"/>
  <c r="G358" i="60032" s="1"/>
  <c r="L357" i="60032"/>
  <c r="J355" i="60025" l="1"/>
  <c r="G356" i="60025" s="1"/>
  <c r="M355" i="60025"/>
  <c r="H358" i="60032"/>
  <c r="I358" i="60032" s="1"/>
  <c r="K358" i="60032"/>
  <c r="K356" i="60025" l="1"/>
  <c r="L356" i="60025" s="1"/>
  <c r="H356" i="60025"/>
  <c r="I356" i="60025" s="1"/>
  <c r="M358" i="60032"/>
  <c r="N356" i="60025" l="1"/>
  <c r="J358" i="60032"/>
  <c r="G359" i="60032" s="1"/>
  <c r="L358" i="60032"/>
  <c r="J356" i="60025" l="1"/>
  <c r="G357" i="60025" s="1"/>
  <c r="M356" i="60025"/>
  <c r="H359" i="60032"/>
  <c r="I359" i="60032" s="1"/>
  <c r="K359" i="60032"/>
  <c r="H357" i="60025" l="1"/>
  <c r="I357" i="60025" s="1"/>
  <c r="K357" i="60025"/>
  <c r="L357" i="60025" s="1"/>
  <c r="M359" i="60032"/>
  <c r="N357" i="60025" l="1"/>
  <c r="J359" i="60032"/>
  <c r="G360" i="60032" s="1"/>
  <c r="L359" i="60032"/>
  <c r="J357" i="60025" l="1"/>
  <c r="G358" i="60025" s="1"/>
  <c r="M357" i="60025"/>
  <c r="K360" i="60032"/>
  <c r="H360" i="60032"/>
  <c r="I360" i="60032" s="1"/>
  <c r="K358" i="60025" l="1"/>
  <c r="L358" i="60025" s="1"/>
  <c r="H358" i="60025"/>
  <c r="I358" i="60025" s="1"/>
  <c r="M360" i="60032"/>
  <c r="N358" i="60025" l="1"/>
  <c r="J360" i="60032"/>
  <c r="G361" i="60032" s="1"/>
  <c r="L360" i="60032"/>
  <c r="J358" i="60025" l="1"/>
  <c r="G359" i="60025" s="1"/>
  <c r="M358" i="60025"/>
  <c r="H361" i="60032"/>
  <c r="I361" i="60032" s="1"/>
  <c r="K361" i="60032"/>
  <c r="H359" i="60025" l="1"/>
  <c r="I359" i="60025" s="1"/>
  <c r="K359" i="60025"/>
  <c r="L359" i="60025" s="1"/>
  <c r="M361" i="60032"/>
  <c r="N359" i="60025" l="1"/>
  <c r="J361" i="60032"/>
  <c r="G362" i="60032" s="1"/>
  <c r="L361" i="60032"/>
  <c r="J359" i="60025" l="1"/>
  <c r="G360" i="60025" s="1"/>
  <c r="M359" i="60025"/>
  <c r="K362" i="60032"/>
  <c r="H362" i="60032"/>
  <c r="I362" i="60032" s="1"/>
  <c r="H360" i="60025" l="1"/>
  <c r="I360" i="60025" s="1"/>
  <c r="K360" i="60025"/>
  <c r="L360" i="60025" s="1"/>
  <c r="M362" i="60032"/>
  <c r="N360" i="60025" l="1"/>
  <c r="J362" i="60032"/>
  <c r="G363" i="60032" s="1"/>
  <c r="L362" i="60032"/>
  <c r="J360" i="60025" l="1"/>
  <c r="G361" i="60025" s="1"/>
  <c r="M360" i="60025"/>
  <c r="H363" i="60032"/>
  <c r="I363" i="60032" s="1"/>
  <c r="K363" i="60032"/>
  <c r="H361" i="60025" l="1"/>
  <c r="I361" i="60025" s="1"/>
  <c r="K361" i="60025"/>
  <c r="L361" i="60025" s="1"/>
  <c r="M363" i="60032"/>
  <c r="N361" i="60025" l="1"/>
  <c r="J363" i="60032"/>
  <c r="G364" i="60032" s="1"/>
  <c r="L363" i="60032"/>
  <c r="J361" i="60025" l="1"/>
  <c r="G362" i="60025" s="1"/>
  <c r="M361" i="60025"/>
  <c r="H364" i="60032"/>
  <c r="I364" i="60032" s="1"/>
  <c r="K364" i="60032"/>
  <c r="H362" i="60025" l="1"/>
  <c r="I362" i="60025" s="1"/>
  <c r="K362" i="60025"/>
  <c r="L362" i="60025" s="1"/>
  <c r="M364" i="60032"/>
  <c r="N362" i="60025" l="1"/>
  <c r="J364" i="60032"/>
  <c r="G365" i="60032" s="1"/>
  <c r="L364" i="60032"/>
  <c r="J362" i="60025" l="1"/>
  <c r="G363" i="60025" s="1"/>
  <c r="M362" i="60025"/>
  <c r="H365" i="60032"/>
  <c r="I365" i="60032" s="1"/>
  <c r="K365" i="60032"/>
  <c r="H363" i="60025" l="1"/>
  <c r="I363" i="60025" s="1"/>
  <c r="K363" i="60025"/>
  <c r="L363" i="60025" s="1"/>
  <c r="M365" i="60032"/>
  <c r="N363" i="60025" l="1"/>
  <c r="J365" i="60032"/>
  <c r="G366" i="60032" s="1"/>
  <c r="L365" i="60032"/>
  <c r="J363" i="60025" l="1"/>
  <c r="G364" i="60025" s="1"/>
  <c r="M363" i="60025"/>
  <c r="K366" i="60032"/>
  <c r="H366" i="60032"/>
  <c r="I366" i="60032" s="1"/>
  <c r="H364" i="60025" l="1"/>
  <c r="I364" i="60025" s="1"/>
  <c r="K364" i="60025"/>
  <c r="L364" i="60025" s="1"/>
  <c r="M366" i="60032"/>
  <c r="N364" i="60025" l="1"/>
  <c r="J366" i="60032"/>
  <c r="G367" i="60032" s="1"/>
  <c r="L366" i="60032"/>
  <c r="J364" i="60025" l="1"/>
  <c r="G365" i="60025" s="1"/>
  <c r="M364" i="60025"/>
  <c r="K367" i="60032"/>
  <c r="H367" i="60032"/>
  <c r="I367" i="60032" s="1"/>
  <c r="K365" i="60025" l="1"/>
  <c r="L365" i="60025" s="1"/>
  <c r="H365" i="60025"/>
  <c r="I365" i="60025" s="1"/>
  <c r="M367" i="60032"/>
  <c r="N365" i="60025" l="1"/>
  <c r="J367" i="60032"/>
  <c r="G368" i="60032" s="1"/>
  <c r="L367" i="60032"/>
  <c r="J365" i="60025" l="1"/>
  <c r="G366" i="60025" s="1"/>
  <c r="M365" i="60025"/>
  <c r="K368" i="60032"/>
  <c r="H368" i="60032"/>
  <c r="I368" i="60032" s="1"/>
  <c r="H366" i="60025" l="1"/>
  <c r="I366" i="60025" s="1"/>
  <c r="K366" i="60025"/>
  <c r="L366" i="60025" s="1"/>
  <c r="M368" i="60032"/>
  <c r="N366" i="60025" l="1"/>
  <c r="J368" i="60032"/>
  <c r="G369" i="60032" s="1"/>
  <c r="L368" i="60032"/>
  <c r="J366" i="60025" l="1"/>
  <c r="G367" i="60025" s="1"/>
  <c r="M366" i="60025"/>
  <c r="K369" i="60032"/>
  <c r="K1" i="60032" s="1"/>
  <c r="C11" i="60032" s="1"/>
  <c r="P2" i="60032" s="1"/>
  <c r="H369" i="60032"/>
  <c r="I369" i="60032" s="1"/>
  <c r="H367" i="60025" l="1"/>
  <c r="I367" i="60025" s="1"/>
  <c r="K367" i="60025"/>
  <c r="L367" i="60025" s="1"/>
  <c r="M369" i="60032"/>
  <c r="M1" i="60032" s="1"/>
  <c r="C13" i="60032" s="1"/>
  <c r="N367" i="60025" l="1"/>
  <c r="J369" i="60032"/>
  <c r="L369" i="60032"/>
  <c r="L1" i="60032" s="1"/>
  <c r="C12" i="60032" s="1"/>
  <c r="C14" i="60032" s="1"/>
  <c r="J367" i="60025" l="1"/>
  <c r="G368" i="60025" s="1"/>
  <c r="M367" i="60025"/>
  <c r="K368" i="60025" l="1"/>
  <c r="L368" i="60025" s="1"/>
  <c r="H368" i="60025"/>
  <c r="I368" i="60025" s="1"/>
  <c r="N368" i="60025" l="1"/>
  <c r="J368" i="60025" l="1"/>
  <c r="G369" i="60025" s="1"/>
  <c r="M368" i="60025"/>
  <c r="H369" i="60025" l="1"/>
  <c r="I369" i="60025" s="1"/>
  <c r="K369" i="60025"/>
  <c r="L369" i="60025" s="1"/>
  <c r="L1" i="60025" s="1"/>
  <c r="C11" i="60025" s="1"/>
  <c r="N369" i="60025" l="1"/>
  <c r="N1" i="60025" s="1"/>
  <c r="C13" i="60025" s="1"/>
  <c r="J369" i="60025" l="1"/>
  <c r="M369" i="60025"/>
  <c r="M1" i="60025" s="1"/>
  <c r="C12" i="60025" s="1"/>
  <c r="C14" i="60025" s="1"/>
  <c r="R2" i="60025" l="1"/>
  <c r="T2" i="60025"/>
</calcChain>
</file>

<file path=xl/sharedStrings.xml><?xml version="1.0" encoding="utf-8"?>
<sst xmlns="http://schemas.openxmlformats.org/spreadsheetml/2006/main" count="95" uniqueCount="59">
  <si>
    <t>年订货成本</t>
  </si>
  <si>
    <t>年储存成本</t>
  </si>
  <si>
    <t>年总成本</t>
  </si>
  <si>
    <t>订货量</t>
  </si>
  <si>
    <t>初始库存量</t>
  </si>
  <si>
    <t>单位年储存成本</t>
  </si>
  <si>
    <t>单位日储存成本</t>
  </si>
  <si>
    <t>天</t>
  </si>
  <si>
    <t>开始</t>
  </si>
  <si>
    <t>结束</t>
  </si>
  <si>
    <t>订货</t>
  </si>
  <si>
    <t>储存</t>
  </si>
  <si>
    <t>标志</t>
  </si>
  <si>
    <t>成本</t>
  </si>
  <si>
    <t>最优订货量</t>
  </si>
  <si>
    <t>年总成本极小值</t>
  </si>
  <si>
    <t>日需</t>
  </si>
  <si>
    <t>求量</t>
  </si>
  <si>
    <t>年总成本</t>
    <phoneticPr fontId="2" type="noConversion"/>
  </si>
  <si>
    <t>缺货</t>
    <phoneticPr fontId="2" type="noConversion"/>
  </si>
  <si>
    <t>成本</t>
    <phoneticPr fontId="2" type="noConversion"/>
  </si>
  <si>
    <t>缺货</t>
    <phoneticPr fontId="2" type="noConversion"/>
  </si>
  <si>
    <t>量</t>
    <phoneticPr fontId="2" type="noConversion"/>
  </si>
  <si>
    <t>累积概率</t>
    <phoneticPr fontId="2" type="noConversion"/>
  </si>
  <si>
    <t>概率</t>
    <phoneticPr fontId="2" type="noConversion"/>
  </si>
  <si>
    <t>需求</t>
    <phoneticPr fontId="2" type="noConversion"/>
  </si>
  <si>
    <t>安全库存</t>
    <phoneticPr fontId="2" type="noConversion"/>
  </si>
  <si>
    <t>单位缺货成本</t>
    <phoneticPr fontId="2" type="noConversion"/>
  </si>
  <si>
    <t>一次随机模拟</t>
    <phoneticPr fontId="2" type="noConversion"/>
  </si>
  <si>
    <t>一次订货成本</t>
    <phoneticPr fontId="2" type="noConversion"/>
  </si>
  <si>
    <t>年缺货成本</t>
    <phoneticPr fontId="2" type="noConversion"/>
  </si>
  <si>
    <t>平均值</t>
    <phoneticPr fontId="2" type="noConversion"/>
  </si>
  <si>
    <t>一次模拟参考线</t>
    <phoneticPr fontId="2" type="noConversion"/>
  </si>
  <si>
    <t>库存</t>
    <phoneticPr fontId="2" type="noConversion"/>
  </si>
  <si>
    <t>1.输入区</t>
    <phoneticPr fontId="2" type="noConversion"/>
  </si>
  <si>
    <t>2.工作区</t>
    <phoneticPr fontId="2" type="noConversion"/>
  </si>
  <si>
    <t>3.输出区</t>
    <phoneticPr fontId="2" type="noConversion"/>
  </si>
  <si>
    <t>4.试验区</t>
    <phoneticPr fontId="2" type="noConversion"/>
  </si>
  <si>
    <t>4.试验区（多次）</t>
    <phoneticPr fontId="2" type="noConversion"/>
  </si>
  <si>
    <t>5.统计区</t>
    <phoneticPr fontId="2" type="noConversion"/>
  </si>
  <si>
    <r>
      <rPr>
        <b/>
        <sz val="11"/>
        <rFont val="宋体"/>
        <family val="3"/>
        <charset val="134"/>
      </rPr>
      <t>1.输入区</t>
    </r>
    <r>
      <rPr>
        <sz val="11"/>
        <rFont val="宋体"/>
        <family val="3"/>
        <charset val="134"/>
      </rPr>
      <t>—日需求量分布</t>
    </r>
    <phoneticPr fontId="2" type="noConversion"/>
  </si>
  <si>
    <t>6.图形区</t>
    <phoneticPr fontId="2" type="noConversion"/>
  </si>
  <si>
    <t>告罄</t>
  </si>
  <si>
    <t>标志</t>
    <phoneticPr fontId="2" type="noConversion"/>
  </si>
  <si>
    <t>服务水平</t>
    <phoneticPr fontId="2" type="noConversion"/>
  </si>
  <si>
    <r>
      <t>6.图形区</t>
    </r>
    <r>
      <rPr>
        <sz val="11"/>
        <rFont val="Calibri"/>
        <family val="3"/>
        <charset val="134"/>
        <scheme val="minor"/>
      </rPr>
      <t>-当前服务水平</t>
    </r>
    <phoneticPr fontId="2" type="noConversion"/>
  </si>
  <si>
    <t>4.试验区</t>
    <phoneticPr fontId="2" type="noConversion"/>
  </si>
  <si>
    <t>订货</t>
    <phoneticPr fontId="2" type="noConversion"/>
  </si>
  <si>
    <t>成本</t>
    <phoneticPr fontId="2" type="noConversion"/>
  </si>
  <si>
    <t>储存</t>
    <phoneticPr fontId="2" type="noConversion"/>
  </si>
  <si>
    <t>订货成本</t>
    <phoneticPr fontId="2" type="noConversion"/>
  </si>
  <si>
    <t>储存成本</t>
    <phoneticPr fontId="2" type="noConversion"/>
  </si>
  <si>
    <t>总成本</t>
    <phoneticPr fontId="2" type="noConversion"/>
  </si>
  <si>
    <t>延期</t>
    <phoneticPr fontId="2" type="noConversion"/>
  </si>
  <si>
    <t>交货</t>
    <phoneticPr fontId="2" type="noConversion"/>
  </si>
  <si>
    <t>库存</t>
    <phoneticPr fontId="2" type="noConversion"/>
  </si>
  <si>
    <t>某天</t>
    <phoneticPr fontId="2" type="noConversion"/>
  </si>
  <si>
    <t>查看</t>
    <phoneticPr fontId="2" type="noConversion"/>
  </si>
  <si>
    <r>
      <t>6.图形区-</t>
    </r>
    <r>
      <rPr>
        <sz val="11"/>
        <rFont val="Calibri"/>
        <family val="3"/>
        <charset val="134"/>
        <scheme val="minor"/>
      </rPr>
      <t>当前安全库存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</si>
</sst>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_);[Red]\(0\)"/>
    <numFmt numFmtId="167" formatCode="0.000"/>
  </numFmts>
  <fonts count="11">
    <font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宋体"/>
      <family val="3"/>
      <charset val="134"/>
    </font>
    <font>
      <b/>
      <sz val="1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68">
    <xf numFmtId="0" fontId="0" fillId="0" borderId="0" xfId="0"/>
    <xf numFmtId="0" fontId="4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/>
    <xf numFmtId="0" fontId="4" fillId="0" borderId="0" xfId="0" applyFont="1" applyFill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2" fontId="4" fillId="0" borderId="6" xfId="1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6" fontId="4" fillId="0" borderId="0" xfId="0" applyNumberFormat="1" applyFont="1" applyFill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164" fontId="4" fillId="0" borderId="0" xfId="1" applyFont="1" applyFill="1" applyAlignment="1">
      <alignment horizontal="center" vertical="center"/>
    </xf>
    <xf numFmtId="1" fontId="4" fillId="0" borderId="0" xfId="0" applyNumberFormat="1" applyFont="1" applyFill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/>
    </xf>
    <xf numFmtId="1" fontId="8" fillId="0" borderId="7" xfId="1" applyNumberFormat="1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right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2" fontId="4" fillId="0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" fontId="4" fillId="0" borderId="5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1" fontId="4" fillId="0" borderId="6" xfId="1" applyNumberFormat="1" applyFont="1" applyFill="1" applyBorder="1" applyAlignment="1">
      <alignment horizontal="center" vertical="center" wrapText="1"/>
    </xf>
    <xf numFmtId="1" fontId="4" fillId="0" borderId="6" xfId="0" applyNumberFormat="1" applyFont="1" applyFill="1" applyBorder="1" applyAlignment="1">
      <alignment horizontal="center" vertical="center" wrapText="1"/>
    </xf>
    <xf numFmtId="1" fontId="2" fillId="0" borderId="8" xfId="1" applyNumberFormat="1" applyFont="1" applyFill="1" applyBorder="1" applyAlignment="1">
      <alignment horizontal="center" vertical="center" wrapText="1"/>
    </xf>
    <xf numFmtId="166" fontId="4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" fontId="4" fillId="0" borderId="5" xfId="1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1" fontId="2" fillId="0" borderId="5" xfId="1" applyNumberFormat="1" applyFont="1" applyFill="1" applyBorder="1" applyAlignment="1">
      <alignment horizontal="center" vertical="center" wrapText="1"/>
    </xf>
    <xf numFmtId="166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167" fontId="4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0" fillId="0" borderId="0" xfId="0" applyFill="1"/>
    <xf numFmtId="1" fontId="4" fillId="0" borderId="2" xfId="0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 wrapText="1"/>
    </xf>
    <xf numFmtId="9" fontId="4" fillId="0" borderId="0" xfId="2" applyFont="1" applyFill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 wrapText="1"/>
    </xf>
    <xf numFmtId="9" fontId="4" fillId="0" borderId="6" xfId="2" applyFont="1" applyFill="1" applyBorder="1" applyAlignment="1">
      <alignment horizontal="center" vertical="center"/>
    </xf>
    <xf numFmtId="9" fontId="4" fillId="0" borderId="1" xfId="2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/>
    </xf>
    <xf numFmtId="0" fontId="4" fillId="0" borderId="9" xfId="0" applyFont="1" applyFill="1" applyBorder="1" applyAlignment="1">
      <alignment horizontal="left"/>
    </xf>
  </cellXfs>
  <cellStyles count="3">
    <cellStyle name="千位分隔" xfId="1" builtinId="3"/>
    <cellStyle name="常规" xfId="0" builtinId="0"/>
    <cellStyle name="百分比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400"/>
            </a:pPr>
            <a:r>
              <a:rPr lang="zh-CN" altLang="en-US" sz="1400" b="1" i="0" baseline="0">
                <a:effectLst/>
              </a:rPr>
              <a:t>延期交货</a:t>
            </a:r>
            <a:r>
              <a:rPr lang="zh-CN" altLang="zh-CN" sz="1400" b="1" i="0" baseline="0">
                <a:effectLst/>
              </a:rPr>
              <a:t>年总成本随订货量变化图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24672354128346347"/>
          <c:y val="1.64314597082305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18947528155884E-2"/>
          <c:y val="0.25937116558404649"/>
          <c:w val="0.83676117268126848"/>
          <c:h val="0.63932307490268181"/>
        </c:manualLayout>
      </c:layout>
      <c:scatterChart>
        <c:scatterStyle val="lineMarker"/>
        <c:varyColors val="0"/>
        <c:ser>
          <c:idx val="0"/>
          <c:order val="0"/>
          <c:tx>
            <c:v>一次模拟年总成本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延期交货模拟模型!$Q$3:$Q$13</c:f>
              <c:numCache>
                <c:formatCode>General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</c:numCache>
            </c:numRef>
          </c:xVal>
          <c:yVal>
            <c:numRef>
              <c:f>延期交货模拟模型!$R$3:$R$13</c:f>
              <c:numCache>
                <c:formatCode>0</c:formatCode>
                <c:ptCount val="11"/>
                <c:pt idx="0">
                  <c:v>73411.506849315076</c:v>
                </c:pt>
                <c:pt idx="1">
                  <c:v>60237.808219178085</c:v>
                </c:pt>
                <c:pt idx="2">
                  <c:v>43818.904109589042</c:v>
                </c:pt>
                <c:pt idx="3">
                  <c:v>60732.054794520547</c:v>
                </c:pt>
                <c:pt idx="4">
                  <c:v>54297.534246575342</c:v>
                </c:pt>
                <c:pt idx="5">
                  <c:v>48841.643835616444</c:v>
                </c:pt>
                <c:pt idx="6">
                  <c:v>30566.027397260277</c:v>
                </c:pt>
                <c:pt idx="7">
                  <c:v>37973.150684931512</c:v>
                </c:pt>
                <c:pt idx="8">
                  <c:v>27475.068493150688</c:v>
                </c:pt>
                <c:pt idx="9">
                  <c:v>32560.821917808229</c:v>
                </c:pt>
                <c:pt idx="10">
                  <c:v>44718.630136986299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E-4D8B-99EC-6739A5AF4454}"/>
            </c:ext>
          </c:extLst>
        </c:ser>
        <c:ser>
          <c:idx val="2"/>
          <c:order val="1"/>
          <c:tx>
            <c:v>一次模拟最优订货量参考线</c:v>
          </c:tx>
          <c:spPr>
            <a:ln w="22225">
              <a:solidFill>
                <a:srgbClr val="000000"/>
              </a:solidFill>
              <a:prstDash val="dash"/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5CBE-4D8B-99EC-6739A5AF44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5CBE-4D8B-99EC-6739A5AF4454}"/>
              </c:ext>
            </c:extLst>
          </c:dPt>
          <c:xVal>
            <c:numRef>
              <c:f>延期交货模拟模型!$Q$16:$Q$18</c:f>
              <c:numCache>
                <c:formatCode>0_);[Red]\(0\)</c:formatCode>
                <c:ptCount val="3"/>
                <c:pt idx="0">
                  <c:v>2600</c:v>
                </c:pt>
                <c:pt idx="1">
                  <c:v>2600</c:v>
                </c:pt>
                <c:pt idx="2">
                  <c:v>2600</c:v>
                </c:pt>
              </c:numCache>
            </c:numRef>
          </c:xVal>
          <c:yVal>
            <c:numRef>
              <c:f>延期交货模拟模型!$R$16:$R$18</c:f>
              <c:numCache>
                <c:formatCode>0_);[Red]\(0\)</c:formatCode>
                <c:ptCount val="3"/>
                <c:pt idx="0">
                  <c:v>0</c:v>
                </c:pt>
                <c:pt idx="1">
                  <c:v>27475.068493150688</c:v>
                </c:pt>
                <c:pt idx="2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BE-4D8B-99EC-6739A5AF4454}"/>
            </c:ext>
          </c:extLst>
        </c:ser>
        <c:ser>
          <c:idx val="1"/>
          <c:order val="2"/>
          <c:tx>
            <c:v>100次模拟年总成本</c:v>
          </c:tx>
          <c:spPr>
            <a:ln w="381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延期交货模拟模型!$T$3:$T$13</c:f>
              <c:numCache>
                <c:formatCode>General</c:formatCode>
                <c:ptCount val="11"/>
                <c:pt idx="0">
                  <c:v>1000</c:v>
                </c:pt>
                <c:pt idx="1">
                  <c:v>1200</c:v>
                </c:pt>
                <c:pt idx="2">
                  <c:v>1400</c:v>
                </c:pt>
                <c:pt idx="3">
                  <c:v>1600</c:v>
                </c:pt>
                <c:pt idx="4">
                  <c:v>1800</c:v>
                </c:pt>
                <c:pt idx="5">
                  <c:v>2000</c:v>
                </c:pt>
                <c:pt idx="6">
                  <c:v>2200</c:v>
                </c:pt>
                <c:pt idx="7">
                  <c:v>2400</c:v>
                </c:pt>
                <c:pt idx="8">
                  <c:v>2600</c:v>
                </c:pt>
                <c:pt idx="9">
                  <c:v>2800</c:v>
                </c:pt>
                <c:pt idx="10">
                  <c:v>3000</c:v>
                </c:pt>
              </c:numCache>
            </c:numRef>
          </c:xVal>
          <c:yVal>
            <c:numRef>
              <c:f>延期交货模拟模型!$DQ$3:$DQ$13</c:f>
              <c:numCache>
                <c:formatCode>0</c:formatCode>
                <c:ptCount val="11"/>
                <c:pt idx="0">
                  <c:v>64577.084931506848</c:v>
                </c:pt>
                <c:pt idx="1">
                  <c:v>57216.30958904107</c:v>
                </c:pt>
                <c:pt idx="2">
                  <c:v>51488.797260273968</c:v>
                </c:pt>
                <c:pt idx="3">
                  <c:v>47399.284931506852</c:v>
                </c:pt>
                <c:pt idx="4">
                  <c:v>44922.898630136981</c:v>
                </c:pt>
                <c:pt idx="5">
                  <c:v>44159.128767123257</c:v>
                </c:pt>
                <c:pt idx="6">
                  <c:v>40315.312328767119</c:v>
                </c:pt>
                <c:pt idx="7">
                  <c:v>40105.126027397266</c:v>
                </c:pt>
                <c:pt idx="8">
                  <c:v>38861.035616438341</c:v>
                </c:pt>
                <c:pt idx="9">
                  <c:v>38933.232876712333</c:v>
                </c:pt>
                <c:pt idx="10">
                  <c:v>37744.416438356166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CBE-4D8B-99EC-6739A5AF4454}"/>
            </c:ext>
          </c:extLst>
        </c:ser>
        <c:ser>
          <c:idx val="3"/>
          <c:order val="3"/>
          <c:tx>
            <c:v>100次模拟最优订货量参考线</c:v>
          </c:tx>
          <c:spPr>
            <a:ln w="38100">
              <a:solidFill>
                <a:schemeClr val="tx1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5CBE-4D8B-99EC-6739A5AF4454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5CBE-4D8B-99EC-6739A5AF4454}"/>
              </c:ext>
            </c:extLst>
          </c:dPt>
          <c:xVal>
            <c:numRef>
              <c:f>延期交货模拟模型!$Q$21:$Q$23</c:f>
              <c:numCache>
                <c:formatCode>0_);[Red]\(0\)</c:formatCode>
                <c:ptCount val="3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</c:numCache>
            </c:numRef>
          </c:xVal>
          <c:yVal>
            <c:numRef>
              <c:f>延期交货模拟模型!$R$21:$R$23</c:f>
              <c:numCache>
                <c:formatCode>0_);[Red]\(0\)</c:formatCode>
                <c:ptCount val="3"/>
                <c:pt idx="0">
                  <c:v>0</c:v>
                </c:pt>
                <c:pt idx="1">
                  <c:v>37744.416438356166</c:v>
                </c:pt>
                <c:pt idx="2">
                  <c:v>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BE-4D8B-99EC-6739A5AF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603776"/>
        <c:axId val="130604352"/>
      </c:scatterChart>
      <c:valAx>
        <c:axId val="130603776"/>
        <c:scaling>
          <c:orientation val="minMax"/>
          <c:max val="3000"/>
          <c:min val="100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/>
                  <a:t>订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货</a:t>
                </a:r>
                <a:endParaRPr lang="en-US"/>
              </a:p>
              <a:p>
                <a:pPr>
                  <a:defRPr/>
                </a:pPr>
                <a:r>
                  <a:rPr lang="zh-CN"/>
                  <a:t>量</a:t>
                </a:r>
              </a:p>
            </c:rich>
          </c:tx>
          <c:layout>
            <c:manualLayout>
              <c:xMode val="edge"/>
              <c:yMode val="edge"/>
              <c:x val="0.95132216226128374"/>
              <c:y val="0.766832646375082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0604352"/>
        <c:crossesAt val="0"/>
        <c:crossBetween val="midCat"/>
      </c:valAx>
      <c:valAx>
        <c:axId val="130604352"/>
        <c:scaling>
          <c:orientation val="minMax"/>
          <c:max val="60000"/>
          <c:min val="0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30603776"/>
        <c:crosses val="autoZero"/>
        <c:crossBetween val="midCat"/>
        <c:majorUnit val="5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2873456733782398"/>
          <c:y val="0.27569793720672231"/>
          <c:w val="0.33793600396795409"/>
          <c:h val="0.2478532682953884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sz="1400"/>
            </a:pPr>
            <a:r>
              <a:rPr lang="zh-CN" altLang="en-US" sz="1400" b="1" i="0" baseline="0">
                <a:effectLst/>
              </a:rPr>
              <a:t>延期交货服务水平</a:t>
            </a:r>
            <a:r>
              <a:rPr lang="zh-CN" altLang="zh-CN" sz="1400" b="1" i="0" baseline="0">
                <a:effectLst/>
              </a:rPr>
              <a:t>随</a:t>
            </a:r>
            <a:r>
              <a:rPr lang="zh-CN" altLang="en-US" sz="1400" b="1" i="0" baseline="0">
                <a:effectLst/>
              </a:rPr>
              <a:t>安全库存</a:t>
            </a:r>
            <a:r>
              <a:rPr lang="zh-CN" altLang="zh-CN" sz="1400" b="1" i="0" baseline="0">
                <a:effectLst/>
              </a:rPr>
              <a:t>变化图</a:t>
            </a:r>
            <a:endParaRPr lang="zh-CN" altLang="zh-CN" sz="1400">
              <a:effectLst/>
            </a:endParaRPr>
          </a:p>
        </c:rich>
      </c:tx>
      <c:layout>
        <c:manualLayout>
          <c:xMode val="edge"/>
          <c:yMode val="edge"/>
          <c:x val="0.28534479887980102"/>
          <c:y val="2.74373774833365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18947528155884E-2"/>
          <c:y val="0.25245327362913306"/>
          <c:w val="0.83676117268126848"/>
          <c:h val="0.64624098561409149"/>
        </c:manualLayout>
      </c:layout>
      <c:scatterChart>
        <c:scatterStyle val="lineMarker"/>
        <c:varyColors val="0"/>
        <c:ser>
          <c:idx val="2"/>
          <c:order val="0"/>
          <c:spPr>
            <a:ln w="38100" cmpd="sng">
              <a:solidFill>
                <a:schemeClr val="accent1">
                  <a:lumMod val="75000"/>
                </a:schemeClr>
              </a:solidFill>
              <a:prstDash val="solid"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000000"/>
                </a:solidFill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8E6-4E70-AF42-1FCB2AD8FF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1-98E6-4E70-AF42-1FCB2AD8FFCD}"/>
              </c:ext>
            </c:extLst>
          </c:dPt>
          <c:dLbls>
            <c:dLbl>
              <c:idx val="5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E6-4E70-AF42-1FCB2AD8FFC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延期交货服务水平模拟模型!$P$3:$P$18</c:f>
              <c:numCache>
                <c:formatCode>General</c:formatCode>
                <c:ptCount val="1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130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170</c:v>
                </c:pt>
                <c:pt idx="12">
                  <c:v>180</c:v>
                </c:pt>
                <c:pt idx="13">
                  <c:v>190</c:v>
                </c:pt>
                <c:pt idx="14">
                  <c:v>200</c:v>
                </c:pt>
                <c:pt idx="15">
                  <c:v>210</c:v>
                </c:pt>
              </c:numCache>
            </c:numRef>
          </c:xVal>
          <c:yVal>
            <c:numRef>
              <c:f>延期交货服务水平模拟模型!$DM$3:$DM$18</c:f>
              <c:numCache>
                <c:formatCode>0%</c:formatCode>
                <c:ptCount val="16"/>
                <c:pt idx="0">
                  <c:v>0.92989041095890368</c:v>
                </c:pt>
                <c:pt idx="1">
                  <c:v>0.93583561643835633</c:v>
                </c:pt>
                <c:pt idx="2">
                  <c:v>0.94098630136986272</c:v>
                </c:pt>
                <c:pt idx="3">
                  <c:v>0.94736986301369863</c:v>
                </c:pt>
                <c:pt idx="4">
                  <c:v>0.95375342465753477</c:v>
                </c:pt>
                <c:pt idx="5">
                  <c:v>0.95832876712328807</c:v>
                </c:pt>
                <c:pt idx="6">
                  <c:v>0.96271232876712332</c:v>
                </c:pt>
                <c:pt idx="7">
                  <c:v>0.96830136986301352</c:v>
                </c:pt>
                <c:pt idx="8">
                  <c:v>0.97115068493150747</c:v>
                </c:pt>
                <c:pt idx="9">
                  <c:v>0.97553424657534249</c:v>
                </c:pt>
                <c:pt idx="10">
                  <c:v>0.97994520547945252</c:v>
                </c:pt>
                <c:pt idx="11">
                  <c:v>0.98167123287671276</c:v>
                </c:pt>
                <c:pt idx="12">
                  <c:v>0.98547945205479526</c:v>
                </c:pt>
                <c:pt idx="13">
                  <c:v>0.98906849315068546</c:v>
                </c:pt>
                <c:pt idx="14">
                  <c:v>0.99136986301369945</c:v>
                </c:pt>
                <c:pt idx="15">
                  <c:v>0.99391780821917763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8E6-4E70-AF42-1FCB2AD8FFCD}"/>
            </c:ext>
          </c:extLst>
        </c:ser>
        <c:ser>
          <c:idx val="1"/>
          <c:order val="1"/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延期交货服务水平模拟模型!$B$21:$B$23</c:f>
              <c:numCache>
                <c:formatCode>0_);[Red]\(0\)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xVal>
          <c:yVal>
            <c:numRef>
              <c:f>延期交货服务水平模拟模型!$C$21:$C$23</c:f>
              <c:numCache>
                <c:formatCode>0%</c:formatCode>
                <c:ptCount val="3"/>
                <c:pt idx="0">
                  <c:v>0.9</c:v>
                </c:pt>
                <c:pt idx="1">
                  <c:v>0.95375342465753477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8E6-4E70-AF42-1FCB2AD8FFCD}"/>
            </c:ext>
          </c:extLst>
        </c:ser>
        <c:ser>
          <c:idx val="3"/>
          <c:order val="2"/>
          <c:spPr>
            <a:ln w="19050">
              <a:solidFill>
                <a:schemeClr val="tx1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98E6-4E70-AF42-1FCB2AD8FFCD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98E6-4E70-AF42-1FCB2AD8FFCD}"/>
              </c:ext>
            </c:extLst>
          </c:dPt>
          <c:xVal>
            <c:numRef>
              <c:f>延期交货服务水平模拟模型!$B$17:$B$19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210</c:v>
                </c:pt>
              </c:numCache>
            </c:numRef>
          </c:xVal>
          <c:yVal>
            <c:numRef>
              <c:f>延期交货服务水平模拟模型!$C$17:$C$19</c:f>
              <c:numCache>
                <c:formatCode>0%</c:formatCode>
                <c:ptCount val="3"/>
                <c:pt idx="0">
                  <c:v>0.95375342465753477</c:v>
                </c:pt>
                <c:pt idx="1">
                  <c:v>0.95375342465753477</c:v>
                </c:pt>
                <c:pt idx="2">
                  <c:v>0.95375342465753477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8E6-4E70-AF42-1FCB2AD8F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5568"/>
        <c:axId val="71846144"/>
      </c:scatterChart>
      <c:valAx>
        <c:axId val="71845568"/>
        <c:scaling>
          <c:orientation val="minMax"/>
          <c:max val="210"/>
          <c:min val="60"/>
        </c:scaling>
        <c:delete val="0"/>
        <c:axPos val="b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安全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库存</a:t>
                </a:r>
                <a:endParaRPr lang="zh-CN"/>
              </a:p>
            </c:rich>
          </c:tx>
          <c:layout>
            <c:manualLayout>
              <c:xMode val="edge"/>
              <c:yMode val="edge"/>
              <c:x val="0.9378047221025656"/>
              <c:y val="0.79985030796348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1846144"/>
        <c:crossesAt val="0"/>
        <c:crossBetween val="midCat"/>
        <c:majorUnit val="10"/>
      </c:valAx>
      <c:valAx>
        <c:axId val="71846144"/>
        <c:scaling>
          <c:orientation val="minMax"/>
          <c:max val="1"/>
          <c:min val="0.9"/>
        </c:scaling>
        <c:delete val="0"/>
        <c:axPos val="l"/>
        <c:majorGridlines>
          <c:spPr>
            <a:ln w="3175">
              <a:solidFill>
                <a:srgbClr val="DDDDDD"/>
              </a:solidFill>
              <a:prstDash val="solid"/>
            </a:ln>
          </c:spPr>
        </c:majorGridlines>
        <c:numFmt formatCode="0%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1845568"/>
        <c:crosses val="autoZero"/>
        <c:crossBetween val="midCat"/>
        <c:majorUnit val="1.0000000000000002E-2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宋体" pitchFamily="2" charset="-122"/>
          <a:ea typeface="宋体" pitchFamily="2" charset="-122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延期交货库存变化模拟模型</a:t>
            </a:r>
          </a:p>
        </c:rich>
      </c:tx>
      <c:layout>
        <c:manualLayout>
          <c:xMode val="edge"/>
          <c:yMode val="edge"/>
          <c:x val="0.19516568775808557"/>
          <c:y val="2.808158855402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2215881402446833E-2"/>
          <c:y val="0.18619636062238631"/>
          <c:w val="0.91528418271820255"/>
          <c:h val="0.6850314583882756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pct10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tx1">
                  <a:lumMod val="75000"/>
                  <a:lumOff val="25000"/>
                </a:schemeClr>
              </a:solidFill>
            </a:ln>
          </c:spPr>
          <c:invertIfNegative val="0"/>
          <c:cat>
            <c:numRef>
              <c:f>延期交货模拟模型!$E$5:$E$369</c:f>
              <c:numCache>
                <c:formatCode>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延期交货模拟模型!$H$5:$H$369</c:f>
              <c:numCache>
                <c:formatCode>0</c:formatCode>
                <c:ptCount val="365"/>
                <c:pt idx="0">
                  <c:v>0</c:v>
                </c:pt>
                <c:pt idx="1">
                  <c:v>900</c:v>
                </c:pt>
                <c:pt idx="2">
                  <c:v>810</c:v>
                </c:pt>
                <c:pt idx="3">
                  <c:v>700</c:v>
                </c:pt>
                <c:pt idx="4">
                  <c:v>600</c:v>
                </c:pt>
                <c:pt idx="5">
                  <c:v>500</c:v>
                </c:pt>
                <c:pt idx="6">
                  <c:v>400</c:v>
                </c:pt>
                <c:pt idx="7">
                  <c:v>280</c:v>
                </c:pt>
                <c:pt idx="8">
                  <c:v>170</c:v>
                </c:pt>
                <c:pt idx="9">
                  <c:v>60</c:v>
                </c:pt>
                <c:pt idx="10">
                  <c:v>0</c:v>
                </c:pt>
                <c:pt idx="11">
                  <c:v>910</c:v>
                </c:pt>
                <c:pt idx="12">
                  <c:v>810</c:v>
                </c:pt>
                <c:pt idx="13">
                  <c:v>720</c:v>
                </c:pt>
                <c:pt idx="14">
                  <c:v>610</c:v>
                </c:pt>
                <c:pt idx="15">
                  <c:v>510</c:v>
                </c:pt>
                <c:pt idx="16">
                  <c:v>410</c:v>
                </c:pt>
                <c:pt idx="17">
                  <c:v>310</c:v>
                </c:pt>
                <c:pt idx="18">
                  <c:v>200</c:v>
                </c:pt>
                <c:pt idx="19">
                  <c:v>90</c:v>
                </c:pt>
                <c:pt idx="20">
                  <c:v>1000</c:v>
                </c:pt>
                <c:pt idx="21">
                  <c:v>920</c:v>
                </c:pt>
                <c:pt idx="22">
                  <c:v>830</c:v>
                </c:pt>
                <c:pt idx="23">
                  <c:v>720</c:v>
                </c:pt>
                <c:pt idx="24">
                  <c:v>640</c:v>
                </c:pt>
                <c:pt idx="25">
                  <c:v>530</c:v>
                </c:pt>
                <c:pt idx="26">
                  <c:v>440</c:v>
                </c:pt>
                <c:pt idx="27">
                  <c:v>320</c:v>
                </c:pt>
                <c:pt idx="28">
                  <c:v>220</c:v>
                </c:pt>
                <c:pt idx="29">
                  <c:v>120</c:v>
                </c:pt>
                <c:pt idx="30">
                  <c:v>10</c:v>
                </c:pt>
                <c:pt idx="31">
                  <c:v>910</c:v>
                </c:pt>
                <c:pt idx="32">
                  <c:v>800</c:v>
                </c:pt>
                <c:pt idx="33">
                  <c:v>690</c:v>
                </c:pt>
                <c:pt idx="34">
                  <c:v>600</c:v>
                </c:pt>
                <c:pt idx="35">
                  <c:v>500</c:v>
                </c:pt>
                <c:pt idx="36">
                  <c:v>410</c:v>
                </c:pt>
                <c:pt idx="37">
                  <c:v>310</c:v>
                </c:pt>
                <c:pt idx="38">
                  <c:v>200</c:v>
                </c:pt>
                <c:pt idx="39">
                  <c:v>120</c:v>
                </c:pt>
                <c:pt idx="40">
                  <c:v>0</c:v>
                </c:pt>
                <c:pt idx="41">
                  <c:v>0</c:v>
                </c:pt>
                <c:pt idx="42">
                  <c:v>900</c:v>
                </c:pt>
                <c:pt idx="43">
                  <c:v>810</c:v>
                </c:pt>
                <c:pt idx="44">
                  <c:v>730</c:v>
                </c:pt>
                <c:pt idx="45">
                  <c:v>640</c:v>
                </c:pt>
                <c:pt idx="46">
                  <c:v>550</c:v>
                </c:pt>
                <c:pt idx="47">
                  <c:v>470</c:v>
                </c:pt>
                <c:pt idx="48">
                  <c:v>360</c:v>
                </c:pt>
                <c:pt idx="49">
                  <c:v>270</c:v>
                </c:pt>
                <c:pt idx="50">
                  <c:v>150</c:v>
                </c:pt>
                <c:pt idx="51">
                  <c:v>40</c:v>
                </c:pt>
                <c:pt idx="52">
                  <c:v>960</c:v>
                </c:pt>
                <c:pt idx="53">
                  <c:v>870</c:v>
                </c:pt>
                <c:pt idx="54">
                  <c:v>780</c:v>
                </c:pt>
                <c:pt idx="55">
                  <c:v>680</c:v>
                </c:pt>
                <c:pt idx="56">
                  <c:v>580</c:v>
                </c:pt>
                <c:pt idx="57">
                  <c:v>470</c:v>
                </c:pt>
                <c:pt idx="58">
                  <c:v>370</c:v>
                </c:pt>
                <c:pt idx="59">
                  <c:v>280</c:v>
                </c:pt>
                <c:pt idx="60">
                  <c:v>200</c:v>
                </c:pt>
                <c:pt idx="61">
                  <c:v>110</c:v>
                </c:pt>
                <c:pt idx="62">
                  <c:v>20</c:v>
                </c:pt>
                <c:pt idx="63">
                  <c:v>0</c:v>
                </c:pt>
                <c:pt idx="64">
                  <c:v>900</c:v>
                </c:pt>
                <c:pt idx="65">
                  <c:v>790</c:v>
                </c:pt>
                <c:pt idx="66">
                  <c:v>700</c:v>
                </c:pt>
                <c:pt idx="67">
                  <c:v>600</c:v>
                </c:pt>
                <c:pt idx="68">
                  <c:v>520</c:v>
                </c:pt>
                <c:pt idx="69">
                  <c:v>420</c:v>
                </c:pt>
                <c:pt idx="70">
                  <c:v>310</c:v>
                </c:pt>
                <c:pt idx="71">
                  <c:v>190</c:v>
                </c:pt>
                <c:pt idx="72">
                  <c:v>70</c:v>
                </c:pt>
                <c:pt idx="73">
                  <c:v>970</c:v>
                </c:pt>
                <c:pt idx="74">
                  <c:v>880</c:v>
                </c:pt>
                <c:pt idx="75">
                  <c:v>760</c:v>
                </c:pt>
                <c:pt idx="76">
                  <c:v>650</c:v>
                </c:pt>
                <c:pt idx="77">
                  <c:v>570</c:v>
                </c:pt>
                <c:pt idx="78">
                  <c:v>470</c:v>
                </c:pt>
                <c:pt idx="79">
                  <c:v>350</c:v>
                </c:pt>
                <c:pt idx="80">
                  <c:v>240</c:v>
                </c:pt>
                <c:pt idx="81">
                  <c:v>130</c:v>
                </c:pt>
                <c:pt idx="82">
                  <c:v>50</c:v>
                </c:pt>
                <c:pt idx="83">
                  <c:v>930</c:v>
                </c:pt>
                <c:pt idx="84">
                  <c:v>820</c:v>
                </c:pt>
                <c:pt idx="85">
                  <c:v>740</c:v>
                </c:pt>
                <c:pt idx="86">
                  <c:v>620</c:v>
                </c:pt>
                <c:pt idx="87">
                  <c:v>530</c:v>
                </c:pt>
                <c:pt idx="88">
                  <c:v>410</c:v>
                </c:pt>
                <c:pt idx="89">
                  <c:v>330</c:v>
                </c:pt>
                <c:pt idx="90">
                  <c:v>220</c:v>
                </c:pt>
                <c:pt idx="91">
                  <c:v>110</c:v>
                </c:pt>
                <c:pt idx="92">
                  <c:v>0</c:v>
                </c:pt>
                <c:pt idx="93">
                  <c:v>900</c:v>
                </c:pt>
                <c:pt idx="94">
                  <c:v>820</c:v>
                </c:pt>
                <c:pt idx="95">
                  <c:v>710</c:v>
                </c:pt>
                <c:pt idx="96">
                  <c:v>590</c:v>
                </c:pt>
                <c:pt idx="97">
                  <c:v>480</c:v>
                </c:pt>
                <c:pt idx="98">
                  <c:v>360</c:v>
                </c:pt>
                <c:pt idx="99">
                  <c:v>250</c:v>
                </c:pt>
                <c:pt idx="100">
                  <c:v>140</c:v>
                </c:pt>
                <c:pt idx="101">
                  <c:v>30</c:v>
                </c:pt>
                <c:pt idx="102">
                  <c:v>0</c:v>
                </c:pt>
                <c:pt idx="103">
                  <c:v>920</c:v>
                </c:pt>
                <c:pt idx="104">
                  <c:v>800</c:v>
                </c:pt>
                <c:pt idx="105">
                  <c:v>690</c:v>
                </c:pt>
                <c:pt idx="106">
                  <c:v>600</c:v>
                </c:pt>
                <c:pt idx="107">
                  <c:v>480</c:v>
                </c:pt>
                <c:pt idx="108">
                  <c:v>380</c:v>
                </c:pt>
                <c:pt idx="109">
                  <c:v>280</c:v>
                </c:pt>
                <c:pt idx="110">
                  <c:v>160</c:v>
                </c:pt>
                <c:pt idx="111">
                  <c:v>60</c:v>
                </c:pt>
                <c:pt idx="112">
                  <c:v>960</c:v>
                </c:pt>
                <c:pt idx="113">
                  <c:v>850</c:v>
                </c:pt>
                <c:pt idx="114">
                  <c:v>740</c:v>
                </c:pt>
                <c:pt idx="115">
                  <c:v>640</c:v>
                </c:pt>
                <c:pt idx="116">
                  <c:v>540</c:v>
                </c:pt>
                <c:pt idx="117">
                  <c:v>420</c:v>
                </c:pt>
                <c:pt idx="118">
                  <c:v>310</c:v>
                </c:pt>
                <c:pt idx="119">
                  <c:v>220</c:v>
                </c:pt>
                <c:pt idx="120">
                  <c:v>120</c:v>
                </c:pt>
                <c:pt idx="121">
                  <c:v>10</c:v>
                </c:pt>
                <c:pt idx="122">
                  <c:v>890</c:v>
                </c:pt>
                <c:pt idx="123">
                  <c:v>790</c:v>
                </c:pt>
                <c:pt idx="124">
                  <c:v>690</c:v>
                </c:pt>
                <c:pt idx="125">
                  <c:v>580</c:v>
                </c:pt>
                <c:pt idx="126">
                  <c:v>500</c:v>
                </c:pt>
                <c:pt idx="127">
                  <c:v>380</c:v>
                </c:pt>
                <c:pt idx="128">
                  <c:v>290</c:v>
                </c:pt>
                <c:pt idx="129">
                  <c:v>190</c:v>
                </c:pt>
                <c:pt idx="130">
                  <c:v>80</c:v>
                </c:pt>
                <c:pt idx="131">
                  <c:v>0</c:v>
                </c:pt>
                <c:pt idx="132">
                  <c:v>900</c:v>
                </c:pt>
                <c:pt idx="133">
                  <c:v>790</c:v>
                </c:pt>
                <c:pt idx="134">
                  <c:v>670</c:v>
                </c:pt>
                <c:pt idx="135">
                  <c:v>570</c:v>
                </c:pt>
                <c:pt idx="136">
                  <c:v>480</c:v>
                </c:pt>
                <c:pt idx="137">
                  <c:v>400</c:v>
                </c:pt>
                <c:pt idx="138">
                  <c:v>290</c:v>
                </c:pt>
                <c:pt idx="139">
                  <c:v>180</c:v>
                </c:pt>
                <c:pt idx="140">
                  <c:v>60</c:v>
                </c:pt>
                <c:pt idx="141">
                  <c:v>0</c:v>
                </c:pt>
                <c:pt idx="142">
                  <c:v>890</c:v>
                </c:pt>
                <c:pt idx="143">
                  <c:v>790</c:v>
                </c:pt>
                <c:pt idx="144">
                  <c:v>700</c:v>
                </c:pt>
                <c:pt idx="145">
                  <c:v>620</c:v>
                </c:pt>
                <c:pt idx="146">
                  <c:v>520</c:v>
                </c:pt>
                <c:pt idx="147">
                  <c:v>410</c:v>
                </c:pt>
                <c:pt idx="148">
                  <c:v>300</c:v>
                </c:pt>
                <c:pt idx="149">
                  <c:v>200</c:v>
                </c:pt>
                <c:pt idx="150">
                  <c:v>90</c:v>
                </c:pt>
                <c:pt idx="151">
                  <c:v>1000</c:v>
                </c:pt>
                <c:pt idx="152">
                  <c:v>910</c:v>
                </c:pt>
                <c:pt idx="153">
                  <c:v>800</c:v>
                </c:pt>
                <c:pt idx="154">
                  <c:v>690</c:v>
                </c:pt>
                <c:pt idx="155">
                  <c:v>600</c:v>
                </c:pt>
                <c:pt idx="156">
                  <c:v>510</c:v>
                </c:pt>
                <c:pt idx="157">
                  <c:v>420</c:v>
                </c:pt>
                <c:pt idx="158">
                  <c:v>340</c:v>
                </c:pt>
                <c:pt idx="159">
                  <c:v>260</c:v>
                </c:pt>
                <c:pt idx="160">
                  <c:v>160</c:v>
                </c:pt>
                <c:pt idx="161">
                  <c:v>70</c:v>
                </c:pt>
                <c:pt idx="162">
                  <c:v>960</c:v>
                </c:pt>
                <c:pt idx="163">
                  <c:v>870</c:v>
                </c:pt>
                <c:pt idx="164">
                  <c:v>770</c:v>
                </c:pt>
                <c:pt idx="165">
                  <c:v>650</c:v>
                </c:pt>
                <c:pt idx="166">
                  <c:v>540</c:v>
                </c:pt>
                <c:pt idx="167">
                  <c:v>440</c:v>
                </c:pt>
                <c:pt idx="168">
                  <c:v>360</c:v>
                </c:pt>
                <c:pt idx="169">
                  <c:v>240</c:v>
                </c:pt>
                <c:pt idx="170">
                  <c:v>160</c:v>
                </c:pt>
                <c:pt idx="171">
                  <c:v>60</c:v>
                </c:pt>
                <c:pt idx="172">
                  <c:v>980</c:v>
                </c:pt>
                <c:pt idx="173">
                  <c:v>860</c:v>
                </c:pt>
                <c:pt idx="174">
                  <c:v>750</c:v>
                </c:pt>
                <c:pt idx="175">
                  <c:v>650</c:v>
                </c:pt>
                <c:pt idx="176">
                  <c:v>530</c:v>
                </c:pt>
                <c:pt idx="177">
                  <c:v>410</c:v>
                </c:pt>
                <c:pt idx="178">
                  <c:v>310</c:v>
                </c:pt>
                <c:pt idx="179">
                  <c:v>220</c:v>
                </c:pt>
                <c:pt idx="180">
                  <c:v>110</c:v>
                </c:pt>
                <c:pt idx="181">
                  <c:v>0</c:v>
                </c:pt>
                <c:pt idx="182">
                  <c:v>900</c:v>
                </c:pt>
                <c:pt idx="183">
                  <c:v>790</c:v>
                </c:pt>
                <c:pt idx="184">
                  <c:v>680</c:v>
                </c:pt>
                <c:pt idx="185">
                  <c:v>580</c:v>
                </c:pt>
                <c:pt idx="186">
                  <c:v>480</c:v>
                </c:pt>
                <c:pt idx="187">
                  <c:v>380</c:v>
                </c:pt>
                <c:pt idx="188">
                  <c:v>280</c:v>
                </c:pt>
                <c:pt idx="189">
                  <c:v>180</c:v>
                </c:pt>
                <c:pt idx="190">
                  <c:v>100</c:v>
                </c:pt>
                <c:pt idx="191">
                  <c:v>0</c:v>
                </c:pt>
                <c:pt idx="192">
                  <c:v>0</c:v>
                </c:pt>
                <c:pt idx="193">
                  <c:v>880</c:v>
                </c:pt>
                <c:pt idx="194">
                  <c:v>800</c:v>
                </c:pt>
                <c:pt idx="195">
                  <c:v>720</c:v>
                </c:pt>
                <c:pt idx="196">
                  <c:v>630</c:v>
                </c:pt>
                <c:pt idx="197">
                  <c:v>540</c:v>
                </c:pt>
                <c:pt idx="198">
                  <c:v>430</c:v>
                </c:pt>
                <c:pt idx="199">
                  <c:v>320</c:v>
                </c:pt>
                <c:pt idx="200">
                  <c:v>210</c:v>
                </c:pt>
                <c:pt idx="201">
                  <c:v>110</c:v>
                </c:pt>
                <c:pt idx="202">
                  <c:v>20</c:v>
                </c:pt>
                <c:pt idx="203">
                  <c:v>0</c:v>
                </c:pt>
                <c:pt idx="204">
                  <c:v>880</c:v>
                </c:pt>
                <c:pt idx="205">
                  <c:v>770</c:v>
                </c:pt>
                <c:pt idx="206">
                  <c:v>650</c:v>
                </c:pt>
                <c:pt idx="207">
                  <c:v>560</c:v>
                </c:pt>
                <c:pt idx="208">
                  <c:v>480</c:v>
                </c:pt>
                <c:pt idx="209">
                  <c:v>370</c:v>
                </c:pt>
                <c:pt idx="210">
                  <c:v>270</c:v>
                </c:pt>
                <c:pt idx="211">
                  <c:v>190</c:v>
                </c:pt>
                <c:pt idx="212">
                  <c:v>100</c:v>
                </c:pt>
                <c:pt idx="213">
                  <c:v>0</c:v>
                </c:pt>
                <c:pt idx="214">
                  <c:v>890</c:v>
                </c:pt>
                <c:pt idx="215">
                  <c:v>770</c:v>
                </c:pt>
                <c:pt idx="216">
                  <c:v>680</c:v>
                </c:pt>
                <c:pt idx="217">
                  <c:v>590</c:v>
                </c:pt>
                <c:pt idx="218">
                  <c:v>510</c:v>
                </c:pt>
                <c:pt idx="219">
                  <c:v>390</c:v>
                </c:pt>
                <c:pt idx="220">
                  <c:v>290</c:v>
                </c:pt>
                <c:pt idx="221">
                  <c:v>190</c:v>
                </c:pt>
                <c:pt idx="222">
                  <c:v>70</c:v>
                </c:pt>
                <c:pt idx="223">
                  <c:v>0</c:v>
                </c:pt>
                <c:pt idx="224">
                  <c:v>910</c:v>
                </c:pt>
                <c:pt idx="225">
                  <c:v>820</c:v>
                </c:pt>
                <c:pt idx="226">
                  <c:v>700</c:v>
                </c:pt>
                <c:pt idx="227">
                  <c:v>600</c:v>
                </c:pt>
                <c:pt idx="228">
                  <c:v>490</c:v>
                </c:pt>
                <c:pt idx="229">
                  <c:v>380</c:v>
                </c:pt>
                <c:pt idx="230">
                  <c:v>290</c:v>
                </c:pt>
                <c:pt idx="231">
                  <c:v>180</c:v>
                </c:pt>
                <c:pt idx="232">
                  <c:v>70</c:v>
                </c:pt>
                <c:pt idx="233">
                  <c:v>980</c:v>
                </c:pt>
                <c:pt idx="234">
                  <c:v>880</c:v>
                </c:pt>
                <c:pt idx="235">
                  <c:v>770</c:v>
                </c:pt>
                <c:pt idx="236">
                  <c:v>660</c:v>
                </c:pt>
                <c:pt idx="237">
                  <c:v>580</c:v>
                </c:pt>
                <c:pt idx="238">
                  <c:v>490</c:v>
                </c:pt>
                <c:pt idx="239">
                  <c:v>370</c:v>
                </c:pt>
                <c:pt idx="240">
                  <c:v>250</c:v>
                </c:pt>
                <c:pt idx="241">
                  <c:v>150</c:v>
                </c:pt>
                <c:pt idx="242">
                  <c:v>50</c:v>
                </c:pt>
                <c:pt idx="243">
                  <c:v>0</c:v>
                </c:pt>
                <c:pt idx="244">
                  <c:v>910</c:v>
                </c:pt>
                <c:pt idx="245">
                  <c:v>820</c:v>
                </c:pt>
                <c:pt idx="246">
                  <c:v>720</c:v>
                </c:pt>
                <c:pt idx="247">
                  <c:v>620</c:v>
                </c:pt>
                <c:pt idx="248">
                  <c:v>530</c:v>
                </c:pt>
                <c:pt idx="249">
                  <c:v>440</c:v>
                </c:pt>
                <c:pt idx="250">
                  <c:v>330</c:v>
                </c:pt>
                <c:pt idx="251">
                  <c:v>240</c:v>
                </c:pt>
                <c:pt idx="252">
                  <c:v>150</c:v>
                </c:pt>
                <c:pt idx="253">
                  <c:v>30</c:v>
                </c:pt>
                <c:pt idx="254">
                  <c:v>0</c:v>
                </c:pt>
                <c:pt idx="255">
                  <c:v>890</c:v>
                </c:pt>
                <c:pt idx="256">
                  <c:v>790</c:v>
                </c:pt>
                <c:pt idx="257">
                  <c:v>680</c:v>
                </c:pt>
                <c:pt idx="258">
                  <c:v>580</c:v>
                </c:pt>
                <c:pt idx="259">
                  <c:v>490</c:v>
                </c:pt>
                <c:pt idx="260">
                  <c:v>370</c:v>
                </c:pt>
                <c:pt idx="261">
                  <c:v>260</c:v>
                </c:pt>
                <c:pt idx="262">
                  <c:v>150</c:v>
                </c:pt>
                <c:pt idx="263">
                  <c:v>40</c:v>
                </c:pt>
                <c:pt idx="264">
                  <c:v>940</c:v>
                </c:pt>
                <c:pt idx="265">
                  <c:v>830</c:v>
                </c:pt>
                <c:pt idx="266">
                  <c:v>730</c:v>
                </c:pt>
                <c:pt idx="267">
                  <c:v>630</c:v>
                </c:pt>
                <c:pt idx="268">
                  <c:v>520</c:v>
                </c:pt>
                <c:pt idx="269">
                  <c:v>440</c:v>
                </c:pt>
                <c:pt idx="270">
                  <c:v>330</c:v>
                </c:pt>
                <c:pt idx="271">
                  <c:v>220</c:v>
                </c:pt>
                <c:pt idx="272">
                  <c:v>140</c:v>
                </c:pt>
                <c:pt idx="273">
                  <c:v>20</c:v>
                </c:pt>
                <c:pt idx="274">
                  <c:v>910</c:v>
                </c:pt>
                <c:pt idx="275">
                  <c:v>810</c:v>
                </c:pt>
                <c:pt idx="276">
                  <c:v>720</c:v>
                </c:pt>
                <c:pt idx="277">
                  <c:v>620</c:v>
                </c:pt>
                <c:pt idx="278">
                  <c:v>520</c:v>
                </c:pt>
                <c:pt idx="279">
                  <c:v>410</c:v>
                </c:pt>
                <c:pt idx="280">
                  <c:v>320</c:v>
                </c:pt>
                <c:pt idx="281">
                  <c:v>220</c:v>
                </c:pt>
                <c:pt idx="282">
                  <c:v>140</c:v>
                </c:pt>
                <c:pt idx="283">
                  <c:v>40</c:v>
                </c:pt>
                <c:pt idx="284">
                  <c:v>0</c:v>
                </c:pt>
                <c:pt idx="285">
                  <c:v>880</c:v>
                </c:pt>
                <c:pt idx="286">
                  <c:v>760</c:v>
                </c:pt>
                <c:pt idx="287">
                  <c:v>640</c:v>
                </c:pt>
                <c:pt idx="288">
                  <c:v>530</c:v>
                </c:pt>
                <c:pt idx="289">
                  <c:v>410</c:v>
                </c:pt>
                <c:pt idx="290">
                  <c:v>290</c:v>
                </c:pt>
                <c:pt idx="291">
                  <c:v>200</c:v>
                </c:pt>
                <c:pt idx="292">
                  <c:v>110</c:v>
                </c:pt>
                <c:pt idx="293">
                  <c:v>0</c:v>
                </c:pt>
                <c:pt idx="294">
                  <c:v>900</c:v>
                </c:pt>
                <c:pt idx="295">
                  <c:v>810</c:v>
                </c:pt>
                <c:pt idx="296">
                  <c:v>700</c:v>
                </c:pt>
                <c:pt idx="297">
                  <c:v>610</c:v>
                </c:pt>
                <c:pt idx="298">
                  <c:v>500</c:v>
                </c:pt>
                <c:pt idx="299">
                  <c:v>400</c:v>
                </c:pt>
                <c:pt idx="300">
                  <c:v>300</c:v>
                </c:pt>
                <c:pt idx="301">
                  <c:v>220</c:v>
                </c:pt>
                <c:pt idx="302">
                  <c:v>110</c:v>
                </c:pt>
                <c:pt idx="303">
                  <c:v>0</c:v>
                </c:pt>
                <c:pt idx="304">
                  <c:v>920</c:v>
                </c:pt>
                <c:pt idx="305">
                  <c:v>810</c:v>
                </c:pt>
                <c:pt idx="306">
                  <c:v>710</c:v>
                </c:pt>
                <c:pt idx="307">
                  <c:v>610</c:v>
                </c:pt>
                <c:pt idx="308">
                  <c:v>500</c:v>
                </c:pt>
                <c:pt idx="309">
                  <c:v>420</c:v>
                </c:pt>
                <c:pt idx="310">
                  <c:v>330</c:v>
                </c:pt>
                <c:pt idx="311">
                  <c:v>220</c:v>
                </c:pt>
                <c:pt idx="312">
                  <c:v>120</c:v>
                </c:pt>
                <c:pt idx="313">
                  <c:v>30</c:v>
                </c:pt>
                <c:pt idx="314">
                  <c:v>920</c:v>
                </c:pt>
                <c:pt idx="315">
                  <c:v>830</c:v>
                </c:pt>
                <c:pt idx="316">
                  <c:v>740</c:v>
                </c:pt>
                <c:pt idx="317">
                  <c:v>630</c:v>
                </c:pt>
                <c:pt idx="318">
                  <c:v>530</c:v>
                </c:pt>
                <c:pt idx="319">
                  <c:v>430</c:v>
                </c:pt>
                <c:pt idx="320">
                  <c:v>350</c:v>
                </c:pt>
                <c:pt idx="321">
                  <c:v>250</c:v>
                </c:pt>
                <c:pt idx="322">
                  <c:v>140</c:v>
                </c:pt>
                <c:pt idx="323">
                  <c:v>40</c:v>
                </c:pt>
                <c:pt idx="324">
                  <c:v>940</c:v>
                </c:pt>
                <c:pt idx="325">
                  <c:v>850</c:v>
                </c:pt>
                <c:pt idx="326">
                  <c:v>740</c:v>
                </c:pt>
                <c:pt idx="327">
                  <c:v>630</c:v>
                </c:pt>
                <c:pt idx="328">
                  <c:v>530</c:v>
                </c:pt>
                <c:pt idx="329">
                  <c:v>410</c:v>
                </c:pt>
                <c:pt idx="330">
                  <c:v>300</c:v>
                </c:pt>
                <c:pt idx="331">
                  <c:v>200</c:v>
                </c:pt>
                <c:pt idx="332">
                  <c:v>100</c:v>
                </c:pt>
                <c:pt idx="333">
                  <c:v>0</c:v>
                </c:pt>
                <c:pt idx="334">
                  <c:v>890</c:v>
                </c:pt>
                <c:pt idx="335">
                  <c:v>790</c:v>
                </c:pt>
                <c:pt idx="336">
                  <c:v>680</c:v>
                </c:pt>
                <c:pt idx="337">
                  <c:v>570</c:v>
                </c:pt>
                <c:pt idx="338">
                  <c:v>470</c:v>
                </c:pt>
                <c:pt idx="339">
                  <c:v>370</c:v>
                </c:pt>
                <c:pt idx="340">
                  <c:v>270</c:v>
                </c:pt>
                <c:pt idx="341">
                  <c:v>150</c:v>
                </c:pt>
                <c:pt idx="342">
                  <c:v>50</c:v>
                </c:pt>
                <c:pt idx="343">
                  <c:v>0</c:v>
                </c:pt>
                <c:pt idx="344">
                  <c:v>890</c:v>
                </c:pt>
                <c:pt idx="345">
                  <c:v>790</c:v>
                </c:pt>
                <c:pt idx="346">
                  <c:v>700</c:v>
                </c:pt>
                <c:pt idx="347">
                  <c:v>610</c:v>
                </c:pt>
                <c:pt idx="348">
                  <c:v>500</c:v>
                </c:pt>
                <c:pt idx="349">
                  <c:v>420</c:v>
                </c:pt>
                <c:pt idx="350">
                  <c:v>310</c:v>
                </c:pt>
                <c:pt idx="351">
                  <c:v>210</c:v>
                </c:pt>
                <c:pt idx="352">
                  <c:v>130</c:v>
                </c:pt>
                <c:pt idx="353">
                  <c:v>20</c:v>
                </c:pt>
                <c:pt idx="354">
                  <c:v>920</c:v>
                </c:pt>
                <c:pt idx="355">
                  <c:v>830</c:v>
                </c:pt>
                <c:pt idx="356">
                  <c:v>710</c:v>
                </c:pt>
                <c:pt idx="357">
                  <c:v>620</c:v>
                </c:pt>
                <c:pt idx="358">
                  <c:v>540</c:v>
                </c:pt>
                <c:pt idx="359">
                  <c:v>430</c:v>
                </c:pt>
                <c:pt idx="360">
                  <c:v>340</c:v>
                </c:pt>
                <c:pt idx="361">
                  <c:v>230</c:v>
                </c:pt>
                <c:pt idx="362">
                  <c:v>110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8-46A4-841C-838D0D0C34B4}"/>
            </c:ext>
          </c:extLst>
        </c:ser>
        <c:ser>
          <c:idx val="1"/>
          <c:order val="1"/>
          <c:invertIfNegative val="0"/>
          <c:cat>
            <c:numRef>
              <c:f>延期交货模拟模型!$E$5:$E$369</c:f>
              <c:numCache>
                <c:formatCode>0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延期交货模拟模型!$O$5:$O$369</c:f>
              <c:numCache>
                <c:formatCode>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8-46A4-841C-838D0D0C3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5246592"/>
        <c:axId val="71847872"/>
      </c:barChart>
      <c:catAx>
        <c:axId val="7524659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71847872"/>
        <c:crosses val="autoZero"/>
        <c:auto val="1"/>
        <c:lblAlgn val="ctr"/>
        <c:lblOffset val="100"/>
        <c:noMultiLvlLbl val="0"/>
      </c:catAx>
      <c:valAx>
        <c:axId val="71847872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75246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31" fmlaLink="$C$3" inc="10" max="300" min="100" page="10" val="100"/>
</file>

<file path=xl/ctrlProps/ctrlProp2.xml><?xml version="1.0" encoding="utf-8"?>
<formControlPr xmlns="http://schemas.microsoft.com/office/spreadsheetml/2009/9/main" objectType="Spin" dx="31" fmlaLink="$C$9" inc="200" max="3000" min="1000" page="10" val="1000"/>
</file>

<file path=xl/ctrlProps/ctrlProp3.xml><?xml version="1.0" encoding="utf-8"?>
<formControlPr xmlns="http://schemas.microsoft.com/office/spreadsheetml/2009/9/main" objectType="Spin" dx="31" fmlaLink="$C$3" inc="10" max="300" min="100" page="10" val="140"/>
</file>

<file path=xl/ctrlProps/ctrlProp4.xml><?xml version="1.0" encoding="utf-8"?>
<formControlPr xmlns="http://schemas.microsoft.com/office/spreadsheetml/2009/9/main" objectType="Spin" dx="31" fmlaLink="$C$9" inc="200" max="3000" min="1000" page="10" val="1000"/>
</file>

<file path=xl/ctrlProps/ctrlProp5.xml><?xml version="1.0" encoding="utf-8"?>
<formControlPr xmlns="http://schemas.microsoft.com/office/spreadsheetml/2009/9/main" objectType="Spin" dx="31" fmlaLink="$C$3" inc="10" max="300" min="100" page="10" val="100"/>
</file>

<file path=xl/ctrlProps/ctrlProp6.xml><?xml version="1.0" encoding="utf-8"?>
<formControlPr xmlns="http://schemas.microsoft.com/office/spreadsheetml/2009/9/main" objectType="Spin" dx="31" fmlaLink="$C$9" inc="200" max="3000" min="1000" page="10" val="1200"/>
</file>

<file path=xl/ctrlProps/ctrlProp7.xml><?xml version="1.0" encoding="utf-8"?>
<formControlPr xmlns="http://schemas.microsoft.com/office/spreadsheetml/2009/9/main" objectType="Spin" dx="25" fmlaLink="延期交货模拟模型!$C$3" inc="10" max="210" min="60" page="10" val="100"/>
</file>

<file path=xl/ctrlProps/ctrlProp8.xml><?xml version="1.0" encoding="utf-8"?>
<formControlPr xmlns="http://schemas.microsoft.com/office/spreadsheetml/2009/9/main" objectType="Spin" dx="25" fmlaLink="延期交货模拟模型!$O$4" max="365" min="1" page="10" val="1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1</xdr:row>
      <xdr:rowOff>95250</xdr:rowOff>
    </xdr:from>
    <xdr:to>
      <xdr:col>9</xdr:col>
      <xdr:colOff>330200</xdr:colOff>
      <xdr:row>56</xdr:row>
      <xdr:rowOff>88900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88620" y="262890"/>
          <a:ext cx="5427980" cy="9213850"/>
          <a:chOff x="388620" y="254000"/>
          <a:chExt cx="5427980" cy="8724900"/>
        </a:xfrm>
      </xdr:grpSpPr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388620" y="254000"/>
            <a:ext cx="5427980" cy="8724900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【例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8-8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】以例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8-7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为基础，再考虑有延期交货的情况。假如每次发出订单，第二天不一定能准时收到货，有可能会延迟一天才收到货。根据以往经验，准时与延迟的可能性各占</a:t>
            </a:r>
            <a:r>
              <a:rPr lang="en-US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50%</a:t>
            </a:r>
            <a:r>
              <a:rPr lang="zh-CN" altLang="zh-CN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。库存管理人员需要了解此种情况下，最优订货量如何确定、服务水平怎样、一年中每天的库存如何变化。</a:t>
            </a:r>
            <a:r>
              <a:rPr lang="zh-CN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参考下面三图建立模拟模型。</a:t>
            </a:r>
            <a:endPara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3" name="图片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7104" y="1060450"/>
            <a:ext cx="5065346" cy="2667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图片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7418" y="3816350"/>
            <a:ext cx="5090432" cy="26802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5150" y="6609893"/>
            <a:ext cx="5080000" cy="224200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</xdr:colOff>
          <xdr:row>2</xdr:row>
          <xdr:rowOff>7620</xdr:rowOff>
        </xdr:from>
        <xdr:to>
          <xdr:col>3</xdr:col>
          <xdr:colOff>182880</xdr:colOff>
          <xdr:row>3</xdr:row>
          <xdr:rowOff>22860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144780</xdr:rowOff>
        </xdr:from>
        <xdr:to>
          <xdr:col>3</xdr:col>
          <xdr:colOff>175260</xdr:colOff>
          <xdr:row>8</xdr:row>
          <xdr:rowOff>160020</xdr:rowOff>
        </xdr:to>
        <xdr:sp macro="" textlink="">
          <xdr:nvSpPr>
            <xdr:cNvPr id="7171" name="Spinner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96957</xdr:colOff>
      <xdr:row>1</xdr:row>
      <xdr:rowOff>88764</xdr:rowOff>
    </xdr:from>
    <xdr:to>
      <xdr:col>11</xdr:col>
      <xdr:colOff>596764</xdr:colOff>
      <xdr:row>27</xdr:row>
      <xdr:rowOff>6828</xdr:rowOff>
    </xdr:to>
    <xdr:graphicFrame macro="">
      <xdr:nvGraphicFramePr>
        <xdr:cNvPr id="109599" name="图表 1">
          <a:extLst>
            <a:ext uri="{FF2B5EF4-FFF2-40B4-BE49-F238E27FC236}">
              <a16:creationId xmlns:a16="http://schemas.microsoft.com/office/drawing/2014/main" id="{00000000-0008-0000-0200-00001FA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533400</xdr:colOff>
          <xdr:row>4</xdr:row>
          <xdr:rowOff>60960</xdr:rowOff>
        </xdr:from>
        <xdr:to>
          <xdr:col>3</xdr:col>
          <xdr:colOff>121920</xdr:colOff>
          <xdr:row>5</xdr:row>
          <xdr:rowOff>121920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127251</xdr:colOff>
      <xdr:row>4</xdr:row>
      <xdr:rowOff>44294</xdr:rowOff>
    </xdr:from>
    <xdr:to>
      <xdr:col>4</xdr:col>
      <xdr:colOff>599966</xdr:colOff>
      <xdr:row>5</xdr:row>
      <xdr:rowOff>127001</xdr:rowOff>
    </xdr:to>
    <xdr:sp macro="" textlink="延期交货模拟模型!B369">
      <xdr:nvSpPr>
        <xdr:cNvPr id="2" name="文本框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53423" y="674915"/>
          <a:ext cx="1081440" cy="240362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7CA8E7-25C9-45AC-9624-089E5F4C1BFC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安全库存=100</a:t>
          </a:fld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91440</xdr:colOff>
          <xdr:row>4</xdr:row>
          <xdr:rowOff>68580</xdr:rowOff>
        </xdr:from>
        <xdr:to>
          <xdr:col>7</xdr:col>
          <xdr:colOff>304800</xdr:colOff>
          <xdr:row>5</xdr:row>
          <xdr:rowOff>114300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0.58745</cdr:x>
      <cdr:y>0.10749</cdr:y>
    </cdr:from>
    <cdr:to>
      <cdr:x>0.74519</cdr:x>
      <cdr:y>0.16733</cdr:y>
    </cdr:to>
    <cdr:sp macro="" textlink="延期交货模拟模型!$B$370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B882F211-F7B7-47C3-9D1F-BB5C30687A70}"/>
            </a:ext>
          </a:extLst>
        </cdr:cNvPr>
        <cdr:cNvSpPr txBox="1"/>
      </cdr:nvSpPr>
      <cdr:spPr>
        <a:xfrm xmlns:a="http://schemas.openxmlformats.org/drawingml/2006/main">
          <a:off x="3869558" y="431800"/>
          <a:ext cx="1039037" cy="2403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ysClr val="windowText" lastClr="000000"/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801414F4-7ECC-40D9-A5D0-241F9CC03E54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订货量=1000</a:t>
          </a:fld>
          <a:endParaRPr lang="zh-CN" alt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96957</xdr:colOff>
      <xdr:row>1</xdr:row>
      <xdr:rowOff>88764</xdr:rowOff>
    </xdr:from>
    <xdr:to>
      <xdr:col>11</xdr:col>
      <xdr:colOff>596764</xdr:colOff>
      <xdr:row>27</xdr:row>
      <xdr:rowOff>47796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525780</xdr:colOff>
          <xdr:row>5</xdr:row>
          <xdr:rowOff>15240</xdr:rowOff>
        </xdr:from>
        <xdr:to>
          <xdr:col>3</xdr:col>
          <xdr:colOff>114300</xdr:colOff>
          <xdr:row>6</xdr:row>
          <xdr:rowOff>76200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118623</xdr:colOff>
      <xdr:row>5</xdr:row>
      <xdr:rowOff>0</xdr:rowOff>
    </xdr:from>
    <xdr:to>
      <xdr:col>4</xdr:col>
      <xdr:colOff>591041</xdr:colOff>
      <xdr:row>6</xdr:row>
      <xdr:rowOff>85794</xdr:rowOff>
    </xdr:to>
    <xdr:sp macro="" textlink="延期交货模拟模型!B369">
      <xdr:nvSpPr>
        <xdr:cNvPr id="4" name="文本框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941688" y="785215"/>
          <a:ext cx="1080106" cy="24283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B7CA8E7-25C9-45AC-9624-089E5F4C1BFC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安全库存=100</a:t>
          </a:fld>
          <a:endParaRPr lang="zh-CN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182880</xdr:colOff>
          <xdr:row>5</xdr:row>
          <xdr:rowOff>38100</xdr:rowOff>
        </xdr:from>
        <xdr:to>
          <xdr:col>7</xdr:col>
          <xdr:colOff>403860</xdr:colOff>
          <xdr:row>6</xdr:row>
          <xdr:rowOff>83820</xdr:rowOff>
        </xdr:to>
        <xdr:sp macro="" textlink="">
          <xdr:nvSpPr>
            <xdr:cNvPr id="3075" name="Spinner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4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402850</xdr:colOff>
      <xdr:row>5</xdr:row>
      <xdr:rowOff>27313</xdr:rowOff>
    </xdr:from>
    <xdr:to>
      <xdr:col>9</xdr:col>
      <xdr:colOff>218494</xdr:colOff>
      <xdr:row>6</xdr:row>
      <xdr:rowOff>122904</xdr:rowOff>
    </xdr:to>
    <xdr:sp macro="" textlink="延期交货模拟模型!B370">
      <xdr:nvSpPr>
        <xdr:cNvPr id="3" name="文本框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4656667" y="812528"/>
          <a:ext cx="1031021" cy="252634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D07EE7-3A11-43A1-9C2D-5E805C1F8AFB}" type="TxLink">
            <a:rPr lang="zh-CN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订货量=1000</a:t>
          </a:fld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577850</xdr:colOff>
      <xdr:row>1</xdr:row>
      <xdr:rowOff>16510</xdr:rowOff>
    </xdr:from>
    <xdr:to>
      <xdr:col>13</xdr:col>
      <xdr:colOff>50800</xdr:colOff>
      <xdr:row>19</xdr:row>
      <xdr:rowOff>53340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77850" y="184150"/>
          <a:ext cx="7397750" cy="3054350"/>
          <a:chOff x="0" y="304800"/>
          <a:chExt cx="6121400" cy="33528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>
            <a:graphicFrameLocks/>
          </xdr:cNvGraphicFramePr>
        </xdr:nvGraphicFramePr>
        <xdr:xfrm>
          <a:off x="0" y="304800"/>
          <a:ext cx="6121400" cy="3352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3205262" y="430571"/>
            <a:ext cx="1136545" cy="264578"/>
            <a:chOff x="9536212" y="62271"/>
            <a:chExt cx="1136545" cy="264578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45" name="Spinner 1" hidden="1">
                  <a:extLst>
                    <a:ext uri="{63B3BB69-23CF-44E3-9099-C40C66FF867C}">
                      <a14:compatExt spid="_x0000_s6145"/>
                    </a:ext>
                    <a:ext uri="{FF2B5EF4-FFF2-40B4-BE49-F238E27FC236}">
                      <a16:creationId xmlns:a16="http://schemas.microsoft.com/office/drawing/2014/main" id="{00000000-0008-0000-0500-000001180000}"/>
                    </a:ext>
                  </a:extLst>
                </xdr:cNvPr>
                <xdr:cNvSpPr/>
              </xdr:nvSpPr>
              <xdr:spPr bwMode="auto">
                <a:xfrm>
                  <a:off x="9536212" y="62271"/>
                  <a:ext cx="197165" cy="264578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延期交货模拟模型!B369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>
              <a:off x="9729056" y="64082"/>
              <a:ext cx="943701" cy="241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marL="0" indent="0" algn="ctr"/>
              <a:fld id="{AA657360-2391-4927-B621-23D264B33FE1}" type="TxLink">
                <a:rPr lang="zh-CN" altLang="en-US" sz="1100" b="0" i="0" u="none" strike="noStrike">
                  <a:solidFill>
                    <a:srgbClr val="000000"/>
                  </a:solidFill>
                  <a:latin typeface="宋体"/>
                  <a:ea typeface="宋体"/>
                  <a:cs typeface="+mn-cs"/>
                </a:rPr>
                <a:pPr marL="0" indent="0" algn="ctr"/>
                <a:t>安全库存=100</a:t>
              </a:fld>
              <a:endParaRPr lang="zh-CN" altLang="en-US" sz="1100">
                <a:solidFill>
                  <a:schemeClr val="dk1"/>
                </a:solidFill>
                <a:latin typeface="+mn-lt"/>
                <a:ea typeface="+mn-ea"/>
                <a:cs typeface="+mn-cs"/>
              </a:endParaRPr>
            </a:p>
          </xdr:txBody>
        </xdr:sp>
      </xdr:grp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pSpPr/>
        </xdr:nvGrpSpPr>
        <xdr:grpSpPr>
          <a:xfrm>
            <a:off x="4451474" y="424794"/>
            <a:ext cx="1136547" cy="241918"/>
            <a:chOff x="9436224" y="50144"/>
            <a:chExt cx="1136547" cy="241918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6146" name="Spinner 2" hidden="1">
                  <a:extLst>
                    <a:ext uri="{63B3BB69-23CF-44E3-9099-C40C66FF867C}">
                      <a14:compatExt spid="_x0000_s6146"/>
                    </a:ext>
                    <a:ext uri="{FF2B5EF4-FFF2-40B4-BE49-F238E27FC236}">
                      <a16:creationId xmlns:a16="http://schemas.microsoft.com/office/drawing/2014/main" id="{00000000-0008-0000-0500-000002180000}"/>
                    </a:ext>
                  </a:extLst>
                </xdr:cNvPr>
                <xdr:cNvSpPr/>
              </xdr:nvSpPr>
              <xdr:spPr bwMode="auto">
                <a:xfrm>
                  <a:off x="9436224" y="57112"/>
                  <a:ext cx="178517" cy="23495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延期交货模拟模型!B368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/>
          </xdr:nvSpPr>
          <xdr:spPr>
            <a:xfrm>
              <a:off x="9602517" y="50144"/>
              <a:ext cx="970254" cy="2413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algn="ctr"/>
              <a:fld id="{9F48FA4E-9DAD-4FE3-85F3-351C3644F062}" type="TxLink">
                <a:rPr lang="zh-CN" altLang="en-US" sz="1100"/>
                <a:pPr algn="ctr"/>
                <a:t>查看第15天库存</a:t>
              </a:fld>
              <a:endParaRPr lang="zh-CN" altLang="en-US" sz="1100"/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2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R429"/>
  <sheetViews>
    <sheetView showGridLines="0" tabSelected="1" zoomScale="130" zoomScaleNormal="130" workbookViewId="0">
      <selection activeCell="I6" sqref="I6"/>
    </sheetView>
  </sheetViews>
  <sheetFormatPr defaultColWidth="8.88671875" defaultRowHeight="14.4"/>
  <cols>
    <col min="1" max="1" width="1.44140625" style="1" customWidth="1"/>
    <col min="2" max="2" width="14.6640625" style="1" customWidth="1"/>
    <col min="3" max="3" width="6.109375" style="4" customWidth="1"/>
    <col min="4" max="4" width="5.5546875" style="4" customWidth="1"/>
    <col min="5" max="5" width="3.77734375" style="4" customWidth="1"/>
    <col min="6" max="6" width="5.6640625" style="4" customWidth="1"/>
    <col min="7" max="7" width="5.33203125" style="12" customWidth="1"/>
    <col min="8" max="8" width="4.88671875" style="13" customWidth="1"/>
    <col min="9" max="10" width="4.77734375" style="13" customWidth="1"/>
    <col min="11" max="11" width="5.109375" style="13" customWidth="1"/>
    <col min="12" max="12" width="5.88671875" style="4" customWidth="1"/>
    <col min="13" max="13" width="4.77734375" style="4" customWidth="1"/>
    <col min="14" max="14" width="6" style="15" customWidth="1"/>
    <col min="15" max="15" width="4.88671875" style="13" customWidth="1"/>
    <col min="16" max="16" width="1.109375" style="4" customWidth="1"/>
    <col min="17" max="17" width="6.33203125" style="4" customWidth="1"/>
    <col min="18" max="18" width="8.21875" style="4" customWidth="1"/>
    <col min="19" max="19" width="1.5546875" style="7" customWidth="1"/>
    <col min="20" max="20" width="7.33203125" style="4" customWidth="1"/>
    <col min="21" max="21" width="7" style="8" customWidth="1"/>
    <col min="22" max="22" width="9.5546875" style="8" customWidth="1"/>
    <col min="23" max="23" width="7.88671875" style="8" hidden="1" customWidth="1"/>
    <col min="24" max="118" width="8.88671875" style="8" hidden="1" customWidth="1"/>
    <col min="119" max="119" width="0.77734375" style="8" customWidth="1"/>
    <col min="120" max="120" width="8" style="8" customWidth="1"/>
    <col min="121" max="121" width="6.6640625" style="4" customWidth="1"/>
    <col min="122" max="122" width="1.5546875" style="1" customWidth="1"/>
    <col min="123" max="168" width="19.5546875" style="1" customWidth="1"/>
    <col min="169" max="169" width="10.5546875" style="1" customWidth="1"/>
    <col min="170" max="177" width="18.5546875" style="1" customWidth="1"/>
    <col min="178" max="178" width="10.5546875" style="1" customWidth="1"/>
    <col min="179" max="16384" width="8.88671875" style="1"/>
  </cols>
  <sheetData>
    <row r="1" spans="2:121">
      <c r="B1" s="21"/>
      <c r="E1" s="17" t="s">
        <v>35</v>
      </c>
      <c r="F1" s="9"/>
      <c r="G1" s="4"/>
      <c r="H1" s="4"/>
      <c r="I1" s="4"/>
      <c r="J1" s="5"/>
      <c r="K1" s="20" t="s">
        <v>36</v>
      </c>
      <c r="L1" s="5">
        <f ca="1">SUM(L5:L369)</f>
        <v>48000</v>
      </c>
      <c r="M1" s="5">
        <f ca="1">SUM(M5:M369)</f>
        <v>7400</v>
      </c>
      <c r="N1" s="5">
        <f ca="1">SUM(N5:N369)</f>
        <v>4606.5753424657532</v>
      </c>
      <c r="O1" s="30" t="s">
        <v>57</v>
      </c>
      <c r="Q1" s="19" t="s">
        <v>37</v>
      </c>
      <c r="R1" s="4" t="s">
        <v>18</v>
      </c>
      <c r="T1" s="18" t="s">
        <v>38</v>
      </c>
      <c r="DQ1" s="20" t="s">
        <v>39</v>
      </c>
    </row>
    <row r="2" spans="2:121" ht="13.8" customHeight="1">
      <c r="B2" s="22" t="s">
        <v>34</v>
      </c>
      <c r="E2" s="64" t="s">
        <v>7</v>
      </c>
      <c r="F2" s="31" t="s">
        <v>16</v>
      </c>
      <c r="G2" s="32" t="s">
        <v>8</v>
      </c>
      <c r="H2" s="32" t="s">
        <v>9</v>
      </c>
      <c r="I2" s="33" t="s">
        <v>10</v>
      </c>
      <c r="J2" s="33" t="s">
        <v>53</v>
      </c>
      <c r="K2" s="32" t="s">
        <v>21</v>
      </c>
      <c r="L2" s="34" t="s">
        <v>19</v>
      </c>
      <c r="M2" s="34" t="s">
        <v>10</v>
      </c>
      <c r="N2" s="34" t="s">
        <v>11</v>
      </c>
      <c r="O2" s="35" t="s">
        <v>56</v>
      </c>
      <c r="R2" s="5">
        <f ca="1">C14</f>
        <v>60006.575342465752</v>
      </c>
      <c r="T2" s="14">
        <f ca="1">C14</f>
        <v>60006.575342465752</v>
      </c>
      <c r="U2" s="36">
        <v>1</v>
      </c>
      <c r="V2" s="36">
        <v>2</v>
      </c>
      <c r="W2" s="36">
        <v>3</v>
      </c>
      <c r="X2" s="36">
        <v>4</v>
      </c>
      <c r="Y2" s="36">
        <v>5</v>
      </c>
      <c r="Z2" s="36">
        <v>6</v>
      </c>
      <c r="AA2" s="36">
        <v>7</v>
      </c>
      <c r="AB2" s="36">
        <v>8</v>
      </c>
      <c r="AC2" s="36">
        <v>9</v>
      </c>
      <c r="AD2" s="36">
        <v>10</v>
      </c>
      <c r="AE2" s="36">
        <v>11</v>
      </c>
      <c r="AF2" s="36">
        <v>12</v>
      </c>
      <c r="AG2" s="36">
        <v>13</v>
      </c>
      <c r="AH2" s="36">
        <v>14</v>
      </c>
      <c r="AI2" s="36">
        <v>15</v>
      </c>
      <c r="AJ2" s="36">
        <v>16</v>
      </c>
      <c r="AK2" s="36">
        <v>17</v>
      </c>
      <c r="AL2" s="36">
        <v>18</v>
      </c>
      <c r="AM2" s="36">
        <v>19</v>
      </c>
      <c r="AN2" s="36">
        <v>20</v>
      </c>
      <c r="AO2" s="36">
        <v>21</v>
      </c>
      <c r="AP2" s="36">
        <v>22</v>
      </c>
      <c r="AQ2" s="36">
        <v>23</v>
      </c>
      <c r="AR2" s="36">
        <v>24</v>
      </c>
      <c r="AS2" s="36">
        <v>25</v>
      </c>
      <c r="AT2" s="36">
        <v>26</v>
      </c>
      <c r="AU2" s="36">
        <v>27</v>
      </c>
      <c r="AV2" s="36">
        <v>28</v>
      </c>
      <c r="AW2" s="36">
        <v>29</v>
      </c>
      <c r="AX2" s="36">
        <v>30</v>
      </c>
      <c r="AY2" s="36">
        <v>31</v>
      </c>
      <c r="AZ2" s="36">
        <v>32</v>
      </c>
      <c r="BA2" s="36">
        <v>33</v>
      </c>
      <c r="BB2" s="36">
        <v>34</v>
      </c>
      <c r="BC2" s="36">
        <v>35</v>
      </c>
      <c r="BD2" s="36">
        <v>36</v>
      </c>
      <c r="BE2" s="36">
        <v>37</v>
      </c>
      <c r="BF2" s="36">
        <v>38</v>
      </c>
      <c r="BG2" s="36">
        <v>39</v>
      </c>
      <c r="BH2" s="36">
        <v>40</v>
      </c>
      <c r="BI2" s="36">
        <v>41</v>
      </c>
      <c r="BJ2" s="36">
        <v>42</v>
      </c>
      <c r="BK2" s="36">
        <v>43</v>
      </c>
      <c r="BL2" s="36">
        <v>44</v>
      </c>
      <c r="BM2" s="36">
        <v>45</v>
      </c>
      <c r="BN2" s="36">
        <v>46</v>
      </c>
      <c r="BO2" s="36">
        <v>47</v>
      </c>
      <c r="BP2" s="36">
        <v>48</v>
      </c>
      <c r="BQ2" s="36">
        <v>49</v>
      </c>
      <c r="BR2" s="36">
        <v>50</v>
      </c>
      <c r="BS2" s="36">
        <v>51</v>
      </c>
      <c r="BT2" s="36">
        <v>52</v>
      </c>
      <c r="BU2" s="36">
        <v>53</v>
      </c>
      <c r="BV2" s="36">
        <v>54</v>
      </c>
      <c r="BW2" s="36">
        <v>55</v>
      </c>
      <c r="BX2" s="36">
        <v>56</v>
      </c>
      <c r="BY2" s="36">
        <v>57</v>
      </c>
      <c r="BZ2" s="36">
        <v>58</v>
      </c>
      <c r="CA2" s="36">
        <v>59</v>
      </c>
      <c r="CB2" s="36">
        <v>60</v>
      </c>
      <c r="CC2" s="36">
        <v>61</v>
      </c>
      <c r="CD2" s="36">
        <v>62</v>
      </c>
      <c r="CE2" s="36">
        <v>63</v>
      </c>
      <c r="CF2" s="36">
        <v>64</v>
      </c>
      <c r="CG2" s="36">
        <v>65</v>
      </c>
      <c r="CH2" s="36">
        <v>66</v>
      </c>
      <c r="CI2" s="36">
        <v>67</v>
      </c>
      <c r="CJ2" s="36">
        <v>68</v>
      </c>
      <c r="CK2" s="36">
        <v>69</v>
      </c>
      <c r="CL2" s="36">
        <v>70</v>
      </c>
      <c r="CM2" s="36">
        <v>71</v>
      </c>
      <c r="CN2" s="36">
        <v>72</v>
      </c>
      <c r="CO2" s="36">
        <v>73</v>
      </c>
      <c r="CP2" s="36">
        <v>74</v>
      </c>
      <c r="CQ2" s="36">
        <v>75</v>
      </c>
      <c r="CR2" s="36">
        <v>76</v>
      </c>
      <c r="CS2" s="36">
        <v>77</v>
      </c>
      <c r="CT2" s="36">
        <v>78</v>
      </c>
      <c r="CU2" s="36">
        <v>79</v>
      </c>
      <c r="CV2" s="36">
        <v>80</v>
      </c>
      <c r="CW2" s="36">
        <v>81</v>
      </c>
      <c r="CX2" s="36">
        <v>82</v>
      </c>
      <c r="CY2" s="36">
        <v>83</v>
      </c>
      <c r="CZ2" s="36">
        <v>84</v>
      </c>
      <c r="DA2" s="36">
        <v>85</v>
      </c>
      <c r="DB2" s="36">
        <v>86</v>
      </c>
      <c r="DC2" s="36">
        <v>87</v>
      </c>
      <c r="DD2" s="36">
        <v>88</v>
      </c>
      <c r="DE2" s="36">
        <v>89</v>
      </c>
      <c r="DF2" s="36">
        <v>90</v>
      </c>
      <c r="DG2" s="36">
        <v>91</v>
      </c>
      <c r="DH2" s="36">
        <v>92</v>
      </c>
      <c r="DI2" s="36">
        <v>93</v>
      </c>
      <c r="DJ2" s="36">
        <v>94</v>
      </c>
      <c r="DK2" s="36">
        <v>95</v>
      </c>
      <c r="DL2" s="36">
        <v>96</v>
      </c>
      <c r="DM2" s="36">
        <v>97</v>
      </c>
      <c r="DN2" s="36">
        <v>98</v>
      </c>
      <c r="DO2" s="36">
        <v>99</v>
      </c>
      <c r="DP2" s="36">
        <v>100</v>
      </c>
      <c r="DQ2" s="37" t="s">
        <v>31</v>
      </c>
    </row>
    <row r="3" spans="2:121" ht="13.95" customHeight="1">
      <c r="B3" s="23" t="s">
        <v>26</v>
      </c>
      <c r="C3" s="2">
        <v>100</v>
      </c>
      <c r="E3" s="65"/>
      <c r="F3" s="38" t="s">
        <v>17</v>
      </c>
      <c r="G3" s="39" t="s">
        <v>33</v>
      </c>
      <c r="H3" s="39" t="s">
        <v>33</v>
      </c>
      <c r="I3" s="40" t="s">
        <v>12</v>
      </c>
      <c r="J3" s="40" t="s">
        <v>54</v>
      </c>
      <c r="K3" s="39" t="s">
        <v>22</v>
      </c>
      <c r="L3" s="41" t="s">
        <v>20</v>
      </c>
      <c r="M3" s="41" t="s">
        <v>13</v>
      </c>
      <c r="N3" s="41" t="s">
        <v>13</v>
      </c>
      <c r="O3" s="42" t="s">
        <v>55</v>
      </c>
      <c r="Q3" s="2">
        <v>1000</v>
      </c>
      <c r="R3" s="5">
        <f t="dataTable" ref="R3:R13" dt2D="0" dtr="0" r1="C9" ca="1"/>
        <v>73411.506849315076</v>
      </c>
      <c r="T3" s="2">
        <v>1000</v>
      </c>
      <c r="U3" s="43">
        <f t="dataTable" ref="U3:DP13" dt2D="1" dtr="1" r1="S1" r2="C9" ca="1"/>
        <v>60951.780821917804</v>
      </c>
      <c r="V3" s="43">
        <v>47984.109589041094</v>
      </c>
      <c r="W3" s="43">
        <v>72694.794520547948</v>
      </c>
      <c r="X3" s="43">
        <v>56533.972602739726</v>
      </c>
      <c r="Y3" s="43">
        <v>72224.65753424658</v>
      </c>
      <c r="Z3" s="43">
        <v>59033.972602739726</v>
      </c>
      <c r="AA3" s="43">
        <v>61521.369863013693</v>
      </c>
      <c r="AB3" s="43">
        <v>48720.821917808222</v>
      </c>
      <c r="AC3" s="43">
        <v>84867.945205479453</v>
      </c>
      <c r="AD3" s="43">
        <v>68888.767123287675</v>
      </c>
      <c r="AE3" s="43">
        <v>52973.972602739734</v>
      </c>
      <c r="AF3" s="43">
        <v>49679.178082191778</v>
      </c>
      <c r="AG3" s="43">
        <v>77762.739726027386</v>
      </c>
      <c r="AH3" s="43">
        <v>59017.534246575342</v>
      </c>
      <c r="AI3" s="43">
        <v>61026.849315068495</v>
      </c>
      <c r="AJ3" s="43">
        <v>61587.123287671231</v>
      </c>
      <c r="AK3" s="43">
        <v>62873.150684931505</v>
      </c>
      <c r="AL3" s="43">
        <v>78437.534246575335</v>
      </c>
      <c r="AM3" s="43">
        <v>58536.164383561649</v>
      </c>
      <c r="AN3" s="43">
        <v>69903.835616438359</v>
      </c>
      <c r="AO3" s="43">
        <v>61293.150684931505</v>
      </c>
      <c r="AP3" s="43">
        <v>55669.863013698632</v>
      </c>
      <c r="AQ3" s="43">
        <v>71474.246575342462</v>
      </c>
      <c r="AR3" s="43">
        <v>65442.191780821915</v>
      </c>
      <c r="AS3" s="43">
        <v>55494.246575342462</v>
      </c>
      <c r="AT3" s="43">
        <v>78724.657534246566</v>
      </c>
      <c r="AU3" s="43">
        <v>55565.753424657538</v>
      </c>
      <c r="AV3" s="43">
        <v>74769.315068493146</v>
      </c>
      <c r="AW3" s="43">
        <v>77455.61643835617</v>
      </c>
      <c r="AX3" s="43">
        <v>63600.821917808214</v>
      </c>
      <c r="AY3" s="43">
        <v>63050.95890410959</v>
      </c>
      <c r="AZ3" s="43">
        <v>72991.506849315061</v>
      </c>
      <c r="BA3" s="43">
        <v>73535.068493150684</v>
      </c>
      <c r="BB3" s="43">
        <v>65058.630136986299</v>
      </c>
      <c r="BC3" s="43">
        <v>95129.863013698632</v>
      </c>
      <c r="BD3" s="43">
        <v>72017.808219178085</v>
      </c>
      <c r="BE3" s="43">
        <v>46620</v>
      </c>
      <c r="BF3" s="43">
        <v>80727.123287671231</v>
      </c>
      <c r="BG3" s="43">
        <v>65486.849315068495</v>
      </c>
      <c r="BH3" s="43">
        <v>57570.95890410959</v>
      </c>
      <c r="BI3" s="43">
        <v>76272.876712328769</v>
      </c>
      <c r="BJ3" s="43">
        <v>60566.301369863017</v>
      </c>
      <c r="BK3" s="43">
        <v>61062.465753424658</v>
      </c>
      <c r="BL3" s="43">
        <v>58431.780821917811</v>
      </c>
      <c r="BM3" s="43">
        <v>57637.534246575342</v>
      </c>
      <c r="BN3" s="43">
        <v>65143.013698630137</v>
      </c>
      <c r="BO3" s="43">
        <v>64473.972602739726</v>
      </c>
      <c r="BP3" s="43">
        <v>62463.287671232873</v>
      </c>
      <c r="BQ3" s="43">
        <v>74956.712328767127</v>
      </c>
      <c r="BR3" s="43">
        <v>60032.054794520547</v>
      </c>
      <c r="BS3" s="43">
        <v>77949.589041095896</v>
      </c>
      <c r="BT3" s="43">
        <v>62102.739726027394</v>
      </c>
      <c r="BU3" s="43">
        <v>58987.397260273974</v>
      </c>
      <c r="BV3" s="43">
        <v>69465.205479452052</v>
      </c>
      <c r="BW3" s="43">
        <v>64473.150684931505</v>
      </c>
      <c r="BX3" s="43">
        <v>56966.57534246576</v>
      </c>
      <c r="BY3" s="43">
        <v>49581.369863013701</v>
      </c>
      <c r="BZ3" s="43">
        <v>53537.808219178085</v>
      </c>
      <c r="CA3" s="43">
        <v>82382.465753424665</v>
      </c>
      <c r="CB3" s="43">
        <v>66531.506849315076</v>
      </c>
      <c r="CC3" s="43">
        <v>71419.726027397264</v>
      </c>
      <c r="CD3" s="43">
        <v>66455.068493150684</v>
      </c>
      <c r="CE3" s="43">
        <v>65980.273972602736</v>
      </c>
      <c r="CF3" s="43">
        <v>70419.452054794514</v>
      </c>
      <c r="CG3" s="43">
        <v>60511.232876712325</v>
      </c>
      <c r="CH3" s="43">
        <v>57549.04109589041</v>
      </c>
      <c r="CI3" s="43">
        <v>70527.671232876717</v>
      </c>
      <c r="CJ3" s="43">
        <v>63316.438356164384</v>
      </c>
      <c r="CK3" s="43">
        <v>72500</v>
      </c>
      <c r="CL3" s="43">
        <v>70708.767123287675</v>
      </c>
      <c r="CM3" s="43">
        <v>59071.780821917811</v>
      </c>
      <c r="CN3" s="43">
        <v>51038.356164383564</v>
      </c>
      <c r="CO3" s="43">
        <v>64286.027397260274</v>
      </c>
      <c r="CP3" s="43">
        <v>75360.821917808222</v>
      </c>
      <c r="CQ3" s="43">
        <v>76359.452054794514</v>
      </c>
      <c r="CR3" s="43">
        <v>63530.95890410959</v>
      </c>
      <c r="CS3" s="43">
        <v>61007.397260273974</v>
      </c>
      <c r="CT3" s="43">
        <v>77269.315068493146</v>
      </c>
      <c r="CU3" s="43">
        <v>52572.32876712329</v>
      </c>
      <c r="CV3" s="43">
        <v>60003.287671232873</v>
      </c>
      <c r="CW3" s="43">
        <v>53060.273972602736</v>
      </c>
      <c r="CX3" s="43">
        <v>64360</v>
      </c>
      <c r="CY3" s="43">
        <v>46573.972602739726</v>
      </c>
      <c r="CZ3" s="43">
        <v>60951.780821917811</v>
      </c>
      <c r="DA3" s="43">
        <v>74699.726027397264</v>
      </c>
      <c r="DB3" s="43">
        <v>58447.94520547946</v>
      </c>
      <c r="DC3" s="43">
        <v>80259.178082191778</v>
      </c>
      <c r="DD3" s="43">
        <v>65945.479452054788</v>
      </c>
      <c r="DE3" s="43">
        <v>66477.808219178085</v>
      </c>
      <c r="DF3" s="43">
        <v>47051.232876712333</v>
      </c>
      <c r="DG3" s="43">
        <v>51578.082191780821</v>
      </c>
      <c r="DH3" s="43">
        <v>62272.876712328769</v>
      </c>
      <c r="DI3" s="43">
        <v>72736.164383561641</v>
      </c>
      <c r="DJ3" s="43">
        <v>75306.027397260274</v>
      </c>
      <c r="DK3" s="43">
        <v>62451.232876712325</v>
      </c>
      <c r="DL3" s="43">
        <v>57581.643835616436</v>
      </c>
      <c r="DM3" s="43">
        <v>52576.986301369863</v>
      </c>
      <c r="DN3" s="43">
        <v>70952.602739726033</v>
      </c>
      <c r="DO3" s="43">
        <v>50106.301369863017</v>
      </c>
      <c r="DP3" s="43">
        <v>74515.068493150684</v>
      </c>
      <c r="DQ3" s="5">
        <f>AVERAGE(U3:DP3)</f>
        <v>64577.084931506848</v>
      </c>
    </row>
    <row r="4" spans="2:121" ht="13.2" customHeight="1">
      <c r="B4" s="44" t="s">
        <v>29</v>
      </c>
      <c r="C4" s="2">
        <v>200</v>
      </c>
      <c r="E4" s="5">
        <v>0</v>
      </c>
      <c r="F4" s="5"/>
      <c r="G4" s="5"/>
      <c r="H4" s="5">
        <f>C6</f>
        <v>100</v>
      </c>
      <c r="I4" s="5"/>
      <c r="J4" s="5"/>
      <c r="K4" s="5"/>
      <c r="L4" s="5"/>
      <c r="M4" s="5"/>
      <c r="N4" s="2"/>
      <c r="O4" s="28">
        <v>15</v>
      </c>
      <c r="Q4" s="2">
        <v>1200</v>
      </c>
      <c r="R4" s="5">
        <v>60237.808219178085</v>
      </c>
      <c r="T4" s="2">
        <v>1200</v>
      </c>
      <c r="U4" s="43">
        <v>43903.835616438359</v>
      </c>
      <c r="V4" s="43">
        <v>58930.95890410959</v>
      </c>
      <c r="W4" s="43">
        <v>68719.726027397264</v>
      </c>
      <c r="X4" s="43">
        <v>57268.767123287667</v>
      </c>
      <c r="Y4" s="43">
        <v>60355.342465753427</v>
      </c>
      <c r="Z4" s="43">
        <v>63597.808219178085</v>
      </c>
      <c r="AA4" s="43">
        <v>90413.424657534255</v>
      </c>
      <c r="AB4" s="43">
        <v>44825.479452054795</v>
      </c>
      <c r="AC4" s="43">
        <v>48481.917808219179</v>
      </c>
      <c r="AD4" s="43">
        <v>61328.767123287675</v>
      </c>
      <c r="AE4" s="43">
        <v>58709.315068493146</v>
      </c>
      <c r="AF4" s="43">
        <v>45844.931506849316</v>
      </c>
      <c r="AG4" s="43">
        <v>54810.684931506847</v>
      </c>
      <c r="AH4" s="43">
        <v>73709.04109589041</v>
      </c>
      <c r="AI4" s="43">
        <v>63272.054794520547</v>
      </c>
      <c r="AJ4" s="43">
        <v>45911.232876712333</v>
      </c>
      <c r="AK4" s="43">
        <v>68001.095890410958</v>
      </c>
      <c r="AL4" s="43">
        <v>68640.273972602736</v>
      </c>
      <c r="AM4" s="43">
        <v>68178.356164383556</v>
      </c>
      <c r="AN4" s="43">
        <v>73949.04109589041</v>
      </c>
      <c r="AO4" s="43">
        <v>71228.767123287675</v>
      </c>
      <c r="AP4" s="43">
        <v>62816.712328767127</v>
      </c>
      <c r="AQ4" s="43">
        <v>63233.698630136991</v>
      </c>
      <c r="AR4" s="43">
        <v>65769.863013698632</v>
      </c>
      <c r="AS4" s="43">
        <v>64802.465753424658</v>
      </c>
      <c r="AT4" s="43">
        <v>58857.534246575342</v>
      </c>
      <c r="AU4" s="43">
        <v>39001.095890410958</v>
      </c>
      <c r="AV4" s="43">
        <v>47426.027397260274</v>
      </c>
      <c r="AW4" s="43">
        <v>35566.849315068495</v>
      </c>
      <c r="AX4" s="43">
        <v>60366.849315068488</v>
      </c>
      <c r="AY4" s="43">
        <v>59708.767123287675</v>
      </c>
      <c r="AZ4" s="43">
        <v>52298.630136986307</v>
      </c>
      <c r="BA4" s="43">
        <v>54636.986301369863</v>
      </c>
      <c r="BB4" s="43">
        <v>81523.287671232873</v>
      </c>
      <c r="BC4" s="43">
        <v>60307.123287671238</v>
      </c>
      <c r="BD4" s="43">
        <v>45954.520547945198</v>
      </c>
      <c r="BE4" s="43">
        <v>58350.684931506854</v>
      </c>
      <c r="BF4" s="43">
        <v>43903.561643835616</v>
      </c>
      <c r="BG4" s="43">
        <v>43440</v>
      </c>
      <c r="BH4" s="43">
        <v>60530.95890410959</v>
      </c>
      <c r="BI4" s="43">
        <v>56829.863013698632</v>
      </c>
      <c r="BJ4" s="43">
        <v>41442.465753424658</v>
      </c>
      <c r="BK4" s="43">
        <v>38988.219178082196</v>
      </c>
      <c r="BL4" s="43">
        <v>67194.246575342462</v>
      </c>
      <c r="BM4" s="43">
        <v>54815.616438356163</v>
      </c>
      <c r="BN4" s="43">
        <v>41068.767123287667</v>
      </c>
      <c r="BO4" s="43">
        <v>56342.739726027401</v>
      </c>
      <c r="BP4" s="43">
        <v>59075.34246575342</v>
      </c>
      <c r="BQ4" s="43">
        <v>57278.904109589035</v>
      </c>
      <c r="BR4" s="43">
        <v>45835.616438356163</v>
      </c>
      <c r="BS4" s="43">
        <v>60798.356164383564</v>
      </c>
      <c r="BT4" s="43">
        <v>66271.506849315076</v>
      </c>
      <c r="BU4" s="43">
        <v>59752.876712328769</v>
      </c>
      <c r="BV4" s="43">
        <v>66731.232876712325</v>
      </c>
      <c r="BW4" s="43">
        <v>60764.383561643837</v>
      </c>
      <c r="BX4" s="43">
        <v>71202.191780821915</v>
      </c>
      <c r="BY4" s="43">
        <v>64246.301369863024</v>
      </c>
      <c r="BZ4" s="43">
        <v>35460.821917808222</v>
      </c>
      <c r="CA4" s="43">
        <v>49929.863013698632</v>
      </c>
      <c r="CB4" s="43">
        <v>69764.109589041094</v>
      </c>
      <c r="CC4" s="43">
        <v>44895.068493150684</v>
      </c>
      <c r="CD4" s="43">
        <v>56830.410958904104</v>
      </c>
      <c r="CE4" s="43">
        <v>58160.273972602736</v>
      </c>
      <c r="CF4" s="43">
        <v>47827.397260273974</v>
      </c>
      <c r="CG4" s="43">
        <v>68764.109589041094</v>
      </c>
      <c r="CH4" s="43">
        <v>60724.383561643837</v>
      </c>
      <c r="CI4" s="43">
        <v>41007.123287671238</v>
      </c>
      <c r="CJ4" s="43">
        <v>53806.301369863017</v>
      </c>
      <c r="CK4" s="43">
        <v>56342.191780821915</v>
      </c>
      <c r="CL4" s="43">
        <v>72752.054794520547</v>
      </c>
      <c r="CM4" s="43">
        <v>60230.136986301375</v>
      </c>
      <c r="CN4" s="43">
        <v>69254.246575342462</v>
      </c>
      <c r="CO4" s="43">
        <v>39331.232876712325</v>
      </c>
      <c r="CP4" s="43">
        <v>62044.383561643837</v>
      </c>
      <c r="CQ4" s="43">
        <v>48146.849315068495</v>
      </c>
      <c r="CR4" s="43">
        <v>47427.397260273974</v>
      </c>
      <c r="CS4" s="43">
        <v>71763.835616438359</v>
      </c>
      <c r="CT4" s="43">
        <v>53346.027397260281</v>
      </c>
      <c r="CU4" s="43">
        <v>59254.520547945198</v>
      </c>
      <c r="CV4" s="43">
        <v>46845.753424657531</v>
      </c>
      <c r="CW4" s="43">
        <v>45318.082191780821</v>
      </c>
      <c r="CX4" s="43">
        <v>49841.917808219179</v>
      </c>
      <c r="CY4" s="43">
        <v>69715.342465753434</v>
      </c>
      <c r="CZ4" s="43">
        <v>75190.684931506854</v>
      </c>
      <c r="DA4" s="43">
        <v>48864.657534246573</v>
      </c>
      <c r="DB4" s="43">
        <v>46375.890410958906</v>
      </c>
      <c r="DC4" s="43">
        <v>34037.808219178085</v>
      </c>
      <c r="DD4" s="43">
        <v>51785.479452054795</v>
      </c>
      <c r="DE4" s="43">
        <v>62227.123287671231</v>
      </c>
      <c r="DF4" s="43">
        <v>58794.794520547948</v>
      </c>
      <c r="DG4" s="43">
        <v>50383.287671232873</v>
      </c>
      <c r="DH4" s="43">
        <v>63650.410958904111</v>
      </c>
      <c r="DI4" s="43">
        <v>73019.178082191778</v>
      </c>
      <c r="DJ4" s="43">
        <v>58834.794520547941</v>
      </c>
      <c r="DK4" s="43">
        <v>60170.95890410959</v>
      </c>
      <c r="DL4" s="43">
        <v>63224.109589041094</v>
      </c>
      <c r="DM4" s="43">
        <v>57746.027397260274</v>
      </c>
      <c r="DN4" s="43">
        <v>54812.876712328762</v>
      </c>
      <c r="DO4" s="43">
        <v>58105.205479452052</v>
      </c>
      <c r="DP4" s="43">
        <v>48408.767123287667</v>
      </c>
      <c r="DQ4" s="5">
        <f t="shared" ref="DQ4:DQ13" si="0">AVERAGE(U4:DP4)</f>
        <v>57216.30958904107</v>
      </c>
    </row>
    <row r="5" spans="2:121" ht="13.2" customHeight="1">
      <c r="B5" s="23" t="s">
        <v>5</v>
      </c>
      <c r="C5" s="2">
        <v>10</v>
      </c>
      <c r="E5" s="5">
        <v>1</v>
      </c>
      <c r="F5" s="5">
        <f ca="1">INDEX($T$17:$T$21,MATCH(RAND(),$V$17:$V$21,1))</f>
        <v>100</v>
      </c>
      <c r="G5" s="5">
        <f t="shared" ref="G5" si="1">H4+$C$9*I4</f>
        <v>100</v>
      </c>
      <c r="H5" s="5">
        <f ca="1">IF(G5-F5&gt;0,G5-F5,0)</f>
        <v>0</v>
      </c>
      <c r="I5" s="5">
        <f t="shared" ref="I5" ca="1" si="2">IF(H5&lt;$C$3,1,0)</f>
        <v>1</v>
      </c>
      <c r="J5" s="63">
        <f ca="1">I5*INT(RAND()*2)</f>
        <v>0</v>
      </c>
      <c r="K5" s="5">
        <f t="shared" ref="K5" ca="1" si="3">-MIN(0,G5-F5)</f>
        <v>0</v>
      </c>
      <c r="L5" s="5">
        <f ca="1">K5*$C$8</f>
        <v>0</v>
      </c>
      <c r="M5" s="5">
        <f t="shared" ref="M5" ca="1" si="4">$C$4*I5</f>
        <v>200</v>
      </c>
      <c r="N5" s="6">
        <f t="shared" ref="N5:N68" ca="1" si="5">H5*$C$7</f>
        <v>0</v>
      </c>
      <c r="O5" s="5">
        <f>IF(E5=$O$4,H5,0)</f>
        <v>0</v>
      </c>
      <c r="Q5" s="2">
        <v>1400</v>
      </c>
      <c r="R5" s="5">
        <v>43818.904109589042</v>
      </c>
      <c r="T5" s="2">
        <v>1400</v>
      </c>
      <c r="U5" s="43">
        <v>44538.630136986307</v>
      </c>
      <c r="V5" s="43">
        <v>47000.821917808222</v>
      </c>
      <c r="W5" s="43">
        <v>52707.94520547946</v>
      </c>
      <c r="X5" s="43">
        <v>45482.191780821922</v>
      </c>
      <c r="Y5" s="43">
        <v>59201.095890410965</v>
      </c>
      <c r="Z5" s="43">
        <v>57829.315068493153</v>
      </c>
      <c r="AA5" s="43">
        <v>57252.876712328762</v>
      </c>
      <c r="AB5" s="43">
        <v>59273.698630136983</v>
      </c>
      <c r="AC5" s="43">
        <v>53040.273972602736</v>
      </c>
      <c r="AD5" s="43">
        <v>67716.986301369863</v>
      </c>
      <c r="AE5" s="43">
        <v>48413.150684931512</v>
      </c>
      <c r="AF5" s="43">
        <v>52944.383561643837</v>
      </c>
      <c r="AG5" s="43">
        <v>58696.71232876712</v>
      </c>
      <c r="AH5" s="43">
        <v>63180.821917808222</v>
      </c>
      <c r="AI5" s="43">
        <v>57183.561643835616</v>
      </c>
      <c r="AJ5" s="43">
        <v>37661.643835616444</v>
      </c>
      <c r="AK5" s="43">
        <v>59435.068493150684</v>
      </c>
      <c r="AL5" s="43">
        <v>65160.547945205479</v>
      </c>
      <c r="AM5" s="43">
        <v>43821.095890410958</v>
      </c>
      <c r="AN5" s="43">
        <v>54549.863013698632</v>
      </c>
      <c r="AO5" s="43">
        <v>35614.794520547948</v>
      </c>
      <c r="AP5" s="43">
        <v>56771.780821917804</v>
      </c>
      <c r="AQ5" s="43">
        <v>52234.794520547934</v>
      </c>
      <c r="AR5" s="43">
        <v>54842.465753424658</v>
      </c>
      <c r="AS5" s="43">
        <v>64680.821917808214</v>
      </c>
      <c r="AT5" s="43">
        <v>58286.849315068495</v>
      </c>
      <c r="AU5" s="43">
        <v>57850.684931506854</v>
      </c>
      <c r="AV5" s="43">
        <v>49009.589041095904</v>
      </c>
      <c r="AW5" s="43">
        <v>43060.000000000007</v>
      </c>
      <c r="AX5" s="43">
        <v>54474.794520547941</v>
      </c>
      <c r="AY5" s="43">
        <v>71764.931506849316</v>
      </c>
      <c r="AZ5" s="43">
        <v>56295.342465753427</v>
      </c>
      <c r="BA5" s="43">
        <v>36175.616438356163</v>
      </c>
      <c r="BB5" s="43">
        <v>46968.219178082196</v>
      </c>
      <c r="BC5" s="43">
        <v>48590.95890410959</v>
      </c>
      <c r="BD5" s="43">
        <v>49513.424657534248</v>
      </c>
      <c r="BE5" s="43">
        <v>39547.397260273981</v>
      </c>
      <c r="BF5" s="43">
        <v>48871.780821917804</v>
      </c>
      <c r="BG5" s="43">
        <v>56957.534246575349</v>
      </c>
      <c r="BH5" s="43">
        <v>50311.780821917811</v>
      </c>
      <c r="BI5" s="43">
        <v>39554.520547945205</v>
      </c>
      <c r="BJ5" s="43">
        <v>48908.219178082189</v>
      </c>
      <c r="BK5" s="43">
        <v>61146.027397260274</v>
      </c>
      <c r="BL5" s="43">
        <v>51339.178082191778</v>
      </c>
      <c r="BM5" s="43">
        <v>49493.698630136991</v>
      </c>
      <c r="BN5" s="43">
        <v>40650.684931506847</v>
      </c>
      <c r="BO5" s="43">
        <v>50395.616438356163</v>
      </c>
      <c r="BP5" s="43">
        <v>41903.287671232873</v>
      </c>
      <c r="BQ5" s="43">
        <v>69176.438356164377</v>
      </c>
      <c r="BR5" s="43">
        <v>60749.04109589041</v>
      </c>
      <c r="BS5" s="43">
        <v>34394.520547945205</v>
      </c>
      <c r="BT5" s="43">
        <v>73085.205479452052</v>
      </c>
      <c r="BU5" s="43">
        <v>53452.32876712329</v>
      </c>
      <c r="BV5" s="43">
        <v>53839.452054794521</v>
      </c>
      <c r="BW5" s="43">
        <v>45401.917808219172</v>
      </c>
      <c r="BX5" s="43">
        <v>42393.424657534248</v>
      </c>
      <c r="BY5" s="43">
        <v>41064.657534246566</v>
      </c>
      <c r="BZ5" s="43">
        <v>58715.068493150691</v>
      </c>
      <c r="CA5" s="43">
        <v>63226.849315068495</v>
      </c>
      <c r="CB5" s="43">
        <v>53956.71232876712</v>
      </c>
      <c r="CC5" s="43">
        <v>61944.931506849316</v>
      </c>
      <c r="CD5" s="43">
        <v>61484.383561643837</v>
      </c>
      <c r="CE5" s="43">
        <v>54923.835616438351</v>
      </c>
      <c r="CF5" s="43">
        <v>47148.493150684924</v>
      </c>
      <c r="CG5" s="43">
        <v>63934.246575342462</v>
      </c>
      <c r="CH5" s="43">
        <v>43556.164383561649</v>
      </c>
      <c r="CI5" s="43">
        <v>48798.630136986299</v>
      </c>
      <c r="CJ5" s="43">
        <v>37056.712328767127</v>
      </c>
      <c r="CK5" s="43">
        <v>48020.273972602736</v>
      </c>
      <c r="CL5" s="43">
        <v>39523.01369863013</v>
      </c>
      <c r="CM5" s="43">
        <v>53473.698630136983</v>
      </c>
      <c r="CN5" s="43">
        <v>58873.972602739726</v>
      </c>
      <c r="CO5" s="43">
        <v>50828.219178082189</v>
      </c>
      <c r="CP5" s="43">
        <v>39599.726027397257</v>
      </c>
      <c r="CQ5" s="43">
        <v>36111.232876712325</v>
      </c>
      <c r="CR5" s="43">
        <v>43584.657534246573</v>
      </c>
      <c r="CS5" s="43">
        <v>43093.424657534248</v>
      </c>
      <c r="CT5" s="43">
        <v>52510.95890410959</v>
      </c>
      <c r="CU5" s="43">
        <v>57268.219178082196</v>
      </c>
      <c r="CV5" s="43">
        <v>52741.643835616436</v>
      </c>
      <c r="CW5" s="43">
        <v>49489.041095890403</v>
      </c>
      <c r="CX5" s="43">
        <v>58229.315068493146</v>
      </c>
      <c r="CY5" s="43">
        <v>47421.095890410965</v>
      </c>
      <c r="CZ5" s="43">
        <v>51503.013698630137</v>
      </c>
      <c r="DA5" s="43">
        <v>57855.890410958906</v>
      </c>
      <c r="DB5" s="43">
        <v>51977.808219178085</v>
      </c>
      <c r="DC5" s="43">
        <v>55198.904109589042</v>
      </c>
      <c r="DD5" s="43">
        <v>59992.876712328769</v>
      </c>
      <c r="DE5" s="43">
        <v>63283.013698630137</v>
      </c>
      <c r="DF5" s="43">
        <v>41534.794520547941</v>
      </c>
      <c r="DG5" s="43">
        <v>37126.027397260274</v>
      </c>
      <c r="DH5" s="43">
        <v>32110.136986301368</v>
      </c>
      <c r="DI5" s="43">
        <v>51526.575342465752</v>
      </c>
      <c r="DJ5" s="43">
        <v>55756.71232876712</v>
      </c>
      <c r="DK5" s="43">
        <v>59846.301369863009</v>
      </c>
      <c r="DL5" s="43">
        <v>48376.164383561641</v>
      </c>
      <c r="DM5" s="43">
        <v>34723.287671232873</v>
      </c>
      <c r="DN5" s="43">
        <v>42852.602739726033</v>
      </c>
      <c r="DO5" s="43">
        <v>47841.095890410958</v>
      </c>
      <c r="DP5" s="43">
        <v>57997.534246575342</v>
      </c>
      <c r="DQ5" s="5">
        <f t="shared" si="0"/>
        <v>51488.797260273968</v>
      </c>
    </row>
    <row r="6" spans="2:121" ht="13.2" customHeight="1">
      <c r="B6" s="44" t="s">
        <v>4</v>
      </c>
      <c r="C6" s="2">
        <f>C3</f>
        <v>100</v>
      </c>
      <c r="E6" s="5">
        <v>2</v>
      </c>
      <c r="F6" s="5">
        <f t="shared" ref="F6:F69" ca="1" si="6">INDEX($T$17:$T$21,MATCH(RAND(),$V$17:$V$21,1))</f>
        <v>100</v>
      </c>
      <c r="G6" s="63">
        <f ca="1">H5+IF(J5=0,I5*$C$9,0)</f>
        <v>1000</v>
      </c>
      <c r="H6" s="5">
        <f t="shared" ref="H6:H69" ca="1" si="7">IF(G6-F6&gt;0,G6-F6,0)</f>
        <v>900</v>
      </c>
      <c r="I6" s="63">
        <f ca="1">IF(AND(H6&lt;$C$3,J5=0),1,0)</f>
        <v>0</v>
      </c>
      <c r="J6" s="5">
        <f t="shared" ref="J6:J69" ca="1" si="8">I6*INT(RAND()*2)</f>
        <v>0</v>
      </c>
      <c r="K6" s="5">
        <f t="shared" ref="K6:K69" ca="1" si="9">-MIN(0,G6-F6)</f>
        <v>0</v>
      </c>
      <c r="L6" s="5">
        <f t="shared" ref="L6:L69" ca="1" si="10">K6*$C$8</f>
        <v>0</v>
      </c>
      <c r="M6" s="5">
        <f t="shared" ref="M6:M69" ca="1" si="11">$C$4*I6</f>
        <v>0</v>
      </c>
      <c r="N6" s="6">
        <f t="shared" ca="1" si="5"/>
        <v>24.657534246575342</v>
      </c>
      <c r="O6" s="5">
        <f t="shared" ref="O6:O69" si="12">IF(E6=$O$4,H6,0)</f>
        <v>0</v>
      </c>
      <c r="Q6" s="2">
        <v>1600</v>
      </c>
      <c r="R6" s="5">
        <v>60732.054794520547</v>
      </c>
      <c r="T6" s="2">
        <v>1600</v>
      </c>
      <c r="U6" s="43">
        <v>41820.547945205486</v>
      </c>
      <c r="V6" s="43">
        <v>58680.821917808222</v>
      </c>
      <c r="W6" s="43">
        <v>57129.041095890418</v>
      </c>
      <c r="X6" s="43">
        <v>53777.534246575342</v>
      </c>
      <c r="Y6" s="43">
        <v>48253.424657534255</v>
      </c>
      <c r="Z6" s="43">
        <v>38887.123287671231</v>
      </c>
      <c r="AA6" s="43">
        <v>41209.04109589041</v>
      </c>
      <c r="AB6" s="43">
        <v>52148.767123287667</v>
      </c>
      <c r="AC6" s="43">
        <v>43596.986301369863</v>
      </c>
      <c r="AD6" s="43">
        <v>42888.767123287667</v>
      </c>
      <c r="AE6" s="43">
        <v>41811.506849315061</v>
      </c>
      <c r="AF6" s="43">
        <v>42243.013698630137</v>
      </c>
      <c r="AG6" s="43">
        <v>49177.260273972606</v>
      </c>
      <c r="AH6" s="43">
        <v>49765.753424657531</v>
      </c>
      <c r="AI6" s="43">
        <v>50177.534246575342</v>
      </c>
      <c r="AJ6" s="43">
        <v>53590.684931506847</v>
      </c>
      <c r="AK6" s="43">
        <v>49707.671232876703</v>
      </c>
      <c r="AL6" s="43">
        <v>42103.013698630137</v>
      </c>
      <c r="AM6" s="43">
        <v>52625.753424657531</v>
      </c>
      <c r="AN6" s="43">
        <v>57117.534246575342</v>
      </c>
      <c r="AO6" s="43">
        <v>66651.506849315061</v>
      </c>
      <c r="AP6" s="43">
        <v>49666.301369863017</v>
      </c>
      <c r="AQ6" s="43">
        <v>56161.369863013693</v>
      </c>
      <c r="AR6" s="43">
        <v>46470.136986301375</v>
      </c>
      <c r="AS6" s="43">
        <v>45249.04109589041</v>
      </c>
      <c r="AT6" s="43">
        <v>52673.972602739726</v>
      </c>
      <c r="AU6" s="43">
        <v>45241.917808219179</v>
      </c>
      <c r="AV6" s="43">
        <v>50330.95890410959</v>
      </c>
      <c r="AW6" s="43">
        <v>43758.904109589042</v>
      </c>
      <c r="AX6" s="43">
        <v>30385.479452054791</v>
      </c>
      <c r="AY6" s="43">
        <v>70098.904109589042</v>
      </c>
      <c r="AZ6" s="43">
        <v>55100.273972602736</v>
      </c>
      <c r="BA6" s="43">
        <v>42653.424657534248</v>
      </c>
      <c r="BB6" s="43">
        <v>48119.178082191793</v>
      </c>
      <c r="BC6" s="43">
        <v>43690.958904109582</v>
      </c>
      <c r="BD6" s="43">
        <v>47754.520547945212</v>
      </c>
      <c r="BE6" s="43">
        <v>42203.013698630137</v>
      </c>
      <c r="BF6" s="43">
        <v>37443.013698630137</v>
      </c>
      <c r="BG6" s="43">
        <v>51624.931506849309</v>
      </c>
      <c r="BH6" s="43">
        <v>34049.589041095896</v>
      </c>
      <c r="BI6" s="43">
        <v>45668.493150684932</v>
      </c>
      <c r="BJ6" s="43">
        <v>32533.972602739726</v>
      </c>
      <c r="BK6" s="43">
        <v>34518.356164383564</v>
      </c>
      <c r="BL6" s="43">
        <v>46895.068493150691</v>
      </c>
      <c r="BM6" s="43">
        <v>56658.356164383564</v>
      </c>
      <c r="BN6" s="43">
        <v>37366.849315068495</v>
      </c>
      <c r="BO6" s="43">
        <v>66632.328767123297</v>
      </c>
      <c r="BP6" s="43">
        <v>43764.931506849316</v>
      </c>
      <c r="BQ6" s="43">
        <v>42175.34246575342</v>
      </c>
      <c r="BR6" s="43">
        <v>55070.95890410959</v>
      </c>
      <c r="BS6" s="43">
        <v>48211.780821917811</v>
      </c>
      <c r="BT6" s="43">
        <v>55190.684931506854</v>
      </c>
      <c r="BU6" s="43">
        <v>43327.671232876717</v>
      </c>
      <c r="BV6" s="43">
        <v>43125.479452054795</v>
      </c>
      <c r="BW6" s="43">
        <v>49223.013698630137</v>
      </c>
      <c r="BX6" s="43">
        <v>42737.808219178078</v>
      </c>
      <c r="BY6" s="43">
        <v>50658.356164383564</v>
      </c>
      <c r="BZ6" s="43">
        <v>42835.342465753427</v>
      </c>
      <c r="CA6" s="43">
        <v>50138.904109589042</v>
      </c>
      <c r="CB6" s="43">
        <v>53721.095890410958</v>
      </c>
      <c r="CC6" s="43">
        <v>53204.38356164383</v>
      </c>
      <c r="CD6" s="43">
        <v>54175.342465753427</v>
      </c>
      <c r="CE6" s="43">
        <v>50169.315068493146</v>
      </c>
      <c r="CF6" s="43">
        <v>41316.986301369863</v>
      </c>
      <c r="CG6" s="43">
        <v>58143.835616438359</v>
      </c>
      <c r="CH6" s="43">
        <v>45254.794520547948</v>
      </c>
      <c r="CI6" s="43">
        <v>40216.986301369863</v>
      </c>
      <c r="CJ6" s="43">
        <v>50712.602739726033</v>
      </c>
      <c r="CK6" s="43">
        <v>46751.232876712333</v>
      </c>
      <c r="CL6" s="43">
        <v>42014.246575342469</v>
      </c>
      <c r="CM6" s="43">
        <v>54761.917808219179</v>
      </c>
      <c r="CN6" s="43">
        <v>34461.095890410958</v>
      </c>
      <c r="CO6" s="43">
        <v>46849.863013698632</v>
      </c>
      <c r="CP6" s="43">
        <v>38823.287671232873</v>
      </c>
      <c r="CQ6" s="43">
        <v>61644.931506849309</v>
      </c>
      <c r="CR6" s="43">
        <v>48228.767123287667</v>
      </c>
      <c r="CS6" s="43">
        <v>45328.493150684932</v>
      </c>
      <c r="CT6" s="43">
        <v>48722.465753424651</v>
      </c>
      <c r="CU6" s="43">
        <v>44006.027397260274</v>
      </c>
      <c r="CV6" s="43">
        <v>40712.32876712329</v>
      </c>
      <c r="CW6" s="43">
        <v>61110.684931506847</v>
      </c>
      <c r="CX6" s="43">
        <v>50211.506849315068</v>
      </c>
      <c r="CY6" s="43">
        <v>26792.602739726026</v>
      </c>
      <c r="CZ6" s="43">
        <v>52759.178082191778</v>
      </c>
      <c r="DA6" s="43">
        <v>48144.38356164383</v>
      </c>
      <c r="DB6" s="43">
        <v>31526.301369863017</v>
      </c>
      <c r="DC6" s="43">
        <v>43239.999999999993</v>
      </c>
      <c r="DD6" s="43">
        <v>52298.082191780821</v>
      </c>
      <c r="DE6" s="43">
        <v>57092.602739726026</v>
      </c>
      <c r="DF6" s="43">
        <v>49640.273972602743</v>
      </c>
      <c r="DG6" s="43">
        <v>34975.890410958906</v>
      </c>
      <c r="DH6" s="43">
        <v>42161.095890410958</v>
      </c>
      <c r="DI6" s="43">
        <v>41758.082191780821</v>
      </c>
      <c r="DJ6" s="43">
        <v>49792.32876712329</v>
      </c>
      <c r="DK6" s="43">
        <v>40340.547945205479</v>
      </c>
      <c r="DL6" s="43">
        <v>54127.123287671238</v>
      </c>
      <c r="DM6" s="43">
        <v>43350.684931506847</v>
      </c>
      <c r="DN6" s="43">
        <v>56108.493150684932</v>
      </c>
      <c r="DO6" s="43">
        <v>43793.698630136991</v>
      </c>
      <c r="DP6" s="43">
        <v>48712.054794520554</v>
      </c>
      <c r="DQ6" s="5">
        <f t="shared" si="0"/>
        <v>47399.284931506852</v>
      </c>
    </row>
    <row r="7" spans="2:121" ht="13.2" customHeight="1">
      <c r="B7" s="45" t="s">
        <v>6</v>
      </c>
      <c r="C7" s="46">
        <f>C5/365</f>
        <v>2.7397260273972601E-2</v>
      </c>
      <c r="E7" s="5">
        <v>3</v>
      </c>
      <c r="F7" s="5">
        <f t="shared" ca="1" si="6"/>
        <v>90</v>
      </c>
      <c r="G7" s="63">
        <f ca="1">H6+IF(J6=0,I6*$C$9,0)+IF(J5=1,$C$9,0)</f>
        <v>900</v>
      </c>
      <c r="H7" s="5">
        <f t="shared" ca="1" si="7"/>
        <v>810</v>
      </c>
      <c r="I7" s="63">
        <f t="shared" ref="I7:I70" ca="1" si="13">IF(AND(H7&lt;$C$3,J6=0),1,0)</f>
        <v>0</v>
      </c>
      <c r="J7" s="5">
        <f t="shared" ca="1" si="8"/>
        <v>0</v>
      </c>
      <c r="K7" s="5">
        <f t="shared" ca="1" si="9"/>
        <v>0</v>
      </c>
      <c r="L7" s="5">
        <f t="shared" ca="1" si="10"/>
        <v>0</v>
      </c>
      <c r="M7" s="5">
        <f t="shared" ca="1" si="11"/>
        <v>0</v>
      </c>
      <c r="N7" s="6">
        <f t="shared" ca="1" si="5"/>
        <v>22.191780821917806</v>
      </c>
      <c r="O7" s="5">
        <f t="shared" si="12"/>
        <v>0</v>
      </c>
      <c r="Q7" s="2">
        <v>1800</v>
      </c>
      <c r="R7" s="5">
        <v>54297.534246575342</v>
      </c>
      <c r="T7" s="2">
        <v>1800</v>
      </c>
      <c r="U7" s="43">
        <v>43372.602739726026</v>
      </c>
      <c r="V7" s="43">
        <v>32898.904109589035</v>
      </c>
      <c r="W7" s="43">
        <v>44754.520547945205</v>
      </c>
      <c r="X7" s="43">
        <v>33985.479452054802</v>
      </c>
      <c r="Y7" s="43">
        <v>36877.260273972599</v>
      </c>
      <c r="Z7" s="43">
        <v>52239.726027397257</v>
      </c>
      <c r="AA7" s="43">
        <v>47230.136986301368</v>
      </c>
      <c r="AB7" s="43">
        <v>53802.191780821922</v>
      </c>
      <c r="AC7" s="43">
        <v>70056.164383561656</v>
      </c>
      <c r="AD7" s="43">
        <v>38814.520547945212</v>
      </c>
      <c r="AE7" s="43">
        <v>51695.342465753427</v>
      </c>
      <c r="AF7" s="43">
        <v>45771.780821917804</v>
      </c>
      <c r="AG7" s="43">
        <v>48878.082191780821</v>
      </c>
      <c r="AH7" s="43">
        <v>46223.013698630137</v>
      </c>
      <c r="AI7" s="43">
        <v>40449.041095890418</v>
      </c>
      <c r="AJ7" s="43">
        <v>34387.67123287671</v>
      </c>
      <c r="AK7" s="43">
        <v>47197.808219178078</v>
      </c>
      <c r="AL7" s="43">
        <v>61125.753424657538</v>
      </c>
      <c r="AM7" s="43">
        <v>60565.479452054788</v>
      </c>
      <c r="AN7" s="43">
        <v>36792.054794520547</v>
      </c>
      <c r="AO7" s="43">
        <v>58968.493150684932</v>
      </c>
      <c r="AP7" s="43">
        <v>36953.698630136991</v>
      </c>
      <c r="AQ7" s="43">
        <v>40814.520547945212</v>
      </c>
      <c r="AR7" s="43">
        <v>43315.068493150684</v>
      </c>
      <c r="AS7" s="43">
        <v>40399.999999999993</v>
      </c>
      <c r="AT7" s="43">
        <v>42751.232876712325</v>
      </c>
      <c r="AU7" s="43">
        <v>38367.123287671238</v>
      </c>
      <c r="AV7" s="43">
        <v>46338.630136986299</v>
      </c>
      <c r="AW7" s="43">
        <v>40404.65753424658</v>
      </c>
      <c r="AX7" s="43">
        <v>46301.369863013708</v>
      </c>
      <c r="AY7" s="43">
        <v>44778.630136986307</v>
      </c>
      <c r="AZ7" s="43">
        <v>56345.205479452052</v>
      </c>
      <c r="BA7" s="43">
        <v>45712.602739726026</v>
      </c>
      <c r="BB7" s="43">
        <v>39310.95890410959</v>
      </c>
      <c r="BC7" s="43">
        <v>38256.164383561641</v>
      </c>
      <c r="BD7" s="43">
        <v>55135.068493150684</v>
      </c>
      <c r="BE7" s="43">
        <v>40869.589041095882</v>
      </c>
      <c r="BF7" s="43">
        <v>17104.38356164383</v>
      </c>
      <c r="BG7" s="43">
        <v>45393.698630136991</v>
      </c>
      <c r="BH7" s="43">
        <v>58226.575342465752</v>
      </c>
      <c r="BI7" s="43">
        <v>50253.972602739726</v>
      </c>
      <c r="BJ7" s="43">
        <v>44250.410958904111</v>
      </c>
      <c r="BK7" s="43">
        <v>44309.04109589041</v>
      </c>
      <c r="BL7" s="43">
        <v>43482.739726027401</v>
      </c>
      <c r="BM7" s="43">
        <v>47693.698630136991</v>
      </c>
      <c r="BN7" s="43">
        <v>39412.602739726026</v>
      </c>
      <c r="BO7" s="43">
        <v>40320.547945205479</v>
      </c>
      <c r="BP7" s="43">
        <v>42836.71232876712</v>
      </c>
      <c r="BQ7" s="43">
        <v>46334.246575342469</v>
      </c>
      <c r="BR7" s="43">
        <v>46761.369863013693</v>
      </c>
      <c r="BS7" s="43">
        <v>35804.109589041094</v>
      </c>
      <c r="BT7" s="43">
        <v>44802.191780821915</v>
      </c>
      <c r="BU7" s="43">
        <v>43896.986301369863</v>
      </c>
      <c r="BV7" s="43">
        <v>38876.438356164392</v>
      </c>
      <c r="BW7" s="43">
        <v>36350.136986301368</v>
      </c>
      <c r="BX7" s="43">
        <v>32059.178082191786</v>
      </c>
      <c r="BY7" s="43">
        <v>31418.904109589042</v>
      </c>
      <c r="BZ7" s="43">
        <v>45232.054794520547</v>
      </c>
      <c r="CA7" s="43">
        <v>58202.191780821915</v>
      </c>
      <c r="CB7" s="43">
        <v>48361.095890410958</v>
      </c>
      <c r="CC7" s="43">
        <v>39827.123287671231</v>
      </c>
      <c r="CD7" s="43">
        <v>53731.506849315076</v>
      </c>
      <c r="CE7" s="43">
        <v>50349.315068493153</v>
      </c>
      <c r="CF7" s="43">
        <v>46570.95890410959</v>
      </c>
      <c r="CG7" s="43">
        <v>39367.67123287671</v>
      </c>
      <c r="CH7" s="43">
        <v>57199.178082191786</v>
      </c>
      <c r="CI7" s="43">
        <v>47775.068493150684</v>
      </c>
      <c r="CJ7" s="43">
        <v>32048.493150684939</v>
      </c>
      <c r="CK7" s="43">
        <v>51649.863013698632</v>
      </c>
      <c r="CL7" s="43">
        <v>45832.054794520547</v>
      </c>
      <c r="CM7" s="43">
        <v>43706.027397260274</v>
      </c>
      <c r="CN7" s="43">
        <v>41968.767123287675</v>
      </c>
      <c r="CO7" s="43">
        <v>63631.506849315061</v>
      </c>
      <c r="CP7" s="43">
        <v>51708.767123287675</v>
      </c>
      <c r="CQ7" s="43">
        <v>51672.328767123297</v>
      </c>
      <c r="CR7" s="43">
        <v>57171.232876712333</v>
      </c>
      <c r="CS7" s="43">
        <v>64058.630136986299</v>
      </c>
      <c r="CT7" s="43">
        <v>41921.095890410965</v>
      </c>
      <c r="CU7" s="43">
        <v>36838.630136986299</v>
      </c>
      <c r="CV7" s="43">
        <v>37353.424657534248</v>
      </c>
      <c r="CW7" s="43">
        <v>43899.726027397264</v>
      </c>
      <c r="CX7" s="43">
        <v>39957.808219178078</v>
      </c>
      <c r="CY7" s="43">
        <v>41945.479452054788</v>
      </c>
      <c r="CZ7" s="43">
        <v>62066.027397260274</v>
      </c>
      <c r="DA7" s="43">
        <v>48197.808219178085</v>
      </c>
      <c r="DB7" s="43">
        <v>43435.61643835617</v>
      </c>
      <c r="DC7" s="43">
        <v>30845.753424657538</v>
      </c>
      <c r="DD7" s="43">
        <v>49313.42465753424</v>
      </c>
      <c r="DE7" s="43">
        <v>34847.671232876717</v>
      </c>
      <c r="DF7" s="43">
        <v>44893.150684931505</v>
      </c>
      <c r="DG7" s="43">
        <v>37965.205479452066</v>
      </c>
      <c r="DH7" s="43">
        <v>48285.205479452059</v>
      </c>
      <c r="DI7" s="43">
        <v>47320.547945205471</v>
      </c>
      <c r="DJ7" s="43">
        <v>34947.945205479453</v>
      </c>
      <c r="DK7" s="43">
        <v>30002.465753424651</v>
      </c>
      <c r="DL7" s="43">
        <v>56746.301369863009</v>
      </c>
      <c r="DM7" s="43">
        <v>34307.67123287671</v>
      </c>
      <c r="DN7" s="43">
        <v>40317.808219178085</v>
      </c>
      <c r="DO7" s="43">
        <v>52873.698630136991</v>
      </c>
      <c r="DP7" s="43">
        <v>52215.068493150684</v>
      </c>
      <c r="DQ7" s="5">
        <f t="shared" si="0"/>
        <v>44922.898630136981</v>
      </c>
    </row>
    <row r="8" spans="2:121" ht="13.2" customHeight="1">
      <c r="B8" s="23" t="s">
        <v>27</v>
      </c>
      <c r="C8" s="2">
        <v>50</v>
      </c>
      <c r="E8" s="5">
        <v>4</v>
      </c>
      <c r="F8" s="5">
        <f t="shared" ca="1" si="6"/>
        <v>110</v>
      </c>
      <c r="G8" s="5">
        <f t="shared" ref="G8:G71" ca="1" si="14">H7+IF(J7=0,I7*$C$9,0)+IF(J6=1,$C$9,0)</f>
        <v>810</v>
      </c>
      <c r="H8" s="5">
        <f t="shared" ca="1" si="7"/>
        <v>700</v>
      </c>
      <c r="I8" s="63">
        <f t="shared" ca="1" si="13"/>
        <v>0</v>
      </c>
      <c r="J8" s="5">
        <f t="shared" ca="1" si="8"/>
        <v>0</v>
      </c>
      <c r="K8" s="5">
        <f t="shared" ca="1" si="9"/>
        <v>0</v>
      </c>
      <c r="L8" s="5">
        <f t="shared" ca="1" si="10"/>
        <v>0</v>
      </c>
      <c r="M8" s="5">
        <f t="shared" ca="1" si="11"/>
        <v>0</v>
      </c>
      <c r="N8" s="6">
        <f t="shared" ca="1" si="5"/>
        <v>19.17808219178082</v>
      </c>
      <c r="O8" s="5">
        <f t="shared" si="12"/>
        <v>0</v>
      </c>
      <c r="Q8" s="2">
        <v>2000</v>
      </c>
      <c r="R8" s="5">
        <v>48841.643835616444</v>
      </c>
      <c r="T8" s="2">
        <v>2000</v>
      </c>
      <c r="U8" s="43">
        <v>50201.095890410958</v>
      </c>
      <c r="V8" s="43">
        <v>40527.671232876717</v>
      </c>
      <c r="W8" s="43">
        <v>44459.178082191778</v>
      </c>
      <c r="X8" s="43">
        <v>47412.054794520554</v>
      </c>
      <c r="Y8" s="43">
        <v>31014.246575342459</v>
      </c>
      <c r="Z8" s="43">
        <v>40056.986301369849</v>
      </c>
      <c r="AA8" s="43">
        <v>42865.205479452052</v>
      </c>
      <c r="AB8" s="43">
        <v>36514.520547945198</v>
      </c>
      <c r="AC8" s="43">
        <v>48741.643835616436</v>
      </c>
      <c r="AD8" s="43">
        <v>50509.315068493146</v>
      </c>
      <c r="AE8" s="43">
        <v>38910.95890410959</v>
      </c>
      <c r="AF8" s="43">
        <v>52925.205479452059</v>
      </c>
      <c r="AG8" s="43">
        <v>41470.136986301361</v>
      </c>
      <c r="AH8" s="43">
        <v>42320.821917808222</v>
      </c>
      <c r="AI8" s="43">
        <v>43003.013698630144</v>
      </c>
      <c r="AJ8" s="43">
        <v>31134.794520547934</v>
      </c>
      <c r="AK8" s="43">
        <v>28557.534246575342</v>
      </c>
      <c r="AL8" s="43">
        <v>46003.013698630137</v>
      </c>
      <c r="AM8" s="43">
        <v>53692.054794520547</v>
      </c>
      <c r="AN8" s="43">
        <v>37073.698630136991</v>
      </c>
      <c r="AO8" s="43">
        <v>54712.876712328769</v>
      </c>
      <c r="AP8" s="43">
        <v>46976.438356164384</v>
      </c>
      <c r="AQ8" s="43">
        <v>44406.849315068503</v>
      </c>
      <c r="AR8" s="43">
        <v>48214.246575342462</v>
      </c>
      <c r="AS8" s="43">
        <v>48750.684931506854</v>
      </c>
      <c r="AT8" s="43">
        <v>27294.520547945198</v>
      </c>
      <c r="AU8" s="43">
        <v>47315.342465753434</v>
      </c>
      <c r="AV8" s="43">
        <v>31120.547945205479</v>
      </c>
      <c r="AW8" s="43">
        <v>43509.315068493161</v>
      </c>
      <c r="AX8" s="43">
        <v>50276.986301369856</v>
      </c>
      <c r="AY8" s="43">
        <v>54309.315068493153</v>
      </c>
      <c r="AZ8" s="43">
        <v>64224.383561643823</v>
      </c>
      <c r="BA8" s="43">
        <v>45939.452054794529</v>
      </c>
      <c r="BB8" s="43">
        <v>31668.767123287667</v>
      </c>
      <c r="BC8" s="43">
        <v>51406.849315068488</v>
      </c>
      <c r="BD8" s="43">
        <v>45940</v>
      </c>
      <c r="BE8" s="43">
        <v>48321.369863013693</v>
      </c>
      <c r="BF8" s="43">
        <v>38147.397260273967</v>
      </c>
      <c r="BG8" s="43">
        <v>46864.109589041094</v>
      </c>
      <c r="BH8" s="43">
        <v>47997.808219178085</v>
      </c>
      <c r="BI8" s="43">
        <v>39523.561643835616</v>
      </c>
      <c r="BJ8" s="43">
        <v>52460.547945205471</v>
      </c>
      <c r="BK8" s="43">
        <v>31112.602739726022</v>
      </c>
      <c r="BL8" s="43">
        <v>35533.972602739734</v>
      </c>
      <c r="BM8" s="43">
        <v>41000.821917808222</v>
      </c>
      <c r="BN8" s="43">
        <v>40414.520547945212</v>
      </c>
      <c r="BO8" s="43">
        <v>45476.986301369856</v>
      </c>
      <c r="BP8" s="43">
        <v>41921.917808219179</v>
      </c>
      <c r="BQ8" s="43">
        <v>31553.972602739726</v>
      </c>
      <c r="BR8" s="43">
        <v>40974.794520547941</v>
      </c>
      <c r="BS8" s="43">
        <v>60177.808219178078</v>
      </c>
      <c r="BT8" s="43">
        <v>43946.027397260266</v>
      </c>
      <c r="BU8" s="43">
        <v>39329.589041095889</v>
      </c>
      <c r="BV8" s="43">
        <v>51748.767123287675</v>
      </c>
      <c r="BW8" s="43">
        <v>46204.383561643815</v>
      </c>
      <c r="BX8" s="43">
        <v>51472.054794520547</v>
      </c>
      <c r="BY8" s="43">
        <v>33084.109589041094</v>
      </c>
      <c r="BZ8" s="43">
        <v>33074.520547945205</v>
      </c>
      <c r="CA8" s="43">
        <v>50796.712328767113</v>
      </c>
      <c r="CB8" s="43">
        <v>59268.767123287675</v>
      </c>
      <c r="CC8" s="43">
        <v>46499.726027397257</v>
      </c>
      <c r="CD8" s="43">
        <v>51344.383561643837</v>
      </c>
      <c r="CE8" s="43">
        <v>38558.904109589035</v>
      </c>
      <c r="CF8" s="43">
        <v>26156.986301369867</v>
      </c>
      <c r="CG8" s="43">
        <v>46477.534246575349</v>
      </c>
      <c r="CH8" s="43">
        <v>50432.876712328776</v>
      </c>
      <c r="CI8" s="43">
        <v>54783.561643835608</v>
      </c>
      <c r="CJ8" s="43">
        <v>39472.32876712329</v>
      </c>
      <c r="CK8" s="43">
        <v>45980.821917808222</v>
      </c>
      <c r="CL8" s="43">
        <v>35539.726027397257</v>
      </c>
      <c r="CM8" s="43">
        <v>44486.027397260266</v>
      </c>
      <c r="CN8" s="43">
        <v>35905.479452054788</v>
      </c>
      <c r="CO8" s="43">
        <v>45403.561643835623</v>
      </c>
      <c r="CP8" s="43">
        <v>53331.780821917797</v>
      </c>
      <c r="CQ8" s="43">
        <v>41579.178082191771</v>
      </c>
      <c r="CR8" s="43">
        <v>26609.589041095896</v>
      </c>
      <c r="CS8" s="43">
        <v>43469.863013698632</v>
      </c>
      <c r="CT8" s="43">
        <v>60819.452054794529</v>
      </c>
      <c r="CU8" s="43">
        <v>31097.260273972617</v>
      </c>
      <c r="CV8" s="43">
        <v>43466.575342465745</v>
      </c>
      <c r="CW8" s="43">
        <v>56264.383561643845</v>
      </c>
      <c r="CX8" s="43">
        <v>49337.808219178092</v>
      </c>
      <c r="CY8" s="43">
        <v>36575.068493150691</v>
      </c>
      <c r="CZ8" s="43">
        <v>46315.34246575342</v>
      </c>
      <c r="DA8" s="43">
        <v>57805.479452054795</v>
      </c>
      <c r="DB8" s="43">
        <v>35157.534246575349</v>
      </c>
      <c r="DC8" s="43">
        <v>37092.05479452054</v>
      </c>
      <c r="DD8" s="43">
        <v>55207.397260273981</v>
      </c>
      <c r="DE8" s="43">
        <v>48348.767123287675</v>
      </c>
      <c r="DF8" s="43">
        <v>50974.794520547934</v>
      </c>
      <c r="DG8" s="43">
        <v>38504.657534246566</v>
      </c>
      <c r="DH8" s="43">
        <v>38105.753424657531</v>
      </c>
      <c r="DI8" s="43">
        <v>50960</v>
      </c>
      <c r="DJ8" s="43">
        <v>57341.369863013708</v>
      </c>
      <c r="DK8" s="43">
        <v>34488.767123287675</v>
      </c>
      <c r="DL8" s="43">
        <v>34623.561643835608</v>
      </c>
      <c r="DM8" s="43">
        <v>50354.794520547941</v>
      </c>
      <c r="DN8" s="43">
        <v>46426.301369863009</v>
      </c>
      <c r="DO8" s="43">
        <v>38116.164383561641</v>
      </c>
      <c r="DP8" s="43">
        <v>58630.410958904104</v>
      </c>
      <c r="DQ8" s="5">
        <f t="shared" si="0"/>
        <v>44159.128767123257</v>
      </c>
    </row>
    <row r="9" spans="2:121" ht="13.2" customHeight="1">
      <c r="B9" s="23" t="s">
        <v>3</v>
      </c>
      <c r="C9" s="2">
        <v>1000</v>
      </c>
      <c r="E9" s="5">
        <v>5</v>
      </c>
      <c r="F9" s="5">
        <f t="shared" ca="1" si="6"/>
        <v>100</v>
      </c>
      <c r="G9" s="5">
        <f t="shared" ca="1" si="14"/>
        <v>700</v>
      </c>
      <c r="H9" s="5">
        <f t="shared" ca="1" si="7"/>
        <v>600</v>
      </c>
      <c r="I9" s="63">
        <f t="shared" ca="1" si="13"/>
        <v>0</v>
      </c>
      <c r="J9" s="5">
        <f t="shared" ca="1" si="8"/>
        <v>0</v>
      </c>
      <c r="K9" s="5">
        <f t="shared" ca="1" si="9"/>
        <v>0</v>
      </c>
      <c r="L9" s="5">
        <f t="shared" ca="1" si="10"/>
        <v>0</v>
      </c>
      <c r="M9" s="5">
        <f t="shared" ca="1" si="11"/>
        <v>0</v>
      </c>
      <c r="N9" s="6">
        <f t="shared" ca="1" si="5"/>
        <v>16.43835616438356</v>
      </c>
      <c r="O9" s="5">
        <f t="shared" si="12"/>
        <v>0</v>
      </c>
      <c r="Q9" s="2">
        <v>2200</v>
      </c>
      <c r="R9" s="5">
        <v>30566.027397260277</v>
      </c>
      <c r="T9" s="2">
        <v>2200</v>
      </c>
      <c r="U9" s="43">
        <v>37519.999999999985</v>
      </c>
      <c r="V9" s="43">
        <v>50637.808219178085</v>
      </c>
      <c r="W9" s="43">
        <v>40029.863013698632</v>
      </c>
      <c r="X9" s="43">
        <v>46503.561643835601</v>
      </c>
      <c r="Y9" s="43">
        <v>33113.150684931505</v>
      </c>
      <c r="Z9" s="43">
        <v>51995.342465753427</v>
      </c>
      <c r="AA9" s="43">
        <v>27732.876712328769</v>
      </c>
      <c r="AB9" s="43">
        <v>37629.863013698632</v>
      </c>
      <c r="AC9" s="43">
        <v>38610.684931506854</v>
      </c>
      <c r="AD9" s="43">
        <v>30722.191780821922</v>
      </c>
      <c r="AE9" s="43">
        <v>47677.808219178078</v>
      </c>
      <c r="AF9" s="43">
        <v>27680.273972602736</v>
      </c>
      <c r="AG9" s="43">
        <v>33785.205479452052</v>
      </c>
      <c r="AH9" s="43">
        <v>43622.739726027401</v>
      </c>
      <c r="AI9" s="43">
        <v>42539.72602739725</v>
      </c>
      <c r="AJ9" s="43">
        <v>52941.369863013708</v>
      </c>
      <c r="AK9" s="43">
        <v>35117.8082191781</v>
      </c>
      <c r="AL9" s="43">
        <v>40023.28767123288</v>
      </c>
      <c r="AM9" s="43">
        <v>38273.698630136983</v>
      </c>
      <c r="AN9" s="43">
        <v>39034.520547945227</v>
      </c>
      <c r="AO9" s="43">
        <v>31181.643835616444</v>
      </c>
      <c r="AP9" s="43">
        <v>34738.630136986307</v>
      </c>
      <c r="AQ9" s="43">
        <v>53476.164383561641</v>
      </c>
      <c r="AR9" s="43">
        <v>50381.369863013693</v>
      </c>
      <c r="AS9" s="43">
        <v>29229.863013698639</v>
      </c>
      <c r="AT9" s="43">
        <v>34698.356164383549</v>
      </c>
      <c r="AU9" s="43">
        <v>42719.452054794529</v>
      </c>
      <c r="AV9" s="43">
        <v>31711.780821917811</v>
      </c>
      <c r="AW9" s="43">
        <v>29674.520547945212</v>
      </c>
      <c r="AX9" s="43">
        <v>39596.71232876712</v>
      </c>
      <c r="AY9" s="43">
        <v>43971.232876712333</v>
      </c>
      <c r="AZ9" s="43">
        <v>47961.095890410958</v>
      </c>
      <c r="BA9" s="43">
        <v>39047.945205479453</v>
      </c>
      <c r="BB9" s="43">
        <v>45612.876712328769</v>
      </c>
      <c r="BC9" s="43">
        <v>29239.999999999993</v>
      </c>
      <c r="BD9" s="43">
        <v>33633.42465753424</v>
      </c>
      <c r="BE9" s="43">
        <v>47564.931506849309</v>
      </c>
      <c r="BF9" s="43">
        <v>50033.972602739719</v>
      </c>
      <c r="BG9" s="43">
        <v>35061.643835616429</v>
      </c>
      <c r="BH9" s="43">
        <v>38614.794520547941</v>
      </c>
      <c r="BI9" s="43">
        <v>44017.260273972599</v>
      </c>
      <c r="BJ9" s="43">
        <v>56468.493150684932</v>
      </c>
      <c r="BK9" s="43">
        <v>42526.301369863009</v>
      </c>
      <c r="BL9" s="43">
        <v>46570.95890410959</v>
      </c>
      <c r="BM9" s="43">
        <v>38638.356164383571</v>
      </c>
      <c r="BN9" s="43">
        <v>25616.986301369863</v>
      </c>
      <c r="BO9" s="43">
        <v>36081.095890410965</v>
      </c>
      <c r="BP9" s="43">
        <v>41064.38356164383</v>
      </c>
      <c r="BQ9" s="43">
        <v>47092.054794520547</v>
      </c>
      <c r="BR9" s="43">
        <v>37191.232876712325</v>
      </c>
      <c r="BS9" s="43">
        <v>32683.561643835626</v>
      </c>
      <c r="BT9" s="43">
        <v>51445.753424657523</v>
      </c>
      <c r="BU9" s="43">
        <v>41953.972602739719</v>
      </c>
      <c r="BV9" s="43">
        <v>43579.452054794521</v>
      </c>
      <c r="BW9" s="43">
        <v>44513.42465753424</v>
      </c>
      <c r="BX9" s="43">
        <v>37595.34246575342</v>
      </c>
      <c r="BY9" s="43">
        <v>47547.123287671246</v>
      </c>
      <c r="BZ9" s="43">
        <v>42046.849315068495</v>
      </c>
      <c r="CA9" s="43">
        <v>34583.28767123288</v>
      </c>
      <c r="CB9" s="43">
        <v>50492.876712328762</v>
      </c>
      <c r="CC9" s="43">
        <v>33072.876712328769</v>
      </c>
      <c r="CD9" s="43">
        <v>44486.027397260274</v>
      </c>
      <c r="CE9" s="43">
        <v>55499.72602739725</v>
      </c>
      <c r="CF9" s="43">
        <v>26680.547945205479</v>
      </c>
      <c r="CG9" s="43">
        <v>36036.438356164392</v>
      </c>
      <c r="CH9" s="43">
        <v>50984.109589041094</v>
      </c>
      <c r="CI9" s="43">
        <v>41014.520547945212</v>
      </c>
      <c r="CJ9" s="43">
        <v>27755.342465753412</v>
      </c>
      <c r="CK9" s="43">
        <v>35153.150684931505</v>
      </c>
      <c r="CL9" s="43">
        <v>34574.246575342455</v>
      </c>
      <c r="CM9" s="43">
        <v>46130.95890410959</v>
      </c>
      <c r="CN9" s="43">
        <v>37546.027397260259</v>
      </c>
      <c r="CO9" s="43">
        <v>31669.315068493139</v>
      </c>
      <c r="CP9" s="43">
        <v>50981.917808219179</v>
      </c>
      <c r="CQ9" s="43">
        <v>36045.205479452059</v>
      </c>
      <c r="CR9" s="43">
        <v>46550.684931506847</v>
      </c>
      <c r="CS9" s="43">
        <v>34739.178082191786</v>
      </c>
      <c r="CT9" s="43">
        <v>44066.301369863017</v>
      </c>
      <c r="CU9" s="43">
        <v>37993.972602739726</v>
      </c>
      <c r="CV9" s="43">
        <v>40114.520547945212</v>
      </c>
      <c r="CW9" s="43">
        <v>43592.602739726033</v>
      </c>
      <c r="CX9" s="43">
        <v>31679.452054794518</v>
      </c>
      <c r="CY9" s="43">
        <v>49467.123287671246</v>
      </c>
      <c r="CZ9" s="43">
        <v>54372.328767123276</v>
      </c>
      <c r="DA9" s="43">
        <v>46476.438356164392</v>
      </c>
      <c r="DB9" s="43">
        <v>38623.01369863013</v>
      </c>
      <c r="DC9" s="43">
        <v>38130.136986301375</v>
      </c>
      <c r="DD9" s="43">
        <v>42035.34246575342</v>
      </c>
      <c r="DE9" s="43">
        <v>46888.493150684932</v>
      </c>
      <c r="DF9" s="43">
        <v>48544.383561643837</v>
      </c>
      <c r="DG9" s="43">
        <v>41949.863013698632</v>
      </c>
      <c r="DH9" s="43">
        <v>32198.356164383556</v>
      </c>
      <c r="DI9" s="43">
        <v>36135.342465753412</v>
      </c>
      <c r="DJ9" s="43">
        <v>34609.863013698632</v>
      </c>
      <c r="DK9" s="43">
        <v>35080.273972602736</v>
      </c>
      <c r="DL9" s="43">
        <v>38134.794520547948</v>
      </c>
      <c r="DM9" s="43">
        <v>40017.260273972599</v>
      </c>
      <c r="DN9" s="43">
        <v>43157.534246575335</v>
      </c>
      <c r="DO9" s="43">
        <v>36091.232876712325</v>
      </c>
      <c r="DP9" s="43">
        <v>38201.369863013693</v>
      </c>
      <c r="DQ9" s="5">
        <f t="shared" si="0"/>
        <v>40315.312328767119</v>
      </c>
    </row>
    <row r="10" spans="2:121" ht="13.2" customHeight="1">
      <c r="B10" s="18" t="s">
        <v>36</v>
      </c>
      <c r="E10" s="5">
        <v>6</v>
      </c>
      <c r="F10" s="5">
        <f t="shared" ca="1" si="6"/>
        <v>100</v>
      </c>
      <c r="G10" s="5">
        <f t="shared" ca="1" si="14"/>
        <v>600</v>
      </c>
      <c r="H10" s="5">
        <f t="shared" ca="1" si="7"/>
        <v>500</v>
      </c>
      <c r="I10" s="63">
        <f t="shared" ca="1" si="13"/>
        <v>0</v>
      </c>
      <c r="J10" s="5">
        <f t="shared" ca="1" si="8"/>
        <v>0</v>
      </c>
      <c r="K10" s="5">
        <f t="shared" ca="1" si="9"/>
        <v>0</v>
      </c>
      <c r="L10" s="5">
        <f t="shared" ca="1" si="10"/>
        <v>0</v>
      </c>
      <c r="M10" s="5">
        <f t="shared" ca="1" si="11"/>
        <v>0</v>
      </c>
      <c r="N10" s="6">
        <f t="shared" ca="1" si="5"/>
        <v>13.698630136986301</v>
      </c>
      <c r="O10" s="5">
        <f t="shared" si="12"/>
        <v>0</v>
      </c>
      <c r="Q10" s="2">
        <v>2400</v>
      </c>
      <c r="R10" s="5">
        <v>37973.150684931512</v>
      </c>
      <c r="T10" s="2">
        <v>2400</v>
      </c>
      <c r="U10" s="43">
        <v>54210.136986301361</v>
      </c>
      <c r="V10" s="43">
        <v>47844.657534246558</v>
      </c>
      <c r="W10" s="43">
        <v>56714.794520547955</v>
      </c>
      <c r="X10" s="43">
        <v>39949.315068493153</v>
      </c>
      <c r="Y10" s="43">
        <v>44166.301369863031</v>
      </c>
      <c r="Z10" s="43">
        <v>43346.849315068495</v>
      </c>
      <c r="AA10" s="43">
        <v>36471.506849315061</v>
      </c>
      <c r="AB10" s="43">
        <v>52156.712328767127</v>
      </c>
      <c r="AC10" s="43">
        <v>37743.287671232873</v>
      </c>
      <c r="AD10" s="43">
        <v>35317.534246575349</v>
      </c>
      <c r="AE10" s="43">
        <v>37042.465753424665</v>
      </c>
      <c r="AF10" s="43">
        <v>40042.739726027394</v>
      </c>
      <c r="AG10" s="43">
        <v>30995.342465753423</v>
      </c>
      <c r="AH10" s="43">
        <v>29437.260273972606</v>
      </c>
      <c r="AI10" s="43">
        <v>40302.191780821908</v>
      </c>
      <c r="AJ10" s="43">
        <v>27569.589041095896</v>
      </c>
      <c r="AK10" s="43">
        <v>37035.61643835617</v>
      </c>
      <c r="AL10" s="43">
        <v>40361.917808219179</v>
      </c>
      <c r="AM10" s="43">
        <v>46275.616438356155</v>
      </c>
      <c r="AN10" s="43">
        <v>38341.917808219172</v>
      </c>
      <c r="AO10" s="43">
        <v>44190.684931506854</v>
      </c>
      <c r="AP10" s="43">
        <v>38866.301369863002</v>
      </c>
      <c r="AQ10" s="43">
        <v>50221.917808219165</v>
      </c>
      <c r="AR10" s="43">
        <v>40387.397260273981</v>
      </c>
      <c r="AS10" s="43">
        <v>37987.397260273967</v>
      </c>
      <c r="AT10" s="43">
        <v>33011.506849315061</v>
      </c>
      <c r="AU10" s="43">
        <v>38575.34246575342</v>
      </c>
      <c r="AV10" s="43">
        <v>43360.547945205464</v>
      </c>
      <c r="AW10" s="43">
        <v>29966.849315068503</v>
      </c>
      <c r="AX10" s="43">
        <v>41876.438356164384</v>
      </c>
      <c r="AY10" s="43">
        <v>45198.082191780828</v>
      </c>
      <c r="AZ10" s="43">
        <v>32413.972602739741</v>
      </c>
      <c r="BA10" s="43">
        <v>44237.808219178085</v>
      </c>
      <c r="BB10" s="43">
        <v>35423.835616438351</v>
      </c>
      <c r="BC10" s="43">
        <v>43381.09589041095</v>
      </c>
      <c r="BD10" s="43">
        <v>48798.904109589042</v>
      </c>
      <c r="BE10" s="43">
        <v>41866.849315068488</v>
      </c>
      <c r="BF10" s="43">
        <v>57541.917808219179</v>
      </c>
      <c r="BG10" s="43">
        <v>52203.835616438359</v>
      </c>
      <c r="BH10" s="43">
        <v>45780.821917808214</v>
      </c>
      <c r="BI10" s="43">
        <v>45353.424657534262</v>
      </c>
      <c r="BJ10" s="43">
        <v>34849.041095890396</v>
      </c>
      <c r="BK10" s="43">
        <v>36953.972602739726</v>
      </c>
      <c r="BL10" s="43">
        <v>46647.123287671238</v>
      </c>
      <c r="BM10" s="43">
        <v>38366.301369863002</v>
      </c>
      <c r="BN10" s="43">
        <v>44213.150684931505</v>
      </c>
      <c r="BO10" s="43">
        <v>50214.520547945198</v>
      </c>
      <c r="BP10" s="43">
        <v>32935.068493150684</v>
      </c>
      <c r="BQ10" s="43">
        <v>29444.931506849327</v>
      </c>
      <c r="BR10" s="43">
        <v>30608.219178082196</v>
      </c>
      <c r="BS10" s="43">
        <v>48446.575342465745</v>
      </c>
      <c r="BT10" s="43">
        <v>38963.835616438359</v>
      </c>
      <c r="BU10" s="43">
        <v>43289.041095890396</v>
      </c>
      <c r="BV10" s="43">
        <v>40054.794520547941</v>
      </c>
      <c r="BW10" s="43">
        <v>38008.219178082196</v>
      </c>
      <c r="BX10" s="43">
        <v>26983.835616438359</v>
      </c>
      <c r="BY10" s="43">
        <v>36929.315068493139</v>
      </c>
      <c r="BZ10" s="43">
        <v>25160.547945205471</v>
      </c>
      <c r="CA10" s="43">
        <v>42811.506849315061</v>
      </c>
      <c r="CB10" s="43">
        <v>51345.479452054788</v>
      </c>
      <c r="CC10" s="43">
        <v>31933.42465753424</v>
      </c>
      <c r="CD10" s="43">
        <v>41836.712328767135</v>
      </c>
      <c r="CE10" s="43">
        <v>34442.465753424651</v>
      </c>
      <c r="CF10" s="43">
        <v>40933.698630136998</v>
      </c>
      <c r="CG10" s="43">
        <v>35533.972602739719</v>
      </c>
      <c r="CH10" s="43">
        <v>42397.534246575349</v>
      </c>
      <c r="CI10" s="43">
        <v>30112.328767123276</v>
      </c>
      <c r="CJ10" s="43">
        <v>51183.28767123288</v>
      </c>
      <c r="CK10" s="43">
        <v>43183.835616438351</v>
      </c>
      <c r="CL10" s="43">
        <v>27483.013698630137</v>
      </c>
      <c r="CM10" s="43">
        <v>34571.232876712325</v>
      </c>
      <c r="CN10" s="43">
        <v>50189.863013698625</v>
      </c>
      <c r="CO10" s="43">
        <v>43338.904109589042</v>
      </c>
      <c r="CP10" s="43">
        <v>50710.410958904104</v>
      </c>
      <c r="CQ10" s="43">
        <v>34394.246575342462</v>
      </c>
      <c r="CR10" s="43">
        <v>37998.356164383564</v>
      </c>
      <c r="CS10" s="43">
        <v>28758.904109589035</v>
      </c>
      <c r="CT10" s="43">
        <v>36392.054794520554</v>
      </c>
      <c r="CU10" s="43">
        <v>31165.205479452052</v>
      </c>
      <c r="CV10" s="43">
        <v>37310.410958904096</v>
      </c>
      <c r="CW10" s="43">
        <v>48801.917808219179</v>
      </c>
      <c r="CX10" s="43">
        <v>34324.383561643845</v>
      </c>
      <c r="CY10" s="43">
        <v>36874.794520547934</v>
      </c>
      <c r="CZ10" s="43">
        <v>32963.561643835608</v>
      </c>
      <c r="DA10" s="43">
        <v>40375.068493150662</v>
      </c>
      <c r="DB10" s="43">
        <v>51263.287671232887</v>
      </c>
      <c r="DC10" s="43">
        <v>33300.821917808214</v>
      </c>
      <c r="DD10" s="43">
        <v>46678.082191780821</v>
      </c>
      <c r="DE10" s="43">
        <v>23210.136986301382</v>
      </c>
      <c r="DF10" s="43">
        <v>40295.068493150669</v>
      </c>
      <c r="DG10" s="43">
        <v>44157.260273972592</v>
      </c>
      <c r="DH10" s="43">
        <v>38853.150684931505</v>
      </c>
      <c r="DI10" s="43">
        <v>48812.876712328762</v>
      </c>
      <c r="DJ10" s="43">
        <v>38925.753424657531</v>
      </c>
      <c r="DK10" s="43">
        <v>41927.123287671231</v>
      </c>
      <c r="DL10" s="43">
        <v>32898.082191780828</v>
      </c>
      <c r="DM10" s="43">
        <v>36862.739726027394</v>
      </c>
      <c r="DN10" s="43">
        <v>48263.013698630122</v>
      </c>
      <c r="DO10" s="43">
        <v>37832.602739726026</v>
      </c>
      <c r="DP10" s="43">
        <v>47826.849315068481</v>
      </c>
      <c r="DQ10" s="5">
        <f t="shared" si="0"/>
        <v>40105.126027397266</v>
      </c>
    </row>
    <row r="11" spans="2:121" ht="13.2" customHeight="1">
      <c r="B11" s="23" t="s">
        <v>30</v>
      </c>
      <c r="C11" s="5">
        <f ca="1">L1</f>
        <v>48000</v>
      </c>
      <c r="E11" s="5">
        <v>7</v>
      </c>
      <c r="F11" s="5">
        <f t="shared" ca="1" si="6"/>
        <v>100</v>
      </c>
      <c r="G11" s="5">
        <f t="shared" ca="1" si="14"/>
        <v>500</v>
      </c>
      <c r="H11" s="5">
        <f t="shared" ca="1" si="7"/>
        <v>400</v>
      </c>
      <c r="I11" s="63">
        <f t="shared" ca="1" si="13"/>
        <v>0</v>
      </c>
      <c r="J11" s="5">
        <f t="shared" ca="1" si="8"/>
        <v>0</v>
      </c>
      <c r="K11" s="5">
        <f t="shared" ca="1" si="9"/>
        <v>0</v>
      </c>
      <c r="L11" s="5">
        <f t="shared" ca="1" si="10"/>
        <v>0</v>
      </c>
      <c r="M11" s="5">
        <f t="shared" ca="1" si="11"/>
        <v>0</v>
      </c>
      <c r="N11" s="6">
        <f t="shared" ca="1" si="5"/>
        <v>10.95890410958904</v>
      </c>
      <c r="O11" s="5">
        <f t="shared" si="12"/>
        <v>0</v>
      </c>
      <c r="Q11" s="2">
        <v>2600</v>
      </c>
      <c r="R11" s="5">
        <v>27475.068493150688</v>
      </c>
      <c r="T11" s="2">
        <v>2600</v>
      </c>
      <c r="U11" s="43">
        <v>41634.520547945205</v>
      </c>
      <c r="V11" s="43">
        <v>47967.67123287671</v>
      </c>
      <c r="W11" s="43">
        <v>33225.479452054788</v>
      </c>
      <c r="X11" s="43">
        <v>44930.410958904118</v>
      </c>
      <c r="Y11" s="43">
        <v>36147.123287671246</v>
      </c>
      <c r="Z11" s="43">
        <v>28290.136986301368</v>
      </c>
      <c r="AA11" s="43">
        <v>52573.424657534248</v>
      </c>
      <c r="AB11" s="43">
        <v>36088.767123287675</v>
      </c>
      <c r="AC11" s="43">
        <v>30675.616438356163</v>
      </c>
      <c r="AD11" s="43">
        <v>42150.684931506861</v>
      </c>
      <c r="AE11" s="43">
        <v>46036.986301369856</v>
      </c>
      <c r="AF11" s="43">
        <v>36226.027397260266</v>
      </c>
      <c r="AG11" s="43">
        <v>51424.109589041087</v>
      </c>
      <c r="AH11" s="43">
        <v>37262.465753424665</v>
      </c>
      <c r="AI11" s="43">
        <v>36221.643835616436</v>
      </c>
      <c r="AJ11" s="43">
        <v>30154.520547945205</v>
      </c>
      <c r="AK11" s="43">
        <v>53390.136986301375</v>
      </c>
      <c r="AL11" s="43">
        <v>47888.767123287682</v>
      </c>
      <c r="AM11" s="43">
        <v>42382.739726027401</v>
      </c>
      <c r="AN11" s="43">
        <v>30187.123287671217</v>
      </c>
      <c r="AO11" s="43">
        <v>23846.301369863009</v>
      </c>
      <c r="AP11" s="43">
        <v>29309.863013698618</v>
      </c>
      <c r="AQ11" s="43">
        <v>33590.95890410959</v>
      </c>
      <c r="AR11" s="43">
        <v>41541.917808219165</v>
      </c>
      <c r="AS11" s="43">
        <v>48527.94520547946</v>
      </c>
      <c r="AT11" s="43">
        <v>33193.424657534255</v>
      </c>
      <c r="AU11" s="43">
        <v>37075.61643835617</v>
      </c>
      <c r="AV11" s="43">
        <v>40832.32876712329</v>
      </c>
      <c r="AW11" s="43">
        <v>32201.643835616444</v>
      </c>
      <c r="AX11" s="43">
        <v>45529.315068493153</v>
      </c>
      <c r="AY11" s="43">
        <v>43540</v>
      </c>
      <c r="AZ11" s="43">
        <v>37640.821917808207</v>
      </c>
      <c r="BA11" s="43">
        <v>46261.643835616429</v>
      </c>
      <c r="BB11" s="43">
        <v>38444.931506849316</v>
      </c>
      <c r="BC11" s="43">
        <v>39612.32876712329</v>
      </c>
      <c r="BD11" s="43">
        <v>30316.986301369874</v>
      </c>
      <c r="BE11" s="43">
        <v>42978.082191780813</v>
      </c>
      <c r="BF11" s="43">
        <v>32155.068493150688</v>
      </c>
      <c r="BG11" s="43">
        <v>40727.671232876717</v>
      </c>
      <c r="BH11" s="43">
        <v>35722.465753424651</v>
      </c>
      <c r="BI11" s="43">
        <v>33720.273972602736</v>
      </c>
      <c r="BJ11" s="43">
        <v>39146.849315068481</v>
      </c>
      <c r="BK11" s="43">
        <v>35790.136986301368</v>
      </c>
      <c r="BL11" s="43">
        <v>40049.315068493146</v>
      </c>
      <c r="BM11" s="43">
        <v>28303.287671232883</v>
      </c>
      <c r="BN11" s="43">
        <v>45498.082191780821</v>
      </c>
      <c r="BO11" s="43">
        <v>33294.794520547941</v>
      </c>
      <c r="BP11" s="43">
        <v>51594.794520547948</v>
      </c>
      <c r="BQ11" s="43">
        <v>25254.520547945202</v>
      </c>
      <c r="BR11" s="43">
        <v>40061.369863013708</v>
      </c>
      <c r="BS11" s="43">
        <v>34252.602739726033</v>
      </c>
      <c r="BT11" s="43">
        <v>29287.945205479453</v>
      </c>
      <c r="BU11" s="43">
        <v>46864.109589041094</v>
      </c>
      <c r="BV11" s="43">
        <v>34628.767123287675</v>
      </c>
      <c r="BW11" s="43">
        <v>46041.09589041095</v>
      </c>
      <c r="BX11" s="43">
        <v>37730.136986301375</v>
      </c>
      <c r="BY11" s="43">
        <v>33073.698630136991</v>
      </c>
      <c r="BZ11" s="43">
        <v>40113.698630136991</v>
      </c>
      <c r="CA11" s="43">
        <v>38492.054794520554</v>
      </c>
      <c r="CB11" s="43">
        <v>42415.34246575342</v>
      </c>
      <c r="CC11" s="43">
        <v>43123.013698630137</v>
      </c>
      <c r="CD11" s="43">
        <v>36298.082191780821</v>
      </c>
      <c r="CE11" s="43">
        <v>38074.246575342477</v>
      </c>
      <c r="CF11" s="43">
        <v>39982.465753424651</v>
      </c>
      <c r="CG11" s="43">
        <v>36067.123287671231</v>
      </c>
      <c r="CH11" s="43">
        <v>40617.260273972606</v>
      </c>
      <c r="CI11" s="43">
        <v>40179.452054794514</v>
      </c>
      <c r="CJ11" s="43">
        <v>36065.753424657538</v>
      </c>
      <c r="CK11" s="43">
        <v>29661.36986301369</v>
      </c>
      <c r="CL11" s="43">
        <v>28424.657534246573</v>
      </c>
      <c r="CM11" s="43">
        <v>43793.972602739726</v>
      </c>
      <c r="CN11" s="43">
        <v>47077.260273972621</v>
      </c>
      <c r="CO11" s="43">
        <v>42507.123287671238</v>
      </c>
      <c r="CP11" s="43">
        <v>37048.493150684932</v>
      </c>
      <c r="CQ11" s="43">
        <v>38264.931506849323</v>
      </c>
      <c r="CR11" s="43">
        <v>36670.410958904111</v>
      </c>
      <c r="CS11" s="43">
        <v>40162.19178082193</v>
      </c>
      <c r="CT11" s="43">
        <v>51059.178082191778</v>
      </c>
      <c r="CU11" s="43">
        <v>37553.424657534233</v>
      </c>
      <c r="CV11" s="43">
        <v>32415.342465753431</v>
      </c>
      <c r="CW11" s="43">
        <v>50435.890410958906</v>
      </c>
      <c r="CX11" s="43">
        <v>43042.465753424665</v>
      </c>
      <c r="CY11" s="43">
        <v>42925.205479452059</v>
      </c>
      <c r="CZ11" s="43">
        <v>46786.027397260266</v>
      </c>
      <c r="DA11" s="43">
        <v>34323.835616438344</v>
      </c>
      <c r="DB11" s="43">
        <v>45981.917808219165</v>
      </c>
      <c r="DC11" s="43">
        <v>30786.02739726027</v>
      </c>
      <c r="DD11" s="43">
        <v>39507.397260273974</v>
      </c>
      <c r="DE11" s="43">
        <v>29098.082191780813</v>
      </c>
      <c r="DF11" s="43">
        <v>30226.301369863002</v>
      </c>
      <c r="DG11" s="43">
        <v>50733.424657534248</v>
      </c>
      <c r="DH11" s="43">
        <v>36358.904109589042</v>
      </c>
      <c r="DI11" s="43">
        <v>36178.356164383564</v>
      </c>
      <c r="DJ11" s="43">
        <v>36176.986301369863</v>
      </c>
      <c r="DK11" s="43">
        <v>38109.589041095889</v>
      </c>
      <c r="DL11" s="43">
        <v>45893.972602739734</v>
      </c>
      <c r="DM11" s="43">
        <v>36589.04109589041</v>
      </c>
      <c r="DN11" s="43">
        <v>44728.767123287675</v>
      </c>
      <c r="DO11" s="43">
        <v>43061.643835616429</v>
      </c>
      <c r="DP11" s="43">
        <v>36593.424657534248</v>
      </c>
      <c r="DQ11" s="5">
        <f t="shared" si="0"/>
        <v>38861.035616438341</v>
      </c>
    </row>
    <row r="12" spans="2:121" ht="12.75" customHeight="1">
      <c r="B12" s="23" t="s">
        <v>0</v>
      </c>
      <c r="C12" s="5">
        <f ca="1">M1</f>
        <v>7400</v>
      </c>
      <c r="E12" s="5">
        <v>8</v>
      </c>
      <c r="F12" s="5">
        <f t="shared" ca="1" si="6"/>
        <v>120</v>
      </c>
      <c r="G12" s="5">
        <f t="shared" ca="1" si="14"/>
        <v>400</v>
      </c>
      <c r="H12" s="5">
        <f t="shared" ca="1" si="7"/>
        <v>280</v>
      </c>
      <c r="I12" s="63">
        <f t="shared" ca="1" si="13"/>
        <v>0</v>
      </c>
      <c r="J12" s="5">
        <f t="shared" ca="1" si="8"/>
        <v>0</v>
      </c>
      <c r="K12" s="5">
        <f t="shared" ca="1" si="9"/>
        <v>0</v>
      </c>
      <c r="L12" s="5">
        <f t="shared" ca="1" si="10"/>
        <v>0</v>
      </c>
      <c r="M12" s="5">
        <f t="shared" ca="1" si="11"/>
        <v>0</v>
      </c>
      <c r="N12" s="6">
        <f t="shared" ca="1" si="5"/>
        <v>7.6712328767123283</v>
      </c>
      <c r="O12" s="5">
        <f t="shared" si="12"/>
        <v>0</v>
      </c>
      <c r="Q12" s="2">
        <v>2800</v>
      </c>
      <c r="R12" s="5">
        <v>32560.821917808229</v>
      </c>
      <c r="T12" s="2">
        <v>2800</v>
      </c>
      <c r="U12" s="43">
        <v>31518.904109589046</v>
      </c>
      <c r="V12" s="43">
        <v>36919.1780821918</v>
      </c>
      <c r="W12" s="43">
        <v>31487.945205479449</v>
      </c>
      <c r="X12" s="43">
        <v>34513.698630136983</v>
      </c>
      <c r="Y12" s="43">
        <v>27045.753424657531</v>
      </c>
      <c r="Z12" s="43">
        <v>33501.917808219165</v>
      </c>
      <c r="AA12" s="43">
        <v>36412.32876712329</v>
      </c>
      <c r="AB12" s="43">
        <v>39548.767123287682</v>
      </c>
      <c r="AC12" s="43">
        <v>33986.575342465752</v>
      </c>
      <c r="AD12" s="43">
        <v>41393.424657534255</v>
      </c>
      <c r="AE12" s="43">
        <v>31127.123287671231</v>
      </c>
      <c r="AF12" s="43">
        <v>29501.917808219183</v>
      </c>
      <c r="AG12" s="43">
        <v>32429.041095890403</v>
      </c>
      <c r="AH12" s="43">
        <v>26629.041095890403</v>
      </c>
      <c r="AI12" s="43">
        <v>40240.000000000007</v>
      </c>
      <c r="AJ12" s="43">
        <v>32536.43835616437</v>
      </c>
      <c r="AK12" s="43">
        <v>36110.684931506861</v>
      </c>
      <c r="AL12" s="43">
        <v>44888.767123287675</v>
      </c>
      <c r="AM12" s="43">
        <v>35503.835616438359</v>
      </c>
      <c r="AN12" s="43">
        <v>29598.082191780821</v>
      </c>
      <c r="AO12" s="43">
        <v>43792.054794520562</v>
      </c>
      <c r="AP12" s="43">
        <v>36508.767123287667</v>
      </c>
      <c r="AQ12" s="43">
        <v>54181.643835616444</v>
      </c>
      <c r="AR12" s="43">
        <v>35467.123287671246</v>
      </c>
      <c r="AS12" s="43">
        <v>27221.369863013701</v>
      </c>
      <c r="AT12" s="43">
        <v>46912.876712328754</v>
      </c>
      <c r="AU12" s="43">
        <v>46907.945205479453</v>
      </c>
      <c r="AV12" s="43">
        <v>47728.219178082196</v>
      </c>
      <c r="AW12" s="43">
        <v>32593.424657534251</v>
      </c>
      <c r="AX12" s="43">
        <v>36315.616438356163</v>
      </c>
      <c r="AY12" s="43">
        <v>40826.849315068488</v>
      </c>
      <c r="AZ12" s="43">
        <v>28976.438356164377</v>
      </c>
      <c r="BA12" s="43">
        <v>35007.67123287671</v>
      </c>
      <c r="BB12" s="43">
        <v>30457.80821917807</v>
      </c>
      <c r="BC12" s="43">
        <v>21745.479452054788</v>
      </c>
      <c r="BD12" s="43">
        <v>56116.98630136987</v>
      </c>
      <c r="BE12" s="43">
        <v>58611.506849315068</v>
      </c>
      <c r="BF12" s="43">
        <v>45904.383561643837</v>
      </c>
      <c r="BG12" s="43">
        <v>42080.547945205471</v>
      </c>
      <c r="BH12" s="43">
        <v>36126.849315068488</v>
      </c>
      <c r="BI12" s="43">
        <v>43028.76712328766</v>
      </c>
      <c r="BJ12" s="43">
        <v>41371.23287671234</v>
      </c>
      <c r="BK12" s="43">
        <v>38826.301369863009</v>
      </c>
      <c r="BL12" s="43">
        <v>42773.698630136983</v>
      </c>
      <c r="BM12" s="43">
        <v>38010.136986301375</v>
      </c>
      <c r="BN12" s="43">
        <v>33368.767123287675</v>
      </c>
      <c r="BO12" s="43">
        <v>34039.452054794514</v>
      </c>
      <c r="BP12" s="43">
        <v>51135.34246575342</v>
      </c>
      <c r="BQ12" s="43">
        <v>40352.328767123268</v>
      </c>
      <c r="BR12" s="43">
        <v>26803.28767123288</v>
      </c>
      <c r="BS12" s="43">
        <v>42265.479452054788</v>
      </c>
      <c r="BT12" s="43">
        <v>28759.999999999985</v>
      </c>
      <c r="BU12" s="43">
        <v>32385.205479452052</v>
      </c>
      <c r="BV12" s="43">
        <v>31393.698630136987</v>
      </c>
      <c r="BW12" s="43">
        <v>41316.98630136987</v>
      </c>
      <c r="BX12" s="43">
        <v>35987.397260273981</v>
      </c>
      <c r="BY12" s="43">
        <v>48749.589041095904</v>
      </c>
      <c r="BZ12" s="43">
        <v>29642.739726027401</v>
      </c>
      <c r="CA12" s="43">
        <v>45277.534246575327</v>
      </c>
      <c r="CB12" s="43">
        <v>57215.61643835617</v>
      </c>
      <c r="CC12" s="43">
        <v>35447.671232876717</v>
      </c>
      <c r="CD12" s="43">
        <v>41376.986301369863</v>
      </c>
      <c r="CE12" s="43">
        <v>39903.561643835601</v>
      </c>
      <c r="CF12" s="43">
        <v>47893.424657534248</v>
      </c>
      <c r="CG12" s="43">
        <v>43698.904109589042</v>
      </c>
      <c r="CH12" s="43">
        <v>34519.452054794529</v>
      </c>
      <c r="CI12" s="43">
        <v>37799.999999999985</v>
      </c>
      <c r="CJ12" s="43">
        <v>56007.397260273974</v>
      </c>
      <c r="CK12" s="43">
        <v>39366.301369863017</v>
      </c>
      <c r="CL12" s="43">
        <v>33484.931506849331</v>
      </c>
      <c r="CM12" s="43">
        <v>42446.027397260259</v>
      </c>
      <c r="CN12" s="43">
        <v>42795.34246575342</v>
      </c>
      <c r="CO12" s="43">
        <v>43805.479452054795</v>
      </c>
      <c r="CP12" s="43">
        <v>41339.726027397264</v>
      </c>
      <c r="CQ12" s="43">
        <v>42891.780821917811</v>
      </c>
      <c r="CR12" s="43">
        <v>43959.452054794514</v>
      </c>
      <c r="CS12" s="43">
        <v>32044.383561643826</v>
      </c>
      <c r="CT12" s="43">
        <v>24257.534246575349</v>
      </c>
      <c r="CU12" s="43">
        <v>43763.28767123288</v>
      </c>
      <c r="CV12" s="43">
        <v>44322.739726027394</v>
      </c>
      <c r="CW12" s="43">
        <v>40318.630136986307</v>
      </c>
      <c r="CX12" s="43">
        <v>40825.753424657523</v>
      </c>
      <c r="CY12" s="43">
        <v>34919.452054794529</v>
      </c>
      <c r="CZ12" s="43">
        <v>38392.328767123297</v>
      </c>
      <c r="DA12" s="43">
        <v>36980.547945205486</v>
      </c>
      <c r="DB12" s="43">
        <v>45252.054794520547</v>
      </c>
      <c r="DC12" s="43">
        <v>37943.561643835608</v>
      </c>
      <c r="DD12" s="43">
        <v>37903.287671232887</v>
      </c>
      <c r="DE12" s="43">
        <v>40876.986301369863</v>
      </c>
      <c r="DF12" s="43">
        <v>48770.136986301375</v>
      </c>
      <c r="DG12" s="43">
        <v>41731.780821917811</v>
      </c>
      <c r="DH12" s="43">
        <v>39566.57534246576</v>
      </c>
      <c r="DI12" s="43">
        <v>23790.684931506836</v>
      </c>
      <c r="DJ12" s="43">
        <v>42277.260273972599</v>
      </c>
      <c r="DK12" s="43">
        <v>38238.630136986321</v>
      </c>
      <c r="DL12" s="43">
        <v>51420.821917808222</v>
      </c>
      <c r="DM12" s="43">
        <v>39703.561643835623</v>
      </c>
      <c r="DN12" s="43">
        <v>49557.808219178092</v>
      </c>
      <c r="DO12" s="43">
        <v>37950.136986301382</v>
      </c>
      <c r="DP12" s="43">
        <v>44698.356164383556</v>
      </c>
      <c r="DQ12" s="5">
        <f t="shared" si="0"/>
        <v>38933.232876712333</v>
      </c>
    </row>
    <row r="13" spans="2:121" ht="13.2" customHeight="1">
      <c r="B13" s="23" t="s">
        <v>1</v>
      </c>
      <c r="C13" s="5">
        <f ca="1">N1</f>
        <v>4606.5753424657532</v>
      </c>
      <c r="E13" s="5">
        <v>9</v>
      </c>
      <c r="F13" s="5">
        <f t="shared" ca="1" si="6"/>
        <v>110</v>
      </c>
      <c r="G13" s="5">
        <f t="shared" ca="1" si="14"/>
        <v>280</v>
      </c>
      <c r="H13" s="5">
        <f t="shared" ca="1" si="7"/>
        <v>170</v>
      </c>
      <c r="I13" s="63">
        <f t="shared" ca="1" si="13"/>
        <v>0</v>
      </c>
      <c r="J13" s="5">
        <f t="shared" ca="1" si="8"/>
        <v>0</v>
      </c>
      <c r="K13" s="5">
        <f t="shared" ca="1" si="9"/>
        <v>0</v>
      </c>
      <c r="L13" s="5">
        <f t="shared" ca="1" si="10"/>
        <v>0</v>
      </c>
      <c r="M13" s="5">
        <f t="shared" ca="1" si="11"/>
        <v>0</v>
      </c>
      <c r="N13" s="6">
        <f t="shared" ca="1" si="5"/>
        <v>4.6575342465753424</v>
      </c>
      <c r="O13" s="5">
        <f t="shared" si="12"/>
        <v>0</v>
      </c>
      <c r="Q13" s="2">
        <v>3000</v>
      </c>
      <c r="R13" s="5">
        <v>44718.630136986299</v>
      </c>
      <c r="T13" s="2">
        <v>3000</v>
      </c>
      <c r="U13" s="43">
        <v>32481.369863013701</v>
      </c>
      <c r="V13" s="43">
        <v>26002.191780821915</v>
      </c>
      <c r="W13" s="43">
        <v>38781.917808219179</v>
      </c>
      <c r="X13" s="43">
        <v>43035.61643835617</v>
      </c>
      <c r="Y13" s="43">
        <v>36226.027397260274</v>
      </c>
      <c r="Z13" s="43">
        <v>40331.23287671234</v>
      </c>
      <c r="AA13" s="43">
        <v>39458.630136986307</v>
      </c>
      <c r="AB13" s="43">
        <v>39090.410958904111</v>
      </c>
      <c r="AC13" s="43">
        <v>26454.246575342477</v>
      </c>
      <c r="AD13" s="43">
        <v>50270.136986301368</v>
      </c>
      <c r="AE13" s="43">
        <v>51994.520547945205</v>
      </c>
      <c r="AF13" s="43">
        <v>46252.054794520562</v>
      </c>
      <c r="AG13" s="43">
        <v>44930.95890410959</v>
      </c>
      <c r="AH13" s="43">
        <v>48737.808219178085</v>
      </c>
      <c r="AI13" s="43">
        <v>33236.71232876712</v>
      </c>
      <c r="AJ13" s="43">
        <v>39360.000000000007</v>
      </c>
      <c r="AK13" s="43">
        <v>42563.561643835608</v>
      </c>
      <c r="AL13" s="43">
        <v>41655.34246575342</v>
      </c>
      <c r="AM13" s="43">
        <v>49075.616438356155</v>
      </c>
      <c r="AN13" s="43">
        <v>35851.232876712325</v>
      </c>
      <c r="AO13" s="43">
        <v>37302.739726027394</v>
      </c>
      <c r="AP13" s="43">
        <v>29841.369863013701</v>
      </c>
      <c r="AQ13" s="43">
        <v>48153.424657534248</v>
      </c>
      <c r="AR13" s="43">
        <v>38343.287671232858</v>
      </c>
      <c r="AS13" s="43">
        <v>50196.986301369856</v>
      </c>
      <c r="AT13" s="43">
        <v>40307.671232876717</v>
      </c>
      <c r="AU13" s="43">
        <v>28537.534246575331</v>
      </c>
      <c r="AV13" s="43">
        <v>35777.8082191781</v>
      </c>
      <c r="AW13" s="43">
        <v>33925.205479452059</v>
      </c>
      <c r="AX13" s="43">
        <v>38859.726027397264</v>
      </c>
      <c r="AY13" s="43">
        <v>34684.657534246566</v>
      </c>
      <c r="AZ13" s="43">
        <v>26415.890410958891</v>
      </c>
      <c r="BA13" s="43">
        <v>47733.972602739726</v>
      </c>
      <c r="BB13" s="43">
        <v>39371.232876712318</v>
      </c>
      <c r="BC13" s="43">
        <v>31582.465753424651</v>
      </c>
      <c r="BD13" s="43">
        <v>33231.780821917811</v>
      </c>
      <c r="BE13" s="43">
        <v>37708.767123287675</v>
      </c>
      <c r="BF13" s="43">
        <v>36309.04109589041</v>
      </c>
      <c r="BG13" s="43">
        <v>33372.054794520562</v>
      </c>
      <c r="BH13" s="43">
        <v>40823.013698630151</v>
      </c>
      <c r="BI13" s="43">
        <v>36826.301369863031</v>
      </c>
      <c r="BJ13" s="43">
        <v>28444.109589041094</v>
      </c>
      <c r="BK13" s="43">
        <v>44220.821917808214</v>
      </c>
      <c r="BL13" s="43">
        <v>41787.945205479446</v>
      </c>
      <c r="BM13" s="43">
        <v>25692.876712328765</v>
      </c>
      <c r="BN13" s="43">
        <v>33090.684931506861</v>
      </c>
      <c r="BO13" s="43">
        <v>42132.876712328762</v>
      </c>
      <c r="BP13" s="43">
        <v>40185.479452054817</v>
      </c>
      <c r="BQ13" s="43">
        <v>35976.164383561649</v>
      </c>
      <c r="BR13" s="43">
        <v>51101.369863013708</v>
      </c>
      <c r="BS13" s="43">
        <v>30937.808219178085</v>
      </c>
      <c r="BT13" s="43">
        <v>31931.780821917808</v>
      </c>
      <c r="BU13" s="43">
        <v>40628.219178082189</v>
      </c>
      <c r="BV13" s="43">
        <v>25061.095890410965</v>
      </c>
      <c r="BW13" s="43">
        <v>43232.054794520554</v>
      </c>
      <c r="BX13" s="43">
        <v>40330.410958904111</v>
      </c>
      <c r="BY13" s="43">
        <v>35356.71232876712</v>
      </c>
      <c r="BZ13" s="43">
        <v>43781.095890410958</v>
      </c>
      <c r="CA13" s="43">
        <v>38833.424657534255</v>
      </c>
      <c r="CB13" s="43">
        <v>29013.972602739708</v>
      </c>
      <c r="CC13" s="43">
        <v>41664.38356164383</v>
      </c>
      <c r="CD13" s="43">
        <v>38696.164383561641</v>
      </c>
      <c r="CE13" s="43">
        <v>29960.547945205493</v>
      </c>
      <c r="CF13" s="43">
        <v>37335.61643835617</v>
      </c>
      <c r="CG13" s="43">
        <v>31837.534246575342</v>
      </c>
      <c r="CH13" s="43">
        <v>39057.260273972599</v>
      </c>
      <c r="CI13" s="43">
        <v>31801.09589041095</v>
      </c>
      <c r="CJ13" s="43">
        <v>32035.616438356152</v>
      </c>
      <c r="CK13" s="43">
        <v>47267.94520547946</v>
      </c>
      <c r="CL13" s="43">
        <v>35364.383561643823</v>
      </c>
      <c r="CM13" s="43">
        <v>33495.61643835617</v>
      </c>
      <c r="CN13" s="43">
        <v>37443.287671232873</v>
      </c>
      <c r="CO13" s="43">
        <v>27516.986301369878</v>
      </c>
      <c r="CP13" s="43">
        <v>30884.931506849323</v>
      </c>
      <c r="CQ13" s="43">
        <v>31975.068493150677</v>
      </c>
      <c r="CR13" s="43">
        <v>38826.301369863017</v>
      </c>
      <c r="CS13" s="43">
        <v>40836.438356164392</v>
      </c>
      <c r="CT13" s="43">
        <v>35890.958904109611</v>
      </c>
      <c r="CU13" s="43">
        <v>44348.219178082181</v>
      </c>
      <c r="CV13" s="43">
        <v>39352.602739726026</v>
      </c>
      <c r="CW13" s="43">
        <v>34326.57534246576</v>
      </c>
      <c r="CX13" s="43">
        <v>30943.287671232873</v>
      </c>
      <c r="CY13" s="43">
        <v>39412.328767123297</v>
      </c>
      <c r="CZ13" s="43">
        <v>43317.260273972599</v>
      </c>
      <c r="DA13" s="43">
        <v>36304.38356164383</v>
      </c>
      <c r="DB13" s="43">
        <v>52546.027397260295</v>
      </c>
      <c r="DC13" s="43">
        <v>48053.424657534255</v>
      </c>
      <c r="DD13" s="43">
        <v>44810.958904109604</v>
      </c>
      <c r="DE13" s="43">
        <v>41515.068493150684</v>
      </c>
      <c r="DF13" s="43">
        <v>26513.698630136991</v>
      </c>
      <c r="DG13" s="43">
        <v>27514.246575342459</v>
      </c>
      <c r="DH13" s="43">
        <v>49126.849315068503</v>
      </c>
      <c r="DI13" s="43">
        <v>39806.849315068495</v>
      </c>
      <c r="DJ13" s="43">
        <v>33450.958904109582</v>
      </c>
      <c r="DK13" s="43">
        <v>41228.493150684924</v>
      </c>
      <c r="DL13" s="43">
        <v>38064.109589041094</v>
      </c>
      <c r="DM13" s="43">
        <v>20562.739726027401</v>
      </c>
      <c r="DN13" s="43">
        <v>33905.205479452059</v>
      </c>
      <c r="DO13" s="43">
        <v>44702.465753424651</v>
      </c>
      <c r="DP13" s="43">
        <v>35912.328767123283</v>
      </c>
      <c r="DQ13" s="5">
        <f t="shared" si="0"/>
        <v>37744.416438356166</v>
      </c>
    </row>
    <row r="14" spans="2:121" ht="12.75" customHeight="1">
      <c r="B14" s="44" t="s">
        <v>2</v>
      </c>
      <c r="C14" s="5">
        <f ca="1">C11+C12+C13</f>
        <v>60006.575342465752</v>
      </c>
      <c r="E14" s="5">
        <v>10</v>
      </c>
      <c r="F14" s="5">
        <f t="shared" ca="1" si="6"/>
        <v>110</v>
      </c>
      <c r="G14" s="5">
        <f t="shared" ca="1" si="14"/>
        <v>170</v>
      </c>
      <c r="H14" s="5">
        <f t="shared" ca="1" si="7"/>
        <v>60</v>
      </c>
      <c r="I14" s="63">
        <f t="shared" ca="1" si="13"/>
        <v>1</v>
      </c>
      <c r="J14" s="5">
        <f t="shared" ca="1" si="8"/>
        <v>1</v>
      </c>
      <c r="K14" s="5">
        <f t="shared" ca="1" si="9"/>
        <v>0</v>
      </c>
      <c r="L14" s="5">
        <f t="shared" ca="1" si="10"/>
        <v>0</v>
      </c>
      <c r="M14" s="5">
        <f t="shared" ca="1" si="11"/>
        <v>200</v>
      </c>
      <c r="N14" s="6">
        <f t="shared" ca="1" si="5"/>
        <v>1.6438356164383561</v>
      </c>
      <c r="O14" s="5">
        <f t="shared" si="12"/>
        <v>0</v>
      </c>
      <c r="R14" s="47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</row>
    <row r="15" spans="2:121" ht="12.75" customHeight="1">
      <c r="B15" s="21"/>
      <c r="E15" s="5">
        <v>11</v>
      </c>
      <c r="F15" s="5">
        <f t="shared" ca="1" si="6"/>
        <v>100</v>
      </c>
      <c r="G15" s="5">
        <f t="shared" ca="1" si="14"/>
        <v>60</v>
      </c>
      <c r="H15" s="5">
        <f t="shared" ca="1" si="7"/>
        <v>0</v>
      </c>
      <c r="I15" s="63">
        <f t="shared" ca="1" si="13"/>
        <v>0</v>
      </c>
      <c r="J15" s="5">
        <f t="shared" ca="1" si="8"/>
        <v>0</v>
      </c>
      <c r="K15" s="5">
        <f t="shared" ca="1" si="9"/>
        <v>40</v>
      </c>
      <c r="L15" s="5">
        <f t="shared" ca="1" si="10"/>
        <v>2000</v>
      </c>
      <c r="M15" s="5">
        <f t="shared" ca="1" si="11"/>
        <v>0</v>
      </c>
      <c r="N15" s="6">
        <f t="shared" ca="1" si="5"/>
        <v>0</v>
      </c>
      <c r="O15" s="5">
        <f t="shared" si="12"/>
        <v>0</v>
      </c>
      <c r="Q15" s="49" t="s">
        <v>32</v>
      </c>
      <c r="R15" s="50"/>
      <c r="S15" s="21"/>
      <c r="T15" s="21" t="s">
        <v>40</v>
      </c>
      <c r="U15" s="21"/>
      <c r="V15" s="4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</row>
    <row r="16" spans="2:121" ht="12.75" customHeight="1">
      <c r="B16" s="21" t="s">
        <v>28</v>
      </c>
      <c r="E16" s="5">
        <v>12</v>
      </c>
      <c r="F16" s="5">
        <f t="shared" ca="1" si="6"/>
        <v>90</v>
      </c>
      <c r="G16" s="5">
        <f t="shared" ca="1" si="14"/>
        <v>1000</v>
      </c>
      <c r="H16" s="5">
        <f t="shared" ca="1" si="7"/>
        <v>910</v>
      </c>
      <c r="I16" s="63">
        <f t="shared" ca="1" si="13"/>
        <v>0</v>
      </c>
      <c r="J16" s="5">
        <f t="shared" ca="1" si="8"/>
        <v>0</v>
      </c>
      <c r="K16" s="5">
        <f t="shared" ca="1" si="9"/>
        <v>0</v>
      </c>
      <c r="L16" s="5">
        <f t="shared" ca="1" si="10"/>
        <v>0</v>
      </c>
      <c r="M16" s="5">
        <f t="shared" ca="1" si="11"/>
        <v>0</v>
      </c>
      <c r="N16" s="6">
        <f t="shared" ca="1" si="5"/>
        <v>24.931506849315067</v>
      </c>
      <c r="O16" s="5">
        <f t="shared" si="12"/>
        <v>0</v>
      </c>
      <c r="Q16" s="43">
        <f>$C$18</f>
        <v>2600</v>
      </c>
      <c r="R16" s="43">
        <v>0</v>
      </c>
      <c r="S16" s="24"/>
      <c r="T16" s="2" t="s">
        <v>25</v>
      </c>
      <c r="U16" s="2" t="s">
        <v>24</v>
      </c>
      <c r="V16" s="2" t="s">
        <v>23</v>
      </c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</row>
    <row r="17" spans="2:122">
      <c r="B17" s="23" t="s">
        <v>15</v>
      </c>
      <c r="C17" s="5">
        <f>MIN(R3:R13)</f>
        <v>27475.068493150688</v>
      </c>
      <c r="E17" s="5">
        <v>13</v>
      </c>
      <c r="F17" s="5">
        <f t="shared" ca="1" si="6"/>
        <v>100</v>
      </c>
      <c r="G17" s="5">
        <f t="shared" ca="1" si="14"/>
        <v>910</v>
      </c>
      <c r="H17" s="5">
        <f t="shared" ca="1" si="7"/>
        <v>810</v>
      </c>
      <c r="I17" s="63">
        <f t="shared" ca="1" si="13"/>
        <v>0</v>
      </c>
      <c r="J17" s="5">
        <f t="shared" ca="1" si="8"/>
        <v>0</v>
      </c>
      <c r="K17" s="5">
        <f t="shared" ca="1" si="9"/>
        <v>0</v>
      </c>
      <c r="L17" s="5">
        <f t="shared" ca="1" si="10"/>
        <v>0</v>
      </c>
      <c r="M17" s="5">
        <f t="shared" ca="1" si="11"/>
        <v>0</v>
      </c>
      <c r="N17" s="6">
        <f t="shared" ca="1" si="5"/>
        <v>22.191780821917806</v>
      </c>
      <c r="O17" s="5">
        <f t="shared" si="12"/>
        <v>0</v>
      </c>
      <c r="Q17" s="43">
        <f>Q16</f>
        <v>2600</v>
      </c>
      <c r="R17" s="43">
        <f>C17</f>
        <v>27475.068493150688</v>
      </c>
      <c r="S17" s="21"/>
      <c r="T17" s="2">
        <v>80</v>
      </c>
      <c r="U17" s="51">
        <v>0.1</v>
      </c>
      <c r="V17" s="2">
        <v>0</v>
      </c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</row>
    <row r="18" spans="2:122" ht="12.75" customHeight="1">
      <c r="B18" s="23" t="s">
        <v>14</v>
      </c>
      <c r="C18" s="2">
        <f>INDEX(Q3:Q13,MATCH(C17,R3:R13,0))</f>
        <v>2600</v>
      </c>
      <c r="E18" s="5">
        <v>14</v>
      </c>
      <c r="F18" s="5">
        <f t="shared" ca="1" si="6"/>
        <v>90</v>
      </c>
      <c r="G18" s="5">
        <f t="shared" ca="1" si="14"/>
        <v>810</v>
      </c>
      <c r="H18" s="5">
        <f t="shared" ca="1" si="7"/>
        <v>720</v>
      </c>
      <c r="I18" s="63">
        <f t="shared" ca="1" si="13"/>
        <v>0</v>
      </c>
      <c r="J18" s="5">
        <f t="shared" ca="1" si="8"/>
        <v>0</v>
      </c>
      <c r="K18" s="5">
        <f t="shared" ca="1" si="9"/>
        <v>0</v>
      </c>
      <c r="L18" s="5">
        <f t="shared" ca="1" si="10"/>
        <v>0</v>
      </c>
      <c r="M18" s="5">
        <f t="shared" ca="1" si="11"/>
        <v>0</v>
      </c>
      <c r="N18" s="6">
        <f t="shared" ca="1" si="5"/>
        <v>19.726027397260275</v>
      </c>
      <c r="O18" s="5">
        <f t="shared" si="12"/>
        <v>0</v>
      </c>
      <c r="Q18" s="43">
        <f>Q17</f>
        <v>2600</v>
      </c>
      <c r="R18" s="43">
        <v>60000</v>
      </c>
      <c r="S18" s="21"/>
      <c r="T18" s="2">
        <v>90</v>
      </c>
      <c r="U18" s="51">
        <v>0.2</v>
      </c>
      <c r="V18" s="51">
        <f>U17+V17</f>
        <v>0.1</v>
      </c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</row>
    <row r="19" spans="2:122" ht="12.75" customHeight="1">
      <c r="B19" s="21"/>
      <c r="E19" s="5">
        <v>15</v>
      </c>
      <c r="F19" s="5">
        <f t="shared" ca="1" si="6"/>
        <v>110</v>
      </c>
      <c r="G19" s="5">
        <f t="shared" ca="1" si="14"/>
        <v>720</v>
      </c>
      <c r="H19" s="5">
        <f t="shared" ca="1" si="7"/>
        <v>610</v>
      </c>
      <c r="I19" s="63">
        <f t="shared" ca="1" si="13"/>
        <v>0</v>
      </c>
      <c r="J19" s="5">
        <f t="shared" ca="1" si="8"/>
        <v>0</v>
      </c>
      <c r="K19" s="5">
        <f t="shared" ca="1" si="9"/>
        <v>0</v>
      </c>
      <c r="L19" s="5">
        <f t="shared" ca="1" si="10"/>
        <v>0</v>
      </c>
      <c r="M19" s="5">
        <f t="shared" ca="1" si="11"/>
        <v>0</v>
      </c>
      <c r="N19" s="6">
        <f t="shared" ca="1" si="5"/>
        <v>16.712328767123285</v>
      </c>
      <c r="O19" s="5">
        <f t="shared" ca="1" si="12"/>
        <v>610</v>
      </c>
      <c r="R19" s="50"/>
      <c r="S19" s="21"/>
      <c r="T19" s="2">
        <v>100</v>
      </c>
      <c r="U19" s="51">
        <v>0.25</v>
      </c>
      <c r="V19" s="51">
        <f t="shared" ref="V19:V21" si="15">U18+V18</f>
        <v>0.30000000000000004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</row>
    <row r="20" spans="2:122" ht="12.6" customHeight="1">
      <c r="B20" s="52" t="s">
        <v>41</v>
      </c>
      <c r="D20" s="7"/>
      <c r="E20" s="5">
        <v>16</v>
      </c>
      <c r="F20" s="5">
        <f t="shared" ca="1" si="6"/>
        <v>100</v>
      </c>
      <c r="G20" s="5">
        <f t="shared" ca="1" si="14"/>
        <v>610</v>
      </c>
      <c r="H20" s="5">
        <f t="shared" ca="1" si="7"/>
        <v>510</v>
      </c>
      <c r="I20" s="63">
        <f t="shared" ca="1" si="13"/>
        <v>0</v>
      </c>
      <c r="J20" s="5">
        <f t="shared" ca="1" si="8"/>
        <v>0</v>
      </c>
      <c r="K20" s="5">
        <f t="shared" ca="1" si="9"/>
        <v>0</v>
      </c>
      <c r="L20" s="5">
        <f t="shared" ca="1" si="10"/>
        <v>0</v>
      </c>
      <c r="M20" s="5">
        <f t="shared" ca="1" si="11"/>
        <v>0</v>
      </c>
      <c r="N20" s="6">
        <f t="shared" ca="1" si="5"/>
        <v>13.972602739726026</v>
      </c>
      <c r="O20" s="5">
        <f t="shared" si="12"/>
        <v>0</v>
      </c>
      <c r="Q20" s="52" t="s">
        <v>41</v>
      </c>
      <c r="R20" s="50"/>
      <c r="S20" s="53"/>
      <c r="T20" s="2">
        <v>110</v>
      </c>
      <c r="U20" s="51">
        <v>0.3</v>
      </c>
      <c r="V20" s="51">
        <f t="shared" si="15"/>
        <v>0.55000000000000004</v>
      </c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</row>
    <row r="21" spans="2:122" ht="13.2" customHeight="1">
      <c r="B21" s="54" t="s">
        <v>15</v>
      </c>
      <c r="C21" s="5">
        <f>MIN(DQ3:DQ13)</f>
        <v>37744.416438356166</v>
      </c>
      <c r="E21" s="5">
        <v>17</v>
      </c>
      <c r="F21" s="5">
        <f t="shared" ca="1" si="6"/>
        <v>100</v>
      </c>
      <c r="G21" s="5">
        <f t="shared" ca="1" si="14"/>
        <v>510</v>
      </c>
      <c r="H21" s="5">
        <f t="shared" ca="1" si="7"/>
        <v>410</v>
      </c>
      <c r="I21" s="63">
        <f t="shared" ca="1" si="13"/>
        <v>0</v>
      </c>
      <c r="J21" s="5">
        <f t="shared" ca="1" si="8"/>
        <v>0</v>
      </c>
      <c r="K21" s="5">
        <f t="shared" ca="1" si="9"/>
        <v>0</v>
      </c>
      <c r="L21" s="5">
        <f t="shared" ca="1" si="10"/>
        <v>0</v>
      </c>
      <c r="M21" s="5">
        <f t="shared" ca="1" si="11"/>
        <v>0</v>
      </c>
      <c r="N21" s="6">
        <f t="shared" ca="1" si="5"/>
        <v>11.232876712328766</v>
      </c>
      <c r="O21" s="5">
        <f t="shared" si="12"/>
        <v>0</v>
      </c>
      <c r="Q21" s="43">
        <f>$C$22</f>
        <v>3000</v>
      </c>
      <c r="R21" s="43">
        <v>0</v>
      </c>
      <c r="S21" s="53"/>
      <c r="T21" s="2">
        <v>120</v>
      </c>
      <c r="U21" s="51">
        <v>0.15</v>
      </c>
      <c r="V21" s="51">
        <f t="shared" si="15"/>
        <v>0.85000000000000009</v>
      </c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</row>
    <row r="22" spans="2:122" ht="13.2" customHeight="1">
      <c r="B22" s="54" t="s">
        <v>14</v>
      </c>
      <c r="C22" s="2">
        <f>INDEX(T3:T13,MATCH(C21,DQ3:DQ13,0))</f>
        <v>3000</v>
      </c>
      <c r="E22" s="5">
        <v>18</v>
      </c>
      <c r="F22" s="5">
        <f t="shared" ca="1" si="6"/>
        <v>100</v>
      </c>
      <c r="G22" s="5">
        <f t="shared" ca="1" si="14"/>
        <v>410</v>
      </c>
      <c r="H22" s="5">
        <f t="shared" ca="1" si="7"/>
        <v>310</v>
      </c>
      <c r="I22" s="63">
        <f t="shared" ca="1" si="13"/>
        <v>0</v>
      </c>
      <c r="J22" s="5">
        <f t="shared" ca="1" si="8"/>
        <v>0</v>
      </c>
      <c r="K22" s="5">
        <f t="shared" ca="1" si="9"/>
        <v>0</v>
      </c>
      <c r="L22" s="5">
        <f t="shared" ca="1" si="10"/>
        <v>0</v>
      </c>
      <c r="M22" s="5">
        <f t="shared" ca="1" si="11"/>
        <v>0</v>
      </c>
      <c r="N22" s="6">
        <f t="shared" ca="1" si="5"/>
        <v>8.493150684931507</v>
      </c>
      <c r="O22" s="5">
        <f t="shared" si="12"/>
        <v>0</v>
      </c>
      <c r="Q22" s="43">
        <f>Q21</f>
        <v>3000</v>
      </c>
      <c r="R22" s="43">
        <f>C21</f>
        <v>37744.416438356166</v>
      </c>
      <c r="S22" s="5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48"/>
    </row>
    <row r="23" spans="2:122" ht="13.2" customHeight="1">
      <c r="B23" s="21"/>
      <c r="E23" s="5">
        <v>19</v>
      </c>
      <c r="F23" s="5">
        <f t="shared" ca="1" si="6"/>
        <v>110</v>
      </c>
      <c r="G23" s="5">
        <f t="shared" ca="1" si="14"/>
        <v>310</v>
      </c>
      <c r="H23" s="5">
        <f t="shared" ca="1" si="7"/>
        <v>200</v>
      </c>
      <c r="I23" s="63">
        <f t="shared" ca="1" si="13"/>
        <v>0</v>
      </c>
      <c r="J23" s="5">
        <f t="shared" ca="1" si="8"/>
        <v>0</v>
      </c>
      <c r="K23" s="5">
        <f t="shared" ca="1" si="9"/>
        <v>0</v>
      </c>
      <c r="L23" s="5">
        <f t="shared" ca="1" si="10"/>
        <v>0</v>
      </c>
      <c r="M23" s="5">
        <f t="shared" ca="1" si="11"/>
        <v>0</v>
      </c>
      <c r="N23" s="6">
        <f t="shared" ca="1" si="5"/>
        <v>5.4794520547945202</v>
      </c>
      <c r="O23" s="5">
        <f t="shared" si="12"/>
        <v>0</v>
      </c>
      <c r="Q23" s="43">
        <f>Q22</f>
        <v>3000</v>
      </c>
      <c r="R23" s="43">
        <v>60000</v>
      </c>
      <c r="S23" s="53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</row>
    <row r="24" spans="2:122" ht="13.2" customHeight="1">
      <c r="B24" s="21"/>
      <c r="E24" s="5">
        <v>20</v>
      </c>
      <c r="F24" s="5">
        <f t="shared" ca="1" si="6"/>
        <v>110</v>
      </c>
      <c r="G24" s="5">
        <f t="shared" ca="1" si="14"/>
        <v>200</v>
      </c>
      <c r="H24" s="5">
        <f t="shared" ca="1" si="7"/>
        <v>90</v>
      </c>
      <c r="I24" s="63">
        <f t="shared" ca="1" si="13"/>
        <v>1</v>
      </c>
      <c r="J24" s="5">
        <f t="shared" ca="1" si="8"/>
        <v>0</v>
      </c>
      <c r="K24" s="5">
        <f t="shared" ca="1" si="9"/>
        <v>0</v>
      </c>
      <c r="L24" s="5">
        <f t="shared" ca="1" si="10"/>
        <v>0</v>
      </c>
      <c r="M24" s="5">
        <f t="shared" ca="1" si="11"/>
        <v>200</v>
      </c>
      <c r="N24" s="6">
        <f t="shared" ca="1" si="5"/>
        <v>2.4657534246575343</v>
      </c>
      <c r="O24" s="5">
        <f t="shared" si="12"/>
        <v>0</v>
      </c>
      <c r="Q24" s="47"/>
      <c r="R24" s="47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</row>
    <row r="25" spans="2:122" ht="13.2" customHeight="1">
      <c r="B25" s="21"/>
      <c r="E25" s="5">
        <v>21</v>
      </c>
      <c r="F25" s="5">
        <f t="shared" ca="1" si="6"/>
        <v>90</v>
      </c>
      <c r="G25" s="5">
        <f t="shared" ca="1" si="14"/>
        <v>1090</v>
      </c>
      <c r="H25" s="5">
        <f t="shared" ca="1" si="7"/>
        <v>1000</v>
      </c>
      <c r="I25" s="63">
        <f t="shared" ca="1" si="13"/>
        <v>0</v>
      </c>
      <c r="J25" s="5">
        <f t="shared" ca="1" si="8"/>
        <v>0</v>
      </c>
      <c r="K25" s="5">
        <f t="shared" ca="1" si="9"/>
        <v>0</v>
      </c>
      <c r="L25" s="5">
        <f t="shared" ca="1" si="10"/>
        <v>0</v>
      </c>
      <c r="M25" s="5">
        <f t="shared" ca="1" si="11"/>
        <v>0</v>
      </c>
      <c r="N25" s="6">
        <f t="shared" ca="1" si="5"/>
        <v>27.397260273972602</v>
      </c>
      <c r="O25" s="5">
        <f t="shared" si="12"/>
        <v>0</v>
      </c>
      <c r="Q25" s="47"/>
      <c r="R25" s="47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</row>
    <row r="26" spans="2:122" ht="13.2" customHeight="1">
      <c r="B26" s="21"/>
      <c r="E26" s="5">
        <v>22</v>
      </c>
      <c r="F26" s="5">
        <f t="shared" ca="1" si="6"/>
        <v>80</v>
      </c>
      <c r="G26" s="5">
        <f t="shared" ca="1" si="14"/>
        <v>1000</v>
      </c>
      <c r="H26" s="5">
        <f t="shared" ca="1" si="7"/>
        <v>920</v>
      </c>
      <c r="I26" s="63">
        <f t="shared" ca="1" si="13"/>
        <v>0</v>
      </c>
      <c r="J26" s="5">
        <f t="shared" ca="1" si="8"/>
        <v>0</v>
      </c>
      <c r="K26" s="5">
        <f t="shared" ca="1" si="9"/>
        <v>0</v>
      </c>
      <c r="L26" s="5">
        <f t="shared" ca="1" si="10"/>
        <v>0</v>
      </c>
      <c r="M26" s="5">
        <f t="shared" ca="1" si="11"/>
        <v>0</v>
      </c>
      <c r="N26" s="6">
        <f t="shared" ca="1" si="5"/>
        <v>25.205479452054792</v>
      </c>
      <c r="O26" s="5">
        <f t="shared" si="12"/>
        <v>0</v>
      </c>
      <c r="Q26" s="47"/>
      <c r="R26" s="47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</row>
    <row r="27" spans="2:122" ht="13.2" customHeight="1">
      <c r="B27" s="21"/>
      <c r="E27" s="5">
        <v>23</v>
      </c>
      <c r="F27" s="5">
        <f t="shared" ca="1" si="6"/>
        <v>90</v>
      </c>
      <c r="G27" s="5">
        <f t="shared" ca="1" si="14"/>
        <v>920</v>
      </c>
      <c r="H27" s="5">
        <f t="shared" ca="1" si="7"/>
        <v>830</v>
      </c>
      <c r="I27" s="63">
        <f t="shared" ca="1" si="13"/>
        <v>0</v>
      </c>
      <c r="J27" s="5">
        <f t="shared" ca="1" si="8"/>
        <v>0</v>
      </c>
      <c r="K27" s="5">
        <f t="shared" ca="1" si="9"/>
        <v>0</v>
      </c>
      <c r="L27" s="5">
        <f t="shared" ca="1" si="10"/>
        <v>0</v>
      </c>
      <c r="M27" s="5">
        <f t="shared" ca="1" si="11"/>
        <v>0</v>
      </c>
      <c r="N27" s="6">
        <f t="shared" ca="1" si="5"/>
        <v>22.739726027397261</v>
      </c>
      <c r="O27" s="5">
        <f t="shared" si="12"/>
        <v>0</v>
      </c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5"/>
    </row>
    <row r="28" spans="2:122" ht="13.2" customHeight="1">
      <c r="B28" s="21"/>
      <c r="E28" s="5">
        <v>24</v>
      </c>
      <c r="F28" s="5">
        <f t="shared" ca="1" si="6"/>
        <v>110</v>
      </c>
      <c r="G28" s="5">
        <f t="shared" ca="1" si="14"/>
        <v>830</v>
      </c>
      <c r="H28" s="5">
        <f t="shared" ca="1" si="7"/>
        <v>720</v>
      </c>
      <c r="I28" s="63">
        <f t="shared" ca="1" si="13"/>
        <v>0</v>
      </c>
      <c r="J28" s="5">
        <f t="shared" ca="1" si="8"/>
        <v>0</v>
      </c>
      <c r="K28" s="5">
        <f t="shared" ca="1" si="9"/>
        <v>0</v>
      </c>
      <c r="L28" s="5">
        <f t="shared" ca="1" si="10"/>
        <v>0</v>
      </c>
      <c r="M28" s="5">
        <f t="shared" ca="1" si="11"/>
        <v>0</v>
      </c>
      <c r="N28" s="6">
        <f t="shared" ca="1" si="5"/>
        <v>19.726027397260275</v>
      </c>
      <c r="O28" s="5">
        <f t="shared" si="12"/>
        <v>0</v>
      </c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55"/>
    </row>
    <row r="29" spans="2:122" ht="13.2" customHeight="1">
      <c r="B29" s="21"/>
      <c r="E29" s="5">
        <v>25</v>
      </c>
      <c r="F29" s="5">
        <f t="shared" ca="1" si="6"/>
        <v>80</v>
      </c>
      <c r="G29" s="5">
        <f t="shared" ca="1" si="14"/>
        <v>720</v>
      </c>
      <c r="H29" s="5">
        <f t="shared" ca="1" si="7"/>
        <v>640</v>
      </c>
      <c r="I29" s="63">
        <f t="shared" ca="1" si="13"/>
        <v>0</v>
      </c>
      <c r="J29" s="5">
        <f t="shared" ca="1" si="8"/>
        <v>0</v>
      </c>
      <c r="K29" s="5">
        <f t="shared" ca="1" si="9"/>
        <v>0</v>
      </c>
      <c r="L29" s="5">
        <f t="shared" ca="1" si="10"/>
        <v>0</v>
      </c>
      <c r="M29" s="5">
        <f t="shared" ca="1" si="11"/>
        <v>0</v>
      </c>
      <c r="N29" s="6">
        <f t="shared" ca="1" si="5"/>
        <v>17.534246575342465</v>
      </c>
      <c r="O29" s="5">
        <f t="shared" si="12"/>
        <v>0</v>
      </c>
      <c r="Q29" s="7"/>
      <c r="R29" s="11"/>
      <c r="T29" s="7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1"/>
    </row>
    <row r="30" spans="2:122" ht="13.2" customHeight="1">
      <c r="B30" s="21"/>
      <c r="E30" s="5">
        <v>26</v>
      </c>
      <c r="F30" s="5">
        <f t="shared" ca="1" si="6"/>
        <v>110</v>
      </c>
      <c r="G30" s="5">
        <f t="shared" ca="1" si="14"/>
        <v>640</v>
      </c>
      <c r="H30" s="5">
        <f t="shared" ca="1" si="7"/>
        <v>530</v>
      </c>
      <c r="I30" s="63">
        <f t="shared" ca="1" si="13"/>
        <v>0</v>
      </c>
      <c r="J30" s="5">
        <f t="shared" ca="1" si="8"/>
        <v>0</v>
      </c>
      <c r="K30" s="5">
        <f t="shared" ca="1" si="9"/>
        <v>0</v>
      </c>
      <c r="L30" s="5">
        <f t="shared" ca="1" si="10"/>
        <v>0</v>
      </c>
      <c r="M30" s="5">
        <f t="shared" ca="1" si="11"/>
        <v>0</v>
      </c>
      <c r="N30" s="6">
        <f t="shared" ca="1" si="5"/>
        <v>14.520547945205479</v>
      </c>
      <c r="O30" s="5">
        <f t="shared" si="12"/>
        <v>0</v>
      </c>
      <c r="Q30" s="7"/>
      <c r="R30" s="11"/>
      <c r="T30" s="7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1"/>
      <c r="DR30" s="3"/>
    </row>
    <row r="31" spans="2:122" ht="13.2" customHeight="1">
      <c r="B31" s="21"/>
      <c r="E31" s="5">
        <v>27</v>
      </c>
      <c r="F31" s="5">
        <f t="shared" ca="1" si="6"/>
        <v>90</v>
      </c>
      <c r="G31" s="5">
        <f t="shared" ca="1" si="14"/>
        <v>530</v>
      </c>
      <c r="H31" s="5">
        <f t="shared" ca="1" si="7"/>
        <v>440</v>
      </c>
      <c r="I31" s="63">
        <f t="shared" ca="1" si="13"/>
        <v>0</v>
      </c>
      <c r="J31" s="5">
        <f t="shared" ca="1" si="8"/>
        <v>0</v>
      </c>
      <c r="K31" s="5">
        <f t="shared" ca="1" si="9"/>
        <v>0</v>
      </c>
      <c r="L31" s="5">
        <f t="shared" ca="1" si="10"/>
        <v>0</v>
      </c>
      <c r="M31" s="5">
        <f t="shared" ca="1" si="11"/>
        <v>0</v>
      </c>
      <c r="N31" s="6">
        <f t="shared" ca="1" si="5"/>
        <v>12.054794520547944</v>
      </c>
      <c r="O31" s="5">
        <f t="shared" si="12"/>
        <v>0</v>
      </c>
      <c r="Q31" s="7"/>
      <c r="R31" s="11"/>
      <c r="T31" s="7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1"/>
      <c r="DR31" s="3"/>
    </row>
    <row r="32" spans="2:122" ht="13.2" customHeight="1">
      <c r="B32" s="21"/>
      <c r="E32" s="5">
        <v>28</v>
      </c>
      <c r="F32" s="5">
        <f t="shared" ca="1" si="6"/>
        <v>120</v>
      </c>
      <c r="G32" s="5">
        <f t="shared" ca="1" si="14"/>
        <v>440</v>
      </c>
      <c r="H32" s="5">
        <f t="shared" ca="1" si="7"/>
        <v>320</v>
      </c>
      <c r="I32" s="63">
        <f t="shared" ca="1" si="13"/>
        <v>0</v>
      </c>
      <c r="J32" s="5">
        <f t="shared" ca="1" si="8"/>
        <v>0</v>
      </c>
      <c r="K32" s="5">
        <f t="shared" ca="1" si="9"/>
        <v>0</v>
      </c>
      <c r="L32" s="5">
        <f t="shared" ca="1" si="10"/>
        <v>0</v>
      </c>
      <c r="M32" s="5">
        <f t="shared" ca="1" si="11"/>
        <v>0</v>
      </c>
      <c r="N32" s="6">
        <f t="shared" ca="1" si="5"/>
        <v>8.7671232876712324</v>
      </c>
      <c r="O32" s="5">
        <f t="shared" si="12"/>
        <v>0</v>
      </c>
      <c r="Q32" s="7"/>
      <c r="R32" s="11"/>
      <c r="T32" s="7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1"/>
      <c r="DR32" s="3"/>
    </row>
    <row r="33" spans="2:122" ht="13.2" customHeight="1">
      <c r="B33" s="21"/>
      <c r="E33" s="5">
        <v>29</v>
      </c>
      <c r="F33" s="5">
        <f t="shared" ca="1" si="6"/>
        <v>100</v>
      </c>
      <c r="G33" s="5">
        <f t="shared" ca="1" si="14"/>
        <v>320</v>
      </c>
      <c r="H33" s="5">
        <f t="shared" ca="1" si="7"/>
        <v>220</v>
      </c>
      <c r="I33" s="63">
        <f t="shared" ca="1" si="13"/>
        <v>0</v>
      </c>
      <c r="J33" s="5">
        <f t="shared" ca="1" si="8"/>
        <v>0</v>
      </c>
      <c r="K33" s="5">
        <f t="shared" ca="1" si="9"/>
        <v>0</v>
      </c>
      <c r="L33" s="5">
        <f t="shared" ca="1" si="10"/>
        <v>0</v>
      </c>
      <c r="M33" s="5">
        <f t="shared" ca="1" si="11"/>
        <v>0</v>
      </c>
      <c r="N33" s="6">
        <f t="shared" ca="1" si="5"/>
        <v>6.0273972602739718</v>
      </c>
      <c r="O33" s="5">
        <f t="shared" si="12"/>
        <v>0</v>
      </c>
      <c r="Q33" s="7"/>
      <c r="R33" s="11"/>
      <c r="T33" s="7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1"/>
      <c r="DR33" s="3"/>
    </row>
    <row r="34" spans="2:122" ht="13.2" customHeight="1">
      <c r="B34" s="21"/>
      <c r="E34" s="5">
        <v>30</v>
      </c>
      <c r="F34" s="5">
        <f t="shared" ca="1" si="6"/>
        <v>100</v>
      </c>
      <c r="G34" s="5">
        <f t="shared" ca="1" si="14"/>
        <v>220</v>
      </c>
      <c r="H34" s="5">
        <f t="shared" ca="1" si="7"/>
        <v>120</v>
      </c>
      <c r="I34" s="63">
        <f t="shared" ca="1" si="13"/>
        <v>0</v>
      </c>
      <c r="J34" s="5">
        <f t="shared" ca="1" si="8"/>
        <v>0</v>
      </c>
      <c r="K34" s="5">
        <f t="shared" ca="1" si="9"/>
        <v>0</v>
      </c>
      <c r="L34" s="5">
        <f t="shared" ca="1" si="10"/>
        <v>0</v>
      </c>
      <c r="M34" s="5">
        <f t="shared" ca="1" si="11"/>
        <v>0</v>
      </c>
      <c r="N34" s="6">
        <f t="shared" ca="1" si="5"/>
        <v>3.2876712328767121</v>
      </c>
      <c r="O34" s="5">
        <f t="shared" si="12"/>
        <v>0</v>
      </c>
      <c r="Q34" s="7"/>
      <c r="R34" s="11"/>
      <c r="T34" s="7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1"/>
      <c r="DR34" s="3"/>
    </row>
    <row r="35" spans="2:122" ht="13.2" customHeight="1">
      <c r="B35" s="21"/>
      <c r="E35" s="5">
        <v>31</v>
      </c>
      <c r="F35" s="5">
        <f t="shared" ca="1" si="6"/>
        <v>110</v>
      </c>
      <c r="G35" s="5">
        <f t="shared" ca="1" si="14"/>
        <v>120</v>
      </c>
      <c r="H35" s="5">
        <f t="shared" ca="1" si="7"/>
        <v>10</v>
      </c>
      <c r="I35" s="63">
        <f t="shared" ca="1" si="13"/>
        <v>1</v>
      </c>
      <c r="J35" s="5">
        <f t="shared" ca="1" si="8"/>
        <v>0</v>
      </c>
      <c r="K35" s="5">
        <f t="shared" ca="1" si="9"/>
        <v>0</v>
      </c>
      <c r="L35" s="5">
        <f t="shared" ca="1" si="10"/>
        <v>0</v>
      </c>
      <c r="M35" s="5">
        <f t="shared" ca="1" si="11"/>
        <v>200</v>
      </c>
      <c r="N35" s="6">
        <f t="shared" ca="1" si="5"/>
        <v>0.27397260273972601</v>
      </c>
      <c r="O35" s="5">
        <f t="shared" si="12"/>
        <v>0</v>
      </c>
      <c r="Q35" s="7"/>
      <c r="R35" s="11"/>
      <c r="T35" s="7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1"/>
      <c r="DR35" s="3"/>
    </row>
    <row r="36" spans="2:122" ht="13.2" customHeight="1">
      <c r="B36" s="21"/>
      <c r="E36" s="5">
        <v>32</v>
      </c>
      <c r="F36" s="5">
        <f t="shared" ca="1" si="6"/>
        <v>100</v>
      </c>
      <c r="G36" s="5">
        <f t="shared" ca="1" si="14"/>
        <v>1010</v>
      </c>
      <c r="H36" s="5">
        <f t="shared" ca="1" si="7"/>
        <v>910</v>
      </c>
      <c r="I36" s="63">
        <f t="shared" ca="1" si="13"/>
        <v>0</v>
      </c>
      <c r="J36" s="5">
        <f t="shared" ca="1" si="8"/>
        <v>0</v>
      </c>
      <c r="K36" s="5">
        <f t="shared" ca="1" si="9"/>
        <v>0</v>
      </c>
      <c r="L36" s="5">
        <f t="shared" ca="1" si="10"/>
        <v>0</v>
      </c>
      <c r="M36" s="5">
        <f t="shared" ca="1" si="11"/>
        <v>0</v>
      </c>
      <c r="N36" s="6">
        <f t="shared" ca="1" si="5"/>
        <v>24.931506849315067</v>
      </c>
      <c r="O36" s="5">
        <f t="shared" si="12"/>
        <v>0</v>
      </c>
      <c r="Q36" s="7"/>
      <c r="R36" s="11"/>
      <c r="T36" s="7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1"/>
      <c r="DR36" s="3"/>
    </row>
    <row r="37" spans="2:122" ht="13.2" customHeight="1">
      <c r="B37" s="21"/>
      <c r="E37" s="5">
        <v>33</v>
      </c>
      <c r="F37" s="5">
        <f t="shared" ca="1" si="6"/>
        <v>110</v>
      </c>
      <c r="G37" s="5">
        <f t="shared" ca="1" si="14"/>
        <v>910</v>
      </c>
      <c r="H37" s="5">
        <f t="shared" ca="1" si="7"/>
        <v>800</v>
      </c>
      <c r="I37" s="63">
        <f t="shared" ca="1" si="13"/>
        <v>0</v>
      </c>
      <c r="J37" s="5">
        <f t="shared" ca="1" si="8"/>
        <v>0</v>
      </c>
      <c r="K37" s="5">
        <f t="shared" ca="1" si="9"/>
        <v>0</v>
      </c>
      <c r="L37" s="5">
        <f t="shared" ca="1" si="10"/>
        <v>0</v>
      </c>
      <c r="M37" s="5">
        <f t="shared" ca="1" si="11"/>
        <v>0</v>
      </c>
      <c r="N37" s="6">
        <f t="shared" ca="1" si="5"/>
        <v>21.917808219178081</v>
      </c>
      <c r="O37" s="5">
        <f t="shared" si="12"/>
        <v>0</v>
      </c>
      <c r="Q37" s="7"/>
      <c r="R37" s="11"/>
      <c r="T37" s="7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1"/>
      <c r="DR37" s="3"/>
    </row>
    <row r="38" spans="2:122" ht="13.2" customHeight="1">
      <c r="B38" s="21"/>
      <c r="E38" s="5">
        <v>34</v>
      </c>
      <c r="F38" s="5">
        <f t="shared" ca="1" si="6"/>
        <v>110</v>
      </c>
      <c r="G38" s="5">
        <f t="shared" ca="1" si="14"/>
        <v>800</v>
      </c>
      <c r="H38" s="5">
        <f t="shared" ca="1" si="7"/>
        <v>690</v>
      </c>
      <c r="I38" s="63">
        <f t="shared" ca="1" si="13"/>
        <v>0</v>
      </c>
      <c r="J38" s="5">
        <f t="shared" ca="1" si="8"/>
        <v>0</v>
      </c>
      <c r="K38" s="5">
        <f t="shared" ca="1" si="9"/>
        <v>0</v>
      </c>
      <c r="L38" s="5">
        <f t="shared" ca="1" si="10"/>
        <v>0</v>
      </c>
      <c r="M38" s="5">
        <f t="shared" ca="1" si="11"/>
        <v>0</v>
      </c>
      <c r="N38" s="6">
        <f t="shared" ca="1" si="5"/>
        <v>18.904109589041095</v>
      </c>
      <c r="O38" s="5">
        <f t="shared" si="12"/>
        <v>0</v>
      </c>
      <c r="Q38" s="7"/>
      <c r="R38" s="11"/>
      <c r="T38" s="7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1"/>
      <c r="DR38" s="3"/>
    </row>
    <row r="39" spans="2:122" ht="13.2" customHeight="1">
      <c r="B39" s="21"/>
      <c r="E39" s="5">
        <v>35</v>
      </c>
      <c r="F39" s="5">
        <f t="shared" ca="1" si="6"/>
        <v>90</v>
      </c>
      <c r="G39" s="5">
        <f t="shared" ca="1" si="14"/>
        <v>690</v>
      </c>
      <c r="H39" s="5">
        <f t="shared" ca="1" si="7"/>
        <v>600</v>
      </c>
      <c r="I39" s="63">
        <f t="shared" ca="1" si="13"/>
        <v>0</v>
      </c>
      <c r="J39" s="5">
        <f t="shared" ca="1" si="8"/>
        <v>0</v>
      </c>
      <c r="K39" s="5">
        <f t="shared" ca="1" si="9"/>
        <v>0</v>
      </c>
      <c r="L39" s="5">
        <f t="shared" ca="1" si="10"/>
        <v>0</v>
      </c>
      <c r="M39" s="5">
        <f t="shared" ca="1" si="11"/>
        <v>0</v>
      </c>
      <c r="N39" s="6">
        <f t="shared" ca="1" si="5"/>
        <v>16.43835616438356</v>
      </c>
      <c r="O39" s="5">
        <f t="shared" si="12"/>
        <v>0</v>
      </c>
      <c r="Q39" s="7"/>
      <c r="R39" s="11"/>
      <c r="T39" s="7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1"/>
      <c r="DR39" s="3"/>
    </row>
    <row r="40" spans="2:122" ht="13.2" customHeight="1">
      <c r="B40" s="21"/>
      <c r="E40" s="5">
        <v>36</v>
      </c>
      <c r="F40" s="5">
        <f t="shared" ca="1" si="6"/>
        <v>100</v>
      </c>
      <c r="G40" s="5">
        <f t="shared" ca="1" si="14"/>
        <v>600</v>
      </c>
      <c r="H40" s="5">
        <f t="shared" ca="1" si="7"/>
        <v>500</v>
      </c>
      <c r="I40" s="63">
        <f t="shared" ca="1" si="13"/>
        <v>0</v>
      </c>
      <c r="J40" s="5">
        <f t="shared" ca="1" si="8"/>
        <v>0</v>
      </c>
      <c r="K40" s="5">
        <f t="shared" ca="1" si="9"/>
        <v>0</v>
      </c>
      <c r="L40" s="5">
        <f t="shared" ca="1" si="10"/>
        <v>0</v>
      </c>
      <c r="M40" s="5">
        <f t="shared" ca="1" si="11"/>
        <v>0</v>
      </c>
      <c r="N40" s="6">
        <f t="shared" ca="1" si="5"/>
        <v>13.698630136986301</v>
      </c>
      <c r="O40" s="5">
        <f t="shared" si="12"/>
        <v>0</v>
      </c>
      <c r="Q40" s="7"/>
      <c r="R40" s="11"/>
      <c r="T40" s="7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1"/>
      <c r="DR40" s="3"/>
    </row>
    <row r="41" spans="2:122" ht="13.2" customHeight="1">
      <c r="B41" s="21"/>
      <c r="E41" s="5">
        <v>37</v>
      </c>
      <c r="F41" s="5">
        <f t="shared" ca="1" si="6"/>
        <v>90</v>
      </c>
      <c r="G41" s="5">
        <f t="shared" ca="1" si="14"/>
        <v>500</v>
      </c>
      <c r="H41" s="5">
        <f t="shared" ca="1" si="7"/>
        <v>410</v>
      </c>
      <c r="I41" s="63">
        <f t="shared" ca="1" si="13"/>
        <v>0</v>
      </c>
      <c r="J41" s="5">
        <f t="shared" ca="1" si="8"/>
        <v>0</v>
      </c>
      <c r="K41" s="5">
        <f t="shared" ca="1" si="9"/>
        <v>0</v>
      </c>
      <c r="L41" s="5">
        <f t="shared" ca="1" si="10"/>
        <v>0</v>
      </c>
      <c r="M41" s="5">
        <f t="shared" ca="1" si="11"/>
        <v>0</v>
      </c>
      <c r="N41" s="6">
        <f t="shared" ca="1" si="5"/>
        <v>11.232876712328766</v>
      </c>
      <c r="O41" s="5">
        <f t="shared" si="12"/>
        <v>0</v>
      </c>
      <c r="Q41" s="7"/>
      <c r="R41" s="11"/>
      <c r="T41" s="7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1"/>
      <c r="DR41" s="3"/>
    </row>
    <row r="42" spans="2:122" ht="13.2" customHeight="1">
      <c r="B42" s="21"/>
      <c r="E42" s="5">
        <v>38</v>
      </c>
      <c r="F42" s="5">
        <f t="shared" ca="1" si="6"/>
        <v>100</v>
      </c>
      <c r="G42" s="5">
        <f t="shared" ca="1" si="14"/>
        <v>410</v>
      </c>
      <c r="H42" s="5">
        <f t="shared" ca="1" si="7"/>
        <v>310</v>
      </c>
      <c r="I42" s="63">
        <f t="shared" ca="1" si="13"/>
        <v>0</v>
      </c>
      <c r="J42" s="5">
        <f t="shared" ca="1" si="8"/>
        <v>0</v>
      </c>
      <c r="K42" s="5">
        <f t="shared" ca="1" si="9"/>
        <v>0</v>
      </c>
      <c r="L42" s="5">
        <f t="shared" ca="1" si="10"/>
        <v>0</v>
      </c>
      <c r="M42" s="5">
        <f t="shared" ca="1" si="11"/>
        <v>0</v>
      </c>
      <c r="N42" s="6">
        <f t="shared" ca="1" si="5"/>
        <v>8.493150684931507</v>
      </c>
      <c r="O42" s="5">
        <f t="shared" si="12"/>
        <v>0</v>
      </c>
      <c r="Q42" s="7"/>
      <c r="R42" s="11"/>
      <c r="T42" s="7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1"/>
      <c r="DR42" s="3"/>
    </row>
    <row r="43" spans="2:122" ht="13.2" customHeight="1">
      <c r="B43" s="21"/>
      <c r="E43" s="5">
        <v>39</v>
      </c>
      <c r="F43" s="5">
        <f t="shared" ca="1" si="6"/>
        <v>110</v>
      </c>
      <c r="G43" s="5">
        <f t="shared" ca="1" si="14"/>
        <v>310</v>
      </c>
      <c r="H43" s="5">
        <f t="shared" ca="1" si="7"/>
        <v>200</v>
      </c>
      <c r="I43" s="63">
        <f t="shared" ca="1" si="13"/>
        <v>0</v>
      </c>
      <c r="J43" s="5">
        <f t="shared" ca="1" si="8"/>
        <v>0</v>
      </c>
      <c r="K43" s="5">
        <f t="shared" ca="1" si="9"/>
        <v>0</v>
      </c>
      <c r="L43" s="5">
        <f t="shared" ca="1" si="10"/>
        <v>0</v>
      </c>
      <c r="M43" s="5">
        <f t="shared" ca="1" si="11"/>
        <v>0</v>
      </c>
      <c r="N43" s="6">
        <f t="shared" ca="1" si="5"/>
        <v>5.4794520547945202</v>
      </c>
      <c r="O43" s="5">
        <f t="shared" si="12"/>
        <v>0</v>
      </c>
      <c r="Q43" s="7"/>
      <c r="R43" s="11"/>
      <c r="T43" s="7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1"/>
      <c r="DR43" s="3"/>
    </row>
    <row r="44" spans="2:122" ht="13.2" customHeight="1">
      <c r="B44" s="21"/>
      <c r="E44" s="5">
        <v>40</v>
      </c>
      <c r="F44" s="5">
        <f t="shared" ca="1" si="6"/>
        <v>80</v>
      </c>
      <c r="G44" s="5">
        <f t="shared" ca="1" si="14"/>
        <v>200</v>
      </c>
      <c r="H44" s="5">
        <f t="shared" ca="1" si="7"/>
        <v>120</v>
      </c>
      <c r="I44" s="63">
        <f t="shared" ca="1" si="13"/>
        <v>0</v>
      </c>
      <c r="J44" s="5">
        <f t="shared" ca="1" si="8"/>
        <v>0</v>
      </c>
      <c r="K44" s="5">
        <f t="shared" ca="1" si="9"/>
        <v>0</v>
      </c>
      <c r="L44" s="5">
        <f t="shared" ca="1" si="10"/>
        <v>0</v>
      </c>
      <c r="M44" s="5">
        <f t="shared" ca="1" si="11"/>
        <v>0</v>
      </c>
      <c r="N44" s="6">
        <f t="shared" ca="1" si="5"/>
        <v>3.2876712328767121</v>
      </c>
      <c r="O44" s="5">
        <f t="shared" si="12"/>
        <v>0</v>
      </c>
      <c r="Q44" s="7"/>
      <c r="R44" s="11"/>
      <c r="T44" s="7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1"/>
      <c r="DR44" s="3"/>
    </row>
    <row r="45" spans="2:122" ht="13.2" customHeight="1">
      <c r="B45" s="21"/>
      <c r="E45" s="5">
        <v>41</v>
      </c>
      <c r="F45" s="5">
        <f t="shared" ca="1" si="6"/>
        <v>120</v>
      </c>
      <c r="G45" s="5">
        <f t="shared" ca="1" si="14"/>
        <v>120</v>
      </c>
      <c r="H45" s="5">
        <f t="shared" ca="1" si="7"/>
        <v>0</v>
      </c>
      <c r="I45" s="63">
        <f t="shared" ca="1" si="13"/>
        <v>1</v>
      </c>
      <c r="J45" s="5">
        <f t="shared" ca="1" si="8"/>
        <v>1</v>
      </c>
      <c r="K45" s="5">
        <f t="shared" ca="1" si="9"/>
        <v>0</v>
      </c>
      <c r="L45" s="5">
        <f t="shared" ca="1" si="10"/>
        <v>0</v>
      </c>
      <c r="M45" s="5">
        <f t="shared" ca="1" si="11"/>
        <v>200</v>
      </c>
      <c r="N45" s="6">
        <f t="shared" ca="1" si="5"/>
        <v>0</v>
      </c>
      <c r="O45" s="5">
        <f t="shared" si="12"/>
        <v>0</v>
      </c>
      <c r="Q45" s="7"/>
      <c r="R45" s="11"/>
      <c r="T45" s="7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1"/>
      <c r="DR45" s="3"/>
    </row>
    <row r="46" spans="2:122" ht="13.2" customHeight="1">
      <c r="B46" s="21"/>
      <c r="E46" s="5">
        <v>42</v>
      </c>
      <c r="F46" s="5">
        <f t="shared" ca="1" si="6"/>
        <v>100</v>
      </c>
      <c r="G46" s="5">
        <f t="shared" ca="1" si="14"/>
        <v>0</v>
      </c>
      <c r="H46" s="5">
        <f t="shared" ca="1" si="7"/>
        <v>0</v>
      </c>
      <c r="I46" s="63">
        <f t="shared" ca="1" si="13"/>
        <v>0</v>
      </c>
      <c r="J46" s="5">
        <f t="shared" ca="1" si="8"/>
        <v>0</v>
      </c>
      <c r="K46" s="5">
        <f t="shared" ca="1" si="9"/>
        <v>100</v>
      </c>
      <c r="L46" s="5">
        <f t="shared" ca="1" si="10"/>
        <v>5000</v>
      </c>
      <c r="M46" s="5">
        <f t="shared" ca="1" si="11"/>
        <v>0</v>
      </c>
      <c r="N46" s="6">
        <f t="shared" ca="1" si="5"/>
        <v>0</v>
      </c>
      <c r="O46" s="5">
        <f t="shared" si="12"/>
        <v>0</v>
      </c>
      <c r="Q46" s="7"/>
      <c r="R46" s="11"/>
      <c r="T46" s="7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1"/>
      <c r="DR46" s="3"/>
    </row>
    <row r="47" spans="2:122" ht="13.2" customHeight="1">
      <c r="B47" s="21"/>
      <c r="E47" s="5">
        <v>43</v>
      </c>
      <c r="F47" s="5">
        <f t="shared" ca="1" si="6"/>
        <v>100</v>
      </c>
      <c r="G47" s="5">
        <f t="shared" ca="1" si="14"/>
        <v>1000</v>
      </c>
      <c r="H47" s="5">
        <f t="shared" ca="1" si="7"/>
        <v>900</v>
      </c>
      <c r="I47" s="63">
        <f t="shared" ca="1" si="13"/>
        <v>0</v>
      </c>
      <c r="J47" s="5">
        <f t="shared" ca="1" si="8"/>
        <v>0</v>
      </c>
      <c r="K47" s="5">
        <f t="shared" ca="1" si="9"/>
        <v>0</v>
      </c>
      <c r="L47" s="5">
        <f t="shared" ca="1" si="10"/>
        <v>0</v>
      </c>
      <c r="M47" s="5">
        <f t="shared" ca="1" si="11"/>
        <v>0</v>
      </c>
      <c r="N47" s="6">
        <f t="shared" ca="1" si="5"/>
        <v>24.657534246575342</v>
      </c>
      <c r="O47" s="5">
        <f t="shared" si="12"/>
        <v>0</v>
      </c>
      <c r="Q47" s="7"/>
      <c r="R47" s="11"/>
      <c r="T47" s="7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1"/>
      <c r="DR47" s="3"/>
    </row>
    <row r="48" spans="2:122" ht="13.2" customHeight="1">
      <c r="B48" s="21"/>
      <c r="E48" s="5">
        <v>44</v>
      </c>
      <c r="F48" s="5">
        <f t="shared" ca="1" si="6"/>
        <v>90</v>
      </c>
      <c r="G48" s="5">
        <f t="shared" ca="1" si="14"/>
        <v>900</v>
      </c>
      <c r="H48" s="5">
        <f t="shared" ca="1" si="7"/>
        <v>810</v>
      </c>
      <c r="I48" s="63">
        <f t="shared" ca="1" si="13"/>
        <v>0</v>
      </c>
      <c r="J48" s="5">
        <f t="shared" ca="1" si="8"/>
        <v>0</v>
      </c>
      <c r="K48" s="5">
        <f t="shared" ca="1" si="9"/>
        <v>0</v>
      </c>
      <c r="L48" s="5">
        <f t="shared" ca="1" si="10"/>
        <v>0</v>
      </c>
      <c r="M48" s="5">
        <f t="shared" ca="1" si="11"/>
        <v>0</v>
      </c>
      <c r="N48" s="6">
        <f t="shared" ca="1" si="5"/>
        <v>22.191780821917806</v>
      </c>
      <c r="O48" s="5">
        <f t="shared" si="12"/>
        <v>0</v>
      </c>
      <c r="Q48" s="7"/>
      <c r="R48" s="11"/>
      <c r="T48" s="7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1"/>
      <c r="DR48" s="3"/>
    </row>
    <row r="49" spans="2:122" ht="13.2" customHeight="1">
      <c r="B49" s="21"/>
      <c r="E49" s="5">
        <v>45</v>
      </c>
      <c r="F49" s="5">
        <f t="shared" ca="1" si="6"/>
        <v>80</v>
      </c>
      <c r="G49" s="5">
        <f t="shared" ca="1" si="14"/>
        <v>810</v>
      </c>
      <c r="H49" s="5">
        <f t="shared" ca="1" si="7"/>
        <v>730</v>
      </c>
      <c r="I49" s="63">
        <f t="shared" ca="1" si="13"/>
        <v>0</v>
      </c>
      <c r="J49" s="5">
        <f t="shared" ca="1" si="8"/>
        <v>0</v>
      </c>
      <c r="K49" s="5">
        <f t="shared" ca="1" si="9"/>
        <v>0</v>
      </c>
      <c r="L49" s="5">
        <f t="shared" ca="1" si="10"/>
        <v>0</v>
      </c>
      <c r="M49" s="5">
        <f t="shared" ca="1" si="11"/>
        <v>0</v>
      </c>
      <c r="N49" s="6">
        <f t="shared" ca="1" si="5"/>
        <v>20</v>
      </c>
      <c r="O49" s="5">
        <f t="shared" si="12"/>
        <v>0</v>
      </c>
      <c r="Q49" s="7"/>
      <c r="R49" s="11"/>
      <c r="T49" s="7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1"/>
      <c r="DR49" s="3"/>
    </row>
    <row r="50" spans="2:122" ht="13.2" customHeight="1">
      <c r="B50" s="21"/>
      <c r="E50" s="5">
        <v>46</v>
      </c>
      <c r="F50" s="5">
        <f t="shared" ca="1" si="6"/>
        <v>90</v>
      </c>
      <c r="G50" s="5">
        <f t="shared" ca="1" si="14"/>
        <v>730</v>
      </c>
      <c r="H50" s="5">
        <f t="shared" ca="1" si="7"/>
        <v>640</v>
      </c>
      <c r="I50" s="63">
        <f t="shared" ca="1" si="13"/>
        <v>0</v>
      </c>
      <c r="J50" s="5">
        <f t="shared" ca="1" si="8"/>
        <v>0</v>
      </c>
      <c r="K50" s="5">
        <f t="shared" ca="1" si="9"/>
        <v>0</v>
      </c>
      <c r="L50" s="5">
        <f t="shared" ca="1" si="10"/>
        <v>0</v>
      </c>
      <c r="M50" s="5">
        <f t="shared" ca="1" si="11"/>
        <v>0</v>
      </c>
      <c r="N50" s="6">
        <f t="shared" ca="1" si="5"/>
        <v>17.534246575342465</v>
      </c>
      <c r="O50" s="5">
        <f t="shared" si="12"/>
        <v>0</v>
      </c>
      <c r="Q50" s="7"/>
      <c r="R50" s="11"/>
      <c r="T50" s="7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1"/>
      <c r="DR50" s="3"/>
    </row>
    <row r="51" spans="2:122" ht="13.2" customHeight="1">
      <c r="B51" s="21"/>
      <c r="E51" s="5">
        <v>47</v>
      </c>
      <c r="F51" s="5">
        <f t="shared" ca="1" si="6"/>
        <v>90</v>
      </c>
      <c r="G51" s="5">
        <f t="shared" ca="1" si="14"/>
        <v>640</v>
      </c>
      <c r="H51" s="5">
        <f t="shared" ca="1" si="7"/>
        <v>550</v>
      </c>
      <c r="I51" s="63">
        <f t="shared" ca="1" si="13"/>
        <v>0</v>
      </c>
      <c r="J51" s="5">
        <f t="shared" ca="1" si="8"/>
        <v>0</v>
      </c>
      <c r="K51" s="5">
        <f t="shared" ca="1" si="9"/>
        <v>0</v>
      </c>
      <c r="L51" s="5">
        <f t="shared" ca="1" si="10"/>
        <v>0</v>
      </c>
      <c r="M51" s="5">
        <f t="shared" ca="1" si="11"/>
        <v>0</v>
      </c>
      <c r="N51" s="6">
        <f t="shared" ca="1" si="5"/>
        <v>15.068493150684931</v>
      </c>
      <c r="O51" s="5">
        <f t="shared" si="12"/>
        <v>0</v>
      </c>
      <c r="Q51" s="7"/>
      <c r="R51" s="11"/>
      <c r="T51" s="7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1"/>
      <c r="DR51" s="3"/>
    </row>
    <row r="52" spans="2:122" ht="13.2" customHeight="1">
      <c r="B52" s="21"/>
      <c r="E52" s="5">
        <v>48</v>
      </c>
      <c r="F52" s="5">
        <f t="shared" ca="1" si="6"/>
        <v>80</v>
      </c>
      <c r="G52" s="5">
        <f t="shared" ca="1" si="14"/>
        <v>550</v>
      </c>
      <c r="H52" s="5">
        <f t="shared" ca="1" si="7"/>
        <v>470</v>
      </c>
      <c r="I52" s="63">
        <f t="shared" ca="1" si="13"/>
        <v>0</v>
      </c>
      <c r="J52" s="5">
        <f t="shared" ca="1" si="8"/>
        <v>0</v>
      </c>
      <c r="K52" s="5">
        <f t="shared" ca="1" si="9"/>
        <v>0</v>
      </c>
      <c r="L52" s="5">
        <f t="shared" ca="1" si="10"/>
        <v>0</v>
      </c>
      <c r="M52" s="5">
        <f t="shared" ca="1" si="11"/>
        <v>0</v>
      </c>
      <c r="N52" s="6">
        <f t="shared" ca="1" si="5"/>
        <v>12.876712328767123</v>
      </c>
      <c r="O52" s="5">
        <f t="shared" si="12"/>
        <v>0</v>
      </c>
      <c r="Q52" s="7"/>
      <c r="R52" s="11"/>
      <c r="T52" s="7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1"/>
      <c r="DR52" s="3"/>
    </row>
    <row r="53" spans="2:122" ht="13.2" customHeight="1">
      <c r="B53" s="21"/>
      <c r="E53" s="5">
        <v>49</v>
      </c>
      <c r="F53" s="5">
        <f t="shared" ca="1" si="6"/>
        <v>110</v>
      </c>
      <c r="G53" s="5">
        <f t="shared" ca="1" si="14"/>
        <v>470</v>
      </c>
      <c r="H53" s="5">
        <f t="shared" ca="1" si="7"/>
        <v>360</v>
      </c>
      <c r="I53" s="63">
        <f t="shared" ca="1" si="13"/>
        <v>0</v>
      </c>
      <c r="J53" s="5">
        <f t="shared" ca="1" si="8"/>
        <v>0</v>
      </c>
      <c r="K53" s="5">
        <f t="shared" ca="1" si="9"/>
        <v>0</v>
      </c>
      <c r="L53" s="5">
        <f t="shared" ca="1" si="10"/>
        <v>0</v>
      </c>
      <c r="M53" s="5">
        <f t="shared" ca="1" si="11"/>
        <v>0</v>
      </c>
      <c r="N53" s="6">
        <f t="shared" ca="1" si="5"/>
        <v>9.8630136986301373</v>
      </c>
      <c r="O53" s="5">
        <f t="shared" si="12"/>
        <v>0</v>
      </c>
      <c r="Q53" s="7"/>
      <c r="R53" s="11"/>
      <c r="T53" s="7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1"/>
      <c r="DR53" s="3"/>
    </row>
    <row r="54" spans="2:122" ht="13.2" customHeight="1">
      <c r="B54" s="21"/>
      <c r="E54" s="5">
        <v>50</v>
      </c>
      <c r="F54" s="5">
        <f t="shared" ca="1" si="6"/>
        <v>90</v>
      </c>
      <c r="G54" s="5">
        <f t="shared" ca="1" si="14"/>
        <v>360</v>
      </c>
      <c r="H54" s="5">
        <f t="shared" ca="1" si="7"/>
        <v>270</v>
      </c>
      <c r="I54" s="63">
        <f t="shared" ca="1" si="13"/>
        <v>0</v>
      </c>
      <c r="J54" s="5">
        <f t="shared" ca="1" si="8"/>
        <v>0</v>
      </c>
      <c r="K54" s="5">
        <f t="shared" ca="1" si="9"/>
        <v>0</v>
      </c>
      <c r="L54" s="5">
        <f t="shared" ca="1" si="10"/>
        <v>0</v>
      </c>
      <c r="M54" s="5">
        <f t="shared" ca="1" si="11"/>
        <v>0</v>
      </c>
      <c r="N54" s="6">
        <f t="shared" ca="1" si="5"/>
        <v>7.3972602739726021</v>
      </c>
      <c r="O54" s="5">
        <f t="shared" si="12"/>
        <v>0</v>
      </c>
      <c r="Q54" s="7"/>
      <c r="R54" s="7"/>
      <c r="T54" s="7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7"/>
      <c r="DR54" s="3"/>
    </row>
    <row r="55" spans="2:122" ht="13.2" customHeight="1">
      <c r="B55" s="21"/>
      <c r="E55" s="5">
        <v>51</v>
      </c>
      <c r="F55" s="5">
        <f t="shared" ca="1" si="6"/>
        <v>120</v>
      </c>
      <c r="G55" s="5">
        <f t="shared" ca="1" si="14"/>
        <v>270</v>
      </c>
      <c r="H55" s="5">
        <f t="shared" ca="1" si="7"/>
        <v>150</v>
      </c>
      <c r="I55" s="63">
        <f t="shared" ca="1" si="13"/>
        <v>0</v>
      </c>
      <c r="J55" s="5">
        <f t="shared" ca="1" si="8"/>
        <v>0</v>
      </c>
      <c r="K55" s="5">
        <f t="shared" ca="1" si="9"/>
        <v>0</v>
      </c>
      <c r="L55" s="5">
        <f t="shared" ca="1" si="10"/>
        <v>0</v>
      </c>
      <c r="M55" s="5">
        <f t="shared" ca="1" si="11"/>
        <v>0</v>
      </c>
      <c r="N55" s="6">
        <f t="shared" ca="1" si="5"/>
        <v>4.10958904109589</v>
      </c>
      <c r="O55" s="5">
        <f t="shared" si="12"/>
        <v>0</v>
      </c>
      <c r="Q55" s="7"/>
      <c r="R55" s="7"/>
      <c r="T55" s="7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7"/>
      <c r="DR55" s="3"/>
    </row>
    <row r="56" spans="2:122" ht="13.2" customHeight="1">
      <c r="B56" s="21"/>
      <c r="E56" s="5">
        <v>52</v>
      </c>
      <c r="F56" s="5">
        <f t="shared" ca="1" si="6"/>
        <v>110</v>
      </c>
      <c r="G56" s="5">
        <f t="shared" ca="1" si="14"/>
        <v>150</v>
      </c>
      <c r="H56" s="5">
        <f t="shared" ca="1" si="7"/>
        <v>40</v>
      </c>
      <c r="I56" s="63">
        <f t="shared" ca="1" si="13"/>
        <v>1</v>
      </c>
      <c r="J56" s="5">
        <f t="shared" ca="1" si="8"/>
        <v>0</v>
      </c>
      <c r="K56" s="5">
        <f t="shared" ca="1" si="9"/>
        <v>0</v>
      </c>
      <c r="L56" s="5">
        <f t="shared" ca="1" si="10"/>
        <v>0</v>
      </c>
      <c r="M56" s="5">
        <f t="shared" ca="1" si="11"/>
        <v>200</v>
      </c>
      <c r="N56" s="6">
        <f t="shared" ca="1" si="5"/>
        <v>1.095890410958904</v>
      </c>
      <c r="O56" s="5">
        <f t="shared" si="12"/>
        <v>0</v>
      </c>
      <c r="Q56" s="7"/>
      <c r="R56" s="7"/>
      <c r="T56" s="7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7"/>
      <c r="DR56" s="3"/>
    </row>
    <row r="57" spans="2:122" ht="13.2" customHeight="1">
      <c r="B57" s="21"/>
      <c r="E57" s="5">
        <v>53</v>
      </c>
      <c r="F57" s="5">
        <f t="shared" ca="1" si="6"/>
        <v>80</v>
      </c>
      <c r="G57" s="5">
        <f t="shared" ca="1" si="14"/>
        <v>1040</v>
      </c>
      <c r="H57" s="5">
        <f t="shared" ca="1" si="7"/>
        <v>960</v>
      </c>
      <c r="I57" s="63">
        <f t="shared" ca="1" si="13"/>
        <v>0</v>
      </c>
      <c r="J57" s="5">
        <f t="shared" ca="1" si="8"/>
        <v>0</v>
      </c>
      <c r="K57" s="5">
        <f t="shared" ca="1" si="9"/>
        <v>0</v>
      </c>
      <c r="L57" s="5">
        <f t="shared" ca="1" si="10"/>
        <v>0</v>
      </c>
      <c r="M57" s="5">
        <f t="shared" ca="1" si="11"/>
        <v>0</v>
      </c>
      <c r="N57" s="6">
        <f t="shared" ca="1" si="5"/>
        <v>26.301369863013697</v>
      </c>
      <c r="O57" s="5">
        <f t="shared" si="12"/>
        <v>0</v>
      </c>
      <c r="Q57" s="7"/>
      <c r="R57" s="7"/>
      <c r="T57" s="7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7"/>
      <c r="DR57" s="3"/>
    </row>
    <row r="58" spans="2:122" ht="13.2" customHeight="1">
      <c r="B58" s="21"/>
      <c r="E58" s="5">
        <v>54</v>
      </c>
      <c r="F58" s="5">
        <f t="shared" ca="1" si="6"/>
        <v>90</v>
      </c>
      <c r="G58" s="5">
        <f t="shared" ca="1" si="14"/>
        <v>960</v>
      </c>
      <c r="H58" s="5">
        <f t="shared" ca="1" si="7"/>
        <v>870</v>
      </c>
      <c r="I58" s="63">
        <f t="shared" ca="1" si="13"/>
        <v>0</v>
      </c>
      <c r="J58" s="5">
        <f t="shared" ca="1" si="8"/>
        <v>0</v>
      </c>
      <c r="K58" s="5">
        <f t="shared" ca="1" si="9"/>
        <v>0</v>
      </c>
      <c r="L58" s="5">
        <f t="shared" ca="1" si="10"/>
        <v>0</v>
      </c>
      <c r="M58" s="5">
        <f t="shared" ca="1" si="11"/>
        <v>0</v>
      </c>
      <c r="N58" s="6">
        <f t="shared" ca="1" si="5"/>
        <v>23.835616438356162</v>
      </c>
      <c r="O58" s="5">
        <f t="shared" si="12"/>
        <v>0</v>
      </c>
      <c r="Q58" s="7"/>
      <c r="R58" s="7"/>
      <c r="T58" s="7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7"/>
      <c r="DR58" s="3"/>
    </row>
    <row r="59" spans="2:122" ht="13.2" customHeight="1">
      <c r="B59" s="21"/>
      <c r="E59" s="5">
        <v>55</v>
      </c>
      <c r="F59" s="5">
        <f t="shared" ca="1" si="6"/>
        <v>90</v>
      </c>
      <c r="G59" s="5">
        <f t="shared" ca="1" si="14"/>
        <v>870</v>
      </c>
      <c r="H59" s="5">
        <f t="shared" ca="1" si="7"/>
        <v>780</v>
      </c>
      <c r="I59" s="63">
        <f t="shared" ca="1" si="13"/>
        <v>0</v>
      </c>
      <c r="J59" s="5">
        <f t="shared" ca="1" si="8"/>
        <v>0</v>
      </c>
      <c r="K59" s="5">
        <f t="shared" ca="1" si="9"/>
        <v>0</v>
      </c>
      <c r="L59" s="5">
        <f t="shared" ca="1" si="10"/>
        <v>0</v>
      </c>
      <c r="M59" s="5">
        <f t="shared" ca="1" si="11"/>
        <v>0</v>
      </c>
      <c r="N59" s="6">
        <f t="shared" ca="1" si="5"/>
        <v>21.36986301369863</v>
      </c>
      <c r="O59" s="5">
        <f t="shared" si="12"/>
        <v>0</v>
      </c>
      <c r="Q59" s="7"/>
      <c r="R59" s="7"/>
      <c r="T59" s="7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7"/>
      <c r="DR59" s="3"/>
    </row>
    <row r="60" spans="2:122" ht="13.2" customHeight="1">
      <c r="B60" s="21"/>
      <c r="E60" s="5">
        <v>56</v>
      </c>
      <c r="F60" s="5">
        <f t="shared" ca="1" si="6"/>
        <v>100</v>
      </c>
      <c r="G60" s="5">
        <f t="shared" ca="1" si="14"/>
        <v>780</v>
      </c>
      <c r="H60" s="5">
        <f t="shared" ca="1" si="7"/>
        <v>680</v>
      </c>
      <c r="I60" s="63">
        <f t="shared" ca="1" si="13"/>
        <v>0</v>
      </c>
      <c r="J60" s="5">
        <f t="shared" ca="1" si="8"/>
        <v>0</v>
      </c>
      <c r="K60" s="5">
        <f t="shared" ca="1" si="9"/>
        <v>0</v>
      </c>
      <c r="L60" s="5">
        <f t="shared" ca="1" si="10"/>
        <v>0</v>
      </c>
      <c r="M60" s="5">
        <f t="shared" ca="1" si="11"/>
        <v>0</v>
      </c>
      <c r="N60" s="6">
        <f t="shared" ca="1" si="5"/>
        <v>18.63013698630137</v>
      </c>
      <c r="O60" s="5">
        <f t="shared" si="12"/>
        <v>0</v>
      </c>
      <c r="Q60" s="7"/>
      <c r="R60" s="7"/>
      <c r="T60" s="7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7"/>
      <c r="DR60" s="3"/>
    </row>
    <row r="61" spans="2:122" ht="13.2" customHeight="1">
      <c r="B61" s="21"/>
      <c r="E61" s="5">
        <v>57</v>
      </c>
      <c r="F61" s="5">
        <f t="shared" ca="1" si="6"/>
        <v>100</v>
      </c>
      <c r="G61" s="5">
        <f t="shared" ca="1" si="14"/>
        <v>680</v>
      </c>
      <c r="H61" s="5">
        <f t="shared" ca="1" si="7"/>
        <v>580</v>
      </c>
      <c r="I61" s="63">
        <f t="shared" ca="1" si="13"/>
        <v>0</v>
      </c>
      <c r="J61" s="5">
        <f t="shared" ca="1" si="8"/>
        <v>0</v>
      </c>
      <c r="K61" s="5">
        <f t="shared" ca="1" si="9"/>
        <v>0</v>
      </c>
      <c r="L61" s="5">
        <f t="shared" ca="1" si="10"/>
        <v>0</v>
      </c>
      <c r="M61" s="5">
        <f t="shared" ca="1" si="11"/>
        <v>0</v>
      </c>
      <c r="N61" s="6">
        <f t="shared" ca="1" si="5"/>
        <v>15.890410958904109</v>
      </c>
      <c r="O61" s="5">
        <f t="shared" si="12"/>
        <v>0</v>
      </c>
      <c r="Q61" s="7"/>
      <c r="R61" s="7"/>
      <c r="T61" s="7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7"/>
      <c r="DR61" s="3"/>
    </row>
    <row r="62" spans="2:122" ht="13.2" customHeight="1">
      <c r="B62" s="21"/>
      <c r="E62" s="5">
        <v>58</v>
      </c>
      <c r="F62" s="5">
        <f t="shared" ca="1" si="6"/>
        <v>110</v>
      </c>
      <c r="G62" s="5">
        <f t="shared" ca="1" si="14"/>
        <v>580</v>
      </c>
      <c r="H62" s="5">
        <f t="shared" ca="1" si="7"/>
        <v>470</v>
      </c>
      <c r="I62" s="63">
        <f t="shared" ca="1" si="13"/>
        <v>0</v>
      </c>
      <c r="J62" s="5">
        <f t="shared" ca="1" si="8"/>
        <v>0</v>
      </c>
      <c r="K62" s="5">
        <f t="shared" ca="1" si="9"/>
        <v>0</v>
      </c>
      <c r="L62" s="5">
        <f t="shared" ca="1" si="10"/>
        <v>0</v>
      </c>
      <c r="M62" s="5">
        <f t="shared" ca="1" si="11"/>
        <v>0</v>
      </c>
      <c r="N62" s="6">
        <f t="shared" ca="1" si="5"/>
        <v>12.876712328767123</v>
      </c>
      <c r="O62" s="5">
        <f t="shared" si="12"/>
        <v>0</v>
      </c>
      <c r="Q62" s="7"/>
      <c r="R62" s="7"/>
      <c r="T62" s="7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7"/>
      <c r="DR62" s="3"/>
    </row>
    <row r="63" spans="2:122" ht="13.2" customHeight="1">
      <c r="B63" s="21"/>
      <c r="E63" s="5">
        <v>59</v>
      </c>
      <c r="F63" s="5">
        <f t="shared" ca="1" si="6"/>
        <v>100</v>
      </c>
      <c r="G63" s="5">
        <f t="shared" ca="1" si="14"/>
        <v>470</v>
      </c>
      <c r="H63" s="5">
        <f t="shared" ca="1" si="7"/>
        <v>370</v>
      </c>
      <c r="I63" s="63">
        <f t="shared" ca="1" si="13"/>
        <v>0</v>
      </c>
      <c r="J63" s="5">
        <f t="shared" ca="1" si="8"/>
        <v>0</v>
      </c>
      <c r="K63" s="5">
        <f t="shared" ca="1" si="9"/>
        <v>0</v>
      </c>
      <c r="L63" s="5">
        <f t="shared" ca="1" si="10"/>
        <v>0</v>
      </c>
      <c r="M63" s="5">
        <f t="shared" ca="1" si="11"/>
        <v>0</v>
      </c>
      <c r="N63" s="6">
        <f t="shared" ca="1" si="5"/>
        <v>10.136986301369863</v>
      </c>
      <c r="O63" s="5">
        <f t="shared" si="12"/>
        <v>0</v>
      </c>
      <c r="Q63" s="7"/>
      <c r="R63" s="7"/>
      <c r="T63" s="7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7"/>
      <c r="DR63" s="3"/>
    </row>
    <row r="64" spans="2:122" ht="13.2" customHeight="1">
      <c r="B64" s="21"/>
      <c r="E64" s="5">
        <v>60</v>
      </c>
      <c r="F64" s="5">
        <f t="shared" ca="1" si="6"/>
        <v>90</v>
      </c>
      <c r="G64" s="5">
        <f t="shared" ca="1" si="14"/>
        <v>370</v>
      </c>
      <c r="H64" s="5">
        <f t="shared" ca="1" si="7"/>
        <v>280</v>
      </c>
      <c r="I64" s="63">
        <f t="shared" ca="1" si="13"/>
        <v>0</v>
      </c>
      <c r="J64" s="5">
        <f t="shared" ca="1" si="8"/>
        <v>0</v>
      </c>
      <c r="K64" s="5">
        <f t="shared" ca="1" si="9"/>
        <v>0</v>
      </c>
      <c r="L64" s="5">
        <f t="shared" ca="1" si="10"/>
        <v>0</v>
      </c>
      <c r="M64" s="5">
        <f t="shared" ca="1" si="11"/>
        <v>0</v>
      </c>
      <c r="N64" s="6">
        <f t="shared" ca="1" si="5"/>
        <v>7.6712328767123283</v>
      </c>
      <c r="O64" s="5">
        <f t="shared" si="12"/>
        <v>0</v>
      </c>
      <c r="Q64" s="7"/>
      <c r="R64" s="7"/>
      <c r="T64" s="7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7"/>
      <c r="DR64" s="3"/>
    </row>
    <row r="65" spans="2:122" ht="13.2" customHeight="1">
      <c r="B65" s="21"/>
      <c r="E65" s="5">
        <v>61</v>
      </c>
      <c r="F65" s="5">
        <f t="shared" ca="1" si="6"/>
        <v>80</v>
      </c>
      <c r="G65" s="5">
        <f t="shared" ca="1" si="14"/>
        <v>280</v>
      </c>
      <c r="H65" s="5">
        <f t="shared" ca="1" si="7"/>
        <v>200</v>
      </c>
      <c r="I65" s="63">
        <f t="shared" ca="1" si="13"/>
        <v>0</v>
      </c>
      <c r="J65" s="5">
        <f t="shared" ca="1" si="8"/>
        <v>0</v>
      </c>
      <c r="K65" s="5">
        <f t="shared" ca="1" si="9"/>
        <v>0</v>
      </c>
      <c r="L65" s="5">
        <f t="shared" ca="1" si="10"/>
        <v>0</v>
      </c>
      <c r="M65" s="5">
        <f t="shared" ca="1" si="11"/>
        <v>0</v>
      </c>
      <c r="N65" s="6">
        <f t="shared" ca="1" si="5"/>
        <v>5.4794520547945202</v>
      </c>
      <c r="O65" s="5">
        <f t="shared" si="12"/>
        <v>0</v>
      </c>
      <c r="Q65" s="7"/>
      <c r="R65" s="7"/>
      <c r="T65" s="7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7"/>
      <c r="DR65" s="3"/>
    </row>
    <row r="66" spans="2:122" ht="13.2" customHeight="1">
      <c r="B66" s="21"/>
      <c r="E66" s="5">
        <v>62</v>
      </c>
      <c r="F66" s="5">
        <f t="shared" ca="1" si="6"/>
        <v>90</v>
      </c>
      <c r="G66" s="5">
        <f t="shared" ca="1" si="14"/>
        <v>200</v>
      </c>
      <c r="H66" s="5">
        <f t="shared" ca="1" si="7"/>
        <v>110</v>
      </c>
      <c r="I66" s="63">
        <f t="shared" ca="1" si="13"/>
        <v>0</v>
      </c>
      <c r="J66" s="5">
        <f t="shared" ca="1" si="8"/>
        <v>0</v>
      </c>
      <c r="K66" s="5">
        <f t="shared" ca="1" si="9"/>
        <v>0</v>
      </c>
      <c r="L66" s="5">
        <f t="shared" ca="1" si="10"/>
        <v>0</v>
      </c>
      <c r="M66" s="5">
        <f t="shared" ca="1" si="11"/>
        <v>0</v>
      </c>
      <c r="N66" s="6">
        <f t="shared" ca="1" si="5"/>
        <v>3.0136986301369859</v>
      </c>
      <c r="O66" s="5">
        <f t="shared" si="12"/>
        <v>0</v>
      </c>
      <c r="Q66" s="7"/>
      <c r="R66" s="7"/>
      <c r="T66" s="7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7"/>
      <c r="DR66" s="3"/>
    </row>
    <row r="67" spans="2:122" ht="13.2" customHeight="1">
      <c r="B67" s="21"/>
      <c r="E67" s="5">
        <v>63</v>
      </c>
      <c r="F67" s="5">
        <f t="shared" ca="1" si="6"/>
        <v>90</v>
      </c>
      <c r="G67" s="5">
        <f t="shared" ca="1" si="14"/>
        <v>110</v>
      </c>
      <c r="H67" s="5">
        <f t="shared" ca="1" si="7"/>
        <v>20</v>
      </c>
      <c r="I67" s="63">
        <f t="shared" ca="1" si="13"/>
        <v>1</v>
      </c>
      <c r="J67" s="5">
        <f t="shared" ca="1" si="8"/>
        <v>1</v>
      </c>
      <c r="K67" s="5">
        <f t="shared" ca="1" si="9"/>
        <v>0</v>
      </c>
      <c r="L67" s="5">
        <f t="shared" ca="1" si="10"/>
        <v>0</v>
      </c>
      <c r="M67" s="5">
        <f t="shared" ca="1" si="11"/>
        <v>200</v>
      </c>
      <c r="N67" s="6">
        <f t="shared" ca="1" si="5"/>
        <v>0.54794520547945202</v>
      </c>
      <c r="O67" s="5">
        <f t="shared" si="12"/>
        <v>0</v>
      </c>
      <c r="Q67" s="7"/>
      <c r="R67" s="7"/>
      <c r="T67" s="7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7"/>
      <c r="DR67" s="3"/>
    </row>
    <row r="68" spans="2:122" ht="13.2" customHeight="1">
      <c r="B68" s="21"/>
      <c r="E68" s="5">
        <v>64</v>
      </c>
      <c r="F68" s="5">
        <f t="shared" ca="1" si="6"/>
        <v>80</v>
      </c>
      <c r="G68" s="5">
        <f t="shared" ca="1" si="14"/>
        <v>20</v>
      </c>
      <c r="H68" s="5">
        <f t="shared" ca="1" si="7"/>
        <v>0</v>
      </c>
      <c r="I68" s="63">
        <f t="shared" ca="1" si="13"/>
        <v>0</v>
      </c>
      <c r="J68" s="5">
        <f t="shared" ca="1" si="8"/>
        <v>0</v>
      </c>
      <c r="K68" s="5">
        <f t="shared" ca="1" si="9"/>
        <v>60</v>
      </c>
      <c r="L68" s="5">
        <f t="shared" ca="1" si="10"/>
        <v>3000</v>
      </c>
      <c r="M68" s="5">
        <f t="shared" ca="1" si="11"/>
        <v>0</v>
      </c>
      <c r="N68" s="6">
        <f t="shared" ca="1" si="5"/>
        <v>0</v>
      </c>
      <c r="O68" s="5">
        <f t="shared" si="12"/>
        <v>0</v>
      </c>
      <c r="DR68" s="3"/>
    </row>
    <row r="69" spans="2:122" ht="13.2" customHeight="1">
      <c r="B69" s="21"/>
      <c r="E69" s="5">
        <v>65</v>
      </c>
      <c r="F69" s="5">
        <f t="shared" ca="1" si="6"/>
        <v>100</v>
      </c>
      <c r="G69" s="5">
        <f t="shared" ca="1" si="14"/>
        <v>1000</v>
      </c>
      <c r="H69" s="5">
        <f t="shared" ca="1" si="7"/>
        <v>900</v>
      </c>
      <c r="I69" s="63">
        <f t="shared" ca="1" si="13"/>
        <v>0</v>
      </c>
      <c r="J69" s="5">
        <f t="shared" ca="1" si="8"/>
        <v>0</v>
      </c>
      <c r="K69" s="5">
        <f t="shared" ca="1" si="9"/>
        <v>0</v>
      </c>
      <c r="L69" s="5">
        <f t="shared" ca="1" si="10"/>
        <v>0</v>
      </c>
      <c r="M69" s="5">
        <f t="shared" ca="1" si="11"/>
        <v>0</v>
      </c>
      <c r="N69" s="6">
        <f t="shared" ref="N69:N132" ca="1" si="16">H69*$C$7</f>
        <v>24.657534246575342</v>
      </c>
      <c r="O69" s="5">
        <f t="shared" si="12"/>
        <v>0</v>
      </c>
    </row>
    <row r="70" spans="2:122" ht="13.2" customHeight="1">
      <c r="B70" s="21"/>
      <c r="E70" s="5">
        <v>66</v>
      </c>
      <c r="F70" s="5">
        <f t="shared" ref="F70:F133" ca="1" si="17">INDEX($T$17:$T$21,MATCH(RAND(),$V$17:$V$21,1))</f>
        <v>110</v>
      </c>
      <c r="G70" s="5">
        <f t="shared" ca="1" si="14"/>
        <v>900</v>
      </c>
      <c r="H70" s="5">
        <f t="shared" ref="H70:H133" ca="1" si="18">IF(G70-F70&gt;0,G70-F70,0)</f>
        <v>790</v>
      </c>
      <c r="I70" s="63">
        <f t="shared" ca="1" si="13"/>
        <v>0</v>
      </c>
      <c r="J70" s="5">
        <f t="shared" ref="J70:J133" ca="1" si="19">I70*INT(RAND()*2)</f>
        <v>0</v>
      </c>
      <c r="K70" s="5">
        <f t="shared" ref="K70:K133" ca="1" si="20">-MIN(0,G70-F70)</f>
        <v>0</v>
      </c>
      <c r="L70" s="5">
        <f t="shared" ref="L70:L133" ca="1" si="21">K70*$C$8</f>
        <v>0</v>
      </c>
      <c r="M70" s="5">
        <f t="shared" ref="M70:M133" ca="1" si="22">$C$4*I70</f>
        <v>0</v>
      </c>
      <c r="N70" s="6">
        <f t="shared" ca="1" si="16"/>
        <v>21.643835616438356</v>
      </c>
      <c r="O70" s="5">
        <f t="shared" ref="O70:O133" si="23">IF(E70=$O$4,H70,0)</f>
        <v>0</v>
      </c>
    </row>
    <row r="71" spans="2:122" ht="13.2" customHeight="1">
      <c r="B71" s="21"/>
      <c r="E71" s="5">
        <v>67</v>
      </c>
      <c r="F71" s="5">
        <f t="shared" ca="1" si="17"/>
        <v>90</v>
      </c>
      <c r="G71" s="5">
        <f t="shared" ca="1" si="14"/>
        <v>790</v>
      </c>
      <c r="H71" s="5">
        <f t="shared" ca="1" si="18"/>
        <v>700</v>
      </c>
      <c r="I71" s="63">
        <f t="shared" ref="I71:I134" ca="1" si="24">IF(AND(H71&lt;$C$3,J70=0),1,0)</f>
        <v>0</v>
      </c>
      <c r="J71" s="5">
        <f t="shared" ca="1" si="19"/>
        <v>0</v>
      </c>
      <c r="K71" s="5">
        <f t="shared" ca="1" si="20"/>
        <v>0</v>
      </c>
      <c r="L71" s="5">
        <f t="shared" ca="1" si="21"/>
        <v>0</v>
      </c>
      <c r="M71" s="5">
        <f t="shared" ca="1" si="22"/>
        <v>0</v>
      </c>
      <c r="N71" s="6">
        <f t="shared" ca="1" si="16"/>
        <v>19.17808219178082</v>
      </c>
      <c r="O71" s="5">
        <f t="shared" si="23"/>
        <v>0</v>
      </c>
    </row>
    <row r="72" spans="2:122" ht="13.2" customHeight="1">
      <c r="B72" s="21"/>
      <c r="E72" s="5">
        <v>68</v>
      </c>
      <c r="F72" s="5">
        <f t="shared" ca="1" si="17"/>
        <v>100</v>
      </c>
      <c r="G72" s="5">
        <f t="shared" ref="G72:G135" ca="1" si="25">H71+IF(J71=0,I71*$C$9,0)+IF(J70=1,$C$9,0)</f>
        <v>700</v>
      </c>
      <c r="H72" s="5">
        <f t="shared" ca="1" si="18"/>
        <v>600</v>
      </c>
      <c r="I72" s="63">
        <f t="shared" ca="1" si="24"/>
        <v>0</v>
      </c>
      <c r="J72" s="5">
        <f t="shared" ca="1" si="19"/>
        <v>0</v>
      </c>
      <c r="K72" s="5">
        <f t="shared" ca="1" si="20"/>
        <v>0</v>
      </c>
      <c r="L72" s="5">
        <f t="shared" ca="1" si="21"/>
        <v>0</v>
      </c>
      <c r="M72" s="5">
        <f t="shared" ca="1" si="22"/>
        <v>0</v>
      </c>
      <c r="N72" s="6">
        <f t="shared" ca="1" si="16"/>
        <v>16.43835616438356</v>
      </c>
      <c r="O72" s="5">
        <f t="shared" si="23"/>
        <v>0</v>
      </c>
    </row>
    <row r="73" spans="2:122" ht="13.2" customHeight="1">
      <c r="B73" s="21"/>
      <c r="E73" s="5">
        <v>69</v>
      </c>
      <c r="F73" s="5">
        <f t="shared" ca="1" si="17"/>
        <v>80</v>
      </c>
      <c r="G73" s="5">
        <f t="shared" ca="1" si="25"/>
        <v>600</v>
      </c>
      <c r="H73" s="5">
        <f t="shared" ca="1" si="18"/>
        <v>520</v>
      </c>
      <c r="I73" s="63">
        <f t="shared" ca="1" si="24"/>
        <v>0</v>
      </c>
      <c r="J73" s="5">
        <f t="shared" ca="1" si="19"/>
        <v>0</v>
      </c>
      <c r="K73" s="5">
        <f t="shared" ca="1" si="20"/>
        <v>0</v>
      </c>
      <c r="L73" s="5">
        <f t="shared" ca="1" si="21"/>
        <v>0</v>
      </c>
      <c r="M73" s="5">
        <f t="shared" ca="1" si="22"/>
        <v>0</v>
      </c>
      <c r="N73" s="6">
        <f t="shared" ca="1" si="16"/>
        <v>14.246575342465754</v>
      </c>
      <c r="O73" s="5">
        <f t="shared" si="23"/>
        <v>0</v>
      </c>
    </row>
    <row r="74" spans="2:122" ht="13.2" customHeight="1">
      <c r="B74" s="21"/>
      <c r="E74" s="5">
        <v>70</v>
      </c>
      <c r="F74" s="5">
        <f t="shared" ca="1" si="17"/>
        <v>100</v>
      </c>
      <c r="G74" s="5">
        <f t="shared" ca="1" si="25"/>
        <v>520</v>
      </c>
      <c r="H74" s="5">
        <f t="shared" ca="1" si="18"/>
        <v>420</v>
      </c>
      <c r="I74" s="63">
        <f t="shared" ca="1" si="24"/>
        <v>0</v>
      </c>
      <c r="J74" s="5">
        <f t="shared" ca="1" si="19"/>
        <v>0</v>
      </c>
      <c r="K74" s="5">
        <f t="shared" ca="1" si="20"/>
        <v>0</v>
      </c>
      <c r="L74" s="5">
        <f t="shared" ca="1" si="21"/>
        <v>0</v>
      </c>
      <c r="M74" s="5">
        <f t="shared" ca="1" si="22"/>
        <v>0</v>
      </c>
      <c r="N74" s="6">
        <f t="shared" ca="1" si="16"/>
        <v>11.506849315068493</v>
      </c>
      <c r="O74" s="5">
        <f t="shared" si="23"/>
        <v>0</v>
      </c>
    </row>
    <row r="75" spans="2:122" ht="13.2" customHeight="1">
      <c r="B75" s="21"/>
      <c r="E75" s="5">
        <v>71</v>
      </c>
      <c r="F75" s="5">
        <f t="shared" ca="1" si="17"/>
        <v>110</v>
      </c>
      <c r="G75" s="5">
        <f t="shared" ca="1" si="25"/>
        <v>420</v>
      </c>
      <c r="H75" s="5">
        <f t="shared" ca="1" si="18"/>
        <v>310</v>
      </c>
      <c r="I75" s="63">
        <f t="shared" ca="1" si="24"/>
        <v>0</v>
      </c>
      <c r="J75" s="5">
        <f t="shared" ca="1" si="19"/>
        <v>0</v>
      </c>
      <c r="K75" s="5">
        <f t="shared" ca="1" si="20"/>
        <v>0</v>
      </c>
      <c r="L75" s="5">
        <f t="shared" ca="1" si="21"/>
        <v>0</v>
      </c>
      <c r="M75" s="5">
        <f t="shared" ca="1" si="22"/>
        <v>0</v>
      </c>
      <c r="N75" s="6">
        <f t="shared" ca="1" si="16"/>
        <v>8.493150684931507</v>
      </c>
      <c r="O75" s="5">
        <f t="shared" si="23"/>
        <v>0</v>
      </c>
    </row>
    <row r="76" spans="2:122" ht="13.2" customHeight="1">
      <c r="B76" s="21"/>
      <c r="E76" s="5">
        <v>72</v>
      </c>
      <c r="F76" s="5">
        <f t="shared" ca="1" si="17"/>
        <v>120</v>
      </c>
      <c r="G76" s="5">
        <f t="shared" ca="1" si="25"/>
        <v>310</v>
      </c>
      <c r="H76" s="5">
        <f t="shared" ca="1" si="18"/>
        <v>190</v>
      </c>
      <c r="I76" s="63">
        <f t="shared" ca="1" si="24"/>
        <v>0</v>
      </c>
      <c r="J76" s="5">
        <f t="shared" ca="1" si="19"/>
        <v>0</v>
      </c>
      <c r="K76" s="5">
        <f t="shared" ca="1" si="20"/>
        <v>0</v>
      </c>
      <c r="L76" s="5">
        <f t="shared" ca="1" si="21"/>
        <v>0</v>
      </c>
      <c r="M76" s="5">
        <f t="shared" ca="1" si="22"/>
        <v>0</v>
      </c>
      <c r="N76" s="6">
        <f t="shared" ca="1" si="16"/>
        <v>5.205479452054794</v>
      </c>
      <c r="O76" s="5">
        <f t="shared" si="23"/>
        <v>0</v>
      </c>
    </row>
    <row r="77" spans="2:122" ht="13.2" customHeight="1">
      <c r="B77" s="21"/>
      <c r="E77" s="5">
        <v>73</v>
      </c>
      <c r="F77" s="5">
        <f t="shared" ca="1" si="17"/>
        <v>120</v>
      </c>
      <c r="G77" s="5">
        <f t="shared" ca="1" si="25"/>
        <v>190</v>
      </c>
      <c r="H77" s="5">
        <f t="shared" ca="1" si="18"/>
        <v>70</v>
      </c>
      <c r="I77" s="63">
        <f t="shared" ca="1" si="24"/>
        <v>1</v>
      </c>
      <c r="J77" s="5">
        <f t="shared" ca="1" si="19"/>
        <v>0</v>
      </c>
      <c r="K77" s="5">
        <f t="shared" ca="1" si="20"/>
        <v>0</v>
      </c>
      <c r="L77" s="5">
        <f t="shared" ca="1" si="21"/>
        <v>0</v>
      </c>
      <c r="M77" s="5">
        <f t="shared" ca="1" si="22"/>
        <v>200</v>
      </c>
      <c r="N77" s="6">
        <f t="shared" ca="1" si="16"/>
        <v>1.9178082191780821</v>
      </c>
      <c r="O77" s="5">
        <f t="shared" si="23"/>
        <v>0</v>
      </c>
    </row>
    <row r="78" spans="2:122" ht="13.2" customHeight="1">
      <c r="B78" s="21"/>
      <c r="E78" s="5">
        <v>74</v>
      </c>
      <c r="F78" s="5">
        <f t="shared" ca="1" si="17"/>
        <v>100</v>
      </c>
      <c r="G78" s="5">
        <f t="shared" ca="1" si="25"/>
        <v>1070</v>
      </c>
      <c r="H78" s="5">
        <f t="shared" ca="1" si="18"/>
        <v>970</v>
      </c>
      <c r="I78" s="63">
        <f t="shared" ca="1" si="24"/>
        <v>0</v>
      </c>
      <c r="J78" s="5">
        <f t="shared" ca="1" si="19"/>
        <v>0</v>
      </c>
      <c r="K78" s="5">
        <f t="shared" ca="1" si="20"/>
        <v>0</v>
      </c>
      <c r="L78" s="5">
        <f t="shared" ca="1" si="21"/>
        <v>0</v>
      </c>
      <c r="M78" s="5">
        <f t="shared" ca="1" si="22"/>
        <v>0</v>
      </c>
      <c r="N78" s="6">
        <f t="shared" ca="1" si="16"/>
        <v>26.575342465753423</v>
      </c>
      <c r="O78" s="5">
        <f t="shared" si="23"/>
        <v>0</v>
      </c>
    </row>
    <row r="79" spans="2:122" ht="13.2" customHeight="1">
      <c r="B79" s="21"/>
      <c r="E79" s="5">
        <v>75</v>
      </c>
      <c r="F79" s="5">
        <f t="shared" ca="1" si="17"/>
        <v>90</v>
      </c>
      <c r="G79" s="5">
        <f t="shared" ca="1" si="25"/>
        <v>970</v>
      </c>
      <c r="H79" s="5">
        <f t="shared" ca="1" si="18"/>
        <v>880</v>
      </c>
      <c r="I79" s="63">
        <f t="shared" ca="1" si="24"/>
        <v>0</v>
      </c>
      <c r="J79" s="5">
        <f t="shared" ca="1" si="19"/>
        <v>0</v>
      </c>
      <c r="K79" s="5">
        <f t="shared" ca="1" si="20"/>
        <v>0</v>
      </c>
      <c r="L79" s="5">
        <f t="shared" ca="1" si="21"/>
        <v>0</v>
      </c>
      <c r="M79" s="5">
        <f t="shared" ca="1" si="22"/>
        <v>0</v>
      </c>
      <c r="N79" s="6">
        <f t="shared" ca="1" si="16"/>
        <v>24.109589041095887</v>
      </c>
      <c r="O79" s="5">
        <f t="shared" si="23"/>
        <v>0</v>
      </c>
    </row>
    <row r="80" spans="2:122" ht="13.2" customHeight="1">
      <c r="B80" s="21"/>
      <c r="E80" s="5">
        <v>76</v>
      </c>
      <c r="F80" s="5">
        <f t="shared" ca="1" si="17"/>
        <v>120</v>
      </c>
      <c r="G80" s="5">
        <f t="shared" ca="1" si="25"/>
        <v>880</v>
      </c>
      <c r="H80" s="5">
        <f t="shared" ca="1" si="18"/>
        <v>760</v>
      </c>
      <c r="I80" s="63">
        <f t="shared" ca="1" si="24"/>
        <v>0</v>
      </c>
      <c r="J80" s="5">
        <f t="shared" ca="1" si="19"/>
        <v>0</v>
      </c>
      <c r="K80" s="5">
        <f t="shared" ca="1" si="20"/>
        <v>0</v>
      </c>
      <c r="L80" s="5">
        <f t="shared" ca="1" si="21"/>
        <v>0</v>
      </c>
      <c r="M80" s="5">
        <f t="shared" ca="1" si="22"/>
        <v>0</v>
      </c>
      <c r="N80" s="6">
        <f t="shared" ca="1" si="16"/>
        <v>20.821917808219176</v>
      </c>
      <c r="O80" s="5">
        <f t="shared" si="23"/>
        <v>0</v>
      </c>
    </row>
    <row r="81" spans="2:15" ht="13.2" customHeight="1">
      <c r="B81" s="21"/>
      <c r="E81" s="5">
        <v>77</v>
      </c>
      <c r="F81" s="5">
        <f t="shared" ca="1" si="17"/>
        <v>110</v>
      </c>
      <c r="G81" s="5">
        <f t="shared" ca="1" si="25"/>
        <v>760</v>
      </c>
      <c r="H81" s="5">
        <f t="shared" ca="1" si="18"/>
        <v>650</v>
      </c>
      <c r="I81" s="63">
        <f t="shared" ca="1" si="24"/>
        <v>0</v>
      </c>
      <c r="J81" s="5">
        <f t="shared" ca="1" si="19"/>
        <v>0</v>
      </c>
      <c r="K81" s="5">
        <f t="shared" ca="1" si="20"/>
        <v>0</v>
      </c>
      <c r="L81" s="5">
        <f t="shared" ca="1" si="21"/>
        <v>0</v>
      </c>
      <c r="M81" s="5">
        <f t="shared" ca="1" si="22"/>
        <v>0</v>
      </c>
      <c r="N81" s="6">
        <f t="shared" ca="1" si="16"/>
        <v>17.80821917808219</v>
      </c>
      <c r="O81" s="5">
        <f t="shared" si="23"/>
        <v>0</v>
      </c>
    </row>
    <row r="82" spans="2:15" ht="13.2" customHeight="1">
      <c r="B82" s="21"/>
      <c r="E82" s="5">
        <v>78</v>
      </c>
      <c r="F82" s="5">
        <f t="shared" ca="1" si="17"/>
        <v>80</v>
      </c>
      <c r="G82" s="5">
        <f t="shared" ca="1" si="25"/>
        <v>650</v>
      </c>
      <c r="H82" s="5">
        <f t="shared" ca="1" si="18"/>
        <v>570</v>
      </c>
      <c r="I82" s="63">
        <f t="shared" ca="1" si="24"/>
        <v>0</v>
      </c>
      <c r="J82" s="5">
        <f t="shared" ca="1" si="19"/>
        <v>0</v>
      </c>
      <c r="K82" s="5">
        <f t="shared" ca="1" si="20"/>
        <v>0</v>
      </c>
      <c r="L82" s="5">
        <f t="shared" ca="1" si="21"/>
        <v>0</v>
      </c>
      <c r="M82" s="5">
        <f t="shared" ca="1" si="22"/>
        <v>0</v>
      </c>
      <c r="N82" s="6">
        <f t="shared" ca="1" si="16"/>
        <v>15.616438356164382</v>
      </c>
      <c r="O82" s="5">
        <f t="shared" si="23"/>
        <v>0</v>
      </c>
    </row>
    <row r="83" spans="2:15" ht="13.2" customHeight="1">
      <c r="B83" s="21"/>
      <c r="E83" s="5">
        <v>79</v>
      </c>
      <c r="F83" s="5">
        <f t="shared" ca="1" si="17"/>
        <v>100</v>
      </c>
      <c r="G83" s="5">
        <f t="shared" ca="1" si="25"/>
        <v>570</v>
      </c>
      <c r="H83" s="5">
        <f t="shared" ca="1" si="18"/>
        <v>470</v>
      </c>
      <c r="I83" s="63">
        <f t="shared" ca="1" si="24"/>
        <v>0</v>
      </c>
      <c r="J83" s="5">
        <f t="shared" ca="1" si="19"/>
        <v>0</v>
      </c>
      <c r="K83" s="5">
        <f t="shared" ca="1" si="20"/>
        <v>0</v>
      </c>
      <c r="L83" s="5">
        <f t="shared" ca="1" si="21"/>
        <v>0</v>
      </c>
      <c r="M83" s="5">
        <f t="shared" ca="1" si="22"/>
        <v>0</v>
      </c>
      <c r="N83" s="6">
        <f t="shared" ca="1" si="16"/>
        <v>12.876712328767123</v>
      </c>
      <c r="O83" s="5">
        <f t="shared" si="23"/>
        <v>0</v>
      </c>
    </row>
    <row r="84" spans="2:15" ht="13.2" customHeight="1">
      <c r="B84" s="21"/>
      <c r="E84" s="5">
        <v>80</v>
      </c>
      <c r="F84" s="5">
        <f t="shared" ca="1" si="17"/>
        <v>120</v>
      </c>
      <c r="G84" s="5">
        <f t="shared" ca="1" si="25"/>
        <v>470</v>
      </c>
      <c r="H84" s="5">
        <f t="shared" ca="1" si="18"/>
        <v>350</v>
      </c>
      <c r="I84" s="63">
        <f t="shared" ca="1" si="24"/>
        <v>0</v>
      </c>
      <c r="J84" s="5">
        <f t="shared" ca="1" si="19"/>
        <v>0</v>
      </c>
      <c r="K84" s="5">
        <f t="shared" ca="1" si="20"/>
        <v>0</v>
      </c>
      <c r="L84" s="5">
        <f t="shared" ca="1" si="21"/>
        <v>0</v>
      </c>
      <c r="M84" s="5">
        <f t="shared" ca="1" si="22"/>
        <v>0</v>
      </c>
      <c r="N84" s="6">
        <f t="shared" ca="1" si="16"/>
        <v>9.5890410958904102</v>
      </c>
      <c r="O84" s="5">
        <f t="shared" si="23"/>
        <v>0</v>
      </c>
    </row>
    <row r="85" spans="2:15" ht="13.2" customHeight="1">
      <c r="B85" s="21"/>
      <c r="E85" s="5">
        <v>81</v>
      </c>
      <c r="F85" s="5">
        <f t="shared" ca="1" si="17"/>
        <v>110</v>
      </c>
      <c r="G85" s="5">
        <f t="shared" ca="1" si="25"/>
        <v>350</v>
      </c>
      <c r="H85" s="5">
        <f t="shared" ca="1" si="18"/>
        <v>240</v>
      </c>
      <c r="I85" s="63">
        <f t="shared" ca="1" si="24"/>
        <v>0</v>
      </c>
      <c r="J85" s="5">
        <f t="shared" ca="1" si="19"/>
        <v>0</v>
      </c>
      <c r="K85" s="5">
        <f t="shared" ca="1" si="20"/>
        <v>0</v>
      </c>
      <c r="L85" s="5">
        <f t="shared" ca="1" si="21"/>
        <v>0</v>
      </c>
      <c r="M85" s="5">
        <f t="shared" ca="1" si="22"/>
        <v>0</v>
      </c>
      <c r="N85" s="6">
        <f t="shared" ca="1" si="16"/>
        <v>6.5753424657534243</v>
      </c>
      <c r="O85" s="5">
        <f t="shared" si="23"/>
        <v>0</v>
      </c>
    </row>
    <row r="86" spans="2:15" ht="13.2" customHeight="1">
      <c r="B86" s="21"/>
      <c r="E86" s="5">
        <v>82</v>
      </c>
      <c r="F86" s="5">
        <f t="shared" ca="1" si="17"/>
        <v>110</v>
      </c>
      <c r="G86" s="5">
        <f t="shared" ca="1" si="25"/>
        <v>240</v>
      </c>
      <c r="H86" s="5">
        <f t="shared" ca="1" si="18"/>
        <v>130</v>
      </c>
      <c r="I86" s="63">
        <f t="shared" ca="1" si="24"/>
        <v>0</v>
      </c>
      <c r="J86" s="5">
        <f t="shared" ca="1" si="19"/>
        <v>0</v>
      </c>
      <c r="K86" s="5">
        <f t="shared" ca="1" si="20"/>
        <v>0</v>
      </c>
      <c r="L86" s="5">
        <f t="shared" ca="1" si="21"/>
        <v>0</v>
      </c>
      <c r="M86" s="5">
        <f t="shared" ca="1" si="22"/>
        <v>0</v>
      </c>
      <c r="N86" s="6">
        <f t="shared" ca="1" si="16"/>
        <v>3.5616438356164384</v>
      </c>
      <c r="O86" s="5">
        <f t="shared" si="23"/>
        <v>0</v>
      </c>
    </row>
    <row r="87" spans="2:15" ht="13.2" customHeight="1">
      <c r="B87" s="21"/>
      <c r="E87" s="5">
        <v>83</v>
      </c>
      <c r="F87" s="5">
        <f t="shared" ca="1" si="17"/>
        <v>80</v>
      </c>
      <c r="G87" s="5">
        <f t="shared" ca="1" si="25"/>
        <v>130</v>
      </c>
      <c r="H87" s="5">
        <f t="shared" ca="1" si="18"/>
        <v>50</v>
      </c>
      <c r="I87" s="63">
        <f t="shared" ca="1" si="24"/>
        <v>1</v>
      </c>
      <c r="J87" s="5">
        <f t="shared" ca="1" si="19"/>
        <v>0</v>
      </c>
      <c r="K87" s="5">
        <f t="shared" ca="1" si="20"/>
        <v>0</v>
      </c>
      <c r="L87" s="5">
        <f t="shared" ca="1" si="21"/>
        <v>0</v>
      </c>
      <c r="M87" s="5">
        <f t="shared" ca="1" si="22"/>
        <v>200</v>
      </c>
      <c r="N87" s="6">
        <f t="shared" ca="1" si="16"/>
        <v>1.3698630136986301</v>
      </c>
      <c r="O87" s="5">
        <f t="shared" si="23"/>
        <v>0</v>
      </c>
    </row>
    <row r="88" spans="2:15" ht="13.2" customHeight="1">
      <c r="B88" s="21"/>
      <c r="E88" s="5">
        <v>84</v>
      </c>
      <c r="F88" s="5">
        <f t="shared" ca="1" si="17"/>
        <v>120</v>
      </c>
      <c r="G88" s="5">
        <f t="shared" ca="1" si="25"/>
        <v>1050</v>
      </c>
      <c r="H88" s="5">
        <f t="shared" ca="1" si="18"/>
        <v>930</v>
      </c>
      <c r="I88" s="63">
        <f t="shared" ca="1" si="24"/>
        <v>0</v>
      </c>
      <c r="J88" s="5">
        <f t="shared" ca="1" si="19"/>
        <v>0</v>
      </c>
      <c r="K88" s="5">
        <f t="shared" ca="1" si="20"/>
        <v>0</v>
      </c>
      <c r="L88" s="5">
        <f t="shared" ca="1" si="21"/>
        <v>0</v>
      </c>
      <c r="M88" s="5">
        <f t="shared" ca="1" si="22"/>
        <v>0</v>
      </c>
      <c r="N88" s="6">
        <f t="shared" ca="1" si="16"/>
        <v>25.479452054794518</v>
      </c>
      <c r="O88" s="5">
        <f t="shared" si="23"/>
        <v>0</v>
      </c>
    </row>
    <row r="89" spans="2:15" ht="13.2" customHeight="1">
      <c r="B89" s="21"/>
      <c r="E89" s="5">
        <v>85</v>
      </c>
      <c r="F89" s="5">
        <f t="shared" ca="1" si="17"/>
        <v>110</v>
      </c>
      <c r="G89" s="5">
        <f t="shared" ca="1" si="25"/>
        <v>930</v>
      </c>
      <c r="H89" s="5">
        <f t="shared" ca="1" si="18"/>
        <v>820</v>
      </c>
      <c r="I89" s="63">
        <f t="shared" ca="1" si="24"/>
        <v>0</v>
      </c>
      <c r="J89" s="5">
        <f t="shared" ca="1" si="19"/>
        <v>0</v>
      </c>
      <c r="K89" s="5">
        <f t="shared" ca="1" si="20"/>
        <v>0</v>
      </c>
      <c r="L89" s="5">
        <f t="shared" ca="1" si="21"/>
        <v>0</v>
      </c>
      <c r="M89" s="5">
        <f t="shared" ca="1" si="22"/>
        <v>0</v>
      </c>
      <c r="N89" s="6">
        <f t="shared" ca="1" si="16"/>
        <v>22.465753424657532</v>
      </c>
      <c r="O89" s="5">
        <f t="shared" si="23"/>
        <v>0</v>
      </c>
    </row>
    <row r="90" spans="2:15" ht="13.2" customHeight="1">
      <c r="B90" s="21"/>
      <c r="E90" s="5">
        <v>86</v>
      </c>
      <c r="F90" s="5">
        <f t="shared" ca="1" si="17"/>
        <v>80</v>
      </c>
      <c r="G90" s="5">
        <f t="shared" ca="1" si="25"/>
        <v>820</v>
      </c>
      <c r="H90" s="5">
        <f t="shared" ca="1" si="18"/>
        <v>740</v>
      </c>
      <c r="I90" s="63">
        <f t="shared" ca="1" si="24"/>
        <v>0</v>
      </c>
      <c r="J90" s="5">
        <f t="shared" ca="1" si="19"/>
        <v>0</v>
      </c>
      <c r="K90" s="5">
        <f t="shared" ca="1" si="20"/>
        <v>0</v>
      </c>
      <c r="L90" s="5">
        <f t="shared" ca="1" si="21"/>
        <v>0</v>
      </c>
      <c r="M90" s="5">
        <f t="shared" ca="1" si="22"/>
        <v>0</v>
      </c>
      <c r="N90" s="6">
        <f t="shared" ca="1" si="16"/>
        <v>20.273972602739725</v>
      </c>
      <c r="O90" s="5">
        <f t="shared" si="23"/>
        <v>0</v>
      </c>
    </row>
    <row r="91" spans="2:15" ht="13.2" customHeight="1">
      <c r="B91" s="21"/>
      <c r="E91" s="5">
        <v>87</v>
      </c>
      <c r="F91" s="5">
        <f t="shared" ca="1" si="17"/>
        <v>120</v>
      </c>
      <c r="G91" s="5">
        <f t="shared" ca="1" si="25"/>
        <v>740</v>
      </c>
      <c r="H91" s="5">
        <f t="shared" ca="1" si="18"/>
        <v>620</v>
      </c>
      <c r="I91" s="63">
        <f t="shared" ca="1" si="24"/>
        <v>0</v>
      </c>
      <c r="J91" s="5">
        <f t="shared" ca="1" si="19"/>
        <v>0</v>
      </c>
      <c r="K91" s="5">
        <f t="shared" ca="1" si="20"/>
        <v>0</v>
      </c>
      <c r="L91" s="5">
        <f t="shared" ca="1" si="21"/>
        <v>0</v>
      </c>
      <c r="M91" s="5">
        <f t="shared" ca="1" si="22"/>
        <v>0</v>
      </c>
      <c r="N91" s="6">
        <f t="shared" ca="1" si="16"/>
        <v>16.986301369863014</v>
      </c>
      <c r="O91" s="5">
        <f t="shared" si="23"/>
        <v>0</v>
      </c>
    </row>
    <row r="92" spans="2:15" ht="13.2" customHeight="1">
      <c r="B92" s="21"/>
      <c r="E92" s="5">
        <v>88</v>
      </c>
      <c r="F92" s="5">
        <f t="shared" ca="1" si="17"/>
        <v>90</v>
      </c>
      <c r="G92" s="5">
        <f t="shared" ca="1" si="25"/>
        <v>620</v>
      </c>
      <c r="H92" s="5">
        <f t="shared" ca="1" si="18"/>
        <v>530</v>
      </c>
      <c r="I92" s="63">
        <f t="shared" ca="1" si="24"/>
        <v>0</v>
      </c>
      <c r="J92" s="5">
        <f t="shared" ca="1" si="19"/>
        <v>0</v>
      </c>
      <c r="K92" s="5">
        <f t="shared" ca="1" si="20"/>
        <v>0</v>
      </c>
      <c r="L92" s="5">
        <f t="shared" ca="1" si="21"/>
        <v>0</v>
      </c>
      <c r="M92" s="5">
        <f t="shared" ca="1" si="22"/>
        <v>0</v>
      </c>
      <c r="N92" s="6">
        <f t="shared" ca="1" si="16"/>
        <v>14.520547945205479</v>
      </c>
      <c r="O92" s="5">
        <f t="shared" si="23"/>
        <v>0</v>
      </c>
    </row>
    <row r="93" spans="2:15" ht="13.2" customHeight="1">
      <c r="B93" s="21"/>
      <c r="E93" s="5">
        <v>89</v>
      </c>
      <c r="F93" s="5">
        <f t="shared" ca="1" si="17"/>
        <v>120</v>
      </c>
      <c r="G93" s="5">
        <f t="shared" ca="1" si="25"/>
        <v>530</v>
      </c>
      <c r="H93" s="5">
        <f t="shared" ca="1" si="18"/>
        <v>410</v>
      </c>
      <c r="I93" s="63">
        <f t="shared" ca="1" si="24"/>
        <v>0</v>
      </c>
      <c r="J93" s="5">
        <f t="shared" ca="1" si="19"/>
        <v>0</v>
      </c>
      <c r="K93" s="5">
        <f t="shared" ca="1" si="20"/>
        <v>0</v>
      </c>
      <c r="L93" s="5">
        <f t="shared" ca="1" si="21"/>
        <v>0</v>
      </c>
      <c r="M93" s="5">
        <f t="shared" ca="1" si="22"/>
        <v>0</v>
      </c>
      <c r="N93" s="6">
        <f t="shared" ca="1" si="16"/>
        <v>11.232876712328766</v>
      </c>
      <c r="O93" s="5">
        <f t="shared" si="23"/>
        <v>0</v>
      </c>
    </row>
    <row r="94" spans="2:15" ht="13.2" customHeight="1">
      <c r="B94" s="21"/>
      <c r="E94" s="5">
        <v>90</v>
      </c>
      <c r="F94" s="5">
        <f t="shared" ca="1" si="17"/>
        <v>80</v>
      </c>
      <c r="G94" s="5">
        <f t="shared" ca="1" si="25"/>
        <v>410</v>
      </c>
      <c r="H94" s="5">
        <f t="shared" ca="1" si="18"/>
        <v>330</v>
      </c>
      <c r="I94" s="63">
        <f t="shared" ca="1" si="24"/>
        <v>0</v>
      </c>
      <c r="J94" s="5">
        <f t="shared" ca="1" si="19"/>
        <v>0</v>
      </c>
      <c r="K94" s="5">
        <f t="shared" ca="1" si="20"/>
        <v>0</v>
      </c>
      <c r="L94" s="5">
        <f t="shared" ca="1" si="21"/>
        <v>0</v>
      </c>
      <c r="M94" s="5">
        <f t="shared" ca="1" si="22"/>
        <v>0</v>
      </c>
      <c r="N94" s="6">
        <f t="shared" ca="1" si="16"/>
        <v>9.0410958904109577</v>
      </c>
      <c r="O94" s="5">
        <f t="shared" si="23"/>
        <v>0</v>
      </c>
    </row>
    <row r="95" spans="2:15" ht="13.2" customHeight="1">
      <c r="B95" s="21"/>
      <c r="E95" s="5">
        <v>91</v>
      </c>
      <c r="F95" s="5">
        <f t="shared" ca="1" si="17"/>
        <v>110</v>
      </c>
      <c r="G95" s="5">
        <f t="shared" ca="1" si="25"/>
        <v>330</v>
      </c>
      <c r="H95" s="5">
        <f t="shared" ca="1" si="18"/>
        <v>220</v>
      </c>
      <c r="I95" s="63">
        <f t="shared" ca="1" si="24"/>
        <v>0</v>
      </c>
      <c r="J95" s="5">
        <f t="shared" ca="1" si="19"/>
        <v>0</v>
      </c>
      <c r="K95" s="5">
        <f t="shared" ca="1" si="20"/>
        <v>0</v>
      </c>
      <c r="L95" s="5">
        <f t="shared" ca="1" si="21"/>
        <v>0</v>
      </c>
      <c r="M95" s="5">
        <f t="shared" ca="1" si="22"/>
        <v>0</v>
      </c>
      <c r="N95" s="6">
        <f t="shared" ca="1" si="16"/>
        <v>6.0273972602739718</v>
      </c>
      <c r="O95" s="5">
        <f t="shared" si="23"/>
        <v>0</v>
      </c>
    </row>
    <row r="96" spans="2:15" ht="13.2" customHeight="1">
      <c r="B96" s="21"/>
      <c r="E96" s="5">
        <v>92</v>
      </c>
      <c r="F96" s="5">
        <f t="shared" ca="1" si="17"/>
        <v>110</v>
      </c>
      <c r="G96" s="5">
        <f t="shared" ca="1" si="25"/>
        <v>220</v>
      </c>
      <c r="H96" s="5">
        <f t="shared" ca="1" si="18"/>
        <v>110</v>
      </c>
      <c r="I96" s="63">
        <f t="shared" ca="1" si="24"/>
        <v>0</v>
      </c>
      <c r="J96" s="5">
        <f t="shared" ca="1" si="19"/>
        <v>0</v>
      </c>
      <c r="K96" s="5">
        <f t="shared" ca="1" si="20"/>
        <v>0</v>
      </c>
      <c r="L96" s="5">
        <f t="shared" ca="1" si="21"/>
        <v>0</v>
      </c>
      <c r="M96" s="5">
        <f t="shared" ca="1" si="22"/>
        <v>0</v>
      </c>
      <c r="N96" s="6">
        <f t="shared" ca="1" si="16"/>
        <v>3.0136986301369859</v>
      </c>
      <c r="O96" s="5">
        <f t="shared" si="23"/>
        <v>0</v>
      </c>
    </row>
    <row r="97" spans="2:15" ht="13.2" customHeight="1">
      <c r="B97" s="21"/>
      <c r="E97" s="5">
        <v>93</v>
      </c>
      <c r="F97" s="5">
        <f t="shared" ca="1" si="17"/>
        <v>120</v>
      </c>
      <c r="G97" s="5">
        <f t="shared" ca="1" si="25"/>
        <v>110</v>
      </c>
      <c r="H97" s="5">
        <f t="shared" ca="1" si="18"/>
        <v>0</v>
      </c>
      <c r="I97" s="63">
        <f t="shared" ca="1" si="24"/>
        <v>1</v>
      </c>
      <c r="J97" s="5">
        <f t="shared" ca="1" si="19"/>
        <v>0</v>
      </c>
      <c r="K97" s="5">
        <f t="shared" ca="1" si="20"/>
        <v>10</v>
      </c>
      <c r="L97" s="5">
        <f t="shared" ca="1" si="21"/>
        <v>500</v>
      </c>
      <c r="M97" s="5">
        <f t="shared" ca="1" si="22"/>
        <v>200</v>
      </c>
      <c r="N97" s="6">
        <f t="shared" ca="1" si="16"/>
        <v>0</v>
      </c>
      <c r="O97" s="5">
        <f t="shared" si="23"/>
        <v>0</v>
      </c>
    </row>
    <row r="98" spans="2:15" ht="13.2" customHeight="1">
      <c r="B98" s="21"/>
      <c r="E98" s="5">
        <v>94</v>
      </c>
      <c r="F98" s="5">
        <f t="shared" ca="1" si="17"/>
        <v>100</v>
      </c>
      <c r="G98" s="5">
        <f t="shared" ca="1" si="25"/>
        <v>1000</v>
      </c>
      <c r="H98" s="5">
        <f t="shared" ca="1" si="18"/>
        <v>900</v>
      </c>
      <c r="I98" s="63">
        <f t="shared" ca="1" si="24"/>
        <v>0</v>
      </c>
      <c r="J98" s="5">
        <f t="shared" ca="1" si="19"/>
        <v>0</v>
      </c>
      <c r="K98" s="5">
        <f t="shared" ca="1" si="20"/>
        <v>0</v>
      </c>
      <c r="L98" s="5">
        <f t="shared" ca="1" si="21"/>
        <v>0</v>
      </c>
      <c r="M98" s="5">
        <f t="shared" ca="1" si="22"/>
        <v>0</v>
      </c>
      <c r="N98" s="6">
        <f t="shared" ca="1" si="16"/>
        <v>24.657534246575342</v>
      </c>
      <c r="O98" s="5">
        <f t="shared" si="23"/>
        <v>0</v>
      </c>
    </row>
    <row r="99" spans="2:15" ht="13.2" customHeight="1">
      <c r="B99" s="21"/>
      <c r="E99" s="5">
        <v>95</v>
      </c>
      <c r="F99" s="5">
        <f t="shared" ca="1" si="17"/>
        <v>80</v>
      </c>
      <c r="G99" s="5">
        <f t="shared" ca="1" si="25"/>
        <v>900</v>
      </c>
      <c r="H99" s="5">
        <f t="shared" ca="1" si="18"/>
        <v>820</v>
      </c>
      <c r="I99" s="63">
        <f t="shared" ca="1" si="24"/>
        <v>0</v>
      </c>
      <c r="J99" s="5">
        <f t="shared" ca="1" si="19"/>
        <v>0</v>
      </c>
      <c r="K99" s="5">
        <f t="shared" ca="1" si="20"/>
        <v>0</v>
      </c>
      <c r="L99" s="5">
        <f t="shared" ca="1" si="21"/>
        <v>0</v>
      </c>
      <c r="M99" s="5">
        <f t="shared" ca="1" si="22"/>
        <v>0</v>
      </c>
      <c r="N99" s="6">
        <f t="shared" ca="1" si="16"/>
        <v>22.465753424657532</v>
      </c>
      <c r="O99" s="5">
        <f t="shared" si="23"/>
        <v>0</v>
      </c>
    </row>
    <row r="100" spans="2:15" ht="13.2" customHeight="1">
      <c r="B100" s="21"/>
      <c r="E100" s="5">
        <v>96</v>
      </c>
      <c r="F100" s="5">
        <f t="shared" ca="1" si="17"/>
        <v>110</v>
      </c>
      <c r="G100" s="5">
        <f t="shared" ca="1" si="25"/>
        <v>820</v>
      </c>
      <c r="H100" s="5">
        <f t="shared" ca="1" si="18"/>
        <v>710</v>
      </c>
      <c r="I100" s="63">
        <f t="shared" ca="1" si="24"/>
        <v>0</v>
      </c>
      <c r="J100" s="5">
        <f t="shared" ca="1" si="19"/>
        <v>0</v>
      </c>
      <c r="K100" s="5">
        <f t="shared" ca="1" si="20"/>
        <v>0</v>
      </c>
      <c r="L100" s="5">
        <f t="shared" ca="1" si="21"/>
        <v>0</v>
      </c>
      <c r="M100" s="5">
        <f t="shared" ca="1" si="22"/>
        <v>0</v>
      </c>
      <c r="N100" s="6">
        <f t="shared" ca="1" si="16"/>
        <v>19.452054794520546</v>
      </c>
      <c r="O100" s="5">
        <f t="shared" si="23"/>
        <v>0</v>
      </c>
    </row>
    <row r="101" spans="2:15" ht="13.2" customHeight="1">
      <c r="B101" s="21"/>
      <c r="E101" s="5">
        <v>97</v>
      </c>
      <c r="F101" s="5">
        <f t="shared" ca="1" si="17"/>
        <v>120</v>
      </c>
      <c r="G101" s="5">
        <f t="shared" ca="1" si="25"/>
        <v>710</v>
      </c>
      <c r="H101" s="5">
        <f t="shared" ca="1" si="18"/>
        <v>590</v>
      </c>
      <c r="I101" s="63">
        <f t="shared" ca="1" si="24"/>
        <v>0</v>
      </c>
      <c r="J101" s="5">
        <f t="shared" ca="1" si="19"/>
        <v>0</v>
      </c>
      <c r="K101" s="5">
        <f t="shared" ca="1" si="20"/>
        <v>0</v>
      </c>
      <c r="L101" s="5">
        <f t="shared" ca="1" si="21"/>
        <v>0</v>
      </c>
      <c r="M101" s="5">
        <f t="shared" ca="1" si="22"/>
        <v>0</v>
      </c>
      <c r="N101" s="6">
        <f t="shared" ca="1" si="16"/>
        <v>16.164383561643834</v>
      </c>
      <c r="O101" s="5">
        <f t="shared" si="23"/>
        <v>0</v>
      </c>
    </row>
    <row r="102" spans="2:15" ht="13.2" customHeight="1">
      <c r="B102" s="21"/>
      <c r="E102" s="5">
        <v>98</v>
      </c>
      <c r="F102" s="5">
        <f t="shared" ca="1" si="17"/>
        <v>110</v>
      </c>
      <c r="G102" s="5">
        <f t="shared" ca="1" si="25"/>
        <v>590</v>
      </c>
      <c r="H102" s="5">
        <f t="shared" ca="1" si="18"/>
        <v>480</v>
      </c>
      <c r="I102" s="63">
        <f t="shared" ca="1" si="24"/>
        <v>0</v>
      </c>
      <c r="J102" s="5">
        <f t="shared" ca="1" si="19"/>
        <v>0</v>
      </c>
      <c r="K102" s="5">
        <f t="shared" ca="1" si="20"/>
        <v>0</v>
      </c>
      <c r="L102" s="5">
        <f t="shared" ca="1" si="21"/>
        <v>0</v>
      </c>
      <c r="M102" s="5">
        <f t="shared" ca="1" si="22"/>
        <v>0</v>
      </c>
      <c r="N102" s="6">
        <f t="shared" ca="1" si="16"/>
        <v>13.150684931506849</v>
      </c>
      <c r="O102" s="5">
        <f t="shared" si="23"/>
        <v>0</v>
      </c>
    </row>
    <row r="103" spans="2:15" ht="13.2" customHeight="1">
      <c r="B103" s="21"/>
      <c r="E103" s="5">
        <v>99</v>
      </c>
      <c r="F103" s="5">
        <f t="shared" ca="1" si="17"/>
        <v>120</v>
      </c>
      <c r="G103" s="5">
        <f t="shared" ca="1" si="25"/>
        <v>480</v>
      </c>
      <c r="H103" s="5">
        <f t="shared" ca="1" si="18"/>
        <v>360</v>
      </c>
      <c r="I103" s="63">
        <f t="shared" ca="1" si="24"/>
        <v>0</v>
      </c>
      <c r="J103" s="5">
        <f t="shared" ca="1" si="19"/>
        <v>0</v>
      </c>
      <c r="K103" s="5">
        <f t="shared" ca="1" si="20"/>
        <v>0</v>
      </c>
      <c r="L103" s="5">
        <f t="shared" ca="1" si="21"/>
        <v>0</v>
      </c>
      <c r="M103" s="5">
        <f t="shared" ca="1" si="22"/>
        <v>0</v>
      </c>
      <c r="N103" s="6">
        <f t="shared" ca="1" si="16"/>
        <v>9.8630136986301373</v>
      </c>
      <c r="O103" s="5">
        <f t="shared" si="23"/>
        <v>0</v>
      </c>
    </row>
    <row r="104" spans="2:15" ht="13.2" customHeight="1">
      <c r="B104" s="21"/>
      <c r="E104" s="5">
        <v>100</v>
      </c>
      <c r="F104" s="5">
        <f t="shared" ca="1" si="17"/>
        <v>110</v>
      </c>
      <c r="G104" s="5">
        <f t="shared" ca="1" si="25"/>
        <v>360</v>
      </c>
      <c r="H104" s="5">
        <f t="shared" ca="1" si="18"/>
        <v>250</v>
      </c>
      <c r="I104" s="63">
        <f t="shared" ca="1" si="24"/>
        <v>0</v>
      </c>
      <c r="J104" s="5">
        <f t="shared" ca="1" si="19"/>
        <v>0</v>
      </c>
      <c r="K104" s="5">
        <f t="shared" ca="1" si="20"/>
        <v>0</v>
      </c>
      <c r="L104" s="5">
        <f t="shared" ca="1" si="21"/>
        <v>0</v>
      </c>
      <c r="M104" s="5">
        <f t="shared" ca="1" si="22"/>
        <v>0</v>
      </c>
      <c r="N104" s="6">
        <f t="shared" ca="1" si="16"/>
        <v>6.8493150684931505</v>
      </c>
      <c r="O104" s="5">
        <f t="shared" si="23"/>
        <v>0</v>
      </c>
    </row>
    <row r="105" spans="2:15" ht="13.2" customHeight="1">
      <c r="B105" s="21"/>
      <c r="E105" s="5">
        <v>101</v>
      </c>
      <c r="F105" s="5">
        <f t="shared" ca="1" si="17"/>
        <v>110</v>
      </c>
      <c r="G105" s="5">
        <f t="shared" ca="1" si="25"/>
        <v>250</v>
      </c>
      <c r="H105" s="5">
        <f t="shared" ca="1" si="18"/>
        <v>140</v>
      </c>
      <c r="I105" s="63">
        <f t="shared" ca="1" si="24"/>
        <v>0</v>
      </c>
      <c r="J105" s="5">
        <f t="shared" ca="1" si="19"/>
        <v>0</v>
      </c>
      <c r="K105" s="5">
        <f t="shared" ca="1" si="20"/>
        <v>0</v>
      </c>
      <c r="L105" s="5">
        <f t="shared" ca="1" si="21"/>
        <v>0</v>
      </c>
      <c r="M105" s="5">
        <f t="shared" ca="1" si="22"/>
        <v>0</v>
      </c>
      <c r="N105" s="6">
        <f t="shared" ca="1" si="16"/>
        <v>3.8356164383561642</v>
      </c>
      <c r="O105" s="5">
        <f t="shared" si="23"/>
        <v>0</v>
      </c>
    </row>
    <row r="106" spans="2:15" ht="13.2" customHeight="1">
      <c r="B106" s="21"/>
      <c r="E106" s="5">
        <v>102</v>
      </c>
      <c r="F106" s="5">
        <f t="shared" ca="1" si="17"/>
        <v>110</v>
      </c>
      <c r="G106" s="5">
        <f t="shared" ca="1" si="25"/>
        <v>140</v>
      </c>
      <c r="H106" s="5">
        <f t="shared" ca="1" si="18"/>
        <v>30</v>
      </c>
      <c r="I106" s="63">
        <f t="shared" ca="1" si="24"/>
        <v>1</v>
      </c>
      <c r="J106" s="5">
        <f t="shared" ca="1" si="19"/>
        <v>1</v>
      </c>
      <c r="K106" s="5">
        <f t="shared" ca="1" si="20"/>
        <v>0</v>
      </c>
      <c r="L106" s="5">
        <f t="shared" ca="1" si="21"/>
        <v>0</v>
      </c>
      <c r="M106" s="5">
        <f t="shared" ca="1" si="22"/>
        <v>200</v>
      </c>
      <c r="N106" s="6">
        <f t="shared" ca="1" si="16"/>
        <v>0.82191780821917804</v>
      </c>
      <c r="O106" s="5">
        <f t="shared" si="23"/>
        <v>0</v>
      </c>
    </row>
    <row r="107" spans="2:15" ht="13.2" customHeight="1">
      <c r="B107" s="21"/>
      <c r="E107" s="5">
        <v>103</v>
      </c>
      <c r="F107" s="5">
        <f t="shared" ca="1" si="17"/>
        <v>110</v>
      </c>
      <c r="G107" s="5">
        <f t="shared" ca="1" si="25"/>
        <v>30</v>
      </c>
      <c r="H107" s="5">
        <f t="shared" ca="1" si="18"/>
        <v>0</v>
      </c>
      <c r="I107" s="63">
        <f t="shared" ca="1" si="24"/>
        <v>0</v>
      </c>
      <c r="J107" s="5">
        <f t="shared" ca="1" si="19"/>
        <v>0</v>
      </c>
      <c r="K107" s="5">
        <f t="shared" ca="1" si="20"/>
        <v>80</v>
      </c>
      <c r="L107" s="5">
        <f t="shared" ca="1" si="21"/>
        <v>4000</v>
      </c>
      <c r="M107" s="5">
        <f t="shared" ca="1" si="22"/>
        <v>0</v>
      </c>
      <c r="N107" s="6">
        <f t="shared" ca="1" si="16"/>
        <v>0</v>
      </c>
      <c r="O107" s="5">
        <f t="shared" si="23"/>
        <v>0</v>
      </c>
    </row>
    <row r="108" spans="2:15" ht="13.2" customHeight="1">
      <c r="B108" s="21"/>
      <c r="E108" s="5">
        <v>104</v>
      </c>
      <c r="F108" s="5">
        <f t="shared" ca="1" si="17"/>
        <v>80</v>
      </c>
      <c r="G108" s="5">
        <f t="shared" ca="1" si="25"/>
        <v>1000</v>
      </c>
      <c r="H108" s="5">
        <f t="shared" ca="1" si="18"/>
        <v>920</v>
      </c>
      <c r="I108" s="63">
        <f t="shared" ca="1" si="24"/>
        <v>0</v>
      </c>
      <c r="J108" s="5">
        <f t="shared" ca="1" si="19"/>
        <v>0</v>
      </c>
      <c r="K108" s="5">
        <f t="shared" ca="1" si="20"/>
        <v>0</v>
      </c>
      <c r="L108" s="5">
        <f t="shared" ca="1" si="21"/>
        <v>0</v>
      </c>
      <c r="M108" s="5">
        <f t="shared" ca="1" si="22"/>
        <v>0</v>
      </c>
      <c r="N108" s="6">
        <f t="shared" ca="1" si="16"/>
        <v>25.205479452054792</v>
      </c>
      <c r="O108" s="5">
        <f t="shared" si="23"/>
        <v>0</v>
      </c>
    </row>
    <row r="109" spans="2:15" ht="13.2" customHeight="1">
      <c r="B109" s="21"/>
      <c r="E109" s="5">
        <v>105</v>
      </c>
      <c r="F109" s="5">
        <f t="shared" ca="1" si="17"/>
        <v>120</v>
      </c>
      <c r="G109" s="5">
        <f t="shared" ca="1" si="25"/>
        <v>920</v>
      </c>
      <c r="H109" s="5">
        <f t="shared" ca="1" si="18"/>
        <v>800</v>
      </c>
      <c r="I109" s="63">
        <f t="shared" ca="1" si="24"/>
        <v>0</v>
      </c>
      <c r="J109" s="5">
        <f t="shared" ca="1" si="19"/>
        <v>0</v>
      </c>
      <c r="K109" s="5">
        <f t="shared" ca="1" si="20"/>
        <v>0</v>
      </c>
      <c r="L109" s="5">
        <f t="shared" ca="1" si="21"/>
        <v>0</v>
      </c>
      <c r="M109" s="5">
        <f t="shared" ca="1" si="22"/>
        <v>0</v>
      </c>
      <c r="N109" s="6">
        <f t="shared" ca="1" si="16"/>
        <v>21.917808219178081</v>
      </c>
      <c r="O109" s="5">
        <f t="shared" si="23"/>
        <v>0</v>
      </c>
    </row>
    <row r="110" spans="2:15" ht="13.2" customHeight="1">
      <c r="B110" s="21"/>
      <c r="E110" s="5">
        <v>106</v>
      </c>
      <c r="F110" s="5">
        <f t="shared" ca="1" si="17"/>
        <v>110</v>
      </c>
      <c r="G110" s="5">
        <f t="shared" ca="1" si="25"/>
        <v>800</v>
      </c>
      <c r="H110" s="5">
        <f t="shared" ca="1" si="18"/>
        <v>690</v>
      </c>
      <c r="I110" s="63">
        <f t="shared" ca="1" si="24"/>
        <v>0</v>
      </c>
      <c r="J110" s="5">
        <f t="shared" ca="1" si="19"/>
        <v>0</v>
      </c>
      <c r="K110" s="5">
        <f t="shared" ca="1" si="20"/>
        <v>0</v>
      </c>
      <c r="L110" s="5">
        <f t="shared" ca="1" si="21"/>
        <v>0</v>
      </c>
      <c r="M110" s="5">
        <f t="shared" ca="1" si="22"/>
        <v>0</v>
      </c>
      <c r="N110" s="6">
        <f t="shared" ca="1" si="16"/>
        <v>18.904109589041095</v>
      </c>
      <c r="O110" s="5">
        <f t="shared" si="23"/>
        <v>0</v>
      </c>
    </row>
    <row r="111" spans="2:15" ht="13.2" customHeight="1">
      <c r="B111" s="21"/>
      <c r="E111" s="5">
        <v>107</v>
      </c>
      <c r="F111" s="5">
        <f t="shared" ca="1" si="17"/>
        <v>90</v>
      </c>
      <c r="G111" s="5">
        <f t="shared" ca="1" si="25"/>
        <v>690</v>
      </c>
      <c r="H111" s="5">
        <f t="shared" ca="1" si="18"/>
        <v>600</v>
      </c>
      <c r="I111" s="63">
        <f t="shared" ca="1" si="24"/>
        <v>0</v>
      </c>
      <c r="J111" s="5">
        <f t="shared" ca="1" si="19"/>
        <v>0</v>
      </c>
      <c r="K111" s="5">
        <f t="shared" ca="1" si="20"/>
        <v>0</v>
      </c>
      <c r="L111" s="5">
        <f t="shared" ca="1" si="21"/>
        <v>0</v>
      </c>
      <c r="M111" s="5">
        <f t="shared" ca="1" si="22"/>
        <v>0</v>
      </c>
      <c r="N111" s="6">
        <f t="shared" ca="1" si="16"/>
        <v>16.43835616438356</v>
      </c>
      <c r="O111" s="5">
        <f t="shared" si="23"/>
        <v>0</v>
      </c>
    </row>
    <row r="112" spans="2:15" ht="13.2" customHeight="1">
      <c r="B112" s="21"/>
      <c r="E112" s="5">
        <v>108</v>
      </c>
      <c r="F112" s="5">
        <f t="shared" ca="1" si="17"/>
        <v>120</v>
      </c>
      <c r="G112" s="5">
        <f t="shared" ca="1" si="25"/>
        <v>600</v>
      </c>
      <c r="H112" s="5">
        <f t="shared" ca="1" si="18"/>
        <v>480</v>
      </c>
      <c r="I112" s="63">
        <f t="shared" ca="1" si="24"/>
        <v>0</v>
      </c>
      <c r="J112" s="5">
        <f t="shared" ca="1" si="19"/>
        <v>0</v>
      </c>
      <c r="K112" s="5">
        <f t="shared" ca="1" si="20"/>
        <v>0</v>
      </c>
      <c r="L112" s="5">
        <f t="shared" ca="1" si="21"/>
        <v>0</v>
      </c>
      <c r="M112" s="5">
        <f t="shared" ca="1" si="22"/>
        <v>0</v>
      </c>
      <c r="N112" s="6">
        <f t="shared" ca="1" si="16"/>
        <v>13.150684931506849</v>
      </c>
      <c r="O112" s="5">
        <f t="shared" si="23"/>
        <v>0</v>
      </c>
    </row>
    <row r="113" spans="2:15" ht="13.2" customHeight="1">
      <c r="B113" s="21"/>
      <c r="E113" s="5">
        <v>109</v>
      </c>
      <c r="F113" s="5">
        <f t="shared" ca="1" si="17"/>
        <v>100</v>
      </c>
      <c r="G113" s="5">
        <f t="shared" ca="1" si="25"/>
        <v>480</v>
      </c>
      <c r="H113" s="5">
        <f t="shared" ca="1" si="18"/>
        <v>380</v>
      </c>
      <c r="I113" s="63">
        <f t="shared" ca="1" si="24"/>
        <v>0</v>
      </c>
      <c r="J113" s="5">
        <f t="shared" ca="1" si="19"/>
        <v>0</v>
      </c>
      <c r="K113" s="5">
        <f t="shared" ca="1" si="20"/>
        <v>0</v>
      </c>
      <c r="L113" s="5">
        <f t="shared" ca="1" si="21"/>
        <v>0</v>
      </c>
      <c r="M113" s="5">
        <f t="shared" ca="1" si="22"/>
        <v>0</v>
      </c>
      <c r="N113" s="6">
        <f t="shared" ca="1" si="16"/>
        <v>10.410958904109588</v>
      </c>
      <c r="O113" s="5">
        <f t="shared" si="23"/>
        <v>0</v>
      </c>
    </row>
    <row r="114" spans="2:15" ht="13.2" customHeight="1">
      <c r="B114" s="21"/>
      <c r="E114" s="5">
        <v>110</v>
      </c>
      <c r="F114" s="5">
        <f t="shared" ca="1" si="17"/>
        <v>100</v>
      </c>
      <c r="G114" s="5">
        <f t="shared" ca="1" si="25"/>
        <v>380</v>
      </c>
      <c r="H114" s="5">
        <f t="shared" ca="1" si="18"/>
        <v>280</v>
      </c>
      <c r="I114" s="63">
        <f t="shared" ca="1" si="24"/>
        <v>0</v>
      </c>
      <c r="J114" s="5">
        <f t="shared" ca="1" si="19"/>
        <v>0</v>
      </c>
      <c r="K114" s="5">
        <f t="shared" ca="1" si="20"/>
        <v>0</v>
      </c>
      <c r="L114" s="5">
        <f t="shared" ca="1" si="21"/>
        <v>0</v>
      </c>
      <c r="M114" s="5">
        <f t="shared" ca="1" si="22"/>
        <v>0</v>
      </c>
      <c r="N114" s="6">
        <f t="shared" ca="1" si="16"/>
        <v>7.6712328767123283</v>
      </c>
      <c r="O114" s="5">
        <f t="shared" si="23"/>
        <v>0</v>
      </c>
    </row>
    <row r="115" spans="2:15" ht="13.2" customHeight="1">
      <c r="B115" s="21"/>
      <c r="E115" s="5">
        <v>111</v>
      </c>
      <c r="F115" s="5">
        <f t="shared" ca="1" si="17"/>
        <v>120</v>
      </c>
      <c r="G115" s="5">
        <f t="shared" ca="1" si="25"/>
        <v>280</v>
      </c>
      <c r="H115" s="5">
        <f t="shared" ca="1" si="18"/>
        <v>160</v>
      </c>
      <c r="I115" s="63">
        <f t="shared" ca="1" si="24"/>
        <v>0</v>
      </c>
      <c r="J115" s="5">
        <f t="shared" ca="1" si="19"/>
        <v>0</v>
      </c>
      <c r="K115" s="5">
        <f t="shared" ca="1" si="20"/>
        <v>0</v>
      </c>
      <c r="L115" s="5">
        <f t="shared" ca="1" si="21"/>
        <v>0</v>
      </c>
      <c r="M115" s="5">
        <f t="shared" ca="1" si="22"/>
        <v>0</v>
      </c>
      <c r="N115" s="6">
        <f t="shared" ca="1" si="16"/>
        <v>4.3835616438356162</v>
      </c>
      <c r="O115" s="5">
        <f t="shared" si="23"/>
        <v>0</v>
      </c>
    </row>
    <row r="116" spans="2:15" ht="13.2" customHeight="1">
      <c r="B116" s="21"/>
      <c r="E116" s="5">
        <v>112</v>
      </c>
      <c r="F116" s="5">
        <f t="shared" ca="1" si="17"/>
        <v>100</v>
      </c>
      <c r="G116" s="5">
        <f t="shared" ca="1" si="25"/>
        <v>160</v>
      </c>
      <c r="H116" s="5">
        <f t="shared" ca="1" si="18"/>
        <v>60</v>
      </c>
      <c r="I116" s="63">
        <f t="shared" ca="1" si="24"/>
        <v>1</v>
      </c>
      <c r="J116" s="5">
        <f t="shared" ca="1" si="19"/>
        <v>0</v>
      </c>
      <c r="K116" s="5">
        <f t="shared" ca="1" si="20"/>
        <v>0</v>
      </c>
      <c r="L116" s="5">
        <f t="shared" ca="1" si="21"/>
        <v>0</v>
      </c>
      <c r="M116" s="5">
        <f t="shared" ca="1" si="22"/>
        <v>200</v>
      </c>
      <c r="N116" s="6">
        <f t="shared" ca="1" si="16"/>
        <v>1.6438356164383561</v>
      </c>
      <c r="O116" s="5">
        <f t="shared" si="23"/>
        <v>0</v>
      </c>
    </row>
    <row r="117" spans="2:15" ht="13.2" customHeight="1">
      <c r="B117" s="21"/>
      <c r="E117" s="5">
        <v>113</v>
      </c>
      <c r="F117" s="5">
        <f t="shared" ca="1" si="17"/>
        <v>100</v>
      </c>
      <c r="G117" s="5">
        <f t="shared" ca="1" si="25"/>
        <v>1060</v>
      </c>
      <c r="H117" s="5">
        <f t="shared" ca="1" si="18"/>
        <v>960</v>
      </c>
      <c r="I117" s="63">
        <f t="shared" ca="1" si="24"/>
        <v>0</v>
      </c>
      <c r="J117" s="5">
        <f t="shared" ca="1" si="19"/>
        <v>0</v>
      </c>
      <c r="K117" s="5">
        <f t="shared" ca="1" si="20"/>
        <v>0</v>
      </c>
      <c r="L117" s="5">
        <f t="shared" ca="1" si="21"/>
        <v>0</v>
      </c>
      <c r="M117" s="5">
        <f t="shared" ca="1" si="22"/>
        <v>0</v>
      </c>
      <c r="N117" s="6">
        <f t="shared" ca="1" si="16"/>
        <v>26.301369863013697</v>
      </c>
      <c r="O117" s="5">
        <f t="shared" si="23"/>
        <v>0</v>
      </c>
    </row>
    <row r="118" spans="2:15" ht="13.2" customHeight="1">
      <c r="B118" s="21"/>
      <c r="E118" s="5">
        <v>114</v>
      </c>
      <c r="F118" s="5">
        <f t="shared" ca="1" si="17"/>
        <v>110</v>
      </c>
      <c r="G118" s="5">
        <f t="shared" ca="1" si="25"/>
        <v>960</v>
      </c>
      <c r="H118" s="5">
        <f t="shared" ca="1" si="18"/>
        <v>850</v>
      </c>
      <c r="I118" s="63">
        <f t="shared" ca="1" si="24"/>
        <v>0</v>
      </c>
      <c r="J118" s="5">
        <f t="shared" ca="1" si="19"/>
        <v>0</v>
      </c>
      <c r="K118" s="5">
        <f t="shared" ca="1" si="20"/>
        <v>0</v>
      </c>
      <c r="L118" s="5">
        <f t="shared" ca="1" si="21"/>
        <v>0</v>
      </c>
      <c r="M118" s="5">
        <f t="shared" ca="1" si="22"/>
        <v>0</v>
      </c>
      <c r="N118" s="6">
        <f t="shared" ca="1" si="16"/>
        <v>23.287671232876711</v>
      </c>
      <c r="O118" s="5">
        <f t="shared" si="23"/>
        <v>0</v>
      </c>
    </row>
    <row r="119" spans="2:15" ht="13.2" customHeight="1">
      <c r="B119" s="21"/>
      <c r="E119" s="5">
        <v>115</v>
      </c>
      <c r="F119" s="5">
        <f t="shared" ca="1" si="17"/>
        <v>110</v>
      </c>
      <c r="G119" s="5">
        <f t="shared" ca="1" si="25"/>
        <v>850</v>
      </c>
      <c r="H119" s="5">
        <f t="shared" ca="1" si="18"/>
        <v>740</v>
      </c>
      <c r="I119" s="63">
        <f t="shared" ca="1" si="24"/>
        <v>0</v>
      </c>
      <c r="J119" s="5">
        <f t="shared" ca="1" si="19"/>
        <v>0</v>
      </c>
      <c r="K119" s="5">
        <f t="shared" ca="1" si="20"/>
        <v>0</v>
      </c>
      <c r="L119" s="5">
        <f t="shared" ca="1" si="21"/>
        <v>0</v>
      </c>
      <c r="M119" s="5">
        <f t="shared" ca="1" si="22"/>
        <v>0</v>
      </c>
      <c r="N119" s="6">
        <f t="shared" ca="1" si="16"/>
        <v>20.273972602739725</v>
      </c>
      <c r="O119" s="5">
        <f t="shared" si="23"/>
        <v>0</v>
      </c>
    </row>
    <row r="120" spans="2:15" ht="13.2" customHeight="1">
      <c r="B120" s="21"/>
      <c r="E120" s="5">
        <v>116</v>
      </c>
      <c r="F120" s="5">
        <f t="shared" ca="1" si="17"/>
        <v>100</v>
      </c>
      <c r="G120" s="5">
        <f t="shared" ca="1" si="25"/>
        <v>740</v>
      </c>
      <c r="H120" s="5">
        <f t="shared" ca="1" si="18"/>
        <v>640</v>
      </c>
      <c r="I120" s="63">
        <f t="shared" ca="1" si="24"/>
        <v>0</v>
      </c>
      <c r="J120" s="5">
        <f t="shared" ca="1" si="19"/>
        <v>0</v>
      </c>
      <c r="K120" s="5">
        <f t="shared" ca="1" si="20"/>
        <v>0</v>
      </c>
      <c r="L120" s="5">
        <f t="shared" ca="1" si="21"/>
        <v>0</v>
      </c>
      <c r="M120" s="5">
        <f t="shared" ca="1" si="22"/>
        <v>0</v>
      </c>
      <c r="N120" s="6">
        <f t="shared" ca="1" si="16"/>
        <v>17.534246575342465</v>
      </c>
      <c r="O120" s="5">
        <f t="shared" si="23"/>
        <v>0</v>
      </c>
    </row>
    <row r="121" spans="2:15" ht="13.2" customHeight="1">
      <c r="B121" s="21"/>
      <c r="E121" s="5">
        <v>117</v>
      </c>
      <c r="F121" s="5">
        <f t="shared" ca="1" si="17"/>
        <v>100</v>
      </c>
      <c r="G121" s="5">
        <f t="shared" ca="1" si="25"/>
        <v>640</v>
      </c>
      <c r="H121" s="5">
        <f t="shared" ca="1" si="18"/>
        <v>540</v>
      </c>
      <c r="I121" s="63">
        <f t="shared" ca="1" si="24"/>
        <v>0</v>
      </c>
      <c r="J121" s="5">
        <f t="shared" ca="1" si="19"/>
        <v>0</v>
      </c>
      <c r="K121" s="5">
        <f t="shared" ca="1" si="20"/>
        <v>0</v>
      </c>
      <c r="L121" s="5">
        <f t="shared" ca="1" si="21"/>
        <v>0</v>
      </c>
      <c r="M121" s="5">
        <f t="shared" ca="1" si="22"/>
        <v>0</v>
      </c>
      <c r="N121" s="6">
        <f t="shared" ca="1" si="16"/>
        <v>14.794520547945204</v>
      </c>
      <c r="O121" s="5">
        <f t="shared" si="23"/>
        <v>0</v>
      </c>
    </row>
    <row r="122" spans="2:15" ht="13.2" customHeight="1">
      <c r="B122" s="21"/>
      <c r="E122" s="5">
        <v>118</v>
      </c>
      <c r="F122" s="5">
        <f t="shared" ca="1" si="17"/>
        <v>120</v>
      </c>
      <c r="G122" s="5">
        <f t="shared" ca="1" si="25"/>
        <v>540</v>
      </c>
      <c r="H122" s="5">
        <f t="shared" ca="1" si="18"/>
        <v>420</v>
      </c>
      <c r="I122" s="63">
        <f t="shared" ca="1" si="24"/>
        <v>0</v>
      </c>
      <c r="J122" s="5">
        <f t="shared" ca="1" si="19"/>
        <v>0</v>
      </c>
      <c r="K122" s="5">
        <f t="shared" ca="1" si="20"/>
        <v>0</v>
      </c>
      <c r="L122" s="5">
        <f t="shared" ca="1" si="21"/>
        <v>0</v>
      </c>
      <c r="M122" s="5">
        <f t="shared" ca="1" si="22"/>
        <v>0</v>
      </c>
      <c r="N122" s="6">
        <f t="shared" ca="1" si="16"/>
        <v>11.506849315068493</v>
      </c>
      <c r="O122" s="5">
        <f t="shared" si="23"/>
        <v>0</v>
      </c>
    </row>
    <row r="123" spans="2:15" ht="13.2" customHeight="1">
      <c r="B123" s="21"/>
      <c r="E123" s="5">
        <v>119</v>
      </c>
      <c r="F123" s="5">
        <f t="shared" ca="1" si="17"/>
        <v>110</v>
      </c>
      <c r="G123" s="5">
        <f t="shared" ca="1" si="25"/>
        <v>420</v>
      </c>
      <c r="H123" s="5">
        <f t="shared" ca="1" si="18"/>
        <v>310</v>
      </c>
      <c r="I123" s="63">
        <f t="shared" ca="1" si="24"/>
        <v>0</v>
      </c>
      <c r="J123" s="5">
        <f t="shared" ca="1" si="19"/>
        <v>0</v>
      </c>
      <c r="K123" s="5">
        <f t="shared" ca="1" si="20"/>
        <v>0</v>
      </c>
      <c r="L123" s="5">
        <f t="shared" ca="1" si="21"/>
        <v>0</v>
      </c>
      <c r="M123" s="5">
        <f t="shared" ca="1" si="22"/>
        <v>0</v>
      </c>
      <c r="N123" s="6">
        <f t="shared" ca="1" si="16"/>
        <v>8.493150684931507</v>
      </c>
      <c r="O123" s="5">
        <f t="shared" si="23"/>
        <v>0</v>
      </c>
    </row>
    <row r="124" spans="2:15" ht="13.2" customHeight="1">
      <c r="B124" s="21"/>
      <c r="E124" s="5">
        <v>120</v>
      </c>
      <c r="F124" s="5">
        <f t="shared" ca="1" si="17"/>
        <v>90</v>
      </c>
      <c r="G124" s="5">
        <f t="shared" ca="1" si="25"/>
        <v>310</v>
      </c>
      <c r="H124" s="5">
        <f t="shared" ca="1" si="18"/>
        <v>220</v>
      </c>
      <c r="I124" s="63">
        <f t="shared" ca="1" si="24"/>
        <v>0</v>
      </c>
      <c r="J124" s="5">
        <f t="shared" ca="1" si="19"/>
        <v>0</v>
      </c>
      <c r="K124" s="5">
        <f t="shared" ca="1" si="20"/>
        <v>0</v>
      </c>
      <c r="L124" s="5">
        <f t="shared" ca="1" si="21"/>
        <v>0</v>
      </c>
      <c r="M124" s="5">
        <f t="shared" ca="1" si="22"/>
        <v>0</v>
      </c>
      <c r="N124" s="6">
        <f t="shared" ca="1" si="16"/>
        <v>6.0273972602739718</v>
      </c>
      <c r="O124" s="5">
        <f t="shared" si="23"/>
        <v>0</v>
      </c>
    </row>
    <row r="125" spans="2:15" ht="13.2" customHeight="1">
      <c r="B125" s="21"/>
      <c r="E125" s="5">
        <v>121</v>
      </c>
      <c r="F125" s="5">
        <f t="shared" ca="1" si="17"/>
        <v>100</v>
      </c>
      <c r="G125" s="5">
        <f t="shared" ca="1" si="25"/>
        <v>220</v>
      </c>
      <c r="H125" s="5">
        <f t="shared" ca="1" si="18"/>
        <v>120</v>
      </c>
      <c r="I125" s="63">
        <f t="shared" ca="1" si="24"/>
        <v>0</v>
      </c>
      <c r="J125" s="5">
        <f t="shared" ca="1" si="19"/>
        <v>0</v>
      </c>
      <c r="K125" s="5">
        <f t="shared" ca="1" si="20"/>
        <v>0</v>
      </c>
      <c r="L125" s="5">
        <f t="shared" ca="1" si="21"/>
        <v>0</v>
      </c>
      <c r="M125" s="5">
        <f t="shared" ca="1" si="22"/>
        <v>0</v>
      </c>
      <c r="N125" s="6">
        <f t="shared" ca="1" si="16"/>
        <v>3.2876712328767121</v>
      </c>
      <c r="O125" s="5">
        <f t="shared" si="23"/>
        <v>0</v>
      </c>
    </row>
    <row r="126" spans="2:15" ht="13.2" customHeight="1">
      <c r="B126" s="21"/>
      <c r="E126" s="5">
        <v>122</v>
      </c>
      <c r="F126" s="5">
        <f t="shared" ca="1" si="17"/>
        <v>110</v>
      </c>
      <c r="G126" s="5">
        <f t="shared" ca="1" si="25"/>
        <v>120</v>
      </c>
      <c r="H126" s="5">
        <f t="shared" ca="1" si="18"/>
        <v>10</v>
      </c>
      <c r="I126" s="63">
        <f t="shared" ca="1" si="24"/>
        <v>1</v>
      </c>
      <c r="J126" s="5">
        <f t="shared" ca="1" si="19"/>
        <v>0</v>
      </c>
      <c r="K126" s="5">
        <f t="shared" ca="1" si="20"/>
        <v>0</v>
      </c>
      <c r="L126" s="5">
        <f t="shared" ca="1" si="21"/>
        <v>0</v>
      </c>
      <c r="M126" s="5">
        <f t="shared" ca="1" si="22"/>
        <v>200</v>
      </c>
      <c r="N126" s="6">
        <f t="shared" ca="1" si="16"/>
        <v>0.27397260273972601</v>
      </c>
      <c r="O126" s="5">
        <f t="shared" si="23"/>
        <v>0</v>
      </c>
    </row>
    <row r="127" spans="2:15" ht="13.2" customHeight="1">
      <c r="B127" s="21"/>
      <c r="E127" s="5">
        <v>123</v>
      </c>
      <c r="F127" s="5">
        <f t="shared" ca="1" si="17"/>
        <v>120</v>
      </c>
      <c r="G127" s="5">
        <f t="shared" ca="1" si="25"/>
        <v>1010</v>
      </c>
      <c r="H127" s="5">
        <f t="shared" ca="1" si="18"/>
        <v>890</v>
      </c>
      <c r="I127" s="63">
        <f t="shared" ca="1" si="24"/>
        <v>0</v>
      </c>
      <c r="J127" s="5">
        <f t="shared" ca="1" si="19"/>
        <v>0</v>
      </c>
      <c r="K127" s="5">
        <f t="shared" ca="1" si="20"/>
        <v>0</v>
      </c>
      <c r="L127" s="5">
        <f t="shared" ca="1" si="21"/>
        <v>0</v>
      </c>
      <c r="M127" s="5">
        <f t="shared" ca="1" si="22"/>
        <v>0</v>
      </c>
      <c r="N127" s="6">
        <f t="shared" ca="1" si="16"/>
        <v>24.383561643835616</v>
      </c>
      <c r="O127" s="5">
        <f t="shared" si="23"/>
        <v>0</v>
      </c>
    </row>
    <row r="128" spans="2:15" ht="13.2" customHeight="1">
      <c r="B128" s="21"/>
      <c r="E128" s="5">
        <v>124</v>
      </c>
      <c r="F128" s="5">
        <f t="shared" ca="1" si="17"/>
        <v>100</v>
      </c>
      <c r="G128" s="5">
        <f t="shared" ca="1" si="25"/>
        <v>890</v>
      </c>
      <c r="H128" s="5">
        <f t="shared" ca="1" si="18"/>
        <v>790</v>
      </c>
      <c r="I128" s="63">
        <f t="shared" ca="1" si="24"/>
        <v>0</v>
      </c>
      <c r="J128" s="5">
        <f t="shared" ca="1" si="19"/>
        <v>0</v>
      </c>
      <c r="K128" s="5">
        <f t="shared" ca="1" si="20"/>
        <v>0</v>
      </c>
      <c r="L128" s="5">
        <f t="shared" ca="1" si="21"/>
        <v>0</v>
      </c>
      <c r="M128" s="5">
        <f t="shared" ca="1" si="22"/>
        <v>0</v>
      </c>
      <c r="N128" s="6">
        <f t="shared" ca="1" si="16"/>
        <v>21.643835616438356</v>
      </c>
      <c r="O128" s="5">
        <f t="shared" si="23"/>
        <v>0</v>
      </c>
    </row>
    <row r="129" spans="2:15" ht="13.2" customHeight="1">
      <c r="B129" s="21"/>
      <c r="E129" s="5">
        <v>125</v>
      </c>
      <c r="F129" s="5">
        <f t="shared" ca="1" si="17"/>
        <v>100</v>
      </c>
      <c r="G129" s="5">
        <f t="shared" ca="1" si="25"/>
        <v>790</v>
      </c>
      <c r="H129" s="5">
        <f t="shared" ca="1" si="18"/>
        <v>690</v>
      </c>
      <c r="I129" s="63">
        <f t="shared" ca="1" si="24"/>
        <v>0</v>
      </c>
      <c r="J129" s="5">
        <f t="shared" ca="1" si="19"/>
        <v>0</v>
      </c>
      <c r="K129" s="5">
        <f t="shared" ca="1" si="20"/>
        <v>0</v>
      </c>
      <c r="L129" s="5">
        <f t="shared" ca="1" si="21"/>
        <v>0</v>
      </c>
      <c r="M129" s="5">
        <f t="shared" ca="1" si="22"/>
        <v>0</v>
      </c>
      <c r="N129" s="6">
        <f t="shared" ca="1" si="16"/>
        <v>18.904109589041095</v>
      </c>
      <c r="O129" s="5">
        <f t="shared" si="23"/>
        <v>0</v>
      </c>
    </row>
    <row r="130" spans="2:15" ht="13.2" customHeight="1">
      <c r="B130" s="21"/>
      <c r="E130" s="5">
        <v>126</v>
      </c>
      <c r="F130" s="5">
        <f t="shared" ca="1" si="17"/>
        <v>110</v>
      </c>
      <c r="G130" s="5">
        <f t="shared" ca="1" si="25"/>
        <v>690</v>
      </c>
      <c r="H130" s="5">
        <f t="shared" ca="1" si="18"/>
        <v>580</v>
      </c>
      <c r="I130" s="63">
        <f t="shared" ca="1" si="24"/>
        <v>0</v>
      </c>
      <c r="J130" s="5">
        <f t="shared" ca="1" si="19"/>
        <v>0</v>
      </c>
      <c r="K130" s="5">
        <f t="shared" ca="1" si="20"/>
        <v>0</v>
      </c>
      <c r="L130" s="5">
        <f t="shared" ca="1" si="21"/>
        <v>0</v>
      </c>
      <c r="M130" s="5">
        <f t="shared" ca="1" si="22"/>
        <v>0</v>
      </c>
      <c r="N130" s="6">
        <f t="shared" ca="1" si="16"/>
        <v>15.890410958904109</v>
      </c>
      <c r="O130" s="5">
        <f t="shared" si="23"/>
        <v>0</v>
      </c>
    </row>
    <row r="131" spans="2:15" ht="13.2" customHeight="1">
      <c r="B131" s="21"/>
      <c r="E131" s="5">
        <v>127</v>
      </c>
      <c r="F131" s="5">
        <f t="shared" ca="1" si="17"/>
        <v>80</v>
      </c>
      <c r="G131" s="5">
        <f t="shared" ca="1" si="25"/>
        <v>580</v>
      </c>
      <c r="H131" s="5">
        <f t="shared" ca="1" si="18"/>
        <v>500</v>
      </c>
      <c r="I131" s="63">
        <f t="shared" ca="1" si="24"/>
        <v>0</v>
      </c>
      <c r="J131" s="5">
        <f t="shared" ca="1" si="19"/>
        <v>0</v>
      </c>
      <c r="K131" s="5">
        <f t="shared" ca="1" si="20"/>
        <v>0</v>
      </c>
      <c r="L131" s="5">
        <f t="shared" ca="1" si="21"/>
        <v>0</v>
      </c>
      <c r="M131" s="5">
        <f t="shared" ca="1" si="22"/>
        <v>0</v>
      </c>
      <c r="N131" s="6">
        <f t="shared" ca="1" si="16"/>
        <v>13.698630136986301</v>
      </c>
      <c r="O131" s="5">
        <f t="shared" si="23"/>
        <v>0</v>
      </c>
    </row>
    <row r="132" spans="2:15" ht="13.2" customHeight="1">
      <c r="B132" s="21"/>
      <c r="E132" s="5">
        <v>128</v>
      </c>
      <c r="F132" s="5">
        <f t="shared" ca="1" si="17"/>
        <v>120</v>
      </c>
      <c r="G132" s="5">
        <f t="shared" ca="1" si="25"/>
        <v>500</v>
      </c>
      <c r="H132" s="5">
        <f t="shared" ca="1" si="18"/>
        <v>380</v>
      </c>
      <c r="I132" s="63">
        <f t="shared" ca="1" si="24"/>
        <v>0</v>
      </c>
      <c r="J132" s="5">
        <f t="shared" ca="1" si="19"/>
        <v>0</v>
      </c>
      <c r="K132" s="5">
        <f t="shared" ca="1" si="20"/>
        <v>0</v>
      </c>
      <c r="L132" s="5">
        <f t="shared" ca="1" si="21"/>
        <v>0</v>
      </c>
      <c r="M132" s="5">
        <f t="shared" ca="1" si="22"/>
        <v>0</v>
      </c>
      <c r="N132" s="6">
        <f t="shared" ca="1" si="16"/>
        <v>10.410958904109588</v>
      </c>
      <c r="O132" s="5">
        <f t="shared" si="23"/>
        <v>0</v>
      </c>
    </row>
    <row r="133" spans="2:15" ht="13.2" customHeight="1">
      <c r="B133" s="21"/>
      <c r="E133" s="5">
        <v>129</v>
      </c>
      <c r="F133" s="5">
        <f t="shared" ca="1" si="17"/>
        <v>90</v>
      </c>
      <c r="G133" s="5">
        <f t="shared" ca="1" si="25"/>
        <v>380</v>
      </c>
      <c r="H133" s="5">
        <f t="shared" ca="1" si="18"/>
        <v>290</v>
      </c>
      <c r="I133" s="63">
        <f t="shared" ca="1" si="24"/>
        <v>0</v>
      </c>
      <c r="J133" s="5">
        <f t="shared" ca="1" si="19"/>
        <v>0</v>
      </c>
      <c r="K133" s="5">
        <f t="shared" ca="1" si="20"/>
        <v>0</v>
      </c>
      <c r="L133" s="5">
        <f t="shared" ca="1" si="21"/>
        <v>0</v>
      </c>
      <c r="M133" s="5">
        <f t="shared" ca="1" si="22"/>
        <v>0</v>
      </c>
      <c r="N133" s="6">
        <f t="shared" ref="N133:N196" ca="1" si="26">H133*$C$7</f>
        <v>7.9452054794520546</v>
      </c>
      <c r="O133" s="5">
        <f t="shared" si="23"/>
        <v>0</v>
      </c>
    </row>
    <row r="134" spans="2:15" ht="13.2" customHeight="1">
      <c r="B134" s="21"/>
      <c r="E134" s="5">
        <v>130</v>
      </c>
      <c r="F134" s="5">
        <f t="shared" ref="F134:F197" ca="1" si="27">INDEX($T$17:$T$21,MATCH(RAND(),$V$17:$V$21,1))</f>
        <v>100</v>
      </c>
      <c r="G134" s="5">
        <f t="shared" ca="1" si="25"/>
        <v>290</v>
      </c>
      <c r="H134" s="5">
        <f t="shared" ref="H134:H197" ca="1" si="28">IF(G134-F134&gt;0,G134-F134,0)</f>
        <v>190</v>
      </c>
      <c r="I134" s="63">
        <f t="shared" ca="1" si="24"/>
        <v>0</v>
      </c>
      <c r="J134" s="5">
        <f t="shared" ref="J134:J197" ca="1" si="29">I134*INT(RAND()*2)</f>
        <v>0</v>
      </c>
      <c r="K134" s="5">
        <f t="shared" ref="K134:K197" ca="1" si="30">-MIN(0,G134-F134)</f>
        <v>0</v>
      </c>
      <c r="L134" s="5">
        <f t="shared" ref="L134:L197" ca="1" si="31">K134*$C$8</f>
        <v>0</v>
      </c>
      <c r="M134" s="5">
        <f t="shared" ref="M134:M197" ca="1" si="32">$C$4*I134</f>
        <v>0</v>
      </c>
      <c r="N134" s="6">
        <f t="shared" ca="1" si="26"/>
        <v>5.205479452054794</v>
      </c>
      <c r="O134" s="5">
        <f t="shared" ref="O134:O197" si="33">IF(E134=$O$4,H134,0)</f>
        <v>0</v>
      </c>
    </row>
    <row r="135" spans="2:15" ht="13.2" customHeight="1">
      <c r="B135" s="21"/>
      <c r="E135" s="5">
        <v>131</v>
      </c>
      <c r="F135" s="5">
        <f t="shared" ca="1" si="27"/>
        <v>110</v>
      </c>
      <c r="G135" s="5">
        <f t="shared" ca="1" si="25"/>
        <v>190</v>
      </c>
      <c r="H135" s="5">
        <f t="shared" ca="1" si="28"/>
        <v>80</v>
      </c>
      <c r="I135" s="63">
        <f t="shared" ref="I135:I198" ca="1" si="34">IF(AND(H135&lt;$C$3,J134=0),1,0)</f>
        <v>1</v>
      </c>
      <c r="J135" s="5">
        <f t="shared" ca="1" si="29"/>
        <v>1</v>
      </c>
      <c r="K135" s="5">
        <f t="shared" ca="1" si="30"/>
        <v>0</v>
      </c>
      <c r="L135" s="5">
        <f t="shared" ca="1" si="31"/>
        <v>0</v>
      </c>
      <c r="M135" s="5">
        <f t="shared" ca="1" si="32"/>
        <v>200</v>
      </c>
      <c r="N135" s="6">
        <f t="shared" ca="1" si="26"/>
        <v>2.1917808219178081</v>
      </c>
      <c r="O135" s="5">
        <f t="shared" si="33"/>
        <v>0</v>
      </c>
    </row>
    <row r="136" spans="2:15" ht="13.2" customHeight="1">
      <c r="B136" s="21"/>
      <c r="E136" s="5">
        <v>132</v>
      </c>
      <c r="F136" s="5">
        <f t="shared" ca="1" si="27"/>
        <v>120</v>
      </c>
      <c r="G136" s="5">
        <f t="shared" ref="G136:G199" ca="1" si="35">H135+IF(J135=0,I135*$C$9,0)+IF(J134=1,$C$9,0)</f>
        <v>80</v>
      </c>
      <c r="H136" s="5">
        <f t="shared" ca="1" si="28"/>
        <v>0</v>
      </c>
      <c r="I136" s="63">
        <f t="shared" ca="1" si="34"/>
        <v>0</v>
      </c>
      <c r="J136" s="5">
        <f t="shared" ca="1" si="29"/>
        <v>0</v>
      </c>
      <c r="K136" s="5">
        <f t="shared" ca="1" si="30"/>
        <v>40</v>
      </c>
      <c r="L136" s="5">
        <f t="shared" ca="1" si="31"/>
        <v>2000</v>
      </c>
      <c r="M136" s="5">
        <f t="shared" ca="1" si="32"/>
        <v>0</v>
      </c>
      <c r="N136" s="6">
        <f t="shared" ca="1" si="26"/>
        <v>0</v>
      </c>
      <c r="O136" s="5">
        <f t="shared" si="33"/>
        <v>0</v>
      </c>
    </row>
    <row r="137" spans="2:15" ht="13.2" customHeight="1">
      <c r="B137" s="21"/>
      <c r="E137" s="5">
        <v>133</v>
      </c>
      <c r="F137" s="5">
        <f t="shared" ca="1" si="27"/>
        <v>100</v>
      </c>
      <c r="G137" s="5">
        <f t="shared" ca="1" si="35"/>
        <v>1000</v>
      </c>
      <c r="H137" s="5">
        <f t="shared" ca="1" si="28"/>
        <v>900</v>
      </c>
      <c r="I137" s="63">
        <f t="shared" ca="1" si="34"/>
        <v>0</v>
      </c>
      <c r="J137" s="5">
        <f t="shared" ca="1" si="29"/>
        <v>0</v>
      </c>
      <c r="K137" s="5">
        <f t="shared" ca="1" si="30"/>
        <v>0</v>
      </c>
      <c r="L137" s="5">
        <f t="shared" ca="1" si="31"/>
        <v>0</v>
      </c>
      <c r="M137" s="5">
        <f t="shared" ca="1" si="32"/>
        <v>0</v>
      </c>
      <c r="N137" s="6">
        <f t="shared" ca="1" si="26"/>
        <v>24.657534246575342</v>
      </c>
      <c r="O137" s="5">
        <f t="shared" si="33"/>
        <v>0</v>
      </c>
    </row>
    <row r="138" spans="2:15" ht="13.2" customHeight="1">
      <c r="B138" s="21"/>
      <c r="E138" s="5">
        <v>134</v>
      </c>
      <c r="F138" s="5">
        <f t="shared" ca="1" si="27"/>
        <v>110</v>
      </c>
      <c r="G138" s="5">
        <f t="shared" ca="1" si="35"/>
        <v>900</v>
      </c>
      <c r="H138" s="5">
        <f t="shared" ca="1" si="28"/>
        <v>790</v>
      </c>
      <c r="I138" s="63">
        <f t="shared" ca="1" si="34"/>
        <v>0</v>
      </c>
      <c r="J138" s="5">
        <f t="shared" ca="1" si="29"/>
        <v>0</v>
      </c>
      <c r="K138" s="5">
        <f t="shared" ca="1" si="30"/>
        <v>0</v>
      </c>
      <c r="L138" s="5">
        <f t="shared" ca="1" si="31"/>
        <v>0</v>
      </c>
      <c r="M138" s="5">
        <f t="shared" ca="1" si="32"/>
        <v>0</v>
      </c>
      <c r="N138" s="6">
        <f t="shared" ca="1" si="26"/>
        <v>21.643835616438356</v>
      </c>
      <c r="O138" s="5">
        <f t="shared" si="33"/>
        <v>0</v>
      </c>
    </row>
    <row r="139" spans="2:15" ht="13.2" customHeight="1">
      <c r="B139" s="21"/>
      <c r="E139" s="5">
        <v>135</v>
      </c>
      <c r="F139" s="5">
        <f t="shared" ca="1" si="27"/>
        <v>120</v>
      </c>
      <c r="G139" s="5">
        <f t="shared" ca="1" si="35"/>
        <v>790</v>
      </c>
      <c r="H139" s="5">
        <f t="shared" ca="1" si="28"/>
        <v>670</v>
      </c>
      <c r="I139" s="63">
        <f t="shared" ca="1" si="34"/>
        <v>0</v>
      </c>
      <c r="J139" s="5">
        <f t="shared" ca="1" si="29"/>
        <v>0</v>
      </c>
      <c r="K139" s="5">
        <f t="shared" ca="1" si="30"/>
        <v>0</v>
      </c>
      <c r="L139" s="5">
        <f t="shared" ca="1" si="31"/>
        <v>0</v>
      </c>
      <c r="M139" s="5">
        <f t="shared" ca="1" si="32"/>
        <v>0</v>
      </c>
      <c r="N139" s="6">
        <f t="shared" ca="1" si="26"/>
        <v>18.356164383561644</v>
      </c>
      <c r="O139" s="5">
        <f t="shared" si="33"/>
        <v>0</v>
      </c>
    </row>
    <row r="140" spans="2:15" ht="13.2" customHeight="1">
      <c r="B140" s="21"/>
      <c r="E140" s="5">
        <v>136</v>
      </c>
      <c r="F140" s="5">
        <f t="shared" ca="1" si="27"/>
        <v>100</v>
      </c>
      <c r="G140" s="5">
        <f t="shared" ca="1" si="35"/>
        <v>670</v>
      </c>
      <c r="H140" s="5">
        <f t="shared" ca="1" si="28"/>
        <v>570</v>
      </c>
      <c r="I140" s="63">
        <f t="shared" ca="1" si="34"/>
        <v>0</v>
      </c>
      <c r="J140" s="5">
        <f t="shared" ca="1" si="29"/>
        <v>0</v>
      </c>
      <c r="K140" s="5">
        <f t="shared" ca="1" si="30"/>
        <v>0</v>
      </c>
      <c r="L140" s="5">
        <f t="shared" ca="1" si="31"/>
        <v>0</v>
      </c>
      <c r="M140" s="5">
        <f t="shared" ca="1" si="32"/>
        <v>0</v>
      </c>
      <c r="N140" s="6">
        <f t="shared" ca="1" si="26"/>
        <v>15.616438356164382</v>
      </c>
      <c r="O140" s="5">
        <f t="shared" si="33"/>
        <v>0</v>
      </c>
    </row>
    <row r="141" spans="2:15" ht="13.2" customHeight="1">
      <c r="B141" s="21"/>
      <c r="E141" s="5">
        <v>137</v>
      </c>
      <c r="F141" s="5">
        <f t="shared" ca="1" si="27"/>
        <v>90</v>
      </c>
      <c r="G141" s="5">
        <f t="shared" ca="1" si="35"/>
        <v>570</v>
      </c>
      <c r="H141" s="5">
        <f t="shared" ca="1" si="28"/>
        <v>480</v>
      </c>
      <c r="I141" s="63">
        <f t="shared" ca="1" si="34"/>
        <v>0</v>
      </c>
      <c r="J141" s="5">
        <f t="shared" ca="1" si="29"/>
        <v>0</v>
      </c>
      <c r="K141" s="5">
        <f t="shared" ca="1" si="30"/>
        <v>0</v>
      </c>
      <c r="L141" s="5">
        <f t="shared" ca="1" si="31"/>
        <v>0</v>
      </c>
      <c r="M141" s="5">
        <f t="shared" ca="1" si="32"/>
        <v>0</v>
      </c>
      <c r="N141" s="6">
        <f t="shared" ca="1" si="26"/>
        <v>13.150684931506849</v>
      </c>
      <c r="O141" s="5">
        <f t="shared" si="33"/>
        <v>0</v>
      </c>
    </row>
    <row r="142" spans="2:15" ht="13.2" customHeight="1">
      <c r="B142" s="21"/>
      <c r="E142" s="5">
        <v>138</v>
      </c>
      <c r="F142" s="5">
        <f t="shared" ca="1" si="27"/>
        <v>80</v>
      </c>
      <c r="G142" s="5">
        <f t="shared" ca="1" si="35"/>
        <v>480</v>
      </c>
      <c r="H142" s="5">
        <f t="shared" ca="1" si="28"/>
        <v>400</v>
      </c>
      <c r="I142" s="63">
        <f t="shared" ca="1" si="34"/>
        <v>0</v>
      </c>
      <c r="J142" s="5">
        <f t="shared" ca="1" si="29"/>
        <v>0</v>
      </c>
      <c r="K142" s="5">
        <f t="shared" ca="1" si="30"/>
        <v>0</v>
      </c>
      <c r="L142" s="5">
        <f t="shared" ca="1" si="31"/>
        <v>0</v>
      </c>
      <c r="M142" s="5">
        <f t="shared" ca="1" si="32"/>
        <v>0</v>
      </c>
      <c r="N142" s="6">
        <f t="shared" ca="1" si="26"/>
        <v>10.95890410958904</v>
      </c>
      <c r="O142" s="5">
        <f t="shared" si="33"/>
        <v>0</v>
      </c>
    </row>
    <row r="143" spans="2:15" ht="13.2" customHeight="1">
      <c r="B143" s="21"/>
      <c r="E143" s="5">
        <v>139</v>
      </c>
      <c r="F143" s="5">
        <f t="shared" ca="1" si="27"/>
        <v>110</v>
      </c>
      <c r="G143" s="5">
        <f t="shared" ca="1" si="35"/>
        <v>400</v>
      </c>
      <c r="H143" s="5">
        <f t="shared" ca="1" si="28"/>
        <v>290</v>
      </c>
      <c r="I143" s="63">
        <f t="shared" ca="1" si="34"/>
        <v>0</v>
      </c>
      <c r="J143" s="5">
        <f t="shared" ca="1" si="29"/>
        <v>0</v>
      </c>
      <c r="K143" s="5">
        <f t="shared" ca="1" si="30"/>
        <v>0</v>
      </c>
      <c r="L143" s="5">
        <f t="shared" ca="1" si="31"/>
        <v>0</v>
      </c>
      <c r="M143" s="5">
        <f t="shared" ca="1" si="32"/>
        <v>0</v>
      </c>
      <c r="N143" s="6">
        <f t="shared" ca="1" si="26"/>
        <v>7.9452054794520546</v>
      </c>
      <c r="O143" s="5">
        <f t="shared" si="33"/>
        <v>0</v>
      </c>
    </row>
    <row r="144" spans="2:15" ht="13.2" customHeight="1">
      <c r="B144" s="21"/>
      <c r="E144" s="5">
        <v>140</v>
      </c>
      <c r="F144" s="5">
        <f t="shared" ca="1" si="27"/>
        <v>110</v>
      </c>
      <c r="G144" s="5">
        <f t="shared" ca="1" si="35"/>
        <v>290</v>
      </c>
      <c r="H144" s="5">
        <f t="shared" ca="1" si="28"/>
        <v>180</v>
      </c>
      <c r="I144" s="63">
        <f t="shared" ca="1" si="34"/>
        <v>0</v>
      </c>
      <c r="J144" s="5">
        <f t="shared" ca="1" si="29"/>
        <v>0</v>
      </c>
      <c r="K144" s="5">
        <f t="shared" ca="1" si="30"/>
        <v>0</v>
      </c>
      <c r="L144" s="5">
        <f t="shared" ca="1" si="31"/>
        <v>0</v>
      </c>
      <c r="M144" s="5">
        <f t="shared" ca="1" si="32"/>
        <v>0</v>
      </c>
      <c r="N144" s="6">
        <f t="shared" ca="1" si="26"/>
        <v>4.9315068493150687</v>
      </c>
      <c r="O144" s="5">
        <f t="shared" si="33"/>
        <v>0</v>
      </c>
    </row>
    <row r="145" spans="2:15" ht="13.2" customHeight="1">
      <c r="B145" s="21"/>
      <c r="E145" s="5">
        <v>141</v>
      </c>
      <c r="F145" s="5">
        <f t="shared" ca="1" si="27"/>
        <v>120</v>
      </c>
      <c r="G145" s="5">
        <f t="shared" ca="1" si="35"/>
        <v>180</v>
      </c>
      <c r="H145" s="5">
        <f t="shared" ca="1" si="28"/>
        <v>60</v>
      </c>
      <c r="I145" s="63">
        <f t="shared" ca="1" si="34"/>
        <v>1</v>
      </c>
      <c r="J145" s="5">
        <f t="shared" ca="1" si="29"/>
        <v>1</v>
      </c>
      <c r="K145" s="5">
        <f t="shared" ca="1" si="30"/>
        <v>0</v>
      </c>
      <c r="L145" s="5">
        <f t="shared" ca="1" si="31"/>
        <v>0</v>
      </c>
      <c r="M145" s="5">
        <f t="shared" ca="1" si="32"/>
        <v>200</v>
      </c>
      <c r="N145" s="6">
        <f t="shared" ca="1" si="26"/>
        <v>1.6438356164383561</v>
      </c>
      <c r="O145" s="5">
        <f t="shared" si="33"/>
        <v>0</v>
      </c>
    </row>
    <row r="146" spans="2:15" ht="13.2" customHeight="1">
      <c r="B146" s="21"/>
      <c r="E146" s="5">
        <v>142</v>
      </c>
      <c r="F146" s="5">
        <f t="shared" ca="1" si="27"/>
        <v>90</v>
      </c>
      <c r="G146" s="5">
        <f t="shared" ca="1" si="35"/>
        <v>60</v>
      </c>
      <c r="H146" s="5">
        <f t="shared" ca="1" si="28"/>
        <v>0</v>
      </c>
      <c r="I146" s="63">
        <f t="shared" ca="1" si="34"/>
        <v>0</v>
      </c>
      <c r="J146" s="5">
        <f t="shared" ca="1" si="29"/>
        <v>0</v>
      </c>
      <c r="K146" s="5">
        <f t="shared" ca="1" si="30"/>
        <v>30</v>
      </c>
      <c r="L146" s="5">
        <f t="shared" ca="1" si="31"/>
        <v>1500</v>
      </c>
      <c r="M146" s="5">
        <f t="shared" ca="1" si="32"/>
        <v>0</v>
      </c>
      <c r="N146" s="6">
        <f t="shared" ca="1" si="26"/>
        <v>0</v>
      </c>
      <c r="O146" s="5">
        <f t="shared" si="33"/>
        <v>0</v>
      </c>
    </row>
    <row r="147" spans="2:15" ht="13.2" customHeight="1">
      <c r="B147" s="21"/>
      <c r="E147" s="5">
        <v>143</v>
      </c>
      <c r="F147" s="5">
        <f t="shared" ca="1" si="27"/>
        <v>110</v>
      </c>
      <c r="G147" s="5">
        <f t="shared" ca="1" si="35"/>
        <v>1000</v>
      </c>
      <c r="H147" s="5">
        <f t="shared" ca="1" si="28"/>
        <v>890</v>
      </c>
      <c r="I147" s="63">
        <f t="shared" ca="1" si="34"/>
        <v>0</v>
      </c>
      <c r="J147" s="5">
        <f t="shared" ca="1" si="29"/>
        <v>0</v>
      </c>
      <c r="K147" s="5">
        <f t="shared" ca="1" si="30"/>
        <v>0</v>
      </c>
      <c r="L147" s="5">
        <f t="shared" ca="1" si="31"/>
        <v>0</v>
      </c>
      <c r="M147" s="5">
        <f t="shared" ca="1" si="32"/>
        <v>0</v>
      </c>
      <c r="N147" s="6">
        <f t="shared" ca="1" si="26"/>
        <v>24.383561643835616</v>
      </c>
      <c r="O147" s="5">
        <f t="shared" si="33"/>
        <v>0</v>
      </c>
    </row>
    <row r="148" spans="2:15" ht="13.2" customHeight="1">
      <c r="B148" s="21"/>
      <c r="E148" s="5">
        <v>144</v>
      </c>
      <c r="F148" s="5">
        <f t="shared" ca="1" si="27"/>
        <v>100</v>
      </c>
      <c r="G148" s="5">
        <f t="shared" ca="1" si="35"/>
        <v>890</v>
      </c>
      <c r="H148" s="5">
        <f t="shared" ca="1" si="28"/>
        <v>790</v>
      </c>
      <c r="I148" s="63">
        <f t="shared" ca="1" si="34"/>
        <v>0</v>
      </c>
      <c r="J148" s="5">
        <f t="shared" ca="1" si="29"/>
        <v>0</v>
      </c>
      <c r="K148" s="5">
        <f t="shared" ca="1" si="30"/>
        <v>0</v>
      </c>
      <c r="L148" s="5">
        <f t="shared" ca="1" si="31"/>
        <v>0</v>
      </c>
      <c r="M148" s="5">
        <f t="shared" ca="1" si="32"/>
        <v>0</v>
      </c>
      <c r="N148" s="6">
        <f t="shared" ca="1" si="26"/>
        <v>21.643835616438356</v>
      </c>
      <c r="O148" s="5">
        <f t="shared" si="33"/>
        <v>0</v>
      </c>
    </row>
    <row r="149" spans="2:15" ht="13.2" customHeight="1">
      <c r="B149" s="21"/>
      <c r="E149" s="5">
        <v>145</v>
      </c>
      <c r="F149" s="5">
        <f t="shared" ca="1" si="27"/>
        <v>90</v>
      </c>
      <c r="G149" s="5">
        <f t="shared" ca="1" si="35"/>
        <v>790</v>
      </c>
      <c r="H149" s="5">
        <f t="shared" ca="1" si="28"/>
        <v>700</v>
      </c>
      <c r="I149" s="63">
        <f t="shared" ca="1" si="34"/>
        <v>0</v>
      </c>
      <c r="J149" s="5">
        <f t="shared" ca="1" si="29"/>
        <v>0</v>
      </c>
      <c r="K149" s="5">
        <f t="shared" ca="1" si="30"/>
        <v>0</v>
      </c>
      <c r="L149" s="5">
        <f t="shared" ca="1" si="31"/>
        <v>0</v>
      </c>
      <c r="M149" s="5">
        <f t="shared" ca="1" si="32"/>
        <v>0</v>
      </c>
      <c r="N149" s="6">
        <f t="shared" ca="1" si="26"/>
        <v>19.17808219178082</v>
      </c>
      <c r="O149" s="5">
        <f t="shared" si="33"/>
        <v>0</v>
      </c>
    </row>
    <row r="150" spans="2:15" ht="13.2" customHeight="1">
      <c r="B150" s="21"/>
      <c r="E150" s="5">
        <v>146</v>
      </c>
      <c r="F150" s="5">
        <f t="shared" ca="1" si="27"/>
        <v>80</v>
      </c>
      <c r="G150" s="5">
        <f t="shared" ca="1" si="35"/>
        <v>700</v>
      </c>
      <c r="H150" s="5">
        <f t="shared" ca="1" si="28"/>
        <v>620</v>
      </c>
      <c r="I150" s="63">
        <f t="shared" ca="1" si="34"/>
        <v>0</v>
      </c>
      <c r="J150" s="5">
        <f t="shared" ca="1" si="29"/>
        <v>0</v>
      </c>
      <c r="K150" s="5">
        <f t="shared" ca="1" si="30"/>
        <v>0</v>
      </c>
      <c r="L150" s="5">
        <f t="shared" ca="1" si="31"/>
        <v>0</v>
      </c>
      <c r="M150" s="5">
        <f t="shared" ca="1" si="32"/>
        <v>0</v>
      </c>
      <c r="N150" s="6">
        <f t="shared" ca="1" si="26"/>
        <v>16.986301369863014</v>
      </c>
      <c r="O150" s="5">
        <f t="shared" si="33"/>
        <v>0</v>
      </c>
    </row>
    <row r="151" spans="2:15" ht="13.2" customHeight="1">
      <c r="B151" s="21"/>
      <c r="E151" s="5">
        <v>147</v>
      </c>
      <c r="F151" s="5">
        <f t="shared" ca="1" si="27"/>
        <v>100</v>
      </c>
      <c r="G151" s="5">
        <f t="shared" ca="1" si="35"/>
        <v>620</v>
      </c>
      <c r="H151" s="5">
        <f t="shared" ca="1" si="28"/>
        <v>520</v>
      </c>
      <c r="I151" s="63">
        <f t="shared" ca="1" si="34"/>
        <v>0</v>
      </c>
      <c r="J151" s="5">
        <f t="shared" ca="1" si="29"/>
        <v>0</v>
      </c>
      <c r="K151" s="5">
        <f t="shared" ca="1" si="30"/>
        <v>0</v>
      </c>
      <c r="L151" s="5">
        <f t="shared" ca="1" si="31"/>
        <v>0</v>
      </c>
      <c r="M151" s="5">
        <f t="shared" ca="1" si="32"/>
        <v>0</v>
      </c>
      <c r="N151" s="6">
        <f t="shared" ca="1" si="26"/>
        <v>14.246575342465754</v>
      </c>
      <c r="O151" s="5">
        <f t="shared" si="33"/>
        <v>0</v>
      </c>
    </row>
    <row r="152" spans="2:15" ht="13.2" customHeight="1">
      <c r="B152" s="21"/>
      <c r="E152" s="5">
        <v>148</v>
      </c>
      <c r="F152" s="5">
        <f t="shared" ca="1" si="27"/>
        <v>110</v>
      </c>
      <c r="G152" s="5">
        <f t="shared" ca="1" si="35"/>
        <v>520</v>
      </c>
      <c r="H152" s="5">
        <f t="shared" ca="1" si="28"/>
        <v>410</v>
      </c>
      <c r="I152" s="63">
        <f t="shared" ca="1" si="34"/>
        <v>0</v>
      </c>
      <c r="J152" s="5">
        <f t="shared" ca="1" si="29"/>
        <v>0</v>
      </c>
      <c r="K152" s="5">
        <f t="shared" ca="1" si="30"/>
        <v>0</v>
      </c>
      <c r="L152" s="5">
        <f t="shared" ca="1" si="31"/>
        <v>0</v>
      </c>
      <c r="M152" s="5">
        <f t="shared" ca="1" si="32"/>
        <v>0</v>
      </c>
      <c r="N152" s="6">
        <f t="shared" ca="1" si="26"/>
        <v>11.232876712328766</v>
      </c>
      <c r="O152" s="5">
        <f t="shared" si="33"/>
        <v>0</v>
      </c>
    </row>
    <row r="153" spans="2:15" ht="13.2" customHeight="1">
      <c r="B153" s="21"/>
      <c r="E153" s="5">
        <v>149</v>
      </c>
      <c r="F153" s="5">
        <f t="shared" ca="1" si="27"/>
        <v>110</v>
      </c>
      <c r="G153" s="5">
        <f t="shared" ca="1" si="35"/>
        <v>410</v>
      </c>
      <c r="H153" s="5">
        <f t="shared" ca="1" si="28"/>
        <v>300</v>
      </c>
      <c r="I153" s="63">
        <f t="shared" ca="1" si="34"/>
        <v>0</v>
      </c>
      <c r="J153" s="5">
        <f t="shared" ca="1" si="29"/>
        <v>0</v>
      </c>
      <c r="K153" s="5">
        <f t="shared" ca="1" si="30"/>
        <v>0</v>
      </c>
      <c r="L153" s="5">
        <f t="shared" ca="1" si="31"/>
        <v>0</v>
      </c>
      <c r="M153" s="5">
        <f t="shared" ca="1" si="32"/>
        <v>0</v>
      </c>
      <c r="N153" s="6">
        <f t="shared" ca="1" si="26"/>
        <v>8.2191780821917799</v>
      </c>
      <c r="O153" s="5">
        <f t="shared" si="33"/>
        <v>0</v>
      </c>
    </row>
    <row r="154" spans="2:15" ht="13.2" customHeight="1">
      <c r="B154" s="21"/>
      <c r="E154" s="5">
        <v>150</v>
      </c>
      <c r="F154" s="5">
        <f t="shared" ca="1" si="27"/>
        <v>100</v>
      </c>
      <c r="G154" s="5">
        <f t="shared" ca="1" si="35"/>
        <v>300</v>
      </c>
      <c r="H154" s="5">
        <f t="shared" ca="1" si="28"/>
        <v>200</v>
      </c>
      <c r="I154" s="63">
        <f t="shared" ca="1" si="34"/>
        <v>0</v>
      </c>
      <c r="J154" s="5">
        <f t="shared" ca="1" si="29"/>
        <v>0</v>
      </c>
      <c r="K154" s="5">
        <f t="shared" ca="1" si="30"/>
        <v>0</v>
      </c>
      <c r="L154" s="5">
        <f t="shared" ca="1" si="31"/>
        <v>0</v>
      </c>
      <c r="M154" s="5">
        <f t="shared" ca="1" si="32"/>
        <v>0</v>
      </c>
      <c r="N154" s="6">
        <f t="shared" ca="1" si="26"/>
        <v>5.4794520547945202</v>
      </c>
      <c r="O154" s="5">
        <f t="shared" si="33"/>
        <v>0</v>
      </c>
    </row>
    <row r="155" spans="2:15" ht="13.2" customHeight="1">
      <c r="B155" s="21"/>
      <c r="E155" s="5">
        <v>151</v>
      </c>
      <c r="F155" s="5">
        <f t="shared" ca="1" si="27"/>
        <v>110</v>
      </c>
      <c r="G155" s="5">
        <f t="shared" ca="1" si="35"/>
        <v>200</v>
      </c>
      <c r="H155" s="5">
        <f t="shared" ca="1" si="28"/>
        <v>90</v>
      </c>
      <c r="I155" s="63">
        <f t="shared" ca="1" si="34"/>
        <v>1</v>
      </c>
      <c r="J155" s="5">
        <f t="shared" ca="1" si="29"/>
        <v>0</v>
      </c>
      <c r="K155" s="5">
        <f t="shared" ca="1" si="30"/>
        <v>0</v>
      </c>
      <c r="L155" s="5">
        <f t="shared" ca="1" si="31"/>
        <v>0</v>
      </c>
      <c r="M155" s="5">
        <f t="shared" ca="1" si="32"/>
        <v>200</v>
      </c>
      <c r="N155" s="6">
        <f t="shared" ca="1" si="26"/>
        <v>2.4657534246575343</v>
      </c>
      <c r="O155" s="5">
        <f t="shared" si="33"/>
        <v>0</v>
      </c>
    </row>
    <row r="156" spans="2:15" ht="13.2" customHeight="1">
      <c r="B156" s="21"/>
      <c r="E156" s="5">
        <v>152</v>
      </c>
      <c r="F156" s="5">
        <f t="shared" ca="1" si="27"/>
        <v>90</v>
      </c>
      <c r="G156" s="5">
        <f t="shared" ca="1" si="35"/>
        <v>1090</v>
      </c>
      <c r="H156" s="5">
        <f t="shared" ca="1" si="28"/>
        <v>1000</v>
      </c>
      <c r="I156" s="63">
        <f t="shared" ca="1" si="34"/>
        <v>0</v>
      </c>
      <c r="J156" s="5">
        <f t="shared" ca="1" si="29"/>
        <v>0</v>
      </c>
      <c r="K156" s="5">
        <f t="shared" ca="1" si="30"/>
        <v>0</v>
      </c>
      <c r="L156" s="5">
        <f t="shared" ca="1" si="31"/>
        <v>0</v>
      </c>
      <c r="M156" s="5">
        <f t="shared" ca="1" si="32"/>
        <v>0</v>
      </c>
      <c r="N156" s="6">
        <f t="shared" ca="1" si="26"/>
        <v>27.397260273972602</v>
      </c>
      <c r="O156" s="5">
        <f t="shared" si="33"/>
        <v>0</v>
      </c>
    </row>
    <row r="157" spans="2:15" ht="13.2" customHeight="1">
      <c r="B157" s="21"/>
      <c r="E157" s="5">
        <v>153</v>
      </c>
      <c r="F157" s="5">
        <f t="shared" ca="1" si="27"/>
        <v>90</v>
      </c>
      <c r="G157" s="5">
        <f t="shared" ca="1" si="35"/>
        <v>1000</v>
      </c>
      <c r="H157" s="5">
        <f t="shared" ca="1" si="28"/>
        <v>910</v>
      </c>
      <c r="I157" s="63">
        <f t="shared" ca="1" si="34"/>
        <v>0</v>
      </c>
      <c r="J157" s="5">
        <f t="shared" ca="1" si="29"/>
        <v>0</v>
      </c>
      <c r="K157" s="5">
        <f t="shared" ca="1" si="30"/>
        <v>0</v>
      </c>
      <c r="L157" s="5">
        <f t="shared" ca="1" si="31"/>
        <v>0</v>
      </c>
      <c r="M157" s="5">
        <f t="shared" ca="1" si="32"/>
        <v>0</v>
      </c>
      <c r="N157" s="6">
        <f t="shared" ca="1" si="26"/>
        <v>24.931506849315067</v>
      </c>
      <c r="O157" s="5">
        <f t="shared" si="33"/>
        <v>0</v>
      </c>
    </row>
    <row r="158" spans="2:15" ht="13.2" customHeight="1">
      <c r="B158" s="21"/>
      <c r="E158" s="5">
        <v>154</v>
      </c>
      <c r="F158" s="5">
        <f t="shared" ca="1" si="27"/>
        <v>110</v>
      </c>
      <c r="G158" s="5">
        <f t="shared" ca="1" si="35"/>
        <v>910</v>
      </c>
      <c r="H158" s="5">
        <f t="shared" ca="1" si="28"/>
        <v>800</v>
      </c>
      <c r="I158" s="63">
        <f t="shared" ca="1" si="34"/>
        <v>0</v>
      </c>
      <c r="J158" s="5">
        <f t="shared" ca="1" si="29"/>
        <v>0</v>
      </c>
      <c r="K158" s="5">
        <f t="shared" ca="1" si="30"/>
        <v>0</v>
      </c>
      <c r="L158" s="5">
        <f t="shared" ca="1" si="31"/>
        <v>0</v>
      </c>
      <c r="M158" s="5">
        <f t="shared" ca="1" si="32"/>
        <v>0</v>
      </c>
      <c r="N158" s="6">
        <f t="shared" ca="1" si="26"/>
        <v>21.917808219178081</v>
      </c>
      <c r="O158" s="5">
        <f t="shared" si="33"/>
        <v>0</v>
      </c>
    </row>
    <row r="159" spans="2:15" ht="13.2" customHeight="1">
      <c r="B159" s="21"/>
      <c r="E159" s="5">
        <v>155</v>
      </c>
      <c r="F159" s="5">
        <f t="shared" ca="1" si="27"/>
        <v>110</v>
      </c>
      <c r="G159" s="5">
        <f t="shared" ca="1" si="35"/>
        <v>800</v>
      </c>
      <c r="H159" s="5">
        <f t="shared" ca="1" si="28"/>
        <v>690</v>
      </c>
      <c r="I159" s="63">
        <f t="shared" ca="1" si="34"/>
        <v>0</v>
      </c>
      <c r="J159" s="5">
        <f t="shared" ca="1" si="29"/>
        <v>0</v>
      </c>
      <c r="K159" s="5">
        <f t="shared" ca="1" si="30"/>
        <v>0</v>
      </c>
      <c r="L159" s="5">
        <f t="shared" ca="1" si="31"/>
        <v>0</v>
      </c>
      <c r="M159" s="5">
        <f t="shared" ca="1" si="32"/>
        <v>0</v>
      </c>
      <c r="N159" s="6">
        <f t="shared" ca="1" si="26"/>
        <v>18.904109589041095</v>
      </c>
      <c r="O159" s="5">
        <f t="shared" si="33"/>
        <v>0</v>
      </c>
    </row>
    <row r="160" spans="2:15" ht="13.2" customHeight="1">
      <c r="B160" s="21"/>
      <c r="E160" s="5">
        <v>156</v>
      </c>
      <c r="F160" s="5">
        <f t="shared" ca="1" si="27"/>
        <v>90</v>
      </c>
      <c r="G160" s="5">
        <f t="shared" ca="1" si="35"/>
        <v>690</v>
      </c>
      <c r="H160" s="5">
        <f t="shared" ca="1" si="28"/>
        <v>600</v>
      </c>
      <c r="I160" s="63">
        <f t="shared" ca="1" si="34"/>
        <v>0</v>
      </c>
      <c r="J160" s="5">
        <f t="shared" ca="1" si="29"/>
        <v>0</v>
      </c>
      <c r="K160" s="5">
        <f t="shared" ca="1" si="30"/>
        <v>0</v>
      </c>
      <c r="L160" s="5">
        <f t="shared" ca="1" si="31"/>
        <v>0</v>
      </c>
      <c r="M160" s="5">
        <f t="shared" ca="1" si="32"/>
        <v>0</v>
      </c>
      <c r="N160" s="6">
        <f t="shared" ca="1" si="26"/>
        <v>16.43835616438356</v>
      </c>
      <c r="O160" s="5">
        <f t="shared" si="33"/>
        <v>0</v>
      </c>
    </row>
    <row r="161" spans="2:15" ht="13.2" customHeight="1">
      <c r="B161" s="21"/>
      <c r="E161" s="5">
        <v>157</v>
      </c>
      <c r="F161" s="5">
        <f t="shared" ca="1" si="27"/>
        <v>90</v>
      </c>
      <c r="G161" s="5">
        <f t="shared" ca="1" si="35"/>
        <v>600</v>
      </c>
      <c r="H161" s="5">
        <f t="shared" ca="1" si="28"/>
        <v>510</v>
      </c>
      <c r="I161" s="63">
        <f t="shared" ca="1" si="34"/>
        <v>0</v>
      </c>
      <c r="J161" s="5">
        <f t="shared" ca="1" si="29"/>
        <v>0</v>
      </c>
      <c r="K161" s="5">
        <f t="shared" ca="1" si="30"/>
        <v>0</v>
      </c>
      <c r="L161" s="5">
        <f t="shared" ca="1" si="31"/>
        <v>0</v>
      </c>
      <c r="M161" s="5">
        <f t="shared" ca="1" si="32"/>
        <v>0</v>
      </c>
      <c r="N161" s="6">
        <f t="shared" ca="1" si="26"/>
        <v>13.972602739726026</v>
      </c>
      <c r="O161" s="5">
        <f t="shared" si="33"/>
        <v>0</v>
      </c>
    </row>
    <row r="162" spans="2:15" ht="13.2" customHeight="1">
      <c r="B162" s="21"/>
      <c r="E162" s="5">
        <v>158</v>
      </c>
      <c r="F162" s="5">
        <f t="shared" ca="1" si="27"/>
        <v>90</v>
      </c>
      <c r="G162" s="5">
        <f t="shared" ca="1" si="35"/>
        <v>510</v>
      </c>
      <c r="H162" s="5">
        <f t="shared" ca="1" si="28"/>
        <v>420</v>
      </c>
      <c r="I162" s="63">
        <f t="shared" ca="1" si="34"/>
        <v>0</v>
      </c>
      <c r="J162" s="5">
        <f t="shared" ca="1" si="29"/>
        <v>0</v>
      </c>
      <c r="K162" s="5">
        <f t="shared" ca="1" si="30"/>
        <v>0</v>
      </c>
      <c r="L162" s="5">
        <f t="shared" ca="1" si="31"/>
        <v>0</v>
      </c>
      <c r="M162" s="5">
        <f t="shared" ca="1" si="32"/>
        <v>0</v>
      </c>
      <c r="N162" s="6">
        <f t="shared" ca="1" si="26"/>
        <v>11.506849315068493</v>
      </c>
      <c r="O162" s="5">
        <f t="shared" si="33"/>
        <v>0</v>
      </c>
    </row>
    <row r="163" spans="2:15" ht="13.2" customHeight="1">
      <c r="B163" s="21"/>
      <c r="E163" s="5">
        <v>159</v>
      </c>
      <c r="F163" s="5">
        <f t="shared" ca="1" si="27"/>
        <v>80</v>
      </c>
      <c r="G163" s="5">
        <f t="shared" ca="1" si="35"/>
        <v>420</v>
      </c>
      <c r="H163" s="5">
        <f t="shared" ca="1" si="28"/>
        <v>340</v>
      </c>
      <c r="I163" s="63">
        <f t="shared" ca="1" si="34"/>
        <v>0</v>
      </c>
      <c r="J163" s="5">
        <f t="shared" ca="1" si="29"/>
        <v>0</v>
      </c>
      <c r="K163" s="5">
        <f t="shared" ca="1" si="30"/>
        <v>0</v>
      </c>
      <c r="L163" s="5">
        <f t="shared" ca="1" si="31"/>
        <v>0</v>
      </c>
      <c r="M163" s="5">
        <f t="shared" ca="1" si="32"/>
        <v>0</v>
      </c>
      <c r="N163" s="6">
        <f t="shared" ca="1" si="26"/>
        <v>9.3150684931506849</v>
      </c>
      <c r="O163" s="5">
        <f t="shared" si="33"/>
        <v>0</v>
      </c>
    </row>
    <row r="164" spans="2:15" ht="13.2" customHeight="1">
      <c r="B164" s="21"/>
      <c r="E164" s="5">
        <v>160</v>
      </c>
      <c r="F164" s="5">
        <f t="shared" ca="1" si="27"/>
        <v>80</v>
      </c>
      <c r="G164" s="5">
        <f t="shared" ca="1" si="35"/>
        <v>340</v>
      </c>
      <c r="H164" s="5">
        <f t="shared" ca="1" si="28"/>
        <v>260</v>
      </c>
      <c r="I164" s="63">
        <f t="shared" ca="1" si="34"/>
        <v>0</v>
      </c>
      <c r="J164" s="5">
        <f t="shared" ca="1" si="29"/>
        <v>0</v>
      </c>
      <c r="K164" s="5">
        <f t="shared" ca="1" si="30"/>
        <v>0</v>
      </c>
      <c r="L164" s="5">
        <f t="shared" ca="1" si="31"/>
        <v>0</v>
      </c>
      <c r="M164" s="5">
        <f t="shared" ca="1" si="32"/>
        <v>0</v>
      </c>
      <c r="N164" s="6">
        <f t="shared" ca="1" si="26"/>
        <v>7.1232876712328768</v>
      </c>
      <c r="O164" s="5">
        <f t="shared" si="33"/>
        <v>0</v>
      </c>
    </row>
    <row r="165" spans="2:15" ht="13.2" customHeight="1">
      <c r="B165" s="21"/>
      <c r="E165" s="5">
        <v>161</v>
      </c>
      <c r="F165" s="5">
        <f t="shared" ca="1" si="27"/>
        <v>100</v>
      </c>
      <c r="G165" s="5">
        <f t="shared" ca="1" si="35"/>
        <v>260</v>
      </c>
      <c r="H165" s="5">
        <f t="shared" ca="1" si="28"/>
        <v>160</v>
      </c>
      <c r="I165" s="63">
        <f t="shared" ca="1" si="34"/>
        <v>0</v>
      </c>
      <c r="J165" s="5">
        <f t="shared" ca="1" si="29"/>
        <v>0</v>
      </c>
      <c r="K165" s="5">
        <f t="shared" ca="1" si="30"/>
        <v>0</v>
      </c>
      <c r="L165" s="5">
        <f t="shared" ca="1" si="31"/>
        <v>0</v>
      </c>
      <c r="M165" s="5">
        <f t="shared" ca="1" si="32"/>
        <v>0</v>
      </c>
      <c r="N165" s="6">
        <f t="shared" ca="1" si="26"/>
        <v>4.3835616438356162</v>
      </c>
      <c r="O165" s="5">
        <f t="shared" si="33"/>
        <v>0</v>
      </c>
    </row>
    <row r="166" spans="2:15" ht="13.2" customHeight="1">
      <c r="B166" s="21"/>
      <c r="E166" s="5">
        <v>162</v>
      </c>
      <c r="F166" s="5">
        <f t="shared" ca="1" si="27"/>
        <v>90</v>
      </c>
      <c r="G166" s="5">
        <f t="shared" ca="1" si="35"/>
        <v>160</v>
      </c>
      <c r="H166" s="5">
        <f t="shared" ca="1" si="28"/>
        <v>70</v>
      </c>
      <c r="I166" s="63">
        <f t="shared" ca="1" si="34"/>
        <v>1</v>
      </c>
      <c r="J166" s="5">
        <f t="shared" ca="1" si="29"/>
        <v>0</v>
      </c>
      <c r="K166" s="5">
        <f t="shared" ca="1" si="30"/>
        <v>0</v>
      </c>
      <c r="L166" s="5">
        <f t="shared" ca="1" si="31"/>
        <v>0</v>
      </c>
      <c r="M166" s="5">
        <f t="shared" ca="1" si="32"/>
        <v>200</v>
      </c>
      <c r="N166" s="6">
        <f t="shared" ca="1" si="26"/>
        <v>1.9178082191780821</v>
      </c>
      <c r="O166" s="5">
        <f t="shared" si="33"/>
        <v>0</v>
      </c>
    </row>
    <row r="167" spans="2:15" ht="13.2" customHeight="1">
      <c r="B167" s="21"/>
      <c r="E167" s="5">
        <v>163</v>
      </c>
      <c r="F167" s="5">
        <f t="shared" ca="1" si="27"/>
        <v>110</v>
      </c>
      <c r="G167" s="5">
        <f t="shared" ca="1" si="35"/>
        <v>1070</v>
      </c>
      <c r="H167" s="5">
        <f t="shared" ca="1" si="28"/>
        <v>960</v>
      </c>
      <c r="I167" s="63">
        <f t="shared" ca="1" si="34"/>
        <v>0</v>
      </c>
      <c r="J167" s="5">
        <f t="shared" ca="1" si="29"/>
        <v>0</v>
      </c>
      <c r="K167" s="5">
        <f t="shared" ca="1" si="30"/>
        <v>0</v>
      </c>
      <c r="L167" s="5">
        <f t="shared" ca="1" si="31"/>
        <v>0</v>
      </c>
      <c r="M167" s="5">
        <f t="shared" ca="1" si="32"/>
        <v>0</v>
      </c>
      <c r="N167" s="6">
        <f t="shared" ca="1" si="26"/>
        <v>26.301369863013697</v>
      </c>
      <c r="O167" s="5">
        <f t="shared" si="33"/>
        <v>0</v>
      </c>
    </row>
    <row r="168" spans="2:15" ht="13.2" customHeight="1">
      <c r="B168" s="21"/>
      <c r="E168" s="5">
        <v>164</v>
      </c>
      <c r="F168" s="5">
        <f t="shared" ca="1" si="27"/>
        <v>90</v>
      </c>
      <c r="G168" s="5">
        <f t="shared" ca="1" si="35"/>
        <v>960</v>
      </c>
      <c r="H168" s="5">
        <f t="shared" ca="1" si="28"/>
        <v>870</v>
      </c>
      <c r="I168" s="63">
        <f t="shared" ca="1" si="34"/>
        <v>0</v>
      </c>
      <c r="J168" s="5">
        <f t="shared" ca="1" si="29"/>
        <v>0</v>
      </c>
      <c r="K168" s="5">
        <f t="shared" ca="1" si="30"/>
        <v>0</v>
      </c>
      <c r="L168" s="5">
        <f t="shared" ca="1" si="31"/>
        <v>0</v>
      </c>
      <c r="M168" s="5">
        <f t="shared" ca="1" si="32"/>
        <v>0</v>
      </c>
      <c r="N168" s="6">
        <f t="shared" ca="1" si="26"/>
        <v>23.835616438356162</v>
      </c>
      <c r="O168" s="5">
        <f t="shared" si="33"/>
        <v>0</v>
      </c>
    </row>
    <row r="169" spans="2:15" ht="13.2" customHeight="1">
      <c r="B169" s="21"/>
      <c r="E169" s="5">
        <v>165</v>
      </c>
      <c r="F169" s="5">
        <f t="shared" ca="1" si="27"/>
        <v>100</v>
      </c>
      <c r="G169" s="5">
        <f t="shared" ca="1" si="35"/>
        <v>870</v>
      </c>
      <c r="H169" s="5">
        <f t="shared" ca="1" si="28"/>
        <v>770</v>
      </c>
      <c r="I169" s="63">
        <f t="shared" ca="1" si="34"/>
        <v>0</v>
      </c>
      <c r="J169" s="5">
        <f t="shared" ca="1" si="29"/>
        <v>0</v>
      </c>
      <c r="K169" s="5">
        <f t="shared" ca="1" si="30"/>
        <v>0</v>
      </c>
      <c r="L169" s="5">
        <f t="shared" ca="1" si="31"/>
        <v>0</v>
      </c>
      <c r="M169" s="5">
        <f t="shared" ca="1" si="32"/>
        <v>0</v>
      </c>
      <c r="N169" s="6">
        <f t="shared" ca="1" si="26"/>
        <v>21.095890410958901</v>
      </c>
      <c r="O169" s="5">
        <f t="shared" si="33"/>
        <v>0</v>
      </c>
    </row>
    <row r="170" spans="2:15" ht="13.2" customHeight="1">
      <c r="B170" s="21"/>
      <c r="E170" s="5">
        <v>166</v>
      </c>
      <c r="F170" s="5">
        <f t="shared" ca="1" si="27"/>
        <v>120</v>
      </c>
      <c r="G170" s="5">
        <f t="shared" ca="1" si="35"/>
        <v>770</v>
      </c>
      <c r="H170" s="5">
        <f t="shared" ca="1" si="28"/>
        <v>650</v>
      </c>
      <c r="I170" s="63">
        <f t="shared" ca="1" si="34"/>
        <v>0</v>
      </c>
      <c r="J170" s="5">
        <f t="shared" ca="1" si="29"/>
        <v>0</v>
      </c>
      <c r="K170" s="5">
        <f t="shared" ca="1" si="30"/>
        <v>0</v>
      </c>
      <c r="L170" s="5">
        <f t="shared" ca="1" si="31"/>
        <v>0</v>
      </c>
      <c r="M170" s="5">
        <f t="shared" ca="1" si="32"/>
        <v>0</v>
      </c>
      <c r="N170" s="6">
        <f t="shared" ca="1" si="26"/>
        <v>17.80821917808219</v>
      </c>
      <c r="O170" s="5">
        <f t="shared" si="33"/>
        <v>0</v>
      </c>
    </row>
    <row r="171" spans="2:15" ht="13.2" customHeight="1">
      <c r="B171" s="21"/>
      <c r="E171" s="5">
        <v>167</v>
      </c>
      <c r="F171" s="5">
        <f t="shared" ca="1" si="27"/>
        <v>110</v>
      </c>
      <c r="G171" s="5">
        <f t="shared" ca="1" si="35"/>
        <v>650</v>
      </c>
      <c r="H171" s="5">
        <f t="shared" ca="1" si="28"/>
        <v>540</v>
      </c>
      <c r="I171" s="63">
        <f t="shared" ca="1" si="34"/>
        <v>0</v>
      </c>
      <c r="J171" s="5">
        <f t="shared" ca="1" si="29"/>
        <v>0</v>
      </c>
      <c r="K171" s="5">
        <f t="shared" ca="1" si="30"/>
        <v>0</v>
      </c>
      <c r="L171" s="5">
        <f t="shared" ca="1" si="31"/>
        <v>0</v>
      </c>
      <c r="M171" s="5">
        <f t="shared" ca="1" si="32"/>
        <v>0</v>
      </c>
      <c r="N171" s="6">
        <f t="shared" ca="1" si="26"/>
        <v>14.794520547945204</v>
      </c>
      <c r="O171" s="5">
        <f t="shared" si="33"/>
        <v>0</v>
      </c>
    </row>
    <row r="172" spans="2:15" ht="13.2" customHeight="1">
      <c r="B172" s="21"/>
      <c r="E172" s="5">
        <v>168</v>
      </c>
      <c r="F172" s="5">
        <f t="shared" ca="1" si="27"/>
        <v>100</v>
      </c>
      <c r="G172" s="5">
        <f t="shared" ca="1" si="35"/>
        <v>540</v>
      </c>
      <c r="H172" s="5">
        <f t="shared" ca="1" si="28"/>
        <v>440</v>
      </c>
      <c r="I172" s="63">
        <f t="shared" ca="1" si="34"/>
        <v>0</v>
      </c>
      <c r="J172" s="5">
        <f t="shared" ca="1" si="29"/>
        <v>0</v>
      </c>
      <c r="K172" s="5">
        <f t="shared" ca="1" si="30"/>
        <v>0</v>
      </c>
      <c r="L172" s="5">
        <f t="shared" ca="1" si="31"/>
        <v>0</v>
      </c>
      <c r="M172" s="5">
        <f t="shared" ca="1" si="32"/>
        <v>0</v>
      </c>
      <c r="N172" s="6">
        <f t="shared" ca="1" si="26"/>
        <v>12.054794520547944</v>
      </c>
      <c r="O172" s="5">
        <f t="shared" si="33"/>
        <v>0</v>
      </c>
    </row>
    <row r="173" spans="2:15" ht="13.2" customHeight="1">
      <c r="B173" s="21"/>
      <c r="E173" s="5">
        <v>169</v>
      </c>
      <c r="F173" s="5">
        <f t="shared" ca="1" si="27"/>
        <v>80</v>
      </c>
      <c r="G173" s="5">
        <f t="shared" ca="1" si="35"/>
        <v>440</v>
      </c>
      <c r="H173" s="5">
        <f t="shared" ca="1" si="28"/>
        <v>360</v>
      </c>
      <c r="I173" s="63">
        <f t="shared" ca="1" si="34"/>
        <v>0</v>
      </c>
      <c r="J173" s="5">
        <f t="shared" ca="1" si="29"/>
        <v>0</v>
      </c>
      <c r="K173" s="5">
        <f t="shared" ca="1" si="30"/>
        <v>0</v>
      </c>
      <c r="L173" s="5">
        <f t="shared" ca="1" si="31"/>
        <v>0</v>
      </c>
      <c r="M173" s="5">
        <f t="shared" ca="1" si="32"/>
        <v>0</v>
      </c>
      <c r="N173" s="6">
        <f t="shared" ca="1" si="26"/>
        <v>9.8630136986301373</v>
      </c>
      <c r="O173" s="5">
        <f t="shared" si="33"/>
        <v>0</v>
      </c>
    </row>
    <row r="174" spans="2:15" ht="13.2" customHeight="1">
      <c r="B174" s="21"/>
      <c r="E174" s="5">
        <v>170</v>
      </c>
      <c r="F174" s="5">
        <f t="shared" ca="1" si="27"/>
        <v>120</v>
      </c>
      <c r="G174" s="5">
        <f t="shared" ca="1" si="35"/>
        <v>360</v>
      </c>
      <c r="H174" s="5">
        <f t="shared" ca="1" si="28"/>
        <v>240</v>
      </c>
      <c r="I174" s="63">
        <f t="shared" ca="1" si="34"/>
        <v>0</v>
      </c>
      <c r="J174" s="5">
        <f t="shared" ca="1" si="29"/>
        <v>0</v>
      </c>
      <c r="K174" s="5">
        <f t="shared" ca="1" si="30"/>
        <v>0</v>
      </c>
      <c r="L174" s="5">
        <f t="shared" ca="1" si="31"/>
        <v>0</v>
      </c>
      <c r="M174" s="5">
        <f t="shared" ca="1" si="32"/>
        <v>0</v>
      </c>
      <c r="N174" s="6">
        <f t="shared" ca="1" si="26"/>
        <v>6.5753424657534243</v>
      </c>
      <c r="O174" s="5">
        <f t="shared" si="33"/>
        <v>0</v>
      </c>
    </row>
    <row r="175" spans="2:15" ht="13.2" customHeight="1">
      <c r="B175" s="21"/>
      <c r="E175" s="5">
        <v>171</v>
      </c>
      <c r="F175" s="5">
        <f t="shared" ca="1" si="27"/>
        <v>80</v>
      </c>
      <c r="G175" s="5">
        <f t="shared" ca="1" si="35"/>
        <v>240</v>
      </c>
      <c r="H175" s="5">
        <f t="shared" ca="1" si="28"/>
        <v>160</v>
      </c>
      <c r="I175" s="63">
        <f t="shared" ca="1" si="34"/>
        <v>0</v>
      </c>
      <c r="J175" s="5">
        <f t="shared" ca="1" si="29"/>
        <v>0</v>
      </c>
      <c r="K175" s="5">
        <f t="shared" ca="1" si="30"/>
        <v>0</v>
      </c>
      <c r="L175" s="5">
        <f t="shared" ca="1" si="31"/>
        <v>0</v>
      </c>
      <c r="M175" s="5">
        <f t="shared" ca="1" si="32"/>
        <v>0</v>
      </c>
      <c r="N175" s="6">
        <f t="shared" ca="1" si="26"/>
        <v>4.3835616438356162</v>
      </c>
      <c r="O175" s="5">
        <f t="shared" si="33"/>
        <v>0</v>
      </c>
    </row>
    <row r="176" spans="2:15" ht="13.2" customHeight="1">
      <c r="B176" s="21"/>
      <c r="E176" s="5">
        <v>172</v>
      </c>
      <c r="F176" s="5">
        <f t="shared" ca="1" si="27"/>
        <v>100</v>
      </c>
      <c r="G176" s="5">
        <f t="shared" ca="1" si="35"/>
        <v>160</v>
      </c>
      <c r="H176" s="5">
        <f t="shared" ca="1" si="28"/>
        <v>60</v>
      </c>
      <c r="I176" s="63">
        <f t="shared" ca="1" si="34"/>
        <v>1</v>
      </c>
      <c r="J176" s="5">
        <f t="shared" ca="1" si="29"/>
        <v>0</v>
      </c>
      <c r="K176" s="5">
        <f t="shared" ca="1" si="30"/>
        <v>0</v>
      </c>
      <c r="L176" s="5">
        <f t="shared" ca="1" si="31"/>
        <v>0</v>
      </c>
      <c r="M176" s="5">
        <f t="shared" ca="1" si="32"/>
        <v>200</v>
      </c>
      <c r="N176" s="6">
        <f t="shared" ca="1" si="26"/>
        <v>1.6438356164383561</v>
      </c>
      <c r="O176" s="5">
        <f t="shared" si="33"/>
        <v>0</v>
      </c>
    </row>
    <row r="177" spans="2:15" ht="13.2" customHeight="1">
      <c r="B177" s="21"/>
      <c r="E177" s="5">
        <v>173</v>
      </c>
      <c r="F177" s="5">
        <f t="shared" ca="1" si="27"/>
        <v>80</v>
      </c>
      <c r="G177" s="5">
        <f t="shared" ca="1" si="35"/>
        <v>1060</v>
      </c>
      <c r="H177" s="5">
        <f t="shared" ca="1" si="28"/>
        <v>980</v>
      </c>
      <c r="I177" s="63">
        <f t="shared" ca="1" si="34"/>
        <v>0</v>
      </c>
      <c r="J177" s="5">
        <f t="shared" ca="1" si="29"/>
        <v>0</v>
      </c>
      <c r="K177" s="5">
        <f t="shared" ca="1" si="30"/>
        <v>0</v>
      </c>
      <c r="L177" s="5">
        <f t="shared" ca="1" si="31"/>
        <v>0</v>
      </c>
      <c r="M177" s="5">
        <f t="shared" ca="1" si="32"/>
        <v>0</v>
      </c>
      <c r="N177" s="6">
        <f t="shared" ca="1" si="26"/>
        <v>26.849315068493148</v>
      </c>
      <c r="O177" s="5">
        <f t="shared" si="33"/>
        <v>0</v>
      </c>
    </row>
    <row r="178" spans="2:15" ht="13.2" customHeight="1">
      <c r="B178" s="21"/>
      <c r="E178" s="5">
        <v>174</v>
      </c>
      <c r="F178" s="5">
        <f t="shared" ca="1" si="27"/>
        <v>120</v>
      </c>
      <c r="G178" s="5">
        <f t="shared" ca="1" si="35"/>
        <v>980</v>
      </c>
      <c r="H178" s="5">
        <f t="shared" ca="1" si="28"/>
        <v>860</v>
      </c>
      <c r="I178" s="63">
        <f t="shared" ca="1" si="34"/>
        <v>0</v>
      </c>
      <c r="J178" s="5">
        <f t="shared" ca="1" si="29"/>
        <v>0</v>
      </c>
      <c r="K178" s="5">
        <f t="shared" ca="1" si="30"/>
        <v>0</v>
      </c>
      <c r="L178" s="5">
        <f t="shared" ca="1" si="31"/>
        <v>0</v>
      </c>
      <c r="M178" s="5">
        <f t="shared" ca="1" si="32"/>
        <v>0</v>
      </c>
      <c r="N178" s="6">
        <f t="shared" ca="1" si="26"/>
        <v>23.561643835616437</v>
      </c>
      <c r="O178" s="5">
        <f t="shared" si="33"/>
        <v>0</v>
      </c>
    </row>
    <row r="179" spans="2:15" ht="13.2" customHeight="1">
      <c r="B179" s="21"/>
      <c r="E179" s="5">
        <v>175</v>
      </c>
      <c r="F179" s="5">
        <f t="shared" ca="1" si="27"/>
        <v>110</v>
      </c>
      <c r="G179" s="5">
        <f t="shared" ca="1" si="35"/>
        <v>860</v>
      </c>
      <c r="H179" s="5">
        <f t="shared" ca="1" si="28"/>
        <v>750</v>
      </c>
      <c r="I179" s="63">
        <f t="shared" ca="1" si="34"/>
        <v>0</v>
      </c>
      <c r="J179" s="5">
        <f t="shared" ca="1" si="29"/>
        <v>0</v>
      </c>
      <c r="K179" s="5">
        <f t="shared" ca="1" si="30"/>
        <v>0</v>
      </c>
      <c r="L179" s="5">
        <f t="shared" ca="1" si="31"/>
        <v>0</v>
      </c>
      <c r="M179" s="5">
        <f t="shared" ca="1" si="32"/>
        <v>0</v>
      </c>
      <c r="N179" s="6">
        <f t="shared" ca="1" si="26"/>
        <v>20.547945205479451</v>
      </c>
      <c r="O179" s="5">
        <f t="shared" si="33"/>
        <v>0</v>
      </c>
    </row>
    <row r="180" spans="2:15" ht="13.2" customHeight="1">
      <c r="B180" s="21"/>
      <c r="E180" s="5">
        <v>176</v>
      </c>
      <c r="F180" s="5">
        <f t="shared" ca="1" si="27"/>
        <v>100</v>
      </c>
      <c r="G180" s="5">
        <f t="shared" ca="1" si="35"/>
        <v>750</v>
      </c>
      <c r="H180" s="5">
        <f t="shared" ca="1" si="28"/>
        <v>650</v>
      </c>
      <c r="I180" s="63">
        <f t="shared" ca="1" si="34"/>
        <v>0</v>
      </c>
      <c r="J180" s="5">
        <f t="shared" ca="1" si="29"/>
        <v>0</v>
      </c>
      <c r="K180" s="5">
        <f t="shared" ca="1" si="30"/>
        <v>0</v>
      </c>
      <c r="L180" s="5">
        <f t="shared" ca="1" si="31"/>
        <v>0</v>
      </c>
      <c r="M180" s="5">
        <f t="shared" ca="1" si="32"/>
        <v>0</v>
      </c>
      <c r="N180" s="6">
        <f t="shared" ca="1" si="26"/>
        <v>17.80821917808219</v>
      </c>
      <c r="O180" s="5">
        <f t="shared" si="33"/>
        <v>0</v>
      </c>
    </row>
    <row r="181" spans="2:15" ht="13.2" customHeight="1">
      <c r="B181" s="21"/>
      <c r="E181" s="5">
        <v>177</v>
      </c>
      <c r="F181" s="5">
        <f t="shared" ca="1" si="27"/>
        <v>120</v>
      </c>
      <c r="G181" s="5">
        <f t="shared" ca="1" si="35"/>
        <v>650</v>
      </c>
      <c r="H181" s="5">
        <f t="shared" ca="1" si="28"/>
        <v>530</v>
      </c>
      <c r="I181" s="63">
        <f t="shared" ca="1" si="34"/>
        <v>0</v>
      </c>
      <c r="J181" s="5">
        <f t="shared" ca="1" si="29"/>
        <v>0</v>
      </c>
      <c r="K181" s="5">
        <f t="shared" ca="1" si="30"/>
        <v>0</v>
      </c>
      <c r="L181" s="5">
        <f t="shared" ca="1" si="31"/>
        <v>0</v>
      </c>
      <c r="M181" s="5">
        <f t="shared" ca="1" si="32"/>
        <v>0</v>
      </c>
      <c r="N181" s="6">
        <f t="shared" ca="1" si="26"/>
        <v>14.520547945205479</v>
      </c>
      <c r="O181" s="5">
        <f t="shared" si="33"/>
        <v>0</v>
      </c>
    </row>
    <row r="182" spans="2:15" ht="13.2" customHeight="1">
      <c r="B182" s="21"/>
      <c r="E182" s="5">
        <v>178</v>
      </c>
      <c r="F182" s="5">
        <f t="shared" ca="1" si="27"/>
        <v>120</v>
      </c>
      <c r="G182" s="5">
        <f t="shared" ca="1" si="35"/>
        <v>530</v>
      </c>
      <c r="H182" s="5">
        <f t="shared" ca="1" si="28"/>
        <v>410</v>
      </c>
      <c r="I182" s="63">
        <f t="shared" ca="1" si="34"/>
        <v>0</v>
      </c>
      <c r="J182" s="5">
        <f t="shared" ca="1" si="29"/>
        <v>0</v>
      </c>
      <c r="K182" s="5">
        <f t="shared" ca="1" si="30"/>
        <v>0</v>
      </c>
      <c r="L182" s="5">
        <f t="shared" ca="1" si="31"/>
        <v>0</v>
      </c>
      <c r="M182" s="5">
        <f t="shared" ca="1" si="32"/>
        <v>0</v>
      </c>
      <c r="N182" s="6">
        <f t="shared" ca="1" si="26"/>
        <v>11.232876712328766</v>
      </c>
      <c r="O182" s="5">
        <f t="shared" si="33"/>
        <v>0</v>
      </c>
    </row>
    <row r="183" spans="2:15" ht="13.2" customHeight="1">
      <c r="B183" s="21"/>
      <c r="E183" s="5">
        <v>179</v>
      </c>
      <c r="F183" s="5">
        <f t="shared" ca="1" si="27"/>
        <v>100</v>
      </c>
      <c r="G183" s="5">
        <f t="shared" ca="1" si="35"/>
        <v>410</v>
      </c>
      <c r="H183" s="5">
        <f t="shared" ca="1" si="28"/>
        <v>310</v>
      </c>
      <c r="I183" s="63">
        <f t="shared" ca="1" si="34"/>
        <v>0</v>
      </c>
      <c r="J183" s="5">
        <f t="shared" ca="1" si="29"/>
        <v>0</v>
      </c>
      <c r="K183" s="5">
        <f t="shared" ca="1" si="30"/>
        <v>0</v>
      </c>
      <c r="L183" s="5">
        <f t="shared" ca="1" si="31"/>
        <v>0</v>
      </c>
      <c r="M183" s="5">
        <f t="shared" ca="1" si="32"/>
        <v>0</v>
      </c>
      <c r="N183" s="6">
        <f t="shared" ca="1" si="26"/>
        <v>8.493150684931507</v>
      </c>
      <c r="O183" s="5">
        <f t="shared" si="33"/>
        <v>0</v>
      </c>
    </row>
    <row r="184" spans="2:15" ht="13.2" customHeight="1">
      <c r="B184" s="21"/>
      <c r="E184" s="5">
        <v>180</v>
      </c>
      <c r="F184" s="5">
        <f t="shared" ca="1" si="27"/>
        <v>90</v>
      </c>
      <c r="G184" s="5">
        <f t="shared" ca="1" si="35"/>
        <v>310</v>
      </c>
      <c r="H184" s="5">
        <f t="shared" ca="1" si="28"/>
        <v>220</v>
      </c>
      <c r="I184" s="63">
        <f t="shared" ca="1" si="34"/>
        <v>0</v>
      </c>
      <c r="J184" s="5">
        <f t="shared" ca="1" si="29"/>
        <v>0</v>
      </c>
      <c r="K184" s="5">
        <f t="shared" ca="1" si="30"/>
        <v>0</v>
      </c>
      <c r="L184" s="5">
        <f t="shared" ca="1" si="31"/>
        <v>0</v>
      </c>
      <c r="M184" s="5">
        <f t="shared" ca="1" si="32"/>
        <v>0</v>
      </c>
      <c r="N184" s="6">
        <f t="shared" ca="1" si="26"/>
        <v>6.0273972602739718</v>
      </c>
      <c r="O184" s="5">
        <f t="shared" si="33"/>
        <v>0</v>
      </c>
    </row>
    <row r="185" spans="2:15" ht="13.2" customHeight="1">
      <c r="B185" s="21"/>
      <c r="E185" s="5">
        <v>181</v>
      </c>
      <c r="F185" s="5">
        <f t="shared" ca="1" si="27"/>
        <v>110</v>
      </c>
      <c r="G185" s="5">
        <f t="shared" ca="1" si="35"/>
        <v>220</v>
      </c>
      <c r="H185" s="5">
        <f t="shared" ca="1" si="28"/>
        <v>110</v>
      </c>
      <c r="I185" s="63">
        <f t="shared" ca="1" si="34"/>
        <v>0</v>
      </c>
      <c r="J185" s="5">
        <f t="shared" ca="1" si="29"/>
        <v>0</v>
      </c>
      <c r="K185" s="5">
        <f t="shared" ca="1" si="30"/>
        <v>0</v>
      </c>
      <c r="L185" s="5">
        <f t="shared" ca="1" si="31"/>
        <v>0</v>
      </c>
      <c r="M185" s="5">
        <f t="shared" ca="1" si="32"/>
        <v>0</v>
      </c>
      <c r="N185" s="6">
        <f t="shared" ca="1" si="26"/>
        <v>3.0136986301369859</v>
      </c>
      <c r="O185" s="5">
        <f t="shared" si="33"/>
        <v>0</v>
      </c>
    </row>
    <row r="186" spans="2:15" ht="13.2" customHeight="1">
      <c r="B186" s="21"/>
      <c r="E186" s="5">
        <v>182</v>
      </c>
      <c r="F186" s="5">
        <f t="shared" ca="1" si="27"/>
        <v>120</v>
      </c>
      <c r="G186" s="5">
        <f t="shared" ca="1" si="35"/>
        <v>110</v>
      </c>
      <c r="H186" s="5">
        <f t="shared" ca="1" si="28"/>
        <v>0</v>
      </c>
      <c r="I186" s="63">
        <f t="shared" ca="1" si="34"/>
        <v>1</v>
      </c>
      <c r="J186" s="5">
        <f t="shared" ca="1" si="29"/>
        <v>0</v>
      </c>
      <c r="K186" s="5">
        <f t="shared" ca="1" si="30"/>
        <v>10</v>
      </c>
      <c r="L186" s="5">
        <f t="shared" ca="1" si="31"/>
        <v>500</v>
      </c>
      <c r="M186" s="5">
        <f t="shared" ca="1" si="32"/>
        <v>200</v>
      </c>
      <c r="N186" s="6">
        <f t="shared" ca="1" si="26"/>
        <v>0</v>
      </c>
      <c r="O186" s="5">
        <f t="shared" si="33"/>
        <v>0</v>
      </c>
    </row>
    <row r="187" spans="2:15" ht="13.2" customHeight="1">
      <c r="B187" s="21"/>
      <c r="E187" s="5">
        <v>183</v>
      </c>
      <c r="F187" s="5">
        <f t="shared" ca="1" si="27"/>
        <v>100</v>
      </c>
      <c r="G187" s="5">
        <f t="shared" ca="1" si="35"/>
        <v>1000</v>
      </c>
      <c r="H187" s="5">
        <f t="shared" ca="1" si="28"/>
        <v>900</v>
      </c>
      <c r="I187" s="63">
        <f t="shared" ca="1" si="34"/>
        <v>0</v>
      </c>
      <c r="J187" s="5">
        <f t="shared" ca="1" si="29"/>
        <v>0</v>
      </c>
      <c r="K187" s="5">
        <f t="shared" ca="1" si="30"/>
        <v>0</v>
      </c>
      <c r="L187" s="5">
        <f t="shared" ca="1" si="31"/>
        <v>0</v>
      </c>
      <c r="M187" s="5">
        <f t="shared" ca="1" si="32"/>
        <v>0</v>
      </c>
      <c r="N187" s="6">
        <f t="shared" ca="1" si="26"/>
        <v>24.657534246575342</v>
      </c>
      <c r="O187" s="5">
        <f t="shared" si="33"/>
        <v>0</v>
      </c>
    </row>
    <row r="188" spans="2:15" ht="13.2" customHeight="1">
      <c r="B188" s="21"/>
      <c r="E188" s="5">
        <v>184</v>
      </c>
      <c r="F188" s="5">
        <f t="shared" ca="1" si="27"/>
        <v>110</v>
      </c>
      <c r="G188" s="5">
        <f t="shared" ca="1" si="35"/>
        <v>900</v>
      </c>
      <c r="H188" s="5">
        <f t="shared" ca="1" si="28"/>
        <v>790</v>
      </c>
      <c r="I188" s="63">
        <f t="shared" ca="1" si="34"/>
        <v>0</v>
      </c>
      <c r="J188" s="5">
        <f t="shared" ca="1" si="29"/>
        <v>0</v>
      </c>
      <c r="K188" s="5">
        <f t="shared" ca="1" si="30"/>
        <v>0</v>
      </c>
      <c r="L188" s="5">
        <f t="shared" ca="1" si="31"/>
        <v>0</v>
      </c>
      <c r="M188" s="5">
        <f t="shared" ca="1" si="32"/>
        <v>0</v>
      </c>
      <c r="N188" s="6">
        <f t="shared" ca="1" si="26"/>
        <v>21.643835616438356</v>
      </c>
      <c r="O188" s="5">
        <f t="shared" si="33"/>
        <v>0</v>
      </c>
    </row>
    <row r="189" spans="2:15" ht="13.2" customHeight="1">
      <c r="B189" s="21"/>
      <c r="E189" s="5">
        <v>185</v>
      </c>
      <c r="F189" s="5">
        <f t="shared" ca="1" si="27"/>
        <v>110</v>
      </c>
      <c r="G189" s="5">
        <f t="shared" ca="1" si="35"/>
        <v>790</v>
      </c>
      <c r="H189" s="5">
        <f t="shared" ca="1" si="28"/>
        <v>680</v>
      </c>
      <c r="I189" s="63">
        <f t="shared" ca="1" si="34"/>
        <v>0</v>
      </c>
      <c r="J189" s="5">
        <f t="shared" ca="1" si="29"/>
        <v>0</v>
      </c>
      <c r="K189" s="5">
        <f t="shared" ca="1" si="30"/>
        <v>0</v>
      </c>
      <c r="L189" s="5">
        <f t="shared" ca="1" si="31"/>
        <v>0</v>
      </c>
      <c r="M189" s="5">
        <f t="shared" ca="1" si="32"/>
        <v>0</v>
      </c>
      <c r="N189" s="6">
        <f t="shared" ca="1" si="26"/>
        <v>18.63013698630137</v>
      </c>
      <c r="O189" s="5">
        <f t="shared" si="33"/>
        <v>0</v>
      </c>
    </row>
    <row r="190" spans="2:15" ht="13.2" customHeight="1">
      <c r="B190" s="21"/>
      <c r="E190" s="5">
        <v>186</v>
      </c>
      <c r="F190" s="5">
        <f t="shared" ca="1" si="27"/>
        <v>100</v>
      </c>
      <c r="G190" s="5">
        <f t="shared" ca="1" si="35"/>
        <v>680</v>
      </c>
      <c r="H190" s="5">
        <f t="shared" ca="1" si="28"/>
        <v>580</v>
      </c>
      <c r="I190" s="63">
        <f t="shared" ca="1" si="34"/>
        <v>0</v>
      </c>
      <c r="J190" s="5">
        <f t="shared" ca="1" si="29"/>
        <v>0</v>
      </c>
      <c r="K190" s="5">
        <f t="shared" ca="1" si="30"/>
        <v>0</v>
      </c>
      <c r="L190" s="5">
        <f t="shared" ca="1" si="31"/>
        <v>0</v>
      </c>
      <c r="M190" s="5">
        <f t="shared" ca="1" si="32"/>
        <v>0</v>
      </c>
      <c r="N190" s="6">
        <f t="shared" ca="1" si="26"/>
        <v>15.890410958904109</v>
      </c>
      <c r="O190" s="5">
        <f t="shared" si="33"/>
        <v>0</v>
      </c>
    </row>
    <row r="191" spans="2:15" ht="13.2" customHeight="1">
      <c r="B191" s="21"/>
      <c r="E191" s="5">
        <v>187</v>
      </c>
      <c r="F191" s="5">
        <f t="shared" ca="1" si="27"/>
        <v>100</v>
      </c>
      <c r="G191" s="5">
        <f t="shared" ca="1" si="35"/>
        <v>580</v>
      </c>
      <c r="H191" s="5">
        <f t="shared" ca="1" si="28"/>
        <v>480</v>
      </c>
      <c r="I191" s="63">
        <f t="shared" ca="1" si="34"/>
        <v>0</v>
      </c>
      <c r="J191" s="5">
        <f t="shared" ca="1" si="29"/>
        <v>0</v>
      </c>
      <c r="K191" s="5">
        <f t="shared" ca="1" si="30"/>
        <v>0</v>
      </c>
      <c r="L191" s="5">
        <f t="shared" ca="1" si="31"/>
        <v>0</v>
      </c>
      <c r="M191" s="5">
        <f t="shared" ca="1" si="32"/>
        <v>0</v>
      </c>
      <c r="N191" s="6">
        <f t="shared" ca="1" si="26"/>
        <v>13.150684931506849</v>
      </c>
      <c r="O191" s="5">
        <f t="shared" si="33"/>
        <v>0</v>
      </c>
    </row>
    <row r="192" spans="2:15" ht="13.2" customHeight="1">
      <c r="B192" s="21"/>
      <c r="E192" s="5">
        <v>188</v>
      </c>
      <c r="F192" s="5">
        <f t="shared" ca="1" si="27"/>
        <v>100</v>
      </c>
      <c r="G192" s="5">
        <f t="shared" ca="1" si="35"/>
        <v>480</v>
      </c>
      <c r="H192" s="5">
        <f t="shared" ca="1" si="28"/>
        <v>380</v>
      </c>
      <c r="I192" s="63">
        <f t="shared" ca="1" si="34"/>
        <v>0</v>
      </c>
      <c r="J192" s="5">
        <f t="shared" ca="1" si="29"/>
        <v>0</v>
      </c>
      <c r="K192" s="5">
        <f t="shared" ca="1" si="30"/>
        <v>0</v>
      </c>
      <c r="L192" s="5">
        <f t="shared" ca="1" si="31"/>
        <v>0</v>
      </c>
      <c r="M192" s="5">
        <f t="shared" ca="1" si="32"/>
        <v>0</v>
      </c>
      <c r="N192" s="6">
        <f t="shared" ca="1" si="26"/>
        <v>10.410958904109588</v>
      </c>
      <c r="O192" s="5">
        <f t="shared" si="33"/>
        <v>0</v>
      </c>
    </row>
    <row r="193" spans="2:15" ht="13.2" customHeight="1">
      <c r="B193" s="21"/>
      <c r="E193" s="5">
        <v>189</v>
      </c>
      <c r="F193" s="5">
        <f t="shared" ca="1" si="27"/>
        <v>100</v>
      </c>
      <c r="G193" s="5">
        <f t="shared" ca="1" si="35"/>
        <v>380</v>
      </c>
      <c r="H193" s="5">
        <f t="shared" ca="1" si="28"/>
        <v>280</v>
      </c>
      <c r="I193" s="63">
        <f t="shared" ca="1" si="34"/>
        <v>0</v>
      </c>
      <c r="J193" s="5">
        <f t="shared" ca="1" si="29"/>
        <v>0</v>
      </c>
      <c r="K193" s="5">
        <f t="shared" ca="1" si="30"/>
        <v>0</v>
      </c>
      <c r="L193" s="5">
        <f t="shared" ca="1" si="31"/>
        <v>0</v>
      </c>
      <c r="M193" s="5">
        <f t="shared" ca="1" si="32"/>
        <v>0</v>
      </c>
      <c r="N193" s="6">
        <f t="shared" ca="1" si="26"/>
        <v>7.6712328767123283</v>
      </c>
      <c r="O193" s="5">
        <f t="shared" si="33"/>
        <v>0</v>
      </c>
    </row>
    <row r="194" spans="2:15" ht="13.2" customHeight="1">
      <c r="B194" s="21"/>
      <c r="E194" s="5">
        <v>190</v>
      </c>
      <c r="F194" s="5">
        <f t="shared" ca="1" si="27"/>
        <v>100</v>
      </c>
      <c r="G194" s="5">
        <f t="shared" ca="1" si="35"/>
        <v>280</v>
      </c>
      <c r="H194" s="5">
        <f t="shared" ca="1" si="28"/>
        <v>180</v>
      </c>
      <c r="I194" s="63">
        <f t="shared" ca="1" si="34"/>
        <v>0</v>
      </c>
      <c r="J194" s="5">
        <f t="shared" ca="1" si="29"/>
        <v>0</v>
      </c>
      <c r="K194" s="5">
        <f t="shared" ca="1" si="30"/>
        <v>0</v>
      </c>
      <c r="L194" s="5">
        <f t="shared" ca="1" si="31"/>
        <v>0</v>
      </c>
      <c r="M194" s="5">
        <f t="shared" ca="1" si="32"/>
        <v>0</v>
      </c>
      <c r="N194" s="6">
        <f t="shared" ca="1" si="26"/>
        <v>4.9315068493150687</v>
      </c>
      <c r="O194" s="5">
        <f t="shared" si="33"/>
        <v>0</v>
      </c>
    </row>
    <row r="195" spans="2:15" ht="13.2" customHeight="1">
      <c r="B195" s="21"/>
      <c r="E195" s="5">
        <v>191</v>
      </c>
      <c r="F195" s="5">
        <f t="shared" ca="1" si="27"/>
        <v>80</v>
      </c>
      <c r="G195" s="5">
        <f t="shared" ca="1" si="35"/>
        <v>180</v>
      </c>
      <c r="H195" s="5">
        <f t="shared" ca="1" si="28"/>
        <v>100</v>
      </c>
      <c r="I195" s="63">
        <f t="shared" ca="1" si="34"/>
        <v>0</v>
      </c>
      <c r="J195" s="5">
        <f t="shared" ca="1" si="29"/>
        <v>0</v>
      </c>
      <c r="K195" s="5">
        <f t="shared" ca="1" si="30"/>
        <v>0</v>
      </c>
      <c r="L195" s="5">
        <f t="shared" ca="1" si="31"/>
        <v>0</v>
      </c>
      <c r="M195" s="5">
        <f t="shared" ca="1" si="32"/>
        <v>0</v>
      </c>
      <c r="N195" s="6">
        <f t="shared" ca="1" si="26"/>
        <v>2.7397260273972601</v>
      </c>
      <c r="O195" s="5">
        <f t="shared" si="33"/>
        <v>0</v>
      </c>
    </row>
    <row r="196" spans="2:15" ht="13.2" customHeight="1">
      <c r="B196" s="21"/>
      <c r="E196" s="5">
        <v>192</v>
      </c>
      <c r="F196" s="5">
        <f t="shared" ca="1" si="27"/>
        <v>120</v>
      </c>
      <c r="G196" s="5">
        <f t="shared" ca="1" si="35"/>
        <v>100</v>
      </c>
      <c r="H196" s="5">
        <f t="shared" ca="1" si="28"/>
        <v>0</v>
      </c>
      <c r="I196" s="63">
        <f t="shared" ca="1" si="34"/>
        <v>1</v>
      </c>
      <c r="J196" s="5">
        <f t="shared" ca="1" si="29"/>
        <v>1</v>
      </c>
      <c r="K196" s="5">
        <f t="shared" ca="1" si="30"/>
        <v>20</v>
      </c>
      <c r="L196" s="5">
        <f t="shared" ca="1" si="31"/>
        <v>1000</v>
      </c>
      <c r="M196" s="5">
        <f t="shared" ca="1" si="32"/>
        <v>200</v>
      </c>
      <c r="N196" s="6">
        <f t="shared" ca="1" si="26"/>
        <v>0</v>
      </c>
      <c r="O196" s="5">
        <f t="shared" si="33"/>
        <v>0</v>
      </c>
    </row>
    <row r="197" spans="2:15" ht="13.2" customHeight="1">
      <c r="B197" s="21"/>
      <c r="E197" s="5">
        <v>193</v>
      </c>
      <c r="F197" s="5">
        <f t="shared" ca="1" si="27"/>
        <v>110</v>
      </c>
      <c r="G197" s="5">
        <f t="shared" ca="1" si="35"/>
        <v>0</v>
      </c>
      <c r="H197" s="5">
        <f t="shared" ca="1" si="28"/>
        <v>0</v>
      </c>
      <c r="I197" s="63">
        <f t="shared" ca="1" si="34"/>
        <v>0</v>
      </c>
      <c r="J197" s="5">
        <f t="shared" ca="1" si="29"/>
        <v>0</v>
      </c>
      <c r="K197" s="5">
        <f t="shared" ca="1" si="30"/>
        <v>110</v>
      </c>
      <c r="L197" s="5">
        <f t="shared" ca="1" si="31"/>
        <v>5500</v>
      </c>
      <c r="M197" s="5">
        <f t="shared" ca="1" si="32"/>
        <v>0</v>
      </c>
      <c r="N197" s="6">
        <f t="shared" ref="N197:N260" ca="1" si="36">H197*$C$7</f>
        <v>0</v>
      </c>
      <c r="O197" s="5">
        <f t="shared" si="33"/>
        <v>0</v>
      </c>
    </row>
    <row r="198" spans="2:15" ht="13.2" customHeight="1">
      <c r="B198" s="21"/>
      <c r="E198" s="5">
        <v>194</v>
      </c>
      <c r="F198" s="5">
        <f t="shared" ref="F198:F261" ca="1" si="37">INDEX($T$17:$T$21,MATCH(RAND(),$V$17:$V$21,1))</f>
        <v>120</v>
      </c>
      <c r="G198" s="5">
        <f t="shared" ca="1" si="35"/>
        <v>1000</v>
      </c>
      <c r="H198" s="5">
        <f t="shared" ref="H198:H261" ca="1" si="38">IF(G198-F198&gt;0,G198-F198,0)</f>
        <v>880</v>
      </c>
      <c r="I198" s="63">
        <f t="shared" ca="1" si="34"/>
        <v>0</v>
      </c>
      <c r="J198" s="5">
        <f t="shared" ref="J198:J261" ca="1" si="39">I198*INT(RAND()*2)</f>
        <v>0</v>
      </c>
      <c r="K198" s="5">
        <f t="shared" ref="K198:K261" ca="1" si="40">-MIN(0,G198-F198)</f>
        <v>0</v>
      </c>
      <c r="L198" s="5">
        <f t="shared" ref="L198:L261" ca="1" si="41">K198*$C$8</f>
        <v>0</v>
      </c>
      <c r="M198" s="5">
        <f t="shared" ref="M198:M261" ca="1" si="42">$C$4*I198</f>
        <v>0</v>
      </c>
      <c r="N198" s="6">
        <f t="shared" ca="1" si="36"/>
        <v>24.109589041095887</v>
      </c>
      <c r="O198" s="5">
        <f t="shared" ref="O198:O261" si="43">IF(E198=$O$4,H198,0)</f>
        <v>0</v>
      </c>
    </row>
    <row r="199" spans="2:15" ht="13.2" customHeight="1">
      <c r="B199" s="21"/>
      <c r="E199" s="5">
        <v>195</v>
      </c>
      <c r="F199" s="5">
        <f t="shared" ca="1" si="37"/>
        <v>80</v>
      </c>
      <c r="G199" s="5">
        <f t="shared" ca="1" si="35"/>
        <v>880</v>
      </c>
      <c r="H199" s="5">
        <f t="shared" ca="1" si="38"/>
        <v>800</v>
      </c>
      <c r="I199" s="63">
        <f t="shared" ref="I199:I262" ca="1" si="44">IF(AND(H199&lt;$C$3,J198=0),1,0)</f>
        <v>0</v>
      </c>
      <c r="J199" s="5">
        <f t="shared" ca="1" si="39"/>
        <v>0</v>
      </c>
      <c r="K199" s="5">
        <f t="shared" ca="1" si="40"/>
        <v>0</v>
      </c>
      <c r="L199" s="5">
        <f t="shared" ca="1" si="41"/>
        <v>0</v>
      </c>
      <c r="M199" s="5">
        <f t="shared" ca="1" si="42"/>
        <v>0</v>
      </c>
      <c r="N199" s="6">
        <f t="shared" ca="1" si="36"/>
        <v>21.917808219178081</v>
      </c>
      <c r="O199" s="5">
        <f t="shared" si="43"/>
        <v>0</v>
      </c>
    </row>
    <row r="200" spans="2:15" ht="13.2" customHeight="1">
      <c r="B200" s="21"/>
      <c r="E200" s="5">
        <v>196</v>
      </c>
      <c r="F200" s="5">
        <f t="shared" ca="1" si="37"/>
        <v>80</v>
      </c>
      <c r="G200" s="5">
        <f t="shared" ref="G200:G263" ca="1" si="45">H199+IF(J199=0,I199*$C$9,0)+IF(J198=1,$C$9,0)</f>
        <v>800</v>
      </c>
      <c r="H200" s="5">
        <f t="shared" ca="1" si="38"/>
        <v>720</v>
      </c>
      <c r="I200" s="63">
        <f t="shared" ca="1" si="44"/>
        <v>0</v>
      </c>
      <c r="J200" s="5">
        <f t="shared" ca="1" si="39"/>
        <v>0</v>
      </c>
      <c r="K200" s="5">
        <f t="shared" ca="1" si="40"/>
        <v>0</v>
      </c>
      <c r="L200" s="5">
        <f t="shared" ca="1" si="41"/>
        <v>0</v>
      </c>
      <c r="M200" s="5">
        <f t="shared" ca="1" si="42"/>
        <v>0</v>
      </c>
      <c r="N200" s="6">
        <f t="shared" ca="1" si="36"/>
        <v>19.726027397260275</v>
      </c>
      <c r="O200" s="5">
        <f t="shared" si="43"/>
        <v>0</v>
      </c>
    </row>
    <row r="201" spans="2:15" ht="13.2" customHeight="1">
      <c r="B201" s="21"/>
      <c r="E201" s="5">
        <v>197</v>
      </c>
      <c r="F201" s="5">
        <f t="shared" ca="1" si="37"/>
        <v>90</v>
      </c>
      <c r="G201" s="5">
        <f t="shared" ca="1" si="45"/>
        <v>720</v>
      </c>
      <c r="H201" s="5">
        <f t="shared" ca="1" si="38"/>
        <v>630</v>
      </c>
      <c r="I201" s="63">
        <f t="shared" ca="1" si="44"/>
        <v>0</v>
      </c>
      <c r="J201" s="5">
        <f t="shared" ca="1" si="39"/>
        <v>0</v>
      </c>
      <c r="K201" s="5">
        <f t="shared" ca="1" si="40"/>
        <v>0</v>
      </c>
      <c r="L201" s="5">
        <f t="shared" ca="1" si="41"/>
        <v>0</v>
      </c>
      <c r="M201" s="5">
        <f t="shared" ca="1" si="42"/>
        <v>0</v>
      </c>
      <c r="N201" s="6">
        <f t="shared" ca="1" si="36"/>
        <v>17.260273972602739</v>
      </c>
      <c r="O201" s="5">
        <f t="shared" si="43"/>
        <v>0</v>
      </c>
    </row>
    <row r="202" spans="2:15" ht="13.2" customHeight="1">
      <c r="B202" s="21"/>
      <c r="E202" s="5">
        <v>198</v>
      </c>
      <c r="F202" s="5">
        <f t="shared" ca="1" si="37"/>
        <v>90</v>
      </c>
      <c r="G202" s="5">
        <f t="shared" ca="1" si="45"/>
        <v>630</v>
      </c>
      <c r="H202" s="5">
        <f t="shared" ca="1" si="38"/>
        <v>540</v>
      </c>
      <c r="I202" s="63">
        <f t="shared" ca="1" si="44"/>
        <v>0</v>
      </c>
      <c r="J202" s="5">
        <f t="shared" ca="1" si="39"/>
        <v>0</v>
      </c>
      <c r="K202" s="5">
        <f t="shared" ca="1" si="40"/>
        <v>0</v>
      </c>
      <c r="L202" s="5">
        <f t="shared" ca="1" si="41"/>
        <v>0</v>
      </c>
      <c r="M202" s="5">
        <f t="shared" ca="1" si="42"/>
        <v>0</v>
      </c>
      <c r="N202" s="6">
        <f t="shared" ca="1" si="36"/>
        <v>14.794520547945204</v>
      </c>
      <c r="O202" s="5">
        <f t="shared" si="43"/>
        <v>0</v>
      </c>
    </row>
    <row r="203" spans="2:15" ht="13.2" customHeight="1">
      <c r="B203" s="21"/>
      <c r="E203" s="5">
        <v>199</v>
      </c>
      <c r="F203" s="5">
        <f t="shared" ca="1" si="37"/>
        <v>110</v>
      </c>
      <c r="G203" s="5">
        <f t="shared" ca="1" si="45"/>
        <v>540</v>
      </c>
      <c r="H203" s="5">
        <f t="shared" ca="1" si="38"/>
        <v>430</v>
      </c>
      <c r="I203" s="63">
        <f t="shared" ca="1" si="44"/>
        <v>0</v>
      </c>
      <c r="J203" s="5">
        <f t="shared" ca="1" si="39"/>
        <v>0</v>
      </c>
      <c r="K203" s="5">
        <f t="shared" ca="1" si="40"/>
        <v>0</v>
      </c>
      <c r="L203" s="5">
        <f t="shared" ca="1" si="41"/>
        <v>0</v>
      </c>
      <c r="M203" s="5">
        <f t="shared" ca="1" si="42"/>
        <v>0</v>
      </c>
      <c r="N203" s="6">
        <f t="shared" ca="1" si="36"/>
        <v>11.780821917808218</v>
      </c>
      <c r="O203" s="5">
        <f t="shared" si="43"/>
        <v>0</v>
      </c>
    </row>
    <row r="204" spans="2:15" ht="13.2" customHeight="1">
      <c r="B204" s="21"/>
      <c r="E204" s="5">
        <v>200</v>
      </c>
      <c r="F204" s="5">
        <f t="shared" ca="1" si="37"/>
        <v>110</v>
      </c>
      <c r="G204" s="5">
        <f t="shared" ca="1" si="45"/>
        <v>430</v>
      </c>
      <c r="H204" s="5">
        <f t="shared" ca="1" si="38"/>
        <v>320</v>
      </c>
      <c r="I204" s="63">
        <f t="shared" ca="1" si="44"/>
        <v>0</v>
      </c>
      <c r="J204" s="5">
        <f t="shared" ca="1" si="39"/>
        <v>0</v>
      </c>
      <c r="K204" s="5">
        <f t="shared" ca="1" si="40"/>
        <v>0</v>
      </c>
      <c r="L204" s="5">
        <f t="shared" ca="1" si="41"/>
        <v>0</v>
      </c>
      <c r="M204" s="5">
        <f t="shared" ca="1" si="42"/>
        <v>0</v>
      </c>
      <c r="N204" s="6">
        <f t="shared" ca="1" si="36"/>
        <v>8.7671232876712324</v>
      </c>
      <c r="O204" s="5">
        <f t="shared" si="43"/>
        <v>0</v>
      </c>
    </row>
    <row r="205" spans="2:15" ht="13.2" customHeight="1">
      <c r="B205" s="21"/>
      <c r="E205" s="5">
        <v>201</v>
      </c>
      <c r="F205" s="5">
        <f t="shared" ca="1" si="37"/>
        <v>110</v>
      </c>
      <c r="G205" s="5">
        <f t="shared" ca="1" si="45"/>
        <v>320</v>
      </c>
      <c r="H205" s="5">
        <f t="shared" ca="1" si="38"/>
        <v>210</v>
      </c>
      <c r="I205" s="63">
        <f t="shared" ca="1" si="44"/>
        <v>0</v>
      </c>
      <c r="J205" s="5">
        <f t="shared" ca="1" si="39"/>
        <v>0</v>
      </c>
      <c r="K205" s="5">
        <f t="shared" ca="1" si="40"/>
        <v>0</v>
      </c>
      <c r="L205" s="5">
        <f t="shared" ca="1" si="41"/>
        <v>0</v>
      </c>
      <c r="M205" s="5">
        <f t="shared" ca="1" si="42"/>
        <v>0</v>
      </c>
      <c r="N205" s="6">
        <f t="shared" ca="1" si="36"/>
        <v>5.7534246575342465</v>
      </c>
      <c r="O205" s="5">
        <f t="shared" si="43"/>
        <v>0</v>
      </c>
    </row>
    <row r="206" spans="2:15" ht="13.2" customHeight="1">
      <c r="B206" s="21"/>
      <c r="E206" s="5">
        <v>202</v>
      </c>
      <c r="F206" s="5">
        <f t="shared" ca="1" si="37"/>
        <v>100</v>
      </c>
      <c r="G206" s="5">
        <f t="shared" ca="1" si="45"/>
        <v>210</v>
      </c>
      <c r="H206" s="5">
        <f t="shared" ca="1" si="38"/>
        <v>110</v>
      </c>
      <c r="I206" s="63">
        <f t="shared" ca="1" si="44"/>
        <v>0</v>
      </c>
      <c r="J206" s="5">
        <f t="shared" ca="1" si="39"/>
        <v>0</v>
      </c>
      <c r="K206" s="5">
        <f t="shared" ca="1" si="40"/>
        <v>0</v>
      </c>
      <c r="L206" s="5">
        <f t="shared" ca="1" si="41"/>
        <v>0</v>
      </c>
      <c r="M206" s="5">
        <f t="shared" ca="1" si="42"/>
        <v>0</v>
      </c>
      <c r="N206" s="6">
        <f t="shared" ca="1" si="36"/>
        <v>3.0136986301369859</v>
      </c>
      <c r="O206" s="5">
        <f t="shared" si="43"/>
        <v>0</v>
      </c>
    </row>
    <row r="207" spans="2:15" ht="13.2" customHeight="1">
      <c r="B207" s="21"/>
      <c r="E207" s="5">
        <v>203</v>
      </c>
      <c r="F207" s="5">
        <f t="shared" ca="1" si="37"/>
        <v>90</v>
      </c>
      <c r="G207" s="5">
        <f t="shared" ca="1" si="45"/>
        <v>110</v>
      </c>
      <c r="H207" s="5">
        <f t="shared" ca="1" si="38"/>
        <v>20</v>
      </c>
      <c r="I207" s="63">
        <f t="shared" ca="1" si="44"/>
        <v>1</v>
      </c>
      <c r="J207" s="5">
        <f t="shared" ca="1" si="39"/>
        <v>1</v>
      </c>
      <c r="K207" s="5">
        <f t="shared" ca="1" si="40"/>
        <v>0</v>
      </c>
      <c r="L207" s="5">
        <f t="shared" ca="1" si="41"/>
        <v>0</v>
      </c>
      <c r="M207" s="5">
        <f t="shared" ca="1" si="42"/>
        <v>200</v>
      </c>
      <c r="N207" s="6">
        <f t="shared" ca="1" si="36"/>
        <v>0.54794520547945202</v>
      </c>
      <c r="O207" s="5">
        <f t="shared" si="43"/>
        <v>0</v>
      </c>
    </row>
    <row r="208" spans="2:15" ht="13.2" customHeight="1">
      <c r="B208" s="21"/>
      <c r="E208" s="5">
        <v>204</v>
      </c>
      <c r="F208" s="5">
        <f t="shared" ca="1" si="37"/>
        <v>90</v>
      </c>
      <c r="G208" s="5">
        <f t="shared" ca="1" si="45"/>
        <v>20</v>
      </c>
      <c r="H208" s="5">
        <f t="shared" ca="1" si="38"/>
        <v>0</v>
      </c>
      <c r="I208" s="63">
        <f t="shared" ca="1" si="44"/>
        <v>0</v>
      </c>
      <c r="J208" s="5">
        <f t="shared" ca="1" si="39"/>
        <v>0</v>
      </c>
      <c r="K208" s="5">
        <f t="shared" ca="1" si="40"/>
        <v>70</v>
      </c>
      <c r="L208" s="5">
        <f t="shared" ca="1" si="41"/>
        <v>3500</v>
      </c>
      <c r="M208" s="5">
        <f t="shared" ca="1" si="42"/>
        <v>0</v>
      </c>
      <c r="N208" s="6">
        <f t="shared" ca="1" si="36"/>
        <v>0</v>
      </c>
      <c r="O208" s="5">
        <f t="shared" si="43"/>
        <v>0</v>
      </c>
    </row>
    <row r="209" spans="2:15" ht="13.2" customHeight="1">
      <c r="B209" s="21"/>
      <c r="E209" s="5">
        <v>205</v>
      </c>
      <c r="F209" s="5">
        <f t="shared" ca="1" si="37"/>
        <v>120</v>
      </c>
      <c r="G209" s="5">
        <f t="shared" ca="1" si="45"/>
        <v>1000</v>
      </c>
      <c r="H209" s="5">
        <f t="shared" ca="1" si="38"/>
        <v>880</v>
      </c>
      <c r="I209" s="63">
        <f t="shared" ca="1" si="44"/>
        <v>0</v>
      </c>
      <c r="J209" s="5">
        <f t="shared" ca="1" si="39"/>
        <v>0</v>
      </c>
      <c r="K209" s="5">
        <f t="shared" ca="1" si="40"/>
        <v>0</v>
      </c>
      <c r="L209" s="5">
        <f t="shared" ca="1" si="41"/>
        <v>0</v>
      </c>
      <c r="M209" s="5">
        <f t="shared" ca="1" si="42"/>
        <v>0</v>
      </c>
      <c r="N209" s="6">
        <f t="shared" ca="1" si="36"/>
        <v>24.109589041095887</v>
      </c>
      <c r="O209" s="5">
        <f t="shared" si="43"/>
        <v>0</v>
      </c>
    </row>
    <row r="210" spans="2:15" ht="13.2" customHeight="1">
      <c r="B210" s="21"/>
      <c r="E210" s="5">
        <v>206</v>
      </c>
      <c r="F210" s="5">
        <f t="shared" ca="1" si="37"/>
        <v>110</v>
      </c>
      <c r="G210" s="5">
        <f t="shared" ca="1" si="45"/>
        <v>880</v>
      </c>
      <c r="H210" s="5">
        <f t="shared" ca="1" si="38"/>
        <v>770</v>
      </c>
      <c r="I210" s="63">
        <f t="shared" ca="1" si="44"/>
        <v>0</v>
      </c>
      <c r="J210" s="5">
        <f t="shared" ca="1" si="39"/>
        <v>0</v>
      </c>
      <c r="K210" s="5">
        <f t="shared" ca="1" si="40"/>
        <v>0</v>
      </c>
      <c r="L210" s="5">
        <f t="shared" ca="1" si="41"/>
        <v>0</v>
      </c>
      <c r="M210" s="5">
        <f t="shared" ca="1" si="42"/>
        <v>0</v>
      </c>
      <c r="N210" s="6">
        <f t="shared" ca="1" si="36"/>
        <v>21.095890410958901</v>
      </c>
      <c r="O210" s="5">
        <f t="shared" si="43"/>
        <v>0</v>
      </c>
    </row>
    <row r="211" spans="2:15" ht="13.2" customHeight="1">
      <c r="B211" s="21"/>
      <c r="E211" s="5">
        <v>207</v>
      </c>
      <c r="F211" s="5">
        <f t="shared" ca="1" si="37"/>
        <v>120</v>
      </c>
      <c r="G211" s="5">
        <f t="shared" ca="1" si="45"/>
        <v>770</v>
      </c>
      <c r="H211" s="5">
        <f t="shared" ca="1" si="38"/>
        <v>650</v>
      </c>
      <c r="I211" s="63">
        <f t="shared" ca="1" si="44"/>
        <v>0</v>
      </c>
      <c r="J211" s="5">
        <f t="shared" ca="1" si="39"/>
        <v>0</v>
      </c>
      <c r="K211" s="5">
        <f t="shared" ca="1" si="40"/>
        <v>0</v>
      </c>
      <c r="L211" s="5">
        <f t="shared" ca="1" si="41"/>
        <v>0</v>
      </c>
      <c r="M211" s="5">
        <f t="shared" ca="1" si="42"/>
        <v>0</v>
      </c>
      <c r="N211" s="6">
        <f t="shared" ca="1" si="36"/>
        <v>17.80821917808219</v>
      </c>
      <c r="O211" s="5">
        <f t="shared" si="43"/>
        <v>0</v>
      </c>
    </row>
    <row r="212" spans="2:15" ht="13.2" customHeight="1">
      <c r="B212" s="21"/>
      <c r="E212" s="5">
        <v>208</v>
      </c>
      <c r="F212" s="5">
        <f t="shared" ca="1" si="37"/>
        <v>90</v>
      </c>
      <c r="G212" s="5">
        <f t="shared" ca="1" si="45"/>
        <v>650</v>
      </c>
      <c r="H212" s="5">
        <f t="shared" ca="1" si="38"/>
        <v>560</v>
      </c>
      <c r="I212" s="63">
        <f t="shared" ca="1" si="44"/>
        <v>0</v>
      </c>
      <c r="J212" s="5">
        <f t="shared" ca="1" si="39"/>
        <v>0</v>
      </c>
      <c r="K212" s="5">
        <f t="shared" ca="1" si="40"/>
        <v>0</v>
      </c>
      <c r="L212" s="5">
        <f t="shared" ca="1" si="41"/>
        <v>0</v>
      </c>
      <c r="M212" s="5">
        <f t="shared" ca="1" si="42"/>
        <v>0</v>
      </c>
      <c r="N212" s="6">
        <f t="shared" ca="1" si="36"/>
        <v>15.342465753424657</v>
      </c>
      <c r="O212" s="5">
        <f t="shared" si="43"/>
        <v>0</v>
      </c>
    </row>
    <row r="213" spans="2:15" ht="13.2" customHeight="1">
      <c r="B213" s="21"/>
      <c r="E213" s="5">
        <v>209</v>
      </c>
      <c r="F213" s="5">
        <f t="shared" ca="1" si="37"/>
        <v>80</v>
      </c>
      <c r="G213" s="5">
        <f t="shared" ca="1" si="45"/>
        <v>560</v>
      </c>
      <c r="H213" s="5">
        <f t="shared" ca="1" si="38"/>
        <v>480</v>
      </c>
      <c r="I213" s="63">
        <f t="shared" ca="1" si="44"/>
        <v>0</v>
      </c>
      <c r="J213" s="5">
        <f t="shared" ca="1" si="39"/>
        <v>0</v>
      </c>
      <c r="K213" s="5">
        <f t="shared" ca="1" si="40"/>
        <v>0</v>
      </c>
      <c r="L213" s="5">
        <f t="shared" ca="1" si="41"/>
        <v>0</v>
      </c>
      <c r="M213" s="5">
        <f t="shared" ca="1" si="42"/>
        <v>0</v>
      </c>
      <c r="N213" s="6">
        <f t="shared" ca="1" si="36"/>
        <v>13.150684931506849</v>
      </c>
      <c r="O213" s="5">
        <f t="shared" si="43"/>
        <v>0</v>
      </c>
    </row>
    <row r="214" spans="2:15" ht="13.2" customHeight="1">
      <c r="B214" s="21"/>
      <c r="E214" s="5">
        <v>210</v>
      </c>
      <c r="F214" s="5">
        <f t="shared" ca="1" si="37"/>
        <v>110</v>
      </c>
      <c r="G214" s="5">
        <f t="shared" ca="1" si="45"/>
        <v>480</v>
      </c>
      <c r="H214" s="5">
        <f t="shared" ca="1" si="38"/>
        <v>370</v>
      </c>
      <c r="I214" s="63">
        <f t="shared" ca="1" si="44"/>
        <v>0</v>
      </c>
      <c r="J214" s="5">
        <f t="shared" ca="1" si="39"/>
        <v>0</v>
      </c>
      <c r="K214" s="5">
        <f t="shared" ca="1" si="40"/>
        <v>0</v>
      </c>
      <c r="L214" s="5">
        <f t="shared" ca="1" si="41"/>
        <v>0</v>
      </c>
      <c r="M214" s="5">
        <f t="shared" ca="1" si="42"/>
        <v>0</v>
      </c>
      <c r="N214" s="6">
        <f t="shared" ca="1" si="36"/>
        <v>10.136986301369863</v>
      </c>
      <c r="O214" s="5">
        <f t="shared" si="43"/>
        <v>0</v>
      </c>
    </row>
    <row r="215" spans="2:15" ht="13.2" customHeight="1">
      <c r="B215" s="21"/>
      <c r="E215" s="5">
        <v>211</v>
      </c>
      <c r="F215" s="5">
        <f t="shared" ca="1" si="37"/>
        <v>100</v>
      </c>
      <c r="G215" s="5">
        <f t="shared" ca="1" si="45"/>
        <v>370</v>
      </c>
      <c r="H215" s="5">
        <f t="shared" ca="1" si="38"/>
        <v>270</v>
      </c>
      <c r="I215" s="63">
        <f t="shared" ca="1" si="44"/>
        <v>0</v>
      </c>
      <c r="J215" s="5">
        <f t="shared" ca="1" si="39"/>
        <v>0</v>
      </c>
      <c r="K215" s="5">
        <f t="shared" ca="1" si="40"/>
        <v>0</v>
      </c>
      <c r="L215" s="5">
        <f t="shared" ca="1" si="41"/>
        <v>0</v>
      </c>
      <c r="M215" s="5">
        <f t="shared" ca="1" si="42"/>
        <v>0</v>
      </c>
      <c r="N215" s="6">
        <f t="shared" ca="1" si="36"/>
        <v>7.3972602739726021</v>
      </c>
      <c r="O215" s="5">
        <f t="shared" si="43"/>
        <v>0</v>
      </c>
    </row>
    <row r="216" spans="2:15" ht="13.2" customHeight="1">
      <c r="B216" s="21"/>
      <c r="E216" s="5">
        <v>212</v>
      </c>
      <c r="F216" s="5">
        <f t="shared" ca="1" si="37"/>
        <v>80</v>
      </c>
      <c r="G216" s="5">
        <f t="shared" ca="1" si="45"/>
        <v>270</v>
      </c>
      <c r="H216" s="5">
        <f t="shared" ca="1" si="38"/>
        <v>190</v>
      </c>
      <c r="I216" s="63">
        <f t="shared" ca="1" si="44"/>
        <v>0</v>
      </c>
      <c r="J216" s="5">
        <f t="shared" ca="1" si="39"/>
        <v>0</v>
      </c>
      <c r="K216" s="5">
        <f t="shared" ca="1" si="40"/>
        <v>0</v>
      </c>
      <c r="L216" s="5">
        <f t="shared" ca="1" si="41"/>
        <v>0</v>
      </c>
      <c r="M216" s="5">
        <f t="shared" ca="1" si="42"/>
        <v>0</v>
      </c>
      <c r="N216" s="6">
        <f t="shared" ca="1" si="36"/>
        <v>5.205479452054794</v>
      </c>
      <c r="O216" s="5">
        <f t="shared" si="43"/>
        <v>0</v>
      </c>
    </row>
    <row r="217" spans="2:15" ht="13.2" customHeight="1">
      <c r="B217" s="21"/>
      <c r="E217" s="5">
        <v>213</v>
      </c>
      <c r="F217" s="5">
        <f t="shared" ca="1" si="37"/>
        <v>90</v>
      </c>
      <c r="G217" s="5">
        <f t="shared" ca="1" si="45"/>
        <v>190</v>
      </c>
      <c r="H217" s="5">
        <f t="shared" ca="1" si="38"/>
        <v>100</v>
      </c>
      <c r="I217" s="63">
        <f t="shared" ca="1" si="44"/>
        <v>0</v>
      </c>
      <c r="J217" s="5">
        <f t="shared" ca="1" si="39"/>
        <v>0</v>
      </c>
      <c r="K217" s="5">
        <f t="shared" ca="1" si="40"/>
        <v>0</v>
      </c>
      <c r="L217" s="5">
        <f t="shared" ca="1" si="41"/>
        <v>0</v>
      </c>
      <c r="M217" s="5">
        <f t="shared" ca="1" si="42"/>
        <v>0</v>
      </c>
      <c r="N217" s="6">
        <f t="shared" ca="1" si="36"/>
        <v>2.7397260273972601</v>
      </c>
      <c r="O217" s="5">
        <f t="shared" si="43"/>
        <v>0</v>
      </c>
    </row>
    <row r="218" spans="2:15" ht="13.2" customHeight="1">
      <c r="B218" s="21"/>
      <c r="E218" s="5">
        <v>214</v>
      </c>
      <c r="F218" s="5">
        <f t="shared" ca="1" si="37"/>
        <v>120</v>
      </c>
      <c r="G218" s="5">
        <f t="shared" ca="1" si="45"/>
        <v>100</v>
      </c>
      <c r="H218" s="5">
        <f t="shared" ca="1" si="38"/>
        <v>0</v>
      </c>
      <c r="I218" s="63">
        <f t="shared" ca="1" si="44"/>
        <v>1</v>
      </c>
      <c r="J218" s="5">
        <f t="shared" ca="1" si="39"/>
        <v>0</v>
      </c>
      <c r="K218" s="5">
        <f t="shared" ca="1" si="40"/>
        <v>20</v>
      </c>
      <c r="L218" s="5">
        <f t="shared" ca="1" si="41"/>
        <v>1000</v>
      </c>
      <c r="M218" s="5">
        <f t="shared" ca="1" si="42"/>
        <v>200</v>
      </c>
      <c r="N218" s="6">
        <f t="shared" ca="1" si="36"/>
        <v>0</v>
      </c>
      <c r="O218" s="5">
        <f t="shared" si="43"/>
        <v>0</v>
      </c>
    </row>
    <row r="219" spans="2:15" ht="13.2" customHeight="1">
      <c r="B219" s="21"/>
      <c r="E219" s="5">
        <v>215</v>
      </c>
      <c r="F219" s="5">
        <f t="shared" ca="1" si="37"/>
        <v>110</v>
      </c>
      <c r="G219" s="5">
        <f t="shared" ca="1" si="45"/>
        <v>1000</v>
      </c>
      <c r="H219" s="5">
        <f t="shared" ca="1" si="38"/>
        <v>890</v>
      </c>
      <c r="I219" s="63">
        <f t="shared" ca="1" si="44"/>
        <v>0</v>
      </c>
      <c r="J219" s="5">
        <f t="shared" ca="1" si="39"/>
        <v>0</v>
      </c>
      <c r="K219" s="5">
        <f t="shared" ca="1" si="40"/>
        <v>0</v>
      </c>
      <c r="L219" s="5">
        <f t="shared" ca="1" si="41"/>
        <v>0</v>
      </c>
      <c r="M219" s="5">
        <f t="shared" ca="1" si="42"/>
        <v>0</v>
      </c>
      <c r="N219" s="6">
        <f t="shared" ca="1" si="36"/>
        <v>24.383561643835616</v>
      </c>
      <c r="O219" s="5">
        <f t="shared" si="43"/>
        <v>0</v>
      </c>
    </row>
    <row r="220" spans="2:15" ht="13.2" customHeight="1">
      <c r="B220" s="21"/>
      <c r="E220" s="5">
        <v>216</v>
      </c>
      <c r="F220" s="5">
        <f t="shared" ca="1" si="37"/>
        <v>120</v>
      </c>
      <c r="G220" s="5">
        <f t="shared" ca="1" si="45"/>
        <v>890</v>
      </c>
      <c r="H220" s="5">
        <f t="shared" ca="1" si="38"/>
        <v>770</v>
      </c>
      <c r="I220" s="63">
        <f t="shared" ca="1" si="44"/>
        <v>0</v>
      </c>
      <c r="J220" s="5">
        <f t="shared" ca="1" si="39"/>
        <v>0</v>
      </c>
      <c r="K220" s="5">
        <f t="shared" ca="1" si="40"/>
        <v>0</v>
      </c>
      <c r="L220" s="5">
        <f t="shared" ca="1" si="41"/>
        <v>0</v>
      </c>
      <c r="M220" s="5">
        <f t="shared" ca="1" si="42"/>
        <v>0</v>
      </c>
      <c r="N220" s="6">
        <f t="shared" ca="1" si="36"/>
        <v>21.095890410958901</v>
      </c>
      <c r="O220" s="5">
        <f t="shared" si="43"/>
        <v>0</v>
      </c>
    </row>
    <row r="221" spans="2:15" ht="13.2" customHeight="1">
      <c r="B221" s="21"/>
      <c r="E221" s="5">
        <v>217</v>
      </c>
      <c r="F221" s="5">
        <f t="shared" ca="1" si="37"/>
        <v>90</v>
      </c>
      <c r="G221" s="5">
        <f t="shared" ca="1" si="45"/>
        <v>770</v>
      </c>
      <c r="H221" s="5">
        <f t="shared" ca="1" si="38"/>
        <v>680</v>
      </c>
      <c r="I221" s="63">
        <f t="shared" ca="1" si="44"/>
        <v>0</v>
      </c>
      <c r="J221" s="5">
        <f t="shared" ca="1" si="39"/>
        <v>0</v>
      </c>
      <c r="K221" s="5">
        <f t="shared" ca="1" si="40"/>
        <v>0</v>
      </c>
      <c r="L221" s="5">
        <f t="shared" ca="1" si="41"/>
        <v>0</v>
      </c>
      <c r="M221" s="5">
        <f t="shared" ca="1" si="42"/>
        <v>0</v>
      </c>
      <c r="N221" s="6">
        <f t="shared" ca="1" si="36"/>
        <v>18.63013698630137</v>
      </c>
      <c r="O221" s="5">
        <f t="shared" si="43"/>
        <v>0</v>
      </c>
    </row>
    <row r="222" spans="2:15" ht="13.2" customHeight="1">
      <c r="B222" s="21"/>
      <c r="E222" s="5">
        <v>218</v>
      </c>
      <c r="F222" s="5">
        <f t="shared" ca="1" si="37"/>
        <v>90</v>
      </c>
      <c r="G222" s="5">
        <f t="shared" ca="1" si="45"/>
        <v>680</v>
      </c>
      <c r="H222" s="5">
        <f t="shared" ca="1" si="38"/>
        <v>590</v>
      </c>
      <c r="I222" s="63">
        <f t="shared" ca="1" si="44"/>
        <v>0</v>
      </c>
      <c r="J222" s="5">
        <f t="shared" ca="1" si="39"/>
        <v>0</v>
      </c>
      <c r="K222" s="5">
        <f t="shared" ca="1" si="40"/>
        <v>0</v>
      </c>
      <c r="L222" s="5">
        <f t="shared" ca="1" si="41"/>
        <v>0</v>
      </c>
      <c r="M222" s="5">
        <f t="shared" ca="1" si="42"/>
        <v>0</v>
      </c>
      <c r="N222" s="6">
        <f t="shared" ca="1" si="36"/>
        <v>16.164383561643834</v>
      </c>
      <c r="O222" s="5">
        <f t="shared" si="43"/>
        <v>0</v>
      </c>
    </row>
    <row r="223" spans="2:15" ht="13.2" customHeight="1">
      <c r="B223" s="21"/>
      <c r="E223" s="5">
        <v>219</v>
      </c>
      <c r="F223" s="5">
        <f t="shared" ca="1" si="37"/>
        <v>80</v>
      </c>
      <c r="G223" s="5">
        <f t="shared" ca="1" si="45"/>
        <v>590</v>
      </c>
      <c r="H223" s="5">
        <f t="shared" ca="1" si="38"/>
        <v>510</v>
      </c>
      <c r="I223" s="63">
        <f t="shared" ca="1" si="44"/>
        <v>0</v>
      </c>
      <c r="J223" s="5">
        <f t="shared" ca="1" si="39"/>
        <v>0</v>
      </c>
      <c r="K223" s="5">
        <f t="shared" ca="1" si="40"/>
        <v>0</v>
      </c>
      <c r="L223" s="5">
        <f t="shared" ca="1" si="41"/>
        <v>0</v>
      </c>
      <c r="M223" s="5">
        <f t="shared" ca="1" si="42"/>
        <v>0</v>
      </c>
      <c r="N223" s="6">
        <f t="shared" ca="1" si="36"/>
        <v>13.972602739726026</v>
      </c>
      <c r="O223" s="5">
        <f t="shared" si="43"/>
        <v>0</v>
      </c>
    </row>
    <row r="224" spans="2:15" ht="13.2" customHeight="1">
      <c r="B224" s="21"/>
      <c r="E224" s="5">
        <v>220</v>
      </c>
      <c r="F224" s="5">
        <f t="shared" ca="1" si="37"/>
        <v>120</v>
      </c>
      <c r="G224" s="5">
        <f t="shared" ca="1" si="45"/>
        <v>510</v>
      </c>
      <c r="H224" s="5">
        <f t="shared" ca="1" si="38"/>
        <v>390</v>
      </c>
      <c r="I224" s="63">
        <f t="shared" ca="1" si="44"/>
        <v>0</v>
      </c>
      <c r="J224" s="5">
        <f t="shared" ca="1" si="39"/>
        <v>0</v>
      </c>
      <c r="K224" s="5">
        <f t="shared" ca="1" si="40"/>
        <v>0</v>
      </c>
      <c r="L224" s="5">
        <f t="shared" ca="1" si="41"/>
        <v>0</v>
      </c>
      <c r="M224" s="5">
        <f t="shared" ca="1" si="42"/>
        <v>0</v>
      </c>
      <c r="N224" s="6">
        <f t="shared" ca="1" si="36"/>
        <v>10.684931506849315</v>
      </c>
      <c r="O224" s="5">
        <f t="shared" si="43"/>
        <v>0</v>
      </c>
    </row>
    <row r="225" spans="2:15" ht="13.2" customHeight="1">
      <c r="B225" s="21"/>
      <c r="E225" s="5">
        <v>221</v>
      </c>
      <c r="F225" s="5">
        <f t="shared" ca="1" si="37"/>
        <v>100</v>
      </c>
      <c r="G225" s="5">
        <f t="shared" ca="1" si="45"/>
        <v>390</v>
      </c>
      <c r="H225" s="5">
        <f t="shared" ca="1" si="38"/>
        <v>290</v>
      </c>
      <c r="I225" s="63">
        <f t="shared" ca="1" si="44"/>
        <v>0</v>
      </c>
      <c r="J225" s="5">
        <f t="shared" ca="1" si="39"/>
        <v>0</v>
      </c>
      <c r="K225" s="5">
        <f t="shared" ca="1" si="40"/>
        <v>0</v>
      </c>
      <c r="L225" s="5">
        <f t="shared" ca="1" si="41"/>
        <v>0</v>
      </c>
      <c r="M225" s="5">
        <f t="shared" ca="1" si="42"/>
        <v>0</v>
      </c>
      <c r="N225" s="6">
        <f t="shared" ca="1" si="36"/>
        <v>7.9452054794520546</v>
      </c>
      <c r="O225" s="5">
        <f t="shared" si="43"/>
        <v>0</v>
      </c>
    </row>
    <row r="226" spans="2:15" ht="13.2" customHeight="1">
      <c r="B226" s="21"/>
      <c r="E226" s="5">
        <v>222</v>
      </c>
      <c r="F226" s="5">
        <f t="shared" ca="1" si="37"/>
        <v>100</v>
      </c>
      <c r="G226" s="5">
        <f t="shared" ca="1" si="45"/>
        <v>290</v>
      </c>
      <c r="H226" s="5">
        <f t="shared" ca="1" si="38"/>
        <v>190</v>
      </c>
      <c r="I226" s="63">
        <f t="shared" ca="1" si="44"/>
        <v>0</v>
      </c>
      <c r="J226" s="5">
        <f t="shared" ca="1" si="39"/>
        <v>0</v>
      </c>
      <c r="K226" s="5">
        <f t="shared" ca="1" si="40"/>
        <v>0</v>
      </c>
      <c r="L226" s="5">
        <f t="shared" ca="1" si="41"/>
        <v>0</v>
      </c>
      <c r="M226" s="5">
        <f t="shared" ca="1" si="42"/>
        <v>0</v>
      </c>
      <c r="N226" s="6">
        <f t="shared" ca="1" si="36"/>
        <v>5.205479452054794</v>
      </c>
      <c r="O226" s="5">
        <f t="shared" si="43"/>
        <v>0</v>
      </c>
    </row>
    <row r="227" spans="2:15" ht="13.2" customHeight="1">
      <c r="B227" s="21"/>
      <c r="E227" s="5">
        <v>223</v>
      </c>
      <c r="F227" s="5">
        <f t="shared" ca="1" si="37"/>
        <v>120</v>
      </c>
      <c r="G227" s="5">
        <f t="shared" ca="1" si="45"/>
        <v>190</v>
      </c>
      <c r="H227" s="5">
        <f t="shared" ca="1" si="38"/>
        <v>70</v>
      </c>
      <c r="I227" s="63">
        <f t="shared" ca="1" si="44"/>
        <v>1</v>
      </c>
      <c r="J227" s="5">
        <f t="shared" ca="1" si="39"/>
        <v>1</v>
      </c>
      <c r="K227" s="5">
        <f t="shared" ca="1" si="40"/>
        <v>0</v>
      </c>
      <c r="L227" s="5">
        <f t="shared" ca="1" si="41"/>
        <v>0</v>
      </c>
      <c r="M227" s="5">
        <f t="shared" ca="1" si="42"/>
        <v>200</v>
      </c>
      <c r="N227" s="6">
        <f t="shared" ca="1" si="36"/>
        <v>1.9178082191780821</v>
      </c>
      <c r="O227" s="5">
        <f t="shared" si="43"/>
        <v>0</v>
      </c>
    </row>
    <row r="228" spans="2:15" ht="13.2" customHeight="1">
      <c r="B228" s="21"/>
      <c r="E228" s="5">
        <v>224</v>
      </c>
      <c r="F228" s="5">
        <f t="shared" ca="1" si="37"/>
        <v>80</v>
      </c>
      <c r="G228" s="5">
        <f t="shared" ca="1" si="45"/>
        <v>70</v>
      </c>
      <c r="H228" s="5">
        <f t="shared" ca="1" si="38"/>
        <v>0</v>
      </c>
      <c r="I228" s="63">
        <f t="shared" ca="1" si="44"/>
        <v>0</v>
      </c>
      <c r="J228" s="5">
        <f t="shared" ca="1" si="39"/>
        <v>0</v>
      </c>
      <c r="K228" s="5">
        <f t="shared" ca="1" si="40"/>
        <v>10</v>
      </c>
      <c r="L228" s="5">
        <f t="shared" ca="1" si="41"/>
        <v>500</v>
      </c>
      <c r="M228" s="5">
        <f t="shared" ca="1" si="42"/>
        <v>0</v>
      </c>
      <c r="N228" s="6">
        <f t="shared" ca="1" si="36"/>
        <v>0</v>
      </c>
      <c r="O228" s="5">
        <f t="shared" si="43"/>
        <v>0</v>
      </c>
    </row>
    <row r="229" spans="2:15" ht="13.2" customHeight="1">
      <c r="B229" s="21"/>
      <c r="E229" s="5">
        <v>225</v>
      </c>
      <c r="F229" s="5">
        <f t="shared" ca="1" si="37"/>
        <v>90</v>
      </c>
      <c r="G229" s="5">
        <f t="shared" ca="1" si="45"/>
        <v>1000</v>
      </c>
      <c r="H229" s="5">
        <f t="shared" ca="1" si="38"/>
        <v>910</v>
      </c>
      <c r="I229" s="63">
        <f t="shared" ca="1" si="44"/>
        <v>0</v>
      </c>
      <c r="J229" s="5">
        <f t="shared" ca="1" si="39"/>
        <v>0</v>
      </c>
      <c r="K229" s="5">
        <f t="shared" ca="1" si="40"/>
        <v>0</v>
      </c>
      <c r="L229" s="5">
        <f t="shared" ca="1" si="41"/>
        <v>0</v>
      </c>
      <c r="M229" s="5">
        <f t="shared" ca="1" si="42"/>
        <v>0</v>
      </c>
      <c r="N229" s="6">
        <f t="shared" ca="1" si="36"/>
        <v>24.931506849315067</v>
      </c>
      <c r="O229" s="5">
        <f t="shared" si="43"/>
        <v>0</v>
      </c>
    </row>
    <row r="230" spans="2:15" ht="13.2" customHeight="1">
      <c r="B230" s="21"/>
      <c r="E230" s="5">
        <v>226</v>
      </c>
      <c r="F230" s="5">
        <f t="shared" ca="1" si="37"/>
        <v>90</v>
      </c>
      <c r="G230" s="5">
        <f t="shared" ca="1" si="45"/>
        <v>910</v>
      </c>
      <c r="H230" s="5">
        <f t="shared" ca="1" si="38"/>
        <v>820</v>
      </c>
      <c r="I230" s="63">
        <f t="shared" ca="1" si="44"/>
        <v>0</v>
      </c>
      <c r="J230" s="5">
        <f t="shared" ca="1" si="39"/>
        <v>0</v>
      </c>
      <c r="K230" s="5">
        <f t="shared" ca="1" si="40"/>
        <v>0</v>
      </c>
      <c r="L230" s="5">
        <f t="shared" ca="1" si="41"/>
        <v>0</v>
      </c>
      <c r="M230" s="5">
        <f t="shared" ca="1" si="42"/>
        <v>0</v>
      </c>
      <c r="N230" s="6">
        <f t="shared" ca="1" si="36"/>
        <v>22.465753424657532</v>
      </c>
      <c r="O230" s="5">
        <f t="shared" si="43"/>
        <v>0</v>
      </c>
    </row>
    <row r="231" spans="2:15" ht="13.2" customHeight="1">
      <c r="B231" s="21"/>
      <c r="E231" s="5">
        <v>227</v>
      </c>
      <c r="F231" s="5">
        <f t="shared" ca="1" si="37"/>
        <v>120</v>
      </c>
      <c r="G231" s="5">
        <f t="shared" ca="1" si="45"/>
        <v>820</v>
      </c>
      <c r="H231" s="5">
        <f t="shared" ca="1" si="38"/>
        <v>700</v>
      </c>
      <c r="I231" s="63">
        <f t="shared" ca="1" si="44"/>
        <v>0</v>
      </c>
      <c r="J231" s="5">
        <f t="shared" ca="1" si="39"/>
        <v>0</v>
      </c>
      <c r="K231" s="5">
        <f t="shared" ca="1" si="40"/>
        <v>0</v>
      </c>
      <c r="L231" s="5">
        <f t="shared" ca="1" si="41"/>
        <v>0</v>
      </c>
      <c r="M231" s="5">
        <f t="shared" ca="1" si="42"/>
        <v>0</v>
      </c>
      <c r="N231" s="6">
        <f t="shared" ca="1" si="36"/>
        <v>19.17808219178082</v>
      </c>
      <c r="O231" s="5">
        <f t="shared" si="43"/>
        <v>0</v>
      </c>
    </row>
    <row r="232" spans="2:15" ht="13.2" customHeight="1">
      <c r="B232" s="21"/>
      <c r="E232" s="5">
        <v>228</v>
      </c>
      <c r="F232" s="5">
        <f t="shared" ca="1" si="37"/>
        <v>100</v>
      </c>
      <c r="G232" s="5">
        <f t="shared" ca="1" si="45"/>
        <v>700</v>
      </c>
      <c r="H232" s="5">
        <f t="shared" ca="1" si="38"/>
        <v>600</v>
      </c>
      <c r="I232" s="63">
        <f t="shared" ca="1" si="44"/>
        <v>0</v>
      </c>
      <c r="J232" s="5">
        <f t="shared" ca="1" si="39"/>
        <v>0</v>
      </c>
      <c r="K232" s="5">
        <f t="shared" ca="1" si="40"/>
        <v>0</v>
      </c>
      <c r="L232" s="5">
        <f t="shared" ca="1" si="41"/>
        <v>0</v>
      </c>
      <c r="M232" s="5">
        <f t="shared" ca="1" si="42"/>
        <v>0</v>
      </c>
      <c r="N232" s="6">
        <f t="shared" ca="1" si="36"/>
        <v>16.43835616438356</v>
      </c>
      <c r="O232" s="5">
        <f t="shared" si="43"/>
        <v>0</v>
      </c>
    </row>
    <row r="233" spans="2:15" ht="13.2" customHeight="1">
      <c r="B233" s="21"/>
      <c r="E233" s="5">
        <v>229</v>
      </c>
      <c r="F233" s="5">
        <f t="shared" ca="1" si="37"/>
        <v>110</v>
      </c>
      <c r="G233" s="5">
        <f t="shared" ca="1" si="45"/>
        <v>600</v>
      </c>
      <c r="H233" s="5">
        <f t="shared" ca="1" si="38"/>
        <v>490</v>
      </c>
      <c r="I233" s="63">
        <f t="shared" ca="1" si="44"/>
        <v>0</v>
      </c>
      <c r="J233" s="5">
        <f t="shared" ca="1" si="39"/>
        <v>0</v>
      </c>
      <c r="K233" s="5">
        <f t="shared" ca="1" si="40"/>
        <v>0</v>
      </c>
      <c r="L233" s="5">
        <f t="shared" ca="1" si="41"/>
        <v>0</v>
      </c>
      <c r="M233" s="5">
        <f t="shared" ca="1" si="42"/>
        <v>0</v>
      </c>
      <c r="N233" s="6">
        <f t="shared" ca="1" si="36"/>
        <v>13.424657534246574</v>
      </c>
      <c r="O233" s="5">
        <f t="shared" si="43"/>
        <v>0</v>
      </c>
    </row>
    <row r="234" spans="2:15" ht="13.2" customHeight="1">
      <c r="B234" s="21"/>
      <c r="E234" s="5">
        <v>230</v>
      </c>
      <c r="F234" s="5">
        <f t="shared" ca="1" si="37"/>
        <v>110</v>
      </c>
      <c r="G234" s="5">
        <f t="shared" ca="1" si="45"/>
        <v>490</v>
      </c>
      <c r="H234" s="5">
        <f t="shared" ca="1" si="38"/>
        <v>380</v>
      </c>
      <c r="I234" s="63">
        <f t="shared" ca="1" si="44"/>
        <v>0</v>
      </c>
      <c r="J234" s="5">
        <f t="shared" ca="1" si="39"/>
        <v>0</v>
      </c>
      <c r="K234" s="5">
        <f t="shared" ca="1" si="40"/>
        <v>0</v>
      </c>
      <c r="L234" s="5">
        <f t="shared" ca="1" si="41"/>
        <v>0</v>
      </c>
      <c r="M234" s="5">
        <f t="shared" ca="1" si="42"/>
        <v>0</v>
      </c>
      <c r="N234" s="6">
        <f t="shared" ca="1" si="36"/>
        <v>10.410958904109588</v>
      </c>
      <c r="O234" s="5">
        <f t="shared" si="43"/>
        <v>0</v>
      </c>
    </row>
    <row r="235" spans="2:15" ht="13.2" customHeight="1">
      <c r="B235" s="21"/>
      <c r="E235" s="5">
        <v>231</v>
      </c>
      <c r="F235" s="5">
        <f t="shared" ca="1" si="37"/>
        <v>90</v>
      </c>
      <c r="G235" s="5">
        <f t="shared" ca="1" si="45"/>
        <v>380</v>
      </c>
      <c r="H235" s="5">
        <f t="shared" ca="1" si="38"/>
        <v>290</v>
      </c>
      <c r="I235" s="63">
        <f t="shared" ca="1" si="44"/>
        <v>0</v>
      </c>
      <c r="J235" s="5">
        <f t="shared" ca="1" si="39"/>
        <v>0</v>
      </c>
      <c r="K235" s="5">
        <f t="shared" ca="1" si="40"/>
        <v>0</v>
      </c>
      <c r="L235" s="5">
        <f t="shared" ca="1" si="41"/>
        <v>0</v>
      </c>
      <c r="M235" s="5">
        <f t="shared" ca="1" si="42"/>
        <v>0</v>
      </c>
      <c r="N235" s="6">
        <f t="shared" ca="1" si="36"/>
        <v>7.9452054794520546</v>
      </c>
      <c r="O235" s="5">
        <f t="shared" si="43"/>
        <v>0</v>
      </c>
    </row>
    <row r="236" spans="2:15" ht="13.2" customHeight="1">
      <c r="B236" s="21"/>
      <c r="E236" s="5">
        <v>232</v>
      </c>
      <c r="F236" s="5">
        <f t="shared" ca="1" si="37"/>
        <v>110</v>
      </c>
      <c r="G236" s="5">
        <f t="shared" ca="1" si="45"/>
        <v>290</v>
      </c>
      <c r="H236" s="5">
        <f t="shared" ca="1" si="38"/>
        <v>180</v>
      </c>
      <c r="I236" s="63">
        <f t="shared" ca="1" si="44"/>
        <v>0</v>
      </c>
      <c r="J236" s="5">
        <f t="shared" ca="1" si="39"/>
        <v>0</v>
      </c>
      <c r="K236" s="5">
        <f t="shared" ca="1" si="40"/>
        <v>0</v>
      </c>
      <c r="L236" s="5">
        <f t="shared" ca="1" si="41"/>
        <v>0</v>
      </c>
      <c r="M236" s="5">
        <f t="shared" ca="1" si="42"/>
        <v>0</v>
      </c>
      <c r="N236" s="6">
        <f t="shared" ca="1" si="36"/>
        <v>4.9315068493150687</v>
      </c>
      <c r="O236" s="5">
        <f t="shared" si="43"/>
        <v>0</v>
      </c>
    </row>
    <row r="237" spans="2:15" ht="13.2" customHeight="1">
      <c r="B237" s="21"/>
      <c r="E237" s="5">
        <v>233</v>
      </c>
      <c r="F237" s="5">
        <f t="shared" ca="1" si="37"/>
        <v>110</v>
      </c>
      <c r="G237" s="5">
        <f t="shared" ca="1" si="45"/>
        <v>180</v>
      </c>
      <c r="H237" s="5">
        <f t="shared" ca="1" si="38"/>
        <v>70</v>
      </c>
      <c r="I237" s="63">
        <f t="shared" ca="1" si="44"/>
        <v>1</v>
      </c>
      <c r="J237" s="5">
        <f t="shared" ca="1" si="39"/>
        <v>0</v>
      </c>
      <c r="K237" s="5">
        <f t="shared" ca="1" si="40"/>
        <v>0</v>
      </c>
      <c r="L237" s="5">
        <f t="shared" ca="1" si="41"/>
        <v>0</v>
      </c>
      <c r="M237" s="5">
        <f t="shared" ca="1" si="42"/>
        <v>200</v>
      </c>
      <c r="N237" s="6">
        <f t="shared" ca="1" si="36"/>
        <v>1.9178082191780821</v>
      </c>
      <c r="O237" s="5">
        <f t="shared" si="43"/>
        <v>0</v>
      </c>
    </row>
    <row r="238" spans="2:15" ht="13.2" customHeight="1">
      <c r="B238" s="21"/>
      <c r="E238" s="5">
        <v>234</v>
      </c>
      <c r="F238" s="5">
        <f t="shared" ca="1" si="37"/>
        <v>90</v>
      </c>
      <c r="G238" s="5">
        <f t="shared" ca="1" si="45"/>
        <v>1070</v>
      </c>
      <c r="H238" s="5">
        <f t="shared" ca="1" si="38"/>
        <v>980</v>
      </c>
      <c r="I238" s="63">
        <f t="shared" ca="1" si="44"/>
        <v>0</v>
      </c>
      <c r="J238" s="5">
        <f t="shared" ca="1" si="39"/>
        <v>0</v>
      </c>
      <c r="K238" s="5">
        <f t="shared" ca="1" si="40"/>
        <v>0</v>
      </c>
      <c r="L238" s="5">
        <f t="shared" ca="1" si="41"/>
        <v>0</v>
      </c>
      <c r="M238" s="5">
        <f t="shared" ca="1" si="42"/>
        <v>0</v>
      </c>
      <c r="N238" s="6">
        <f t="shared" ca="1" si="36"/>
        <v>26.849315068493148</v>
      </c>
      <c r="O238" s="5">
        <f t="shared" si="43"/>
        <v>0</v>
      </c>
    </row>
    <row r="239" spans="2:15" ht="13.2" customHeight="1">
      <c r="B239" s="21"/>
      <c r="E239" s="5">
        <v>235</v>
      </c>
      <c r="F239" s="5">
        <f t="shared" ca="1" si="37"/>
        <v>100</v>
      </c>
      <c r="G239" s="5">
        <f t="shared" ca="1" si="45"/>
        <v>980</v>
      </c>
      <c r="H239" s="5">
        <f t="shared" ca="1" si="38"/>
        <v>880</v>
      </c>
      <c r="I239" s="63">
        <f t="shared" ca="1" si="44"/>
        <v>0</v>
      </c>
      <c r="J239" s="5">
        <f t="shared" ca="1" si="39"/>
        <v>0</v>
      </c>
      <c r="K239" s="5">
        <f t="shared" ca="1" si="40"/>
        <v>0</v>
      </c>
      <c r="L239" s="5">
        <f t="shared" ca="1" si="41"/>
        <v>0</v>
      </c>
      <c r="M239" s="5">
        <f t="shared" ca="1" si="42"/>
        <v>0</v>
      </c>
      <c r="N239" s="6">
        <f t="shared" ca="1" si="36"/>
        <v>24.109589041095887</v>
      </c>
      <c r="O239" s="5">
        <f t="shared" si="43"/>
        <v>0</v>
      </c>
    </row>
    <row r="240" spans="2:15" ht="13.2" customHeight="1">
      <c r="B240" s="21"/>
      <c r="E240" s="5">
        <v>236</v>
      </c>
      <c r="F240" s="5">
        <f t="shared" ca="1" si="37"/>
        <v>110</v>
      </c>
      <c r="G240" s="5">
        <f t="shared" ca="1" si="45"/>
        <v>880</v>
      </c>
      <c r="H240" s="5">
        <f t="shared" ca="1" si="38"/>
        <v>770</v>
      </c>
      <c r="I240" s="63">
        <f t="shared" ca="1" si="44"/>
        <v>0</v>
      </c>
      <c r="J240" s="5">
        <f t="shared" ca="1" si="39"/>
        <v>0</v>
      </c>
      <c r="K240" s="5">
        <f t="shared" ca="1" si="40"/>
        <v>0</v>
      </c>
      <c r="L240" s="5">
        <f t="shared" ca="1" si="41"/>
        <v>0</v>
      </c>
      <c r="M240" s="5">
        <f t="shared" ca="1" si="42"/>
        <v>0</v>
      </c>
      <c r="N240" s="6">
        <f t="shared" ca="1" si="36"/>
        <v>21.095890410958901</v>
      </c>
      <c r="O240" s="5">
        <f t="shared" si="43"/>
        <v>0</v>
      </c>
    </row>
    <row r="241" spans="2:15" ht="13.2" customHeight="1">
      <c r="B241" s="21"/>
      <c r="E241" s="5">
        <v>237</v>
      </c>
      <c r="F241" s="5">
        <f t="shared" ca="1" si="37"/>
        <v>110</v>
      </c>
      <c r="G241" s="5">
        <f t="shared" ca="1" si="45"/>
        <v>770</v>
      </c>
      <c r="H241" s="5">
        <f t="shared" ca="1" si="38"/>
        <v>660</v>
      </c>
      <c r="I241" s="63">
        <f t="shared" ca="1" si="44"/>
        <v>0</v>
      </c>
      <c r="J241" s="5">
        <f t="shared" ca="1" si="39"/>
        <v>0</v>
      </c>
      <c r="K241" s="5">
        <f t="shared" ca="1" si="40"/>
        <v>0</v>
      </c>
      <c r="L241" s="5">
        <f t="shared" ca="1" si="41"/>
        <v>0</v>
      </c>
      <c r="M241" s="5">
        <f t="shared" ca="1" si="42"/>
        <v>0</v>
      </c>
      <c r="N241" s="6">
        <f t="shared" ca="1" si="36"/>
        <v>18.082191780821915</v>
      </c>
      <c r="O241" s="5">
        <f t="shared" si="43"/>
        <v>0</v>
      </c>
    </row>
    <row r="242" spans="2:15" ht="13.2" customHeight="1">
      <c r="B242" s="21"/>
      <c r="E242" s="5">
        <v>238</v>
      </c>
      <c r="F242" s="5">
        <f t="shared" ca="1" si="37"/>
        <v>80</v>
      </c>
      <c r="G242" s="5">
        <f t="shared" ca="1" si="45"/>
        <v>660</v>
      </c>
      <c r="H242" s="5">
        <f t="shared" ca="1" si="38"/>
        <v>580</v>
      </c>
      <c r="I242" s="63">
        <f t="shared" ca="1" si="44"/>
        <v>0</v>
      </c>
      <c r="J242" s="5">
        <f t="shared" ca="1" si="39"/>
        <v>0</v>
      </c>
      <c r="K242" s="5">
        <f t="shared" ca="1" si="40"/>
        <v>0</v>
      </c>
      <c r="L242" s="5">
        <f t="shared" ca="1" si="41"/>
        <v>0</v>
      </c>
      <c r="M242" s="5">
        <f t="shared" ca="1" si="42"/>
        <v>0</v>
      </c>
      <c r="N242" s="6">
        <f t="shared" ca="1" si="36"/>
        <v>15.890410958904109</v>
      </c>
      <c r="O242" s="5">
        <f t="shared" si="43"/>
        <v>0</v>
      </c>
    </row>
    <row r="243" spans="2:15" ht="13.2" customHeight="1">
      <c r="B243" s="21"/>
      <c r="E243" s="5">
        <v>239</v>
      </c>
      <c r="F243" s="5">
        <f t="shared" ca="1" si="37"/>
        <v>90</v>
      </c>
      <c r="G243" s="5">
        <f t="shared" ca="1" si="45"/>
        <v>580</v>
      </c>
      <c r="H243" s="5">
        <f t="shared" ca="1" si="38"/>
        <v>490</v>
      </c>
      <c r="I243" s="63">
        <f t="shared" ca="1" si="44"/>
        <v>0</v>
      </c>
      <c r="J243" s="5">
        <f t="shared" ca="1" si="39"/>
        <v>0</v>
      </c>
      <c r="K243" s="5">
        <f t="shared" ca="1" si="40"/>
        <v>0</v>
      </c>
      <c r="L243" s="5">
        <f t="shared" ca="1" si="41"/>
        <v>0</v>
      </c>
      <c r="M243" s="5">
        <f t="shared" ca="1" si="42"/>
        <v>0</v>
      </c>
      <c r="N243" s="6">
        <f t="shared" ca="1" si="36"/>
        <v>13.424657534246574</v>
      </c>
      <c r="O243" s="5">
        <f t="shared" si="43"/>
        <v>0</v>
      </c>
    </row>
    <row r="244" spans="2:15" ht="13.2" customHeight="1">
      <c r="B244" s="21"/>
      <c r="E244" s="5">
        <v>240</v>
      </c>
      <c r="F244" s="5">
        <f t="shared" ca="1" si="37"/>
        <v>120</v>
      </c>
      <c r="G244" s="5">
        <f t="shared" ca="1" si="45"/>
        <v>490</v>
      </c>
      <c r="H244" s="5">
        <f t="shared" ca="1" si="38"/>
        <v>370</v>
      </c>
      <c r="I244" s="63">
        <f t="shared" ca="1" si="44"/>
        <v>0</v>
      </c>
      <c r="J244" s="5">
        <f t="shared" ca="1" si="39"/>
        <v>0</v>
      </c>
      <c r="K244" s="5">
        <f t="shared" ca="1" si="40"/>
        <v>0</v>
      </c>
      <c r="L244" s="5">
        <f t="shared" ca="1" si="41"/>
        <v>0</v>
      </c>
      <c r="M244" s="5">
        <f t="shared" ca="1" si="42"/>
        <v>0</v>
      </c>
      <c r="N244" s="6">
        <f t="shared" ca="1" si="36"/>
        <v>10.136986301369863</v>
      </c>
      <c r="O244" s="5">
        <f t="shared" si="43"/>
        <v>0</v>
      </c>
    </row>
    <row r="245" spans="2:15" ht="13.2" customHeight="1">
      <c r="B245" s="21"/>
      <c r="E245" s="5">
        <v>241</v>
      </c>
      <c r="F245" s="5">
        <f t="shared" ca="1" si="37"/>
        <v>120</v>
      </c>
      <c r="G245" s="5">
        <f t="shared" ca="1" si="45"/>
        <v>370</v>
      </c>
      <c r="H245" s="5">
        <f t="shared" ca="1" si="38"/>
        <v>250</v>
      </c>
      <c r="I245" s="63">
        <f t="shared" ca="1" si="44"/>
        <v>0</v>
      </c>
      <c r="J245" s="5">
        <f t="shared" ca="1" si="39"/>
        <v>0</v>
      </c>
      <c r="K245" s="5">
        <f t="shared" ca="1" si="40"/>
        <v>0</v>
      </c>
      <c r="L245" s="5">
        <f t="shared" ca="1" si="41"/>
        <v>0</v>
      </c>
      <c r="M245" s="5">
        <f t="shared" ca="1" si="42"/>
        <v>0</v>
      </c>
      <c r="N245" s="6">
        <f t="shared" ca="1" si="36"/>
        <v>6.8493150684931505</v>
      </c>
      <c r="O245" s="5">
        <f t="shared" si="43"/>
        <v>0</v>
      </c>
    </row>
    <row r="246" spans="2:15" ht="13.2" customHeight="1">
      <c r="B246" s="21"/>
      <c r="E246" s="5">
        <v>242</v>
      </c>
      <c r="F246" s="5">
        <f t="shared" ca="1" si="37"/>
        <v>100</v>
      </c>
      <c r="G246" s="5">
        <f t="shared" ca="1" si="45"/>
        <v>250</v>
      </c>
      <c r="H246" s="5">
        <f t="shared" ca="1" si="38"/>
        <v>150</v>
      </c>
      <c r="I246" s="63">
        <f t="shared" ca="1" si="44"/>
        <v>0</v>
      </c>
      <c r="J246" s="5">
        <f t="shared" ca="1" si="39"/>
        <v>0</v>
      </c>
      <c r="K246" s="5">
        <f t="shared" ca="1" si="40"/>
        <v>0</v>
      </c>
      <c r="L246" s="5">
        <f t="shared" ca="1" si="41"/>
        <v>0</v>
      </c>
      <c r="M246" s="5">
        <f t="shared" ca="1" si="42"/>
        <v>0</v>
      </c>
      <c r="N246" s="6">
        <f t="shared" ca="1" si="36"/>
        <v>4.10958904109589</v>
      </c>
      <c r="O246" s="5">
        <f t="shared" si="43"/>
        <v>0</v>
      </c>
    </row>
    <row r="247" spans="2:15" ht="13.2" customHeight="1">
      <c r="B247" s="21"/>
      <c r="E247" s="5">
        <v>243</v>
      </c>
      <c r="F247" s="5">
        <f t="shared" ca="1" si="37"/>
        <v>100</v>
      </c>
      <c r="G247" s="5">
        <f t="shared" ca="1" si="45"/>
        <v>150</v>
      </c>
      <c r="H247" s="5">
        <f t="shared" ca="1" si="38"/>
        <v>50</v>
      </c>
      <c r="I247" s="63">
        <f t="shared" ca="1" si="44"/>
        <v>1</v>
      </c>
      <c r="J247" s="5">
        <f t="shared" ca="1" si="39"/>
        <v>1</v>
      </c>
      <c r="K247" s="5">
        <f t="shared" ca="1" si="40"/>
        <v>0</v>
      </c>
      <c r="L247" s="5">
        <f t="shared" ca="1" si="41"/>
        <v>0</v>
      </c>
      <c r="M247" s="5">
        <f t="shared" ca="1" si="42"/>
        <v>200</v>
      </c>
      <c r="N247" s="6">
        <f t="shared" ca="1" si="36"/>
        <v>1.3698630136986301</v>
      </c>
      <c r="O247" s="5">
        <f t="shared" si="43"/>
        <v>0</v>
      </c>
    </row>
    <row r="248" spans="2:15" ht="13.2" customHeight="1">
      <c r="B248" s="21"/>
      <c r="E248" s="5">
        <v>244</v>
      </c>
      <c r="F248" s="5">
        <f t="shared" ca="1" si="37"/>
        <v>110</v>
      </c>
      <c r="G248" s="5">
        <f t="shared" ca="1" si="45"/>
        <v>50</v>
      </c>
      <c r="H248" s="5">
        <f t="shared" ca="1" si="38"/>
        <v>0</v>
      </c>
      <c r="I248" s="63">
        <f t="shared" ca="1" si="44"/>
        <v>0</v>
      </c>
      <c r="J248" s="5">
        <f t="shared" ca="1" si="39"/>
        <v>0</v>
      </c>
      <c r="K248" s="5">
        <f t="shared" ca="1" si="40"/>
        <v>60</v>
      </c>
      <c r="L248" s="5">
        <f t="shared" ca="1" si="41"/>
        <v>3000</v>
      </c>
      <c r="M248" s="5">
        <f t="shared" ca="1" si="42"/>
        <v>0</v>
      </c>
      <c r="N248" s="6">
        <f t="shared" ca="1" si="36"/>
        <v>0</v>
      </c>
      <c r="O248" s="5">
        <f t="shared" si="43"/>
        <v>0</v>
      </c>
    </row>
    <row r="249" spans="2:15" ht="13.2" customHeight="1">
      <c r="B249" s="21"/>
      <c r="E249" s="5">
        <v>245</v>
      </c>
      <c r="F249" s="5">
        <f t="shared" ca="1" si="37"/>
        <v>90</v>
      </c>
      <c r="G249" s="5">
        <f t="shared" ca="1" si="45"/>
        <v>1000</v>
      </c>
      <c r="H249" s="5">
        <f t="shared" ca="1" si="38"/>
        <v>910</v>
      </c>
      <c r="I249" s="63">
        <f t="shared" ca="1" si="44"/>
        <v>0</v>
      </c>
      <c r="J249" s="5">
        <f t="shared" ca="1" si="39"/>
        <v>0</v>
      </c>
      <c r="K249" s="5">
        <f t="shared" ca="1" si="40"/>
        <v>0</v>
      </c>
      <c r="L249" s="5">
        <f t="shared" ca="1" si="41"/>
        <v>0</v>
      </c>
      <c r="M249" s="5">
        <f t="shared" ca="1" si="42"/>
        <v>0</v>
      </c>
      <c r="N249" s="6">
        <f t="shared" ca="1" si="36"/>
        <v>24.931506849315067</v>
      </c>
      <c r="O249" s="5">
        <f t="shared" si="43"/>
        <v>0</v>
      </c>
    </row>
    <row r="250" spans="2:15" ht="13.2" customHeight="1">
      <c r="B250" s="21"/>
      <c r="E250" s="5">
        <v>246</v>
      </c>
      <c r="F250" s="5">
        <f t="shared" ca="1" si="37"/>
        <v>90</v>
      </c>
      <c r="G250" s="5">
        <f t="shared" ca="1" si="45"/>
        <v>910</v>
      </c>
      <c r="H250" s="5">
        <f t="shared" ca="1" si="38"/>
        <v>820</v>
      </c>
      <c r="I250" s="63">
        <f t="shared" ca="1" si="44"/>
        <v>0</v>
      </c>
      <c r="J250" s="5">
        <f t="shared" ca="1" si="39"/>
        <v>0</v>
      </c>
      <c r="K250" s="5">
        <f t="shared" ca="1" si="40"/>
        <v>0</v>
      </c>
      <c r="L250" s="5">
        <f t="shared" ca="1" si="41"/>
        <v>0</v>
      </c>
      <c r="M250" s="5">
        <f t="shared" ca="1" si="42"/>
        <v>0</v>
      </c>
      <c r="N250" s="6">
        <f t="shared" ca="1" si="36"/>
        <v>22.465753424657532</v>
      </c>
      <c r="O250" s="5">
        <f t="shared" si="43"/>
        <v>0</v>
      </c>
    </row>
    <row r="251" spans="2:15" ht="13.2" customHeight="1">
      <c r="B251" s="21"/>
      <c r="E251" s="5">
        <v>247</v>
      </c>
      <c r="F251" s="5">
        <f t="shared" ca="1" si="37"/>
        <v>100</v>
      </c>
      <c r="G251" s="5">
        <f t="shared" ca="1" si="45"/>
        <v>820</v>
      </c>
      <c r="H251" s="5">
        <f t="shared" ca="1" si="38"/>
        <v>720</v>
      </c>
      <c r="I251" s="63">
        <f t="shared" ca="1" si="44"/>
        <v>0</v>
      </c>
      <c r="J251" s="5">
        <f t="shared" ca="1" si="39"/>
        <v>0</v>
      </c>
      <c r="K251" s="5">
        <f t="shared" ca="1" si="40"/>
        <v>0</v>
      </c>
      <c r="L251" s="5">
        <f t="shared" ca="1" si="41"/>
        <v>0</v>
      </c>
      <c r="M251" s="5">
        <f t="shared" ca="1" si="42"/>
        <v>0</v>
      </c>
      <c r="N251" s="6">
        <f t="shared" ca="1" si="36"/>
        <v>19.726027397260275</v>
      </c>
      <c r="O251" s="5">
        <f t="shared" si="43"/>
        <v>0</v>
      </c>
    </row>
    <row r="252" spans="2:15" ht="13.2" customHeight="1">
      <c r="B252" s="21"/>
      <c r="E252" s="5">
        <v>248</v>
      </c>
      <c r="F252" s="5">
        <f t="shared" ca="1" si="37"/>
        <v>100</v>
      </c>
      <c r="G252" s="5">
        <f t="shared" ca="1" si="45"/>
        <v>720</v>
      </c>
      <c r="H252" s="5">
        <f t="shared" ca="1" si="38"/>
        <v>620</v>
      </c>
      <c r="I252" s="63">
        <f t="shared" ca="1" si="44"/>
        <v>0</v>
      </c>
      <c r="J252" s="5">
        <f t="shared" ca="1" si="39"/>
        <v>0</v>
      </c>
      <c r="K252" s="5">
        <f t="shared" ca="1" si="40"/>
        <v>0</v>
      </c>
      <c r="L252" s="5">
        <f t="shared" ca="1" si="41"/>
        <v>0</v>
      </c>
      <c r="M252" s="5">
        <f t="shared" ca="1" si="42"/>
        <v>0</v>
      </c>
      <c r="N252" s="6">
        <f t="shared" ca="1" si="36"/>
        <v>16.986301369863014</v>
      </c>
      <c r="O252" s="5">
        <f t="shared" si="43"/>
        <v>0</v>
      </c>
    </row>
    <row r="253" spans="2:15" ht="13.2" customHeight="1">
      <c r="B253" s="21"/>
      <c r="E253" s="5">
        <v>249</v>
      </c>
      <c r="F253" s="5">
        <f t="shared" ca="1" si="37"/>
        <v>90</v>
      </c>
      <c r="G253" s="5">
        <f t="shared" ca="1" si="45"/>
        <v>620</v>
      </c>
      <c r="H253" s="5">
        <f t="shared" ca="1" si="38"/>
        <v>530</v>
      </c>
      <c r="I253" s="63">
        <f t="shared" ca="1" si="44"/>
        <v>0</v>
      </c>
      <c r="J253" s="5">
        <f t="shared" ca="1" si="39"/>
        <v>0</v>
      </c>
      <c r="K253" s="5">
        <f t="shared" ca="1" si="40"/>
        <v>0</v>
      </c>
      <c r="L253" s="5">
        <f t="shared" ca="1" si="41"/>
        <v>0</v>
      </c>
      <c r="M253" s="5">
        <f t="shared" ca="1" si="42"/>
        <v>0</v>
      </c>
      <c r="N253" s="6">
        <f t="shared" ca="1" si="36"/>
        <v>14.520547945205479</v>
      </c>
      <c r="O253" s="5">
        <f t="shared" si="43"/>
        <v>0</v>
      </c>
    </row>
    <row r="254" spans="2:15" ht="13.2" customHeight="1">
      <c r="B254" s="21"/>
      <c r="E254" s="5">
        <v>250</v>
      </c>
      <c r="F254" s="5">
        <f t="shared" ca="1" si="37"/>
        <v>90</v>
      </c>
      <c r="G254" s="5">
        <f t="shared" ca="1" si="45"/>
        <v>530</v>
      </c>
      <c r="H254" s="5">
        <f t="shared" ca="1" si="38"/>
        <v>440</v>
      </c>
      <c r="I254" s="63">
        <f t="shared" ca="1" si="44"/>
        <v>0</v>
      </c>
      <c r="J254" s="5">
        <f t="shared" ca="1" si="39"/>
        <v>0</v>
      </c>
      <c r="K254" s="5">
        <f t="shared" ca="1" si="40"/>
        <v>0</v>
      </c>
      <c r="L254" s="5">
        <f t="shared" ca="1" si="41"/>
        <v>0</v>
      </c>
      <c r="M254" s="5">
        <f t="shared" ca="1" si="42"/>
        <v>0</v>
      </c>
      <c r="N254" s="6">
        <f t="shared" ca="1" si="36"/>
        <v>12.054794520547944</v>
      </c>
      <c r="O254" s="5">
        <f t="shared" si="43"/>
        <v>0</v>
      </c>
    </row>
    <row r="255" spans="2:15" ht="13.2" customHeight="1">
      <c r="B255" s="21"/>
      <c r="E255" s="5">
        <v>251</v>
      </c>
      <c r="F255" s="5">
        <f t="shared" ca="1" si="37"/>
        <v>110</v>
      </c>
      <c r="G255" s="5">
        <f t="shared" ca="1" si="45"/>
        <v>440</v>
      </c>
      <c r="H255" s="5">
        <f t="shared" ca="1" si="38"/>
        <v>330</v>
      </c>
      <c r="I255" s="63">
        <f t="shared" ca="1" si="44"/>
        <v>0</v>
      </c>
      <c r="J255" s="5">
        <f t="shared" ca="1" si="39"/>
        <v>0</v>
      </c>
      <c r="K255" s="5">
        <f t="shared" ca="1" si="40"/>
        <v>0</v>
      </c>
      <c r="L255" s="5">
        <f t="shared" ca="1" si="41"/>
        <v>0</v>
      </c>
      <c r="M255" s="5">
        <f t="shared" ca="1" si="42"/>
        <v>0</v>
      </c>
      <c r="N255" s="6">
        <f t="shared" ca="1" si="36"/>
        <v>9.0410958904109577</v>
      </c>
      <c r="O255" s="5">
        <f t="shared" si="43"/>
        <v>0</v>
      </c>
    </row>
    <row r="256" spans="2:15" ht="13.2" customHeight="1">
      <c r="B256" s="21"/>
      <c r="E256" s="5">
        <v>252</v>
      </c>
      <c r="F256" s="5">
        <f t="shared" ca="1" si="37"/>
        <v>90</v>
      </c>
      <c r="G256" s="5">
        <f t="shared" ca="1" si="45"/>
        <v>330</v>
      </c>
      <c r="H256" s="5">
        <f t="shared" ca="1" si="38"/>
        <v>240</v>
      </c>
      <c r="I256" s="63">
        <f t="shared" ca="1" si="44"/>
        <v>0</v>
      </c>
      <c r="J256" s="5">
        <f t="shared" ca="1" si="39"/>
        <v>0</v>
      </c>
      <c r="K256" s="5">
        <f t="shared" ca="1" si="40"/>
        <v>0</v>
      </c>
      <c r="L256" s="5">
        <f t="shared" ca="1" si="41"/>
        <v>0</v>
      </c>
      <c r="M256" s="5">
        <f t="shared" ca="1" si="42"/>
        <v>0</v>
      </c>
      <c r="N256" s="6">
        <f t="shared" ca="1" si="36"/>
        <v>6.5753424657534243</v>
      </c>
      <c r="O256" s="5">
        <f t="shared" si="43"/>
        <v>0</v>
      </c>
    </row>
    <row r="257" spans="2:15" ht="13.2" customHeight="1">
      <c r="B257" s="21"/>
      <c r="E257" s="5">
        <v>253</v>
      </c>
      <c r="F257" s="5">
        <f t="shared" ca="1" si="37"/>
        <v>90</v>
      </c>
      <c r="G257" s="5">
        <f t="shared" ca="1" si="45"/>
        <v>240</v>
      </c>
      <c r="H257" s="5">
        <f t="shared" ca="1" si="38"/>
        <v>150</v>
      </c>
      <c r="I257" s="63">
        <f t="shared" ca="1" si="44"/>
        <v>0</v>
      </c>
      <c r="J257" s="5">
        <f t="shared" ca="1" si="39"/>
        <v>0</v>
      </c>
      <c r="K257" s="5">
        <f t="shared" ca="1" si="40"/>
        <v>0</v>
      </c>
      <c r="L257" s="5">
        <f t="shared" ca="1" si="41"/>
        <v>0</v>
      </c>
      <c r="M257" s="5">
        <f t="shared" ca="1" si="42"/>
        <v>0</v>
      </c>
      <c r="N257" s="6">
        <f t="shared" ca="1" si="36"/>
        <v>4.10958904109589</v>
      </c>
      <c r="O257" s="5">
        <f t="shared" si="43"/>
        <v>0</v>
      </c>
    </row>
    <row r="258" spans="2:15" ht="13.2" customHeight="1">
      <c r="B258" s="21"/>
      <c r="E258" s="5">
        <v>254</v>
      </c>
      <c r="F258" s="5">
        <f t="shared" ca="1" si="37"/>
        <v>120</v>
      </c>
      <c r="G258" s="5">
        <f t="shared" ca="1" si="45"/>
        <v>150</v>
      </c>
      <c r="H258" s="5">
        <f t="shared" ca="1" si="38"/>
        <v>30</v>
      </c>
      <c r="I258" s="63">
        <f t="shared" ca="1" si="44"/>
        <v>1</v>
      </c>
      <c r="J258" s="5">
        <f t="shared" ca="1" si="39"/>
        <v>1</v>
      </c>
      <c r="K258" s="5">
        <f t="shared" ca="1" si="40"/>
        <v>0</v>
      </c>
      <c r="L258" s="5">
        <f t="shared" ca="1" si="41"/>
        <v>0</v>
      </c>
      <c r="M258" s="5">
        <f t="shared" ca="1" si="42"/>
        <v>200</v>
      </c>
      <c r="N258" s="6">
        <f t="shared" ca="1" si="36"/>
        <v>0.82191780821917804</v>
      </c>
      <c r="O258" s="5">
        <f t="shared" si="43"/>
        <v>0</v>
      </c>
    </row>
    <row r="259" spans="2:15" ht="13.2" customHeight="1">
      <c r="B259" s="21"/>
      <c r="E259" s="5">
        <v>255</v>
      </c>
      <c r="F259" s="5">
        <f t="shared" ca="1" si="37"/>
        <v>120</v>
      </c>
      <c r="G259" s="5">
        <f t="shared" ca="1" si="45"/>
        <v>30</v>
      </c>
      <c r="H259" s="5">
        <f t="shared" ca="1" si="38"/>
        <v>0</v>
      </c>
      <c r="I259" s="63">
        <f t="shared" ca="1" si="44"/>
        <v>0</v>
      </c>
      <c r="J259" s="5">
        <f t="shared" ca="1" si="39"/>
        <v>0</v>
      </c>
      <c r="K259" s="5">
        <f t="shared" ca="1" si="40"/>
        <v>90</v>
      </c>
      <c r="L259" s="5">
        <f t="shared" ca="1" si="41"/>
        <v>4500</v>
      </c>
      <c r="M259" s="5">
        <f t="shared" ca="1" si="42"/>
        <v>0</v>
      </c>
      <c r="N259" s="6">
        <f t="shared" ca="1" si="36"/>
        <v>0</v>
      </c>
      <c r="O259" s="5">
        <f t="shared" si="43"/>
        <v>0</v>
      </c>
    </row>
    <row r="260" spans="2:15" ht="13.2" customHeight="1">
      <c r="B260" s="21"/>
      <c r="E260" s="5">
        <v>256</v>
      </c>
      <c r="F260" s="5">
        <f t="shared" ca="1" si="37"/>
        <v>110</v>
      </c>
      <c r="G260" s="5">
        <f t="shared" ca="1" si="45"/>
        <v>1000</v>
      </c>
      <c r="H260" s="5">
        <f t="shared" ca="1" si="38"/>
        <v>890</v>
      </c>
      <c r="I260" s="63">
        <f t="shared" ca="1" si="44"/>
        <v>0</v>
      </c>
      <c r="J260" s="5">
        <f t="shared" ca="1" si="39"/>
        <v>0</v>
      </c>
      <c r="K260" s="5">
        <f t="shared" ca="1" si="40"/>
        <v>0</v>
      </c>
      <c r="L260" s="5">
        <f t="shared" ca="1" si="41"/>
        <v>0</v>
      </c>
      <c r="M260" s="5">
        <f t="shared" ca="1" si="42"/>
        <v>0</v>
      </c>
      <c r="N260" s="6">
        <f t="shared" ca="1" si="36"/>
        <v>24.383561643835616</v>
      </c>
      <c r="O260" s="5">
        <f t="shared" si="43"/>
        <v>0</v>
      </c>
    </row>
    <row r="261" spans="2:15" ht="13.2" customHeight="1">
      <c r="B261" s="21"/>
      <c r="E261" s="5">
        <v>257</v>
      </c>
      <c r="F261" s="5">
        <f t="shared" ca="1" si="37"/>
        <v>100</v>
      </c>
      <c r="G261" s="5">
        <f t="shared" ca="1" si="45"/>
        <v>890</v>
      </c>
      <c r="H261" s="5">
        <f t="shared" ca="1" si="38"/>
        <v>790</v>
      </c>
      <c r="I261" s="63">
        <f t="shared" ca="1" si="44"/>
        <v>0</v>
      </c>
      <c r="J261" s="5">
        <f t="shared" ca="1" si="39"/>
        <v>0</v>
      </c>
      <c r="K261" s="5">
        <f t="shared" ca="1" si="40"/>
        <v>0</v>
      </c>
      <c r="L261" s="5">
        <f t="shared" ca="1" si="41"/>
        <v>0</v>
      </c>
      <c r="M261" s="5">
        <f t="shared" ca="1" si="42"/>
        <v>0</v>
      </c>
      <c r="N261" s="6">
        <f t="shared" ref="N261:N324" ca="1" si="46">H261*$C$7</f>
        <v>21.643835616438356</v>
      </c>
      <c r="O261" s="5">
        <f t="shared" si="43"/>
        <v>0</v>
      </c>
    </row>
    <row r="262" spans="2:15" ht="13.2" customHeight="1">
      <c r="B262" s="21"/>
      <c r="E262" s="5">
        <v>258</v>
      </c>
      <c r="F262" s="5">
        <f t="shared" ref="F262:F325" ca="1" si="47">INDEX($T$17:$T$21,MATCH(RAND(),$V$17:$V$21,1))</f>
        <v>110</v>
      </c>
      <c r="G262" s="5">
        <f t="shared" ca="1" si="45"/>
        <v>790</v>
      </c>
      <c r="H262" s="5">
        <f t="shared" ref="H262:H325" ca="1" si="48">IF(G262-F262&gt;0,G262-F262,0)</f>
        <v>680</v>
      </c>
      <c r="I262" s="63">
        <f t="shared" ca="1" si="44"/>
        <v>0</v>
      </c>
      <c r="J262" s="5">
        <f t="shared" ref="J262:J325" ca="1" si="49">I262*INT(RAND()*2)</f>
        <v>0</v>
      </c>
      <c r="K262" s="5">
        <f t="shared" ref="K262:K325" ca="1" si="50">-MIN(0,G262-F262)</f>
        <v>0</v>
      </c>
      <c r="L262" s="5">
        <f t="shared" ref="L262:L325" ca="1" si="51">K262*$C$8</f>
        <v>0</v>
      </c>
      <c r="M262" s="5">
        <f t="shared" ref="M262:M325" ca="1" si="52">$C$4*I262</f>
        <v>0</v>
      </c>
      <c r="N262" s="6">
        <f t="shared" ca="1" si="46"/>
        <v>18.63013698630137</v>
      </c>
      <c r="O262" s="5">
        <f t="shared" ref="O262:O325" si="53">IF(E262=$O$4,H262,0)</f>
        <v>0</v>
      </c>
    </row>
    <row r="263" spans="2:15" ht="13.2" customHeight="1">
      <c r="B263" s="21"/>
      <c r="E263" s="5">
        <v>259</v>
      </c>
      <c r="F263" s="5">
        <f t="shared" ca="1" si="47"/>
        <v>100</v>
      </c>
      <c r="G263" s="5">
        <f t="shared" ca="1" si="45"/>
        <v>680</v>
      </c>
      <c r="H263" s="5">
        <f t="shared" ca="1" si="48"/>
        <v>580</v>
      </c>
      <c r="I263" s="63">
        <f t="shared" ref="I263:I326" ca="1" si="54">IF(AND(H263&lt;$C$3,J262=0),1,0)</f>
        <v>0</v>
      </c>
      <c r="J263" s="5">
        <f t="shared" ca="1" si="49"/>
        <v>0</v>
      </c>
      <c r="K263" s="5">
        <f t="shared" ca="1" si="50"/>
        <v>0</v>
      </c>
      <c r="L263" s="5">
        <f t="shared" ca="1" si="51"/>
        <v>0</v>
      </c>
      <c r="M263" s="5">
        <f t="shared" ca="1" si="52"/>
        <v>0</v>
      </c>
      <c r="N263" s="6">
        <f t="shared" ca="1" si="46"/>
        <v>15.890410958904109</v>
      </c>
      <c r="O263" s="5">
        <f t="shared" si="53"/>
        <v>0</v>
      </c>
    </row>
    <row r="264" spans="2:15" ht="13.2" customHeight="1">
      <c r="B264" s="21"/>
      <c r="E264" s="5">
        <v>260</v>
      </c>
      <c r="F264" s="5">
        <f t="shared" ca="1" si="47"/>
        <v>90</v>
      </c>
      <c r="G264" s="5">
        <f t="shared" ref="G264:G327" ca="1" si="55">H263+IF(J263=0,I263*$C$9,0)+IF(J262=1,$C$9,0)</f>
        <v>580</v>
      </c>
      <c r="H264" s="5">
        <f t="shared" ca="1" si="48"/>
        <v>490</v>
      </c>
      <c r="I264" s="63">
        <f t="shared" ca="1" si="54"/>
        <v>0</v>
      </c>
      <c r="J264" s="5">
        <f t="shared" ca="1" si="49"/>
        <v>0</v>
      </c>
      <c r="K264" s="5">
        <f t="shared" ca="1" si="50"/>
        <v>0</v>
      </c>
      <c r="L264" s="5">
        <f t="shared" ca="1" si="51"/>
        <v>0</v>
      </c>
      <c r="M264" s="5">
        <f t="shared" ca="1" si="52"/>
        <v>0</v>
      </c>
      <c r="N264" s="6">
        <f t="shared" ca="1" si="46"/>
        <v>13.424657534246574</v>
      </c>
      <c r="O264" s="5">
        <f t="shared" si="53"/>
        <v>0</v>
      </c>
    </row>
    <row r="265" spans="2:15" ht="13.2" customHeight="1">
      <c r="B265" s="21"/>
      <c r="E265" s="5">
        <v>261</v>
      </c>
      <c r="F265" s="5">
        <f t="shared" ca="1" si="47"/>
        <v>120</v>
      </c>
      <c r="G265" s="5">
        <f t="shared" ca="1" si="55"/>
        <v>490</v>
      </c>
      <c r="H265" s="5">
        <f t="shared" ca="1" si="48"/>
        <v>370</v>
      </c>
      <c r="I265" s="63">
        <f t="shared" ca="1" si="54"/>
        <v>0</v>
      </c>
      <c r="J265" s="5">
        <f t="shared" ca="1" si="49"/>
        <v>0</v>
      </c>
      <c r="K265" s="5">
        <f t="shared" ca="1" si="50"/>
        <v>0</v>
      </c>
      <c r="L265" s="5">
        <f t="shared" ca="1" si="51"/>
        <v>0</v>
      </c>
      <c r="M265" s="5">
        <f t="shared" ca="1" si="52"/>
        <v>0</v>
      </c>
      <c r="N265" s="6">
        <f t="shared" ca="1" si="46"/>
        <v>10.136986301369863</v>
      </c>
      <c r="O265" s="5">
        <f t="shared" si="53"/>
        <v>0</v>
      </c>
    </row>
    <row r="266" spans="2:15" ht="13.2" customHeight="1">
      <c r="B266" s="21"/>
      <c r="E266" s="5">
        <v>262</v>
      </c>
      <c r="F266" s="5">
        <f t="shared" ca="1" si="47"/>
        <v>110</v>
      </c>
      <c r="G266" s="5">
        <f t="shared" ca="1" si="55"/>
        <v>370</v>
      </c>
      <c r="H266" s="5">
        <f t="shared" ca="1" si="48"/>
        <v>260</v>
      </c>
      <c r="I266" s="63">
        <f t="shared" ca="1" si="54"/>
        <v>0</v>
      </c>
      <c r="J266" s="5">
        <f t="shared" ca="1" si="49"/>
        <v>0</v>
      </c>
      <c r="K266" s="5">
        <f t="shared" ca="1" si="50"/>
        <v>0</v>
      </c>
      <c r="L266" s="5">
        <f t="shared" ca="1" si="51"/>
        <v>0</v>
      </c>
      <c r="M266" s="5">
        <f t="shared" ca="1" si="52"/>
        <v>0</v>
      </c>
      <c r="N266" s="6">
        <f t="shared" ca="1" si="46"/>
        <v>7.1232876712328768</v>
      </c>
      <c r="O266" s="5">
        <f t="shared" si="53"/>
        <v>0</v>
      </c>
    </row>
    <row r="267" spans="2:15" ht="13.2" customHeight="1">
      <c r="B267" s="21"/>
      <c r="E267" s="5">
        <v>263</v>
      </c>
      <c r="F267" s="5">
        <f t="shared" ca="1" si="47"/>
        <v>110</v>
      </c>
      <c r="G267" s="5">
        <f t="shared" ca="1" si="55"/>
        <v>260</v>
      </c>
      <c r="H267" s="5">
        <f t="shared" ca="1" si="48"/>
        <v>150</v>
      </c>
      <c r="I267" s="63">
        <f t="shared" ca="1" si="54"/>
        <v>0</v>
      </c>
      <c r="J267" s="5">
        <f t="shared" ca="1" si="49"/>
        <v>0</v>
      </c>
      <c r="K267" s="5">
        <f t="shared" ca="1" si="50"/>
        <v>0</v>
      </c>
      <c r="L267" s="5">
        <f t="shared" ca="1" si="51"/>
        <v>0</v>
      </c>
      <c r="M267" s="5">
        <f t="shared" ca="1" si="52"/>
        <v>0</v>
      </c>
      <c r="N267" s="6">
        <f t="shared" ca="1" si="46"/>
        <v>4.10958904109589</v>
      </c>
      <c r="O267" s="5">
        <f t="shared" si="53"/>
        <v>0</v>
      </c>
    </row>
    <row r="268" spans="2:15" ht="13.2" customHeight="1">
      <c r="B268" s="21"/>
      <c r="E268" s="5">
        <v>264</v>
      </c>
      <c r="F268" s="5">
        <f t="shared" ca="1" si="47"/>
        <v>110</v>
      </c>
      <c r="G268" s="5">
        <f t="shared" ca="1" si="55"/>
        <v>150</v>
      </c>
      <c r="H268" s="5">
        <f t="shared" ca="1" si="48"/>
        <v>40</v>
      </c>
      <c r="I268" s="63">
        <f t="shared" ca="1" si="54"/>
        <v>1</v>
      </c>
      <c r="J268" s="5">
        <f t="shared" ca="1" si="49"/>
        <v>0</v>
      </c>
      <c r="K268" s="5">
        <f t="shared" ca="1" si="50"/>
        <v>0</v>
      </c>
      <c r="L268" s="5">
        <f t="shared" ca="1" si="51"/>
        <v>0</v>
      </c>
      <c r="M268" s="5">
        <f t="shared" ca="1" si="52"/>
        <v>200</v>
      </c>
      <c r="N268" s="6">
        <f t="shared" ca="1" si="46"/>
        <v>1.095890410958904</v>
      </c>
      <c r="O268" s="5">
        <f t="shared" si="53"/>
        <v>0</v>
      </c>
    </row>
    <row r="269" spans="2:15" ht="13.2" customHeight="1">
      <c r="B269" s="21"/>
      <c r="E269" s="5">
        <v>265</v>
      </c>
      <c r="F269" s="5">
        <f t="shared" ca="1" si="47"/>
        <v>100</v>
      </c>
      <c r="G269" s="5">
        <f t="shared" ca="1" si="55"/>
        <v>1040</v>
      </c>
      <c r="H269" s="5">
        <f t="shared" ca="1" si="48"/>
        <v>940</v>
      </c>
      <c r="I269" s="63">
        <f t="shared" ca="1" si="54"/>
        <v>0</v>
      </c>
      <c r="J269" s="5">
        <f t="shared" ca="1" si="49"/>
        <v>0</v>
      </c>
      <c r="K269" s="5">
        <f t="shared" ca="1" si="50"/>
        <v>0</v>
      </c>
      <c r="L269" s="5">
        <f t="shared" ca="1" si="51"/>
        <v>0</v>
      </c>
      <c r="M269" s="5">
        <f t="shared" ca="1" si="52"/>
        <v>0</v>
      </c>
      <c r="N269" s="6">
        <f t="shared" ca="1" si="46"/>
        <v>25.753424657534246</v>
      </c>
      <c r="O269" s="5">
        <f t="shared" si="53"/>
        <v>0</v>
      </c>
    </row>
    <row r="270" spans="2:15" ht="13.2" customHeight="1">
      <c r="B270" s="21"/>
      <c r="E270" s="5">
        <v>266</v>
      </c>
      <c r="F270" s="5">
        <f t="shared" ca="1" si="47"/>
        <v>110</v>
      </c>
      <c r="G270" s="5">
        <f t="shared" ca="1" si="55"/>
        <v>940</v>
      </c>
      <c r="H270" s="5">
        <f t="shared" ca="1" si="48"/>
        <v>830</v>
      </c>
      <c r="I270" s="63">
        <f t="shared" ca="1" si="54"/>
        <v>0</v>
      </c>
      <c r="J270" s="5">
        <f t="shared" ca="1" si="49"/>
        <v>0</v>
      </c>
      <c r="K270" s="5">
        <f t="shared" ca="1" si="50"/>
        <v>0</v>
      </c>
      <c r="L270" s="5">
        <f t="shared" ca="1" si="51"/>
        <v>0</v>
      </c>
      <c r="M270" s="5">
        <f t="shared" ca="1" si="52"/>
        <v>0</v>
      </c>
      <c r="N270" s="6">
        <f t="shared" ca="1" si="46"/>
        <v>22.739726027397261</v>
      </c>
      <c r="O270" s="5">
        <f t="shared" si="53"/>
        <v>0</v>
      </c>
    </row>
    <row r="271" spans="2:15" ht="13.2" customHeight="1">
      <c r="B271" s="21"/>
      <c r="E271" s="5">
        <v>267</v>
      </c>
      <c r="F271" s="5">
        <f t="shared" ca="1" si="47"/>
        <v>100</v>
      </c>
      <c r="G271" s="5">
        <f t="shared" ca="1" si="55"/>
        <v>830</v>
      </c>
      <c r="H271" s="5">
        <f t="shared" ca="1" si="48"/>
        <v>730</v>
      </c>
      <c r="I271" s="63">
        <f t="shared" ca="1" si="54"/>
        <v>0</v>
      </c>
      <c r="J271" s="5">
        <f t="shared" ca="1" si="49"/>
        <v>0</v>
      </c>
      <c r="K271" s="5">
        <f t="shared" ca="1" si="50"/>
        <v>0</v>
      </c>
      <c r="L271" s="5">
        <f t="shared" ca="1" si="51"/>
        <v>0</v>
      </c>
      <c r="M271" s="5">
        <f t="shared" ca="1" si="52"/>
        <v>0</v>
      </c>
      <c r="N271" s="6">
        <f t="shared" ca="1" si="46"/>
        <v>20</v>
      </c>
      <c r="O271" s="5">
        <f t="shared" si="53"/>
        <v>0</v>
      </c>
    </row>
    <row r="272" spans="2:15" ht="13.2" customHeight="1">
      <c r="B272" s="21"/>
      <c r="E272" s="5">
        <v>268</v>
      </c>
      <c r="F272" s="5">
        <f t="shared" ca="1" si="47"/>
        <v>100</v>
      </c>
      <c r="G272" s="5">
        <f t="shared" ca="1" si="55"/>
        <v>730</v>
      </c>
      <c r="H272" s="5">
        <f t="shared" ca="1" si="48"/>
        <v>630</v>
      </c>
      <c r="I272" s="63">
        <f t="shared" ca="1" si="54"/>
        <v>0</v>
      </c>
      <c r="J272" s="5">
        <f t="shared" ca="1" si="49"/>
        <v>0</v>
      </c>
      <c r="K272" s="5">
        <f t="shared" ca="1" si="50"/>
        <v>0</v>
      </c>
      <c r="L272" s="5">
        <f t="shared" ca="1" si="51"/>
        <v>0</v>
      </c>
      <c r="M272" s="5">
        <f t="shared" ca="1" si="52"/>
        <v>0</v>
      </c>
      <c r="N272" s="6">
        <f t="shared" ca="1" si="46"/>
        <v>17.260273972602739</v>
      </c>
      <c r="O272" s="5">
        <f t="shared" si="53"/>
        <v>0</v>
      </c>
    </row>
    <row r="273" spans="2:15" ht="13.2" customHeight="1">
      <c r="B273" s="21"/>
      <c r="E273" s="5">
        <v>269</v>
      </c>
      <c r="F273" s="5">
        <f t="shared" ca="1" si="47"/>
        <v>110</v>
      </c>
      <c r="G273" s="5">
        <f t="shared" ca="1" si="55"/>
        <v>630</v>
      </c>
      <c r="H273" s="5">
        <f t="shared" ca="1" si="48"/>
        <v>520</v>
      </c>
      <c r="I273" s="63">
        <f t="shared" ca="1" si="54"/>
        <v>0</v>
      </c>
      <c r="J273" s="5">
        <f t="shared" ca="1" si="49"/>
        <v>0</v>
      </c>
      <c r="K273" s="5">
        <f t="shared" ca="1" si="50"/>
        <v>0</v>
      </c>
      <c r="L273" s="5">
        <f t="shared" ca="1" si="51"/>
        <v>0</v>
      </c>
      <c r="M273" s="5">
        <f t="shared" ca="1" si="52"/>
        <v>0</v>
      </c>
      <c r="N273" s="6">
        <f t="shared" ca="1" si="46"/>
        <v>14.246575342465754</v>
      </c>
      <c r="O273" s="5">
        <f t="shared" si="53"/>
        <v>0</v>
      </c>
    </row>
    <row r="274" spans="2:15" ht="13.2" customHeight="1">
      <c r="B274" s="21"/>
      <c r="E274" s="5">
        <v>270</v>
      </c>
      <c r="F274" s="5">
        <f t="shared" ca="1" si="47"/>
        <v>80</v>
      </c>
      <c r="G274" s="5">
        <f t="shared" ca="1" si="55"/>
        <v>520</v>
      </c>
      <c r="H274" s="5">
        <f t="shared" ca="1" si="48"/>
        <v>440</v>
      </c>
      <c r="I274" s="63">
        <f t="shared" ca="1" si="54"/>
        <v>0</v>
      </c>
      <c r="J274" s="5">
        <f t="shared" ca="1" si="49"/>
        <v>0</v>
      </c>
      <c r="K274" s="5">
        <f t="shared" ca="1" si="50"/>
        <v>0</v>
      </c>
      <c r="L274" s="5">
        <f t="shared" ca="1" si="51"/>
        <v>0</v>
      </c>
      <c r="M274" s="5">
        <f t="shared" ca="1" si="52"/>
        <v>0</v>
      </c>
      <c r="N274" s="6">
        <f t="shared" ca="1" si="46"/>
        <v>12.054794520547944</v>
      </c>
      <c r="O274" s="5">
        <f t="shared" si="53"/>
        <v>0</v>
      </c>
    </row>
    <row r="275" spans="2:15" ht="13.2" customHeight="1">
      <c r="B275" s="21"/>
      <c r="E275" s="5">
        <v>271</v>
      </c>
      <c r="F275" s="5">
        <f t="shared" ca="1" si="47"/>
        <v>110</v>
      </c>
      <c r="G275" s="5">
        <f t="shared" ca="1" si="55"/>
        <v>440</v>
      </c>
      <c r="H275" s="5">
        <f t="shared" ca="1" si="48"/>
        <v>330</v>
      </c>
      <c r="I275" s="63">
        <f t="shared" ca="1" si="54"/>
        <v>0</v>
      </c>
      <c r="J275" s="5">
        <f t="shared" ca="1" si="49"/>
        <v>0</v>
      </c>
      <c r="K275" s="5">
        <f t="shared" ca="1" si="50"/>
        <v>0</v>
      </c>
      <c r="L275" s="5">
        <f t="shared" ca="1" si="51"/>
        <v>0</v>
      </c>
      <c r="M275" s="5">
        <f t="shared" ca="1" si="52"/>
        <v>0</v>
      </c>
      <c r="N275" s="6">
        <f t="shared" ca="1" si="46"/>
        <v>9.0410958904109577</v>
      </c>
      <c r="O275" s="5">
        <f t="shared" si="53"/>
        <v>0</v>
      </c>
    </row>
    <row r="276" spans="2:15" ht="13.2" customHeight="1">
      <c r="B276" s="21"/>
      <c r="E276" s="5">
        <v>272</v>
      </c>
      <c r="F276" s="5">
        <f t="shared" ca="1" si="47"/>
        <v>110</v>
      </c>
      <c r="G276" s="5">
        <f t="shared" ca="1" si="55"/>
        <v>330</v>
      </c>
      <c r="H276" s="5">
        <f t="shared" ca="1" si="48"/>
        <v>220</v>
      </c>
      <c r="I276" s="63">
        <f t="shared" ca="1" si="54"/>
        <v>0</v>
      </c>
      <c r="J276" s="5">
        <f t="shared" ca="1" si="49"/>
        <v>0</v>
      </c>
      <c r="K276" s="5">
        <f t="shared" ca="1" si="50"/>
        <v>0</v>
      </c>
      <c r="L276" s="5">
        <f t="shared" ca="1" si="51"/>
        <v>0</v>
      </c>
      <c r="M276" s="5">
        <f t="shared" ca="1" si="52"/>
        <v>0</v>
      </c>
      <c r="N276" s="6">
        <f t="shared" ca="1" si="46"/>
        <v>6.0273972602739718</v>
      </c>
      <c r="O276" s="5">
        <f t="shared" si="53"/>
        <v>0</v>
      </c>
    </row>
    <row r="277" spans="2:15" ht="13.2" customHeight="1">
      <c r="B277" s="21"/>
      <c r="E277" s="5">
        <v>273</v>
      </c>
      <c r="F277" s="5">
        <f t="shared" ca="1" si="47"/>
        <v>80</v>
      </c>
      <c r="G277" s="5">
        <f t="shared" ca="1" si="55"/>
        <v>220</v>
      </c>
      <c r="H277" s="5">
        <f t="shared" ca="1" si="48"/>
        <v>140</v>
      </c>
      <c r="I277" s="63">
        <f t="shared" ca="1" si="54"/>
        <v>0</v>
      </c>
      <c r="J277" s="5">
        <f t="shared" ca="1" si="49"/>
        <v>0</v>
      </c>
      <c r="K277" s="5">
        <f t="shared" ca="1" si="50"/>
        <v>0</v>
      </c>
      <c r="L277" s="5">
        <f t="shared" ca="1" si="51"/>
        <v>0</v>
      </c>
      <c r="M277" s="5">
        <f t="shared" ca="1" si="52"/>
        <v>0</v>
      </c>
      <c r="N277" s="6">
        <f t="shared" ca="1" si="46"/>
        <v>3.8356164383561642</v>
      </c>
      <c r="O277" s="5">
        <f t="shared" si="53"/>
        <v>0</v>
      </c>
    </row>
    <row r="278" spans="2:15" ht="13.2" customHeight="1">
      <c r="B278" s="21"/>
      <c r="E278" s="5">
        <v>274</v>
      </c>
      <c r="F278" s="5">
        <f t="shared" ca="1" si="47"/>
        <v>120</v>
      </c>
      <c r="G278" s="5">
        <f t="shared" ca="1" si="55"/>
        <v>140</v>
      </c>
      <c r="H278" s="5">
        <f t="shared" ca="1" si="48"/>
        <v>20</v>
      </c>
      <c r="I278" s="63">
        <f t="shared" ca="1" si="54"/>
        <v>1</v>
      </c>
      <c r="J278" s="5">
        <f t="shared" ca="1" si="49"/>
        <v>0</v>
      </c>
      <c r="K278" s="5">
        <f t="shared" ca="1" si="50"/>
        <v>0</v>
      </c>
      <c r="L278" s="5">
        <f t="shared" ca="1" si="51"/>
        <v>0</v>
      </c>
      <c r="M278" s="5">
        <f t="shared" ca="1" si="52"/>
        <v>200</v>
      </c>
      <c r="N278" s="6">
        <f t="shared" ca="1" si="46"/>
        <v>0.54794520547945202</v>
      </c>
      <c r="O278" s="5">
        <f t="shared" si="53"/>
        <v>0</v>
      </c>
    </row>
    <row r="279" spans="2:15" ht="13.2" customHeight="1">
      <c r="B279" s="21"/>
      <c r="E279" s="5">
        <v>275</v>
      </c>
      <c r="F279" s="5">
        <f t="shared" ca="1" si="47"/>
        <v>110</v>
      </c>
      <c r="G279" s="5">
        <f t="shared" ca="1" si="55"/>
        <v>1020</v>
      </c>
      <c r="H279" s="5">
        <f t="shared" ca="1" si="48"/>
        <v>910</v>
      </c>
      <c r="I279" s="63">
        <f t="shared" ca="1" si="54"/>
        <v>0</v>
      </c>
      <c r="J279" s="5">
        <f t="shared" ca="1" si="49"/>
        <v>0</v>
      </c>
      <c r="K279" s="5">
        <f t="shared" ca="1" si="50"/>
        <v>0</v>
      </c>
      <c r="L279" s="5">
        <f t="shared" ca="1" si="51"/>
        <v>0</v>
      </c>
      <c r="M279" s="5">
        <f t="shared" ca="1" si="52"/>
        <v>0</v>
      </c>
      <c r="N279" s="6">
        <f t="shared" ca="1" si="46"/>
        <v>24.931506849315067</v>
      </c>
      <c r="O279" s="5">
        <f t="shared" si="53"/>
        <v>0</v>
      </c>
    </row>
    <row r="280" spans="2:15" ht="13.2" customHeight="1">
      <c r="B280" s="21"/>
      <c r="E280" s="5">
        <v>276</v>
      </c>
      <c r="F280" s="5">
        <f t="shared" ca="1" si="47"/>
        <v>100</v>
      </c>
      <c r="G280" s="5">
        <f t="shared" ca="1" si="55"/>
        <v>910</v>
      </c>
      <c r="H280" s="5">
        <f t="shared" ca="1" si="48"/>
        <v>810</v>
      </c>
      <c r="I280" s="63">
        <f t="shared" ca="1" si="54"/>
        <v>0</v>
      </c>
      <c r="J280" s="5">
        <f t="shared" ca="1" si="49"/>
        <v>0</v>
      </c>
      <c r="K280" s="5">
        <f t="shared" ca="1" si="50"/>
        <v>0</v>
      </c>
      <c r="L280" s="5">
        <f t="shared" ca="1" si="51"/>
        <v>0</v>
      </c>
      <c r="M280" s="5">
        <f t="shared" ca="1" si="52"/>
        <v>0</v>
      </c>
      <c r="N280" s="6">
        <f t="shared" ca="1" si="46"/>
        <v>22.191780821917806</v>
      </c>
      <c r="O280" s="5">
        <f t="shared" si="53"/>
        <v>0</v>
      </c>
    </row>
    <row r="281" spans="2:15" ht="13.2" customHeight="1">
      <c r="B281" s="21"/>
      <c r="E281" s="5">
        <v>277</v>
      </c>
      <c r="F281" s="5">
        <f t="shared" ca="1" si="47"/>
        <v>90</v>
      </c>
      <c r="G281" s="5">
        <f t="shared" ca="1" si="55"/>
        <v>810</v>
      </c>
      <c r="H281" s="5">
        <f t="shared" ca="1" si="48"/>
        <v>720</v>
      </c>
      <c r="I281" s="63">
        <f t="shared" ca="1" si="54"/>
        <v>0</v>
      </c>
      <c r="J281" s="5">
        <f t="shared" ca="1" si="49"/>
        <v>0</v>
      </c>
      <c r="K281" s="5">
        <f t="shared" ca="1" si="50"/>
        <v>0</v>
      </c>
      <c r="L281" s="5">
        <f t="shared" ca="1" si="51"/>
        <v>0</v>
      </c>
      <c r="M281" s="5">
        <f t="shared" ca="1" si="52"/>
        <v>0</v>
      </c>
      <c r="N281" s="6">
        <f t="shared" ca="1" si="46"/>
        <v>19.726027397260275</v>
      </c>
      <c r="O281" s="5">
        <f t="shared" si="53"/>
        <v>0</v>
      </c>
    </row>
    <row r="282" spans="2:15" ht="13.2" customHeight="1">
      <c r="B282" s="21"/>
      <c r="E282" s="5">
        <v>278</v>
      </c>
      <c r="F282" s="5">
        <f t="shared" ca="1" si="47"/>
        <v>100</v>
      </c>
      <c r="G282" s="5">
        <f t="shared" ca="1" si="55"/>
        <v>720</v>
      </c>
      <c r="H282" s="5">
        <f t="shared" ca="1" si="48"/>
        <v>620</v>
      </c>
      <c r="I282" s="63">
        <f t="shared" ca="1" si="54"/>
        <v>0</v>
      </c>
      <c r="J282" s="5">
        <f t="shared" ca="1" si="49"/>
        <v>0</v>
      </c>
      <c r="K282" s="5">
        <f t="shared" ca="1" si="50"/>
        <v>0</v>
      </c>
      <c r="L282" s="5">
        <f t="shared" ca="1" si="51"/>
        <v>0</v>
      </c>
      <c r="M282" s="5">
        <f t="shared" ca="1" si="52"/>
        <v>0</v>
      </c>
      <c r="N282" s="6">
        <f t="shared" ca="1" si="46"/>
        <v>16.986301369863014</v>
      </c>
      <c r="O282" s="5">
        <f t="shared" si="53"/>
        <v>0</v>
      </c>
    </row>
    <row r="283" spans="2:15" ht="13.2" customHeight="1">
      <c r="B283" s="21"/>
      <c r="E283" s="5">
        <v>279</v>
      </c>
      <c r="F283" s="5">
        <f t="shared" ca="1" si="47"/>
        <v>100</v>
      </c>
      <c r="G283" s="5">
        <f t="shared" ca="1" si="55"/>
        <v>620</v>
      </c>
      <c r="H283" s="5">
        <f t="shared" ca="1" si="48"/>
        <v>520</v>
      </c>
      <c r="I283" s="63">
        <f t="shared" ca="1" si="54"/>
        <v>0</v>
      </c>
      <c r="J283" s="5">
        <f t="shared" ca="1" si="49"/>
        <v>0</v>
      </c>
      <c r="K283" s="5">
        <f t="shared" ca="1" si="50"/>
        <v>0</v>
      </c>
      <c r="L283" s="5">
        <f t="shared" ca="1" si="51"/>
        <v>0</v>
      </c>
      <c r="M283" s="5">
        <f t="shared" ca="1" si="52"/>
        <v>0</v>
      </c>
      <c r="N283" s="6">
        <f t="shared" ca="1" si="46"/>
        <v>14.246575342465754</v>
      </c>
      <c r="O283" s="5">
        <f t="shared" si="53"/>
        <v>0</v>
      </c>
    </row>
    <row r="284" spans="2:15" ht="13.2" customHeight="1">
      <c r="B284" s="21"/>
      <c r="E284" s="5">
        <v>280</v>
      </c>
      <c r="F284" s="5">
        <f t="shared" ca="1" si="47"/>
        <v>110</v>
      </c>
      <c r="G284" s="5">
        <f t="shared" ca="1" si="55"/>
        <v>520</v>
      </c>
      <c r="H284" s="5">
        <f t="shared" ca="1" si="48"/>
        <v>410</v>
      </c>
      <c r="I284" s="63">
        <f t="shared" ca="1" si="54"/>
        <v>0</v>
      </c>
      <c r="J284" s="5">
        <f t="shared" ca="1" si="49"/>
        <v>0</v>
      </c>
      <c r="K284" s="5">
        <f t="shared" ca="1" si="50"/>
        <v>0</v>
      </c>
      <c r="L284" s="5">
        <f t="shared" ca="1" si="51"/>
        <v>0</v>
      </c>
      <c r="M284" s="5">
        <f t="shared" ca="1" si="52"/>
        <v>0</v>
      </c>
      <c r="N284" s="6">
        <f t="shared" ca="1" si="46"/>
        <v>11.232876712328766</v>
      </c>
      <c r="O284" s="5">
        <f t="shared" si="53"/>
        <v>0</v>
      </c>
    </row>
    <row r="285" spans="2:15" ht="13.2" customHeight="1">
      <c r="B285" s="21"/>
      <c r="E285" s="5">
        <v>281</v>
      </c>
      <c r="F285" s="5">
        <f t="shared" ca="1" si="47"/>
        <v>90</v>
      </c>
      <c r="G285" s="5">
        <f t="shared" ca="1" si="55"/>
        <v>410</v>
      </c>
      <c r="H285" s="5">
        <f t="shared" ca="1" si="48"/>
        <v>320</v>
      </c>
      <c r="I285" s="63">
        <f t="shared" ca="1" si="54"/>
        <v>0</v>
      </c>
      <c r="J285" s="5">
        <f t="shared" ca="1" si="49"/>
        <v>0</v>
      </c>
      <c r="K285" s="5">
        <f t="shared" ca="1" si="50"/>
        <v>0</v>
      </c>
      <c r="L285" s="5">
        <f t="shared" ca="1" si="51"/>
        <v>0</v>
      </c>
      <c r="M285" s="5">
        <f t="shared" ca="1" si="52"/>
        <v>0</v>
      </c>
      <c r="N285" s="6">
        <f t="shared" ca="1" si="46"/>
        <v>8.7671232876712324</v>
      </c>
      <c r="O285" s="5">
        <f t="shared" si="53"/>
        <v>0</v>
      </c>
    </row>
    <row r="286" spans="2:15" ht="13.2" customHeight="1">
      <c r="B286" s="21"/>
      <c r="E286" s="5">
        <v>282</v>
      </c>
      <c r="F286" s="5">
        <f t="shared" ca="1" si="47"/>
        <v>100</v>
      </c>
      <c r="G286" s="5">
        <f t="shared" ca="1" si="55"/>
        <v>320</v>
      </c>
      <c r="H286" s="5">
        <f t="shared" ca="1" si="48"/>
        <v>220</v>
      </c>
      <c r="I286" s="63">
        <f t="shared" ca="1" si="54"/>
        <v>0</v>
      </c>
      <c r="J286" s="5">
        <f t="shared" ca="1" si="49"/>
        <v>0</v>
      </c>
      <c r="K286" s="5">
        <f t="shared" ca="1" si="50"/>
        <v>0</v>
      </c>
      <c r="L286" s="5">
        <f t="shared" ca="1" si="51"/>
        <v>0</v>
      </c>
      <c r="M286" s="5">
        <f t="shared" ca="1" si="52"/>
        <v>0</v>
      </c>
      <c r="N286" s="6">
        <f t="shared" ca="1" si="46"/>
        <v>6.0273972602739718</v>
      </c>
      <c r="O286" s="5">
        <f t="shared" si="53"/>
        <v>0</v>
      </c>
    </row>
    <row r="287" spans="2:15" ht="13.2" customHeight="1">
      <c r="B287" s="21"/>
      <c r="E287" s="5">
        <v>283</v>
      </c>
      <c r="F287" s="5">
        <f t="shared" ca="1" si="47"/>
        <v>80</v>
      </c>
      <c r="G287" s="5">
        <f t="shared" ca="1" si="55"/>
        <v>220</v>
      </c>
      <c r="H287" s="5">
        <f t="shared" ca="1" si="48"/>
        <v>140</v>
      </c>
      <c r="I287" s="63">
        <f t="shared" ca="1" si="54"/>
        <v>0</v>
      </c>
      <c r="J287" s="5">
        <f t="shared" ca="1" si="49"/>
        <v>0</v>
      </c>
      <c r="K287" s="5">
        <f t="shared" ca="1" si="50"/>
        <v>0</v>
      </c>
      <c r="L287" s="5">
        <f t="shared" ca="1" si="51"/>
        <v>0</v>
      </c>
      <c r="M287" s="5">
        <f t="shared" ca="1" si="52"/>
        <v>0</v>
      </c>
      <c r="N287" s="6">
        <f t="shared" ca="1" si="46"/>
        <v>3.8356164383561642</v>
      </c>
      <c r="O287" s="5">
        <f t="shared" si="53"/>
        <v>0</v>
      </c>
    </row>
    <row r="288" spans="2:15" ht="13.2" customHeight="1">
      <c r="B288" s="21"/>
      <c r="E288" s="5">
        <v>284</v>
      </c>
      <c r="F288" s="5">
        <f t="shared" ca="1" si="47"/>
        <v>100</v>
      </c>
      <c r="G288" s="5">
        <f t="shared" ca="1" si="55"/>
        <v>140</v>
      </c>
      <c r="H288" s="5">
        <f t="shared" ca="1" si="48"/>
        <v>40</v>
      </c>
      <c r="I288" s="63">
        <f t="shared" ca="1" si="54"/>
        <v>1</v>
      </c>
      <c r="J288" s="5">
        <f t="shared" ca="1" si="49"/>
        <v>1</v>
      </c>
      <c r="K288" s="5">
        <f t="shared" ca="1" si="50"/>
        <v>0</v>
      </c>
      <c r="L288" s="5">
        <f t="shared" ca="1" si="51"/>
        <v>0</v>
      </c>
      <c r="M288" s="5">
        <f t="shared" ca="1" si="52"/>
        <v>200</v>
      </c>
      <c r="N288" s="6">
        <f t="shared" ca="1" si="46"/>
        <v>1.095890410958904</v>
      </c>
      <c r="O288" s="5">
        <f t="shared" si="53"/>
        <v>0</v>
      </c>
    </row>
    <row r="289" spans="2:15" ht="13.2" customHeight="1">
      <c r="B289" s="21"/>
      <c r="E289" s="5">
        <v>285</v>
      </c>
      <c r="F289" s="5">
        <f t="shared" ca="1" si="47"/>
        <v>80</v>
      </c>
      <c r="G289" s="5">
        <f t="shared" ca="1" si="55"/>
        <v>40</v>
      </c>
      <c r="H289" s="5">
        <f t="shared" ca="1" si="48"/>
        <v>0</v>
      </c>
      <c r="I289" s="63">
        <f t="shared" ca="1" si="54"/>
        <v>0</v>
      </c>
      <c r="J289" s="5">
        <f t="shared" ca="1" si="49"/>
        <v>0</v>
      </c>
      <c r="K289" s="5">
        <f t="shared" ca="1" si="50"/>
        <v>40</v>
      </c>
      <c r="L289" s="5">
        <f t="shared" ca="1" si="51"/>
        <v>2000</v>
      </c>
      <c r="M289" s="5">
        <f t="shared" ca="1" si="52"/>
        <v>0</v>
      </c>
      <c r="N289" s="6">
        <f t="shared" ca="1" si="46"/>
        <v>0</v>
      </c>
      <c r="O289" s="5">
        <f t="shared" si="53"/>
        <v>0</v>
      </c>
    </row>
    <row r="290" spans="2:15" ht="13.2" customHeight="1">
      <c r="B290" s="21"/>
      <c r="E290" s="5">
        <v>286</v>
      </c>
      <c r="F290" s="5">
        <f t="shared" ca="1" si="47"/>
        <v>120</v>
      </c>
      <c r="G290" s="5">
        <f t="shared" ca="1" si="55"/>
        <v>1000</v>
      </c>
      <c r="H290" s="5">
        <f t="shared" ca="1" si="48"/>
        <v>880</v>
      </c>
      <c r="I290" s="63">
        <f t="shared" ca="1" si="54"/>
        <v>0</v>
      </c>
      <c r="J290" s="5">
        <f t="shared" ca="1" si="49"/>
        <v>0</v>
      </c>
      <c r="K290" s="5">
        <f t="shared" ca="1" si="50"/>
        <v>0</v>
      </c>
      <c r="L290" s="5">
        <f t="shared" ca="1" si="51"/>
        <v>0</v>
      </c>
      <c r="M290" s="5">
        <f t="shared" ca="1" si="52"/>
        <v>0</v>
      </c>
      <c r="N290" s="6">
        <f t="shared" ca="1" si="46"/>
        <v>24.109589041095887</v>
      </c>
      <c r="O290" s="5">
        <f t="shared" si="53"/>
        <v>0</v>
      </c>
    </row>
    <row r="291" spans="2:15" ht="13.2" customHeight="1">
      <c r="B291" s="21"/>
      <c r="E291" s="5">
        <v>287</v>
      </c>
      <c r="F291" s="5">
        <f t="shared" ca="1" si="47"/>
        <v>120</v>
      </c>
      <c r="G291" s="5">
        <f t="shared" ca="1" si="55"/>
        <v>880</v>
      </c>
      <c r="H291" s="5">
        <f t="shared" ca="1" si="48"/>
        <v>760</v>
      </c>
      <c r="I291" s="63">
        <f t="shared" ca="1" si="54"/>
        <v>0</v>
      </c>
      <c r="J291" s="5">
        <f t="shared" ca="1" si="49"/>
        <v>0</v>
      </c>
      <c r="K291" s="5">
        <f t="shared" ca="1" si="50"/>
        <v>0</v>
      </c>
      <c r="L291" s="5">
        <f t="shared" ca="1" si="51"/>
        <v>0</v>
      </c>
      <c r="M291" s="5">
        <f t="shared" ca="1" si="52"/>
        <v>0</v>
      </c>
      <c r="N291" s="6">
        <f t="shared" ca="1" si="46"/>
        <v>20.821917808219176</v>
      </c>
      <c r="O291" s="5">
        <f t="shared" si="53"/>
        <v>0</v>
      </c>
    </row>
    <row r="292" spans="2:15" ht="13.2" customHeight="1">
      <c r="B292" s="21"/>
      <c r="E292" s="5">
        <v>288</v>
      </c>
      <c r="F292" s="5">
        <f t="shared" ca="1" si="47"/>
        <v>120</v>
      </c>
      <c r="G292" s="5">
        <f t="shared" ca="1" si="55"/>
        <v>760</v>
      </c>
      <c r="H292" s="5">
        <f t="shared" ca="1" si="48"/>
        <v>640</v>
      </c>
      <c r="I292" s="63">
        <f t="shared" ca="1" si="54"/>
        <v>0</v>
      </c>
      <c r="J292" s="5">
        <f t="shared" ca="1" si="49"/>
        <v>0</v>
      </c>
      <c r="K292" s="5">
        <f t="shared" ca="1" si="50"/>
        <v>0</v>
      </c>
      <c r="L292" s="5">
        <f t="shared" ca="1" si="51"/>
        <v>0</v>
      </c>
      <c r="M292" s="5">
        <f t="shared" ca="1" si="52"/>
        <v>0</v>
      </c>
      <c r="N292" s="6">
        <f t="shared" ca="1" si="46"/>
        <v>17.534246575342465</v>
      </c>
      <c r="O292" s="5">
        <f t="shared" si="53"/>
        <v>0</v>
      </c>
    </row>
    <row r="293" spans="2:15" ht="13.2" customHeight="1">
      <c r="B293" s="21"/>
      <c r="E293" s="5">
        <v>289</v>
      </c>
      <c r="F293" s="5">
        <f t="shared" ca="1" si="47"/>
        <v>110</v>
      </c>
      <c r="G293" s="5">
        <f t="shared" ca="1" si="55"/>
        <v>640</v>
      </c>
      <c r="H293" s="5">
        <f t="shared" ca="1" si="48"/>
        <v>530</v>
      </c>
      <c r="I293" s="63">
        <f t="shared" ca="1" si="54"/>
        <v>0</v>
      </c>
      <c r="J293" s="5">
        <f t="shared" ca="1" si="49"/>
        <v>0</v>
      </c>
      <c r="K293" s="5">
        <f t="shared" ca="1" si="50"/>
        <v>0</v>
      </c>
      <c r="L293" s="5">
        <f t="shared" ca="1" si="51"/>
        <v>0</v>
      </c>
      <c r="M293" s="5">
        <f t="shared" ca="1" si="52"/>
        <v>0</v>
      </c>
      <c r="N293" s="6">
        <f t="shared" ca="1" si="46"/>
        <v>14.520547945205479</v>
      </c>
      <c r="O293" s="5">
        <f t="shared" si="53"/>
        <v>0</v>
      </c>
    </row>
    <row r="294" spans="2:15" ht="13.2" customHeight="1">
      <c r="B294" s="21"/>
      <c r="E294" s="5">
        <v>290</v>
      </c>
      <c r="F294" s="5">
        <f t="shared" ca="1" si="47"/>
        <v>120</v>
      </c>
      <c r="G294" s="5">
        <f t="shared" ca="1" si="55"/>
        <v>530</v>
      </c>
      <c r="H294" s="5">
        <f t="shared" ca="1" si="48"/>
        <v>410</v>
      </c>
      <c r="I294" s="63">
        <f t="shared" ca="1" si="54"/>
        <v>0</v>
      </c>
      <c r="J294" s="5">
        <f t="shared" ca="1" si="49"/>
        <v>0</v>
      </c>
      <c r="K294" s="5">
        <f t="shared" ca="1" si="50"/>
        <v>0</v>
      </c>
      <c r="L294" s="5">
        <f t="shared" ca="1" si="51"/>
        <v>0</v>
      </c>
      <c r="M294" s="5">
        <f t="shared" ca="1" si="52"/>
        <v>0</v>
      </c>
      <c r="N294" s="6">
        <f t="shared" ca="1" si="46"/>
        <v>11.232876712328766</v>
      </c>
      <c r="O294" s="5">
        <f t="shared" si="53"/>
        <v>0</v>
      </c>
    </row>
    <row r="295" spans="2:15" ht="13.2" customHeight="1">
      <c r="B295" s="21"/>
      <c r="E295" s="5">
        <v>291</v>
      </c>
      <c r="F295" s="5">
        <f t="shared" ca="1" si="47"/>
        <v>120</v>
      </c>
      <c r="G295" s="5">
        <f t="shared" ca="1" si="55"/>
        <v>410</v>
      </c>
      <c r="H295" s="5">
        <f t="shared" ca="1" si="48"/>
        <v>290</v>
      </c>
      <c r="I295" s="63">
        <f t="shared" ca="1" si="54"/>
        <v>0</v>
      </c>
      <c r="J295" s="5">
        <f t="shared" ca="1" si="49"/>
        <v>0</v>
      </c>
      <c r="K295" s="5">
        <f t="shared" ca="1" si="50"/>
        <v>0</v>
      </c>
      <c r="L295" s="5">
        <f t="shared" ca="1" si="51"/>
        <v>0</v>
      </c>
      <c r="M295" s="5">
        <f t="shared" ca="1" si="52"/>
        <v>0</v>
      </c>
      <c r="N295" s="6">
        <f t="shared" ca="1" si="46"/>
        <v>7.9452054794520546</v>
      </c>
      <c r="O295" s="5">
        <f t="shared" si="53"/>
        <v>0</v>
      </c>
    </row>
    <row r="296" spans="2:15" ht="13.2" customHeight="1">
      <c r="B296" s="21"/>
      <c r="E296" s="5">
        <v>292</v>
      </c>
      <c r="F296" s="5">
        <f t="shared" ca="1" si="47"/>
        <v>90</v>
      </c>
      <c r="G296" s="5">
        <f t="shared" ca="1" si="55"/>
        <v>290</v>
      </c>
      <c r="H296" s="5">
        <f t="shared" ca="1" si="48"/>
        <v>200</v>
      </c>
      <c r="I296" s="63">
        <f t="shared" ca="1" si="54"/>
        <v>0</v>
      </c>
      <c r="J296" s="5">
        <f t="shared" ca="1" si="49"/>
        <v>0</v>
      </c>
      <c r="K296" s="5">
        <f t="shared" ca="1" si="50"/>
        <v>0</v>
      </c>
      <c r="L296" s="5">
        <f t="shared" ca="1" si="51"/>
        <v>0</v>
      </c>
      <c r="M296" s="5">
        <f t="shared" ca="1" si="52"/>
        <v>0</v>
      </c>
      <c r="N296" s="6">
        <f t="shared" ca="1" si="46"/>
        <v>5.4794520547945202</v>
      </c>
      <c r="O296" s="5">
        <f t="shared" si="53"/>
        <v>0</v>
      </c>
    </row>
    <row r="297" spans="2:15" ht="13.2" customHeight="1">
      <c r="B297" s="21"/>
      <c r="E297" s="5">
        <v>293</v>
      </c>
      <c r="F297" s="5">
        <f t="shared" ca="1" si="47"/>
        <v>90</v>
      </c>
      <c r="G297" s="5">
        <f t="shared" ca="1" si="55"/>
        <v>200</v>
      </c>
      <c r="H297" s="5">
        <f t="shared" ca="1" si="48"/>
        <v>110</v>
      </c>
      <c r="I297" s="63">
        <f t="shared" ca="1" si="54"/>
        <v>0</v>
      </c>
      <c r="J297" s="5">
        <f t="shared" ca="1" si="49"/>
        <v>0</v>
      </c>
      <c r="K297" s="5">
        <f t="shared" ca="1" si="50"/>
        <v>0</v>
      </c>
      <c r="L297" s="5">
        <f t="shared" ca="1" si="51"/>
        <v>0</v>
      </c>
      <c r="M297" s="5">
        <f t="shared" ca="1" si="52"/>
        <v>0</v>
      </c>
      <c r="N297" s="6">
        <f t="shared" ca="1" si="46"/>
        <v>3.0136986301369859</v>
      </c>
      <c r="O297" s="5">
        <f t="shared" si="53"/>
        <v>0</v>
      </c>
    </row>
    <row r="298" spans="2:15" ht="13.2" customHeight="1">
      <c r="B298" s="21"/>
      <c r="E298" s="5">
        <v>294</v>
      </c>
      <c r="F298" s="5">
        <f t="shared" ca="1" si="47"/>
        <v>110</v>
      </c>
      <c r="G298" s="5">
        <f t="shared" ca="1" si="55"/>
        <v>110</v>
      </c>
      <c r="H298" s="5">
        <f t="shared" ca="1" si="48"/>
        <v>0</v>
      </c>
      <c r="I298" s="63">
        <f t="shared" ca="1" si="54"/>
        <v>1</v>
      </c>
      <c r="J298" s="5">
        <f t="shared" ca="1" si="49"/>
        <v>0</v>
      </c>
      <c r="K298" s="5">
        <f t="shared" ca="1" si="50"/>
        <v>0</v>
      </c>
      <c r="L298" s="5">
        <f t="shared" ca="1" si="51"/>
        <v>0</v>
      </c>
      <c r="M298" s="5">
        <f t="shared" ca="1" si="52"/>
        <v>200</v>
      </c>
      <c r="N298" s="6">
        <f t="shared" ca="1" si="46"/>
        <v>0</v>
      </c>
      <c r="O298" s="5">
        <f t="shared" si="53"/>
        <v>0</v>
      </c>
    </row>
    <row r="299" spans="2:15" ht="13.2" customHeight="1">
      <c r="B299" s="21"/>
      <c r="E299" s="5">
        <v>295</v>
      </c>
      <c r="F299" s="5">
        <f t="shared" ca="1" si="47"/>
        <v>100</v>
      </c>
      <c r="G299" s="5">
        <f t="shared" ca="1" si="55"/>
        <v>1000</v>
      </c>
      <c r="H299" s="5">
        <f t="shared" ca="1" si="48"/>
        <v>900</v>
      </c>
      <c r="I299" s="63">
        <f t="shared" ca="1" si="54"/>
        <v>0</v>
      </c>
      <c r="J299" s="5">
        <f t="shared" ca="1" si="49"/>
        <v>0</v>
      </c>
      <c r="K299" s="5">
        <f t="shared" ca="1" si="50"/>
        <v>0</v>
      </c>
      <c r="L299" s="5">
        <f t="shared" ca="1" si="51"/>
        <v>0</v>
      </c>
      <c r="M299" s="5">
        <f t="shared" ca="1" si="52"/>
        <v>0</v>
      </c>
      <c r="N299" s="6">
        <f t="shared" ca="1" si="46"/>
        <v>24.657534246575342</v>
      </c>
      <c r="O299" s="5">
        <f t="shared" si="53"/>
        <v>0</v>
      </c>
    </row>
    <row r="300" spans="2:15" ht="13.2" customHeight="1">
      <c r="B300" s="21"/>
      <c r="E300" s="5">
        <v>296</v>
      </c>
      <c r="F300" s="5">
        <f t="shared" ca="1" si="47"/>
        <v>90</v>
      </c>
      <c r="G300" s="5">
        <f t="shared" ca="1" si="55"/>
        <v>900</v>
      </c>
      <c r="H300" s="5">
        <f t="shared" ca="1" si="48"/>
        <v>810</v>
      </c>
      <c r="I300" s="63">
        <f t="shared" ca="1" si="54"/>
        <v>0</v>
      </c>
      <c r="J300" s="5">
        <f t="shared" ca="1" si="49"/>
        <v>0</v>
      </c>
      <c r="K300" s="5">
        <f t="shared" ca="1" si="50"/>
        <v>0</v>
      </c>
      <c r="L300" s="5">
        <f t="shared" ca="1" si="51"/>
        <v>0</v>
      </c>
      <c r="M300" s="5">
        <f t="shared" ca="1" si="52"/>
        <v>0</v>
      </c>
      <c r="N300" s="6">
        <f t="shared" ca="1" si="46"/>
        <v>22.191780821917806</v>
      </c>
      <c r="O300" s="5">
        <f t="shared" si="53"/>
        <v>0</v>
      </c>
    </row>
    <row r="301" spans="2:15" ht="13.2" customHeight="1">
      <c r="B301" s="21"/>
      <c r="E301" s="5">
        <v>297</v>
      </c>
      <c r="F301" s="5">
        <f t="shared" ca="1" si="47"/>
        <v>110</v>
      </c>
      <c r="G301" s="5">
        <f t="shared" ca="1" si="55"/>
        <v>810</v>
      </c>
      <c r="H301" s="5">
        <f t="shared" ca="1" si="48"/>
        <v>700</v>
      </c>
      <c r="I301" s="63">
        <f t="shared" ca="1" si="54"/>
        <v>0</v>
      </c>
      <c r="J301" s="5">
        <f t="shared" ca="1" si="49"/>
        <v>0</v>
      </c>
      <c r="K301" s="5">
        <f t="shared" ca="1" si="50"/>
        <v>0</v>
      </c>
      <c r="L301" s="5">
        <f t="shared" ca="1" si="51"/>
        <v>0</v>
      </c>
      <c r="M301" s="5">
        <f t="shared" ca="1" si="52"/>
        <v>0</v>
      </c>
      <c r="N301" s="6">
        <f t="shared" ca="1" si="46"/>
        <v>19.17808219178082</v>
      </c>
      <c r="O301" s="5">
        <f t="shared" si="53"/>
        <v>0</v>
      </c>
    </row>
    <row r="302" spans="2:15" ht="13.2" customHeight="1">
      <c r="B302" s="21"/>
      <c r="E302" s="5">
        <v>298</v>
      </c>
      <c r="F302" s="5">
        <f t="shared" ca="1" si="47"/>
        <v>90</v>
      </c>
      <c r="G302" s="5">
        <f t="shared" ca="1" si="55"/>
        <v>700</v>
      </c>
      <c r="H302" s="5">
        <f t="shared" ca="1" si="48"/>
        <v>610</v>
      </c>
      <c r="I302" s="63">
        <f t="shared" ca="1" si="54"/>
        <v>0</v>
      </c>
      <c r="J302" s="5">
        <f t="shared" ca="1" si="49"/>
        <v>0</v>
      </c>
      <c r="K302" s="5">
        <f t="shared" ca="1" si="50"/>
        <v>0</v>
      </c>
      <c r="L302" s="5">
        <f t="shared" ca="1" si="51"/>
        <v>0</v>
      </c>
      <c r="M302" s="5">
        <f t="shared" ca="1" si="52"/>
        <v>0</v>
      </c>
      <c r="N302" s="6">
        <f t="shared" ca="1" si="46"/>
        <v>16.712328767123285</v>
      </c>
      <c r="O302" s="5">
        <f t="shared" si="53"/>
        <v>0</v>
      </c>
    </row>
    <row r="303" spans="2:15" ht="13.2" customHeight="1">
      <c r="B303" s="21"/>
      <c r="E303" s="5">
        <v>299</v>
      </c>
      <c r="F303" s="5">
        <f t="shared" ca="1" si="47"/>
        <v>110</v>
      </c>
      <c r="G303" s="5">
        <f t="shared" ca="1" si="55"/>
        <v>610</v>
      </c>
      <c r="H303" s="5">
        <f t="shared" ca="1" si="48"/>
        <v>500</v>
      </c>
      <c r="I303" s="63">
        <f t="shared" ca="1" si="54"/>
        <v>0</v>
      </c>
      <c r="J303" s="5">
        <f t="shared" ca="1" si="49"/>
        <v>0</v>
      </c>
      <c r="K303" s="5">
        <f t="shared" ca="1" si="50"/>
        <v>0</v>
      </c>
      <c r="L303" s="5">
        <f t="shared" ca="1" si="51"/>
        <v>0</v>
      </c>
      <c r="M303" s="5">
        <f t="shared" ca="1" si="52"/>
        <v>0</v>
      </c>
      <c r="N303" s="6">
        <f t="shared" ca="1" si="46"/>
        <v>13.698630136986301</v>
      </c>
      <c r="O303" s="5">
        <f t="shared" si="53"/>
        <v>0</v>
      </c>
    </row>
    <row r="304" spans="2:15" ht="13.2" customHeight="1">
      <c r="B304" s="21"/>
      <c r="E304" s="5">
        <v>300</v>
      </c>
      <c r="F304" s="5">
        <f t="shared" ca="1" si="47"/>
        <v>100</v>
      </c>
      <c r="G304" s="5">
        <f t="shared" ca="1" si="55"/>
        <v>500</v>
      </c>
      <c r="H304" s="5">
        <f t="shared" ca="1" si="48"/>
        <v>400</v>
      </c>
      <c r="I304" s="63">
        <f t="shared" ca="1" si="54"/>
        <v>0</v>
      </c>
      <c r="J304" s="5">
        <f t="shared" ca="1" si="49"/>
        <v>0</v>
      </c>
      <c r="K304" s="5">
        <f t="shared" ca="1" si="50"/>
        <v>0</v>
      </c>
      <c r="L304" s="5">
        <f t="shared" ca="1" si="51"/>
        <v>0</v>
      </c>
      <c r="M304" s="5">
        <f t="shared" ca="1" si="52"/>
        <v>0</v>
      </c>
      <c r="N304" s="6">
        <f t="shared" ca="1" si="46"/>
        <v>10.95890410958904</v>
      </c>
      <c r="O304" s="5">
        <f t="shared" si="53"/>
        <v>0</v>
      </c>
    </row>
    <row r="305" spans="2:15" ht="13.2" customHeight="1">
      <c r="B305" s="21"/>
      <c r="E305" s="5">
        <v>301</v>
      </c>
      <c r="F305" s="5">
        <f t="shared" ca="1" si="47"/>
        <v>100</v>
      </c>
      <c r="G305" s="5">
        <f t="shared" ca="1" si="55"/>
        <v>400</v>
      </c>
      <c r="H305" s="5">
        <f t="shared" ca="1" si="48"/>
        <v>300</v>
      </c>
      <c r="I305" s="63">
        <f t="shared" ca="1" si="54"/>
        <v>0</v>
      </c>
      <c r="J305" s="5">
        <f t="shared" ca="1" si="49"/>
        <v>0</v>
      </c>
      <c r="K305" s="5">
        <f t="shared" ca="1" si="50"/>
        <v>0</v>
      </c>
      <c r="L305" s="5">
        <f t="shared" ca="1" si="51"/>
        <v>0</v>
      </c>
      <c r="M305" s="5">
        <f t="shared" ca="1" si="52"/>
        <v>0</v>
      </c>
      <c r="N305" s="6">
        <f t="shared" ca="1" si="46"/>
        <v>8.2191780821917799</v>
      </c>
      <c r="O305" s="5">
        <f t="shared" si="53"/>
        <v>0</v>
      </c>
    </row>
    <row r="306" spans="2:15" ht="13.2" customHeight="1">
      <c r="B306" s="21"/>
      <c r="E306" s="5">
        <v>302</v>
      </c>
      <c r="F306" s="5">
        <f t="shared" ca="1" si="47"/>
        <v>80</v>
      </c>
      <c r="G306" s="5">
        <f t="shared" ca="1" si="55"/>
        <v>300</v>
      </c>
      <c r="H306" s="5">
        <f t="shared" ca="1" si="48"/>
        <v>220</v>
      </c>
      <c r="I306" s="63">
        <f t="shared" ca="1" si="54"/>
        <v>0</v>
      </c>
      <c r="J306" s="5">
        <f t="shared" ca="1" si="49"/>
        <v>0</v>
      </c>
      <c r="K306" s="5">
        <f t="shared" ca="1" si="50"/>
        <v>0</v>
      </c>
      <c r="L306" s="5">
        <f t="shared" ca="1" si="51"/>
        <v>0</v>
      </c>
      <c r="M306" s="5">
        <f t="shared" ca="1" si="52"/>
        <v>0</v>
      </c>
      <c r="N306" s="6">
        <f t="shared" ca="1" si="46"/>
        <v>6.0273972602739718</v>
      </c>
      <c r="O306" s="5">
        <f t="shared" si="53"/>
        <v>0</v>
      </c>
    </row>
    <row r="307" spans="2:15" ht="13.2" customHeight="1">
      <c r="B307" s="21"/>
      <c r="E307" s="5">
        <v>303</v>
      </c>
      <c r="F307" s="5">
        <f t="shared" ca="1" si="47"/>
        <v>110</v>
      </c>
      <c r="G307" s="5">
        <f t="shared" ca="1" si="55"/>
        <v>220</v>
      </c>
      <c r="H307" s="5">
        <f t="shared" ca="1" si="48"/>
        <v>110</v>
      </c>
      <c r="I307" s="63">
        <f t="shared" ca="1" si="54"/>
        <v>0</v>
      </c>
      <c r="J307" s="5">
        <f t="shared" ca="1" si="49"/>
        <v>0</v>
      </c>
      <c r="K307" s="5">
        <f t="shared" ca="1" si="50"/>
        <v>0</v>
      </c>
      <c r="L307" s="5">
        <f t="shared" ca="1" si="51"/>
        <v>0</v>
      </c>
      <c r="M307" s="5">
        <f t="shared" ca="1" si="52"/>
        <v>0</v>
      </c>
      <c r="N307" s="6">
        <f t="shared" ca="1" si="46"/>
        <v>3.0136986301369859</v>
      </c>
      <c r="O307" s="5">
        <f t="shared" si="53"/>
        <v>0</v>
      </c>
    </row>
    <row r="308" spans="2:15" ht="13.2" customHeight="1">
      <c r="B308" s="21"/>
      <c r="E308" s="5">
        <v>304</v>
      </c>
      <c r="F308" s="5">
        <f t="shared" ca="1" si="47"/>
        <v>120</v>
      </c>
      <c r="G308" s="5">
        <f t="shared" ca="1" si="55"/>
        <v>110</v>
      </c>
      <c r="H308" s="5">
        <f t="shared" ca="1" si="48"/>
        <v>0</v>
      </c>
      <c r="I308" s="63">
        <f t="shared" ca="1" si="54"/>
        <v>1</v>
      </c>
      <c r="J308" s="5">
        <f t="shared" ca="1" si="49"/>
        <v>0</v>
      </c>
      <c r="K308" s="5">
        <f t="shared" ca="1" si="50"/>
        <v>10</v>
      </c>
      <c r="L308" s="5">
        <f t="shared" ca="1" si="51"/>
        <v>500</v>
      </c>
      <c r="M308" s="5">
        <f t="shared" ca="1" si="52"/>
        <v>200</v>
      </c>
      <c r="N308" s="6">
        <f t="shared" ca="1" si="46"/>
        <v>0</v>
      </c>
      <c r="O308" s="5">
        <f t="shared" si="53"/>
        <v>0</v>
      </c>
    </row>
    <row r="309" spans="2:15" ht="13.2" customHeight="1">
      <c r="B309" s="21"/>
      <c r="E309" s="5">
        <v>305</v>
      </c>
      <c r="F309" s="5">
        <f t="shared" ca="1" si="47"/>
        <v>80</v>
      </c>
      <c r="G309" s="5">
        <f t="shared" ca="1" si="55"/>
        <v>1000</v>
      </c>
      <c r="H309" s="5">
        <f t="shared" ca="1" si="48"/>
        <v>920</v>
      </c>
      <c r="I309" s="63">
        <f t="shared" ca="1" si="54"/>
        <v>0</v>
      </c>
      <c r="J309" s="5">
        <f t="shared" ca="1" si="49"/>
        <v>0</v>
      </c>
      <c r="K309" s="5">
        <f t="shared" ca="1" si="50"/>
        <v>0</v>
      </c>
      <c r="L309" s="5">
        <f t="shared" ca="1" si="51"/>
        <v>0</v>
      </c>
      <c r="M309" s="5">
        <f t="shared" ca="1" si="52"/>
        <v>0</v>
      </c>
      <c r="N309" s="6">
        <f t="shared" ca="1" si="46"/>
        <v>25.205479452054792</v>
      </c>
      <c r="O309" s="5">
        <f t="shared" si="53"/>
        <v>0</v>
      </c>
    </row>
    <row r="310" spans="2:15" ht="13.2" customHeight="1">
      <c r="B310" s="21"/>
      <c r="E310" s="5">
        <v>306</v>
      </c>
      <c r="F310" s="5">
        <f t="shared" ca="1" si="47"/>
        <v>110</v>
      </c>
      <c r="G310" s="5">
        <f t="shared" ca="1" si="55"/>
        <v>920</v>
      </c>
      <c r="H310" s="5">
        <f t="shared" ca="1" si="48"/>
        <v>810</v>
      </c>
      <c r="I310" s="63">
        <f t="shared" ca="1" si="54"/>
        <v>0</v>
      </c>
      <c r="J310" s="5">
        <f t="shared" ca="1" si="49"/>
        <v>0</v>
      </c>
      <c r="K310" s="5">
        <f t="shared" ca="1" si="50"/>
        <v>0</v>
      </c>
      <c r="L310" s="5">
        <f t="shared" ca="1" si="51"/>
        <v>0</v>
      </c>
      <c r="M310" s="5">
        <f t="shared" ca="1" si="52"/>
        <v>0</v>
      </c>
      <c r="N310" s="6">
        <f t="shared" ca="1" si="46"/>
        <v>22.191780821917806</v>
      </c>
      <c r="O310" s="5">
        <f t="shared" si="53"/>
        <v>0</v>
      </c>
    </row>
    <row r="311" spans="2:15" ht="13.2" customHeight="1">
      <c r="B311" s="21"/>
      <c r="E311" s="5">
        <v>307</v>
      </c>
      <c r="F311" s="5">
        <f t="shared" ca="1" si="47"/>
        <v>100</v>
      </c>
      <c r="G311" s="5">
        <f t="shared" ca="1" si="55"/>
        <v>810</v>
      </c>
      <c r="H311" s="5">
        <f t="shared" ca="1" si="48"/>
        <v>710</v>
      </c>
      <c r="I311" s="63">
        <f t="shared" ca="1" si="54"/>
        <v>0</v>
      </c>
      <c r="J311" s="5">
        <f t="shared" ca="1" si="49"/>
        <v>0</v>
      </c>
      <c r="K311" s="5">
        <f t="shared" ca="1" si="50"/>
        <v>0</v>
      </c>
      <c r="L311" s="5">
        <f t="shared" ca="1" si="51"/>
        <v>0</v>
      </c>
      <c r="M311" s="5">
        <f t="shared" ca="1" si="52"/>
        <v>0</v>
      </c>
      <c r="N311" s="6">
        <f t="shared" ca="1" si="46"/>
        <v>19.452054794520546</v>
      </c>
      <c r="O311" s="5">
        <f t="shared" si="53"/>
        <v>0</v>
      </c>
    </row>
    <row r="312" spans="2:15" ht="13.2" customHeight="1">
      <c r="B312" s="21"/>
      <c r="E312" s="5">
        <v>308</v>
      </c>
      <c r="F312" s="5">
        <f t="shared" ca="1" si="47"/>
        <v>100</v>
      </c>
      <c r="G312" s="5">
        <f t="shared" ca="1" si="55"/>
        <v>710</v>
      </c>
      <c r="H312" s="5">
        <f t="shared" ca="1" si="48"/>
        <v>610</v>
      </c>
      <c r="I312" s="63">
        <f t="shared" ca="1" si="54"/>
        <v>0</v>
      </c>
      <c r="J312" s="5">
        <f t="shared" ca="1" si="49"/>
        <v>0</v>
      </c>
      <c r="K312" s="5">
        <f t="shared" ca="1" si="50"/>
        <v>0</v>
      </c>
      <c r="L312" s="5">
        <f t="shared" ca="1" si="51"/>
        <v>0</v>
      </c>
      <c r="M312" s="5">
        <f t="shared" ca="1" si="52"/>
        <v>0</v>
      </c>
      <c r="N312" s="6">
        <f t="shared" ca="1" si="46"/>
        <v>16.712328767123285</v>
      </c>
      <c r="O312" s="5">
        <f t="shared" si="53"/>
        <v>0</v>
      </c>
    </row>
    <row r="313" spans="2:15" ht="13.2" customHeight="1">
      <c r="B313" s="21"/>
      <c r="E313" s="5">
        <v>309</v>
      </c>
      <c r="F313" s="5">
        <f t="shared" ca="1" si="47"/>
        <v>110</v>
      </c>
      <c r="G313" s="5">
        <f t="shared" ca="1" si="55"/>
        <v>610</v>
      </c>
      <c r="H313" s="5">
        <f t="shared" ca="1" si="48"/>
        <v>500</v>
      </c>
      <c r="I313" s="63">
        <f t="shared" ca="1" si="54"/>
        <v>0</v>
      </c>
      <c r="J313" s="5">
        <f t="shared" ca="1" si="49"/>
        <v>0</v>
      </c>
      <c r="K313" s="5">
        <f t="shared" ca="1" si="50"/>
        <v>0</v>
      </c>
      <c r="L313" s="5">
        <f t="shared" ca="1" si="51"/>
        <v>0</v>
      </c>
      <c r="M313" s="5">
        <f t="shared" ca="1" si="52"/>
        <v>0</v>
      </c>
      <c r="N313" s="6">
        <f t="shared" ca="1" si="46"/>
        <v>13.698630136986301</v>
      </c>
      <c r="O313" s="5">
        <f t="shared" si="53"/>
        <v>0</v>
      </c>
    </row>
    <row r="314" spans="2:15" ht="13.2" customHeight="1">
      <c r="B314" s="21"/>
      <c r="E314" s="5">
        <v>310</v>
      </c>
      <c r="F314" s="5">
        <f t="shared" ca="1" si="47"/>
        <v>80</v>
      </c>
      <c r="G314" s="5">
        <f t="shared" ca="1" si="55"/>
        <v>500</v>
      </c>
      <c r="H314" s="5">
        <f t="shared" ca="1" si="48"/>
        <v>420</v>
      </c>
      <c r="I314" s="63">
        <f t="shared" ca="1" si="54"/>
        <v>0</v>
      </c>
      <c r="J314" s="5">
        <f t="shared" ca="1" si="49"/>
        <v>0</v>
      </c>
      <c r="K314" s="5">
        <f t="shared" ca="1" si="50"/>
        <v>0</v>
      </c>
      <c r="L314" s="5">
        <f t="shared" ca="1" si="51"/>
        <v>0</v>
      </c>
      <c r="M314" s="5">
        <f t="shared" ca="1" si="52"/>
        <v>0</v>
      </c>
      <c r="N314" s="6">
        <f t="shared" ca="1" si="46"/>
        <v>11.506849315068493</v>
      </c>
      <c r="O314" s="5">
        <f t="shared" si="53"/>
        <v>0</v>
      </c>
    </row>
    <row r="315" spans="2:15" ht="13.2" customHeight="1">
      <c r="B315" s="21"/>
      <c r="E315" s="5">
        <v>311</v>
      </c>
      <c r="F315" s="5">
        <f t="shared" ca="1" si="47"/>
        <v>90</v>
      </c>
      <c r="G315" s="5">
        <f t="shared" ca="1" si="55"/>
        <v>420</v>
      </c>
      <c r="H315" s="5">
        <f t="shared" ca="1" si="48"/>
        <v>330</v>
      </c>
      <c r="I315" s="63">
        <f t="shared" ca="1" si="54"/>
        <v>0</v>
      </c>
      <c r="J315" s="5">
        <f t="shared" ca="1" si="49"/>
        <v>0</v>
      </c>
      <c r="K315" s="5">
        <f t="shared" ca="1" si="50"/>
        <v>0</v>
      </c>
      <c r="L315" s="5">
        <f t="shared" ca="1" si="51"/>
        <v>0</v>
      </c>
      <c r="M315" s="5">
        <f t="shared" ca="1" si="52"/>
        <v>0</v>
      </c>
      <c r="N315" s="6">
        <f t="shared" ca="1" si="46"/>
        <v>9.0410958904109577</v>
      </c>
      <c r="O315" s="5">
        <f t="shared" si="53"/>
        <v>0</v>
      </c>
    </row>
    <row r="316" spans="2:15" ht="13.2" customHeight="1">
      <c r="B316" s="21"/>
      <c r="E316" s="5">
        <v>312</v>
      </c>
      <c r="F316" s="5">
        <f t="shared" ca="1" si="47"/>
        <v>110</v>
      </c>
      <c r="G316" s="5">
        <f t="shared" ca="1" si="55"/>
        <v>330</v>
      </c>
      <c r="H316" s="5">
        <f t="shared" ca="1" si="48"/>
        <v>220</v>
      </c>
      <c r="I316" s="63">
        <f t="shared" ca="1" si="54"/>
        <v>0</v>
      </c>
      <c r="J316" s="5">
        <f t="shared" ca="1" si="49"/>
        <v>0</v>
      </c>
      <c r="K316" s="5">
        <f t="shared" ca="1" si="50"/>
        <v>0</v>
      </c>
      <c r="L316" s="5">
        <f t="shared" ca="1" si="51"/>
        <v>0</v>
      </c>
      <c r="M316" s="5">
        <f t="shared" ca="1" si="52"/>
        <v>0</v>
      </c>
      <c r="N316" s="6">
        <f t="shared" ca="1" si="46"/>
        <v>6.0273972602739718</v>
      </c>
      <c r="O316" s="5">
        <f t="shared" si="53"/>
        <v>0</v>
      </c>
    </row>
    <row r="317" spans="2:15" ht="13.2" customHeight="1">
      <c r="B317" s="21"/>
      <c r="E317" s="5">
        <v>313</v>
      </c>
      <c r="F317" s="5">
        <f t="shared" ca="1" si="47"/>
        <v>100</v>
      </c>
      <c r="G317" s="5">
        <f t="shared" ca="1" si="55"/>
        <v>220</v>
      </c>
      <c r="H317" s="5">
        <f t="shared" ca="1" si="48"/>
        <v>120</v>
      </c>
      <c r="I317" s="63">
        <f t="shared" ca="1" si="54"/>
        <v>0</v>
      </c>
      <c r="J317" s="5">
        <f t="shared" ca="1" si="49"/>
        <v>0</v>
      </c>
      <c r="K317" s="5">
        <f t="shared" ca="1" si="50"/>
        <v>0</v>
      </c>
      <c r="L317" s="5">
        <f t="shared" ca="1" si="51"/>
        <v>0</v>
      </c>
      <c r="M317" s="5">
        <f t="shared" ca="1" si="52"/>
        <v>0</v>
      </c>
      <c r="N317" s="6">
        <f t="shared" ca="1" si="46"/>
        <v>3.2876712328767121</v>
      </c>
      <c r="O317" s="5">
        <f t="shared" si="53"/>
        <v>0</v>
      </c>
    </row>
    <row r="318" spans="2:15" ht="13.2" customHeight="1">
      <c r="B318" s="21"/>
      <c r="E318" s="5">
        <v>314</v>
      </c>
      <c r="F318" s="5">
        <f t="shared" ca="1" si="47"/>
        <v>90</v>
      </c>
      <c r="G318" s="5">
        <f t="shared" ca="1" si="55"/>
        <v>120</v>
      </c>
      <c r="H318" s="5">
        <f t="shared" ca="1" si="48"/>
        <v>30</v>
      </c>
      <c r="I318" s="63">
        <f t="shared" ca="1" si="54"/>
        <v>1</v>
      </c>
      <c r="J318" s="5">
        <f t="shared" ca="1" si="49"/>
        <v>0</v>
      </c>
      <c r="K318" s="5">
        <f t="shared" ca="1" si="50"/>
        <v>0</v>
      </c>
      <c r="L318" s="5">
        <f t="shared" ca="1" si="51"/>
        <v>0</v>
      </c>
      <c r="M318" s="5">
        <f t="shared" ca="1" si="52"/>
        <v>200</v>
      </c>
      <c r="N318" s="6">
        <f t="shared" ca="1" si="46"/>
        <v>0.82191780821917804</v>
      </c>
      <c r="O318" s="5">
        <f t="shared" si="53"/>
        <v>0</v>
      </c>
    </row>
    <row r="319" spans="2:15" ht="13.2" customHeight="1">
      <c r="B319" s="21"/>
      <c r="E319" s="5">
        <v>315</v>
      </c>
      <c r="F319" s="5">
        <f t="shared" ca="1" si="47"/>
        <v>110</v>
      </c>
      <c r="G319" s="5">
        <f t="shared" ca="1" si="55"/>
        <v>1030</v>
      </c>
      <c r="H319" s="5">
        <f t="shared" ca="1" si="48"/>
        <v>920</v>
      </c>
      <c r="I319" s="63">
        <f t="shared" ca="1" si="54"/>
        <v>0</v>
      </c>
      <c r="J319" s="5">
        <f t="shared" ca="1" si="49"/>
        <v>0</v>
      </c>
      <c r="K319" s="5">
        <f t="shared" ca="1" si="50"/>
        <v>0</v>
      </c>
      <c r="L319" s="5">
        <f t="shared" ca="1" si="51"/>
        <v>0</v>
      </c>
      <c r="M319" s="5">
        <f t="shared" ca="1" si="52"/>
        <v>0</v>
      </c>
      <c r="N319" s="6">
        <f t="shared" ca="1" si="46"/>
        <v>25.205479452054792</v>
      </c>
      <c r="O319" s="5">
        <f t="shared" si="53"/>
        <v>0</v>
      </c>
    </row>
    <row r="320" spans="2:15" ht="13.2" customHeight="1">
      <c r="B320" s="21"/>
      <c r="E320" s="5">
        <v>316</v>
      </c>
      <c r="F320" s="5">
        <f t="shared" ca="1" si="47"/>
        <v>90</v>
      </c>
      <c r="G320" s="5">
        <f t="shared" ca="1" si="55"/>
        <v>920</v>
      </c>
      <c r="H320" s="5">
        <f t="shared" ca="1" si="48"/>
        <v>830</v>
      </c>
      <c r="I320" s="63">
        <f t="shared" ca="1" si="54"/>
        <v>0</v>
      </c>
      <c r="J320" s="5">
        <f t="shared" ca="1" si="49"/>
        <v>0</v>
      </c>
      <c r="K320" s="5">
        <f t="shared" ca="1" si="50"/>
        <v>0</v>
      </c>
      <c r="L320" s="5">
        <f t="shared" ca="1" si="51"/>
        <v>0</v>
      </c>
      <c r="M320" s="5">
        <f t="shared" ca="1" si="52"/>
        <v>0</v>
      </c>
      <c r="N320" s="6">
        <f t="shared" ca="1" si="46"/>
        <v>22.739726027397261</v>
      </c>
      <c r="O320" s="5">
        <f t="shared" si="53"/>
        <v>0</v>
      </c>
    </row>
    <row r="321" spans="2:15" ht="13.2" customHeight="1">
      <c r="B321" s="21"/>
      <c r="E321" s="5">
        <v>317</v>
      </c>
      <c r="F321" s="5">
        <f t="shared" ca="1" si="47"/>
        <v>90</v>
      </c>
      <c r="G321" s="5">
        <f t="shared" ca="1" si="55"/>
        <v>830</v>
      </c>
      <c r="H321" s="5">
        <f t="shared" ca="1" si="48"/>
        <v>740</v>
      </c>
      <c r="I321" s="63">
        <f t="shared" ca="1" si="54"/>
        <v>0</v>
      </c>
      <c r="J321" s="5">
        <f t="shared" ca="1" si="49"/>
        <v>0</v>
      </c>
      <c r="K321" s="5">
        <f t="shared" ca="1" si="50"/>
        <v>0</v>
      </c>
      <c r="L321" s="5">
        <f t="shared" ca="1" si="51"/>
        <v>0</v>
      </c>
      <c r="M321" s="5">
        <f t="shared" ca="1" si="52"/>
        <v>0</v>
      </c>
      <c r="N321" s="6">
        <f t="shared" ca="1" si="46"/>
        <v>20.273972602739725</v>
      </c>
      <c r="O321" s="5">
        <f t="shared" si="53"/>
        <v>0</v>
      </c>
    </row>
    <row r="322" spans="2:15" ht="13.2" customHeight="1">
      <c r="B322" s="21"/>
      <c r="E322" s="5">
        <v>318</v>
      </c>
      <c r="F322" s="5">
        <f t="shared" ca="1" si="47"/>
        <v>110</v>
      </c>
      <c r="G322" s="5">
        <f t="shared" ca="1" si="55"/>
        <v>740</v>
      </c>
      <c r="H322" s="5">
        <f t="shared" ca="1" si="48"/>
        <v>630</v>
      </c>
      <c r="I322" s="63">
        <f t="shared" ca="1" si="54"/>
        <v>0</v>
      </c>
      <c r="J322" s="5">
        <f t="shared" ca="1" si="49"/>
        <v>0</v>
      </c>
      <c r="K322" s="5">
        <f t="shared" ca="1" si="50"/>
        <v>0</v>
      </c>
      <c r="L322" s="5">
        <f t="shared" ca="1" si="51"/>
        <v>0</v>
      </c>
      <c r="M322" s="5">
        <f t="shared" ca="1" si="52"/>
        <v>0</v>
      </c>
      <c r="N322" s="6">
        <f t="shared" ca="1" si="46"/>
        <v>17.260273972602739</v>
      </c>
      <c r="O322" s="5">
        <f t="shared" si="53"/>
        <v>0</v>
      </c>
    </row>
    <row r="323" spans="2:15" ht="13.2" customHeight="1">
      <c r="B323" s="21"/>
      <c r="E323" s="5">
        <v>319</v>
      </c>
      <c r="F323" s="5">
        <f t="shared" ca="1" si="47"/>
        <v>100</v>
      </c>
      <c r="G323" s="5">
        <f t="shared" ca="1" si="55"/>
        <v>630</v>
      </c>
      <c r="H323" s="5">
        <f t="shared" ca="1" si="48"/>
        <v>530</v>
      </c>
      <c r="I323" s="63">
        <f t="shared" ca="1" si="54"/>
        <v>0</v>
      </c>
      <c r="J323" s="5">
        <f t="shared" ca="1" si="49"/>
        <v>0</v>
      </c>
      <c r="K323" s="5">
        <f t="shared" ca="1" si="50"/>
        <v>0</v>
      </c>
      <c r="L323" s="5">
        <f t="shared" ca="1" si="51"/>
        <v>0</v>
      </c>
      <c r="M323" s="5">
        <f t="shared" ca="1" si="52"/>
        <v>0</v>
      </c>
      <c r="N323" s="6">
        <f t="shared" ca="1" si="46"/>
        <v>14.520547945205479</v>
      </c>
      <c r="O323" s="5">
        <f t="shared" si="53"/>
        <v>0</v>
      </c>
    </row>
    <row r="324" spans="2:15" ht="13.2" customHeight="1">
      <c r="B324" s="21"/>
      <c r="E324" s="5">
        <v>320</v>
      </c>
      <c r="F324" s="5">
        <f t="shared" ca="1" si="47"/>
        <v>100</v>
      </c>
      <c r="G324" s="5">
        <f t="shared" ca="1" si="55"/>
        <v>530</v>
      </c>
      <c r="H324" s="5">
        <f t="shared" ca="1" si="48"/>
        <v>430</v>
      </c>
      <c r="I324" s="63">
        <f t="shared" ca="1" si="54"/>
        <v>0</v>
      </c>
      <c r="J324" s="5">
        <f t="shared" ca="1" si="49"/>
        <v>0</v>
      </c>
      <c r="K324" s="5">
        <f t="shared" ca="1" si="50"/>
        <v>0</v>
      </c>
      <c r="L324" s="5">
        <f t="shared" ca="1" si="51"/>
        <v>0</v>
      </c>
      <c r="M324" s="5">
        <f t="shared" ca="1" si="52"/>
        <v>0</v>
      </c>
      <c r="N324" s="6">
        <f t="shared" ca="1" si="46"/>
        <v>11.780821917808218</v>
      </c>
      <c r="O324" s="5">
        <f t="shared" si="53"/>
        <v>0</v>
      </c>
    </row>
    <row r="325" spans="2:15" ht="13.2" customHeight="1">
      <c r="B325" s="21"/>
      <c r="E325" s="5">
        <v>321</v>
      </c>
      <c r="F325" s="5">
        <f t="shared" ca="1" si="47"/>
        <v>80</v>
      </c>
      <c r="G325" s="5">
        <f t="shared" ca="1" si="55"/>
        <v>430</v>
      </c>
      <c r="H325" s="5">
        <f t="shared" ca="1" si="48"/>
        <v>350</v>
      </c>
      <c r="I325" s="63">
        <f t="shared" ca="1" si="54"/>
        <v>0</v>
      </c>
      <c r="J325" s="5">
        <f t="shared" ca="1" si="49"/>
        <v>0</v>
      </c>
      <c r="K325" s="5">
        <f t="shared" ca="1" si="50"/>
        <v>0</v>
      </c>
      <c r="L325" s="5">
        <f t="shared" ca="1" si="51"/>
        <v>0</v>
      </c>
      <c r="M325" s="5">
        <f t="shared" ca="1" si="52"/>
        <v>0</v>
      </c>
      <c r="N325" s="6">
        <f t="shared" ref="N325:N369" ca="1" si="56">H325*$C$7</f>
        <v>9.5890410958904102</v>
      </c>
      <c r="O325" s="5">
        <f t="shared" si="53"/>
        <v>0</v>
      </c>
    </row>
    <row r="326" spans="2:15" ht="13.2" customHeight="1">
      <c r="B326" s="21"/>
      <c r="E326" s="5">
        <v>322</v>
      </c>
      <c r="F326" s="5">
        <f t="shared" ref="F326:F369" ca="1" si="57">INDEX($T$17:$T$21,MATCH(RAND(),$V$17:$V$21,1))</f>
        <v>100</v>
      </c>
      <c r="G326" s="5">
        <f t="shared" ca="1" si="55"/>
        <v>350</v>
      </c>
      <c r="H326" s="5">
        <f t="shared" ref="H326:H369" ca="1" si="58">IF(G326-F326&gt;0,G326-F326,0)</f>
        <v>250</v>
      </c>
      <c r="I326" s="63">
        <f t="shared" ca="1" si="54"/>
        <v>0</v>
      </c>
      <c r="J326" s="5">
        <f t="shared" ref="J326:J369" ca="1" si="59">I326*INT(RAND()*2)</f>
        <v>0</v>
      </c>
      <c r="K326" s="5">
        <f t="shared" ref="K326:K369" ca="1" si="60">-MIN(0,G326-F326)</f>
        <v>0</v>
      </c>
      <c r="L326" s="5">
        <f t="shared" ref="L326:L369" ca="1" si="61">K326*$C$8</f>
        <v>0</v>
      </c>
      <c r="M326" s="5">
        <f t="shared" ref="M326:M369" ca="1" si="62">$C$4*I326</f>
        <v>0</v>
      </c>
      <c r="N326" s="6">
        <f t="shared" ca="1" si="56"/>
        <v>6.8493150684931505</v>
      </c>
      <c r="O326" s="5">
        <f t="shared" ref="O326:O369" si="63">IF(E326=$O$4,H326,0)</f>
        <v>0</v>
      </c>
    </row>
    <row r="327" spans="2:15" ht="13.2" customHeight="1">
      <c r="B327" s="21"/>
      <c r="E327" s="5">
        <v>323</v>
      </c>
      <c r="F327" s="5">
        <f t="shared" ca="1" si="57"/>
        <v>110</v>
      </c>
      <c r="G327" s="5">
        <f t="shared" ca="1" si="55"/>
        <v>250</v>
      </c>
      <c r="H327" s="5">
        <f t="shared" ca="1" si="58"/>
        <v>140</v>
      </c>
      <c r="I327" s="63">
        <f t="shared" ref="I327:I369" ca="1" si="64">IF(AND(H327&lt;$C$3,J326=0),1,0)</f>
        <v>0</v>
      </c>
      <c r="J327" s="5">
        <f t="shared" ca="1" si="59"/>
        <v>0</v>
      </c>
      <c r="K327" s="5">
        <f t="shared" ca="1" si="60"/>
        <v>0</v>
      </c>
      <c r="L327" s="5">
        <f t="shared" ca="1" si="61"/>
        <v>0</v>
      </c>
      <c r="M327" s="5">
        <f t="shared" ca="1" si="62"/>
        <v>0</v>
      </c>
      <c r="N327" s="6">
        <f t="shared" ca="1" si="56"/>
        <v>3.8356164383561642</v>
      </c>
      <c r="O327" s="5">
        <f t="shared" si="63"/>
        <v>0</v>
      </c>
    </row>
    <row r="328" spans="2:15" ht="13.2" customHeight="1">
      <c r="B328" s="21"/>
      <c r="E328" s="5">
        <v>324</v>
      </c>
      <c r="F328" s="5">
        <f t="shared" ca="1" si="57"/>
        <v>100</v>
      </c>
      <c r="G328" s="5">
        <f t="shared" ref="G328:G369" ca="1" si="65">H327+IF(J327=0,I327*$C$9,0)+IF(J326=1,$C$9,0)</f>
        <v>140</v>
      </c>
      <c r="H328" s="5">
        <f t="shared" ca="1" si="58"/>
        <v>40</v>
      </c>
      <c r="I328" s="63">
        <f t="shared" ca="1" si="64"/>
        <v>1</v>
      </c>
      <c r="J328" s="5">
        <f t="shared" ca="1" si="59"/>
        <v>0</v>
      </c>
      <c r="K328" s="5">
        <f t="shared" ca="1" si="60"/>
        <v>0</v>
      </c>
      <c r="L328" s="5">
        <f t="shared" ca="1" si="61"/>
        <v>0</v>
      </c>
      <c r="M328" s="5">
        <f t="shared" ca="1" si="62"/>
        <v>200</v>
      </c>
      <c r="N328" s="6">
        <f t="shared" ca="1" si="56"/>
        <v>1.095890410958904</v>
      </c>
      <c r="O328" s="5">
        <f t="shared" si="63"/>
        <v>0</v>
      </c>
    </row>
    <row r="329" spans="2:15" ht="13.2" customHeight="1">
      <c r="B329" s="21"/>
      <c r="E329" s="5">
        <v>325</v>
      </c>
      <c r="F329" s="5">
        <f t="shared" ca="1" si="57"/>
        <v>100</v>
      </c>
      <c r="G329" s="5">
        <f t="shared" ca="1" si="65"/>
        <v>1040</v>
      </c>
      <c r="H329" s="5">
        <f t="shared" ca="1" si="58"/>
        <v>940</v>
      </c>
      <c r="I329" s="63">
        <f t="shared" ca="1" si="64"/>
        <v>0</v>
      </c>
      <c r="J329" s="5">
        <f t="shared" ca="1" si="59"/>
        <v>0</v>
      </c>
      <c r="K329" s="5">
        <f t="shared" ca="1" si="60"/>
        <v>0</v>
      </c>
      <c r="L329" s="5">
        <f t="shared" ca="1" si="61"/>
        <v>0</v>
      </c>
      <c r="M329" s="5">
        <f t="shared" ca="1" si="62"/>
        <v>0</v>
      </c>
      <c r="N329" s="6">
        <f t="shared" ca="1" si="56"/>
        <v>25.753424657534246</v>
      </c>
      <c r="O329" s="5">
        <f t="shared" si="63"/>
        <v>0</v>
      </c>
    </row>
    <row r="330" spans="2:15" ht="13.2" customHeight="1">
      <c r="B330" s="21"/>
      <c r="E330" s="5">
        <v>326</v>
      </c>
      <c r="F330" s="5">
        <f t="shared" ca="1" si="57"/>
        <v>90</v>
      </c>
      <c r="G330" s="5">
        <f t="shared" ca="1" si="65"/>
        <v>940</v>
      </c>
      <c r="H330" s="5">
        <f t="shared" ca="1" si="58"/>
        <v>850</v>
      </c>
      <c r="I330" s="63">
        <f t="shared" ca="1" si="64"/>
        <v>0</v>
      </c>
      <c r="J330" s="5">
        <f t="shared" ca="1" si="59"/>
        <v>0</v>
      </c>
      <c r="K330" s="5">
        <f t="shared" ca="1" si="60"/>
        <v>0</v>
      </c>
      <c r="L330" s="5">
        <f t="shared" ca="1" si="61"/>
        <v>0</v>
      </c>
      <c r="M330" s="5">
        <f t="shared" ca="1" si="62"/>
        <v>0</v>
      </c>
      <c r="N330" s="6">
        <f t="shared" ca="1" si="56"/>
        <v>23.287671232876711</v>
      </c>
      <c r="O330" s="5">
        <f t="shared" si="63"/>
        <v>0</v>
      </c>
    </row>
    <row r="331" spans="2:15" ht="13.2" customHeight="1">
      <c r="B331" s="21"/>
      <c r="E331" s="5">
        <v>327</v>
      </c>
      <c r="F331" s="5">
        <f t="shared" ca="1" si="57"/>
        <v>110</v>
      </c>
      <c r="G331" s="5">
        <f t="shared" ca="1" si="65"/>
        <v>850</v>
      </c>
      <c r="H331" s="5">
        <f t="shared" ca="1" si="58"/>
        <v>740</v>
      </c>
      <c r="I331" s="63">
        <f t="shared" ca="1" si="64"/>
        <v>0</v>
      </c>
      <c r="J331" s="5">
        <f t="shared" ca="1" si="59"/>
        <v>0</v>
      </c>
      <c r="K331" s="5">
        <f t="shared" ca="1" si="60"/>
        <v>0</v>
      </c>
      <c r="L331" s="5">
        <f t="shared" ca="1" si="61"/>
        <v>0</v>
      </c>
      <c r="M331" s="5">
        <f t="shared" ca="1" si="62"/>
        <v>0</v>
      </c>
      <c r="N331" s="6">
        <f t="shared" ca="1" si="56"/>
        <v>20.273972602739725</v>
      </c>
      <c r="O331" s="5">
        <f t="shared" si="63"/>
        <v>0</v>
      </c>
    </row>
    <row r="332" spans="2:15" ht="13.2" customHeight="1">
      <c r="B332" s="21"/>
      <c r="E332" s="5">
        <v>328</v>
      </c>
      <c r="F332" s="5">
        <f t="shared" ca="1" si="57"/>
        <v>110</v>
      </c>
      <c r="G332" s="5">
        <f t="shared" ca="1" si="65"/>
        <v>740</v>
      </c>
      <c r="H332" s="5">
        <f t="shared" ca="1" si="58"/>
        <v>630</v>
      </c>
      <c r="I332" s="63">
        <f t="shared" ca="1" si="64"/>
        <v>0</v>
      </c>
      <c r="J332" s="5">
        <f t="shared" ca="1" si="59"/>
        <v>0</v>
      </c>
      <c r="K332" s="5">
        <f t="shared" ca="1" si="60"/>
        <v>0</v>
      </c>
      <c r="L332" s="5">
        <f t="shared" ca="1" si="61"/>
        <v>0</v>
      </c>
      <c r="M332" s="5">
        <f t="shared" ca="1" si="62"/>
        <v>0</v>
      </c>
      <c r="N332" s="6">
        <f t="shared" ca="1" si="56"/>
        <v>17.260273972602739</v>
      </c>
      <c r="O332" s="5">
        <f t="shared" si="63"/>
        <v>0</v>
      </c>
    </row>
    <row r="333" spans="2:15" ht="13.2" customHeight="1">
      <c r="B333" s="21"/>
      <c r="E333" s="5">
        <v>329</v>
      </c>
      <c r="F333" s="5">
        <f t="shared" ca="1" si="57"/>
        <v>100</v>
      </c>
      <c r="G333" s="5">
        <f t="shared" ca="1" si="65"/>
        <v>630</v>
      </c>
      <c r="H333" s="5">
        <f t="shared" ca="1" si="58"/>
        <v>530</v>
      </c>
      <c r="I333" s="63">
        <f t="shared" ca="1" si="64"/>
        <v>0</v>
      </c>
      <c r="J333" s="5">
        <f t="shared" ca="1" si="59"/>
        <v>0</v>
      </c>
      <c r="K333" s="5">
        <f t="shared" ca="1" si="60"/>
        <v>0</v>
      </c>
      <c r="L333" s="5">
        <f t="shared" ca="1" si="61"/>
        <v>0</v>
      </c>
      <c r="M333" s="5">
        <f t="shared" ca="1" si="62"/>
        <v>0</v>
      </c>
      <c r="N333" s="6">
        <f t="shared" ca="1" si="56"/>
        <v>14.520547945205479</v>
      </c>
      <c r="O333" s="5">
        <f t="shared" si="63"/>
        <v>0</v>
      </c>
    </row>
    <row r="334" spans="2:15" ht="13.2" customHeight="1">
      <c r="B334" s="21"/>
      <c r="E334" s="5">
        <v>330</v>
      </c>
      <c r="F334" s="5">
        <f t="shared" ca="1" si="57"/>
        <v>120</v>
      </c>
      <c r="G334" s="5">
        <f t="shared" ca="1" si="65"/>
        <v>530</v>
      </c>
      <c r="H334" s="5">
        <f t="shared" ca="1" si="58"/>
        <v>410</v>
      </c>
      <c r="I334" s="63">
        <f t="shared" ca="1" si="64"/>
        <v>0</v>
      </c>
      <c r="J334" s="5">
        <f t="shared" ca="1" si="59"/>
        <v>0</v>
      </c>
      <c r="K334" s="5">
        <f t="shared" ca="1" si="60"/>
        <v>0</v>
      </c>
      <c r="L334" s="5">
        <f t="shared" ca="1" si="61"/>
        <v>0</v>
      </c>
      <c r="M334" s="5">
        <f t="shared" ca="1" si="62"/>
        <v>0</v>
      </c>
      <c r="N334" s="6">
        <f t="shared" ca="1" si="56"/>
        <v>11.232876712328766</v>
      </c>
      <c r="O334" s="5">
        <f t="shared" si="63"/>
        <v>0</v>
      </c>
    </row>
    <row r="335" spans="2:15" ht="13.2" customHeight="1">
      <c r="B335" s="21"/>
      <c r="E335" s="5">
        <v>331</v>
      </c>
      <c r="F335" s="5">
        <f t="shared" ca="1" si="57"/>
        <v>110</v>
      </c>
      <c r="G335" s="5">
        <f t="shared" ca="1" si="65"/>
        <v>410</v>
      </c>
      <c r="H335" s="5">
        <f t="shared" ca="1" si="58"/>
        <v>300</v>
      </c>
      <c r="I335" s="63">
        <f t="shared" ca="1" si="64"/>
        <v>0</v>
      </c>
      <c r="J335" s="5">
        <f t="shared" ca="1" si="59"/>
        <v>0</v>
      </c>
      <c r="K335" s="5">
        <f t="shared" ca="1" si="60"/>
        <v>0</v>
      </c>
      <c r="L335" s="5">
        <f t="shared" ca="1" si="61"/>
        <v>0</v>
      </c>
      <c r="M335" s="5">
        <f t="shared" ca="1" si="62"/>
        <v>0</v>
      </c>
      <c r="N335" s="6">
        <f t="shared" ca="1" si="56"/>
        <v>8.2191780821917799</v>
      </c>
      <c r="O335" s="5">
        <f t="shared" si="63"/>
        <v>0</v>
      </c>
    </row>
    <row r="336" spans="2:15" ht="13.2" customHeight="1">
      <c r="B336" s="21"/>
      <c r="E336" s="5">
        <v>332</v>
      </c>
      <c r="F336" s="5">
        <f t="shared" ca="1" si="57"/>
        <v>100</v>
      </c>
      <c r="G336" s="5">
        <f t="shared" ca="1" si="65"/>
        <v>300</v>
      </c>
      <c r="H336" s="5">
        <f t="shared" ca="1" si="58"/>
        <v>200</v>
      </c>
      <c r="I336" s="63">
        <f t="shared" ca="1" si="64"/>
        <v>0</v>
      </c>
      <c r="J336" s="5">
        <f t="shared" ca="1" si="59"/>
        <v>0</v>
      </c>
      <c r="K336" s="5">
        <f t="shared" ca="1" si="60"/>
        <v>0</v>
      </c>
      <c r="L336" s="5">
        <f t="shared" ca="1" si="61"/>
        <v>0</v>
      </c>
      <c r="M336" s="5">
        <f t="shared" ca="1" si="62"/>
        <v>0</v>
      </c>
      <c r="N336" s="6">
        <f t="shared" ca="1" si="56"/>
        <v>5.4794520547945202</v>
      </c>
      <c r="O336" s="5">
        <f t="shared" si="63"/>
        <v>0</v>
      </c>
    </row>
    <row r="337" spans="2:15" ht="13.2" customHeight="1">
      <c r="B337" s="21"/>
      <c r="E337" s="5">
        <v>333</v>
      </c>
      <c r="F337" s="5">
        <f t="shared" ca="1" si="57"/>
        <v>100</v>
      </c>
      <c r="G337" s="5">
        <f t="shared" ca="1" si="65"/>
        <v>200</v>
      </c>
      <c r="H337" s="5">
        <f t="shared" ca="1" si="58"/>
        <v>100</v>
      </c>
      <c r="I337" s="63">
        <f t="shared" ca="1" si="64"/>
        <v>0</v>
      </c>
      <c r="J337" s="5">
        <f t="shared" ca="1" si="59"/>
        <v>0</v>
      </c>
      <c r="K337" s="5">
        <f t="shared" ca="1" si="60"/>
        <v>0</v>
      </c>
      <c r="L337" s="5">
        <f t="shared" ca="1" si="61"/>
        <v>0</v>
      </c>
      <c r="M337" s="5">
        <f t="shared" ca="1" si="62"/>
        <v>0</v>
      </c>
      <c r="N337" s="6">
        <f t="shared" ca="1" si="56"/>
        <v>2.7397260273972601</v>
      </c>
      <c r="O337" s="5">
        <f t="shared" si="63"/>
        <v>0</v>
      </c>
    </row>
    <row r="338" spans="2:15" ht="13.2" customHeight="1">
      <c r="B338" s="21"/>
      <c r="E338" s="5">
        <v>334</v>
      </c>
      <c r="F338" s="5">
        <f t="shared" ca="1" si="57"/>
        <v>100</v>
      </c>
      <c r="G338" s="5">
        <f t="shared" ca="1" si="65"/>
        <v>100</v>
      </c>
      <c r="H338" s="5">
        <f t="shared" ca="1" si="58"/>
        <v>0</v>
      </c>
      <c r="I338" s="63">
        <f t="shared" ca="1" si="64"/>
        <v>1</v>
      </c>
      <c r="J338" s="5">
        <f t="shared" ca="1" si="59"/>
        <v>0</v>
      </c>
      <c r="K338" s="5">
        <f t="shared" ca="1" si="60"/>
        <v>0</v>
      </c>
      <c r="L338" s="5">
        <f t="shared" ca="1" si="61"/>
        <v>0</v>
      </c>
      <c r="M338" s="5">
        <f t="shared" ca="1" si="62"/>
        <v>200</v>
      </c>
      <c r="N338" s="6">
        <f t="shared" ca="1" si="56"/>
        <v>0</v>
      </c>
      <c r="O338" s="5">
        <f t="shared" si="63"/>
        <v>0</v>
      </c>
    </row>
    <row r="339" spans="2:15" ht="13.2" customHeight="1">
      <c r="B339" s="21"/>
      <c r="E339" s="5">
        <v>335</v>
      </c>
      <c r="F339" s="5">
        <f t="shared" ca="1" si="57"/>
        <v>110</v>
      </c>
      <c r="G339" s="5">
        <f t="shared" ca="1" si="65"/>
        <v>1000</v>
      </c>
      <c r="H339" s="5">
        <f t="shared" ca="1" si="58"/>
        <v>890</v>
      </c>
      <c r="I339" s="63">
        <f t="shared" ca="1" si="64"/>
        <v>0</v>
      </c>
      <c r="J339" s="5">
        <f t="shared" ca="1" si="59"/>
        <v>0</v>
      </c>
      <c r="K339" s="5">
        <f t="shared" ca="1" si="60"/>
        <v>0</v>
      </c>
      <c r="L339" s="5">
        <f t="shared" ca="1" si="61"/>
        <v>0</v>
      </c>
      <c r="M339" s="5">
        <f t="shared" ca="1" si="62"/>
        <v>0</v>
      </c>
      <c r="N339" s="6">
        <f t="shared" ca="1" si="56"/>
        <v>24.383561643835616</v>
      </c>
      <c r="O339" s="5">
        <f t="shared" si="63"/>
        <v>0</v>
      </c>
    </row>
    <row r="340" spans="2:15" ht="13.2" customHeight="1">
      <c r="B340" s="21"/>
      <c r="E340" s="5">
        <v>336</v>
      </c>
      <c r="F340" s="5">
        <f t="shared" ca="1" si="57"/>
        <v>100</v>
      </c>
      <c r="G340" s="5">
        <f t="shared" ca="1" si="65"/>
        <v>890</v>
      </c>
      <c r="H340" s="5">
        <f t="shared" ca="1" si="58"/>
        <v>790</v>
      </c>
      <c r="I340" s="63">
        <f t="shared" ca="1" si="64"/>
        <v>0</v>
      </c>
      <c r="J340" s="5">
        <f t="shared" ca="1" si="59"/>
        <v>0</v>
      </c>
      <c r="K340" s="5">
        <f t="shared" ca="1" si="60"/>
        <v>0</v>
      </c>
      <c r="L340" s="5">
        <f t="shared" ca="1" si="61"/>
        <v>0</v>
      </c>
      <c r="M340" s="5">
        <f t="shared" ca="1" si="62"/>
        <v>0</v>
      </c>
      <c r="N340" s="6">
        <f t="shared" ca="1" si="56"/>
        <v>21.643835616438356</v>
      </c>
      <c r="O340" s="5">
        <f t="shared" si="63"/>
        <v>0</v>
      </c>
    </row>
    <row r="341" spans="2:15" ht="13.2" customHeight="1">
      <c r="B341" s="21"/>
      <c r="E341" s="5">
        <v>337</v>
      </c>
      <c r="F341" s="5">
        <f t="shared" ca="1" si="57"/>
        <v>110</v>
      </c>
      <c r="G341" s="5">
        <f t="shared" ca="1" si="65"/>
        <v>790</v>
      </c>
      <c r="H341" s="5">
        <f t="shared" ca="1" si="58"/>
        <v>680</v>
      </c>
      <c r="I341" s="63">
        <f t="shared" ca="1" si="64"/>
        <v>0</v>
      </c>
      <c r="J341" s="5">
        <f t="shared" ca="1" si="59"/>
        <v>0</v>
      </c>
      <c r="K341" s="5">
        <f t="shared" ca="1" si="60"/>
        <v>0</v>
      </c>
      <c r="L341" s="5">
        <f t="shared" ca="1" si="61"/>
        <v>0</v>
      </c>
      <c r="M341" s="5">
        <f t="shared" ca="1" si="62"/>
        <v>0</v>
      </c>
      <c r="N341" s="6">
        <f t="shared" ca="1" si="56"/>
        <v>18.63013698630137</v>
      </c>
      <c r="O341" s="5">
        <f t="shared" si="63"/>
        <v>0</v>
      </c>
    </row>
    <row r="342" spans="2:15" ht="13.2" customHeight="1">
      <c r="B342" s="21"/>
      <c r="E342" s="5">
        <v>338</v>
      </c>
      <c r="F342" s="5">
        <f t="shared" ca="1" si="57"/>
        <v>110</v>
      </c>
      <c r="G342" s="5">
        <f t="shared" ca="1" si="65"/>
        <v>680</v>
      </c>
      <c r="H342" s="5">
        <f t="shared" ca="1" si="58"/>
        <v>570</v>
      </c>
      <c r="I342" s="63">
        <f t="shared" ca="1" si="64"/>
        <v>0</v>
      </c>
      <c r="J342" s="5">
        <f t="shared" ca="1" si="59"/>
        <v>0</v>
      </c>
      <c r="K342" s="5">
        <f t="shared" ca="1" si="60"/>
        <v>0</v>
      </c>
      <c r="L342" s="5">
        <f t="shared" ca="1" si="61"/>
        <v>0</v>
      </c>
      <c r="M342" s="5">
        <f t="shared" ca="1" si="62"/>
        <v>0</v>
      </c>
      <c r="N342" s="6">
        <f t="shared" ca="1" si="56"/>
        <v>15.616438356164382</v>
      </c>
      <c r="O342" s="5">
        <f t="shared" si="63"/>
        <v>0</v>
      </c>
    </row>
    <row r="343" spans="2:15" ht="13.2" customHeight="1">
      <c r="B343" s="21"/>
      <c r="E343" s="5">
        <v>339</v>
      </c>
      <c r="F343" s="5">
        <f t="shared" ca="1" si="57"/>
        <v>100</v>
      </c>
      <c r="G343" s="5">
        <f t="shared" ca="1" si="65"/>
        <v>570</v>
      </c>
      <c r="H343" s="5">
        <f t="shared" ca="1" si="58"/>
        <v>470</v>
      </c>
      <c r="I343" s="63">
        <f t="shared" ca="1" si="64"/>
        <v>0</v>
      </c>
      <c r="J343" s="5">
        <f t="shared" ca="1" si="59"/>
        <v>0</v>
      </c>
      <c r="K343" s="5">
        <f t="shared" ca="1" si="60"/>
        <v>0</v>
      </c>
      <c r="L343" s="5">
        <f t="shared" ca="1" si="61"/>
        <v>0</v>
      </c>
      <c r="M343" s="5">
        <f t="shared" ca="1" si="62"/>
        <v>0</v>
      </c>
      <c r="N343" s="6">
        <f t="shared" ca="1" si="56"/>
        <v>12.876712328767123</v>
      </c>
      <c r="O343" s="5">
        <f t="shared" si="63"/>
        <v>0</v>
      </c>
    </row>
    <row r="344" spans="2:15" ht="13.2" customHeight="1">
      <c r="B344" s="21"/>
      <c r="E344" s="5">
        <v>340</v>
      </c>
      <c r="F344" s="5">
        <f t="shared" ca="1" si="57"/>
        <v>100</v>
      </c>
      <c r="G344" s="5">
        <f t="shared" ca="1" si="65"/>
        <v>470</v>
      </c>
      <c r="H344" s="5">
        <f t="shared" ca="1" si="58"/>
        <v>370</v>
      </c>
      <c r="I344" s="63">
        <f t="shared" ca="1" si="64"/>
        <v>0</v>
      </c>
      <c r="J344" s="5">
        <f t="shared" ca="1" si="59"/>
        <v>0</v>
      </c>
      <c r="K344" s="5">
        <f t="shared" ca="1" si="60"/>
        <v>0</v>
      </c>
      <c r="L344" s="5">
        <f t="shared" ca="1" si="61"/>
        <v>0</v>
      </c>
      <c r="M344" s="5">
        <f t="shared" ca="1" si="62"/>
        <v>0</v>
      </c>
      <c r="N344" s="6">
        <f t="shared" ca="1" si="56"/>
        <v>10.136986301369863</v>
      </c>
      <c r="O344" s="5">
        <f t="shared" si="63"/>
        <v>0</v>
      </c>
    </row>
    <row r="345" spans="2:15" ht="13.2" customHeight="1">
      <c r="B345" s="21"/>
      <c r="E345" s="5">
        <v>341</v>
      </c>
      <c r="F345" s="5">
        <f t="shared" ca="1" si="57"/>
        <v>100</v>
      </c>
      <c r="G345" s="5">
        <f t="shared" ca="1" si="65"/>
        <v>370</v>
      </c>
      <c r="H345" s="5">
        <f t="shared" ca="1" si="58"/>
        <v>270</v>
      </c>
      <c r="I345" s="63">
        <f t="shared" ca="1" si="64"/>
        <v>0</v>
      </c>
      <c r="J345" s="5">
        <f t="shared" ca="1" si="59"/>
        <v>0</v>
      </c>
      <c r="K345" s="5">
        <f t="shared" ca="1" si="60"/>
        <v>0</v>
      </c>
      <c r="L345" s="5">
        <f t="shared" ca="1" si="61"/>
        <v>0</v>
      </c>
      <c r="M345" s="5">
        <f t="shared" ca="1" si="62"/>
        <v>0</v>
      </c>
      <c r="N345" s="6">
        <f t="shared" ca="1" si="56"/>
        <v>7.3972602739726021</v>
      </c>
      <c r="O345" s="5">
        <f t="shared" si="63"/>
        <v>0</v>
      </c>
    </row>
    <row r="346" spans="2:15" ht="13.2" customHeight="1">
      <c r="B346" s="21"/>
      <c r="E346" s="5">
        <v>342</v>
      </c>
      <c r="F346" s="5">
        <f t="shared" ca="1" si="57"/>
        <v>120</v>
      </c>
      <c r="G346" s="5">
        <f t="shared" ca="1" si="65"/>
        <v>270</v>
      </c>
      <c r="H346" s="5">
        <f t="shared" ca="1" si="58"/>
        <v>150</v>
      </c>
      <c r="I346" s="63">
        <f t="shared" ca="1" si="64"/>
        <v>0</v>
      </c>
      <c r="J346" s="5">
        <f t="shared" ca="1" si="59"/>
        <v>0</v>
      </c>
      <c r="K346" s="5">
        <f t="shared" ca="1" si="60"/>
        <v>0</v>
      </c>
      <c r="L346" s="5">
        <f t="shared" ca="1" si="61"/>
        <v>0</v>
      </c>
      <c r="M346" s="5">
        <f t="shared" ca="1" si="62"/>
        <v>0</v>
      </c>
      <c r="N346" s="6">
        <f t="shared" ca="1" si="56"/>
        <v>4.10958904109589</v>
      </c>
      <c r="O346" s="5">
        <f t="shared" si="63"/>
        <v>0</v>
      </c>
    </row>
    <row r="347" spans="2:15" ht="13.2" customHeight="1">
      <c r="B347" s="21"/>
      <c r="E347" s="5">
        <v>343</v>
      </c>
      <c r="F347" s="5">
        <f t="shared" ca="1" si="57"/>
        <v>100</v>
      </c>
      <c r="G347" s="5">
        <f t="shared" ca="1" si="65"/>
        <v>150</v>
      </c>
      <c r="H347" s="5">
        <f t="shared" ca="1" si="58"/>
        <v>50</v>
      </c>
      <c r="I347" s="63">
        <f t="shared" ca="1" si="64"/>
        <v>1</v>
      </c>
      <c r="J347" s="5">
        <f t="shared" ca="1" si="59"/>
        <v>1</v>
      </c>
      <c r="K347" s="5">
        <f t="shared" ca="1" si="60"/>
        <v>0</v>
      </c>
      <c r="L347" s="5">
        <f t="shared" ca="1" si="61"/>
        <v>0</v>
      </c>
      <c r="M347" s="5">
        <f t="shared" ca="1" si="62"/>
        <v>200</v>
      </c>
      <c r="N347" s="6">
        <f t="shared" ca="1" si="56"/>
        <v>1.3698630136986301</v>
      </c>
      <c r="O347" s="5">
        <f t="shared" si="63"/>
        <v>0</v>
      </c>
    </row>
    <row r="348" spans="2:15" ht="13.2" customHeight="1">
      <c r="B348" s="21"/>
      <c r="E348" s="5">
        <v>344</v>
      </c>
      <c r="F348" s="5">
        <f t="shared" ca="1" si="57"/>
        <v>100</v>
      </c>
      <c r="G348" s="5">
        <f t="shared" ca="1" si="65"/>
        <v>50</v>
      </c>
      <c r="H348" s="5">
        <f t="shared" ca="1" si="58"/>
        <v>0</v>
      </c>
      <c r="I348" s="63">
        <f t="shared" ca="1" si="64"/>
        <v>0</v>
      </c>
      <c r="J348" s="5">
        <f t="shared" ca="1" si="59"/>
        <v>0</v>
      </c>
      <c r="K348" s="5">
        <f t="shared" ca="1" si="60"/>
        <v>50</v>
      </c>
      <c r="L348" s="5">
        <f t="shared" ca="1" si="61"/>
        <v>2500</v>
      </c>
      <c r="M348" s="5">
        <f t="shared" ca="1" si="62"/>
        <v>0</v>
      </c>
      <c r="N348" s="6">
        <f t="shared" ca="1" si="56"/>
        <v>0</v>
      </c>
      <c r="O348" s="5">
        <f t="shared" si="63"/>
        <v>0</v>
      </c>
    </row>
    <row r="349" spans="2:15" ht="13.2" customHeight="1">
      <c r="B349" s="21"/>
      <c r="E349" s="5">
        <v>345</v>
      </c>
      <c r="F349" s="5">
        <f t="shared" ca="1" si="57"/>
        <v>110</v>
      </c>
      <c r="G349" s="5">
        <f t="shared" ca="1" si="65"/>
        <v>1000</v>
      </c>
      <c r="H349" s="5">
        <f t="shared" ca="1" si="58"/>
        <v>890</v>
      </c>
      <c r="I349" s="63">
        <f t="shared" ca="1" si="64"/>
        <v>0</v>
      </c>
      <c r="J349" s="5">
        <f t="shared" ca="1" si="59"/>
        <v>0</v>
      </c>
      <c r="K349" s="5">
        <f t="shared" ca="1" si="60"/>
        <v>0</v>
      </c>
      <c r="L349" s="5">
        <f t="shared" ca="1" si="61"/>
        <v>0</v>
      </c>
      <c r="M349" s="5">
        <f t="shared" ca="1" si="62"/>
        <v>0</v>
      </c>
      <c r="N349" s="6">
        <f t="shared" ca="1" si="56"/>
        <v>24.383561643835616</v>
      </c>
      <c r="O349" s="5">
        <f t="shared" si="63"/>
        <v>0</v>
      </c>
    </row>
    <row r="350" spans="2:15" ht="13.2" customHeight="1">
      <c r="B350" s="21"/>
      <c r="E350" s="5">
        <v>346</v>
      </c>
      <c r="F350" s="5">
        <f t="shared" ca="1" si="57"/>
        <v>100</v>
      </c>
      <c r="G350" s="5">
        <f t="shared" ca="1" si="65"/>
        <v>890</v>
      </c>
      <c r="H350" s="5">
        <f t="shared" ca="1" si="58"/>
        <v>790</v>
      </c>
      <c r="I350" s="63">
        <f t="shared" ca="1" si="64"/>
        <v>0</v>
      </c>
      <c r="J350" s="5">
        <f t="shared" ca="1" si="59"/>
        <v>0</v>
      </c>
      <c r="K350" s="5">
        <f t="shared" ca="1" si="60"/>
        <v>0</v>
      </c>
      <c r="L350" s="5">
        <f t="shared" ca="1" si="61"/>
        <v>0</v>
      </c>
      <c r="M350" s="5">
        <f t="shared" ca="1" si="62"/>
        <v>0</v>
      </c>
      <c r="N350" s="6">
        <f t="shared" ca="1" si="56"/>
        <v>21.643835616438356</v>
      </c>
      <c r="O350" s="5">
        <f t="shared" si="63"/>
        <v>0</v>
      </c>
    </row>
    <row r="351" spans="2:15" ht="13.2" customHeight="1">
      <c r="B351" s="21"/>
      <c r="E351" s="5">
        <v>347</v>
      </c>
      <c r="F351" s="5">
        <f t="shared" ca="1" si="57"/>
        <v>90</v>
      </c>
      <c r="G351" s="5">
        <f t="shared" ca="1" si="65"/>
        <v>790</v>
      </c>
      <c r="H351" s="5">
        <f t="shared" ca="1" si="58"/>
        <v>700</v>
      </c>
      <c r="I351" s="63">
        <f t="shared" ca="1" si="64"/>
        <v>0</v>
      </c>
      <c r="J351" s="5">
        <f t="shared" ca="1" si="59"/>
        <v>0</v>
      </c>
      <c r="K351" s="5">
        <f t="shared" ca="1" si="60"/>
        <v>0</v>
      </c>
      <c r="L351" s="5">
        <f t="shared" ca="1" si="61"/>
        <v>0</v>
      </c>
      <c r="M351" s="5">
        <f t="shared" ca="1" si="62"/>
        <v>0</v>
      </c>
      <c r="N351" s="6">
        <f t="shared" ca="1" si="56"/>
        <v>19.17808219178082</v>
      </c>
      <c r="O351" s="5">
        <f t="shared" si="63"/>
        <v>0</v>
      </c>
    </row>
    <row r="352" spans="2:15" ht="13.2" customHeight="1">
      <c r="B352" s="21"/>
      <c r="E352" s="5">
        <v>348</v>
      </c>
      <c r="F352" s="5">
        <f t="shared" ca="1" si="57"/>
        <v>90</v>
      </c>
      <c r="G352" s="5">
        <f t="shared" ca="1" si="65"/>
        <v>700</v>
      </c>
      <c r="H352" s="5">
        <f t="shared" ca="1" si="58"/>
        <v>610</v>
      </c>
      <c r="I352" s="63">
        <f t="shared" ca="1" si="64"/>
        <v>0</v>
      </c>
      <c r="J352" s="5">
        <f t="shared" ca="1" si="59"/>
        <v>0</v>
      </c>
      <c r="K352" s="5">
        <f t="shared" ca="1" si="60"/>
        <v>0</v>
      </c>
      <c r="L352" s="5">
        <f t="shared" ca="1" si="61"/>
        <v>0</v>
      </c>
      <c r="M352" s="5">
        <f t="shared" ca="1" si="62"/>
        <v>0</v>
      </c>
      <c r="N352" s="6">
        <f t="shared" ca="1" si="56"/>
        <v>16.712328767123285</v>
      </c>
      <c r="O352" s="5">
        <f t="shared" si="63"/>
        <v>0</v>
      </c>
    </row>
    <row r="353" spans="2:15" ht="13.2" customHeight="1">
      <c r="B353" s="21"/>
      <c r="E353" s="5">
        <v>349</v>
      </c>
      <c r="F353" s="5">
        <f t="shared" ca="1" si="57"/>
        <v>110</v>
      </c>
      <c r="G353" s="5">
        <f t="shared" ca="1" si="65"/>
        <v>610</v>
      </c>
      <c r="H353" s="5">
        <f t="shared" ca="1" si="58"/>
        <v>500</v>
      </c>
      <c r="I353" s="63">
        <f t="shared" ca="1" si="64"/>
        <v>0</v>
      </c>
      <c r="J353" s="5">
        <f t="shared" ca="1" si="59"/>
        <v>0</v>
      </c>
      <c r="K353" s="5">
        <f t="shared" ca="1" si="60"/>
        <v>0</v>
      </c>
      <c r="L353" s="5">
        <f t="shared" ca="1" si="61"/>
        <v>0</v>
      </c>
      <c r="M353" s="5">
        <f t="shared" ca="1" si="62"/>
        <v>0</v>
      </c>
      <c r="N353" s="6">
        <f t="shared" ca="1" si="56"/>
        <v>13.698630136986301</v>
      </c>
      <c r="O353" s="5">
        <f t="shared" si="63"/>
        <v>0</v>
      </c>
    </row>
    <row r="354" spans="2:15" ht="13.2" customHeight="1">
      <c r="B354" s="21"/>
      <c r="E354" s="5">
        <v>350</v>
      </c>
      <c r="F354" s="5">
        <f t="shared" ca="1" si="57"/>
        <v>80</v>
      </c>
      <c r="G354" s="5">
        <f t="shared" ca="1" si="65"/>
        <v>500</v>
      </c>
      <c r="H354" s="5">
        <f t="shared" ca="1" si="58"/>
        <v>420</v>
      </c>
      <c r="I354" s="63">
        <f t="shared" ca="1" si="64"/>
        <v>0</v>
      </c>
      <c r="J354" s="5">
        <f t="shared" ca="1" si="59"/>
        <v>0</v>
      </c>
      <c r="K354" s="5">
        <f t="shared" ca="1" si="60"/>
        <v>0</v>
      </c>
      <c r="L354" s="5">
        <f t="shared" ca="1" si="61"/>
        <v>0</v>
      </c>
      <c r="M354" s="5">
        <f t="shared" ca="1" si="62"/>
        <v>0</v>
      </c>
      <c r="N354" s="6">
        <f t="shared" ca="1" si="56"/>
        <v>11.506849315068493</v>
      </c>
      <c r="O354" s="5">
        <f t="shared" si="63"/>
        <v>0</v>
      </c>
    </row>
    <row r="355" spans="2:15" ht="13.2" customHeight="1">
      <c r="B355" s="21"/>
      <c r="E355" s="5">
        <v>351</v>
      </c>
      <c r="F355" s="5">
        <f t="shared" ca="1" si="57"/>
        <v>110</v>
      </c>
      <c r="G355" s="5">
        <f t="shared" ca="1" si="65"/>
        <v>420</v>
      </c>
      <c r="H355" s="5">
        <f t="shared" ca="1" si="58"/>
        <v>310</v>
      </c>
      <c r="I355" s="63">
        <f t="shared" ca="1" si="64"/>
        <v>0</v>
      </c>
      <c r="J355" s="5">
        <f t="shared" ca="1" si="59"/>
        <v>0</v>
      </c>
      <c r="K355" s="5">
        <f t="shared" ca="1" si="60"/>
        <v>0</v>
      </c>
      <c r="L355" s="5">
        <f t="shared" ca="1" si="61"/>
        <v>0</v>
      </c>
      <c r="M355" s="5">
        <f t="shared" ca="1" si="62"/>
        <v>0</v>
      </c>
      <c r="N355" s="6">
        <f t="shared" ca="1" si="56"/>
        <v>8.493150684931507</v>
      </c>
      <c r="O355" s="5">
        <f t="shared" si="63"/>
        <v>0</v>
      </c>
    </row>
    <row r="356" spans="2:15" ht="13.2" customHeight="1">
      <c r="B356" s="21"/>
      <c r="E356" s="5">
        <v>352</v>
      </c>
      <c r="F356" s="5">
        <f t="shared" ca="1" si="57"/>
        <v>100</v>
      </c>
      <c r="G356" s="5">
        <f t="shared" ca="1" si="65"/>
        <v>310</v>
      </c>
      <c r="H356" s="5">
        <f t="shared" ca="1" si="58"/>
        <v>210</v>
      </c>
      <c r="I356" s="63">
        <f t="shared" ca="1" si="64"/>
        <v>0</v>
      </c>
      <c r="J356" s="5">
        <f t="shared" ca="1" si="59"/>
        <v>0</v>
      </c>
      <c r="K356" s="5">
        <f t="shared" ca="1" si="60"/>
        <v>0</v>
      </c>
      <c r="L356" s="5">
        <f t="shared" ca="1" si="61"/>
        <v>0</v>
      </c>
      <c r="M356" s="5">
        <f t="shared" ca="1" si="62"/>
        <v>0</v>
      </c>
      <c r="N356" s="6">
        <f t="shared" ca="1" si="56"/>
        <v>5.7534246575342465</v>
      </c>
      <c r="O356" s="5">
        <f t="shared" si="63"/>
        <v>0</v>
      </c>
    </row>
    <row r="357" spans="2:15" ht="13.2" customHeight="1">
      <c r="B357" s="21"/>
      <c r="E357" s="5">
        <v>353</v>
      </c>
      <c r="F357" s="5">
        <f t="shared" ca="1" si="57"/>
        <v>80</v>
      </c>
      <c r="G357" s="5">
        <f t="shared" ca="1" si="65"/>
        <v>210</v>
      </c>
      <c r="H357" s="5">
        <f t="shared" ca="1" si="58"/>
        <v>130</v>
      </c>
      <c r="I357" s="63">
        <f t="shared" ca="1" si="64"/>
        <v>0</v>
      </c>
      <c r="J357" s="5">
        <f t="shared" ca="1" si="59"/>
        <v>0</v>
      </c>
      <c r="K357" s="5">
        <f t="shared" ca="1" si="60"/>
        <v>0</v>
      </c>
      <c r="L357" s="5">
        <f t="shared" ca="1" si="61"/>
        <v>0</v>
      </c>
      <c r="M357" s="5">
        <f t="shared" ca="1" si="62"/>
        <v>0</v>
      </c>
      <c r="N357" s="6">
        <f t="shared" ca="1" si="56"/>
        <v>3.5616438356164384</v>
      </c>
      <c r="O357" s="5">
        <f t="shared" si="63"/>
        <v>0</v>
      </c>
    </row>
    <row r="358" spans="2:15" ht="13.2" customHeight="1">
      <c r="B358" s="21"/>
      <c r="E358" s="5">
        <v>354</v>
      </c>
      <c r="F358" s="5">
        <f t="shared" ca="1" si="57"/>
        <v>110</v>
      </c>
      <c r="G358" s="5">
        <f t="shared" ca="1" si="65"/>
        <v>130</v>
      </c>
      <c r="H358" s="5">
        <f t="shared" ca="1" si="58"/>
        <v>20</v>
      </c>
      <c r="I358" s="63">
        <f t="shared" ca="1" si="64"/>
        <v>1</v>
      </c>
      <c r="J358" s="5">
        <f t="shared" ca="1" si="59"/>
        <v>0</v>
      </c>
      <c r="K358" s="5">
        <f t="shared" ca="1" si="60"/>
        <v>0</v>
      </c>
      <c r="L358" s="5">
        <f t="shared" ca="1" si="61"/>
        <v>0</v>
      </c>
      <c r="M358" s="5">
        <f t="shared" ca="1" si="62"/>
        <v>200</v>
      </c>
      <c r="N358" s="6">
        <f t="shared" ca="1" si="56"/>
        <v>0.54794520547945202</v>
      </c>
      <c r="O358" s="5">
        <f t="shared" si="63"/>
        <v>0</v>
      </c>
    </row>
    <row r="359" spans="2:15" ht="13.2" customHeight="1">
      <c r="B359" s="21"/>
      <c r="E359" s="5">
        <v>355</v>
      </c>
      <c r="F359" s="5">
        <f t="shared" ca="1" si="57"/>
        <v>100</v>
      </c>
      <c r="G359" s="5">
        <f t="shared" ca="1" si="65"/>
        <v>1020</v>
      </c>
      <c r="H359" s="5">
        <f t="shared" ca="1" si="58"/>
        <v>920</v>
      </c>
      <c r="I359" s="63">
        <f t="shared" ca="1" si="64"/>
        <v>0</v>
      </c>
      <c r="J359" s="5">
        <f t="shared" ca="1" si="59"/>
        <v>0</v>
      </c>
      <c r="K359" s="5">
        <f t="shared" ca="1" si="60"/>
        <v>0</v>
      </c>
      <c r="L359" s="5">
        <f t="shared" ca="1" si="61"/>
        <v>0</v>
      </c>
      <c r="M359" s="5">
        <f t="shared" ca="1" si="62"/>
        <v>0</v>
      </c>
      <c r="N359" s="6">
        <f t="shared" ca="1" si="56"/>
        <v>25.205479452054792</v>
      </c>
      <c r="O359" s="5">
        <f t="shared" si="63"/>
        <v>0</v>
      </c>
    </row>
    <row r="360" spans="2:15" ht="13.2" customHeight="1">
      <c r="B360" s="21"/>
      <c r="E360" s="5">
        <v>356</v>
      </c>
      <c r="F360" s="5">
        <f t="shared" ca="1" si="57"/>
        <v>90</v>
      </c>
      <c r="G360" s="5">
        <f t="shared" ca="1" si="65"/>
        <v>920</v>
      </c>
      <c r="H360" s="5">
        <f t="shared" ca="1" si="58"/>
        <v>830</v>
      </c>
      <c r="I360" s="63">
        <f t="shared" ca="1" si="64"/>
        <v>0</v>
      </c>
      <c r="J360" s="5">
        <f t="shared" ca="1" si="59"/>
        <v>0</v>
      </c>
      <c r="K360" s="5">
        <f t="shared" ca="1" si="60"/>
        <v>0</v>
      </c>
      <c r="L360" s="5">
        <f t="shared" ca="1" si="61"/>
        <v>0</v>
      </c>
      <c r="M360" s="5">
        <f t="shared" ca="1" si="62"/>
        <v>0</v>
      </c>
      <c r="N360" s="6">
        <f t="shared" ca="1" si="56"/>
        <v>22.739726027397261</v>
      </c>
      <c r="O360" s="5">
        <f t="shared" si="63"/>
        <v>0</v>
      </c>
    </row>
    <row r="361" spans="2:15" ht="13.2" customHeight="1">
      <c r="B361" s="21"/>
      <c r="E361" s="5">
        <v>357</v>
      </c>
      <c r="F361" s="5">
        <f t="shared" ca="1" si="57"/>
        <v>120</v>
      </c>
      <c r="G361" s="5">
        <f t="shared" ca="1" si="65"/>
        <v>830</v>
      </c>
      <c r="H361" s="5">
        <f t="shared" ca="1" si="58"/>
        <v>710</v>
      </c>
      <c r="I361" s="63">
        <f t="shared" ca="1" si="64"/>
        <v>0</v>
      </c>
      <c r="J361" s="5">
        <f t="shared" ca="1" si="59"/>
        <v>0</v>
      </c>
      <c r="K361" s="5">
        <f t="shared" ca="1" si="60"/>
        <v>0</v>
      </c>
      <c r="L361" s="5">
        <f t="shared" ca="1" si="61"/>
        <v>0</v>
      </c>
      <c r="M361" s="5">
        <f t="shared" ca="1" si="62"/>
        <v>0</v>
      </c>
      <c r="N361" s="6">
        <f t="shared" ca="1" si="56"/>
        <v>19.452054794520546</v>
      </c>
      <c r="O361" s="5">
        <f t="shared" si="63"/>
        <v>0</v>
      </c>
    </row>
    <row r="362" spans="2:15" ht="13.2" customHeight="1">
      <c r="B362" s="21"/>
      <c r="E362" s="5">
        <v>358</v>
      </c>
      <c r="F362" s="5">
        <f t="shared" ca="1" si="57"/>
        <v>90</v>
      </c>
      <c r="G362" s="5">
        <f t="shared" ca="1" si="65"/>
        <v>710</v>
      </c>
      <c r="H362" s="5">
        <f t="shared" ca="1" si="58"/>
        <v>620</v>
      </c>
      <c r="I362" s="63">
        <f t="shared" ca="1" si="64"/>
        <v>0</v>
      </c>
      <c r="J362" s="5">
        <f t="shared" ca="1" si="59"/>
        <v>0</v>
      </c>
      <c r="K362" s="5">
        <f t="shared" ca="1" si="60"/>
        <v>0</v>
      </c>
      <c r="L362" s="5">
        <f t="shared" ca="1" si="61"/>
        <v>0</v>
      </c>
      <c r="M362" s="5">
        <f t="shared" ca="1" si="62"/>
        <v>0</v>
      </c>
      <c r="N362" s="6">
        <f t="shared" ca="1" si="56"/>
        <v>16.986301369863014</v>
      </c>
      <c r="O362" s="5">
        <f t="shared" si="63"/>
        <v>0</v>
      </c>
    </row>
    <row r="363" spans="2:15" ht="13.2" customHeight="1">
      <c r="B363" s="21"/>
      <c r="E363" s="5">
        <v>359</v>
      </c>
      <c r="F363" s="5">
        <f t="shared" ca="1" si="57"/>
        <v>80</v>
      </c>
      <c r="G363" s="5">
        <f t="shared" ca="1" si="65"/>
        <v>620</v>
      </c>
      <c r="H363" s="5">
        <f t="shared" ca="1" si="58"/>
        <v>540</v>
      </c>
      <c r="I363" s="63">
        <f t="shared" ca="1" si="64"/>
        <v>0</v>
      </c>
      <c r="J363" s="5">
        <f t="shared" ca="1" si="59"/>
        <v>0</v>
      </c>
      <c r="K363" s="5">
        <f t="shared" ca="1" si="60"/>
        <v>0</v>
      </c>
      <c r="L363" s="5">
        <f t="shared" ca="1" si="61"/>
        <v>0</v>
      </c>
      <c r="M363" s="5">
        <f t="shared" ca="1" si="62"/>
        <v>0</v>
      </c>
      <c r="N363" s="6">
        <f t="shared" ca="1" si="56"/>
        <v>14.794520547945204</v>
      </c>
      <c r="O363" s="5">
        <f t="shared" si="63"/>
        <v>0</v>
      </c>
    </row>
    <row r="364" spans="2:15" ht="13.2" customHeight="1">
      <c r="B364" s="21"/>
      <c r="E364" s="5">
        <v>360</v>
      </c>
      <c r="F364" s="5">
        <f t="shared" ca="1" si="57"/>
        <v>110</v>
      </c>
      <c r="G364" s="5">
        <f t="shared" ca="1" si="65"/>
        <v>540</v>
      </c>
      <c r="H364" s="5">
        <f t="shared" ca="1" si="58"/>
        <v>430</v>
      </c>
      <c r="I364" s="63">
        <f t="shared" ca="1" si="64"/>
        <v>0</v>
      </c>
      <c r="J364" s="5">
        <f t="shared" ca="1" si="59"/>
        <v>0</v>
      </c>
      <c r="K364" s="5">
        <f t="shared" ca="1" si="60"/>
        <v>0</v>
      </c>
      <c r="L364" s="5">
        <f t="shared" ca="1" si="61"/>
        <v>0</v>
      </c>
      <c r="M364" s="5">
        <f t="shared" ca="1" si="62"/>
        <v>0</v>
      </c>
      <c r="N364" s="6">
        <f t="shared" ca="1" si="56"/>
        <v>11.780821917808218</v>
      </c>
      <c r="O364" s="5">
        <f t="shared" si="63"/>
        <v>0</v>
      </c>
    </row>
    <row r="365" spans="2:15" ht="13.2" customHeight="1">
      <c r="B365" s="21"/>
      <c r="E365" s="5">
        <v>361</v>
      </c>
      <c r="F365" s="5">
        <f t="shared" ca="1" si="57"/>
        <v>90</v>
      </c>
      <c r="G365" s="5">
        <f t="shared" ca="1" si="65"/>
        <v>430</v>
      </c>
      <c r="H365" s="5">
        <f t="shared" ca="1" si="58"/>
        <v>340</v>
      </c>
      <c r="I365" s="63">
        <f t="shared" ca="1" si="64"/>
        <v>0</v>
      </c>
      <c r="J365" s="5">
        <f t="shared" ca="1" si="59"/>
        <v>0</v>
      </c>
      <c r="K365" s="5">
        <f t="shared" ca="1" si="60"/>
        <v>0</v>
      </c>
      <c r="L365" s="5">
        <f t="shared" ca="1" si="61"/>
        <v>0</v>
      </c>
      <c r="M365" s="5">
        <f t="shared" ca="1" si="62"/>
        <v>0</v>
      </c>
      <c r="N365" s="6">
        <f t="shared" ca="1" si="56"/>
        <v>9.3150684931506849</v>
      </c>
      <c r="O365" s="5">
        <f t="shared" si="63"/>
        <v>0</v>
      </c>
    </row>
    <row r="366" spans="2:15" ht="13.2" customHeight="1">
      <c r="B366" s="21"/>
      <c r="E366" s="5">
        <v>362</v>
      </c>
      <c r="F366" s="5">
        <f t="shared" ca="1" si="57"/>
        <v>110</v>
      </c>
      <c r="G366" s="5">
        <f t="shared" ca="1" si="65"/>
        <v>340</v>
      </c>
      <c r="H366" s="5">
        <f t="shared" ca="1" si="58"/>
        <v>230</v>
      </c>
      <c r="I366" s="63">
        <f t="shared" ca="1" si="64"/>
        <v>0</v>
      </c>
      <c r="J366" s="5">
        <f t="shared" ca="1" si="59"/>
        <v>0</v>
      </c>
      <c r="K366" s="5">
        <f t="shared" ca="1" si="60"/>
        <v>0</v>
      </c>
      <c r="L366" s="5">
        <f t="shared" ca="1" si="61"/>
        <v>0</v>
      </c>
      <c r="M366" s="5">
        <f t="shared" ca="1" si="62"/>
        <v>0</v>
      </c>
      <c r="N366" s="6">
        <f t="shared" ca="1" si="56"/>
        <v>6.3013698630136981</v>
      </c>
      <c r="O366" s="5">
        <f t="shared" si="63"/>
        <v>0</v>
      </c>
    </row>
    <row r="367" spans="2:15" ht="13.2" customHeight="1">
      <c r="B367" s="21"/>
      <c r="E367" s="5">
        <v>363</v>
      </c>
      <c r="F367" s="5">
        <f t="shared" ca="1" si="57"/>
        <v>120</v>
      </c>
      <c r="G367" s="5">
        <f t="shared" ca="1" si="65"/>
        <v>230</v>
      </c>
      <c r="H367" s="5">
        <f t="shared" ca="1" si="58"/>
        <v>110</v>
      </c>
      <c r="I367" s="63">
        <f t="shared" ca="1" si="64"/>
        <v>0</v>
      </c>
      <c r="J367" s="5">
        <f t="shared" ca="1" si="59"/>
        <v>0</v>
      </c>
      <c r="K367" s="5">
        <f t="shared" ca="1" si="60"/>
        <v>0</v>
      </c>
      <c r="L367" s="5">
        <f t="shared" ca="1" si="61"/>
        <v>0</v>
      </c>
      <c r="M367" s="5">
        <f t="shared" ca="1" si="62"/>
        <v>0</v>
      </c>
      <c r="N367" s="6">
        <f t="shared" ca="1" si="56"/>
        <v>3.0136986301369859</v>
      </c>
      <c r="O367" s="5">
        <f t="shared" si="63"/>
        <v>0</v>
      </c>
    </row>
    <row r="368" spans="2:15" ht="13.2" customHeight="1">
      <c r="B368" s="23" t="str">
        <f>"查看第"&amp;O4&amp;"天库存"</f>
        <v>查看第15天库存</v>
      </c>
      <c r="C368" s="29"/>
      <c r="E368" s="5">
        <v>364</v>
      </c>
      <c r="F368" s="5">
        <f t="shared" ca="1" si="57"/>
        <v>120</v>
      </c>
      <c r="G368" s="5">
        <f t="shared" ca="1" si="65"/>
        <v>110</v>
      </c>
      <c r="H368" s="5">
        <f t="shared" ca="1" si="58"/>
        <v>0</v>
      </c>
      <c r="I368" s="63">
        <f t="shared" ca="1" si="64"/>
        <v>1</v>
      </c>
      <c r="J368" s="5">
        <f t="shared" ca="1" si="59"/>
        <v>1</v>
      </c>
      <c r="K368" s="5">
        <f t="shared" ca="1" si="60"/>
        <v>10</v>
      </c>
      <c r="L368" s="5">
        <f t="shared" ca="1" si="61"/>
        <v>500</v>
      </c>
      <c r="M368" s="5">
        <f t="shared" ca="1" si="62"/>
        <v>200</v>
      </c>
      <c r="N368" s="6">
        <f t="shared" ca="1" si="56"/>
        <v>0</v>
      </c>
      <c r="O368" s="5">
        <f t="shared" si="63"/>
        <v>0</v>
      </c>
    </row>
    <row r="369" spans="2:15" ht="13.2" customHeight="1">
      <c r="B369" s="23" t="str">
        <f>B3&amp;"="&amp;C3</f>
        <v>安全库存=100</v>
      </c>
      <c r="C369" s="29"/>
      <c r="E369" s="5">
        <v>365</v>
      </c>
      <c r="F369" s="5">
        <f t="shared" ca="1" si="57"/>
        <v>100</v>
      </c>
      <c r="G369" s="5">
        <f t="shared" ca="1" si="65"/>
        <v>0</v>
      </c>
      <c r="H369" s="5">
        <f t="shared" ca="1" si="58"/>
        <v>0</v>
      </c>
      <c r="I369" s="63">
        <f t="shared" ca="1" si="64"/>
        <v>0</v>
      </c>
      <c r="J369" s="5">
        <f t="shared" ca="1" si="59"/>
        <v>0</v>
      </c>
      <c r="K369" s="5">
        <f t="shared" ca="1" si="60"/>
        <v>100</v>
      </c>
      <c r="L369" s="5">
        <f t="shared" ca="1" si="61"/>
        <v>5000</v>
      </c>
      <c r="M369" s="5">
        <f t="shared" ca="1" si="62"/>
        <v>0</v>
      </c>
      <c r="N369" s="16">
        <f t="shared" ca="1" si="56"/>
        <v>0</v>
      </c>
      <c r="O369" s="5">
        <f t="shared" si="63"/>
        <v>0</v>
      </c>
    </row>
    <row r="370" spans="2:15">
      <c r="B370" s="66" t="str">
        <f>B9&amp;"="&amp;C9</f>
        <v>订货量=1000</v>
      </c>
      <c r="C370" s="6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</row>
    <row r="371" spans="2:15" ht="13.2" customHeight="1">
      <c r="F371" s="12"/>
      <c r="G371" s="13"/>
      <c r="L371" s="14"/>
      <c r="M371" s="14"/>
      <c r="N371" s="4"/>
    </row>
    <row r="372" spans="2:15" ht="13.2" customHeight="1">
      <c r="F372" s="12"/>
      <c r="G372" s="13"/>
      <c r="L372" s="14"/>
      <c r="M372" s="14"/>
      <c r="N372" s="4"/>
    </row>
    <row r="373" spans="2:15" ht="13.2" customHeight="1">
      <c r="F373" s="12"/>
      <c r="G373" s="13"/>
      <c r="L373" s="14"/>
      <c r="M373" s="14"/>
      <c r="N373" s="4"/>
    </row>
    <row r="374" spans="2:15" ht="13.2" customHeight="1">
      <c r="F374" s="12"/>
      <c r="G374" s="13"/>
      <c r="L374" s="14"/>
      <c r="M374" s="14"/>
      <c r="N374" s="4"/>
    </row>
    <row r="375" spans="2:15" ht="13.2" customHeight="1">
      <c r="F375" s="12"/>
      <c r="G375" s="13"/>
      <c r="L375" s="14"/>
      <c r="M375" s="14"/>
      <c r="N375" s="4"/>
    </row>
    <row r="376" spans="2:15" ht="13.2" customHeight="1">
      <c r="F376" s="12"/>
      <c r="G376" s="13"/>
      <c r="L376" s="14"/>
      <c r="M376" s="14"/>
      <c r="N376" s="4"/>
    </row>
    <row r="377" spans="2:15" ht="13.2" customHeight="1">
      <c r="F377" s="12"/>
      <c r="G377" s="13"/>
      <c r="L377" s="14"/>
      <c r="M377" s="14"/>
      <c r="N377" s="4"/>
    </row>
    <row r="378" spans="2:15" ht="13.2" customHeight="1">
      <c r="F378" s="12"/>
      <c r="G378" s="13"/>
      <c r="L378" s="14"/>
      <c r="M378" s="14"/>
      <c r="N378" s="4"/>
    </row>
    <row r="379" spans="2:15" ht="13.2" customHeight="1">
      <c r="F379" s="12"/>
      <c r="G379" s="13"/>
      <c r="L379" s="14"/>
      <c r="M379" s="14"/>
      <c r="N379" s="4"/>
    </row>
    <row r="380" spans="2:15" ht="13.2" customHeight="1">
      <c r="F380" s="12"/>
      <c r="G380" s="13"/>
      <c r="L380" s="14"/>
      <c r="M380" s="14"/>
      <c r="N380" s="4"/>
    </row>
    <row r="381" spans="2:15" ht="13.2" customHeight="1">
      <c r="F381" s="12"/>
      <c r="G381" s="13"/>
      <c r="L381" s="14"/>
      <c r="M381" s="14"/>
      <c r="N381" s="4"/>
    </row>
    <row r="382" spans="2:15" ht="13.2" customHeight="1">
      <c r="F382" s="12"/>
      <c r="G382" s="13"/>
      <c r="L382" s="14"/>
      <c r="M382" s="14"/>
      <c r="N382" s="4"/>
    </row>
    <row r="383" spans="2:15" ht="13.2" customHeight="1">
      <c r="F383" s="12"/>
      <c r="G383" s="13"/>
      <c r="L383" s="14"/>
      <c r="M383" s="14"/>
      <c r="N383" s="4"/>
    </row>
    <row r="384" spans="2:15" ht="13.2" customHeight="1">
      <c r="F384" s="12"/>
      <c r="G384" s="13"/>
      <c r="L384" s="14"/>
      <c r="M384" s="14"/>
      <c r="N384" s="4"/>
    </row>
    <row r="385" spans="6:14" ht="13.2" customHeight="1">
      <c r="F385" s="12"/>
      <c r="G385" s="13"/>
      <c r="L385" s="14"/>
      <c r="M385" s="14"/>
      <c r="N385" s="4"/>
    </row>
    <row r="386" spans="6:14" ht="13.2" customHeight="1">
      <c r="F386" s="12"/>
      <c r="G386" s="13"/>
      <c r="L386" s="14"/>
      <c r="M386" s="14"/>
      <c r="N386" s="4"/>
    </row>
    <row r="387" spans="6:14" ht="13.2" customHeight="1">
      <c r="F387" s="12"/>
      <c r="G387" s="13"/>
      <c r="L387" s="14"/>
      <c r="M387" s="14"/>
      <c r="N387" s="4"/>
    </row>
    <row r="388" spans="6:14" ht="13.2" customHeight="1">
      <c r="F388" s="12"/>
      <c r="G388" s="13"/>
      <c r="L388" s="14"/>
      <c r="M388" s="14"/>
      <c r="N388" s="4"/>
    </row>
    <row r="389" spans="6:14" ht="13.2" customHeight="1">
      <c r="F389" s="12"/>
      <c r="G389" s="13"/>
      <c r="L389" s="14"/>
      <c r="M389" s="14"/>
      <c r="N389" s="4"/>
    </row>
    <row r="390" spans="6:14" ht="13.2" customHeight="1">
      <c r="F390" s="12"/>
      <c r="G390" s="13"/>
      <c r="L390" s="14"/>
      <c r="M390" s="14"/>
      <c r="N390" s="4"/>
    </row>
    <row r="391" spans="6:14" ht="13.2" customHeight="1">
      <c r="F391" s="12"/>
      <c r="G391" s="13"/>
      <c r="L391" s="14"/>
      <c r="M391" s="14"/>
      <c r="N391" s="4"/>
    </row>
    <row r="392" spans="6:14" ht="13.2" customHeight="1">
      <c r="F392" s="12"/>
      <c r="G392" s="13"/>
      <c r="L392" s="14"/>
      <c r="M392" s="14"/>
      <c r="N392" s="4"/>
    </row>
    <row r="393" spans="6:14" ht="13.2" customHeight="1">
      <c r="F393" s="12"/>
      <c r="G393" s="13"/>
      <c r="L393" s="14"/>
      <c r="M393" s="14"/>
      <c r="N393" s="4"/>
    </row>
    <row r="394" spans="6:14" ht="13.2" customHeight="1">
      <c r="F394" s="12"/>
      <c r="G394" s="13"/>
      <c r="L394" s="14"/>
      <c r="M394" s="14"/>
      <c r="N394" s="4"/>
    </row>
    <row r="395" spans="6:14" ht="13.2" customHeight="1">
      <c r="F395" s="12"/>
      <c r="G395" s="13"/>
      <c r="L395" s="14"/>
      <c r="M395" s="14"/>
      <c r="N395" s="4"/>
    </row>
    <row r="396" spans="6:14" ht="13.2" customHeight="1">
      <c r="F396" s="12"/>
      <c r="G396" s="13"/>
      <c r="L396" s="14"/>
      <c r="M396" s="14"/>
      <c r="N396" s="4"/>
    </row>
    <row r="397" spans="6:14" ht="13.2" customHeight="1">
      <c r="F397" s="12"/>
      <c r="G397" s="13"/>
      <c r="L397" s="14"/>
      <c r="M397" s="14"/>
      <c r="N397" s="4"/>
    </row>
    <row r="398" spans="6:14" ht="13.2" customHeight="1">
      <c r="F398" s="12"/>
      <c r="G398" s="13"/>
      <c r="L398" s="14"/>
      <c r="M398" s="14"/>
      <c r="N398" s="4"/>
    </row>
    <row r="399" spans="6:14" ht="13.2" customHeight="1">
      <c r="F399" s="12"/>
      <c r="G399" s="13"/>
      <c r="L399" s="14"/>
      <c r="M399" s="14"/>
      <c r="N399" s="4"/>
    </row>
    <row r="400" spans="6:14" ht="13.2" customHeight="1">
      <c r="F400" s="12"/>
      <c r="G400" s="13"/>
      <c r="L400" s="14"/>
      <c r="M400" s="14"/>
      <c r="N400" s="4"/>
    </row>
    <row r="401" spans="6:14" ht="13.2" customHeight="1">
      <c r="F401" s="12"/>
      <c r="G401" s="13"/>
      <c r="L401" s="14"/>
      <c r="M401" s="14"/>
      <c r="N401" s="4"/>
    </row>
    <row r="402" spans="6:14" ht="13.2" customHeight="1">
      <c r="F402" s="12"/>
      <c r="G402" s="13"/>
      <c r="L402" s="14"/>
      <c r="M402" s="14"/>
      <c r="N402" s="4"/>
    </row>
    <row r="403" spans="6:14" ht="13.2" customHeight="1">
      <c r="F403" s="12"/>
      <c r="G403" s="13"/>
      <c r="L403" s="14"/>
      <c r="M403" s="14"/>
      <c r="N403" s="4"/>
    </row>
    <row r="404" spans="6:14" ht="13.2" customHeight="1">
      <c r="F404" s="12"/>
      <c r="G404" s="13"/>
      <c r="L404" s="14"/>
      <c r="M404" s="14"/>
      <c r="N404" s="4"/>
    </row>
    <row r="405" spans="6:14" ht="13.2" customHeight="1">
      <c r="F405" s="12"/>
      <c r="G405" s="13"/>
      <c r="L405" s="14"/>
      <c r="M405" s="14"/>
      <c r="N405" s="4"/>
    </row>
    <row r="406" spans="6:14" ht="13.2" customHeight="1">
      <c r="F406" s="12"/>
      <c r="G406" s="13"/>
      <c r="L406" s="14"/>
      <c r="M406" s="14"/>
      <c r="N406" s="4"/>
    </row>
    <row r="407" spans="6:14" ht="13.2" customHeight="1">
      <c r="F407" s="12"/>
      <c r="G407" s="13"/>
      <c r="L407" s="14"/>
      <c r="M407" s="14"/>
      <c r="N407" s="4"/>
    </row>
    <row r="408" spans="6:14" ht="13.2" customHeight="1">
      <c r="F408" s="12"/>
      <c r="G408" s="13"/>
      <c r="L408" s="14"/>
      <c r="M408" s="14"/>
      <c r="N408" s="4"/>
    </row>
    <row r="409" spans="6:14" ht="13.2" customHeight="1">
      <c r="F409" s="12"/>
      <c r="G409" s="13"/>
      <c r="L409" s="14"/>
      <c r="M409" s="14"/>
      <c r="N409" s="4"/>
    </row>
    <row r="410" spans="6:14" ht="13.2" customHeight="1">
      <c r="F410" s="12"/>
      <c r="G410" s="13"/>
      <c r="L410" s="14"/>
      <c r="M410" s="14"/>
      <c r="N410" s="4"/>
    </row>
    <row r="411" spans="6:14" ht="13.2" customHeight="1">
      <c r="F411" s="12"/>
      <c r="G411" s="13"/>
      <c r="L411" s="14"/>
      <c r="M411" s="14"/>
      <c r="N411" s="4"/>
    </row>
    <row r="412" spans="6:14" ht="13.2" customHeight="1">
      <c r="F412" s="12"/>
      <c r="G412" s="13"/>
      <c r="L412" s="14"/>
      <c r="M412" s="14"/>
      <c r="N412" s="4"/>
    </row>
    <row r="413" spans="6:14" ht="13.2" customHeight="1">
      <c r="F413" s="12"/>
      <c r="G413" s="13"/>
      <c r="L413" s="14"/>
      <c r="M413" s="14"/>
      <c r="N413" s="4"/>
    </row>
    <row r="414" spans="6:14" ht="13.2" customHeight="1">
      <c r="F414" s="12"/>
      <c r="G414" s="13"/>
      <c r="L414" s="14"/>
      <c r="M414" s="14"/>
      <c r="N414" s="4"/>
    </row>
    <row r="415" spans="6:14" ht="13.2" customHeight="1">
      <c r="F415" s="12"/>
      <c r="G415" s="13"/>
      <c r="L415" s="14"/>
      <c r="M415" s="14"/>
      <c r="N415" s="4"/>
    </row>
    <row r="416" spans="6:14" ht="13.2" customHeight="1">
      <c r="F416" s="12"/>
      <c r="G416" s="13"/>
      <c r="L416" s="14"/>
      <c r="M416" s="14"/>
      <c r="N416" s="4"/>
    </row>
    <row r="417" spans="6:14" ht="13.2" customHeight="1">
      <c r="F417" s="12"/>
      <c r="G417" s="13"/>
      <c r="L417" s="14"/>
      <c r="M417" s="14"/>
      <c r="N417" s="4"/>
    </row>
    <row r="418" spans="6:14" ht="13.2" customHeight="1">
      <c r="F418" s="12"/>
      <c r="G418" s="13"/>
      <c r="L418" s="14"/>
      <c r="M418" s="14"/>
      <c r="N418" s="4"/>
    </row>
    <row r="419" spans="6:14" ht="13.2" customHeight="1">
      <c r="F419" s="12"/>
      <c r="G419" s="13"/>
      <c r="L419" s="14"/>
      <c r="M419" s="14"/>
      <c r="N419" s="4"/>
    </row>
    <row r="420" spans="6:14" ht="13.2" customHeight="1">
      <c r="F420" s="12"/>
      <c r="G420" s="13"/>
      <c r="L420" s="14"/>
      <c r="M420" s="14"/>
      <c r="N420" s="4"/>
    </row>
    <row r="421" spans="6:14" ht="13.2" customHeight="1">
      <c r="F421" s="12"/>
      <c r="G421" s="13"/>
      <c r="L421" s="14"/>
      <c r="M421" s="14"/>
      <c r="N421" s="4"/>
    </row>
    <row r="422" spans="6:14" ht="13.2" customHeight="1">
      <c r="F422" s="12"/>
      <c r="G422" s="13"/>
      <c r="L422" s="14"/>
      <c r="M422" s="14"/>
      <c r="N422" s="4"/>
    </row>
    <row r="423" spans="6:14" ht="13.2" customHeight="1">
      <c r="F423" s="12"/>
      <c r="G423" s="13"/>
      <c r="L423" s="14"/>
      <c r="M423" s="14"/>
      <c r="N423" s="4"/>
    </row>
    <row r="424" spans="6:14" ht="13.2" customHeight="1">
      <c r="F424" s="12"/>
      <c r="G424" s="13"/>
      <c r="L424" s="14"/>
      <c r="M424" s="14"/>
      <c r="N424" s="4"/>
    </row>
    <row r="425" spans="6:14" ht="13.2" customHeight="1"/>
    <row r="426" spans="6:14" ht="13.2" customHeight="1"/>
    <row r="427" spans="6:14" ht="13.2" customHeight="1"/>
    <row r="428" spans="6:14" ht="13.2" customHeight="1"/>
    <row r="429" spans="6:14" ht="13.2" customHeight="1"/>
  </sheetData>
  <mergeCells count="2">
    <mergeCell ref="E2:E3"/>
    <mergeCell ref="B370:C370"/>
  </mergeCells>
  <phoneticPr fontId="2" type="noConversion"/>
  <printOptions headings="1"/>
  <pageMargins left="0.75" right="0.75" top="1" bottom="1" header="0.5" footer="0.5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3</xdr:col>
                    <xdr:colOff>15240</xdr:colOff>
                    <xdr:row>2</xdr:row>
                    <xdr:rowOff>7620</xdr:rowOff>
                  </from>
                  <to>
                    <xdr:col>3</xdr:col>
                    <xdr:colOff>182880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Spinner 3">
              <controlPr defaultSize="0" autoPict="0">
                <anchor moveWithCells="1" sizeWithCells="1">
                  <from>
                    <xdr:col>3</xdr:col>
                    <xdr:colOff>0</xdr:colOff>
                    <xdr:row>7</xdr:row>
                    <xdr:rowOff>144780</xdr:rowOff>
                  </from>
                  <to>
                    <xdr:col>3</xdr:col>
                    <xdr:colOff>175260</xdr:colOff>
                    <xdr:row>8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"/>
  <sheetViews>
    <sheetView showGridLines="0" zoomScale="115" zoomScaleNormal="115" workbookViewId="0">
      <selection activeCell="O15" sqref="O15"/>
    </sheetView>
  </sheetViews>
  <sheetFormatPr defaultRowHeight="13.2"/>
  <sheetData>
    <row r="3" spans="3:3">
      <c r="C3">
        <v>140</v>
      </c>
    </row>
  </sheetData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2</xdr:col>
                    <xdr:colOff>533400</xdr:colOff>
                    <xdr:row>4</xdr:row>
                    <xdr:rowOff>60960</xdr:rowOff>
                  </from>
                  <to>
                    <xdr:col>3</xdr:col>
                    <xdr:colOff>121920</xdr:colOff>
                    <xdr:row>5</xdr:row>
                    <xdr:rowOff>121920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7</xdr:col>
                    <xdr:colOff>91440</xdr:colOff>
                    <xdr:row>4</xdr:row>
                    <xdr:rowOff>68580</xdr:rowOff>
                  </from>
                  <to>
                    <xdr:col>7</xdr:col>
                    <xdr:colOff>304800</xdr:colOff>
                    <xdr:row>5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N429"/>
  <sheetViews>
    <sheetView showGridLines="0" zoomScaleNormal="100" workbookViewId="0">
      <selection activeCell="I6" sqref="I6"/>
    </sheetView>
  </sheetViews>
  <sheetFormatPr defaultColWidth="8.88671875" defaultRowHeight="14.4"/>
  <cols>
    <col min="1" max="1" width="1.44140625" style="1" customWidth="1"/>
    <col min="2" max="2" width="14.88671875" style="1" customWidth="1"/>
    <col min="3" max="3" width="7" style="4" customWidth="1"/>
    <col min="4" max="4" width="1.44140625" style="4" customWidth="1"/>
    <col min="5" max="5" width="4" style="4" customWidth="1"/>
    <col min="6" max="6" width="4.21875" style="4" customWidth="1"/>
    <col min="7" max="7" width="5" style="12" customWidth="1"/>
    <col min="8" max="8" width="4.77734375" style="13" customWidth="1"/>
    <col min="9" max="9" width="4.6640625" style="13" customWidth="1"/>
    <col min="10" max="10" width="4.88671875" style="13" customWidth="1"/>
    <col min="11" max="12" width="4.6640625" style="13" customWidth="1"/>
    <col min="13" max="13" width="5.6640625" style="13" customWidth="1"/>
    <col min="14" max="14" width="1.5546875" style="55" customWidth="1"/>
    <col min="15" max="15" width="1.109375" style="4" customWidth="1"/>
    <col min="16" max="16" width="4.109375" style="4" customWidth="1"/>
    <col min="17" max="17" width="4.77734375" style="4" customWidth="1"/>
    <col min="18" max="18" width="4.6640625" style="7" customWidth="1"/>
    <col min="19" max="19" width="4.6640625" style="4" customWidth="1"/>
    <col min="20" max="20" width="5" style="8" customWidth="1"/>
    <col min="21" max="21" width="4.77734375" style="8" customWidth="1"/>
    <col min="22" max="114" width="5.5546875" style="8" hidden="1" customWidth="1"/>
    <col min="115" max="115" width="0.21875" style="8" hidden="1" customWidth="1"/>
    <col min="116" max="116" width="4.88671875" style="8" customWidth="1"/>
    <col min="117" max="117" width="6.21875" style="8" customWidth="1"/>
    <col min="118" max="118" width="8.88671875" style="8" customWidth="1"/>
    <col min="119" max="16384" width="8.88671875" style="1"/>
  </cols>
  <sheetData>
    <row r="1" spans="2:118">
      <c r="B1" s="21"/>
      <c r="E1" s="17" t="s">
        <v>35</v>
      </c>
      <c r="F1" s="9"/>
      <c r="G1" s="4"/>
      <c r="H1" s="4"/>
      <c r="J1" s="20" t="s">
        <v>36</v>
      </c>
      <c r="K1" s="5">
        <f ca="1">SUM(K5:K369)</f>
        <v>23</v>
      </c>
      <c r="L1" s="5">
        <f ca="1">SUM(L5:L369)</f>
        <v>6600</v>
      </c>
      <c r="M1" s="56">
        <f ca="1">SUM(M5:M369)</f>
        <v>4608.4931506849307</v>
      </c>
      <c r="P1" s="18" t="s">
        <v>46</v>
      </c>
      <c r="Q1" s="8"/>
      <c r="R1" s="8"/>
      <c r="S1" s="8"/>
      <c r="DM1" s="20" t="s">
        <v>39</v>
      </c>
      <c r="DN1" s="1"/>
    </row>
    <row r="2" spans="2:118" ht="13.8" customHeight="1">
      <c r="B2" s="22" t="s">
        <v>34</v>
      </c>
      <c r="E2" s="64" t="s">
        <v>7</v>
      </c>
      <c r="F2" s="31" t="s">
        <v>16</v>
      </c>
      <c r="G2" s="32" t="s">
        <v>8</v>
      </c>
      <c r="H2" s="32" t="s">
        <v>9</v>
      </c>
      <c r="I2" s="33" t="s">
        <v>10</v>
      </c>
      <c r="J2" s="33" t="s">
        <v>53</v>
      </c>
      <c r="K2" s="32" t="s">
        <v>42</v>
      </c>
      <c r="L2" s="33" t="s">
        <v>47</v>
      </c>
      <c r="M2" s="57" t="s">
        <v>49</v>
      </c>
      <c r="P2" s="58">
        <f ca="1">C11</f>
        <v>0.93698630136986305</v>
      </c>
      <c r="Q2" s="36">
        <v>1</v>
      </c>
      <c r="R2" s="36">
        <v>2</v>
      </c>
      <c r="S2" s="36">
        <v>3</v>
      </c>
      <c r="T2" s="36">
        <v>4</v>
      </c>
      <c r="U2" s="36">
        <v>5</v>
      </c>
      <c r="V2" s="36">
        <v>6</v>
      </c>
      <c r="W2" s="36">
        <v>7</v>
      </c>
      <c r="X2" s="36">
        <v>8</v>
      </c>
      <c r="Y2" s="36">
        <v>9</v>
      </c>
      <c r="Z2" s="36">
        <v>10</v>
      </c>
      <c r="AA2" s="36">
        <v>11</v>
      </c>
      <c r="AB2" s="36">
        <v>12</v>
      </c>
      <c r="AC2" s="36">
        <v>13</v>
      </c>
      <c r="AD2" s="36">
        <v>14</v>
      </c>
      <c r="AE2" s="36">
        <v>15</v>
      </c>
      <c r="AF2" s="36">
        <v>16</v>
      </c>
      <c r="AG2" s="36">
        <v>17</v>
      </c>
      <c r="AH2" s="36">
        <v>18</v>
      </c>
      <c r="AI2" s="36">
        <v>19</v>
      </c>
      <c r="AJ2" s="36">
        <v>20</v>
      </c>
      <c r="AK2" s="36">
        <v>21</v>
      </c>
      <c r="AL2" s="36">
        <v>22</v>
      </c>
      <c r="AM2" s="36">
        <v>23</v>
      </c>
      <c r="AN2" s="36">
        <v>24</v>
      </c>
      <c r="AO2" s="36">
        <v>25</v>
      </c>
      <c r="AP2" s="36">
        <v>26</v>
      </c>
      <c r="AQ2" s="36">
        <v>27</v>
      </c>
      <c r="AR2" s="36">
        <v>28</v>
      </c>
      <c r="AS2" s="36">
        <v>29</v>
      </c>
      <c r="AT2" s="36">
        <v>30</v>
      </c>
      <c r="AU2" s="36">
        <v>31</v>
      </c>
      <c r="AV2" s="36">
        <v>32</v>
      </c>
      <c r="AW2" s="36">
        <v>33</v>
      </c>
      <c r="AX2" s="36">
        <v>34</v>
      </c>
      <c r="AY2" s="36">
        <v>35</v>
      </c>
      <c r="AZ2" s="36">
        <v>36</v>
      </c>
      <c r="BA2" s="36">
        <v>37</v>
      </c>
      <c r="BB2" s="36">
        <v>38</v>
      </c>
      <c r="BC2" s="36">
        <v>39</v>
      </c>
      <c r="BD2" s="36">
        <v>40</v>
      </c>
      <c r="BE2" s="36">
        <v>41</v>
      </c>
      <c r="BF2" s="36">
        <v>42</v>
      </c>
      <c r="BG2" s="36">
        <v>43</v>
      </c>
      <c r="BH2" s="36">
        <v>44</v>
      </c>
      <c r="BI2" s="36">
        <v>45</v>
      </c>
      <c r="BJ2" s="36">
        <v>46</v>
      </c>
      <c r="BK2" s="36">
        <v>47</v>
      </c>
      <c r="BL2" s="36">
        <v>48</v>
      </c>
      <c r="BM2" s="36">
        <v>49</v>
      </c>
      <c r="BN2" s="36">
        <v>50</v>
      </c>
      <c r="BO2" s="36">
        <v>51</v>
      </c>
      <c r="BP2" s="36">
        <v>52</v>
      </c>
      <c r="BQ2" s="36">
        <v>53</v>
      </c>
      <c r="BR2" s="36">
        <v>54</v>
      </c>
      <c r="BS2" s="36">
        <v>55</v>
      </c>
      <c r="BT2" s="36">
        <v>56</v>
      </c>
      <c r="BU2" s="36">
        <v>57</v>
      </c>
      <c r="BV2" s="36">
        <v>58</v>
      </c>
      <c r="BW2" s="36">
        <v>59</v>
      </c>
      <c r="BX2" s="36">
        <v>60</v>
      </c>
      <c r="BY2" s="36">
        <v>61</v>
      </c>
      <c r="BZ2" s="36">
        <v>62</v>
      </c>
      <c r="CA2" s="36">
        <v>63</v>
      </c>
      <c r="CB2" s="36">
        <v>64</v>
      </c>
      <c r="CC2" s="36">
        <v>65</v>
      </c>
      <c r="CD2" s="36">
        <v>66</v>
      </c>
      <c r="CE2" s="36">
        <v>67</v>
      </c>
      <c r="CF2" s="36">
        <v>68</v>
      </c>
      <c r="CG2" s="36">
        <v>69</v>
      </c>
      <c r="CH2" s="36">
        <v>70</v>
      </c>
      <c r="CI2" s="36">
        <v>71</v>
      </c>
      <c r="CJ2" s="36">
        <v>72</v>
      </c>
      <c r="CK2" s="36">
        <v>73</v>
      </c>
      <c r="CL2" s="36">
        <v>74</v>
      </c>
      <c r="CM2" s="36">
        <v>75</v>
      </c>
      <c r="CN2" s="36">
        <v>76</v>
      </c>
      <c r="CO2" s="36">
        <v>77</v>
      </c>
      <c r="CP2" s="36">
        <v>78</v>
      </c>
      <c r="CQ2" s="36">
        <v>79</v>
      </c>
      <c r="CR2" s="36">
        <v>80</v>
      </c>
      <c r="CS2" s="36">
        <v>81</v>
      </c>
      <c r="CT2" s="36">
        <v>82</v>
      </c>
      <c r="CU2" s="36">
        <v>83</v>
      </c>
      <c r="CV2" s="36">
        <v>84</v>
      </c>
      <c r="CW2" s="36">
        <v>85</v>
      </c>
      <c r="CX2" s="36">
        <v>86</v>
      </c>
      <c r="CY2" s="36">
        <v>87</v>
      </c>
      <c r="CZ2" s="36">
        <v>88</v>
      </c>
      <c r="DA2" s="36">
        <v>89</v>
      </c>
      <c r="DB2" s="36">
        <v>90</v>
      </c>
      <c r="DC2" s="36">
        <v>91</v>
      </c>
      <c r="DD2" s="36">
        <v>92</v>
      </c>
      <c r="DE2" s="36">
        <v>93</v>
      </c>
      <c r="DF2" s="36">
        <v>94</v>
      </c>
      <c r="DG2" s="36">
        <v>95</v>
      </c>
      <c r="DH2" s="36">
        <v>96</v>
      </c>
      <c r="DI2" s="36">
        <v>97</v>
      </c>
      <c r="DJ2" s="36">
        <v>98</v>
      </c>
      <c r="DK2" s="36">
        <v>99</v>
      </c>
      <c r="DL2" s="36">
        <v>100</v>
      </c>
      <c r="DM2" s="37" t="s">
        <v>31</v>
      </c>
      <c r="DN2" s="1"/>
    </row>
    <row r="3" spans="2:118" ht="13.95" customHeight="1">
      <c r="B3" s="23" t="s">
        <v>26</v>
      </c>
      <c r="C3" s="2">
        <v>100</v>
      </c>
      <c r="E3" s="65"/>
      <c r="F3" s="38" t="s">
        <v>17</v>
      </c>
      <c r="G3" s="39" t="s">
        <v>33</v>
      </c>
      <c r="H3" s="39" t="s">
        <v>33</v>
      </c>
      <c r="I3" s="40" t="s">
        <v>12</v>
      </c>
      <c r="J3" s="40" t="s">
        <v>54</v>
      </c>
      <c r="K3" s="39" t="s">
        <v>43</v>
      </c>
      <c r="L3" s="40" t="s">
        <v>48</v>
      </c>
      <c r="M3" s="59" t="s">
        <v>48</v>
      </c>
      <c r="P3" s="2">
        <v>60</v>
      </c>
      <c r="Q3" s="60">
        <f t="dataTable" ref="Q3:DL18" dt2D="1" dtr="1" r1="O1" r2="C3" ca="1"/>
        <v>0.92876712328767119</v>
      </c>
      <c r="R3" s="60">
        <v>0.92602739726027394</v>
      </c>
      <c r="S3" s="60">
        <v>0.93698630136986305</v>
      </c>
      <c r="T3" s="60">
        <v>0.9397260273972603</v>
      </c>
      <c r="U3" s="60">
        <v>0.9342465753424658</v>
      </c>
      <c r="V3" s="60">
        <v>0.93150684931506844</v>
      </c>
      <c r="W3" s="60">
        <v>0.9397260273972603</v>
      </c>
      <c r="X3" s="60">
        <v>0.92328767123287669</v>
      </c>
      <c r="Y3" s="60">
        <v>0.93698630136986305</v>
      </c>
      <c r="Z3" s="60">
        <v>0.92602739726027394</v>
      </c>
      <c r="AA3" s="60">
        <v>0.9178082191780822</v>
      </c>
      <c r="AB3" s="60">
        <v>0.92328767123287669</v>
      </c>
      <c r="AC3" s="60">
        <v>0.92876712328767119</v>
      </c>
      <c r="AD3" s="60">
        <v>0.92328767123287669</v>
      </c>
      <c r="AE3" s="60">
        <v>0.9397260273972603</v>
      </c>
      <c r="AF3" s="60">
        <v>0.9397260273972603</v>
      </c>
      <c r="AG3" s="60">
        <v>0.92876712328767119</v>
      </c>
      <c r="AH3" s="60">
        <v>0.9452054794520548</v>
      </c>
      <c r="AI3" s="60">
        <v>0.9452054794520548</v>
      </c>
      <c r="AJ3" s="60">
        <v>0.93150684931506844</v>
      </c>
      <c r="AK3" s="60">
        <v>0.9342465753424658</v>
      </c>
      <c r="AL3" s="60">
        <v>0.9178082191780822</v>
      </c>
      <c r="AM3" s="60">
        <v>0.92876712328767119</v>
      </c>
      <c r="AN3" s="60">
        <v>0.93150684931506844</v>
      </c>
      <c r="AO3" s="60">
        <v>0.92054794520547945</v>
      </c>
      <c r="AP3" s="60">
        <v>0.93698630136986305</v>
      </c>
      <c r="AQ3" s="60">
        <v>0.92054794520547945</v>
      </c>
      <c r="AR3" s="60">
        <v>0.9397260273972603</v>
      </c>
      <c r="AS3" s="60">
        <v>0.93698630136986305</v>
      </c>
      <c r="AT3" s="60">
        <v>0.94246575342465755</v>
      </c>
      <c r="AU3" s="60">
        <v>0.92602739726027394</v>
      </c>
      <c r="AV3" s="60">
        <v>0.92876712328767119</v>
      </c>
      <c r="AW3" s="60">
        <v>0.92054794520547945</v>
      </c>
      <c r="AX3" s="60">
        <v>0.9397260273972603</v>
      </c>
      <c r="AY3" s="60">
        <v>0.9178082191780822</v>
      </c>
      <c r="AZ3" s="60">
        <v>0.91506849315068495</v>
      </c>
      <c r="BA3" s="60">
        <v>0.9178082191780822</v>
      </c>
      <c r="BB3" s="60">
        <v>0.9452054794520548</v>
      </c>
      <c r="BC3" s="60">
        <v>0.92054794520547945</v>
      </c>
      <c r="BD3" s="60">
        <v>0.93150684931506844</v>
      </c>
      <c r="BE3" s="60">
        <v>0.9178082191780822</v>
      </c>
      <c r="BF3" s="60">
        <v>0.93698630136986305</v>
      </c>
      <c r="BG3" s="60">
        <v>0.94246575342465755</v>
      </c>
      <c r="BH3" s="60">
        <v>0.92876712328767119</v>
      </c>
      <c r="BI3" s="60">
        <v>0.9342465753424658</v>
      </c>
      <c r="BJ3" s="60">
        <v>0.92328767123287669</v>
      </c>
      <c r="BK3" s="60">
        <v>0.92328767123287669</v>
      </c>
      <c r="BL3" s="60">
        <v>0.9342465753424658</v>
      </c>
      <c r="BM3" s="60">
        <v>0.92054794520547945</v>
      </c>
      <c r="BN3" s="60">
        <v>0.92602739726027394</v>
      </c>
      <c r="BO3" s="60">
        <v>0.9397260273972603</v>
      </c>
      <c r="BP3" s="60">
        <v>0.9178082191780822</v>
      </c>
      <c r="BQ3" s="60">
        <v>0.9178082191780822</v>
      </c>
      <c r="BR3" s="60">
        <v>0.92876712328767119</v>
      </c>
      <c r="BS3" s="60">
        <v>0.93698630136986305</v>
      </c>
      <c r="BT3" s="60">
        <v>0.92602739726027394</v>
      </c>
      <c r="BU3" s="60">
        <v>0.92328767123287669</v>
      </c>
      <c r="BV3" s="60">
        <v>0.9342465753424658</v>
      </c>
      <c r="BW3" s="60">
        <v>0.92876712328767119</v>
      </c>
      <c r="BX3" s="60">
        <v>0.92054794520547945</v>
      </c>
      <c r="BY3" s="60">
        <v>0.92602739726027394</v>
      </c>
      <c r="BZ3" s="60">
        <v>0.9397260273972603</v>
      </c>
      <c r="CA3" s="60">
        <v>0.91506849315068495</v>
      </c>
      <c r="CB3" s="60">
        <v>0.93698630136986305</v>
      </c>
      <c r="CC3" s="60">
        <v>0.91506849315068495</v>
      </c>
      <c r="CD3" s="60">
        <v>0.94794520547945205</v>
      </c>
      <c r="CE3" s="60">
        <v>0.93150684931506844</v>
      </c>
      <c r="CF3" s="60">
        <v>0.92876712328767119</v>
      </c>
      <c r="CG3" s="60">
        <v>0.93698630136986305</v>
      </c>
      <c r="CH3" s="60">
        <v>0.93698630136986305</v>
      </c>
      <c r="CI3" s="60">
        <v>0.92602739726027394</v>
      </c>
      <c r="CJ3" s="60">
        <v>0.92328767123287669</v>
      </c>
      <c r="CK3" s="60">
        <v>0.92602739726027394</v>
      </c>
      <c r="CL3" s="60">
        <v>0.9397260273972603</v>
      </c>
      <c r="CM3" s="60">
        <v>0.9342465753424658</v>
      </c>
      <c r="CN3" s="60">
        <v>0.9342465753424658</v>
      </c>
      <c r="CO3" s="60">
        <v>0.92328767123287669</v>
      </c>
      <c r="CP3" s="60">
        <v>0.94246575342465755</v>
      </c>
      <c r="CQ3" s="60">
        <v>0.92328767123287669</v>
      </c>
      <c r="CR3" s="60">
        <v>0.9397260273972603</v>
      </c>
      <c r="CS3" s="60">
        <v>0.9178082191780822</v>
      </c>
      <c r="CT3" s="60">
        <v>0.92328767123287669</v>
      </c>
      <c r="CU3" s="60">
        <v>0.9452054794520548</v>
      </c>
      <c r="CV3" s="60">
        <v>0.9506849315068493</v>
      </c>
      <c r="CW3" s="60">
        <v>0.92602739726027394</v>
      </c>
      <c r="CX3" s="60">
        <v>0.9342465753424658</v>
      </c>
      <c r="CY3" s="60">
        <v>0.93698630136986305</v>
      </c>
      <c r="CZ3" s="60">
        <v>0.93150684931506844</v>
      </c>
      <c r="DA3" s="60">
        <v>0.90136986301369859</v>
      </c>
      <c r="DB3" s="60">
        <v>0.90958904109589045</v>
      </c>
      <c r="DC3" s="60">
        <v>0.9342465753424658</v>
      </c>
      <c r="DD3" s="60">
        <v>0.94794520547945205</v>
      </c>
      <c r="DE3" s="60">
        <v>0.92054794520547945</v>
      </c>
      <c r="DF3" s="60">
        <v>0.92054794520547945</v>
      </c>
      <c r="DG3" s="60">
        <v>0.92328767123287669</v>
      </c>
      <c r="DH3" s="60">
        <v>0.92054794520547945</v>
      </c>
      <c r="DI3" s="60">
        <v>0.9397260273972603</v>
      </c>
      <c r="DJ3" s="60">
        <v>0.93698630136986305</v>
      </c>
      <c r="DK3" s="60">
        <v>0.92876712328767119</v>
      </c>
      <c r="DL3" s="60">
        <v>0.93150684931506844</v>
      </c>
      <c r="DM3" s="61">
        <f t="shared" ref="DM3:DM4" si="0">AVERAGE(Q3:DL3)</f>
        <v>0.92989041095890368</v>
      </c>
      <c r="DN3" s="1"/>
    </row>
    <row r="4" spans="2:118" ht="13.2" customHeight="1">
      <c r="B4" s="44" t="s">
        <v>29</v>
      </c>
      <c r="C4" s="2">
        <v>200</v>
      </c>
      <c r="E4" s="5">
        <v>0</v>
      </c>
      <c r="F4" s="5"/>
      <c r="G4" s="5"/>
      <c r="H4" s="5">
        <f>C6</f>
        <v>100</v>
      </c>
      <c r="I4" s="5"/>
      <c r="J4" s="5"/>
      <c r="K4" s="5"/>
      <c r="L4" s="5"/>
      <c r="M4" s="5"/>
      <c r="P4" s="2">
        <v>70</v>
      </c>
      <c r="Q4" s="60">
        <v>0.93698630136986305</v>
      </c>
      <c r="R4" s="60">
        <v>0.9178082191780822</v>
      </c>
      <c r="S4" s="60">
        <v>0.93150684931506844</v>
      </c>
      <c r="T4" s="60">
        <v>0.95342465753424654</v>
      </c>
      <c r="U4" s="60">
        <v>0.93698630136986305</v>
      </c>
      <c r="V4" s="60">
        <v>0.9452054794520548</v>
      </c>
      <c r="W4" s="60">
        <v>0.92602739726027394</v>
      </c>
      <c r="X4" s="60">
        <v>0.94246575342465755</v>
      </c>
      <c r="Y4" s="60">
        <v>0.9397260273972603</v>
      </c>
      <c r="Z4" s="60">
        <v>0.93150684931506844</v>
      </c>
      <c r="AA4" s="60">
        <v>0.93150684931506844</v>
      </c>
      <c r="AB4" s="60">
        <v>0.9397260273972603</v>
      </c>
      <c r="AC4" s="60">
        <v>0.92602739726027394</v>
      </c>
      <c r="AD4" s="60">
        <v>0.92876712328767119</v>
      </c>
      <c r="AE4" s="60">
        <v>0.94246575342465755</v>
      </c>
      <c r="AF4" s="60">
        <v>0.92054794520547945</v>
      </c>
      <c r="AG4" s="60">
        <v>0.9342465753424658</v>
      </c>
      <c r="AH4" s="60">
        <v>0.93698630136986305</v>
      </c>
      <c r="AI4" s="60">
        <v>0.9342465753424658</v>
      </c>
      <c r="AJ4" s="60">
        <v>0.91506849315068495</v>
      </c>
      <c r="AK4" s="60">
        <v>0.92876712328767119</v>
      </c>
      <c r="AL4" s="60">
        <v>0.9397260273972603</v>
      </c>
      <c r="AM4" s="60">
        <v>0.9506849315068493</v>
      </c>
      <c r="AN4" s="60">
        <v>0.92602739726027394</v>
      </c>
      <c r="AO4" s="60">
        <v>0.92876712328767119</v>
      </c>
      <c r="AP4" s="60">
        <v>0.93150684931506844</v>
      </c>
      <c r="AQ4" s="60">
        <v>0.94794520547945205</v>
      </c>
      <c r="AR4" s="60">
        <v>0.92602739726027394</v>
      </c>
      <c r="AS4" s="60">
        <v>0.94246575342465755</v>
      </c>
      <c r="AT4" s="60">
        <v>0.94246575342465755</v>
      </c>
      <c r="AU4" s="60">
        <v>0.9342465753424658</v>
      </c>
      <c r="AV4" s="60">
        <v>0.93698630136986305</v>
      </c>
      <c r="AW4" s="60">
        <v>0.92876712328767119</v>
      </c>
      <c r="AX4" s="60">
        <v>0.9452054794520548</v>
      </c>
      <c r="AY4" s="60">
        <v>0.9506849315068493</v>
      </c>
      <c r="AZ4" s="60">
        <v>0.92602739726027394</v>
      </c>
      <c r="BA4" s="60">
        <v>0.9397260273972603</v>
      </c>
      <c r="BB4" s="60">
        <v>0.92602739726027394</v>
      </c>
      <c r="BC4" s="60">
        <v>0.9397260273972603</v>
      </c>
      <c r="BD4" s="60">
        <v>0.9342465753424658</v>
      </c>
      <c r="BE4" s="60">
        <v>0.93150684931506844</v>
      </c>
      <c r="BF4" s="60">
        <v>0.9452054794520548</v>
      </c>
      <c r="BG4" s="60">
        <v>0.92876712328767119</v>
      </c>
      <c r="BH4" s="60">
        <v>0.94246575342465755</v>
      </c>
      <c r="BI4" s="60">
        <v>0.9452054794520548</v>
      </c>
      <c r="BJ4" s="60">
        <v>0.93698630136986305</v>
      </c>
      <c r="BK4" s="60">
        <v>0.9452054794520548</v>
      </c>
      <c r="BL4" s="60">
        <v>0.93150684931506844</v>
      </c>
      <c r="BM4" s="60">
        <v>0.93698630136986305</v>
      </c>
      <c r="BN4" s="60">
        <v>0.92876712328767119</v>
      </c>
      <c r="BO4" s="60">
        <v>0.92876712328767119</v>
      </c>
      <c r="BP4" s="60">
        <v>0.9452054794520548</v>
      </c>
      <c r="BQ4" s="60">
        <v>0.93150684931506844</v>
      </c>
      <c r="BR4" s="60">
        <v>0.92876712328767119</v>
      </c>
      <c r="BS4" s="60">
        <v>0.9342465753424658</v>
      </c>
      <c r="BT4" s="60">
        <v>0.9397260273972603</v>
      </c>
      <c r="BU4" s="60">
        <v>0.92602739726027394</v>
      </c>
      <c r="BV4" s="60">
        <v>0.92876712328767119</v>
      </c>
      <c r="BW4" s="60">
        <v>0.92328767123287669</v>
      </c>
      <c r="BX4" s="60">
        <v>0.94246575342465755</v>
      </c>
      <c r="BY4" s="60">
        <v>0.94246575342465755</v>
      </c>
      <c r="BZ4" s="60">
        <v>0.9506849315068493</v>
      </c>
      <c r="CA4" s="60">
        <v>0.94246575342465755</v>
      </c>
      <c r="CB4" s="60">
        <v>0.94794520547945205</v>
      </c>
      <c r="CC4" s="60">
        <v>0.9397260273972603</v>
      </c>
      <c r="CD4" s="60">
        <v>0.9452054794520548</v>
      </c>
      <c r="CE4" s="60">
        <v>0.9397260273972603</v>
      </c>
      <c r="CF4" s="60">
        <v>0.93698630136986305</v>
      </c>
      <c r="CG4" s="60">
        <v>0.9342465753424658</v>
      </c>
      <c r="CH4" s="60">
        <v>0.92054794520547945</v>
      </c>
      <c r="CI4" s="60">
        <v>0.93150684931506844</v>
      </c>
      <c r="CJ4" s="60">
        <v>0.9397260273972603</v>
      </c>
      <c r="CK4" s="60">
        <v>0.9342465753424658</v>
      </c>
      <c r="CL4" s="60">
        <v>0.92054794520547945</v>
      </c>
      <c r="CM4" s="60">
        <v>0.9342465753424658</v>
      </c>
      <c r="CN4" s="60">
        <v>0.9397260273972603</v>
      </c>
      <c r="CO4" s="60">
        <v>0.94246575342465755</v>
      </c>
      <c r="CP4" s="60">
        <v>0.9342465753424658</v>
      </c>
      <c r="CQ4" s="60">
        <v>0.9342465753424658</v>
      </c>
      <c r="CR4" s="60">
        <v>0.9397260273972603</v>
      </c>
      <c r="CS4" s="60">
        <v>0.9397260273972603</v>
      </c>
      <c r="CT4" s="60">
        <v>0.93698630136986305</v>
      </c>
      <c r="CU4" s="60">
        <v>0.92054794520547945</v>
      </c>
      <c r="CV4" s="60">
        <v>0.92054794520547945</v>
      </c>
      <c r="CW4" s="60">
        <v>0.92876712328767119</v>
      </c>
      <c r="CX4" s="60">
        <v>0.9452054794520548</v>
      </c>
      <c r="CY4" s="60">
        <v>0.9452054794520548</v>
      </c>
      <c r="CZ4" s="60">
        <v>0.94794520547945205</v>
      </c>
      <c r="DA4" s="60">
        <v>0.9506849315068493</v>
      </c>
      <c r="DB4" s="60">
        <v>0.93698630136986305</v>
      </c>
      <c r="DC4" s="60">
        <v>0.91506849315068495</v>
      </c>
      <c r="DD4" s="60">
        <v>0.94246575342465755</v>
      </c>
      <c r="DE4" s="60">
        <v>0.93698630136986305</v>
      </c>
      <c r="DF4" s="60">
        <v>0.9506849315068493</v>
      </c>
      <c r="DG4" s="60">
        <v>0.9506849315068493</v>
      </c>
      <c r="DH4" s="60">
        <v>0.9452054794520548</v>
      </c>
      <c r="DI4" s="60">
        <v>0.9178082191780822</v>
      </c>
      <c r="DJ4" s="60">
        <v>0.92876712328767119</v>
      </c>
      <c r="DK4" s="60">
        <v>0.93698630136986305</v>
      </c>
      <c r="DL4" s="60">
        <v>0.93698630136986305</v>
      </c>
      <c r="DM4" s="61">
        <f t="shared" si="0"/>
        <v>0.93583561643835633</v>
      </c>
      <c r="DN4" s="1"/>
    </row>
    <row r="5" spans="2:118" ht="13.2" customHeight="1">
      <c r="B5" s="23" t="s">
        <v>5</v>
      </c>
      <c r="C5" s="2">
        <v>10</v>
      </c>
      <c r="E5" s="5">
        <v>1</v>
      </c>
      <c r="F5" s="5">
        <f ca="1">INDEX($S$22:$S$26,MATCH(RAND(),$U$22:$U$26,1))</f>
        <v>100</v>
      </c>
      <c r="G5" s="5">
        <f>H4+$C$9*I4</f>
        <v>100</v>
      </c>
      <c r="H5" s="5">
        <f t="shared" ref="H5:H36" ca="1" si="1">IF(G5-F5&gt;0,G5-F5,0)</f>
        <v>0</v>
      </c>
      <c r="I5" s="5">
        <f ca="1">IF(H5&lt;$C$3,1,0)</f>
        <v>1</v>
      </c>
      <c r="J5" s="5">
        <f t="shared" ref="J5:J36" ca="1" si="2">I5*INT(RAND()*2)</f>
        <v>0</v>
      </c>
      <c r="K5" s="5">
        <f t="shared" ref="K5:K36" ca="1" si="3">IF(G5&lt;F5,1,0)</f>
        <v>0</v>
      </c>
      <c r="L5" s="5">
        <f t="shared" ref="L5:L68" ca="1" si="4">I5*$C$4</f>
        <v>200</v>
      </c>
      <c r="M5" s="25">
        <f t="shared" ref="M5:M68" ca="1" si="5">H5*$C$7</f>
        <v>0</v>
      </c>
      <c r="P5" s="2">
        <v>80</v>
      </c>
      <c r="Q5" s="61">
        <v>0.9616438356164384</v>
      </c>
      <c r="R5" s="61">
        <v>0.9342465753424658</v>
      </c>
      <c r="S5" s="61">
        <v>0.9452054794520548</v>
      </c>
      <c r="T5" s="61">
        <v>0.94246575342465755</v>
      </c>
      <c r="U5" s="61">
        <v>0.9397260273972603</v>
      </c>
      <c r="V5" s="61">
        <v>0.9397260273972603</v>
      </c>
      <c r="W5" s="61">
        <v>0.9342465753424658</v>
      </c>
      <c r="X5" s="61">
        <v>0.92054794520547945</v>
      </c>
      <c r="Y5" s="61">
        <v>0.9397260273972603</v>
      </c>
      <c r="Z5" s="61">
        <v>0.94794520547945205</v>
      </c>
      <c r="AA5" s="61">
        <v>0.9506849315068493</v>
      </c>
      <c r="AB5" s="61">
        <v>0.93698630136986305</v>
      </c>
      <c r="AC5" s="61">
        <v>0.9342465753424658</v>
      </c>
      <c r="AD5" s="61">
        <v>0.9452054794520548</v>
      </c>
      <c r="AE5" s="61">
        <v>0.92328767123287669</v>
      </c>
      <c r="AF5" s="61">
        <v>0.94246575342465755</v>
      </c>
      <c r="AG5" s="61">
        <v>0.9397260273972603</v>
      </c>
      <c r="AH5" s="61">
        <v>0.93150684931506844</v>
      </c>
      <c r="AI5" s="61">
        <v>0.96986301369863015</v>
      </c>
      <c r="AJ5" s="61">
        <v>0.95616438356164379</v>
      </c>
      <c r="AK5" s="61">
        <v>0.9397260273972603</v>
      </c>
      <c r="AL5" s="61">
        <v>0.9397260273972603</v>
      </c>
      <c r="AM5" s="61">
        <v>0.9452054794520548</v>
      </c>
      <c r="AN5" s="61">
        <v>0.9397260273972603</v>
      </c>
      <c r="AO5" s="61">
        <v>0.94246575342465755</v>
      </c>
      <c r="AP5" s="61">
        <v>0.93698630136986305</v>
      </c>
      <c r="AQ5" s="61">
        <v>0.9506849315068493</v>
      </c>
      <c r="AR5" s="61">
        <v>0.94246575342465755</v>
      </c>
      <c r="AS5" s="61">
        <v>0.9506849315068493</v>
      </c>
      <c r="AT5" s="61">
        <v>0.92876712328767119</v>
      </c>
      <c r="AU5" s="61">
        <v>0.93150684931506844</v>
      </c>
      <c r="AV5" s="61">
        <v>0.94794520547945205</v>
      </c>
      <c r="AW5" s="61">
        <v>0.92054794520547945</v>
      </c>
      <c r="AX5" s="61">
        <v>0.92876712328767119</v>
      </c>
      <c r="AY5" s="61">
        <v>0.9616438356164384</v>
      </c>
      <c r="AZ5" s="61">
        <v>0.92876712328767119</v>
      </c>
      <c r="BA5" s="61">
        <v>0.93698630136986305</v>
      </c>
      <c r="BB5" s="61">
        <v>0.95342465753424654</v>
      </c>
      <c r="BC5" s="61">
        <v>0.9506849315068493</v>
      </c>
      <c r="BD5" s="61">
        <v>0.95616438356164379</v>
      </c>
      <c r="BE5" s="61">
        <v>0.94794520547945205</v>
      </c>
      <c r="BF5" s="61">
        <v>0.93698630136986305</v>
      </c>
      <c r="BG5" s="61">
        <v>0.94794520547945205</v>
      </c>
      <c r="BH5" s="61">
        <v>0.94246575342465755</v>
      </c>
      <c r="BI5" s="61">
        <v>0.95342465753424654</v>
      </c>
      <c r="BJ5" s="61">
        <v>0.92602739726027394</v>
      </c>
      <c r="BK5" s="61">
        <v>0.9397260273972603</v>
      </c>
      <c r="BL5" s="61">
        <v>0.94246575342465755</v>
      </c>
      <c r="BM5" s="61">
        <v>0.95616438356164379</v>
      </c>
      <c r="BN5" s="61">
        <v>0.9506849315068493</v>
      </c>
      <c r="BO5" s="61">
        <v>0.9506849315068493</v>
      </c>
      <c r="BP5" s="61">
        <v>0.94794520547945205</v>
      </c>
      <c r="BQ5" s="61">
        <v>0.9397260273972603</v>
      </c>
      <c r="BR5" s="61">
        <v>0.95890410958904104</v>
      </c>
      <c r="BS5" s="61">
        <v>0.94246575342465755</v>
      </c>
      <c r="BT5" s="61">
        <v>0.94246575342465755</v>
      </c>
      <c r="BU5" s="61">
        <v>0.93150684931506844</v>
      </c>
      <c r="BV5" s="61">
        <v>0.9616438356164384</v>
      </c>
      <c r="BW5" s="61">
        <v>0.93698630136986305</v>
      </c>
      <c r="BX5" s="61">
        <v>0.94246575342465755</v>
      </c>
      <c r="BY5" s="61">
        <v>0.9506849315068493</v>
      </c>
      <c r="BZ5" s="61">
        <v>0.94246575342465755</v>
      </c>
      <c r="CA5" s="61">
        <v>0.9397260273972603</v>
      </c>
      <c r="CB5" s="61">
        <v>0.94246575342465755</v>
      </c>
      <c r="CC5" s="61">
        <v>0.92328767123287669</v>
      </c>
      <c r="CD5" s="61">
        <v>0.92602739726027394</v>
      </c>
      <c r="CE5" s="61">
        <v>0.9452054794520548</v>
      </c>
      <c r="CF5" s="61">
        <v>0.93698630136986305</v>
      </c>
      <c r="CG5" s="61">
        <v>0.9506849315068493</v>
      </c>
      <c r="CH5" s="61">
        <v>0.9397260273972603</v>
      </c>
      <c r="CI5" s="61">
        <v>0.92602739726027394</v>
      </c>
      <c r="CJ5" s="61">
        <v>0.9342465753424658</v>
      </c>
      <c r="CK5" s="61">
        <v>0.94794520547945205</v>
      </c>
      <c r="CL5" s="61">
        <v>0.94794520547945205</v>
      </c>
      <c r="CM5" s="61">
        <v>0.9397260273972603</v>
      </c>
      <c r="CN5" s="61">
        <v>0.9452054794520548</v>
      </c>
      <c r="CO5" s="61">
        <v>0.92054794520547945</v>
      </c>
      <c r="CP5" s="61">
        <v>0.93150684931506844</v>
      </c>
      <c r="CQ5" s="61">
        <v>0.9342465753424658</v>
      </c>
      <c r="CR5" s="61">
        <v>0.93698630136986305</v>
      </c>
      <c r="CS5" s="61">
        <v>0.92602739726027394</v>
      </c>
      <c r="CT5" s="61">
        <v>0.95342465753424654</v>
      </c>
      <c r="CU5" s="61">
        <v>0.9616438356164384</v>
      </c>
      <c r="CV5" s="61">
        <v>0.92876712328767119</v>
      </c>
      <c r="CW5" s="61">
        <v>0.95342465753424654</v>
      </c>
      <c r="CX5" s="61">
        <v>0.94246575342465755</v>
      </c>
      <c r="CY5" s="61">
        <v>0.9452054794520548</v>
      </c>
      <c r="CZ5" s="61">
        <v>0.92602739726027394</v>
      </c>
      <c r="DA5" s="61">
        <v>0.9452054794520548</v>
      </c>
      <c r="DB5" s="61">
        <v>0.94794520547945205</v>
      </c>
      <c r="DC5" s="61">
        <v>0.94794520547945205</v>
      </c>
      <c r="DD5" s="61">
        <v>0.94246575342465755</v>
      </c>
      <c r="DE5" s="61">
        <v>0.92328767123287669</v>
      </c>
      <c r="DF5" s="61">
        <v>0.9342465753424658</v>
      </c>
      <c r="DG5" s="61">
        <v>0.92602739726027394</v>
      </c>
      <c r="DH5" s="61">
        <v>0.94246575342465755</v>
      </c>
      <c r="DI5" s="61">
        <v>0.91506849315068495</v>
      </c>
      <c r="DJ5" s="61">
        <v>0.92602739726027394</v>
      </c>
      <c r="DK5" s="61">
        <v>0.94246575342465755</v>
      </c>
      <c r="DL5" s="61">
        <v>0.9397260273972603</v>
      </c>
      <c r="DM5" s="61">
        <f>AVERAGE(Q5:DL5)</f>
        <v>0.94098630136986272</v>
      </c>
      <c r="DN5" s="1"/>
    </row>
    <row r="6" spans="2:118" ht="13.2" customHeight="1">
      <c r="B6" s="44" t="s">
        <v>4</v>
      </c>
      <c r="C6" s="2">
        <v>100</v>
      </c>
      <c r="E6" s="5">
        <v>2</v>
      </c>
      <c r="F6" s="5">
        <f t="shared" ref="F6:F68" ca="1" si="6">INDEX($S$23:$S$27,MATCH(RAND(),$U$22:$U$27,1))</f>
        <v>100</v>
      </c>
      <c r="G6" s="5">
        <f ca="1">H5+IF(J5=0,I5*$C$9,0)</f>
        <v>1000</v>
      </c>
      <c r="H6" s="5">
        <f t="shared" ca="1" si="1"/>
        <v>900</v>
      </c>
      <c r="I6" s="5">
        <f ca="1">IF(AND(H6&lt;$C$3,J5=0),1,0)</f>
        <v>0</v>
      </c>
      <c r="J6" s="5">
        <f t="shared" ca="1" si="2"/>
        <v>0</v>
      </c>
      <c r="K6" s="63">
        <f t="shared" ca="1" si="3"/>
        <v>0</v>
      </c>
      <c r="L6" s="5">
        <f t="shared" ca="1" si="4"/>
        <v>0</v>
      </c>
      <c r="M6" s="25">
        <f t="shared" ca="1" si="5"/>
        <v>24.657534246575342</v>
      </c>
      <c r="P6" s="2">
        <v>90</v>
      </c>
      <c r="Q6" s="61">
        <v>0.94794520547945205</v>
      </c>
      <c r="R6" s="61">
        <v>0.9616438356164384</v>
      </c>
      <c r="S6" s="61">
        <v>0.9506849315068493</v>
      </c>
      <c r="T6" s="61">
        <v>0.95616438356164379</v>
      </c>
      <c r="U6" s="61">
        <v>0.9397260273972603</v>
      </c>
      <c r="V6" s="61">
        <v>0.9506849315068493</v>
      </c>
      <c r="W6" s="61">
        <v>0.9452054794520548</v>
      </c>
      <c r="X6" s="61">
        <v>0.94794520547945205</v>
      </c>
      <c r="Y6" s="61">
        <v>0.94794520547945205</v>
      </c>
      <c r="Z6" s="61">
        <v>0.93150684931506844</v>
      </c>
      <c r="AA6" s="61">
        <v>0.96438356164383565</v>
      </c>
      <c r="AB6" s="61">
        <v>0.9506849315068493</v>
      </c>
      <c r="AC6" s="61">
        <v>0.9397260273972603</v>
      </c>
      <c r="AD6" s="61">
        <v>0.9616438356164384</v>
      </c>
      <c r="AE6" s="61">
        <v>0.94794520547945205</v>
      </c>
      <c r="AF6" s="61">
        <v>0.9452054794520548</v>
      </c>
      <c r="AG6" s="61">
        <v>0.9506849315068493</v>
      </c>
      <c r="AH6" s="61">
        <v>0.9506849315068493</v>
      </c>
      <c r="AI6" s="61">
        <v>0.95342465753424654</v>
      </c>
      <c r="AJ6" s="61">
        <v>0.9397260273972603</v>
      </c>
      <c r="AK6" s="61">
        <v>0.9506849315068493</v>
      </c>
      <c r="AL6" s="61">
        <v>0.9506849315068493</v>
      </c>
      <c r="AM6" s="61">
        <v>0.9452054794520548</v>
      </c>
      <c r="AN6" s="61">
        <v>0.9452054794520548</v>
      </c>
      <c r="AO6" s="61">
        <v>0.94246575342465755</v>
      </c>
      <c r="AP6" s="61">
        <v>0.95342465753424654</v>
      </c>
      <c r="AQ6" s="61">
        <v>0.95342465753424654</v>
      </c>
      <c r="AR6" s="61">
        <v>0.93150684931506844</v>
      </c>
      <c r="AS6" s="61">
        <v>0.94246575342465755</v>
      </c>
      <c r="AT6" s="61">
        <v>0.9397260273972603</v>
      </c>
      <c r="AU6" s="61">
        <v>0.95342465753424654</v>
      </c>
      <c r="AV6" s="61">
        <v>0.96438356164383565</v>
      </c>
      <c r="AW6" s="61">
        <v>0.9452054794520548</v>
      </c>
      <c r="AX6" s="61">
        <v>0.9671232876712329</v>
      </c>
      <c r="AY6" s="61">
        <v>0.95342465753424654</v>
      </c>
      <c r="AZ6" s="61">
        <v>0.9452054794520548</v>
      </c>
      <c r="BA6" s="61">
        <v>0.93698630136986305</v>
      </c>
      <c r="BB6" s="61">
        <v>0.96438356164383565</v>
      </c>
      <c r="BC6" s="61">
        <v>0.9397260273972603</v>
      </c>
      <c r="BD6" s="61">
        <v>0.95616438356164379</v>
      </c>
      <c r="BE6" s="61">
        <v>0.94246575342465755</v>
      </c>
      <c r="BF6" s="61">
        <v>0.94246575342465755</v>
      </c>
      <c r="BG6" s="61">
        <v>0.9506849315068493</v>
      </c>
      <c r="BH6" s="61">
        <v>0.9506849315068493</v>
      </c>
      <c r="BI6" s="61">
        <v>0.94794520547945205</v>
      </c>
      <c r="BJ6" s="61">
        <v>0.93698630136986305</v>
      </c>
      <c r="BK6" s="61">
        <v>0.94246575342465755</v>
      </c>
      <c r="BL6" s="61">
        <v>0.95890410958904104</v>
      </c>
      <c r="BM6" s="61">
        <v>0.96438356164383565</v>
      </c>
      <c r="BN6" s="61">
        <v>0.93698630136986305</v>
      </c>
      <c r="BO6" s="61">
        <v>0.9397260273972603</v>
      </c>
      <c r="BP6" s="61">
        <v>0.9506849315068493</v>
      </c>
      <c r="BQ6" s="61">
        <v>0.96986301369863015</v>
      </c>
      <c r="BR6" s="61">
        <v>0.95616438356164379</v>
      </c>
      <c r="BS6" s="61">
        <v>0.95890410958904104</v>
      </c>
      <c r="BT6" s="61">
        <v>0.93150684931506844</v>
      </c>
      <c r="BU6" s="61">
        <v>0.93698630136986305</v>
      </c>
      <c r="BV6" s="61">
        <v>0.94246575342465755</v>
      </c>
      <c r="BW6" s="61">
        <v>0.94794520547945205</v>
      </c>
      <c r="BX6" s="61">
        <v>0.92054794520547945</v>
      </c>
      <c r="BY6" s="61">
        <v>0.9397260273972603</v>
      </c>
      <c r="BZ6" s="61">
        <v>0.9452054794520548</v>
      </c>
      <c r="CA6" s="61">
        <v>0.9397260273972603</v>
      </c>
      <c r="CB6" s="61">
        <v>0.9452054794520548</v>
      </c>
      <c r="CC6" s="61">
        <v>0.9397260273972603</v>
      </c>
      <c r="CD6" s="61">
        <v>0.95890410958904104</v>
      </c>
      <c r="CE6" s="61">
        <v>0.94794520547945205</v>
      </c>
      <c r="CF6" s="61">
        <v>0.92328767123287669</v>
      </c>
      <c r="CG6" s="61">
        <v>0.9397260273972603</v>
      </c>
      <c r="CH6" s="61">
        <v>0.93698630136986305</v>
      </c>
      <c r="CI6" s="61">
        <v>0.94794520547945205</v>
      </c>
      <c r="CJ6" s="61">
        <v>0.95616438356164379</v>
      </c>
      <c r="CK6" s="61">
        <v>0.9616438356164384</v>
      </c>
      <c r="CL6" s="61">
        <v>0.9452054794520548</v>
      </c>
      <c r="CM6" s="61">
        <v>0.96438356164383565</v>
      </c>
      <c r="CN6" s="61">
        <v>0.95616438356164379</v>
      </c>
      <c r="CO6" s="61">
        <v>0.94794520547945205</v>
      </c>
      <c r="CP6" s="61">
        <v>0.9452054794520548</v>
      </c>
      <c r="CQ6" s="61">
        <v>0.9452054794520548</v>
      </c>
      <c r="CR6" s="61">
        <v>0.9452054794520548</v>
      </c>
      <c r="CS6" s="61">
        <v>0.95890410958904104</v>
      </c>
      <c r="CT6" s="61">
        <v>0.95342465753424654</v>
      </c>
      <c r="CU6" s="61">
        <v>0.95616438356164379</v>
      </c>
      <c r="CV6" s="61">
        <v>0.93698630136986305</v>
      </c>
      <c r="CW6" s="61">
        <v>0.9397260273972603</v>
      </c>
      <c r="CX6" s="61">
        <v>0.94794520547945205</v>
      </c>
      <c r="CY6" s="61">
        <v>0.9506849315068493</v>
      </c>
      <c r="CZ6" s="61">
        <v>0.9397260273972603</v>
      </c>
      <c r="DA6" s="61">
        <v>0.93150684931506844</v>
      </c>
      <c r="DB6" s="61">
        <v>0.9506849315068493</v>
      </c>
      <c r="DC6" s="61">
        <v>0.93698630136986305</v>
      </c>
      <c r="DD6" s="61">
        <v>0.95616438356164379</v>
      </c>
      <c r="DE6" s="61">
        <v>0.93150684931506844</v>
      </c>
      <c r="DF6" s="61">
        <v>0.9452054794520548</v>
      </c>
      <c r="DG6" s="61">
        <v>0.93150684931506844</v>
      </c>
      <c r="DH6" s="61">
        <v>0.96986301369863015</v>
      </c>
      <c r="DI6" s="61">
        <v>0.93150684931506844</v>
      </c>
      <c r="DJ6" s="61">
        <v>0.94794520547945205</v>
      </c>
      <c r="DK6" s="61">
        <v>0.95342465753424654</v>
      </c>
      <c r="DL6" s="61">
        <v>0.94246575342465755</v>
      </c>
      <c r="DM6" s="61">
        <f t="shared" ref="DM6:DM18" si="7">AVERAGE(Q6:DL6)</f>
        <v>0.94736986301369863</v>
      </c>
      <c r="DN6" s="1"/>
    </row>
    <row r="7" spans="2:118" ht="13.2" customHeight="1">
      <c r="B7" s="45" t="s">
        <v>6</v>
      </c>
      <c r="C7" s="46">
        <f>C5/365</f>
        <v>2.7397260273972601E-2</v>
      </c>
      <c r="E7" s="5">
        <v>3</v>
      </c>
      <c r="F7" s="5">
        <f t="shared" ca="1" si="6"/>
        <v>110</v>
      </c>
      <c r="G7" s="5">
        <f t="shared" ref="G7:G70" ca="1" si="8">H6+IF(J6=0,I6*$C$9,0)+IF(J5=1,$C$9,0)</f>
        <v>900</v>
      </c>
      <c r="H7" s="5">
        <f t="shared" ca="1" si="1"/>
        <v>790</v>
      </c>
      <c r="I7" s="5">
        <f t="shared" ref="I7:I70" ca="1" si="9">IF(AND(H7&lt;$C$3,J6=0),1,0)</f>
        <v>0</v>
      </c>
      <c r="J7" s="5">
        <f t="shared" ca="1" si="2"/>
        <v>0</v>
      </c>
      <c r="K7" s="5">
        <f t="shared" ca="1" si="3"/>
        <v>0</v>
      </c>
      <c r="L7" s="5">
        <f t="shared" ca="1" si="4"/>
        <v>0</v>
      </c>
      <c r="M7" s="25">
        <f t="shared" ca="1" si="5"/>
        <v>21.643835616438356</v>
      </c>
      <c r="P7" s="2">
        <v>100</v>
      </c>
      <c r="Q7" s="61">
        <v>0.9616438356164384</v>
      </c>
      <c r="R7" s="61">
        <v>0.95616438356164379</v>
      </c>
      <c r="S7" s="61">
        <v>0.9616438356164384</v>
      </c>
      <c r="T7" s="61">
        <v>0.9397260273972603</v>
      </c>
      <c r="U7" s="61">
        <v>0.95342465753424654</v>
      </c>
      <c r="V7" s="61">
        <v>0.9506849315068493</v>
      </c>
      <c r="W7" s="61">
        <v>0.94246575342465755</v>
      </c>
      <c r="X7" s="61">
        <v>0.95890410958904104</v>
      </c>
      <c r="Y7" s="61">
        <v>0.9671232876712329</v>
      </c>
      <c r="Z7" s="61">
        <v>0.9506849315068493</v>
      </c>
      <c r="AA7" s="61">
        <v>0.95342465753424654</v>
      </c>
      <c r="AB7" s="61">
        <v>0.9616438356164384</v>
      </c>
      <c r="AC7" s="61">
        <v>0.9452054794520548</v>
      </c>
      <c r="AD7" s="61">
        <v>0.9671232876712329</v>
      </c>
      <c r="AE7" s="61">
        <v>0.9671232876712329</v>
      </c>
      <c r="AF7" s="61">
        <v>0.9342465753424658</v>
      </c>
      <c r="AG7" s="61">
        <v>0.9616438356164384</v>
      </c>
      <c r="AH7" s="61">
        <v>0.9616438356164384</v>
      </c>
      <c r="AI7" s="61">
        <v>0.9506849315068493</v>
      </c>
      <c r="AJ7" s="61">
        <v>0.95890410958904104</v>
      </c>
      <c r="AK7" s="61">
        <v>0.95616438356164379</v>
      </c>
      <c r="AL7" s="61">
        <v>0.95342465753424654</v>
      </c>
      <c r="AM7" s="61">
        <v>0.95890410958904104</v>
      </c>
      <c r="AN7" s="61">
        <v>0.95890410958904104</v>
      </c>
      <c r="AO7" s="61">
        <v>0.9342465753424658</v>
      </c>
      <c r="AP7" s="61">
        <v>0.95342465753424654</v>
      </c>
      <c r="AQ7" s="61">
        <v>0.9506849315068493</v>
      </c>
      <c r="AR7" s="61">
        <v>0.95890410958904104</v>
      </c>
      <c r="AS7" s="61">
        <v>0.95342465753424654</v>
      </c>
      <c r="AT7" s="61">
        <v>0.9671232876712329</v>
      </c>
      <c r="AU7" s="61">
        <v>0.95342465753424654</v>
      </c>
      <c r="AV7" s="61">
        <v>0.9452054794520548</v>
      </c>
      <c r="AW7" s="61">
        <v>0.95342465753424654</v>
      </c>
      <c r="AX7" s="61">
        <v>0.9506849315068493</v>
      </c>
      <c r="AY7" s="61">
        <v>0.9506849315068493</v>
      </c>
      <c r="AZ7" s="61">
        <v>0.9506849315068493</v>
      </c>
      <c r="BA7" s="61">
        <v>0.93150684931506844</v>
      </c>
      <c r="BB7" s="61">
        <v>0.95616438356164379</v>
      </c>
      <c r="BC7" s="61">
        <v>0.94794520547945205</v>
      </c>
      <c r="BD7" s="61">
        <v>0.95890410958904104</v>
      </c>
      <c r="BE7" s="61">
        <v>0.9506849315068493</v>
      </c>
      <c r="BF7" s="61">
        <v>0.9452054794520548</v>
      </c>
      <c r="BG7" s="61">
        <v>0.9616438356164384</v>
      </c>
      <c r="BH7" s="61">
        <v>0.9397260273972603</v>
      </c>
      <c r="BI7" s="61">
        <v>0.9397260273972603</v>
      </c>
      <c r="BJ7" s="61">
        <v>0.9452054794520548</v>
      </c>
      <c r="BK7" s="61">
        <v>0.95342465753424654</v>
      </c>
      <c r="BL7" s="61">
        <v>0.9506849315068493</v>
      </c>
      <c r="BM7" s="61">
        <v>0.9506849315068493</v>
      </c>
      <c r="BN7" s="61">
        <v>0.9452054794520548</v>
      </c>
      <c r="BO7" s="61">
        <v>0.95342465753424654</v>
      </c>
      <c r="BP7" s="61">
        <v>0.93698630136986305</v>
      </c>
      <c r="BQ7" s="61">
        <v>0.95616438356164379</v>
      </c>
      <c r="BR7" s="61">
        <v>0.9726027397260274</v>
      </c>
      <c r="BS7" s="61">
        <v>0.9452054794520548</v>
      </c>
      <c r="BT7" s="61">
        <v>0.96438356164383565</v>
      </c>
      <c r="BU7" s="61">
        <v>0.9452054794520548</v>
      </c>
      <c r="BV7" s="61">
        <v>0.9452054794520548</v>
      </c>
      <c r="BW7" s="61">
        <v>0.97534246575342465</v>
      </c>
      <c r="BX7" s="61">
        <v>0.95890410958904104</v>
      </c>
      <c r="BY7" s="61">
        <v>0.9452054794520548</v>
      </c>
      <c r="BZ7" s="61">
        <v>0.94794520547945205</v>
      </c>
      <c r="CA7" s="61">
        <v>0.9452054794520548</v>
      </c>
      <c r="CB7" s="61">
        <v>0.95616438356164379</v>
      </c>
      <c r="CC7" s="61">
        <v>0.9506849315068493</v>
      </c>
      <c r="CD7" s="61">
        <v>0.94794520547945205</v>
      </c>
      <c r="CE7" s="61">
        <v>0.95616438356164379</v>
      </c>
      <c r="CF7" s="61">
        <v>0.9397260273972603</v>
      </c>
      <c r="CG7" s="61">
        <v>0.95890410958904104</v>
      </c>
      <c r="CH7" s="61">
        <v>0.9506849315068493</v>
      </c>
      <c r="CI7" s="61">
        <v>0.96438356164383565</v>
      </c>
      <c r="CJ7" s="61">
        <v>0.95890410958904104</v>
      </c>
      <c r="CK7" s="61">
        <v>0.9726027397260274</v>
      </c>
      <c r="CL7" s="61">
        <v>0.9397260273972603</v>
      </c>
      <c r="CM7" s="61">
        <v>0.95890410958904104</v>
      </c>
      <c r="CN7" s="61">
        <v>0.96438356164383565</v>
      </c>
      <c r="CO7" s="61">
        <v>0.95342465753424654</v>
      </c>
      <c r="CP7" s="61">
        <v>0.97534246575342465</v>
      </c>
      <c r="CQ7" s="61">
        <v>0.96438356164383565</v>
      </c>
      <c r="CR7" s="61">
        <v>0.96438356164383565</v>
      </c>
      <c r="CS7" s="61">
        <v>0.9452054794520548</v>
      </c>
      <c r="CT7" s="61">
        <v>0.95342465753424654</v>
      </c>
      <c r="CU7" s="61">
        <v>0.95342465753424654</v>
      </c>
      <c r="CV7" s="61">
        <v>0.96438356164383565</v>
      </c>
      <c r="CW7" s="61">
        <v>0.9506849315068493</v>
      </c>
      <c r="CX7" s="61">
        <v>0.9726027397260274</v>
      </c>
      <c r="CY7" s="61">
        <v>0.95342465753424654</v>
      </c>
      <c r="CZ7" s="61">
        <v>0.94246575342465755</v>
      </c>
      <c r="DA7" s="61">
        <v>0.95890410958904104</v>
      </c>
      <c r="DB7" s="61">
        <v>0.9616438356164384</v>
      </c>
      <c r="DC7" s="61">
        <v>0.9780821917808219</v>
      </c>
      <c r="DD7" s="61">
        <v>0.9506849315068493</v>
      </c>
      <c r="DE7" s="61">
        <v>0.95890410958904104</v>
      </c>
      <c r="DF7" s="61">
        <v>0.93150684931506844</v>
      </c>
      <c r="DG7" s="61">
        <v>0.96438356164383565</v>
      </c>
      <c r="DH7" s="61">
        <v>0.95342465753424654</v>
      </c>
      <c r="DI7" s="61">
        <v>0.94246575342465755</v>
      </c>
      <c r="DJ7" s="61">
        <v>0.9616438356164384</v>
      </c>
      <c r="DK7" s="61">
        <v>0.93698630136986305</v>
      </c>
      <c r="DL7" s="61">
        <v>0.94246575342465755</v>
      </c>
      <c r="DM7" s="61">
        <f t="shared" si="7"/>
        <v>0.95375342465753477</v>
      </c>
      <c r="DN7" s="1"/>
    </row>
    <row r="8" spans="2:118" ht="13.2" customHeight="1">
      <c r="B8" s="23" t="s">
        <v>27</v>
      </c>
      <c r="C8" s="2">
        <v>50</v>
      </c>
      <c r="E8" s="5">
        <v>4</v>
      </c>
      <c r="F8" s="5">
        <f t="shared" ca="1" si="6"/>
        <v>120</v>
      </c>
      <c r="G8" s="5">
        <f t="shared" ca="1" si="8"/>
        <v>790</v>
      </c>
      <c r="H8" s="5">
        <f t="shared" ca="1" si="1"/>
        <v>670</v>
      </c>
      <c r="I8" s="5">
        <f t="shared" ca="1" si="9"/>
        <v>0</v>
      </c>
      <c r="J8" s="5">
        <f t="shared" ca="1" si="2"/>
        <v>0</v>
      </c>
      <c r="K8" s="5">
        <f t="shared" ca="1" si="3"/>
        <v>0</v>
      </c>
      <c r="L8" s="5">
        <f t="shared" ca="1" si="4"/>
        <v>0</v>
      </c>
      <c r="M8" s="25">
        <f t="shared" ca="1" si="5"/>
        <v>18.356164383561644</v>
      </c>
      <c r="P8" s="2">
        <v>110</v>
      </c>
      <c r="Q8" s="61">
        <v>0.95616438356164379</v>
      </c>
      <c r="R8" s="61">
        <v>0.95342465753424654</v>
      </c>
      <c r="S8" s="61">
        <v>0.95890410958904104</v>
      </c>
      <c r="T8" s="61">
        <v>0.96986301369863015</v>
      </c>
      <c r="U8" s="61">
        <v>0.94246575342465755</v>
      </c>
      <c r="V8" s="61">
        <v>0.95890410958904104</v>
      </c>
      <c r="W8" s="61">
        <v>0.94794520547945205</v>
      </c>
      <c r="X8" s="61">
        <v>0.95890410958904104</v>
      </c>
      <c r="Y8" s="61">
        <v>0.9506849315068493</v>
      </c>
      <c r="Z8" s="61">
        <v>0.96438356164383565</v>
      </c>
      <c r="AA8" s="61">
        <v>0.95616438356164379</v>
      </c>
      <c r="AB8" s="61">
        <v>0.96986301369863015</v>
      </c>
      <c r="AC8" s="61">
        <v>0.95342465753424654</v>
      </c>
      <c r="AD8" s="61">
        <v>0.9506849315068493</v>
      </c>
      <c r="AE8" s="61">
        <v>0.9671232876712329</v>
      </c>
      <c r="AF8" s="61">
        <v>0.9616438356164384</v>
      </c>
      <c r="AG8" s="61">
        <v>0.96438356164383565</v>
      </c>
      <c r="AH8" s="61">
        <v>0.9616438356164384</v>
      </c>
      <c r="AI8" s="61">
        <v>0.9616438356164384</v>
      </c>
      <c r="AJ8" s="61">
        <v>0.94246575342465755</v>
      </c>
      <c r="AK8" s="61">
        <v>0.94794520547945205</v>
      </c>
      <c r="AL8" s="61">
        <v>0.9452054794520548</v>
      </c>
      <c r="AM8" s="61">
        <v>0.9671232876712329</v>
      </c>
      <c r="AN8" s="61">
        <v>0.95616438356164379</v>
      </c>
      <c r="AO8" s="61">
        <v>0.96438356164383565</v>
      </c>
      <c r="AP8" s="61">
        <v>0.95342465753424654</v>
      </c>
      <c r="AQ8" s="61">
        <v>0.9616438356164384</v>
      </c>
      <c r="AR8" s="61">
        <v>0.95342465753424654</v>
      </c>
      <c r="AS8" s="61">
        <v>0.97534246575342465</v>
      </c>
      <c r="AT8" s="61">
        <v>0.95342465753424654</v>
      </c>
      <c r="AU8" s="61">
        <v>0.95616438356164379</v>
      </c>
      <c r="AV8" s="61">
        <v>0.94794520547945205</v>
      </c>
      <c r="AW8" s="61">
        <v>0.9506849315068493</v>
      </c>
      <c r="AX8" s="61">
        <v>0.95890410958904104</v>
      </c>
      <c r="AY8" s="61">
        <v>0.9671232876712329</v>
      </c>
      <c r="AZ8" s="61">
        <v>0.95890410958904104</v>
      </c>
      <c r="BA8" s="61">
        <v>0.95616438356164379</v>
      </c>
      <c r="BB8" s="61">
        <v>0.95342465753424654</v>
      </c>
      <c r="BC8" s="61">
        <v>0.95342465753424654</v>
      </c>
      <c r="BD8" s="61">
        <v>0.96986301369863015</v>
      </c>
      <c r="BE8" s="61">
        <v>0.9671232876712329</v>
      </c>
      <c r="BF8" s="61">
        <v>0.95342465753424654</v>
      </c>
      <c r="BG8" s="61">
        <v>0.96438356164383565</v>
      </c>
      <c r="BH8" s="61">
        <v>0.9616438356164384</v>
      </c>
      <c r="BI8" s="61">
        <v>0.9671232876712329</v>
      </c>
      <c r="BJ8" s="61">
        <v>0.9671232876712329</v>
      </c>
      <c r="BK8" s="61">
        <v>0.9452054794520548</v>
      </c>
      <c r="BL8" s="61">
        <v>0.95890410958904104</v>
      </c>
      <c r="BM8" s="61">
        <v>0.96986301369863015</v>
      </c>
      <c r="BN8" s="61">
        <v>0.96438356164383565</v>
      </c>
      <c r="BO8" s="61">
        <v>0.96438356164383565</v>
      </c>
      <c r="BP8" s="61">
        <v>0.95342465753424654</v>
      </c>
      <c r="BQ8" s="61">
        <v>0.9616438356164384</v>
      </c>
      <c r="BR8" s="61">
        <v>0.95342465753424654</v>
      </c>
      <c r="BS8" s="61">
        <v>0.95616438356164379</v>
      </c>
      <c r="BT8" s="61">
        <v>0.95616438356164379</v>
      </c>
      <c r="BU8" s="61">
        <v>0.95342465753424654</v>
      </c>
      <c r="BV8" s="61">
        <v>0.9452054794520548</v>
      </c>
      <c r="BW8" s="61">
        <v>0.95890410958904104</v>
      </c>
      <c r="BX8" s="61">
        <v>0.95616438356164379</v>
      </c>
      <c r="BY8" s="61">
        <v>0.96986301369863015</v>
      </c>
      <c r="BZ8" s="61">
        <v>0.95342465753424654</v>
      </c>
      <c r="CA8" s="61">
        <v>0.96438356164383565</v>
      </c>
      <c r="CB8" s="61">
        <v>0.96438356164383565</v>
      </c>
      <c r="CC8" s="61">
        <v>0.95616438356164379</v>
      </c>
      <c r="CD8" s="61">
        <v>0.9506849315068493</v>
      </c>
      <c r="CE8" s="61">
        <v>0.94794520547945205</v>
      </c>
      <c r="CF8" s="61">
        <v>0.9616438356164384</v>
      </c>
      <c r="CG8" s="61">
        <v>0.9506849315068493</v>
      </c>
      <c r="CH8" s="61">
        <v>0.9506849315068493</v>
      </c>
      <c r="CI8" s="61">
        <v>0.9506849315068493</v>
      </c>
      <c r="CJ8" s="61">
        <v>0.95890410958904104</v>
      </c>
      <c r="CK8" s="61">
        <v>0.96438356164383565</v>
      </c>
      <c r="CL8" s="61">
        <v>0.9726027397260274</v>
      </c>
      <c r="CM8" s="61">
        <v>0.95890410958904104</v>
      </c>
      <c r="CN8" s="61">
        <v>0.9506849315068493</v>
      </c>
      <c r="CO8" s="61">
        <v>0.96986301369863015</v>
      </c>
      <c r="CP8" s="61">
        <v>0.95616438356164379</v>
      </c>
      <c r="CQ8" s="61">
        <v>0.96438356164383565</v>
      </c>
      <c r="CR8" s="61">
        <v>0.9616438356164384</v>
      </c>
      <c r="CS8" s="61">
        <v>0.96986301369863015</v>
      </c>
      <c r="CT8" s="61">
        <v>0.96986301369863015</v>
      </c>
      <c r="CU8" s="61">
        <v>0.95616438356164379</v>
      </c>
      <c r="CV8" s="61">
        <v>0.95890410958904104</v>
      </c>
      <c r="CW8" s="61">
        <v>0.9452054794520548</v>
      </c>
      <c r="CX8" s="61">
        <v>0.96438356164383565</v>
      </c>
      <c r="CY8" s="61">
        <v>0.96438356164383565</v>
      </c>
      <c r="CZ8" s="61">
        <v>0.9616438356164384</v>
      </c>
      <c r="DA8" s="61">
        <v>0.95616438356164379</v>
      </c>
      <c r="DB8" s="61">
        <v>0.95890410958904104</v>
      </c>
      <c r="DC8" s="61">
        <v>0.94246575342465755</v>
      </c>
      <c r="DD8" s="61">
        <v>0.9780821917808219</v>
      </c>
      <c r="DE8" s="61">
        <v>0.95890410958904104</v>
      </c>
      <c r="DF8" s="61">
        <v>0.95342465753424654</v>
      </c>
      <c r="DG8" s="61">
        <v>0.95342465753424654</v>
      </c>
      <c r="DH8" s="61">
        <v>0.9671232876712329</v>
      </c>
      <c r="DI8" s="61">
        <v>0.9671232876712329</v>
      </c>
      <c r="DJ8" s="61">
        <v>0.9506849315068493</v>
      </c>
      <c r="DK8" s="61">
        <v>0.95616438356164379</v>
      </c>
      <c r="DL8" s="61">
        <v>0.94246575342465755</v>
      </c>
      <c r="DM8" s="61">
        <f t="shared" si="7"/>
        <v>0.95832876712328807</v>
      </c>
      <c r="DN8" s="1"/>
    </row>
    <row r="9" spans="2:118" ht="13.2" customHeight="1">
      <c r="B9" s="23" t="s">
        <v>3</v>
      </c>
      <c r="C9" s="2">
        <v>1000</v>
      </c>
      <c r="E9" s="5">
        <v>5</v>
      </c>
      <c r="F9" s="5">
        <f t="shared" ca="1" si="6"/>
        <v>120</v>
      </c>
      <c r="G9" s="5">
        <f t="shared" ca="1" si="8"/>
        <v>670</v>
      </c>
      <c r="H9" s="5">
        <f t="shared" ca="1" si="1"/>
        <v>550</v>
      </c>
      <c r="I9" s="5">
        <f t="shared" ca="1" si="9"/>
        <v>0</v>
      </c>
      <c r="J9" s="5">
        <f t="shared" ca="1" si="2"/>
        <v>0</v>
      </c>
      <c r="K9" s="5">
        <f t="shared" ca="1" si="3"/>
        <v>0</v>
      </c>
      <c r="L9" s="5">
        <f t="shared" ca="1" si="4"/>
        <v>0</v>
      </c>
      <c r="M9" s="25">
        <f t="shared" ca="1" si="5"/>
        <v>15.068493150684931</v>
      </c>
      <c r="P9" s="2">
        <v>120</v>
      </c>
      <c r="Q9" s="61">
        <v>0.9616438356164384</v>
      </c>
      <c r="R9" s="61">
        <v>0.9506849315068493</v>
      </c>
      <c r="S9" s="61">
        <v>0.96438356164383565</v>
      </c>
      <c r="T9" s="61">
        <v>0.9616438356164384</v>
      </c>
      <c r="U9" s="61">
        <v>0.94246575342465755</v>
      </c>
      <c r="V9" s="61">
        <v>0.9726027397260274</v>
      </c>
      <c r="W9" s="61">
        <v>0.94794520547945205</v>
      </c>
      <c r="X9" s="61">
        <v>0.95890410958904104</v>
      </c>
      <c r="Y9" s="61">
        <v>0.9506849315068493</v>
      </c>
      <c r="Z9" s="61">
        <v>0.9616438356164384</v>
      </c>
      <c r="AA9" s="61">
        <v>0.9671232876712329</v>
      </c>
      <c r="AB9" s="61">
        <v>0.95616438356164379</v>
      </c>
      <c r="AC9" s="61">
        <v>0.96438356164383565</v>
      </c>
      <c r="AD9" s="61">
        <v>0.96986301369863015</v>
      </c>
      <c r="AE9" s="61">
        <v>0.95616438356164379</v>
      </c>
      <c r="AF9" s="61">
        <v>0.95616438356164379</v>
      </c>
      <c r="AG9" s="61">
        <v>0.9616438356164384</v>
      </c>
      <c r="AH9" s="61">
        <v>0.9726027397260274</v>
      </c>
      <c r="AI9" s="61">
        <v>0.95616438356164379</v>
      </c>
      <c r="AJ9" s="61">
        <v>0.95342465753424654</v>
      </c>
      <c r="AK9" s="61">
        <v>0.9671232876712329</v>
      </c>
      <c r="AL9" s="61">
        <v>0.9616438356164384</v>
      </c>
      <c r="AM9" s="61">
        <v>0.9616438356164384</v>
      </c>
      <c r="AN9" s="61">
        <v>0.9671232876712329</v>
      </c>
      <c r="AO9" s="61">
        <v>0.9780821917808219</v>
      </c>
      <c r="AP9" s="61">
        <v>0.95890410958904104</v>
      </c>
      <c r="AQ9" s="61">
        <v>0.96438356164383565</v>
      </c>
      <c r="AR9" s="61">
        <v>0.97534246575342465</v>
      </c>
      <c r="AS9" s="61">
        <v>0.95890410958904104</v>
      </c>
      <c r="AT9" s="61">
        <v>0.96438356164383565</v>
      </c>
      <c r="AU9" s="61">
        <v>0.96438356164383565</v>
      </c>
      <c r="AV9" s="61">
        <v>0.95342465753424654</v>
      </c>
      <c r="AW9" s="61">
        <v>0.96438356164383565</v>
      </c>
      <c r="AX9" s="61">
        <v>0.95616438356164379</v>
      </c>
      <c r="AY9" s="61">
        <v>0.9671232876712329</v>
      </c>
      <c r="AZ9" s="61">
        <v>0.96986301369863015</v>
      </c>
      <c r="BA9" s="61">
        <v>0.95616438356164379</v>
      </c>
      <c r="BB9" s="61">
        <v>0.96986301369863015</v>
      </c>
      <c r="BC9" s="61">
        <v>0.9506849315068493</v>
      </c>
      <c r="BD9" s="61">
        <v>0.9506849315068493</v>
      </c>
      <c r="BE9" s="61">
        <v>0.96986301369863015</v>
      </c>
      <c r="BF9" s="61">
        <v>0.96986301369863015</v>
      </c>
      <c r="BG9" s="61">
        <v>0.96438356164383565</v>
      </c>
      <c r="BH9" s="61">
        <v>0.9726027397260274</v>
      </c>
      <c r="BI9" s="61">
        <v>0.9616438356164384</v>
      </c>
      <c r="BJ9" s="61">
        <v>0.9780821917808219</v>
      </c>
      <c r="BK9" s="61">
        <v>0.96438356164383565</v>
      </c>
      <c r="BL9" s="61">
        <v>0.96438356164383565</v>
      </c>
      <c r="BM9" s="61">
        <v>0.95342465753424654</v>
      </c>
      <c r="BN9" s="61">
        <v>0.95890410958904104</v>
      </c>
      <c r="BO9" s="61">
        <v>0.96986301369863015</v>
      </c>
      <c r="BP9" s="61">
        <v>0.95890410958904104</v>
      </c>
      <c r="BQ9" s="61">
        <v>0.97534246575342465</v>
      </c>
      <c r="BR9" s="61">
        <v>0.95890410958904104</v>
      </c>
      <c r="BS9" s="61">
        <v>0.96986301369863015</v>
      </c>
      <c r="BT9" s="61">
        <v>0.9671232876712329</v>
      </c>
      <c r="BU9" s="61">
        <v>0.9671232876712329</v>
      </c>
      <c r="BV9" s="61">
        <v>0.96438356164383565</v>
      </c>
      <c r="BW9" s="61">
        <v>0.9616438356164384</v>
      </c>
      <c r="BX9" s="61">
        <v>0.9616438356164384</v>
      </c>
      <c r="BY9" s="61">
        <v>0.9671232876712329</v>
      </c>
      <c r="BZ9" s="61">
        <v>0.9616438356164384</v>
      </c>
      <c r="CA9" s="61">
        <v>0.95890410958904104</v>
      </c>
      <c r="CB9" s="61">
        <v>0.9506849315068493</v>
      </c>
      <c r="CC9" s="61">
        <v>0.94794520547945205</v>
      </c>
      <c r="CD9" s="61">
        <v>0.96438356164383565</v>
      </c>
      <c r="CE9" s="61">
        <v>0.96986301369863015</v>
      </c>
      <c r="CF9" s="61">
        <v>0.98082191780821915</v>
      </c>
      <c r="CG9" s="61">
        <v>0.9452054794520548</v>
      </c>
      <c r="CH9" s="61">
        <v>0.96986301369863015</v>
      </c>
      <c r="CI9" s="61">
        <v>0.9671232876712329</v>
      </c>
      <c r="CJ9" s="61">
        <v>0.95890410958904104</v>
      </c>
      <c r="CK9" s="61">
        <v>0.9616438356164384</v>
      </c>
      <c r="CL9" s="61">
        <v>0.9726027397260274</v>
      </c>
      <c r="CM9" s="61">
        <v>0.9616438356164384</v>
      </c>
      <c r="CN9" s="61">
        <v>0.95890410958904104</v>
      </c>
      <c r="CO9" s="61">
        <v>0.96986301369863015</v>
      </c>
      <c r="CP9" s="61">
        <v>0.9616438356164384</v>
      </c>
      <c r="CQ9" s="61">
        <v>0.95890410958904104</v>
      </c>
      <c r="CR9" s="61">
        <v>0.95616438356164379</v>
      </c>
      <c r="CS9" s="61">
        <v>0.9506849315068493</v>
      </c>
      <c r="CT9" s="61">
        <v>0.9616438356164384</v>
      </c>
      <c r="CU9" s="61">
        <v>0.9616438356164384</v>
      </c>
      <c r="CV9" s="61">
        <v>0.98082191780821915</v>
      </c>
      <c r="CW9" s="61">
        <v>0.95616438356164379</v>
      </c>
      <c r="CX9" s="61">
        <v>0.9726027397260274</v>
      </c>
      <c r="CY9" s="61">
        <v>0.96438356164383565</v>
      </c>
      <c r="CZ9" s="61">
        <v>0.9671232876712329</v>
      </c>
      <c r="DA9" s="61">
        <v>0.9452054794520548</v>
      </c>
      <c r="DB9" s="61">
        <v>0.9671232876712329</v>
      </c>
      <c r="DC9" s="61">
        <v>0.97534246575342465</v>
      </c>
      <c r="DD9" s="61">
        <v>0.95616438356164379</v>
      </c>
      <c r="DE9" s="61">
        <v>0.96438356164383565</v>
      </c>
      <c r="DF9" s="61">
        <v>0.95890410958904104</v>
      </c>
      <c r="DG9" s="61">
        <v>0.9726027397260274</v>
      </c>
      <c r="DH9" s="61">
        <v>0.9671232876712329</v>
      </c>
      <c r="DI9" s="61">
        <v>0.95342465753424654</v>
      </c>
      <c r="DJ9" s="61">
        <v>0.96986301369863015</v>
      </c>
      <c r="DK9" s="61">
        <v>0.95890410958904104</v>
      </c>
      <c r="DL9" s="61">
        <v>0.96438356164383565</v>
      </c>
      <c r="DM9" s="61">
        <f t="shared" si="7"/>
        <v>0.96271232876712332</v>
      </c>
      <c r="DN9" s="1"/>
    </row>
    <row r="10" spans="2:118" ht="13.2" customHeight="1">
      <c r="B10" s="18" t="s">
        <v>36</v>
      </c>
      <c r="C10" s="7"/>
      <c r="E10" s="5">
        <v>6</v>
      </c>
      <c r="F10" s="5">
        <f t="shared" ca="1" si="6"/>
        <v>110</v>
      </c>
      <c r="G10" s="5">
        <f t="shared" ca="1" si="8"/>
        <v>550</v>
      </c>
      <c r="H10" s="5">
        <f t="shared" ca="1" si="1"/>
        <v>440</v>
      </c>
      <c r="I10" s="5">
        <f t="shared" ca="1" si="9"/>
        <v>0</v>
      </c>
      <c r="J10" s="5">
        <f t="shared" ca="1" si="2"/>
        <v>0</v>
      </c>
      <c r="K10" s="5">
        <f t="shared" ca="1" si="3"/>
        <v>0</v>
      </c>
      <c r="L10" s="5">
        <f t="shared" ca="1" si="4"/>
        <v>0</v>
      </c>
      <c r="M10" s="25">
        <f t="shared" ca="1" si="5"/>
        <v>12.054794520547944</v>
      </c>
      <c r="P10" s="2">
        <v>130</v>
      </c>
      <c r="Q10" s="61">
        <v>0.97534246575342465</v>
      </c>
      <c r="R10" s="61">
        <v>0.97534246575342465</v>
      </c>
      <c r="S10" s="61">
        <v>0.9726027397260274</v>
      </c>
      <c r="T10" s="61">
        <v>0.96438356164383565</v>
      </c>
      <c r="U10" s="61">
        <v>0.96438356164383565</v>
      </c>
      <c r="V10" s="61">
        <v>0.9616438356164384</v>
      </c>
      <c r="W10" s="61">
        <v>0.97534246575342465</v>
      </c>
      <c r="X10" s="61">
        <v>0.96438356164383565</v>
      </c>
      <c r="Y10" s="61">
        <v>0.96986301369863015</v>
      </c>
      <c r="Z10" s="61">
        <v>0.98356164383561639</v>
      </c>
      <c r="AA10" s="61">
        <v>0.9616438356164384</v>
      </c>
      <c r="AB10" s="61">
        <v>0.96986301369863015</v>
      </c>
      <c r="AC10" s="61">
        <v>0.96986301369863015</v>
      </c>
      <c r="AD10" s="61">
        <v>0.9780821917808219</v>
      </c>
      <c r="AE10" s="61">
        <v>0.96438356164383565</v>
      </c>
      <c r="AF10" s="61">
        <v>0.97534246575342465</v>
      </c>
      <c r="AG10" s="61">
        <v>0.98630136986301364</v>
      </c>
      <c r="AH10" s="61">
        <v>0.95890410958904104</v>
      </c>
      <c r="AI10" s="61">
        <v>0.9616438356164384</v>
      </c>
      <c r="AJ10" s="61">
        <v>0.9780821917808219</v>
      </c>
      <c r="AK10" s="61">
        <v>0.96438356164383565</v>
      </c>
      <c r="AL10" s="61">
        <v>0.96438356164383565</v>
      </c>
      <c r="AM10" s="61">
        <v>0.95616438356164379</v>
      </c>
      <c r="AN10" s="61">
        <v>0.9726027397260274</v>
      </c>
      <c r="AO10" s="61">
        <v>0.9671232876712329</v>
      </c>
      <c r="AP10" s="61">
        <v>0.96986301369863015</v>
      </c>
      <c r="AQ10" s="61">
        <v>0.9726027397260274</v>
      </c>
      <c r="AR10" s="61">
        <v>0.95890410958904104</v>
      </c>
      <c r="AS10" s="61">
        <v>0.96986301369863015</v>
      </c>
      <c r="AT10" s="61">
        <v>0.9780821917808219</v>
      </c>
      <c r="AU10" s="61">
        <v>0.96986301369863015</v>
      </c>
      <c r="AV10" s="61">
        <v>0.97534246575342465</v>
      </c>
      <c r="AW10" s="61">
        <v>0.96438356164383565</v>
      </c>
      <c r="AX10" s="61">
        <v>0.9780821917808219</v>
      </c>
      <c r="AY10" s="61">
        <v>0.96438356164383565</v>
      </c>
      <c r="AZ10" s="61">
        <v>0.96438356164383565</v>
      </c>
      <c r="BA10" s="61">
        <v>0.9671232876712329</v>
      </c>
      <c r="BB10" s="61">
        <v>0.95890410958904104</v>
      </c>
      <c r="BC10" s="61">
        <v>0.95616438356164379</v>
      </c>
      <c r="BD10" s="61">
        <v>0.95890410958904104</v>
      </c>
      <c r="BE10" s="61">
        <v>0.9671232876712329</v>
      </c>
      <c r="BF10" s="61">
        <v>0.94794520547945205</v>
      </c>
      <c r="BG10" s="61">
        <v>0.9780821917808219</v>
      </c>
      <c r="BH10" s="61">
        <v>0.9616438356164384</v>
      </c>
      <c r="BI10" s="61">
        <v>0.98082191780821915</v>
      </c>
      <c r="BJ10" s="61">
        <v>0.9616438356164384</v>
      </c>
      <c r="BK10" s="61">
        <v>0.96986301369863015</v>
      </c>
      <c r="BL10" s="61">
        <v>0.97534246575342465</v>
      </c>
      <c r="BM10" s="61">
        <v>0.97534246575342465</v>
      </c>
      <c r="BN10" s="61">
        <v>0.96986301369863015</v>
      </c>
      <c r="BO10" s="61">
        <v>0.96438356164383565</v>
      </c>
      <c r="BP10" s="61">
        <v>0.9671232876712329</v>
      </c>
      <c r="BQ10" s="61">
        <v>0.95890410958904104</v>
      </c>
      <c r="BR10" s="61">
        <v>0.95890410958904104</v>
      </c>
      <c r="BS10" s="61">
        <v>0.98356164383561639</v>
      </c>
      <c r="BT10" s="61">
        <v>0.96986301369863015</v>
      </c>
      <c r="BU10" s="61">
        <v>0.96438356164383565</v>
      </c>
      <c r="BV10" s="61">
        <v>0.9671232876712329</v>
      </c>
      <c r="BW10" s="61">
        <v>0.95890410958904104</v>
      </c>
      <c r="BX10" s="61">
        <v>0.9671232876712329</v>
      </c>
      <c r="BY10" s="61">
        <v>0.97534246575342465</v>
      </c>
      <c r="BZ10" s="61">
        <v>0.9671232876712329</v>
      </c>
      <c r="CA10" s="61">
        <v>0.96438356164383565</v>
      </c>
      <c r="CB10" s="61">
        <v>0.95342465753424654</v>
      </c>
      <c r="CC10" s="61">
        <v>0.96438356164383565</v>
      </c>
      <c r="CD10" s="61">
        <v>0.98356164383561639</v>
      </c>
      <c r="CE10" s="61">
        <v>0.96986301369863015</v>
      </c>
      <c r="CF10" s="61">
        <v>0.98356164383561639</v>
      </c>
      <c r="CG10" s="61">
        <v>0.9726027397260274</v>
      </c>
      <c r="CH10" s="61">
        <v>0.9616438356164384</v>
      </c>
      <c r="CI10" s="61">
        <v>0.9616438356164384</v>
      </c>
      <c r="CJ10" s="61">
        <v>0.9671232876712329</v>
      </c>
      <c r="CK10" s="61">
        <v>0.95616438356164379</v>
      </c>
      <c r="CL10" s="61">
        <v>0.95616438356164379</v>
      </c>
      <c r="CM10" s="61">
        <v>0.9671232876712329</v>
      </c>
      <c r="CN10" s="61">
        <v>0.9671232876712329</v>
      </c>
      <c r="CO10" s="61">
        <v>0.9616438356164384</v>
      </c>
      <c r="CP10" s="61">
        <v>0.98356164383561639</v>
      </c>
      <c r="CQ10" s="61">
        <v>0.9726027397260274</v>
      </c>
      <c r="CR10" s="61">
        <v>0.96986301369863015</v>
      </c>
      <c r="CS10" s="61">
        <v>0.9671232876712329</v>
      </c>
      <c r="CT10" s="61">
        <v>0.96986301369863015</v>
      </c>
      <c r="CU10" s="61">
        <v>0.97534246575342465</v>
      </c>
      <c r="CV10" s="61">
        <v>0.9780821917808219</v>
      </c>
      <c r="CW10" s="61">
        <v>0.97534246575342465</v>
      </c>
      <c r="CX10" s="61">
        <v>0.9671232876712329</v>
      </c>
      <c r="CY10" s="61">
        <v>0.9671232876712329</v>
      </c>
      <c r="CZ10" s="61">
        <v>0.9616438356164384</v>
      </c>
      <c r="DA10" s="61">
        <v>0.96986301369863015</v>
      </c>
      <c r="DB10" s="61">
        <v>0.9780821917808219</v>
      </c>
      <c r="DC10" s="61">
        <v>0.95342465753424654</v>
      </c>
      <c r="DD10" s="61">
        <v>0.97534246575342465</v>
      </c>
      <c r="DE10" s="61">
        <v>0.95890410958904104</v>
      </c>
      <c r="DF10" s="61">
        <v>0.96986301369863015</v>
      </c>
      <c r="DG10" s="61">
        <v>0.96438356164383565</v>
      </c>
      <c r="DH10" s="61">
        <v>0.9671232876712329</v>
      </c>
      <c r="DI10" s="61">
        <v>0.9726027397260274</v>
      </c>
      <c r="DJ10" s="61">
        <v>0.96986301369863015</v>
      </c>
      <c r="DK10" s="61">
        <v>0.9726027397260274</v>
      </c>
      <c r="DL10" s="61">
        <v>0.9671232876712329</v>
      </c>
      <c r="DM10" s="61">
        <f t="shared" si="7"/>
        <v>0.96830136986301352</v>
      </c>
      <c r="DN10" s="1"/>
    </row>
    <row r="11" spans="2:118" ht="13.2" customHeight="1">
      <c r="B11" s="23" t="s">
        <v>44</v>
      </c>
      <c r="C11" s="61">
        <f ca="1">(E369-K1)/E369</f>
        <v>0.93698630136986305</v>
      </c>
      <c r="E11" s="5">
        <v>7</v>
      </c>
      <c r="F11" s="5">
        <f t="shared" ca="1" si="6"/>
        <v>120</v>
      </c>
      <c r="G11" s="5">
        <f t="shared" ca="1" si="8"/>
        <v>440</v>
      </c>
      <c r="H11" s="5">
        <f t="shared" ca="1" si="1"/>
        <v>320</v>
      </c>
      <c r="I11" s="5">
        <f t="shared" ca="1" si="9"/>
        <v>0</v>
      </c>
      <c r="J11" s="5">
        <f t="shared" ca="1" si="2"/>
        <v>0</v>
      </c>
      <c r="K11" s="5">
        <f t="shared" ca="1" si="3"/>
        <v>0</v>
      </c>
      <c r="L11" s="5">
        <f t="shared" ca="1" si="4"/>
        <v>0</v>
      </c>
      <c r="M11" s="25">
        <f t="shared" ca="1" si="5"/>
        <v>8.7671232876712324</v>
      </c>
      <c r="P11" s="2">
        <v>140</v>
      </c>
      <c r="Q11" s="61">
        <v>0.97534246575342465</v>
      </c>
      <c r="R11" s="61">
        <v>0.96986301369863015</v>
      </c>
      <c r="S11" s="61">
        <v>0.9726027397260274</v>
      </c>
      <c r="T11" s="61">
        <v>0.9616438356164384</v>
      </c>
      <c r="U11" s="61">
        <v>0.9780821917808219</v>
      </c>
      <c r="V11" s="61">
        <v>0.98356164383561639</v>
      </c>
      <c r="W11" s="61">
        <v>0.9616438356164384</v>
      </c>
      <c r="X11" s="61">
        <v>0.95342465753424654</v>
      </c>
      <c r="Y11" s="61">
        <v>0.98082191780821915</v>
      </c>
      <c r="Z11" s="61">
        <v>0.96438356164383565</v>
      </c>
      <c r="AA11" s="61">
        <v>0.98082191780821915</v>
      </c>
      <c r="AB11" s="61">
        <v>0.9671232876712329</v>
      </c>
      <c r="AC11" s="61">
        <v>0.97534246575342465</v>
      </c>
      <c r="AD11" s="61">
        <v>0.95890410958904104</v>
      </c>
      <c r="AE11" s="61">
        <v>0.96986301369863015</v>
      </c>
      <c r="AF11" s="61">
        <v>0.97534246575342465</v>
      </c>
      <c r="AG11" s="61">
        <v>0.9726027397260274</v>
      </c>
      <c r="AH11" s="61">
        <v>0.98082191780821915</v>
      </c>
      <c r="AI11" s="61">
        <v>0.96438356164383565</v>
      </c>
      <c r="AJ11" s="61">
        <v>0.95890410958904104</v>
      </c>
      <c r="AK11" s="61">
        <v>0.96438356164383565</v>
      </c>
      <c r="AL11" s="61">
        <v>0.9726027397260274</v>
      </c>
      <c r="AM11" s="61">
        <v>0.9726027397260274</v>
      </c>
      <c r="AN11" s="61">
        <v>0.96986301369863015</v>
      </c>
      <c r="AO11" s="61">
        <v>0.97534246575342465</v>
      </c>
      <c r="AP11" s="61">
        <v>0.97534246575342465</v>
      </c>
      <c r="AQ11" s="61">
        <v>0.96986301369863015</v>
      </c>
      <c r="AR11" s="61">
        <v>0.9726027397260274</v>
      </c>
      <c r="AS11" s="61">
        <v>0.98630136986301364</v>
      </c>
      <c r="AT11" s="61">
        <v>0.96986301369863015</v>
      </c>
      <c r="AU11" s="61">
        <v>0.9671232876712329</v>
      </c>
      <c r="AV11" s="61">
        <v>0.9726027397260274</v>
      </c>
      <c r="AW11" s="61">
        <v>0.96438356164383565</v>
      </c>
      <c r="AX11" s="61">
        <v>0.9671232876712329</v>
      </c>
      <c r="AY11" s="61">
        <v>0.96986301369863015</v>
      </c>
      <c r="AZ11" s="61">
        <v>0.97534246575342465</v>
      </c>
      <c r="BA11" s="61">
        <v>0.9616438356164384</v>
      </c>
      <c r="BB11" s="61">
        <v>0.9671232876712329</v>
      </c>
      <c r="BC11" s="61">
        <v>0.9780821917808219</v>
      </c>
      <c r="BD11" s="61">
        <v>0.96986301369863015</v>
      </c>
      <c r="BE11" s="61">
        <v>0.95616438356164379</v>
      </c>
      <c r="BF11" s="61">
        <v>0.96438356164383565</v>
      </c>
      <c r="BG11" s="61">
        <v>0.97534246575342465</v>
      </c>
      <c r="BH11" s="61">
        <v>0.9671232876712329</v>
      </c>
      <c r="BI11" s="61">
        <v>0.96986301369863015</v>
      </c>
      <c r="BJ11" s="61">
        <v>0.9780821917808219</v>
      </c>
      <c r="BK11" s="61">
        <v>0.97534246575342465</v>
      </c>
      <c r="BL11" s="61">
        <v>0.9726027397260274</v>
      </c>
      <c r="BM11" s="61">
        <v>0.9671232876712329</v>
      </c>
      <c r="BN11" s="61">
        <v>0.9726027397260274</v>
      </c>
      <c r="BO11" s="61">
        <v>0.96438356164383565</v>
      </c>
      <c r="BP11" s="61">
        <v>0.96986301369863015</v>
      </c>
      <c r="BQ11" s="61">
        <v>0.9616438356164384</v>
      </c>
      <c r="BR11" s="61">
        <v>0.96438356164383565</v>
      </c>
      <c r="BS11" s="61">
        <v>0.9726027397260274</v>
      </c>
      <c r="BT11" s="61">
        <v>0.9726027397260274</v>
      </c>
      <c r="BU11" s="61">
        <v>0.96438356164383565</v>
      </c>
      <c r="BV11" s="61">
        <v>0.98082191780821915</v>
      </c>
      <c r="BW11" s="61">
        <v>0.96986301369863015</v>
      </c>
      <c r="BX11" s="61">
        <v>0.9780821917808219</v>
      </c>
      <c r="BY11" s="61">
        <v>0.9726027397260274</v>
      </c>
      <c r="BZ11" s="61">
        <v>0.96438356164383565</v>
      </c>
      <c r="CA11" s="61">
        <v>0.98082191780821915</v>
      </c>
      <c r="CB11" s="61">
        <v>0.97534246575342465</v>
      </c>
      <c r="CC11" s="61">
        <v>0.95890410958904104</v>
      </c>
      <c r="CD11" s="61">
        <v>0.98356164383561639</v>
      </c>
      <c r="CE11" s="61">
        <v>0.98082191780821915</v>
      </c>
      <c r="CF11" s="61">
        <v>0.9671232876712329</v>
      </c>
      <c r="CG11" s="61">
        <v>0.97534246575342465</v>
      </c>
      <c r="CH11" s="61">
        <v>0.98082191780821915</v>
      </c>
      <c r="CI11" s="61">
        <v>0.9780821917808219</v>
      </c>
      <c r="CJ11" s="61">
        <v>0.9780821917808219</v>
      </c>
      <c r="CK11" s="61">
        <v>0.9780821917808219</v>
      </c>
      <c r="CL11" s="61">
        <v>0.96986301369863015</v>
      </c>
      <c r="CM11" s="61">
        <v>0.96438356164383565</v>
      </c>
      <c r="CN11" s="61">
        <v>0.96438356164383565</v>
      </c>
      <c r="CO11" s="61">
        <v>0.9726027397260274</v>
      </c>
      <c r="CP11" s="61">
        <v>0.9780821917808219</v>
      </c>
      <c r="CQ11" s="61">
        <v>0.9726027397260274</v>
      </c>
      <c r="CR11" s="61">
        <v>0.97534246575342465</v>
      </c>
      <c r="CS11" s="61">
        <v>0.98356164383561639</v>
      </c>
      <c r="CT11" s="61">
        <v>0.97534246575342465</v>
      </c>
      <c r="CU11" s="61">
        <v>0.9726027397260274</v>
      </c>
      <c r="CV11" s="61">
        <v>0.95890410958904104</v>
      </c>
      <c r="CW11" s="61">
        <v>0.9780821917808219</v>
      </c>
      <c r="CX11" s="61">
        <v>0.9671232876712329</v>
      </c>
      <c r="CY11" s="61">
        <v>0.96438356164383565</v>
      </c>
      <c r="CZ11" s="61">
        <v>0.98356164383561639</v>
      </c>
      <c r="DA11" s="61">
        <v>0.9616438356164384</v>
      </c>
      <c r="DB11" s="61">
        <v>0.9671232876712329</v>
      </c>
      <c r="DC11" s="61">
        <v>0.96438356164383565</v>
      </c>
      <c r="DD11" s="61">
        <v>0.96986301369863015</v>
      </c>
      <c r="DE11" s="61">
        <v>0.9616438356164384</v>
      </c>
      <c r="DF11" s="61">
        <v>0.9671232876712329</v>
      </c>
      <c r="DG11" s="61">
        <v>0.97534246575342465</v>
      </c>
      <c r="DH11" s="61">
        <v>0.98082191780821915</v>
      </c>
      <c r="DI11" s="61">
        <v>0.96986301369863015</v>
      </c>
      <c r="DJ11" s="61">
        <v>0.9616438356164384</v>
      </c>
      <c r="DK11" s="61">
        <v>0.9780821917808219</v>
      </c>
      <c r="DL11" s="61">
        <v>0.9780821917808219</v>
      </c>
      <c r="DM11" s="61">
        <f t="shared" si="7"/>
        <v>0.97115068493150747</v>
      </c>
      <c r="DN11" s="1"/>
    </row>
    <row r="12" spans="2:118" ht="12.75" customHeight="1">
      <c r="B12" s="23" t="s">
        <v>50</v>
      </c>
      <c r="C12" s="5">
        <f ca="1">L1</f>
        <v>6600</v>
      </c>
      <c r="E12" s="5">
        <v>8</v>
      </c>
      <c r="F12" s="5">
        <f t="shared" ca="1" si="6"/>
        <v>120</v>
      </c>
      <c r="G12" s="5">
        <f t="shared" ca="1" si="8"/>
        <v>320</v>
      </c>
      <c r="H12" s="5">
        <f t="shared" ca="1" si="1"/>
        <v>200</v>
      </c>
      <c r="I12" s="5">
        <f t="shared" ca="1" si="9"/>
        <v>0</v>
      </c>
      <c r="J12" s="5">
        <f t="shared" ca="1" si="2"/>
        <v>0</v>
      </c>
      <c r="K12" s="5">
        <f t="shared" ca="1" si="3"/>
        <v>0</v>
      </c>
      <c r="L12" s="5">
        <f t="shared" ca="1" si="4"/>
        <v>0</v>
      </c>
      <c r="M12" s="25">
        <f t="shared" ca="1" si="5"/>
        <v>5.4794520547945202</v>
      </c>
      <c r="P12" s="2">
        <v>150</v>
      </c>
      <c r="Q12" s="61">
        <v>0.98630136986301364</v>
      </c>
      <c r="R12" s="61">
        <v>0.9671232876712329</v>
      </c>
      <c r="S12" s="61">
        <v>0.9671232876712329</v>
      </c>
      <c r="T12" s="61">
        <v>0.98356164383561639</v>
      </c>
      <c r="U12" s="61">
        <v>0.9726027397260274</v>
      </c>
      <c r="V12" s="61">
        <v>0.9726027397260274</v>
      </c>
      <c r="W12" s="61">
        <v>0.9726027397260274</v>
      </c>
      <c r="X12" s="61">
        <v>0.9780821917808219</v>
      </c>
      <c r="Y12" s="61">
        <v>0.98356164383561639</v>
      </c>
      <c r="Z12" s="61">
        <v>0.98082191780821915</v>
      </c>
      <c r="AA12" s="61">
        <v>0.98082191780821915</v>
      </c>
      <c r="AB12" s="61">
        <v>0.9780821917808219</v>
      </c>
      <c r="AC12" s="61">
        <v>0.9726027397260274</v>
      </c>
      <c r="AD12" s="61">
        <v>0.96986301369863015</v>
      </c>
      <c r="AE12" s="61">
        <v>0.96986301369863015</v>
      </c>
      <c r="AF12" s="61">
        <v>0.9671232876712329</v>
      </c>
      <c r="AG12" s="61">
        <v>0.9726027397260274</v>
      </c>
      <c r="AH12" s="61">
        <v>0.97534246575342465</v>
      </c>
      <c r="AI12" s="61">
        <v>0.9780821917808219</v>
      </c>
      <c r="AJ12" s="61">
        <v>0.97534246575342465</v>
      </c>
      <c r="AK12" s="61">
        <v>0.98356164383561639</v>
      </c>
      <c r="AL12" s="61">
        <v>0.9780821917808219</v>
      </c>
      <c r="AM12" s="61">
        <v>0.96986301369863015</v>
      </c>
      <c r="AN12" s="61">
        <v>0.96986301369863015</v>
      </c>
      <c r="AO12" s="61">
        <v>0.98082191780821915</v>
      </c>
      <c r="AP12" s="61">
        <v>0.98082191780821915</v>
      </c>
      <c r="AQ12" s="61">
        <v>0.96438356164383565</v>
      </c>
      <c r="AR12" s="61">
        <v>0.97534246575342465</v>
      </c>
      <c r="AS12" s="61">
        <v>0.98630136986301364</v>
      </c>
      <c r="AT12" s="61">
        <v>0.9726027397260274</v>
      </c>
      <c r="AU12" s="61">
        <v>0.9726027397260274</v>
      </c>
      <c r="AV12" s="61">
        <v>0.97534246575342465</v>
      </c>
      <c r="AW12" s="61">
        <v>0.9616438356164384</v>
      </c>
      <c r="AX12" s="61">
        <v>0.9780821917808219</v>
      </c>
      <c r="AY12" s="61">
        <v>0.9671232876712329</v>
      </c>
      <c r="AZ12" s="61">
        <v>0.96438356164383565</v>
      </c>
      <c r="BA12" s="61">
        <v>0.9780821917808219</v>
      </c>
      <c r="BB12" s="61">
        <v>0.98082191780821915</v>
      </c>
      <c r="BC12" s="61">
        <v>0.9726027397260274</v>
      </c>
      <c r="BD12" s="61">
        <v>0.9780821917808219</v>
      </c>
      <c r="BE12" s="61">
        <v>0.98082191780821915</v>
      </c>
      <c r="BF12" s="61">
        <v>0.97534246575342465</v>
      </c>
      <c r="BG12" s="61">
        <v>0.9726027397260274</v>
      </c>
      <c r="BH12" s="61">
        <v>0.9726027397260274</v>
      </c>
      <c r="BI12" s="61">
        <v>0.9780821917808219</v>
      </c>
      <c r="BJ12" s="61">
        <v>0.9726027397260274</v>
      </c>
      <c r="BK12" s="61">
        <v>0.9726027397260274</v>
      </c>
      <c r="BL12" s="61">
        <v>0.9671232876712329</v>
      </c>
      <c r="BM12" s="61">
        <v>0.9671232876712329</v>
      </c>
      <c r="BN12" s="61">
        <v>0.98630136986301364</v>
      </c>
      <c r="BO12" s="61">
        <v>0.98356164383561639</v>
      </c>
      <c r="BP12" s="61">
        <v>0.9726027397260274</v>
      </c>
      <c r="BQ12" s="61">
        <v>0.96986301369863015</v>
      </c>
      <c r="BR12" s="61">
        <v>0.96986301369863015</v>
      </c>
      <c r="BS12" s="61">
        <v>0.9726027397260274</v>
      </c>
      <c r="BT12" s="61">
        <v>0.9780821917808219</v>
      </c>
      <c r="BU12" s="61">
        <v>0.9671232876712329</v>
      </c>
      <c r="BV12" s="61">
        <v>0.96438356164383565</v>
      </c>
      <c r="BW12" s="61">
        <v>0.97534246575342465</v>
      </c>
      <c r="BX12" s="61">
        <v>0.97534246575342465</v>
      </c>
      <c r="BY12" s="61">
        <v>0.9780821917808219</v>
      </c>
      <c r="BZ12" s="61">
        <v>0.99178082191780825</v>
      </c>
      <c r="CA12" s="61">
        <v>0.97534246575342465</v>
      </c>
      <c r="CB12" s="61">
        <v>0.9726027397260274</v>
      </c>
      <c r="CC12" s="61">
        <v>0.989041095890411</v>
      </c>
      <c r="CD12" s="61">
        <v>0.98356164383561639</v>
      </c>
      <c r="CE12" s="61">
        <v>0.9671232876712329</v>
      </c>
      <c r="CF12" s="61">
        <v>0.97534246575342465</v>
      </c>
      <c r="CG12" s="61">
        <v>0.98630136986301364</v>
      </c>
      <c r="CH12" s="61">
        <v>0.9726027397260274</v>
      </c>
      <c r="CI12" s="61">
        <v>0.97534246575342465</v>
      </c>
      <c r="CJ12" s="61">
        <v>0.9671232876712329</v>
      </c>
      <c r="CK12" s="61">
        <v>0.98082191780821915</v>
      </c>
      <c r="CL12" s="61">
        <v>0.9726027397260274</v>
      </c>
      <c r="CM12" s="61">
        <v>0.96986301369863015</v>
      </c>
      <c r="CN12" s="61">
        <v>0.96438356164383565</v>
      </c>
      <c r="CO12" s="61">
        <v>0.96986301369863015</v>
      </c>
      <c r="CP12" s="61">
        <v>0.98082191780821915</v>
      </c>
      <c r="CQ12" s="61">
        <v>0.98630136986301364</v>
      </c>
      <c r="CR12" s="61">
        <v>0.98356164383561639</v>
      </c>
      <c r="CS12" s="61">
        <v>0.98356164383561639</v>
      </c>
      <c r="CT12" s="61">
        <v>0.98630136986301364</v>
      </c>
      <c r="CU12" s="61">
        <v>0.9671232876712329</v>
      </c>
      <c r="CV12" s="61">
        <v>0.9726027397260274</v>
      </c>
      <c r="CW12" s="61">
        <v>0.9726027397260274</v>
      </c>
      <c r="CX12" s="61">
        <v>0.9780821917808219</v>
      </c>
      <c r="CY12" s="61">
        <v>0.9726027397260274</v>
      </c>
      <c r="CZ12" s="61">
        <v>0.9671232876712329</v>
      </c>
      <c r="DA12" s="61">
        <v>0.98356164383561639</v>
      </c>
      <c r="DB12" s="61">
        <v>0.98082191780821915</v>
      </c>
      <c r="DC12" s="61">
        <v>0.9671232876712329</v>
      </c>
      <c r="DD12" s="61">
        <v>0.98082191780821915</v>
      </c>
      <c r="DE12" s="61">
        <v>0.97534246575342465</v>
      </c>
      <c r="DF12" s="61">
        <v>0.97534246575342465</v>
      </c>
      <c r="DG12" s="61">
        <v>0.9726027397260274</v>
      </c>
      <c r="DH12" s="61">
        <v>0.98356164383561639</v>
      </c>
      <c r="DI12" s="61">
        <v>0.97534246575342465</v>
      </c>
      <c r="DJ12" s="61">
        <v>0.9780821917808219</v>
      </c>
      <c r="DK12" s="61">
        <v>0.989041095890411</v>
      </c>
      <c r="DL12" s="61">
        <v>0.98082191780821915</v>
      </c>
      <c r="DM12" s="61">
        <f t="shared" si="7"/>
        <v>0.97553424657534249</v>
      </c>
      <c r="DN12" s="1"/>
    </row>
    <row r="13" spans="2:118" ht="13.2" customHeight="1">
      <c r="B13" s="23" t="s">
        <v>51</v>
      </c>
      <c r="C13" s="5">
        <f ca="1">M1</f>
        <v>4608.4931506849307</v>
      </c>
      <c r="E13" s="5">
        <v>9</v>
      </c>
      <c r="F13" s="5">
        <f t="shared" ca="1" si="6"/>
        <v>110</v>
      </c>
      <c r="G13" s="5">
        <f t="shared" ca="1" si="8"/>
        <v>200</v>
      </c>
      <c r="H13" s="5">
        <f t="shared" ca="1" si="1"/>
        <v>90</v>
      </c>
      <c r="I13" s="5">
        <f t="shared" ca="1" si="9"/>
        <v>1</v>
      </c>
      <c r="J13" s="5">
        <f t="shared" ca="1" si="2"/>
        <v>0</v>
      </c>
      <c r="K13" s="5">
        <f t="shared" ca="1" si="3"/>
        <v>0</v>
      </c>
      <c r="L13" s="5">
        <f t="shared" ca="1" si="4"/>
        <v>200</v>
      </c>
      <c r="M13" s="25">
        <f t="shared" ca="1" si="5"/>
        <v>2.4657534246575343</v>
      </c>
      <c r="P13" s="2">
        <v>160</v>
      </c>
      <c r="Q13" s="61">
        <v>0.98630136986301364</v>
      </c>
      <c r="R13" s="61">
        <v>0.9780821917808219</v>
      </c>
      <c r="S13" s="61">
        <v>0.98356164383561639</v>
      </c>
      <c r="T13" s="61">
        <v>0.96986301369863015</v>
      </c>
      <c r="U13" s="61">
        <v>0.98082191780821915</v>
      </c>
      <c r="V13" s="61">
        <v>0.98356164383561639</v>
      </c>
      <c r="W13" s="61">
        <v>0.98356164383561639</v>
      </c>
      <c r="X13" s="61">
        <v>0.98356164383561639</v>
      </c>
      <c r="Y13" s="61">
        <v>0.98630136986301364</v>
      </c>
      <c r="Z13" s="61">
        <v>0.98082191780821915</v>
      </c>
      <c r="AA13" s="61">
        <v>0.97534246575342465</v>
      </c>
      <c r="AB13" s="61">
        <v>0.989041095890411</v>
      </c>
      <c r="AC13" s="61">
        <v>0.98082191780821915</v>
      </c>
      <c r="AD13" s="61">
        <v>0.97534246575342465</v>
      </c>
      <c r="AE13" s="61">
        <v>0.97534246575342465</v>
      </c>
      <c r="AF13" s="61">
        <v>0.96438356164383565</v>
      </c>
      <c r="AG13" s="61">
        <v>0.97534246575342465</v>
      </c>
      <c r="AH13" s="61">
        <v>0.96986301369863015</v>
      </c>
      <c r="AI13" s="61">
        <v>0.9726027397260274</v>
      </c>
      <c r="AJ13" s="61">
        <v>0.98630136986301364</v>
      </c>
      <c r="AK13" s="61">
        <v>0.98356164383561639</v>
      </c>
      <c r="AL13" s="61">
        <v>0.989041095890411</v>
      </c>
      <c r="AM13" s="61">
        <v>0.96986301369863015</v>
      </c>
      <c r="AN13" s="61">
        <v>0.9726027397260274</v>
      </c>
      <c r="AO13" s="61">
        <v>0.98356164383561639</v>
      </c>
      <c r="AP13" s="61">
        <v>0.989041095890411</v>
      </c>
      <c r="AQ13" s="61">
        <v>0.97534246575342465</v>
      </c>
      <c r="AR13" s="61">
        <v>0.9780821917808219</v>
      </c>
      <c r="AS13" s="61">
        <v>0.97534246575342465</v>
      </c>
      <c r="AT13" s="61">
        <v>0.9726027397260274</v>
      </c>
      <c r="AU13" s="61">
        <v>0.9945205479452055</v>
      </c>
      <c r="AV13" s="61">
        <v>0.98082191780821915</v>
      </c>
      <c r="AW13" s="61">
        <v>0.9780821917808219</v>
      </c>
      <c r="AX13" s="61">
        <v>0.9780821917808219</v>
      </c>
      <c r="AY13" s="61">
        <v>0.97534246575342465</v>
      </c>
      <c r="AZ13" s="61">
        <v>0.96986301369863015</v>
      </c>
      <c r="BA13" s="61">
        <v>0.98630136986301364</v>
      </c>
      <c r="BB13" s="61">
        <v>0.96986301369863015</v>
      </c>
      <c r="BC13" s="61">
        <v>0.98356164383561639</v>
      </c>
      <c r="BD13" s="61">
        <v>0.96986301369863015</v>
      </c>
      <c r="BE13" s="61">
        <v>0.97534246575342465</v>
      </c>
      <c r="BF13" s="61">
        <v>0.9726027397260274</v>
      </c>
      <c r="BG13" s="61">
        <v>0.99178082191780825</v>
      </c>
      <c r="BH13" s="61">
        <v>0.98356164383561639</v>
      </c>
      <c r="BI13" s="61">
        <v>0.98356164383561639</v>
      </c>
      <c r="BJ13" s="61">
        <v>0.98082191780821915</v>
      </c>
      <c r="BK13" s="61">
        <v>0.98630136986301364</v>
      </c>
      <c r="BL13" s="61">
        <v>0.9726027397260274</v>
      </c>
      <c r="BM13" s="61">
        <v>0.97534246575342465</v>
      </c>
      <c r="BN13" s="61">
        <v>0.98356164383561639</v>
      </c>
      <c r="BO13" s="61">
        <v>0.99178082191780825</v>
      </c>
      <c r="BP13" s="61">
        <v>0.989041095890411</v>
      </c>
      <c r="BQ13" s="61">
        <v>0.98082191780821915</v>
      </c>
      <c r="BR13" s="61">
        <v>0.98082191780821915</v>
      </c>
      <c r="BS13" s="61">
        <v>0.9726027397260274</v>
      </c>
      <c r="BT13" s="61">
        <v>0.97534246575342465</v>
      </c>
      <c r="BU13" s="61">
        <v>0.98356164383561639</v>
      </c>
      <c r="BV13" s="61">
        <v>0.98356164383561639</v>
      </c>
      <c r="BW13" s="61">
        <v>0.9780821917808219</v>
      </c>
      <c r="BX13" s="61">
        <v>0.9780821917808219</v>
      </c>
      <c r="BY13" s="61">
        <v>0.98630136986301364</v>
      </c>
      <c r="BZ13" s="61">
        <v>0.97534246575342465</v>
      </c>
      <c r="CA13" s="61">
        <v>0.99178082191780825</v>
      </c>
      <c r="CB13" s="61">
        <v>0.96986301369863015</v>
      </c>
      <c r="CC13" s="61">
        <v>0.98356164383561639</v>
      </c>
      <c r="CD13" s="61">
        <v>0.98630136986301364</v>
      </c>
      <c r="CE13" s="61">
        <v>0.98082191780821915</v>
      </c>
      <c r="CF13" s="61">
        <v>0.9780821917808219</v>
      </c>
      <c r="CG13" s="61">
        <v>0.9780821917808219</v>
      </c>
      <c r="CH13" s="61">
        <v>0.98082191780821915</v>
      </c>
      <c r="CI13" s="61">
        <v>0.98356164383561639</v>
      </c>
      <c r="CJ13" s="61">
        <v>0.97534246575342465</v>
      </c>
      <c r="CK13" s="61">
        <v>0.989041095890411</v>
      </c>
      <c r="CL13" s="61">
        <v>0.98082191780821915</v>
      </c>
      <c r="CM13" s="61">
        <v>0.9726027397260274</v>
      </c>
      <c r="CN13" s="61">
        <v>0.9726027397260274</v>
      </c>
      <c r="CO13" s="61">
        <v>0.98630136986301364</v>
      </c>
      <c r="CP13" s="61">
        <v>0.98356164383561639</v>
      </c>
      <c r="CQ13" s="61">
        <v>0.9780821917808219</v>
      </c>
      <c r="CR13" s="61">
        <v>0.98082191780821915</v>
      </c>
      <c r="CS13" s="61">
        <v>0.9780821917808219</v>
      </c>
      <c r="CT13" s="61">
        <v>0.9780821917808219</v>
      </c>
      <c r="CU13" s="61">
        <v>0.97534246575342465</v>
      </c>
      <c r="CV13" s="61">
        <v>0.97534246575342465</v>
      </c>
      <c r="CW13" s="61">
        <v>0.98356164383561639</v>
      </c>
      <c r="CX13" s="61">
        <v>0.98356164383561639</v>
      </c>
      <c r="CY13" s="61">
        <v>0.9726027397260274</v>
      </c>
      <c r="CZ13" s="61">
        <v>0.98356164383561639</v>
      </c>
      <c r="DA13" s="61">
        <v>0.9780821917808219</v>
      </c>
      <c r="DB13" s="61">
        <v>0.98630136986301364</v>
      </c>
      <c r="DC13" s="61">
        <v>0.98630136986301364</v>
      </c>
      <c r="DD13" s="61">
        <v>0.9780821917808219</v>
      </c>
      <c r="DE13" s="61">
        <v>0.9726027397260274</v>
      </c>
      <c r="DF13" s="61">
        <v>0.98356164383561639</v>
      </c>
      <c r="DG13" s="61">
        <v>0.9780821917808219</v>
      </c>
      <c r="DH13" s="61">
        <v>0.98630136986301364</v>
      </c>
      <c r="DI13" s="61">
        <v>0.9780821917808219</v>
      </c>
      <c r="DJ13" s="61">
        <v>0.9780821917808219</v>
      </c>
      <c r="DK13" s="61">
        <v>0.9780821917808219</v>
      </c>
      <c r="DL13" s="61">
        <v>0.99178082191780825</v>
      </c>
      <c r="DM13" s="61">
        <f t="shared" si="7"/>
        <v>0.97994520547945252</v>
      </c>
      <c r="DN13" s="48"/>
    </row>
    <row r="14" spans="2:118" ht="12.75" customHeight="1">
      <c r="B14" s="23" t="s">
        <v>52</v>
      </c>
      <c r="C14" s="5">
        <f ca="1">C12+C13</f>
        <v>11208.493150684932</v>
      </c>
      <c r="E14" s="5">
        <v>10</v>
      </c>
      <c r="F14" s="5">
        <f t="shared" ca="1" si="6"/>
        <v>90</v>
      </c>
      <c r="G14" s="5">
        <f t="shared" ca="1" si="8"/>
        <v>1090</v>
      </c>
      <c r="H14" s="5">
        <f t="shared" ca="1" si="1"/>
        <v>1000</v>
      </c>
      <c r="I14" s="5">
        <f t="shared" ca="1" si="9"/>
        <v>0</v>
      </c>
      <c r="J14" s="5">
        <f t="shared" ca="1" si="2"/>
        <v>0</v>
      </c>
      <c r="K14" s="5">
        <f t="shared" ca="1" si="3"/>
        <v>0</v>
      </c>
      <c r="L14" s="5">
        <f t="shared" ca="1" si="4"/>
        <v>0</v>
      </c>
      <c r="M14" s="25">
        <f t="shared" ca="1" si="5"/>
        <v>27.397260273972602</v>
      </c>
      <c r="P14" s="2">
        <v>170</v>
      </c>
      <c r="Q14" s="61">
        <v>0.99178082191780825</v>
      </c>
      <c r="R14" s="61">
        <v>0.9780821917808219</v>
      </c>
      <c r="S14" s="61">
        <v>0.9780821917808219</v>
      </c>
      <c r="T14" s="61">
        <v>0.9780821917808219</v>
      </c>
      <c r="U14" s="61">
        <v>0.98630136986301364</v>
      </c>
      <c r="V14" s="61">
        <v>0.99178082191780825</v>
      </c>
      <c r="W14" s="61">
        <v>0.98630136986301364</v>
      </c>
      <c r="X14" s="61">
        <v>0.98630136986301364</v>
      </c>
      <c r="Y14" s="61">
        <v>0.98630136986301364</v>
      </c>
      <c r="Z14" s="61">
        <v>0.9780821917808219</v>
      </c>
      <c r="AA14" s="61">
        <v>0.98356164383561639</v>
      </c>
      <c r="AB14" s="61">
        <v>0.9780821917808219</v>
      </c>
      <c r="AC14" s="61">
        <v>0.98082191780821915</v>
      </c>
      <c r="AD14" s="61">
        <v>0.989041095890411</v>
      </c>
      <c r="AE14" s="61">
        <v>0.98630136986301364</v>
      </c>
      <c r="AF14" s="61">
        <v>0.9780821917808219</v>
      </c>
      <c r="AG14" s="61">
        <v>0.97534246575342465</v>
      </c>
      <c r="AH14" s="61">
        <v>0.98630136986301364</v>
      </c>
      <c r="AI14" s="61">
        <v>0.98082191780821915</v>
      </c>
      <c r="AJ14" s="61">
        <v>0.97534246575342465</v>
      </c>
      <c r="AK14" s="61">
        <v>0.99178082191780825</v>
      </c>
      <c r="AL14" s="61">
        <v>0.98630136986301364</v>
      </c>
      <c r="AM14" s="61">
        <v>0.98082191780821915</v>
      </c>
      <c r="AN14" s="61">
        <v>0.98356164383561639</v>
      </c>
      <c r="AO14" s="61">
        <v>0.9780821917808219</v>
      </c>
      <c r="AP14" s="61">
        <v>0.99178082191780825</v>
      </c>
      <c r="AQ14" s="61">
        <v>0.97534246575342465</v>
      </c>
      <c r="AR14" s="61">
        <v>0.98356164383561639</v>
      </c>
      <c r="AS14" s="61">
        <v>0.989041095890411</v>
      </c>
      <c r="AT14" s="61">
        <v>0.9726027397260274</v>
      </c>
      <c r="AU14" s="61">
        <v>0.98630136986301364</v>
      </c>
      <c r="AV14" s="61">
        <v>0.98082191780821915</v>
      </c>
      <c r="AW14" s="61">
        <v>0.98630136986301364</v>
      </c>
      <c r="AX14" s="61">
        <v>0.9780821917808219</v>
      </c>
      <c r="AY14" s="61">
        <v>0.989041095890411</v>
      </c>
      <c r="AZ14" s="61">
        <v>0.97534246575342465</v>
      </c>
      <c r="BA14" s="61">
        <v>0.98630136986301364</v>
      </c>
      <c r="BB14" s="61">
        <v>0.98630136986301364</v>
      </c>
      <c r="BC14" s="61">
        <v>0.99178082191780825</v>
      </c>
      <c r="BD14" s="61">
        <v>0.989041095890411</v>
      </c>
      <c r="BE14" s="61">
        <v>0.96438356164383565</v>
      </c>
      <c r="BF14" s="61">
        <v>0.98356164383561639</v>
      </c>
      <c r="BG14" s="61">
        <v>0.98356164383561639</v>
      </c>
      <c r="BH14" s="61">
        <v>0.97534246575342465</v>
      </c>
      <c r="BI14" s="61">
        <v>0.9726027397260274</v>
      </c>
      <c r="BJ14" s="61">
        <v>0.98082191780821915</v>
      </c>
      <c r="BK14" s="61">
        <v>0.9780821917808219</v>
      </c>
      <c r="BL14" s="61">
        <v>0.96986301369863015</v>
      </c>
      <c r="BM14" s="61">
        <v>0.98630136986301364</v>
      </c>
      <c r="BN14" s="61">
        <v>0.97534246575342465</v>
      </c>
      <c r="BO14" s="61">
        <v>0.9780821917808219</v>
      </c>
      <c r="BP14" s="61">
        <v>0.9780821917808219</v>
      </c>
      <c r="BQ14" s="61">
        <v>0.989041095890411</v>
      </c>
      <c r="BR14" s="61">
        <v>0.9780821917808219</v>
      </c>
      <c r="BS14" s="61">
        <v>0.9780821917808219</v>
      </c>
      <c r="BT14" s="61">
        <v>0.9780821917808219</v>
      </c>
      <c r="BU14" s="61">
        <v>0.98082191780821915</v>
      </c>
      <c r="BV14" s="61">
        <v>0.98356164383561639</v>
      </c>
      <c r="BW14" s="61">
        <v>0.9780821917808219</v>
      </c>
      <c r="BX14" s="61">
        <v>0.98356164383561639</v>
      </c>
      <c r="BY14" s="61">
        <v>0.98082191780821915</v>
      </c>
      <c r="BZ14" s="61">
        <v>0.97534246575342465</v>
      </c>
      <c r="CA14" s="61">
        <v>0.98630136986301364</v>
      </c>
      <c r="CB14" s="61">
        <v>0.98630136986301364</v>
      </c>
      <c r="CC14" s="61">
        <v>0.9726027397260274</v>
      </c>
      <c r="CD14" s="61">
        <v>0.99178082191780825</v>
      </c>
      <c r="CE14" s="61">
        <v>0.9726027397260274</v>
      </c>
      <c r="CF14" s="61">
        <v>0.9726027397260274</v>
      </c>
      <c r="CG14" s="61">
        <v>0.97534246575342465</v>
      </c>
      <c r="CH14" s="61">
        <v>0.98356164383561639</v>
      </c>
      <c r="CI14" s="61">
        <v>0.99178082191780825</v>
      </c>
      <c r="CJ14" s="61">
        <v>0.98082191780821915</v>
      </c>
      <c r="CK14" s="61">
        <v>0.989041095890411</v>
      </c>
      <c r="CL14" s="61">
        <v>0.989041095890411</v>
      </c>
      <c r="CM14" s="61">
        <v>0.98356164383561639</v>
      </c>
      <c r="CN14" s="61">
        <v>0.97534246575342465</v>
      </c>
      <c r="CO14" s="61">
        <v>0.99178082191780825</v>
      </c>
      <c r="CP14" s="61">
        <v>0.99178082191780825</v>
      </c>
      <c r="CQ14" s="61">
        <v>0.98356164383561639</v>
      </c>
      <c r="CR14" s="61">
        <v>0.98356164383561639</v>
      </c>
      <c r="CS14" s="61">
        <v>0.989041095890411</v>
      </c>
      <c r="CT14" s="61">
        <v>0.98082191780821915</v>
      </c>
      <c r="CU14" s="61">
        <v>0.97534246575342465</v>
      </c>
      <c r="CV14" s="61">
        <v>0.989041095890411</v>
      </c>
      <c r="CW14" s="61">
        <v>0.97534246575342465</v>
      </c>
      <c r="CX14" s="61">
        <v>0.98356164383561639</v>
      </c>
      <c r="CY14" s="61">
        <v>0.9780821917808219</v>
      </c>
      <c r="CZ14" s="61">
        <v>0.98630136986301364</v>
      </c>
      <c r="DA14" s="61">
        <v>0.98356164383561639</v>
      </c>
      <c r="DB14" s="61">
        <v>0.98630136986301364</v>
      </c>
      <c r="DC14" s="61">
        <v>0.9780821917808219</v>
      </c>
      <c r="DD14" s="61">
        <v>0.9780821917808219</v>
      </c>
      <c r="DE14" s="61">
        <v>0.98356164383561639</v>
      </c>
      <c r="DF14" s="61">
        <v>0.9726027397260274</v>
      </c>
      <c r="DG14" s="61">
        <v>0.9671232876712329</v>
      </c>
      <c r="DH14" s="61">
        <v>0.96986301369863015</v>
      </c>
      <c r="DI14" s="61">
        <v>0.97534246575342465</v>
      </c>
      <c r="DJ14" s="61">
        <v>0.97534246575342465</v>
      </c>
      <c r="DK14" s="61">
        <v>0.98082191780821915</v>
      </c>
      <c r="DL14" s="61">
        <v>0.989041095890411</v>
      </c>
      <c r="DM14" s="61">
        <f t="shared" si="7"/>
        <v>0.98167123287671276</v>
      </c>
      <c r="DN14" s="48"/>
    </row>
    <row r="15" spans="2:118" ht="12.75" customHeight="1">
      <c r="B15" s="24"/>
      <c r="C15" s="26"/>
      <c r="E15" s="5">
        <v>11</v>
      </c>
      <c r="F15" s="5">
        <f t="shared" ca="1" si="6"/>
        <v>0</v>
      </c>
      <c r="G15" s="5">
        <f t="shared" ca="1" si="8"/>
        <v>1000</v>
      </c>
      <c r="H15" s="5">
        <f t="shared" ca="1" si="1"/>
        <v>1000</v>
      </c>
      <c r="I15" s="5">
        <f t="shared" ca="1" si="9"/>
        <v>0</v>
      </c>
      <c r="J15" s="5">
        <f t="shared" ca="1" si="2"/>
        <v>0</v>
      </c>
      <c r="K15" s="5">
        <f t="shared" ca="1" si="3"/>
        <v>0</v>
      </c>
      <c r="L15" s="5">
        <f t="shared" ca="1" si="4"/>
        <v>0</v>
      </c>
      <c r="M15" s="25">
        <f t="shared" ca="1" si="5"/>
        <v>27.397260273972602</v>
      </c>
      <c r="P15" s="2">
        <v>180</v>
      </c>
      <c r="Q15" s="61">
        <v>0.99178082191780825</v>
      </c>
      <c r="R15" s="61">
        <v>0.989041095890411</v>
      </c>
      <c r="S15" s="61">
        <v>0.989041095890411</v>
      </c>
      <c r="T15" s="61">
        <v>0.9780821917808219</v>
      </c>
      <c r="U15" s="61">
        <v>0.98630136986301364</v>
      </c>
      <c r="V15" s="61">
        <v>0.99178082191780825</v>
      </c>
      <c r="W15" s="61">
        <v>0.98630136986301364</v>
      </c>
      <c r="X15" s="61">
        <v>0.989041095890411</v>
      </c>
      <c r="Y15" s="61">
        <v>0.98082191780821915</v>
      </c>
      <c r="Z15" s="61">
        <v>0.99178082191780825</v>
      </c>
      <c r="AA15" s="61">
        <v>0.96986301369863015</v>
      </c>
      <c r="AB15" s="61">
        <v>0.9780821917808219</v>
      </c>
      <c r="AC15" s="61">
        <v>0.98082191780821915</v>
      </c>
      <c r="AD15" s="61">
        <v>0.99178082191780825</v>
      </c>
      <c r="AE15" s="61">
        <v>0.989041095890411</v>
      </c>
      <c r="AF15" s="61">
        <v>0.98082191780821915</v>
      </c>
      <c r="AG15" s="61">
        <v>0.989041095890411</v>
      </c>
      <c r="AH15" s="61">
        <v>0.98630136986301364</v>
      </c>
      <c r="AI15" s="61">
        <v>0.98630136986301364</v>
      </c>
      <c r="AJ15" s="61">
        <v>0.99178082191780825</v>
      </c>
      <c r="AK15" s="61">
        <v>0.98630136986301364</v>
      </c>
      <c r="AL15" s="61">
        <v>0.98630136986301364</v>
      </c>
      <c r="AM15" s="61">
        <v>0.98356164383561639</v>
      </c>
      <c r="AN15" s="61">
        <v>0.99178082191780825</v>
      </c>
      <c r="AO15" s="61">
        <v>0.9780821917808219</v>
      </c>
      <c r="AP15" s="61">
        <v>0.98630136986301364</v>
      </c>
      <c r="AQ15" s="61">
        <v>0.989041095890411</v>
      </c>
      <c r="AR15" s="61">
        <v>0.99178082191780825</v>
      </c>
      <c r="AS15" s="61">
        <v>0.989041095890411</v>
      </c>
      <c r="AT15" s="61">
        <v>0.98082191780821915</v>
      </c>
      <c r="AU15" s="61">
        <v>0.98356164383561639</v>
      </c>
      <c r="AV15" s="61">
        <v>0.9945205479452055</v>
      </c>
      <c r="AW15" s="61">
        <v>0.989041095890411</v>
      </c>
      <c r="AX15" s="61">
        <v>0.98356164383561639</v>
      </c>
      <c r="AY15" s="61">
        <v>0.989041095890411</v>
      </c>
      <c r="AZ15" s="61">
        <v>0.98630136986301364</v>
      </c>
      <c r="BA15" s="61">
        <v>0.989041095890411</v>
      </c>
      <c r="BB15" s="61">
        <v>0.98082191780821915</v>
      </c>
      <c r="BC15" s="61">
        <v>0.98356164383561639</v>
      </c>
      <c r="BD15" s="61">
        <v>0.989041095890411</v>
      </c>
      <c r="BE15" s="61">
        <v>0.989041095890411</v>
      </c>
      <c r="BF15" s="61">
        <v>0.98356164383561639</v>
      </c>
      <c r="BG15" s="61">
        <v>0.989041095890411</v>
      </c>
      <c r="BH15" s="61">
        <v>0.98630136986301364</v>
      </c>
      <c r="BI15" s="61">
        <v>0.98630136986301364</v>
      </c>
      <c r="BJ15" s="61">
        <v>0.98082191780821915</v>
      </c>
      <c r="BK15" s="61">
        <v>0.98630136986301364</v>
      </c>
      <c r="BL15" s="61">
        <v>0.98630136986301364</v>
      </c>
      <c r="BM15" s="61">
        <v>0.9780821917808219</v>
      </c>
      <c r="BN15" s="61">
        <v>0.98082191780821915</v>
      </c>
      <c r="BO15" s="61">
        <v>0.98082191780821915</v>
      </c>
      <c r="BP15" s="61">
        <v>0.98356164383561639</v>
      </c>
      <c r="BQ15" s="61">
        <v>0.98356164383561639</v>
      </c>
      <c r="BR15" s="61">
        <v>0.98630136986301364</v>
      </c>
      <c r="BS15" s="61">
        <v>0.98356164383561639</v>
      </c>
      <c r="BT15" s="61">
        <v>0.98630136986301364</v>
      </c>
      <c r="BU15" s="61">
        <v>0.989041095890411</v>
      </c>
      <c r="BV15" s="61">
        <v>0.99726027397260275</v>
      </c>
      <c r="BW15" s="61">
        <v>0.98630136986301364</v>
      </c>
      <c r="BX15" s="61">
        <v>0.989041095890411</v>
      </c>
      <c r="BY15" s="61">
        <v>0.98630136986301364</v>
      </c>
      <c r="BZ15" s="61">
        <v>0.99178082191780825</v>
      </c>
      <c r="CA15" s="61">
        <v>0.9780821917808219</v>
      </c>
      <c r="CB15" s="61">
        <v>0.98630136986301364</v>
      </c>
      <c r="CC15" s="61">
        <v>0.98356164383561639</v>
      </c>
      <c r="CD15" s="61">
        <v>0.98356164383561639</v>
      </c>
      <c r="CE15" s="61">
        <v>0.989041095890411</v>
      </c>
      <c r="CF15" s="61">
        <v>0.97534246575342465</v>
      </c>
      <c r="CG15" s="61">
        <v>0.9780821917808219</v>
      </c>
      <c r="CH15" s="61">
        <v>0.97534246575342465</v>
      </c>
      <c r="CI15" s="61">
        <v>0.97534246575342465</v>
      </c>
      <c r="CJ15" s="61">
        <v>0.98356164383561639</v>
      </c>
      <c r="CK15" s="61">
        <v>0.989041095890411</v>
      </c>
      <c r="CL15" s="61">
        <v>0.98630136986301364</v>
      </c>
      <c r="CM15" s="61">
        <v>0.98356164383561639</v>
      </c>
      <c r="CN15" s="61">
        <v>0.98630136986301364</v>
      </c>
      <c r="CO15" s="61">
        <v>0.98630136986301364</v>
      </c>
      <c r="CP15" s="61">
        <v>0.9945205479452055</v>
      </c>
      <c r="CQ15" s="61">
        <v>0.9780821917808219</v>
      </c>
      <c r="CR15" s="61">
        <v>0.98082191780821915</v>
      </c>
      <c r="CS15" s="61">
        <v>0.98082191780821915</v>
      </c>
      <c r="CT15" s="61">
        <v>0.9780821917808219</v>
      </c>
      <c r="CU15" s="61">
        <v>0.98356164383561639</v>
      </c>
      <c r="CV15" s="61">
        <v>0.98630136986301364</v>
      </c>
      <c r="CW15" s="61">
        <v>0.989041095890411</v>
      </c>
      <c r="CX15" s="61">
        <v>0.9780821917808219</v>
      </c>
      <c r="CY15" s="61">
        <v>0.989041095890411</v>
      </c>
      <c r="CZ15" s="61">
        <v>0.98630136986301364</v>
      </c>
      <c r="DA15" s="61">
        <v>0.99178082191780825</v>
      </c>
      <c r="DB15" s="61">
        <v>0.98630136986301364</v>
      </c>
      <c r="DC15" s="61">
        <v>0.98082191780821915</v>
      </c>
      <c r="DD15" s="61">
        <v>0.989041095890411</v>
      </c>
      <c r="DE15" s="61">
        <v>0.989041095890411</v>
      </c>
      <c r="DF15" s="61">
        <v>0.99178082191780825</v>
      </c>
      <c r="DG15" s="61">
        <v>0.989041095890411</v>
      </c>
      <c r="DH15" s="61">
        <v>0.9780821917808219</v>
      </c>
      <c r="DI15" s="61">
        <v>0.9945205479452055</v>
      </c>
      <c r="DJ15" s="61">
        <v>0.98630136986301364</v>
      </c>
      <c r="DK15" s="61">
        <v>0.989041095890411</v>
      </c>
      <c r="DL15" s="61">
        <v>0.9780821917808219</v>
      </c>
      <c r="DM15" s="61">
        <f t="shared" si="7"/>
        <v>0.98547945205479526</v>
      </c>
      <c r="DN15" s="48"/>
    </row>
    <row r="16" spans="2:118" ht="12.75" customHeight="1">
      <c r="B16" s="52" t="s">
        <v>45</v>
      </c>
      <c r="E16" s="5">
        <v>12</v>
      </c>
      <c r="F16" s="5">
        <f t="shared" ca="1" si="6"/>
        <v>0</v>
      </c>
      <c r="G16" s="5">
        <f t="shared" ca="1" si="8"/>
        <v>1000</v>
      </c>
      <c r="H16" s="5">
        <f t="shared" ca="1" si="1"/>
        <v>1000</v>
      </c>
      <c r="I16" s="5">
        <f t="shared" ca="1" si="9"/>
        <v>0</v>
      </c>
      <c r="J16" s="5">
        <f t="shared" ca="1" si="2"/>
        <v>0</v>
      </c>
      <c r="K16" s="5">
        <f t="shared" ca="1" si="3"/>
        <v>0</v>
      </c>
      <c r="L16" s="5">
        <f t="shared" ca="1" si="4"/>
        <v>0</v>
      </c>
      <c r="M16" s="25">
        <f t="shared" ca="1" si="5"/>
        <v>27.397260273972602</v>
      </c>
      <c r="P16" s="2">
        <v>190</v>
      </c>
      <c r="Q16" s="61">
        <v>0.98356164383561639</v>
      </c>
      <c r="R16" s="61">
        <v>0.98082191780821915</v>
      </c>
      <c r="S16" s="61">
        <v>0.98630136986301364</v>
      </c>
      <c r="T16" s="61">
        <v>0.99178082191780825</v>
      </c>
      <c r="U16" s="61">
        <v>0.989041095890411</v>
      </c>
      <c r="V16" s="61">
        <v>0.98356164383561639</v>
      </c>
      <c r="W16" s="61">
        <v>0.99178082191780825</v>
      </c>
      <c r="X16" s="61">
        <v>0.99726027397260275</v>
      </c>
      <c r="Y16" s="61">
        <v>0.989041095890411</v>
      </c>
      <c r="Z16" s="61">
        <v>0.98630136986301364</v>
      </c>
      <c r="AA16" s="61">
        <v>0.9945205479452055</v>
      </c>
      <c r="AB16" s="61">
        <v>0.98630136986301364</v>
      </c>
      <c r="AC16" s="61">
        <v>0.98630136986301364</v>
      </c>
      <c r="AD16" s="61">
        <v>0.989041095890411</v>
      </c>
      <c r="AE16" s="61">
        <v>0.98630136986301364</v>
      </c>
      <c r="AF16" s="61">
        <v>0.98630136986301364</v>
      </c>
      <c r="AG16" s="61">
        <v>0.99178082191780825</v>
      </c>
      <c r="AH16" s="61">
        <v>0.98630136986301364</v>
      </c>
      <c r="AI16" s="61">
        <v>0.99178082191780825</v>
      </c>
      <c r="AJ16" s="61">
        <v>0.99178082191780825</v>
      </c>
      <c r="AK16" s="61">
        <v>0.98630136986301364</v>
      </c>
      <c r="AL16" s="61">
        <v>0.99726027397260275</v>
      </c>
      <c r="AM16" s="61">
        <v>0.99178082191780825</v>
      </c>
      <c r="AN16" s="61">
        <v>0.98356164383561639</v>
      </c>
      <c r="AO16" s="61">
        <v>0.98630136986301364</v>
      </c>
      <c r="AP16" s="61">
        <v>0.98356164383561639</v>
      </c>
      <c r="AQ16" s="61">
        <v>0.9945205479452055</v>
      </c>
      <c r="AR16" s="61">
        <v>0.989041095890411</v>
      </c>
      <c r="AS16" s="61">
        <v>0.98630136986301364</v>
      </c>
      <c r="AT16" s="61">
        <v>0.99726027397260275</v>
      </c>
      <c r="AU16" s="61">
        <v>0.9780821917808219</v>
      </c>
      <c r="AV16" s="61">
        <v>0.99178082191780825</v>
      </c>
      <c r="AW16" s="61">
        <v>0.98630136986301364</v>
      </c>
      <c r="AX16" s="61">
        <v>0.98356164383561639</v>
      </c>
      <c r="AY16" s="61">
        <v>0.98630136986301364</v>
      </c>
      <c r="AZ16" s="61">
        <v>0.99178082191780825</v>
      </c>
      <c r="BA16" s="61">
        <v>1</v>
      </c>
      <c r="BB16" s="61">
        <v>0.99726027397260275</v>
      </c>
      <c r="BC16" s="61">
        <v>0.98630136986301364</v>
      </c>
      <c r="BD16" s="61">
        <v>0.989041095890411</v>
      </c>
      <c r="BE16" s="61">
        <v>0.98630136986301364</v>
      </c>
      <c r="BF16" s="61">
        <v>0.989041095890411</v>
      </c>
      <c r="BG16" s="61">
        <v>0.989041095890411</v>
      </c>
      <c r="BH16" s="61">
        <v>0.99178082191780825</v>
      </c>
      <c r="BI16" s="61">
        <v>0.989041095890411</v>
      </c>
      <c r="BJ16" s="61">
        <v>0.99178082191780825</v>
      </c>
      <c r="BK16" s="61">
        <v>0.9945205479452055</v>
      </c>
      <c r="BL16" s="61">
        <v>1</v>
      </c>
      <c r="BM16" s="61">
        <v>0.99726027397260275</v>
      </c>
      <c r="BN16" s="61">
        <v>0.99178082191780825</v>
      </c>
      <c r="BO16" s="61">
        <v>0.99178082191780825</v>
      </c>
      <c r="BP16" s="61">
        <v>0.98082191780821915</v>
      </c>
      <c r="BQ16" s="61">
        <v>1</v>
      </c>
      <c r="BR16" s="61">
        <v>0.99178082191780825</v>
      </c>
      <c r="BS16" s="61">
        <v>0.98630136986301364</v>
      </c>
      <c r="BT16" s="61">
        <v>0.99178082191780825</v>
      </c>
      <c r="BU16" s="61">
        <v>0.98630136986301364</v>
      </c>
      <c r="BV16" s="61">
        <v>0.989041095890411</v>
      </c>
      <c r="BW16" s="61">
        <v>0.98630136986301364</v>
      </c>
      <c r="BX16" s="61">
        <v>0.989041095890411</v>
      </c>
      <c r="BY16" s="61">
        <v>0.99178082191780825</v>
      </c>
      <c r="BZ16" s="61">
        <v>0.98356164383561639</v>
      </c>
      <c r="CA16" s="61">
        <v>0.99178082191780825</v>
      </c>
      <c r="CB16" s="61">
        <v>0.989041095890411</v>
      </c>
      <c r="CC16" s="61">
        <v>0.99178082191780825</v>
      </c>
      <c r="CD16" s="61">
        <v>0.99178082191780825</v>
      </c>
      <c r="CE16" s="61">
        <v>0.9945205479452055</v>
      </c>
      <c r="CF16" s="61">
        <v>0.98082191780821915</v>
      </c>
      <c r="CG16" s="61">
        <v>0.989041095890411</v>
      </c>
      <c r="CH16" s="61">
        <v>0.989041095890411</v>
      </c>
      <c r="CI16" s="61">
        <v>0.989041095890411</v>
      </c>
      <c r="CJ16" s="61">
        <v>0.98356164383561639</v>
      </c>
      <c r="CK16" s="61">
        <v>0.99178082191780825</v>
      </c>
      <c r="CL16" s="61">
        <v>0.98630136986301364</v>
      </c>
      <c r="CM16" s="61">
        <v>0.989041095890411</v>
      </c>
      <c r="CN16" s="61">
        <v>0.989041095890411</v>
      </c>
      <c r="CO16" s="61">
        <v>0.9945205479452055</v>
      </c>
      <c r="CP16" s="61">
        <v>0.989041095890411</v>
      </c>
      <c r="CQ16" s="61">
        <v>0.98356164383561639</v>
      </c>
      <c r="CR16" s="61">
        <v>0.9780821917808219</v>
      </c>
      <c r="CS16" s="61">
        <v>0.989041095890411</v>
      </c>
      <c r="CT16" s="61">
        <v>0.98630136986301364</v>
      </c>
      <c r="CU16" s="61">
        <v>0.989041095890411</v>
      </c>
      <c r="CV16" s="61">
        <v>0.98630136986301364</v>
      </c>
      <c r="CW16" s="61">
        <v>0.98082191780821915</v>
      </c>
      <c r="CX16" s="61">
        <v>0.99178082191780825</v>
      </c>
      <c r="CY16" s="61">
        <v>0.9945205479452055</v>
      </c>
      <c r="CZ16" s="61">
        <v>0.99178082191780825</v>
      </c>
      <c r="DA16" s="61">
        <v>0.99178082191780825</v>
      </c>
      <c r="DB16" s="61">
        <v>0.98630136986301364</v>
      </c>
      <c r="DC16" s="61">
        <v>1</v>
      </c>
      <c r="DD16" s="61">
        <v>0.98630136986301364</v>
      </c>
      <c r="DE16" s="61">
        <v>0.9780821917808219</v>
      </c>
      <c r="DF16" s="61">
        <v>0.989041095890411</v>
      </c>
      <c r="DG16" s="61">
        <v>0.989041095890411</v>
      </c>
      <c r="DH16" s="61">
        <v>0.98630136986301364</v>
      </c>
      <c r="DI16" s="61">
        <v>0.9945205479452055</v>
      </c>
      <c r="DJ16" s="61">
        <v>0.989041095890411</v>
      </c>
      <c r="DK16" s="61">
        <v>0.98356164383561639</v>
      </c>
      <c r="DL16" s="61">
        <v>0.98630136986301364</v>
      </c>
      <c r="DM16" s="61">
        <f t="shared" si="7"/>
        <v>0.98906849315068546</v>
      </c>
      <c r="DN16" s="48"/>
    </row>
    <row r="17" spans="2:118">
      <c r="B17" s="62">
        <v>60</v>
      </c>
      <c r="C17" s="61">
        <f>INDEX(DM3:DM18,MATCH(C3,P3:P18,0))</f>
        <v>0.95375342465753477</v>
      </c>
      <c r="E17" s="5">
        <v>13</v>
      </c>
      <c r="F17" s="5">
        <f t="shared" ca="1" si="6"/>
        <v>120</v>
      </c>
      <c r="G17" s="5">
        <f t="shared" ca="1" si="8"/>
        <v>1000</v>
      </c>
      <c r="H17" s="5">
        <f t="shared" ca="1" si="1"/>
        <v>880</v>
      </c>
      <c r="I17" s="5">
        <f t="shared" ca="1" si="9"/>
        <v>0</v>
      </c>
      <c r="J17" s="5">
        <f t="shared" ca="1" si="2"/>
        <v>0</v>
      </c>
      <c r="K17" s="5">
        <f t="shared" ca="1" si="3"/>
        <v>0</v>
      </c>
      <c r="L17" s="5">
        <f t="shared" ca="1" si="4"/>
        <v>0</v>
      </c>
      <c r="M17" s="25">
        <f t="shared" ca="1" si="5"/>
        <v>24.109589041095887</v>
      </c>
      <c r="P17" s="2">
        <v>200</v>
      </c>
      <c r="Q17" s="61">
        <v>0.99178082191780825</v>
      </c>
      <c r="R17" s="61">
        <v>0.9945205479452055</v>
      </c>
      <c r="S17" s="61">
        <v>0.99726027397260275</v>
      </c>
      <c r="T17" s="61">
        <v>0.9945205479452055</v>
      </c>
      <c r="U17" s="61">
        <v>0.9945205479452055</v>
      </c>
      <c r="V17" s="61">
        <v>0.99178082191780825</v>
      </c>
      <c r="W17" s="61">
        <v>0.99178082191780825</v>
      </c>
      <c r="X17" s="61">
        <v>0.98356164383561639</v>
      </c>
      <c r="Y17" s="61">
        <v>0.9945205479452055</v>
      </c>
      <c r="Z17" s="61">
        <v>0.98630136986301364</v>
      </c>
      <c r="AA17" s="61">
        <v>0.9945205479452055</v>
      </c>
      <c r="AB17" s="61">
        <v>0.9945205479452055</v>
      </c>
      <c r="AC17" s="61">
        <v>0.989041095890411</v>
      </c>
      <c r="AD17" s="61">
        <v>0.9945205479452055</v>
      </c>
      <c r="AE17" s="61">
        <v>0.99726027397260275</v>
      </c>
      <c r="AF17" s="61">
        <v>0.989041095890411</v>
      </c>
      <c r="AG17" s="61">
        <v>0.99726027397260275</v>
      </c>
      <c r="AH17" s="61">
        <v>0.9945205479452055</v>
      </c>
      <c r="AI17" s="61">
        <v>0.9945205479452055</v>
      </c>
      <c r="AJ17" s="61">
        <v>0.9945205479452055</v>
      </c>
      <c r="AK17" s="61">
        <v>0.99726027397260275</v>
      </c>
      <c r="AL17" s="61">
        <v>0.99178082191780825</v>
      </c>
      <c r="AM17" s="61">
        <v>0.9945205479452055</v>
      </c>
      <c r="AN17" s="61">
        <v>0.98630136986301364</v>
      </c>
      <c r="AO17" s="61">
        <v>0.9945205479452055</v>
      </c>
      <c r="AP17" s="61">
        <v>0.99178082191780825</v>
      </c>
      <c r="AQ17" s="61">
        <v>0.99178082191780825</v>
      </c>
      <c r="AR17" s="61">
        <v>0.98630136986301364</v>
      </c>
      <c r="AS17" s="61">
        <v>0.989041095890411</v>
      </c>
      <c r="AT17" s="61">
        <v>0.9945205479452055</v>
      </c>
      <c r="AU17" s="61">
        <v>0.99178082191780825</v>
      </c>
      <c r="AV17" s="61">
        <v>0.98356164383561639</v>
      </c>
      <c r="AW17" s="61">
        <v>0.9945205479452055</v>
      </c>
      <c r="AX17" s="61">
        <v>0.99178082191780825</v>
      </c>
      <c r="AY17" s="61">
        <v>0.98630136986301364</v>
      </c>
      <c r="AZ17" s="61">
        <v>0.99178082191780825</v>
      </c>
      <c r="BA17" s="61">
        <v>0.9945205479452055</v>
      </c>
      <c r="BB17" s="61">
        <v>0.98630136986301364</v>
      </c>
      <c r="BC17" s="61">
        <v>0.99178082191780825</v>
      </c>
      <c r="BD17" s="61">
        <v>0.98356164383561639</v>
      </c>
      <c r="BE17" s="61">
        <v>0.99178082191780825</v>
      </c>
      <c r="BF17" s="61">
        <v>0.99178082191780825</v>
      </c>
      <c r="BG17" s="61">
        <v>0.98630136986301364</v>
      </c>
      <c r="BH17" s="61">
        <v>0.99178082191780825</v>
      </c>
      <c r="BI17" s="61">
        <v>0.98630136986301364</v>
      </c>
      <c r="BJ17" s="61">
        <v>0.9945205479452055</v>
      </c>
      <c r="BK17" s="61">
        <v>0.989041095890411</v>
      </c>
      <c r="BL17" s="61">
        <v>0.98356164383561639</v>
      </c>
      <c r="BM17" s="61">
        <v>0.99726027397260275</v>
      </c>
      <c r="BN17" s="61">
        <v>0.989041095890411</v>
      </c>
      <c r="BO17" s="61">
        <v>0.9945205479452055</v>
      </c>
      <c r="BP17" s="61">
        <v>0.99178082191780825</v>
      </c>
      <c r="BQ17" s="61">
        <v>0.99178082191780825</v>
      </c>
      <c r="BR17" s="61">
        <v>1</v>
      </c>
      <c r="BS17" s="61">
        <v>0.98082191780821915</v>
      </c>
      <c r="BT17" s="61">
        <v>0.989041095890411</v>
      </c>
      <c r="BU17" s="61">
        <v>0.99726027397260275</v>
      </c>
      <c r="BV17" s="61">
        <v>0.99178082191780825</v>
      </c>
      <c r="BW17" s="61">
        <v>0.98630136986301364</v>
      </c>
      <c r="BX17" s="61">
        <v>0.98630136986301364</v>
      </c>
      <c r="BY17" s="61">
        <v>0.989041095890411</v>
      </c>
      <c r="BZ17" s="61">
        <v>0.98630136986301364</v>
      </c>
      <c r="CA17" s="61">
        <v>0.9945205479452055</v>
      </c>
      <c r="CB17" s="61">
        <v>0.98630136986301364</v>
      </c>
      <c r="CC17" s="61">
        <v>0.9945205479452055</v>
      </c>
      <c r="CD17" s="61">
        <v>0.9945205479452055</v>
      </c>
      <c r="CE17" s="61">
        <v>0.99178082191780825</v>
      </c>
      <c r="CF17" s="61">
        <v>0.99726027397260275</v>
      </c>
      <c r="CG17" s="61">
        <v>0.99178082191780825</v>
      </c>
      <c r="CH17" s="61">
        <v>0.99178082191780825</v>
      </c>
      <c r="CI17" s="61">
        <v>0.99178082191780825</v>
      </c>
      <c r="CJ17" s="61">
        <v>0.989041095890411</v>
      </c>
      <c r="CK17" s="61">
        <v>0.989041095890411</v>
      </c>
      <c r="CL17" s="61">
        <v>0.99178082191780825</v>
      </c>
      <c r="CM17" s="61">
        <v>0.989041095890411</v>
      </c>
      <c r="CN17" s="61">
        <v>0.989041095890411</v>
      </c>
      <c r="CO17" s="61">
        <v>0.9945205479452055</v>
      </c>
      <c r="CP17" s="61">
        <v>0.989041095890411</v>
      </c>
      <c r="CQ17" s="61">
        <v>0.99726027397260275</v>
      </c>
      <c r="CR17" s="61">
        <v>0.989041095890411</v>
      </c>
      <c r="CS17" s="61">
        <v>0.989041095890411</v>
      </c>
      <c r="CT17" s="61">
        <v>1</v>
      </c>
      <c r="CU17" s="61">
        <v>0.99178082191780825</v>
      </c>
      <c r="CV17" s="61">
        <v>0.989041095890411</v>
      </c>
      <c r="CW17" s="61">
        <v>0.989041095890411</v>
      </c>
      <c r="CX17" s="61">
        <v>0.99178082191780825</v>
      </c>
      <c r="CY17" s="61">
        <v>0.99178082191780825</v>
      </c>
      <c r="CZ17" s="61">
        <v>0.9945205479452055</v>
      </c>
      <c r="DA17" s="61">
        <v>0.98630136986301364</v>
      </c>
      <c r="DB17" s="61">
        <v>0.98630136986301364</v>
      </c>
      <c r="DC17" s="61">
        <v>0.99178082191780825</v>
      </c>
      <c r="DD17" s="61">
        <v>0.99726027397260275</v>
      </c>
      <c r="DE17" s="61">
        <v>0.99178082191780825</v>
      </c>
      <c r="DF17" s="61">
        <v>0.989041095890411</v>
      </c>
      <c r="DG17" s="61">
        <v>0.989041095890411</v>
      </c>
      <c r="DH17" s="61">
        <v>0.9945205479452055</v>
      </c>
      <c r="DI17" s="61">
        <v>0.98356164383561639</v>
      </c>
      <c r="DJ17" s="61">
        <v>1</v>
      </c>
      <c r="DK17" s="61">
        <v>0.98630136986301364</v>
      </c>
      <c r="DL17" s="61">
        <v>0.99178082191780825</v>
      </c>
      <c r="DM17" s="61">
        <f t="shared" si="7"/>
        <v>0.99136986301369945</v>
      </c>
      <c r="DN17" s="48"/>
    </row>
    <row r="18" spans="2:118" ht="12.75" customHeight="1">
      <c r="B18" s="62">
        <f>C3</f>
        <v>100</v>
      </c>
      <c r="C18" s="61">
        <f>C17</f>
        <v>0.95375342465753477</v>
      </c>
      <c r="E18" s="5">
        <v>14</v>
      </c>
      <c r="F18" s="5">
        <f t="shared" ca="1" si="6"/>
        <v>90</v>
      </c>
      <c r="G18" s="5">
        <f t="shared" ca="1" si="8"/>
        <v>880</v>
      </c>
      <c r="H18" s="5">
        <f t="shared" ca="1" si="1"/>
        <v>790</v>
      </c>
      <c r="I18" s="5">
        <f t="shared" ca="1" si="9"/>
        <v>0</v>
      </c>
      <c r="J18" s="5">
        <f t="shared" ca="1" si="2"/>
        <v>0</v>
      </c>
      <c r="K18" s="5">
        <f t="shared" ca="1" si="3"/>
        <v>0</v>
      </c>
      <c r="L18" s="5">
        <f t="shared" ca="1" si="4"/>
        <v>0</v>
      </c>
      <c r="M18" s="25">
        <f t="shared" ca="1" si="5"/>
        <v>21.643835616438356</v>
      </c>
      <c r="P18" s="2">
        <v>210</v>
      </c>
      <c r="Q18" s="61">
        <v>0.9945205479452055</v>
      </c>
      <c r="R18" s="61">
        <v>0.99178082191780825</v>
      </c>
      <c r="S18" s="61">
        <v>0.99178082191780825</v>
      </c>
      <c r="T18" s="61">
        <v>0.99726027397260275</v>
      </c>
      <c r="U18" s="61">
        <v>0.98630136986301364</v>
      </c>
      <c r="V18" s="61">
        <v>0.989041095890411</v>
      </c>
      <c r="W18" s="61">
        <v>0.9945205479452055</v>
      </c>
      <c r="X18" s="61">
        <v>1</v>
      </c>
      <c r="Y18" s="61">
        <v>0.9945205479452055</v>
      </c>
      <c r="Z18" s="61">
        <v>0.9945205479452055</v>
      </c>
      <c r="AA18" s="61">
        <v>0.9945205479452055</v>
      </c>
      <c r="AB18" s="61">
        <v>1</v>
      </c>
      <c r="AC18" s="61">
        <v>1</v>
      </c>
      <c r="AD18" s="61">
        <v>0.9945205479452055</v>
      </c>
      <c r="AE18" s="61">
        <v>0.99178082191780825</v>
      </c>
      <c r="AF18" s="61">
        <v>0.99726027397260275</v>
      </c>
      <c r="AG18" s="61">
        <v>0.989041095890411</v>
      </c>
      <c r="AH18" s="61">
        <v>0.98356164383561639</v>
      </c>
      <c r="AI18" s="61">
        <v>0.9945205479452055</v>
      </c>
      <c r="AJ18" s="61">
        <v>0.9945205479452055</v>
      </c>
      <c r="AK18" s="61">
        <v>0.99178082191780825</v>
      </c>
      <c r="AL18" s="61">
        <v>0.99726027397260275</v>
      </c>
      <c r="AM18" s="61">
        <v>0.99178082191780825</v>
      </c>
      <c r="AN18" s="61">
        <v>0.98630136986301364</v>
      </c>
      <c r="AO18" s="61">
        <v>0.98356164383561639</v>
      </c>
      <c r="AP18" s="61">
        <v>0.9945205479452055</v>
      </c>
      <c r="AQ18" s="61">
        <v>0.99726027397260275</v>
      </c>
      <c r="AR18" s="61">
        <v>0.9945205479452055</v>
      </c>
      <c r="AS18" s="61">
        <v>0.989041095890411</v>
      </c>
      <c r="AT18" s="61">
        <v>0.989041095890411</v>
      </c>
      <c r="AU18" s="61">
        <v>0.9945205479452055</v>
      </c>
      <c r="AV18" s="61">
        <v>0.98630136986301364</v>
      </c>
      <c r="AW18" s="61">
        <v>0.99726027397260275</v>
      </c>
      <c r="AX18" s="61">
        <v>0.9945205479452055</v>
      </c>
      <c r="AY18" s="61">
        <v>1</v>
      </c>
      <c r="AZ18" s="61">
        <v>0.99726027397260275</v>
      </c>
      <c r="BA18" s="61">
        <v>0.99178082191780825</v>
      </c>
      <c r="BB18" s="61">
        <v>0.9945205479452055</v>
      </c>
      <c r="BC18" s="61">
        <v>0.99178082191780825</v>
      </c>
      <c r="BD18" s="61">
        <v>1</v>
      </c>
      <c r="BE18" s="61">
        <v>0.9945205479452055</v>
      </c>
      <c r="BF18" s="61">
        <v>0.99178082191780825</v>
      </c>
      <c r="BG18" s="61">
        <v>1</v>
      </c>
      <c r="BH18" s="61">
        <v>0.9945205479452055</v>
      </c>
      <c r="BI18" s="61">
        <v>0.989041095890411</v>
      </c>
      <c r="BJ18" s="61">
        <v>0.9945205479452055</v>
      </c>
      <c r="BK18" s="61">
        <v>0.9945205479452055</v>
      </c>
      <c r="BL18" s="61">
        <v>0.99178082191780825</v>
      </c>
      <c r="BM18" s="61">
        <v>0.99726027397260275</v>
      </c>
      <c r="BN18" s="61">
        <v>0.9945205479452055</v>
      </c>
      <c r="BO18" s="61">
        <v>0.99726027397260275</v>
      </c>
      <c r="BP18" s="61">
        <v>0.99178082191780825</v>
      </c>
      <c r="BQ18" s="61">
        <v>0.9945205479452055</v>
      </c>
      <c r="BR18" s="61">
        <v>0.99726027397260275</v>
      </c>
      <c r="BS18" s="61">
        <v>0.9945205479452055</v>
      </c>
      <c r="BT18" s="61">
        <v>0.99726027397260275</v>
      </c>
      <c r="BU18" s="61">
        <v>0.99178082191780825</v>
      </c>
      <c r="BV18" s="61">
        <v>0.98630136986301364</v>
      </c>
      <c r="BW18" s="61">
        <v>0.9945205479452055</v>
      </c>
      <c r="BX18" s="61">
        <v>0.99178082191780825</v>
      </c>
      <c r="BY18" s="61">
        <v>0.989041095890411</v>
      </c>
      <c r="BZ18" s="61">
        <v>0.99726027397260275</v>
      </c>
      <c r="CA18" s="61">
        <v>0.9945205479452055</v>
      </c>
      <c r="CB18" s="61">
        <v>0.9945205479452055</v>
      </c>
      <c r="CC18" s="61">
        <v>0.9945205479452055</v>
      </c>
      <c r="CD18" s="61">
        <v>0.9945205479452055</v>
      </c>
      <c r="CE18" s="61">
        <v>1</v>
      </c>
      <c r="CF18" s="61">
        <v>0.99726027397260275</v>
      </c>
      <c r="CG18" s="61">
        <v>0.9945205479452055</v>
      </c>
      <c r="CH18" s="61">
        <v>0.99726027397260275</v>
      </c>
      <c r="CI18" s="61">
        <v>0.9945205479452055</v>
      </c>
      <c r="CJ18" s="61">
        <v>0.99726027397260275</v>
      </c>
      <c r="CK18" s="61">
        <v>0.989041095890411</v>
      </c>
      <c r="CL18" s="61">
        <v>0.99178082191780825</v>
      </c>
      <c r="CM18" s="61">
        <v>0.9945205479452055</v>
      </c>
      <c r="CN18" s="61">
        <v>0.9945205479452055</v>
      </c>
      <c r="CO18" s="61">
        <v>0.98356164383561639</v>
      </c>
      <c r="CP18" s="61">
        <v>1</v>
      </c>
      <c r="CQ18" s="61">
        <v>0.99178082191780825</v>
      </c>
      <c r="CR18" s="61">
        <v>0.99726027397260275</v>
      </c>
      <c r="CS18" s="61">
        <v>0.99726027397260275</v>
      </c>
      <c r="CT18" s="61">
        <v>0.99726027397260275</v>
      </c>
      <c r="CU18" s="61">
        <v>0.99178082191780825</v>
      </c>
      <c r="CV18" s="61">
        <v>0.99178082191780825</v>
      </c>
      <c r="CW18" s="61">
        <v>0.9945205479452055</v>
      </c>
      <c r="CX18" s="61">
        <v>0.99726027397260275</v>
      </c>
      <c r="CY18" s="61">
        <v>0.99726027397260275</v>
      </c>
      <c r="CZ18" s="61">
        <v>0.989041095890411</v>
      </c>
      <c r="DA18" s="61">
        <v>0.99726027397260275</v>
      </c>
      <c r="DB18" s="61">
        <v>1</v>
      </c>
      <c r="DC18" s="61">
        <v>0.99726027397260275</v>
      </c>
      <c r="DD18" s="61">
        <v>0.98630136986301364</v>
      </c>
      <c r="DE18" s="61">
        <v>0.9945205479452055</v>
      </c>
      <c r="DF18" s="61">
        <v>0.99726027397260275</v>
      </c>
      <c r="DG18" s="61">
        <v>0.98356164383561639</v>
      </c>
      <c r="DH18" s="61">
        <v>0.9945205479452055</v>
      </c>
      <c r="DI18" s="61">
        <v>0.99726027397260275</v>
      </c>
      <c r="DJ18" s="61">
        <v>0.9945205479452055</v>
      </c>
      <c r="DK18" s="61">
        <v>0.99726027397260275</v>
      </c>
      <c r="DL18" s="61">
        <v>0.99178082191780825</v>
      </c>
      <c r="DM18" s="61">
        <f t="shared" si="7"/>
        <v>0.99391780821917763</v>
      </c>
      <c r="DN18" s="48"/>
    </row>
    <row r="19" spans="2:118" ht="12.75" customHeight="1">
      <c r="B19" s="2">
        <v>210</v>
      </c>
      <c r="C19" s="61">
        <f>C18</f>
        <v>0.95375342465753477</v>
      </c>
      <c r="E19" s="5">
        <v>15</v>
      </c>
      <c r="F19" s="5">
        <f t="shared" ca="1" si="6"/>
        <v>90</v>
      </c>
      <c r="G19" s="5">
        <f t="shared" ca="1" si="8"/>
        <v>790</v>
      </c>
      <c r="H19" s="5">
        <f t="shared" ca="1" si="1"/>
        <v>700</v>
      </c>
      <c r="I19" s="5">
        <f t="shared" ca="1" si="9"/>
        <v>0</v>
      </c>
      <c r="J19" s="5">
        <f t="shared" ca="1" si="2"/>
        <v>0</v>
      </c>
      <c r="K19" s="5">
        <f t="shared" ca="1" si="3"/>
        <v>0</v>
      </c>
      <c r="L19" s="5">
        <f t="shared" ca="1" si="4"/>
        <v>0</v>
      </c>
      <c r="M19" s="25">
        <f t="shared" ca="1" si="5"/>
        <v>19.17808219178082</v>
      </c>
      <c r="Q19" s="47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</row>
    <row r="20" spans="2:118" ht="12.6" customHeight="1">
      <c r="B20" s="52" t="s">
        <v>58</v>
      </c>
      <c r="C20" s="50"/>
      <c r="D20" s="7"/>
      <c r="E20" s="5">
        <v>16</v>
      </c>
      <c r="F20" s="5">
        <f t="shared" ca="1" si="6"/>
        <v>120</v>
      </c>
      <c r="G20" s="5">
        <f t="shared" ca="1" si="8"/>
        <v>700</v>
      </c>
      <c r="H20" s="5">
        <f t="shared" ca="1" si="1"/>
        <v>580</v>
      </c>
      <c r="I20" s="5">
        <f t="shared" ca="1" si="9"/>
        <v>0</v>
      </c>
      <c r="J20" s="5">
        <f t="shared" ca="1" si="2"/>
        <v>0</v>
      </c>
      <c r="K20" s="5">
        <f t="shared" ca="1" si="3"/>
        <v>0</v>
      </c>
      <c r="L20" s="5">
        <f t="shared" ca="1" si="4"/>
        <v>0</v>
      </c>
      <c r="M20" s="25">
        <f t="shared" ca="1" si="5"/>
        <v>15.890410958904109</v>
      </c>
      <c r="Q20" s="50"/>
      <c r="R20" s="21"/>
      <c r="S20" s="21" t="s">
        <v>40</v>
      </c>
      <c r="T20" s="21"/>
      <c r="U20" s="4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</row>
    <row r="21" spans="2:118" ht="13.2" customHeight="1">
      <c r="B21" s="43">
        <f>$C$3</f>
        <v>100</v>
      </c>
      <c r="C21" s="61">
        <v>0.9</v>
      </c>
      <c r="E21" s="5">
        <v>17</v>
      </c>
      <c r="F21" s="5">
        <f t="shared" ca="1" si="6"/>
        <v>90</v>
      </c>
      <c r="G21" s="5">
        <f t="shared" ca="1" si="8"/>
        <v>580</v>
      </c>
      <c r="H21" s="5">
        <f t="shared" ca="1" si="1"/>
        <v>490</v>
      </c>
      <c r="I21" s="5">
        <f t="shared" ca="1" si="9"/>
        <v>0</v>
      </c>
      <c r="J21" s="5">
        <f t="shared" ca="1" si="2"/>
        <v>0</v>
      </c>
      <c r="K21" s="5">
        <f t="shared" ca="1" si="3"/>
        <v>0</v>
      </c>
      <c r="L21" s="5">
        <f t="shared" ca="1" si="4"/>
        <v>0</v>
      </c>
      <c r="M21" s="25">
        <f t="shared" ca="1" si="5"/>
        <v>13.424657534246574</v>
      </c>
      <c r="R21" s="24"/>
      <c r="S21" s="2" t="s">
        <v>25</v>
      </c>
      <c r="T21" s="2" t="s">
        <v>24</v>
      </c>
      <c r="U21" s="27" t="s">
        <v>23</v>
      </c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</row>
    <row r="22" spans="2:118" ht="13.2" customHeight="1">
      <c r="B22" s="43">
        <f>$C$3</f>
        <v>100</v>
      </c>
      <c r="C22" s="61">
        <f>C18</f>
        <v>0.95375342465753477</v>
      </c>
      <c r="E22" s="5">
        <v>18</v>
      </c>
      <c r="F22" s="5">
        <f t="shared" ca="1" si="6"/>
        <v>110</v>
      </c>
      <c r="G22" s="5">
        <f t="shared" ca="1" si="8"/>
        <v>490</v>
      </c>
      <c r="H22" s="5">
        <f t="shared" ca="1" si="1"/>
        <v>380</v>
      </c>
      <c r="I22" s="5">
        <f t="shared" ca="1" si="9"/>
        <v>0</v>
      </c>
      <c r="J22" s="5">
        <f t="shared" ca="1" si="2"/>
        <v>0</v>
      </c>
      <c r="K22" s="5">
        <f t="shared" ca="1" si="3"/>
        <v>0</v>
      </c>
      <c r="L22" s="5">
        <f t="shared" ca="1" si="4"/>
        <v>0</v>
      </c>
      <c r="M22" s="25">
        <f t="shared" ca="1" si="5"/>
        <v>10.410958904109588</v>
      </c>
      <c r="R22" s="21"/>
      <c r="S22" s="2">
        <v>80</v>
      </c>
      <c r="T22" s="51">
        <v>0.1</v>
      </c>
      <c r="U22" s="2">
        <v>0</v>
      </c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</row>
    <row r="23" spans="2:118" ht="13.2" customHeight="1">
      <c r="B23" s="43">
        <f>$C$3</f>
        <v>100</v>
      </c>
      <c r="C23" s="61">
        <v>1</v>
      </c>
      <c r="E23" s="5">
        <v>19</v>
      </c>
      <c r="F23" s="5">
        <f t="shared" ca="1" si="6"/>
        <v>110</v>
      </c>
      <c r="G23" s="5">
        <f t="shared" ca="1" si="8"/>
        <v>380</v>
      </c>
      <c r="H23" s="5">
        <f t="shared" ca="1" si="1"/>
        <v>270</v>
      </c>
      <c r="I23" s="5">
        <f t="shared" ca="1" si="9"/>
        <v>0</v>
      </c>
      <c r="J23" s="5">
        <f t="shared" ca="1" si="2"/>
        <v>0</v>
      </c>
      <c r="K23" s="5">
        <f t="shared" ca="1" si="3"/>
        <v>0</v>
      </c>
      <c r="L23" s="5">
        <f t="shared" ca="1" si="4"/>
        <v>0</v>
      </c>
      <c r="M23" s="25">
        <f t="shared" ca="1" si="5"/>
        <v>7.3972602739726021</v>
      </c>
      <c r="P23" s="47"/>
      <c r="R23" s="21"/>
      <c r="S23" s="2">
        <v>90</v>
      </c>
      <c r="T23" s="51">
        <v>0.2</v>
      </c>
      <c r="U23" s="51">
        <f>T22+U22</f>
        <v>0.1</v>
      </c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</row>
    <row r="24" spans="2:118" ht="13.2" customHeight="1">
      <c r="B24" s="21"/>
      <c r="E24" s="5">
        <v>20</v>
      </c>
      <c r="F24" s="5">
        <f t="shared" ca="1" si="6"/>
        <v>100</v>
      </c>
      <c r="G24" s="5">
        <f t="shared" ca="1" si="8"/>
        <v>270</v>
      </c>
      <c r="H24" s="5">
        <f t="shared" ca="1" si="1"/>
        <v>170</v>
      </c>
      <c r="I24" s="5">
        <f t="shared" ca="1" si="9"/>
        <v>0</v>
      </c>
      <c r="J24" s="5">
        <f t="shared" ca="1" si="2"/>
        <v>0</v>
      </c>
      <c r="K24" s="5">
        <f t="shared" ca="1" si="3"/>
        <v>0</v>
      </c>
      <c r="L24" s="5">
        <f t="shared" ca="1" si="4"/>
        <v>0</v>
      </c>
      <c r="M24" s="25">
        <f t="shared" ca="1" si="5"/>
        <v>4.6575342465753424</v>
      </c>
      <c r="P24" s="47"/>
      <c r="R24" s="21"/>
      <c r="S24" s="2">
        <v>100</v>
      </c>
      <c r="T24" s="51">
        <v>0.25</v>
      </c>
      <c r="U24" s="51">
        <f t="shared" ref="U24:U26" si="10">T23+U23</f>
        <v>0.30000000000000004</v>
      </c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</row>
    <row r="25" spans="2:118" ht="13.2" customHeight="1">
      <c r="B25" s="21"/>
      <c r="E25" s="5">
        <v>21</v>
      </c>
      <c r="F25" s="5">
        <f t="shared" ca="1" si="6"/>
        <v>110</v>
      </c>
      <c r="G25" s="5">
        <f t="shared" ca="1" si="8"/>
        <v>170</v>
      </c>
      <c r="H25" s="5">
        <f t="shared" ca="1" si="1"/>
        <v>60</v>
      </c>
      <c r="I25" s="5">
        <f t="shared" ca="1" si="9"/>
        <v>1</v>
      </c>
      <c r="J25" s="5">
        <f t="shared" ca="1" si="2"/>
        <v>0</v>
      </c>
      <c r="K25" s="5">
        <f t="shared" ca="1" si="3"/>
        <v>0</v>
      </c>
      <c r="L25" s="5">
        <f t="shared" ca="1" si="4"/>
        <v>200</v>
      </c>
      <c r="M25" s="25">
        <f t="shared" ca="1" si="5"/>
        <v>1.6438356164383561</v>
      </c>
      <c r="P25" s="47"/>
      <c r="Q25" s="47"/>
      <c r="R25" s="53"/>
      <c r="S25" s="2">
        <v>110</v>
      </c>
      <c r="T25" s="51">
        <v>0.3</v>
      </c>
      <c r="U25" s="51">
        <f t="shared" si="10"/>
        <v>0.55000000000000004</v>
      </c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</row>
    <row r="26" spans="2:118" ht="13.2" customHeight="1">
      <c r="B26" s="21"/>
      <c r="E26" s="5">
        <v>22</v>
      </c>
      <c r="F26" s="5">
        <f t="shared" ca="1" si="6"/>
        <v>110</v>
      </c>
      <c r="G26" s="5">
        <f t="shared" ca="1" si="8"/>
        <v>1060</v>
      </c>
      <c r="H26" s="5">
        <f t="shared" ca="1" si="1"/>
        <v>950</v>
      </c>
      <c r="I26" s="5">
        <f t="shared" ca="1" si="9"/>
        <v>0</v>
      </c>
      <c r="J26" s="5">
        <f t="shared" ca="1" si="2"/>
        <v>0</v>
      </c>
      <c r="K26" s="5">
        <f t="shared" ca="1" si="3"/>
        <v>0</v>
      </c>
      <c r="L26" s="5">
        <f t="shared" ca="1" si="4"/>
        <v>0</v>
      </c>
      <c r="M26" s="25">
        <f t="shared" ca="1" si="5"/>
        <v>26.027397260273972</v>
      </c>
      <c r="P26" s="48"/>
      <c r="Q26" s="47"/>
      <c r="R26" s="53"/>
      <c r="S26" s="2">
        <v>120</v>
      </c>
      <c r="T26" s="51">
        <v>0.15</v>
      </c>
      <c r="U26" s="51">
        <f t="shared" si="10"/>
        <v>0.85000000000000009</v>
      </c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</row>
    <row r="27" spans="2:118" ht="13.2" customHeight="1">
      <c r="B27" s="21"/>
      <c r="E27" s="5">
        <v>23</v>
      </c>
      <c r="F27" s="5">
        <f t="shared" ca="1" si="6"/>
        <v>110</v>
      </c>
      <c r="G27" s="5">
        <f t="shared" ca="1" si="8"/>
        <v>950</v>
      </c>
      <c r="H27" s="5">
        <f t="shared" ca="1" si="1"/>
        <v>840</v>
      </c>
      <c r="I27" s="5">
        <f t="shared" ca="1" si="9"/>
        <v>0</v>
      </c>
      <c r="J27" s="5">
        <f t="shared" ca="1" si="2"/>
        <v>0</v>
      </c>
      <c r="K27" s="5">
        <f t="shared" ca="1" si="3"/>
        <v>0</v>
      </c>
      <c r="L27" s="5">
        <f t="shared" ca="1" si="4"/>
        <v>0</v>
      </c>
      <c r="M27" s="25">
        <f t="shared" ca="1" si="5"/>
        <v>23.013698630136986</v>
      </c>
      <c r="P27" s="48"/>
      <c r="Q27" s="47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48"/>
      <c r="DN27" s="48"/>
    </row>
    <row r="28" spans="2:118" ht="13.2" hidden="1" customHeight="1">
      <c r="B28" s="21"/>
      <c r="E28" s="5">
        <v>24</v>
      </c>
      <c r="F28" s="5">
        <f t="shared" ca="1" si="6"/>
        <v>90</v>
      </c>
      <c r="G28" s="5">
        <f t="shared" ca="1" si="8"/>
        <v>840</v>
      </c>
      <c r="H28" s="5">
        <f t="shared" ca="1" si="1"/>
        <v>750</v>
      </c>
      <c r="I28" s="5">
        <f t="shared" ca="1" si="9"/>
        <v>0</v>
      </c>
      <c r="J28" s="5">
        <f t="shared" ca="1" si="2"/>
        <v>0</v>
      </c>
      <c r="K28" s="5">
        <f t="shared" ca="1" si="3"/>
        <v>0</v>
      </c>
      <c r="L28" s="5">
        <f t="shared" ca="1" si="4"/>
        <v>0</v>
      </c>
      <c r="M28" s="25">
        <f t="shared" ca="1" si="5"/>
        <v>20.547945205479451</v>
      </c>
      <c r="P28" s="7"/>
      <c r="Q28" s="48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48"/>
      <c r="DN28" s="10"/>
    </row>
    <row r="29" spans="2:118" ht="13.2" hidden="1" customHeight="1">
      <c r="B29" s="21"/>
      <c r="E29" s="5">
        <v>25</v>
      </c>
      <c r="F29" s="5">
        <f t="shared" ca="1" si="6"/>
        <v>90</v>
      </c>
      <c r="G29" s="5">
        <f t="shared" ca="1" si="8"/>
        <v>750</v>
      </c>
      <c r="H29" s="5">
        <f t="shared" ca="1" si="1"/>
        <v>660</v>
      </c>
      <c r="I29" s="5">
        <f t="shared" ca="1" si="9"/>
        <v>0</v>
      </c>
      <c r="J29" s="5">
        <f t="shared" ca="1" si="2"/>
        <v>0</v>
      </c>
      <c r="K29" s="5">
        <f t="shared" ca="1" si="3"/>
        <v>0</v>
      </c>
      <c r="L29" s="5">
        <f t="shared" ca="1" si="4"/>
        <v>0</v>
      </c>
      <c r="M29" s="25">
        <f t="shared" ca="1" si="5"/>
        <v>18.082191780821915</v>
      </c>
      <c r="P29" s="7"/>
      <c r="Q29" s="4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48"/>
      <c r="DN29" s="10"/>
    </row>
    <row r="30" spans="2:118" ht="13.2" hidden="1" customHeight="1">
      <c r="B30" s="21"/>
      <c r="E30" s="5">
        <v>26</v>
      </c>
      <c r="F30" s="5">
        <f t="shared" ca="1" si="6"/>
        <v>100</v>
      </c>
      <c r="G30" s="5">
        <f t="shared" ca="1" si="8"/>
        <v>660</v>
      </c>
      <c r="H30" s="5">
        <f t="shared" ca="1" si="1"/>
        <v>560</v>
      </c>
      <c r="I30" s="5">
        <f t="shared" ca="1" si="9"/>
        <v>0</v>
      </c>
      <c r="J30" s="5">
        <f t="shared" ca="1" si="2"/>
        <v>0</v>
      </c>
      <c r="K30" s="5">
        <f t="shared" ca="1" si="3"/>
        <v>0</v>
      </c>
      <c r="L30" s="5">
        <f t="shared" ca="1" si="4"/>
        <v>0</v>
      </c>
      <c r="M30" s="25">
        <f t="shared" ca="1" si="5"/>
        <v>15.342465753424657</v>
      </c>
      <c r="P30" s="7"/>
      <c r="Q30" s="1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48"/>
      <c r="DN30" s="10"/>
    </row>
    <row r="31" spans="2:118" ht="13.2" hidden="1" customHeight="1">
      <c r="B31" s="21"/>
      <c r="E31" s="5">
        <v>27</v>
      </c>
      <c r="F31" s="5">
        <f t="shared" ca="1" si="6"/>
        <v>100</v>
      </c>
      <c r="G31" s="5">
        <f t="shared" ca="1" si="8"/>
        <v>560</v>
      </c>
      <c r="H31" s="5">
        <f t="shared" ca="1" si="1"/>
        <v>460</v>
      </c>
      <c r="I31" s="5">
        <f t="shared" ca="1" si="9"/>
        <v>0</v>
      </c>
      <c r="J31" s="5">
        <f t="shared" ca="1" si="2"/>
        <v>0</v>
      </c>
      <c r="K31" s="5">
        <f t="shared" ca="1" si="3"/>
        <v>0</v>
      </c>
      <c r="L31" s="5">
        <f t="shared" ca="1" si="4"/>
        <v>0</v>
      </c>
      <c r="M31" s="25">
        <f t="shared" ca="1" si="5"/>
        <v>12.602739726027396</v>
      </c>
      <c r="P31" s="7"/>
      <c r="Q31" s="1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48"/>
      <c r="DN31" s="10"/>
    </row>
    <row r="32" spans="2:118" ht="13.2" hidden="1" customHeight="1">
      <c r="B32" s="21"/>
      <c r="E32" s="5">
        <v>28</v>
      </c>
      <c r="F32" s="5">
        <f t="shared" ca="1" si="6"/>
        <v>120</v>
      </c>
      <c r="G32" s="5">
        <f t="shared" ca="1" si="8"/>
        <v>460</v>
      </c>
      <c r="H32" s="5">
        <f t="shared" ca="1" si="1"/>
        <v>340</v>
      </c>
      <c r="I32" s="5">
        <f t="shared" ca="1" si="9"/>
        <v>0</v>
      </c>
      <c r="J32" s="5">
        <f t="shared" ca="1" si="2"/>
        <v>0</v>
      </c>
      <c r="K32" s="5">
        <f t="shared" ca="1" si="3"/>
        <v>0</v>
      </c>
      <c r="L32" s="5">
        <f t="shared" ca="1" si="4"/>
        <v>0</v>
      </c>
      <c r="M32" s="25">
        <f t="shared" ca="1" si="5"/>
        <v>9.3150684931506849</v>
      </c>
      <c r="P32" s="7"/>
      <c r="Q32" s="1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48"/>
      <c r="DN32" s="10"/>
    </row>
    <row r="33" spans="2:118" ht="13.2" hidden="1" customHeight="1">
      <c r="B33" s="21"/>
      <c r="E33" s="5">
        <v>29</v>
      </c>
      <c r="F33" s="5">
        <f t="shared" ca="1" si="6"/>
        <v>110</v>
      </c>
      <c r="G33" s="5">
        <f t="shared" ca="1" si="8"/>
        <v>340</v>
      </c>
      <c r="H33" s="5">
        <f t="shared" ca="1" si="1"/>
        <v>230</v>
      </c>
      <c r="I33" s="5">
        <f t="shared" ca="1" si="9"/>
        <v>0</v>
      </c>
      <c r="J33" s="5">
        <f t="shared" ca="1" si="2"/>
        <v>0</v>
      </c>
      <c r="K33" s="5">
        <f t="shared" ca="1" si="3"/>
        <v>0</v>
      </c>
      <c r="L33" s="5">
        <f t="shared" ca="1" si="4"/>
        <v>0</v>
      </c>
      <c r="M33" s="25">
        <f t="shared" ca="1" si="5"/>
        <v>6.3013698630136981</v>
      </c>
      <c r="P33" s="7"/>
      <c r="Q33" s="1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48"/>
      <c r="DN33" s="10"/>
    </row>
    <row r="34" spans="2:118" ht="13.2" hidden="1" customHeight="1">
      <c r="B34" s="21"/>
      <c r="E34" s="5">
        <v>30</v>
      </c>
      <c r="F34" s="5">
        <f t="shared" ca="1" si="6"/>
        <v>100</v>
      </c>
      <c r="G34" s="5">
        <f t="shared" ca="1" si="8"/>
        <v>230</v>
      </c>
      <c r="H34" s="5">
        <f t="shared" ca="1" si="1"/>
        <v>130</v>
      </c>
      <c r="I34" s="5">
        <f t="shared" ca="1" si="9"/>
        <v>0</v>
      </c>
      <c r="J34" s="5">
        <f t="shared" ca="1" si="2"/>
        <v>0</v>
      </c>
      <c r="K34" s="5">
        <f t="shared" ca="1" si="3"/>
        <v>0</v>
      </c>
      <c r="L34" s="5">
        <f t="shared" ca="1" si="4"/>
        <v>0</v>
      </c>
      <c r="M34" s="25">
        <f t="shared" ca="1" si="5"/>
        <v>3.5616438356164384</v>
      </c>
      <c r="P34" s="7"/>
      <c r="Q34" s="1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0"/>
      <c r="DN34" s="10"/>
    </row>
    <row r="35" spans="2:118" ht="13.2" hidden="1" customHeight="1">
      <c r="B35" s="21"/>
      <c r="E35" s="5">
        <v>31</v>
      </c>
      <c r="F35" s="5">
        <f t="shared" ca="1" si="6"/>
        <v>110</v>
      </c>
      <c r="G35" s="5">
        <f t="shared" ca="1" si="8"/>
        <v>130</v>
      </c>
      <c r="H35" s="5">
        <f t="shared" ca="1" si="1"/>
        <v>20</v>
      </c>
      <c r="I35" s="5">
        <f t="shared" ca="1" si="9"/>
        <v>1</v>
      </c>
      <c r="J35" s="5">
        <f t="shared" ca="1" si="2"/>
        <v>1</v>
      </c>
      <c r="K35" s="5">
        <f t="shared" ca="1" si="3"/>
        <v>0</v>
      </c>
      <c r="L35" s="5">
        <f t="shared" ca="1" si="4"/>
        <v>200</v>
      </c>
      <c r="M35" s="25">
        <f t="shared" ca="1" si="5"/>
        <v>0.54794520547945202</v>
      </c>
      <c r="P35" s="7"/>
      <c r="Q35" s="1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0"/>
      <c r="DN35" s="10"/>
    </row>
    <row r="36" spans="2:118" ht="13.2" hidden="1" customHeight="1">
      <c r="B36" s="21"/>
      <c r="E36" s="5">
        <v>32</v>
      </c>
      <c r="F36" s="5">
        <f t="shared" ca="1" si="6"/>
        <v>110</v>
      </c>
      <c r="G36" s="5">
        <f t="shared" ca="1" si="8"/>
        <v>20</v>
      </c>
      <c r="H36" s="5">
        <f t="shared" ca="1" si="1"/>
        <v>0</v>
      </c>
      <c r="I36" s="5">
        <f t="shared" ca="1" si="9"/>
        <v>0</v>
      </c>
      <c r="J36" s="5">
        <f t="shared" ca="1" si="2"/>
        <v>0</v>
      </c>
      <c r="K36" s="5">
        <f t="shared" ca="1" si="3"/>
        <v>1</v>
      </c>
      <c r="L36" s="5">
        <f t="shared" ca="1" si="4"/>
        <v>0</v>
      </c>
      <c r="M36" s="25">
        <f t="shared" ca="1" si="5"/>
        <v>0</v>
      </c>
      <c r="P36" s="7"/>
      <c r="Q36" s="1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0"/>
      <c r="DN36" s="10"/>
    </row>
    <row r="37" spans="2:118" ht="13.2" hidden="1" customHeight="1">
      <c r="B37" s="21"/>
      <c r="E37" s="5">
        <v>33</v>
      </c>
      <c r="F37" s="5">
        <f t="shared" ca="1" si="6"/>
        <v>120</v>
      </c>
      <c r="G37" s="5">
        <f t="shared" ca="1" si="8"/>
        <v>1000</v>
      </c>
      <c r="H37" s="5">
        <f t="shared" ref="H37:H68" ca="1" si="11">IF(G37-F37&gt;0,G37-F37,0)</f>
        <v>880</v>
      </c>
      <c r="I37" s="5">
        <f t="shared" ca="1" si="9"/>
        <v>0</v>
      </c>
      <c r="J37" s="5">
        <f t="shared" ref="J37:J68" ca="1" si="12">I37*INT(RAND()*2)</f>
        <v>0</v>
      </c>
      <c r="K37" s="5">
        <f t="shared" ref="K37:K68" ca="1" si="13">IF(G37&lt;F37,1,0)</f>
        <v>0</v>
      </c>
      <c r="L37" s="5">
        <f t="shared" ca="1" si="4"/>
        <v>0</v>
      </c>
      <c r="M37" s="25">
        <f t="shared" ca="1" si="5"/>
        <v>24.109589041095887</v>
      </c>
      <c r="P37" s="7"/>
      <c r="Q37" s="1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0"/>
      <c r="DN37" s="10"/>
    </row>
    <row r="38" spans="2:118" ht="13.2" hidden="1" customHeight="1">
      <c r="B38" s="21"/>
      <c r="E38" s="5">
        <v>34</v>
      </c>
      <c r="F38" s="5">
        <f t="shared" ca="1" si="6"/>
        <v>0</v>
      </c>
      <c r="G38" s="5">
        <f t="shared" ca="1" si="8"/>
        <v>880</v>
      </c>
      <c r="H38" s="5">
        <f t="shared" ca="1" si="11"/>
        <v>880</v>
      </c>
      <c r="I38" s="5">
        <f t="shared" ca="1" si="9"/>
        <v>0</v>
      </c>
      <c r="J38" s="5">
        <f t="shared" ca="1" si="12"/>
        <v>0</v>
      </c>
      <c r="K38" s="5">
        <f t="shared" ca="1" si="13"/>
        <v>0</v>
      </c>
      <c r="L38" s="5">
        <f t="shared" ca="1" si="4"/>
        <v>0</v>
      </c>
      <c r="M38" s="25">
        <f t="shared" ca="1" si="5"/>
        <v>24.109589041095887</v>
      </c>
      <c r="P38" s="7"/>
      <c r="Q38" s="1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0"/>
      <c r="DN38" s="10"/>
    </row>
    <row r="39" spans="2:118" ht="13.2" hidden="1" customHeight="1">
      <c r="B39" s="21"/>
      <c r="E39" s="5">
        <v>35</v>
      </c>
      <c r="F39" s="5">
        <f t="shared" ca="1" si="6"/>
        <v>110</v>
      </c>
      <c r="G39" s="5">
        <f t="shared" ca="1" si="8"/>
        <v>880</v>
      </c>
      <c r="H39" s="5">
        <f t="shared" ca="1" si="11"/>
        <v>770</v>
      </c>
      <c r="I39" s="5">
        <f t="shared" ca="1" si="9"/>
        <v>0</v>
      </c>
      <c r="J39" s="5">
        <f t="shared" ca="1" si="12"/>
        <v>0</v>
      </c>
      <c r="K39" s="5">
        <f t="shared" ca="1" si="13"/>
        <v>0</v>
      </c>
      <c r="L39" s="5">
        <f t="shared" ca="1" si="4"/>
        <v>0</v>
      </c>
      <c r="M39" s="25">
        <f t="shared" ca="1" si="5"/>
        <v>21.095890410958901</v>
      </c>
      <c r="P39" s="7"/>
      <c r="Q39" s="1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0"/>
      <c r="DN39" s="10"/>
    </row>
    <row r="40" spans="2:118" ht="13.2" hidden="1" customHeight="1">
      <c r="B40" s="21"/>
      <c r="E40" s="5">
        <v>36</v>
      </c>
      <c r="F40" s="5">
        <f t="shared" ca="1" si="6"/>
        <v>0</v>
      </c>
      <c r="G40" s="5">
        <f t="shared" ca="1" si="8"/>
        <v>770</v>
      </c>
      <c r="H40" s="5">
        <f t="shared" ca="1" si="11"/>
        <v>770</v>
      </c>
      <c r="I40" s="5">
        <f t="shared" ca="1" si="9"/>
        <v>0</v>
      </c>
      <c r="J40" s="5">
        <f t="shared" ca="1" si="12"/>
        <v>0</v>
      </c>
      <c r="K40" s="5">
        <f t="shared" ca="1" si="13"/>
        <v>0</v>
      </c>
      <c r="L40" s="5">
        <f t="shared" ca="1" si="4"/>
        <v>0</v>
      </c>
      <c r="M40" s="25">
        <f t="shared" ca="1" si="5"/>
        <v>21.095890410958901</v>
      </c>
      <c r="P40" s="7"/>
      <c r="Q40" s="1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0"/>
      <c r="DN40" s="10"/>
    </row>
    <row r="41" spans="2:118" ht="13.2" hidden="1" customHeight="1">
      <c r="B41" s="21"/>
      <c r="E41" s="5">
        <v>37</v>
      </c>
      <c r="F41" s="5">
        <f t="shared" ca="1" si="6"/>
        <v>90</v>
      </c>
      <c r="G41" s="5">
        <f t="shared" ca="1" si="8"/>
        <v>770</v>
      </c>
      <c r="H41" s="5">
        <f t="shared" ca="1" si="11"/>
        <v>680</v>
      </c>
      <c r="I41" s="5">
        <f t="shared" ca="1" si="9"/>
        <v>0</v>
      </c>
      <c r="J41" s="5">
        <f t="shared" ca="1" si="12"/>
        <v>0</v>
      </c>
      <c r="K41" s="5">
        <f t="shared" ca="1" si="13"/>
        <v>0</v>
      </c>
      <c r="L41" s="5">
        <f t="shared" ca="1" si="4"/>
        <v>0</v>
      </c>
      <c r="M41" s="25">
        <f t="shared" ca="1" si="5"/>
        <v>18.63013698630137</v>
      </c>
      <c r="P41" s="7"/>
      <c r="Q41" s="1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0"/>
      <c r="DN41" s="10"/>
    </row>
    <row r="42" spans="2:118" ht="13.2" hidden="1" customHeight="1">
      <c r="B42" s="21"/>
      <c r="E42" s="5">
        <v>38</v>
      </c>
      <c r="F42" s="5">
        <f t="shared" ca="1" si="6"/>
        <v>100</v>
      </c>
      <c r="G42" s="5">
        <f t="shared" ca="1" si="8"/>
        <v>680</v>
      </c>
      <c r="H42" s="5">
        <f t="shared" ca="1" si="11"/>
        <v>580</v>
      </c>
      <c r="I42" s="5">
        <f t="shared" ca="1" si="9"/>
        <v>0</v>
      </c>
      <c r="J42" s="5">
        <f t="shared" ca="1" si="12"/>
        <v>0</v>
      </c>
      <c r="K42" s="5">
        <f t="shared" ca="1" si="13"/>
        <v>0</v>
      </c>
      <c r="L42" s="5">
        <f t="shared" ca="1" si="4"/>
        <v>0</v>
      </c>
      <c r="M42" s="25">
        <f t="shared" ca="1" si="5"/>
        <v>15.890410958904109</v>
      </c>
      <c r="P42" s="7"/>
      <c r="Q42" s="1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0"/>
      <c r="DN42" s="10"/>
    </row>
    <row r="43" spans="2:118" ht="13.2" hidden="1" customHeight="1">
      <c r="B43" s="21"/>
      <c r="E43" s="5">
        <v>39</v>
      </c>
      <c r="F43" s="5">
        <f t="shared" ca="1" si="6"/>
        <v>110</v>
      </c>
      <c r="G43" s="5">
        <f t="shared" ca="1" si="8"/>
        <v>580</v>
      </c>
      <c r="H43" s="5">
        <f t="shared" ca="1" si="11"/>
        <v>470</v>
      </c>
      <c r="I43" s="5">
        <f t="shared" ca="1" si="9"/>
        <v>0</v>
      </c>
      <c r="J43" s="5">
        <f t="shared" ca="1" si="12"/>
        <v>0</v>
      </c>
      <c r="K43" s="5">
        <f t="shared" ca="1" si="13"/>
        <v>0</v>
      </c>
      <c r="L43" s="5">
        <f t="shared" ca="1" si="4"/>
        <v>0</v>
      </c>
      <c r="M43" s="25">
        <f t="shared" ca="1" si="5"/>
        <v>12.876712328767123</v>
      </c>
      <c r="P43" s="7"/>
      <c r="Q43" s="1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0"/>
      <c r="DN43" s="10"/>
    </row>
    <row r="44" spans="2:118" ht="13.2" hidden="1" customHeight="1">
      <c r="B44" s="21"/>
      <c r="E44" s="5">
        <v>40</v>
      </c>
      <c r="F44" s="5">
        <f t="shared" ca="1" si="6"/>
        <v>100</v>
      </c>
      <c r="G44" s="5">
        <f t="shared" ca="1" si="8"/>
        <v>470</v>
      </c>
      <c r="H44" s="5">
        <f t="shared" ca="1" si="11"/>
        <v>370</v>
      </c>
      <c r="I44" s="5">
        <f t="shared" ca="1" si="9"/>
        <v>0</v>
      </c>
      <c r="J44" s="5">
        <f t="shared" ca="1" si="12"/>
        <v>0</v>
      </c>
      <c r="K44" s="5">
        <f t="shared" ca="1" si="13"/>
        <v>0</v>
      </c>
      <c r="L44" s="5">
        <f t="shared" ca="1" si="4"/>
        <v>0</v>
      </c>
      <c r="M44" s="25">
        <f t="shared" ca="1" si="5"/>
        <v>10.136986301369863</v>
      </c>
      <c r="P44" s="7"/>
      <c r="Q44" s="1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0"/>
      <c r="DN44" s="10"/>
    </row>
    <row r="45" spans="2:118" ht="13.2" hidden="1" customHeight="1">
      <c r="B45" s="21"/>
      <c r="E45" s="5">
        <v>41</v>
      </c>
      <c r="F45" s="5">
        <f t="shared" ca="1" si="6"/>
        <v>120</v>
      </c>
      <c r="G45" s="5">
        <f t="shared" ca="1" si="8"/>
        <v>370</v>
      </c>
      <c r="H45" s="5">
        <f t="shared" ca="1" si="11"/>
        <v>250</v>
      </c>
      <c r="I45" s="5">
        <f t="shared" ca="1" si="9"/>
        <v>0</v>
      </c>
      <c r="J45" s="5">
        <f t="shared" ca="1" si="12"/>
        <v>0</v>
      </c>
      <c r="K45" s="5">
        <f t="shared" ca="1" si="13"/>
        <v>0</v>
      </c>
      <c r="L45" s="5">
        <f t="shared" ca="1" si="4"/>
        <v>0</v>
      </c>
      <c r="M45" s="25">
        <f t="shared" ca="1" si="5"/>
        <v>6.8493150684931505</v>
      </c>
      <c r="P45" s="7"/>
      <c r="Q45" s="1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0"/>
      <c r="DN45" s="10"/>
    </row>
    <row r="46" spans="2:118" ht="13.2" hidden="1" customHeight="1">
      <c r="B46" s="21"/>
      <c r="E46" s="5">
        <v>42</v>
      </c>
      <c r="F46" s="5">
        <f t="shared" ca="1" si="6"/>
        <v>110</v>
      </c>
      <c r="G46" s="5">
        <f t="shared" ca="1" si="8"/>
        <v>250</v>
      </c>
      <c r="H46" s="5">
        <f t="shared" ca="1" si="11"/>
        <v>140</v>
      </c>
      <c r="I46" s="5">
        <f t="shared" ca="1" si="9"/>
        <v>0</v>
      </c>
      <c r="J46" s="5">
        <f t="shared" ca="1" si="12"/>
        <v>0</v>
      </c>
      <c r="K46" s="5">
        <f t="shared" ca="1" si="13"/>
        <v>0</v>
      </c>
      <c r="L46" s="5">
        <f t="shared" ca="1" si="4"/>
        <v>0</v>
      </c>
      <c r="M46" s="25">
        <f t="shared" ca="1" si="5"/>
        <v>3.8356164383561642</v>
      </c>
      <c r="P46" s="7"/>
      <c r="Q46" s="1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0"/>
      <c r="DN46" s="10"/>
    </row>
    <row r="47" spans="2:118" ht="13.2" hidden="1" customHeight="1">
      <c r="B47" s="21"/>
      <c r="E47" s="5">
        <v>43</v>
      </c>
      <c r="F47" s="5">
        <f t="shared" ca="1" si="6"/>
        <v>100</v>
      </c>
      <c r="G47" s="5">
        <f t="shared" ca="1" si="8"/>
        <v>140</v>
      </c>
      <c r="H47" s="5">
        <f t="shared" ca="1" si="11"/>
        <v>40</v>
      </c>
      <c r="I47" s="5">
        <f t="shared" ca="1" si="9"/>
        <v>1</v>
      </c>
      <c r="J47" s="5">
        <f t="shared" ca="1" si="12"/>
        <v>0</v>
      </c>
      <c r="K47" s="5">
        <f t="shared" ca="1" si="13"/>
        <v>0</v>
      </c>
      <c r="L47" s="5">
        <f t="shared" ca="1" si="4"/>
        <v>200</v>
      </c>
      <c r="M47" s="25">
        <f t="shared" ca="1" si="5"/>
        <v>1.095890410958904</v>
      </c>
      <c r="P47" s="7"/>
      <c r="Q47" s="1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0"/>
      <c r="DN47" s="10"/>
    </row>
    <row r="48" spans="2:118" ht="13.2" hidden="1" customHeight="1">
      <c r="B48" s="21"/>
      <c r="E48" s="5">
        <v>44</v>
      </c>
      <c r="F48" s="5">
        <f t="shared" ca="1" si="6"/>
        <v>120</v>
      </c>
      <c r="G48" s="5">
        <f t="shared" ca="1" si="8"/>
        <v>1040</v>
      </c>
      <c r="H48" s="5">
        <f t="shared" ca="1" si="11"/>
        <v>920</v>
      </c>
      <c r="I48" s="5">
        <f t="shared" ca="1" si="9"/>
        <v>0</v>
      </c>
      <c r="J48" s="5">
        <f t="shared" ca="1" si="12"/>
        <v>0</v>
      </c>
      <c r="K48" s="5">
        <f t="shared" ca="1" si="13"/>
        <v>0</v>
      </c>
      <c r="L48" s="5">
        <f t="shared" ca="1" si="4"/>
        <v>0</v>
      </c>
      <c r="M48" s="25">
        <f t="shared" ca="1" si="5"/>
        <v>25.205479452054792</v>
      </c>
      <c r="P48" s="7"/>
      <c r="Q48" s="1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0"/>
      <c r="DN48" s="10"/>
    </row>
    <row r="49" spans="2:118" ht="13.2" hidden="1" customHeight="1">
      <c r="B49" s="21"/>
      <c r="E49" s="5">
        <v>45</v>
      </c>
      <c r="F49" s="5">
        <f t="shared" ca="1" si="6"/>
        <v>120</v>
      </c>
      <c r="G49" s="5">
        <f t="shared" ca="1" si="8"/>
        <v>920</v>
      </c>
      <c r="H49" s="5">
        <f t="shared" ca="1" si="11"/>
        <v>800</v>
      </c>
      <c r="I49" s="5">
        <f t="shared" ca="1" si="9"/>
        <v>0</v>
      </c>
      <c r="J49" s="5">
        <f t="shared" ca="1" si="12"/>
        <v>0</v>
      </c>
      <c r="K49" s="5">
        <f t="shared" ca="1" si="13"/>
        <v>0</v>
      </c>
      <c r="L49" s="5">
        <f t="shared" ca="1" si="4"/>
        <v>0</v>
      </c>
      <c r="M49" s="25">
        <f t="shared" ca="1" si="5"/>
        <v>21.917808219178081</v>
      </c>
      <c r="P49" s="7"/>
      <c r="Q49" s="1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0"/>
      <c r="DN49" s="10"/>
    </row>
    <row r="50" spans="2:118" ht="13.2" hidden="1" customHeight="1">
      <c r="B50" s="21"/>
      <c r="E50" s="5">
        <v>46</v>
      </c>
      <c r="F50" s="5">
        <f t="shared" ca="1" si="6"/>
        <v>110</v>
      </c>
      <c r="G50" s="5">
        <f t="shared" ca="1" si="8"/>
        <v>800</v>
      </c>
      <c r="H50" s="5">
        <f t="shared" ca="1" si="11"/>
        <v>690</v>
      </c>
      <c r="I50" s="5">
        <f t="shared" ca="1" si="9"/>
        <v>0</v>
      </c>
      <c r="J50" s="5">
        <f t="shared" ca="1" si="12"/>
        <v>0</v>
      </c>
      <c r="K50" s="5">
        <f t="shared" ca="1" si="13"/>
        <v>0</v>
      </c>
      <c r="L50" s="5">
        <f t="shared" ca="1" si="4"/>
        <v>0</v>
      </c>
      <c r="M50" s="25">
        <f t="shared" ca="1" si="5"/>
        <v>18.904109589041095</v>
      </c>
      <c r="P50" s="7"/>
      <c r="Q50" s="1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0"/>
      <c r="DN50" s="10"/>
    </row>
    <row r="51" spans="2:118" ht="13.2" hidden="1" customHeight="1">
      <c r="B51" s="21"/>
      <c r="E51" s="5">
        <v>47</v>
      </c>
      <c r="F51" s="5">
        <f t="shared" ca="1" si="6"/>
        <v>110</v>
      </c>
      <c r="G51" s="5">
        <f t="shared" ca="1" si="8"/>
        <v>690</v>
      </c>
      <c r="H51" s="5">
        <f t="shared" ca="1" si="11"/>
        <v>580</v>
      </c>
      <c r="I51" s="5">
        <f t="shared" ca="1" si="9"/>
        <v>0</v>
      </c>
      <c r="J51" s="5">
        <f t="shared" ca="1" si="12"/>
        <v>0</v>
      </c>
      <c r="K51" s="5">
        <f t="shared" ca="1" si="13"/>
        <v>0</v>
      </c>
      <c r="L51" s="5">
        <f t="shared" ca="1" si="4"/>
        <v>0</v>
      </c>
      <c r="M51" s="25">
        <f t="shared" ca="1" si="5"/>
        <v>15.890410958904109</v>
      </c>
      <c r="P51" s="7"/>
      <c r="Q51" s="1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0"/>
      <c r="DN51" s="10"/>
    </row>
    <row r="52" spans="2:118" ht="13.2" hidden="1" customHeight="1">
      <c r="B52" s="21"/>
      <c r="E52" s="5">
        <v>48</v>
      </c>
      <c r="F52" s="5">
        <f t="shared" ca="1" si="6"/>
        <v>0</v>
      </c>
      <c r="G52" s="5">
        <f t="shared" ca="1" si="8"/>
        <v>580</v>
      </c>
      <c r="H52" s="5">
        <f t="shared" ca="1" si="11"/>
        <v>580</v>
      </c>
      <c r="I52" s="5">
        <f t="shared" ca="1" si="9"/>
        <v>0</v>
      </c>
      <c r="J52" s="5">
        <f t="shared" ca="1" si="12"/>
        <v>0</v>
      </c>
      <c r="K52" s="5">
        <f t="shared" ca="1" si="13"/>
        <v>0</v>
      </c>
      <c r="L52" s="5">
        <f t="shared" ca="1" si="4"/>
        <v>0</v>
      </c>
      <c r="M52" s="25">
        <f t="shared" ca="1" si="5"/>
        <v>15.890410958904109</v>
      </c>
      <c r="P52" s="7"/>
      <c r="Q52" s="1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0"/>
      <c r="DN52" s="10"/>
    </row>
    <row r="53" spans="2:118" ht="13.2" hidden="1" customHeight="1">
      <c r="B53" s="21"/>
      <c r="E53" s="5">
        <v>49</v>
      </c>
      <c r="F53" s="5">
        <f t="shared" ca="1" si="6"/>
        <v>110</v>
      </c>
      <c r="G53" s="5">
        <f t="shared" ca="1" si="8"/>
        <v>580</v>
      </c>
      <c r="H53" s="5">
        <f t="shared" ca="1" si="11"/>
        <v>470</v>
      </c>
      <c r="I53" s="5">
        <f t="shared" ca="1" si="9"/>
        <v>0</v>
      </c>
      <c r="J53" s="5">
        <f t="shared" ca="1" si="12"/>
        <v>0</v>
      </c>
      <c r="K53" s="5">
        <f t="shared" ca="1" si="13"/>
        <v>0</v>
      </c>
      <c r="L53" s="5">
        <f t="shared" ca="1" si="4"/>
        <v>0</v>
      </c>
      <c r="M53" s="25">
        <f t="shared" ca="1" si="5"/>
        <v>12.876712328767123</v>
      </c>
      <c r="P53" s="7"/>
      <c r="Q53" s="1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0"/>
      <c r="DN53" s="10"/>
    </row>
    <row r="54" spans="2:118" ht="13.2" hidden="1" customHeight="1">
      <c r="B54" s="21"/>
      <c r="E54" s="5">
        <v>50</v>
      </c>
      <c r="F54" s="5">
        <f t="shared" ca="1" si="6"/>
        <v>110</v>
      </c>
      <c r="G54" s="5">
        <f t="shared" ca="1" si="8"/>
        <v>470</v>
      </c>
      <c r="H54" s="5">
        <f t="shared" ca="1" si="11"/>
        <v>360</v>
      </c>
      <c r="I54" s="5">
        <f t="shared" ca="1" si="9"/>
        <v>0</v>
      </c>
      <c r="J54" s="5">
        <f t="shared" ca="1" si="12"/>
        <v>0</v>
      </c>
      <c r="K54" s="5">
        <f t="shared" ca="1" si="13"/>
        <v>0</v>
      </c>
      <c r="L54" s="5">
        <f t="shared" ca="1" si="4"/>
        <v>0</v>
      </c>
      <c r="M54" s="25">
        <f t="shared" ca="1" si="5"/>
        <v>9.8630136986301373</v>
      </c>
      <c r="P54" s="7"/>
      <c r="Q54" s="1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0"/>
      <c r="DN54" s="10"/>
    </row>
    <row r="55" spans="2:118" ht="13.2" hidden="1" customHeight="1">
      <c r="B55" s="21"/>
      <c r="E55" s="5">
        <v>51</v>
      </c>
      <c r="F55" s="5">
        <f t="shared" ca="1" si="6"/>
        <v>90</v>
      </c>
      <c r="G55" s="5">
        <f t="shared" ca="1" si="8"/>
        <v>360</v>
      </c>
      <c r="H55" s="5">
        <f t="shared" ca="1" si="11"/>
        <v>270</v>
      </c>
      <c r="I55" s="5">
        <f t="shared" ca="1" si="9"/>
        <v>0</v>
      </c>
      <c r="J55" s="5">
        <f t="shared" ca="1" si="12"/>
        <v>0</v>
      </c>
      <c r="K55" s="5">
        <f t="shared" ca="1" si="13"/>
        <v>0</v>
      </c>
      <c r="L55" s="5">
        <f t="shared" ca="1" si="4"/>
        <v>0</v>
      </c>
      <c r="M55" s="25">
        <f t="shared" ca="1" si="5"/>
        <v>7.3972602739726021</v>
      </c>
      <c r="P55" s="7"/>
      <c r="Q55" s="7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0"/>
      <c r="DN55" s="10"/>
    </row>
    <row r="56" spans="2:118" ht="13.2" hidden="1" customHeight="1">
      <c r="B56" s="21"/>
      <c r="E56" s="5">
        <v>52</v>
      </c>
      <c r="F56" s="5">
        <f t="shared" ca="1" si="6"/>
        <v>120</v>
      </c>
      <c r="G56" s="5">
        <f t="shared" ca="1" si="8"/>
        <v>270</v>
      </c>
      <c r="H56" s="5">
        <f t="shared" ca="1" si="11"/>
        <v>150</v>
      </c>
      <c r="I56" s="5">
        <f t="shared" ca="1" si="9"/>
        <v>0</v>
      </c>
      <c r="J56" s="5">
        <f t="shared" ca="1" si="12"/>
        <v>0</v>
      </c>
      <c r="K56" s="5">
        <f t="shared" ca="1" si="13"/>
        <v>0</v>
      </c>
      <c r="L56" s="5">
        <f t="shared" ca="1" si="4"/>
        <v>0</v>
      </c>
      <c r="M56" s="25">
        <f t="shared" ca="1" si="5"/>
        <v>4.10958904109589</v>
      </c>
      <c r="P56" s="7"/>
      <c r="Q56" s="7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0"/>
      <c r="DN56" s="10"/>
    </row>
    <row r="57" spans="2:118" ht="13.2" hidden="1" customHeight="1">
      <c r="B57" s="21"/>
      <c r="E57" s="5">
        <v>53</v>
      </c>
      <c r="F57" s="5">
        <f t="shared" ca="1" si="6"/>
        <v>120</v>
      </c>
      <c r="G57" s="5">
        <f t="shared" ca="1" si="8"/>
        <v>150</v>
      </c>
      <c r="H57" s="5">
        <f t="shared" ca="1" si="11"/>
        <v>30</v>
      </c>
      <c r="I57" s="5">
        <f t="shared" ca="1" si="9"/>
        <v>1</v>
      </c>
      <c r="J57" s="5">
        <f t="shared" ca="1" si="12"/>
        <v>1</v>
      </c>
      <c r="K57" s="5">
        <f t="shared" ca="1" si="13"/>
        <v>0</v>
      </c>
      <c r="L57" s="5">
        <f t="shared" ca="1" si="4"/>
        <v>200</v>
      </c>
      <c r="M57" s="25">
        <f t="shared" ca="1" si="5"/>
        <v>0.82191780821917804</v>
      </c>
      <c r="P57" s="7"/>
      <c r="Q57" s="7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0"/>
      <c r="DN57" s="10"/>
    </row>
    <row r="58" spans="2:118" ht="13.2" hidden="1" customHeight="1">
      <c r="B58" s="21"/>
      <c r="E58" s="5">
        <v>54</v>
      </c>
      <c r="F58" s="5">
        <f t="shared" ca="1" si="6"/>
        <v>110</v>
      </c>
      <c r="G58" s="5">
        <f t="shared" ca="1" si="8"/>
        <v>30</v>
      </c>
      <c r="H58" s="5">
        <f t="shared" ca="1" si="11"/>
        <v>0</v>
      </c>
      <c r="I58" s="5">
        <f t="shared" ca="1" si="9"/>
        <v>0</v>
      </c>
      <c r="J58" s="5">
        <f t="shared" ca="1" si="12"/>
        <v>0</v>
      </c>
      <c r="K58" s="5">
        <f t="shared" ca="1" si="13"/>
        <v>1</v>
      </c>
      <c r="L58" s="5">
        <f t="shared" ca="1" si="4"/>
        <v>0</v>
      </c>
      <c r="M58" s="25">
        <f t="shared" ca="1" si="5"/>
        <v>0</v>
      </c>
      <c r="P58" s="7"/>
      <c r="Q58" s="7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0"/>
      <c r="DN58" s="10"/>
    </row>
    <row r="59" spans="2:118" ht="13.2" hidden="1" customHeight="1">
      <c r="B59" s="21"/>
      <c r="E59" s="5">
        <v>55</v>
      </c>
      <c r="F59" s="5">
        <f t="shared" ca="1" si="6"/>
        <v>100</v>
      </c>
      <c r="G59" s="5">
        <f t="shared" ca="1" si="8"/>
        <v>1000</v>
      </c>
      <c r="H59" s="5">
        <f t="shared" ca="1" si="11"/>
        <v>900</v>
      </c>
      <c r="I59" s="5">
        <f t="shared" ca="1" si="9"/>
        <v>0</v>
      </c>
      <c r="J59" s="5">
        <f t="shared" ca="1" si="12"/>
        <v>0</v>
      </c>
      <c r="K59" s="5">
        <f t="shared" ca="1" si="13"/>
        <v>0</v>
      </c>
      <c r="L59" s="5">
        <f t="shared" ca="1" si="4"/>
        <v>0</v>
      </c>
      <c r="M59" s="25">
        <f t="shared" ca="1" si="5"/>
        <v>24.657534246575342</v>
      </c>
      <c r="P59" s="7"/>
      <c r="Q59" s="7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0"/>
      <c r="DN59" s="10"/>
    </row>
    <row r="60" spans="2:118" ht="13.2" hidden="1" customHeight="1">
      <c r="B60" s="21"/>
      <c r="E60" s="5">
        <v>56</v>
      </c>
      <c r="F60" s="5">
        <f t="shared" ca="1" si="6"/>
        <v>110</v>
      </c>
      <c r="G60" s="5">
        <f t="shared" ca="1" si="8"/>
        <v>900</v>
      </c>
      <c r="H60" s="5">
        <f t="shared" ca="1" si="11"/>
        <v>790</v>
      </c>
      <c r="I60" s="5">
        <f t="shared" ca="1" si="9"/>
        <v>0</v>
      </c>
      <c r="J60" s="5">
        <f t="shared" ca="1" si="12"/>
        <v>0</v>
      </c>
      <c r="K60" s="5">
        <f t="shared" ca="1" si="13"/>
        <v>0</v>
      </c>
      <c r="L60" s="5">
        <f t="shared" ca="1" si="4"/>
        <v>0</v>
      </c>
      <c r="M60" s="25">
        <f t="shared" ca="1" si="5"/>
        <v>21.643835616438356</v>
      </c>
      <c r="P60" s="7"/>
      <c r="Q60" s="7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0"/>
      <c r="DN60" s="10"/>
    </row>
    <row r="61" spans="2:118" ht="13.2" hidden="1" customHeight="1">
      <c r="B61" s="21"/>
      <c r="E61" s="5">
        <v>57</v>
      </c>
      <c r="F61" s="5">
        <f t="shared" ca="1" si="6"/>
        <v>0</v>
      </c>
      <c r="G61" s="5">
        <f t="shared" ca="1" si="8"/>
        <v>790</v>
      </c>
      <c r="H61" s="5">
        <f t="shared" ca="1" si="11"/>
        <v>790</v>
      </c>
      <c r="I61" s="5">
        <f t="shared" ca="1" si="9"/>
        <v>0</v>
      </c>
      <c r="J61" s="5">
        <f t="shared" ca="1" si="12"/>
        <v>0</v>
      </c>
      <c r="K61" s="5">
        <f t="shared" ca="1" si="13"/>
        <v>0</v>
      </c>
      <c r="L61" s="5">
        <f t="shared" ca="1" si="4"/>
        <v>0</v>
      </c>
      <c r="M61" s="25">
        <f t="shared" ca="1" si="5"/>
        <v>21.643835616438356</v>
      </c>
      <c r="P61" s="7"/>
      <c r="Q61" s="7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0"/>
      <c r="DN61" s="10"/>
    </row>
    <row r="62" spans="2:118" ht="13.2" hidden="1" customHeight="1">
      <c r="B62" s="21"/>
      <c r="E62" s="5">
        <v>58</v>
      </c>
      <c r="F62" s="5">
        <f t="shared" ca="1" si="6"/>
        <v>120</v>
      </c>
      <c r="G62" s="5">
        <f t="shared" ca="1" si="8"/>
        <v>790</v>
      </c>
      <c r="H62" s="5">
        <f t="shared" ca="1" si="11"/>
        <v>670</v>
      </c>
      <c r="I62" s="5">
        <f t="shared" ca="1" si="9"/>
        <v>0</v>
      </c>
      <c r="J62" s="5">
        <f t="shared" ca="1" si="12"/>
        <v>0</v>
      </c>
      <c r="K62" s="5">
        <f t="shared" ca="1" si="13"/>
        <v>0</v>
      </c>
      <c r="L62" s="5">
        <f t="shared" ca="1" si="4"/>
        <v>0</v>
      </c>
      <c r="M62" s="25">
        <f t="shared" ca="1" si="5"/>
        <v>18.356164383561644</v>
      </c>
      <c r="P62" s="7"/>
      <c r="Q62" s="7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0"/>
      <c r="DN62" s="10"/>
    </row>
    <row r="63" spans="2:118" ht="13.2" hidden="1" customHeight="1">
      <c r="B63" s="21"/>
      <c r="E63" s="5">
        <v>59</v>
      </c>
      <c r="F63" s="5">
        <f t="shared" ca="1" si="6"/>
        <v>100</v>
      </c>
      <c r="G63" s="5">
        <f t="shared" ca="1" si="8"/>
        <v>670</v>
      </c>
      <c r="H63" s="5">
        <f t="shared" ca="1" si="11"/>
        <v>570</v>
      </c>
      <c r="I63" s="5">
        <f t="shared" ca="1" si="9"/>
        <v>0</v>
      </c>
      <c r="J63" s="5">
        <f t="shared" ca="1" si="12"/>
        <v>0</v>
      </c>
      <c r="K63" s="5">
        <f t="shared" ca="1" si="13"/>
        <v>0</v>
      </c>
      <c r="L63" s="5">
        <f t="shared" ca="1" si="4"/>
        <v>0</v>
      </c>
      <c r="M63" s="25">
        <f t="shared" ca="1" si="5"/>
        <v>15.616438356164382</v>
      </c>
      <c r="P63" s="7"/>
      <c r="Q63" s="7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0"/>
      <c r="DN63" s="10"/>
    </row>
    <row r="64" spans="2:118" ht="13.2" hidden="1" customHeight="1">
      <c r="B64" s="21"/>
      <c r="E64" s="5">
        <v>60</v>
      </c>
      <c r="F64" s="5">
        <f t="shared" ca="1" si="6"/>
        <v>110</v>
      </c>
      <c r="G64" s="5">
        <f t="shared" ca="1" si="8"/>
        <v>570</v>
      </c>
      <c r="H64" s="5">
        <f t="shared" ca="1" si="11"/>
        <v>460</v>
      </c>
      <c r="I64" s="5">
        <f t="shared" ca="1" si="9"/>
        <v>0</v>
      </c>
      <c r="J64" s="5">
        <f t="shared" ca="1" si="12"/>
        <v>0</v>
      </c>
      <c r="K64" s="5">
        <f t="shared" ca="1" si="13"/>
        <v>0</v>
      </c>
      <c r="L64" s="5">
        <f t="shared" ca="1" si="4"/>
        <v>0</v>
      </c>
      <c r="M64" s="25">
        <f t="shared" ca="1" si="5"/>
        <v>12.602739726027396</v>
      </c>
      <c r="P64" s="7"/>
      <c r="Q64" s="7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0"/>
      <c r="DN64" s="10"/>
    </row>
    <row r="65" spans="2:118" ht="13.2" hidden="1" customHeight="1">
      <c r="B65" s="21"/>
      <c r="E65" s="5">
        <v>61</v>
      </c>
      <c r="F65" s="5">
        <f t="shared" ca="1" si="6"/>
        <v>110</v>
      </c>
      <c r="G65" s="5">
        <f t="shared" ca="1" si="8"/>
        <v>460</v>
      </c>
      <c r="H65" s="5">
        <f t="shared" ca="1" si="11"/>
        <v>350</v>
      </c>
      <c r="I65" s="5">
        <f t="shared" ca="1" si="9"/>
        <v>0</v>
      </c>
      <c r="J65" s="5">
        <f t="shared" ca="1" si="12"/>
        <v>0</v>
      </c>
      <c r="K65" s="5">
        <f t="shared" ca="1" si="13"/>
        <v>0</v>
      </c>
      <c r="L65" s="5">
        <f t="shared" ca="1" si="4"/>
        <v>0</v>
      </c>
      <c r="M65" s="25">
        <f t="shared" ca="1" si="5"/>
        <v>9.5890410958904102</v>
      </c>
      <c r="P65" s="7"/>
      <c r="Q65" s="7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0"/>
      <c r="DN65" s="10"/>
    </row>
    <row r="66" spans="2:118" ht="13.2" hidden="1" customHeight="1">
      <c r="B66" s="21"/>
      <c r="E66" s="5">
        <v>62</v>
      </c>
      <c r="F66" s="5">
        <f t="shared" ca="1" si="6"/>
        <v>0</v>
      </c>
      <c r="G66" s="5">
        <f t="shared" ca="1" si="8"/>
        <v>350</v>
      </c>
      <c r="H66" s="5">
        <f t="shared" ca="1" si="11"/>
        <v>350</v>
      </c>
      <c r="I66" s="5">
        <f t="shared" ca="1" si="9"/>
        <v>0</v>
      </c>
      <c r="J66" s="5">
        <f t="shared" ca="1" si="12"/>
        <v>0</v>
      </c>
      <c r="K66" s="5">
        <f t="shared" ca="1" si="13"/>
        <v>0</v>
      </c>
      <c r="L66" s="5">
        <f t="shared" ca="1" si="4"/>
        <v>0</v>
      </c>
      <c r="M66" s="25">
        <f t="shared" ca="1" si="5"/>
        <v>9.5890410958904102</v>
      </c>
      <c r="P66" s="7"/>
      <c r="Q66" s="7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0"/>
      <c r="DN66" s="10"/>
    </row>
    <row r="67" spans="2:118" ht="13.2" hidden="1" customHeight="1">
      <c r="B67" s="21"/>
      <c r="E67" s="5">
        <v>63</v>
      </c>
      <c r="F67" s="5">
        <f t="shared" ca="1" si="6"/>
        <v>110</v>
      </c>
      <c r="G67" s="5">
        <f t="shared" ca="1" si="8"/>
        <v>350</v>
      </c>
      <c r="H67" s="5">
        <f t="shared" ca="1" si="11"/>
        <v>240</v>
      </c>
      <c r="I67" s="5">
        <f t="shared" ca="1" si="9"/>
        <v>0</v>
      </c>
      <c r="J67" s="5">
        <f t="shared" ca="1" si="12"/>
        <v>0</v>
      </c>
      <c r="K67" s="5">
        <f t="shared" ca="1" si="13"/>
        <v>0</v>
      </c>
      <c r="L67" s="5">
        <f t="shared" ca="1" si="4"/>
        <v>0</v>
      </c>
      <c r="M67" s="25">
        <f t="shared" ca="1" si="5"/>
        <v>6.5753424657534243</v>
      </c>
      <c r="Q67" s="7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0"/>
    </row>
    <row r="68" spans="2:118" ht="13.2" hidden="1" customHeight="1">
      <c r="B68" s="21"/>
      <c r="E68" s="5">
        <v>64</v>
      </c>
      <c r="F68" s="5">
        <f t="shared" ca="1" si="6"/>
        <v>100</v>
      </c>
      <c r="G68" s="5">
        <f t="shared" ca="1" si="8"/>
        <v>240</v>
      </c>
      <c r="H68" s="5">
        <f t="shared" ca="1" si="11"/>
        <v>140</v>
      </c>
      <c r="I68" s="5">
        <f t="shared" ca="1" si="9"/>
        <v>0</v>
      </c>
      <c r="J68" s="5">
        <f t="shared" ca="1" si="12"/>
        <v>0</v>
      </c>
      <c r="K68" s="5">
        <f t="shared" ca="1" si="13"/>
        <v>0</v>
      </c>
      <c r="L68" s="5">
        <f t="shared" ca="1" si="4"/>
        <v>0</v>
      </c>
      <c r="M68" s="25">
        <f t="shared" ca="1" si="5"/>
        <v>3.8356164383561642</v>
      </c>
      <c r="Q68" s="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0"/>
    </row>
    <row r="69" spans="2:118" ht="13.2" hidden="1" customHeight="1">
      <c r="B69" s="21"/>
      <c r="E69" s="5">
        <v>65</v>
      </c>
      <c r="F69" s="5">
        <f t="shared" ref="F69:F132" ca="1" si="14">INDEX($S$23:$S$27,MATCH(RAND(),$U$22:$U$27,1))</f>
        <v>0</v>
      </c>
      <c r="G69" s="5">
        <f t="shared" ca="1" si="8"/>
        <v>140</v>
      </c>
      <c r="H69" s="5">
        <f t="shared" ref="H69" ca="1" si="15">IF(G69-F69&gt;0,G69-F69,0)</f>
        <v>140</v>
      </c>
      <c r="I69" s="5">
        <f t="shared" ca="1" si="9"/>
        <v>0</v>
      </c>
      <c r="J69" s="5">
        <f t="shared" ref="J69" ca="1" si="16">I69*INT(RAND()*2)</f>
        <v>0</v>
      </c>
      <c r="K69" s="5">
        <f t="shared" ref="K69:K132" ca="1" si="17">IF(G69&lt;F69,1,0)</f>
        <v>0</v>
      </c>
      <c r="L69" s="5">
        <f t="shared" ref="L69:L132" ca="1" si="18">I69*$C$4</f>
        <v>0</v>
      </c>
      <c r="M69" s="25">
        <f t="shared" ref="M69:M132" ca="1" si="19">H69*$C$7</f>
        <v>3.8356164383561642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0"/>
    </row>
    <row r="70" spans="2:118" ht="13.2" hidden="1" customHeight="1">
      <c r="B70" s="21"/>
      <c r="E70" s="5">
        <v>66</v>
      </c>
      <c r="F70" s="5">
        <f t="shared" ca="1" si="14"/>
        <v>90</v>
      </c>
      <c r="G70" s="5">
        <f t="shared" ca="1" si="8"/>
        <v>140</v>
      </c>
      <c r="H70" s="5">
        <f t="shared" ref="H70:H133" ca="1" si="20">IF(G70-F70&gt;0,G70-F70,0)</f>
        <v>50</v>
      </c>
      <c r="I70" s="5">
        <f t="shared" ca="1" si="9"/>
        <v>1</v>
      </c>
      <c r="J70" s="5">
        <f t="shared" ref="J70:J133" ca="1" si="21">I70*INT(RAND()*2)</f>
        <v>1</v>
      </c>
      <c r="K70" s="5">
        <f t="shared" ca="1" si="17"/>
        <v>0</v>
      </c>
      <c r="L70" s="5">
        <f t="shared" ca="1" si="18"/>
        <v>200</v>
      </c>
      <c r="M70" s="25">
        <f t="shared" ca="1" si="19"/>
        <v>1.3698630136986301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0"/>
    </row>
    <row r="71" spans="2:118" ht="13.2" hidden="1" customHeight="1">
      <c r="B71" s="21"/>
      <c r="E71" s="5">
        <v>67</v>
      </c>
      <c r="F71" s="5">
        <f t="shared" ca="1" si="14"/>
        <v>110</v>
      </c>
      <c r="G71" s="5">
        <f t="shared" ref="G71:G134" ca="1" si="22">H70+IF(J70=0,I70*$C$9,0)+IF(J69=1,$C$9,0)</f>
        <v>50</v>
      </c>
      <c r="H71" s="5">
        <f t="shared" ca="1" si="20"/>
        <v>0</v>
      </c>
      <c r="I71" s="5">
        <f t="shared" ref="I71:I134" ca="1" si="23">IF(AND(H71&lt;$C$3,J70=0),1,0)</f>
        <v>0</v>
      </c>
      <c r="J71" s="5">
        <f t="shared" ca="1" si="21"/>
        <v>0</v>
      </c>
      <c r="K71" s="5">
        <f t="shared" ca="1" si="17"/>
        <v>1</v>
      </c>
      <c r="L71" s="5">
        <f t="shared" ca="1" si="18"/>
        <v>0</v>
      </c>
      <c r="M71" s="25">
        <f t="shared" ca="1" si="19"/>
        <v>0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0"/>
    </row>
    <row r="72" spans="2:118" ht="13.2" hidden="1" customHeight="1">
      <c r="B72" s="21"/>
      <c r="E72" s="5">
        <v>68</v>
      </c>
      <c r="F72" s="5">
        <f t="shared" ca="1" si="14"/>
        <v>100</v>
      </c>
      <c r="G72" s="5">
        <f t="shared" ca="1" si="22"/>
        <v>1000</v>
      </c>
      <c r="H72" s="5">
        <f t="shared" ca="1" si="20"/>
        <v>900</v>
      </c>
      <c r="I72" s="5">
        <f t="shared" ca="1" si="23"/>
        <v>0</v>
      </c>
      <c r="J72" s="5">
        <f t="shared" ca="1" si="21"/>
        <v>0</v>
      </c>
      <c r="K72" s="5">
        <f t="shared" ca="1" si="17"/>
        <v>0</v>
      </c>
      <c r="L72" s="5">
        <f t="shared" ca="1" si="18"/>
        <v>0</v>
      </c>
      <c r="M72" s="25">
        <f t="shared" ca="1" si="19"/>
        <v>24.657534246575342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0"/>
    </row>
    <row r="73" spans="2:118" ht="13.2" hidden="1" customHeight="1">
      <c r="B73" s="21"/>
      <c r="E73" s="5">
        <v>69</v>
      </c>
      <c r="F73" s="5">
        <f t="shared" ca="1" si="14"/>
        <v>110</v>
      </c>
      <c r="G73" s="5">
        <f t="shared" ca="1" si="22"/>
        <v>900</v>
      </c>
      <c r="H73" s="5">
        <f t="shared" ca="1" si="20"/>
        <v>790</v>
      </c>
      <c r="I73" s="5">
        <f t="shared" ca="1" si="23"/>
        <v>0</v>
      </c>
      <c r="J73" s="5">
        <f t="shared" ca="1" si="21"/>
        <v>0</v>
      </c>
      <c r="K73" s="5">
        <f t="shared" ca="1" si="17"/>
        <v>0</v>
      </c>
      <c r="L73" s="5">
        <f t="shared" ca="1" si="18"/>
        <v>0</v>
      </c>
      <c r="M73" s="25">
        <f t="shared" ca="1" si="19"/>
        <v>21.643835616438356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</row>
    <row r="74" spans="2:118" ht="13.2" hidden="1" customHeight="1">
      <c r="B74" s="21"/>
      <c r="E74" s="5">
        <v>70</v>
      </c>
      <c r="F74" s="5">
        <f t="shared" ca="1" si="14"/>
        <v>120</v>
      </c>
      <c r="G74" s="5">
        <f t="shared" ca="1" si="22"/>
        <v>790</v>
      </c>
      <c r="H74" s="5">
        <f t="shared" ca="1" si="20"/>
        <v>670</v>
      </c>
      <c r="I74" s="5">
        <f t="shared" ca="1" si="23"/>
        <v>0</v>
      </c>
      <c r="J74" s="5">
        <f t="shared" ca="1" si="21"/>
        <v>0</v>
      </c>
      <c r="K74" s="5">
        <f t="shared" ca="1" si="17"/>
        <v>0</v>
      </c>
      <c r="L74" s="5">
        <f t="shared" ca="1" si="18"/>
        <v>0</v>
      </c>
      <c r="M74" s="25">
        <f t="shared" ca="1" si="19"/>
        <v>18.356164383561644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</row>
    <row r="75" spans="2:118" ht="13.2" hidden="1" customHeight="1">
      <c r="B75" s="21"/>
      <c r="E75" s="5">
        <v>71</v>
      </c>
      <c r="F75" s="5">
        <f t="shared" ca="1" si="14"/>
        <v>110</v>
      </c>
      <c r="G75" s="5">
        <f t="shared" ca="1" si="22"/>
        <v>670</v>
      </c>
      <c r="H75" s="5">
        <f t="shared" ca="1" si="20"/>
        <v>560</v>
      </c>
      <c r="I75" s="5">
        <f t="shared" ca="1" si="23"/>
        <v>0</v>
      </c>
      <c r="J75" s="5">
        <f t="shared" ca="1" si="21"/>
        <v>0</v>
      </c>
      <c r="K75" s="5">
        <f t="shared" ca="1" si="17"/>
        <v>0</v>
      </c>
      <c r="L75" s="5">
        <f t="shared" ca="1" si="18"/>
        <v>0</v>
      </c>
      <c r="M75" s="25">
        <f t="shared" ca="1" si="19"/>
        <v>15.342465753424657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</row>
    <row r="76" spans="2:118" ht="13.2" hidden="1" customHeight="1">
      <c r="B76" s="21"/>
      <c r="E76" s="5">
        <v>72</v>
      </c>
      <c r="F76" s="5">
        <f t="shared" ca="1" si="14"/>
        <v>120</v>
      </c>
      <c r="G76" s="5">
        <f t="shared" ca="1" si="22"/>
        <v>560</v>
      </c>
      <c r="H76" s="5">
        <f t="shared" ca="1" si="20"/>
        <v>440</v>
      </c>
      <c r="I76" s="5">
        <f t="shared" ca="1" si="23"/>
        <v>0</v>
      </c>
      <c r="J76" s="5">
        <f t="shared" ca="1" si="21"/>
        <v>0</v>
      </c>
      <c r="K76" s="5">
        <f t="shared" ca="1" si="17"/>
        <v>0</v>
      </c>
      <c r="L76" s="5">
        <f t="shared" ca="1" si="18"/>
        <v>0</v>
      </c>
      <c r="M76" s="25">
        <f t="shared" ca="1" si="19"/>
        <v>12.054794520547944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</row>
    <row r="77" spans="2:118" ht="13.2" hidden="1" customHeight="1">
      <c r="B77" s="21"/>
      <c r="E77" s="5">
        <v>73</v>
      </c>
      <c r="F77" s="5">
        <f t="shared" ca="1" si="14"/>
        <v>0</v>
      </c>
      <c r="G77" s="5">
        <f t="shared" ca="1" si="22"/>
        <v>440</v>
      </c>
      <c r="H77" s="5">
        <f t="shared" ca="1" si="20"/>
        <v>440</v>
      </c>
      <c r="I77" s="5">
        <f t="shared" ca="1" si="23"/>
        <v>0</v>
      </c>
      <c r="J77" s="5">
        <f t="shared" ca="1" si="21"/>
        <v>0</v>
      </c>
      <c r="K77" s="5">
        <f t="shared" ca="1" si="17"/>
        <v>0</v>
      </c>
      <c r="L77" s="5">
        <f t="shared" ca="1" si="18"/>
        <v>0</v>
      </c>
      <c r="M77" s="25">
        <f t="shared" ca="1" si="19"/>
        <v>12.054794520547944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</row>
    <row r="78" spans="2:118" ht="13.2" hidden="1" customHeight="1">
      <c r="B78" s="21"/>
      <c r="E78" s="5">
        <v>74</v>
      </c>
      <c r="F78" s="5">
        <f t="shared" ca="1" si="14"/>
        <v>110</v>
      </c>
      <c r="G78" s="5">
        <f t="shared" ca="1" si="22"/>
        <v>440</v>
      </c>
      <c r="H78" s="5">
        <f t="shared" ca="1" si="20"/>
        <v>330</v>
      </c>
      <c r="I78" s="5">
        <f t="shared" ca="1" si="23"/>
        <v>0</v>
      </c>
      <c r="J78" s="5">
        <f t="shared" ca="1" si="21"/>
        <v>0</v>
      </c>
      <c r="K78" s="5">
        <f t="shared" ca="1" si="17"/>
        <v>0</v>
      </c>
      <c r="L78" s="5">
        <f t="shared" ca="1" si="18"/>
        <v>0</v>
      </c>
      <c r="M78" s="25">
        <f t="shared" ca="1" si="19"/>
        <v>9.0410958904109577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</row>
    <row r="79" spans="2:118" ht="13.2" hidden="1" customHeight="1">
      <c r="B79" s="21"/>
      <c r="E79" s="5">
        <v>75</v>
      </c>
      <c r="F79" s="5">
        <f t="shared" ca="1" si="14"/>
        <v>120</v>
      </c>
      <c r="G79" s="5">
        <f t="shared" ca="1" si="22"/>
        <v>330</v>
      </c>
      <c r="H79" s="5">
        <f t="shared" ca="1" si="20"/>
        <v>210</v>
      </c>
      <c r="I79" s="5">
        <f t="shared" ca="1" si="23"/>
        <v>0</v>
      </c>
      <c r="J79" s="5">
        <f t="shared" ca="1" si="21"/>
        <v>0</v>
      </c>
      <c r="K79" s="5">
        <f t="shared" ca="1" si="17"/>
        <v>0</v>
      </c>
      <c r="L79" s="5">
        <f t="shared" ca="1" si="18"/>
        <v>0</v>
      </c>
      <c r="M79" s="25">
        <f t="shared" ca="1" si="19"/>
        <v>5.7534246575342465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</row>
    <row r="80" spans="2:118" ht="13.2" hidden="1" customHeight="1">
      <c r="B80" s="21"/>
      <c r="E80" s="5">
        <v>76</v>
      </c>
      <c r="F80" s="5">
        <f t="shared" ca="1" si="14"/>
        <v>120</v>
      </c>
      <c r="G80" s="5">
        <f t="shared" ca="1" si="22"/>
        <v>210</v>
      </c>
      <c r="H80" s="5">
        <f t="shared" ca="1" si="20"/>
        <v>90</v>
      </c>
      <c r="I80" s="5">
        <f t="shared" ca="1" si="23"/>
        <v>1</v>
      </c>
      <c r="J80" s="5">
        <f t="shared" ca="1" si="21"/>
        <v>0</v>
      </c>
      <c r="K80" s="5">
        <f t="shared" ca="1" si="17"/>
        <v>0</v>
      </c>
      <c r="L80" s="5">
        <f t="shared" ca="1" si="18"/>
        <v>200</v>
      </c>
      <c r="M80" s="25">
        <f t="shared" ca="1" si="19"/>
        <v>2.4657534246575343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</row>
    <row r="81" spans="2:116" ht="13.2" hidden="1" customHeight="1">
      <c r="B81" s="21"/>
      <c r="E81" s="5">
        <v>77</v>
      </c>
      <c r="F81" s="5">
        <f t="shared" ca="1" si="14"/>
        <v>100</v>
      </c>
      <c r="G81" s="5">
        <f t="shared" ca="1" si="22"/>
        <v>1090</v>
      </c>
      <c r="H81" s="5">
        <f t="shared" ca="1" si="20"/>
        <v>990</v>
      </c>
      <c r="I81" s="5">
        <f t="shared" ca="1" si="23"/>
        <v>0</v>
      </c>
      <c r="J81" s="5">
        <f t="shared" ca="1" si="21"/>
        <v>0</v>
      </c>
      <c r="K81" s="5">
        <f t="shared" ca="1" si="17"/>
        <v>0</v>
      </c>
      <c r="L81" s="5">
        <f t="shared" ca="1" si="18"/>
        <v>0</v>
      </c>
      <c r="M81" s="25">
        <f t="shared" ca="1" si="19"/>
        <v>27.123287671232877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</row>
    <row r="82" spans="2:116" ht="13.2" hidden="1" customHeight="1">
      <c r="B82" s="21"/>
      <c r="E82" s="5">
        <v>78</v>
      </c>
      <c r="F82" s="5">
        <f t="shared" ca="1" si="14"/>
        <v>100</v>
      </c>
      <c r="G82" s="5">
        <f t="shared" ca="1" si="22"/>
        <v>990</v>
      </c>
      <c r="H82" s="5">
        <f t="shared" ca="1" si="20"/>
        <v>890</v>
      </c>
      <c r="I82" s="5">
        <f t="shared" ca="1" si="23"/>
        <v>0</v>
      </c>
      <c r="J82" s="5">
        <f t="shared" ca="1" si="21"/>
        <v>0</v>
      </c>
      <c r="K82" s="5">
        <f t="shared" ca="1" si="17"/>
        <v>0</v>
      </c>
      <c r="L82" s="5">
        <f t="shared" ca="1" si="18"/>
        <v>0</v>
      </c>
      <c r="M82" s="25">
        <f t="shared" ca="1" si="19"/>
        <v>24.383561643835616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</row>
    <row r="83" spans="2:116" ht="13.2" hidden="1" customHeight="1">
      <c r="B83" s="21"/>
      <c r="E83" s="5">
        <v>79</v>
      </c>
      <c r="F83" s="5">
        <f t="shared" ca="1" si="14"/>
        <v>90</v>
      </c>
      <c r="G83" s="5">
        <f t="shared" ca="1" si="22"/>
        <v>890</v>
      </c>
      <c r="H83" s="5">
        <f t="shared" ca="1" si="20"/>
        <v>800</v>
      </c>
      <c r="I83" s="5">
        <f t="shared" ca="1" si="23"/>
        <v>0</v>
      </c>
      <c r="J83" s="5">
        <f t="shared" ca="1" si="21"/>
        <v>0</v>
      </c>
      <c r="K83" s="5">
        <f t="shared" ca="1" si="17"/>
        <v>0</v>
      </c>
      <c r="L83" s="5">
        <f t="shared" ca="1" si="18"/>
        <v>0</v>
      </c>
      <c r="M83" s="25">
        <f t="shared" ca="1" si="19"/>
        <v>21.917808219178081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</row>
    <row r="84" spans="2:116" ht="13.2" hidden="1" customHeight="1">
      <c r="B84" s="21"/>
      <c r="E84" s="5">
        <v>80</v>
      </c>
      <c r="F84" s="5">
        <f t="shared" ca="1" si="14"/>
        <v>120</v>
      </c>
      <c r="G84" s="5">
        <f t="shared" ca="1" si="22"/>
        <v>800</v>
      </c>
      <c r="H84" s="5">
        <f t="shared" ca="1" si="20"/>
        <v>680</v>
      </c>
      <c r="I84" s="5">
        <f t="shared" ca="1" si="23"/>
        <v>0</v>
      </c>
      <c r="J84" s="5">
        <f t="shared" ca="1" si="21"/>
        <v>0</v>
      </c>
      <c r="K84" s="5">
        <f t="shared" ca="1" si="17"/>
        <v>0</v>
      </c>
      <c r="L84" s="5">
        <f t="shared" ca="1" si="18"/>
        <v>0</v>
      </c>
      <c r="M84" s="25">
        <f t="shared" ca="1" si="19"/>
        <v>18.63013698630137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</row>
    <row r="85" spans="2:116" ht="13.2" hidden="1" customHeight="1">
      <c r="B85" s="21"/>
      <c r="E85" s="5">
        <v>81</v>
      </c>
      <c r="F85" s="5">
        <f t="shared" ca="1" si="14"/>
        <v>100</v>
      </c>
      <c r="G85" s="5">
        <f t="shared" ca="1" si="22"/>
        <v>680</v>
      </c>
      <c r="H85" s="5">
        <f t="shared" ca="1" si="20"/>
        <v>580</v>
      </c>
      <c r="I85" s="5">
        <f t="shared" ca="1" si="23"/>
        <v>0</v>
      </c>
      <c r="J85" s="5">
        <f t="shared" ca="1" si="21"/>
        <v>0</v>
      </c>
      <c r="K85" s="5">
        <f t="shared" ca="1" si="17"/>
        <v>0</v>
      </c>
      <c r="L85" s="5">
        <f t="shared" ca="1" si="18"/>
        <v>0</v>
      </c>
      <c r="M85" s="25">
        <f t="shared" ca="1" si="19"/>
        <v>15.890410958904109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</row>
    <row r="86" spans="2:116" ht="13.2" hidden="1" customHeight="1">
      <c r="B86" s="21"/>
      <c r="E86" s="5">
        <v>82</v>
      </c>
      <c r="F86" s="5">
        <f t="shared" ca="1" si="14"/>
        <v>120</v>
      </c>
      <c r="G86" s="5">
        <f t="shared" ca="1" si="22"/>
        <v>580</v>
      </c>
      <c r="H86" s="5">
        <f t="shared" ca="1" si="20"/>
        <v>460</v>
      </c>
      <c r="I86" s="5">
        <f t="shared" ca="1" si="23"/>
        <v>0</v>
      </c>
      <c r="J86" s="5">
        <f t="shared" ca="1" si="21"/>
        <v>0</v>
      </c>
      <c r="K86" s="5">
        <f t="shared" ca="1" si="17"/>
        <v>0</v>
      </c>
      <c r="L86" s="5">
        <f t="shared" ca="1" si="18"/>
        <v>0</v>
      </c>
      <c r="M86" s="25">
        <f t="shared" ca="1" si="19"/>
        <v>12.602739726027396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</row>
    <row r="87" spans="2:116" ht="13.2" hidden="1" customHeight="1">
      <c r="B87" s="21"/>
      <c r="E87" s="5">
        <v>83</v>
      </c>
      <c r="F87" s="5">
        <f t="shared" ca="1" si="14"/>
        <v>90</v>
      </c>
      <c r="G87" s="5">
        <f t="shared" ca="1" si="22"/>
        <v>460</v>
      </c>
      <c r="H87" s="5">
        <f t="shared" ca="1" si="20"/>
        <v>370</v>
      </c>
      <c r="I87" s="5">
        <f t="shared" ca="1" si="23"/>
        <v>0</v>
      </c>
      <c r="J87" s="5">
        <f t="shared" ca="1" si="21"/>
        <v>0</v>
      </c>
      <c r="K87" s="5">
        <f t="shared" ca="1" si="17"/>
        <v>0</v>
      </c>
      <c r="L87" s="5">
        <f t="shared" ca="1" si="18"/>
        <v>0</v>
      </c>
      <c r="M87" s="25">
        <f t="shared" ca="1" si="19"/>
        <v>10.136986301369863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</row>
    <row r="88" spans="2:116" ht="13.2" hidden="1" customHeight="1">
      <c r="B88" s="21"/>
      <c r="E88" s="5">
        <v>84</v>
      </c>
      <c r="F88" s="5">
        <f t="shared" ca="1" si="14"/>
        <v>120</v>
      </c>
      <c r="G88" s="5">
        <f t="shared" ca="1" si="22"/>
        <v>370</v>
      </c>
      <c r="H88" s="5">
        <f t="shared" ca="1" si="20"/>
        <v>250</v>
      </c>
      <c r="I88" s="5">
        <f t="shared" ca="1" si="23"/>
        <v>0</v>
      </c>
      <c r="J88" s="5">
        <f t="shared" ca="1" si="21"/>
        <v>0</v>
      </c>
      <c r="K88" s="5">
        <f t="shared" ca="1" si="17"/>
        <v>0</v>
      </c>
      <c r="L88" s="5">
        <f t="shared" ca="1" si="18"/>
        <v>0</v>
      </c>
      <c r="M88" s="25">
        <f t="shared" ca="1" si="19"/>
        <v>6.8493150684931505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</row>
    <row r="89" spans="2:116" ht="13.2" hidden="1" customHeight="1">
      <c r="B89" s="21"/>
      <c r="E89" s="5">
        <v>85</v>
      </c>
      <c r="F89" s="5">
        <f t="shared" ca="1" si="14"/>
        <v>90</v>
      </c>
      <c r="G89" s="5">
        <f t="shared" ca="1" si="22"/>
        <v>250</v>
      </c>
      <c r="H89" s="5">
        <f t="shared" ca="1" si="20"/>
        <v>160</v>
      </c>
      <c r="I89" s="5">
        <f t="shared" ca="1" si="23"/>
        <v>0</v>
      </c>
      <c r="J89" s="5">
        <f t="shared" ca="1" si="21"/>
        <v>0</v>
      </c>
      <c r="K89" s="5">
        <f t="shared" ca="1" si="17"/>
        <v>0</v>
      </c>
      <c r="L89" s="5">
        <f t="shared" ca="1" si="18"/>
        <v>0</v>
      </c>
      <c r="M89" s="25">
        <f t="shared" ca="1" si="19"/>
        <v>4.3835616438356162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</row>
    <row r="90" spans="2:116" ht="13.2" hidden="1" customHeight="1">
      <c r="B90" s="21"/>
      <c r="E90" s="5">
        <v>86</v>
      </c>
      <c r="F90" s="5">
        <f t="shared" ca="1" si="14"/>
        <v>0</v>
      </c>
      <c r="G90" s="5">
        <f t="shared" ca="1" si="22"/>
        <v>160</v>
      </c>
      <c r="H90" s="5">
        <f t="shared" ca="1" si="20"/>
        <v>160</v>
      </c>
      <c r="I90" s="5">
        <f t="shared" ca="1" si="23"/>
        <v>0</v>
      </c>
      <c r="J90" s="5">
        <f t="shared" ca="1" si="21"/>
        <v>0</v>
      </c>
      <c r="K90" s="5">
        <f t="shared" ca="1" si="17"/>
        <v>0</v>
      </c>
      <c r="L90" s="5">
        <f t="shared" ca="1" si="18"/>
        <v>0</v>
      </c>
      <c r="M90" s="25">
        <f t="shared" ca="1" si="19"/>
        <v>4.3835616438356162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</row>
    <row r="91" spans="2:116" ht="13.2" hidden="1" customHeight="1">
      <c r="B91" s="21"/>
      <c r="E91" s="5">
        <v>87</v>
      </c>
      <c r="F91" s="5">
        <f t="shared" ca="1" si="14"/>
        <v>110</v>
      </c>
      <c r="G91" s="5">
        <f t="shared" ca="1" si="22"/>
        <v>160</v>
      </c>
      <c r="H91" s="5">
        <f t="shared" ca="1" si="20"/>
        <v>50</v>
      </c>
      <c r="I91" s="5">
        <f t="shared" ca="1" si="23"/>
        <v>1</v>
      </c>
      <c r="J91" s="5">
        <f t="shared" ca="1" si="21"/>
        <v>1</v>
      </c>
      <c r="K91" s="5">
        <f t="shared" ca="1" si="17"/>
        <v>0</v>
      </c>
      <c r="L91" s="5">
        <f t="shared" ca="1" si="18"/>
        <v>200</v>
      </c>
      <c r="M91" s="25">
        <f t="shared" ca="1" si="19"/>
        <v>1.3698630136986301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</row>
    <row r="92" spans="2:116" ht="13.2" hidden="1" customHeight="1">
      <c r="B92" s="21"/>
      <c r="E92" s="5">
        <v>88</v>
      </c>
      <c r="F92" s="5">
        <f t="shared" ca="1" si="14"/>
        <v>100</v>
      </c>
      <c r="G92" s="5">
        <f t="shared" ca="1" si="22"/>
        <v>50</v>
      </c>
      <c r="H92" s="5">
        <f t="shared" ca="1" si="20"/>
        <v>0</v>
      </c>
      <c r="I92" s="5">
        <f t="shared" ca="1" si="23"/>
        <v>0</v>
      </c>
      <c r="J92" s="5">
        <f t="shared" ca="1" si="21"/>
        <v>0</v>
      </c>
      <c r="K92" s="5">
        <f t="shared" ca="1" si="17"/>
        <v>1</v>
      </c>
      <c r="L92" s="5">
        <f t="shared" ca="1" si="18"/>
        <v>0</v>
      </c>
      <c r="M92" s="25">
        <f t="shared" ca="1" si="19"/>
        <v>0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</row>
    <row r="93" spans="2:116" ht="13.2" hidden="1" customHeight="1">
      <c r="B93" s="21"/>
      <c r="E93" s="5">
        <v>89</v>
      </c>
      <c r="F93" s="5">
        <f t="shared" ca="1" si="14"/>
        <v>100</v>
      </c>
      <c r="G93" s="5">
        <f t="shared" ca="1" si="22"/>
        <v>1000</v>
      </c>
      <c r="H93" s="5">
        <f t="shared" ca="1" si="20"/>
        <v>900</v>
      </c>
      <c r="I93" s="5">
        <f t="shared" ca="1" si="23"/>
        <v>0</v>
      </c>
      <c r="J93" s="5">
        <f t="shared" ca="1" si="21"/>
        <v>0</v>
      </c>
      <c r="K93" s="5">
        <f t="shared" ca="1" si="17"/>
        <v>0</v>
      </c>
      <c r="L93" s="5">
        <f t="shared" ca="1" si="18"/>
        <v>0</v>
      </c>
      <c r="M93" s="25">
        <f t="shared" ca="1" si="19"/>
        <v>24.657534246575342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</row>
    <row r="94" spans="2:116" ht="13.2" hidden="1" customHeight="1">
      <c r="B94" s="21"/>
      <c r="E94" s="5">
        <v>90</v>
      </c>
      <c r="F94" s="5">
        <f t="shared" ca="1" si="14"/>
        <v>90</v>
      </c>
      <c r="G94" s="5">
        <f t="shared" ca="1" si="22"/>
        <v>900</v>
      </c>
      <c r="H94" s="5">
        <f t="shared" ca="1" si="20"/>
        <v>810</v>
      </c>
      <c r="I94" s="5">
        <f t="shared" ca="1" si="23"/>
        <v>0</v>
      </c>
      <c r="J94" s="5">
        <f t="shared" ca="1" si="21"/>
        <v>0</v>
      </c>
      <c r="K94" s="5">
        <f t="shared" ca="1" si="17"/>
        <v>0</v>
      </c>
      <c r="L94" s="5">
        <f t="shared" ca="1" si="18"/>
        <v>0</v>
      </c>
      <c r="M94" s="25">
        <f t="shared" ca="1" si="19"/>
        <v>22.191780821917806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</row>
    <row r="95" spans="2:116" ht="13.2" hidden="1" customHeight="1">
      <c r="B95" s="21"/>
      <c r="E95" s="5">
        <v>91</v>
      </c>
      <c r="F95" s="5">
        <f t="shared" ca="1" si="14"/>
        <v>100</v>
      </c>
      <c r="G95" s="5">
        <f t="shared" ca="1" si="22"/>
        <v>810</v>
      </c>
      <c r="H95" s="5">
        <f t="shared" ca="1" si="20"/>
        <v>710</v>
      </c>
      <c r="I95" s="5">
        <f t="shared" ca="1" si="23"/>
        <v>0</v>
      </c>
      <c r="J95" s="5">
        <f t="shared" ca="1" si="21"/>
        <v>0</v>
      </c>
      <c r="K95" s="5">
        <f t="shared" ca="1" si="17"/>
        <v>0</v>
      </c>
      <c r="L95" s="5">
        <f t="shared" ca="1" si="18"/>
        <v>0</v>
      </c>
      <c r="M95" s="25">
        <f t="shared" ca="1" si="19"/>
        <v>19.452054794520546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</row>
    <row r="96" spans="2:116" ht="13.2" hidden="1" customHeight="1">
      <c r="B96" s="21"/>
      <c r="E96" s="5">
        <v>92</v>
      </c>
      <c r="F96" s="5">
        <f t="shared" ca="1" si="14"/>
        <v>100</v>
      </c>
      <c r="G96" s="5">
        <f t="shared" ca="1" si="22"/>
        <v>710</v>
      </c>
      <c r="H96" s="5">
        <f t="shared" ca="1" si="20"/>
        <v>610</v>
      </c>
      <c r="I96" s="5">
        <f t="shared" ca="1" si="23"/>
        <v>0</v>
      </c>
      <c r="J96" s="5">
        <f t="shared" ca="1" si="21"/>
        <v>0</v>
      </c>
      <c r="K96" s="5">
        <f t="shared" ca="1" si="17"/>
        <v>0</v>
      </c>
      <c r="L96" s="5">
        <f t="shared" ca="1" si="18"/>
        <v>0</v>
      </c>
      <c r="M96" s="25">
        <f t="shared" ca="1" si="19"/>
        <v>16.712328767123285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</row>
    <row r="97" spans="2:116" ht="13.2" hidden="1" customHeight="1">
      <c r="B97" s="21"/>
      <c r="E97" s="5">
        <v>93</v>
      </c>
      <c r="F97" s="5">
        <f t="shared" ca="1" si="14"/>
        <v>110</v>
      </c>
      <c r="G97" s="5">
        <f t="shared" ca="1" si="22"/>
        <v>610</v>
      </c>
      <c r="H97" s="5">
        <f t="shared" ca="1" si="20"/>
        <v>500</v>
      </c>
      <c r="I97" s="5">
        <f t="shared" ca="1" si="23"/>
        <v>0</v>
      </c>
      <c r="J97" s="5">
        <f t="shared" ca="1" si="21"/>
        <v>0</v>
      </c>
      <c r="K97" s="5">
        <f t="shared" ca="1" si="17"/>
        <v>0</v>
      </c>
      <c r="L97" s="5">
        <f t="shared" ca="1" si="18"/>
        <v>0</v>
      </c>
      <c r="M97" s="25">
        <f t="shared" ca="1" si="19"/>
        <v>13.698630136986301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</row>
    <row r="98" spans="2:116" ht="13.2" hidden="1" customHeight="1">
      <c r="B98" s="21"/>
      <c r="E98" s="5">
        <v>94</v>
      </c>
      <c r="F98" s="5">
        <f t="shared" ca="1" si="14"/>
        <v>100</v>
      </c>
      <c r="G98" s="5">
        <f t="shared" ca="1" si="22"/>
        <v>500</v>
      </c>
      <c r="H98" s="5">
        <f t="shared" ca="1" si="20"/>
        <v>400</v>
      </c>
      <c r="I98" s="5">
        <f t="shared" ca="1" si="23"/>
        <v>0</v>
      </c>
      <c r="J98" s="5">
        <f t="shared" ca="1" si="21"/>
        <v>0</v>
      </c>
      <c r="K98" s="5">
        <f t="shared" ca="1" si="17"/>
        <v>0</v>
      </c>
      <c r="L98" s="5">
        <f t="shared" ca="1" si="18"/>
        <v>0</v>
      </c>
      <c r="M98" s="25">
        <f t="shared" ca="1" si="19"/>
        <v>10.95890410958904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</row>
    <row r="99" spans="2:116" ht="13.2" hidden="1" customHeight="1">
      <c r="B99" s="21"/>
      <c r="E99" s="5">
        <v>95</v>
      </c>
      <c r="F99" s="5">
        <f t="shared" ca="1" si="14"/>
        <v>110</v>
      </c>
      <c r="G99" s="5">
        <f t="shared" ca="1" si="22"/>
        <v>400</v>
      </c>
      <c r="H99" s="5">
        <f t="shared" ca="1" si="20"/>
        <v>290</v>
      </c>
      <c r="I99" s="5">
        <f t="shared" ca="1" si="23"/>
        <v>0</v>
      </c>
      <c r="J99" s="5">
        <f t="shared" ca="1" si="21"/>
        <v>0</v>
      </c>
      <c r="K99" s="5">
        <f t="shared" ca="1" si="17"/>
        <v>0</v>
      </c>
      <c r="L99" s="5">
        <f t="shared" ca="1" si="18"/>
        <v>0</v>
      </c>
      <c r="M99" s="25">
        <f t="shared" ca="1" si="19"/>
        <v>7.9452054794520546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</row>
    <row r="100" spans="2:116" ht="13.2" hidden="1" customHeight="1">
      <c r="B100" s="21"/>
      <c r="E100" s="5">
        <v>96</v>
      </c>
      <c r="F100" s="5">
        <f t="shared" ca="1" si="14"/>
        <v>100</v>
      </c>
      <c r="G100" s="5">
        <f t="shared" ca="1" si="22"/>
        <v>290</v>
      </c>
      <c r="H100" s="5">
        <f t="shared" ca="1" si="20"/>
        <v>190</v>
      </c>
      <c r="I100" s="5">
        <f t="shared" ca="1" si="23"/>
        <v>0</v>
      </c>
      <c r="J100" s="5">
        <f t="shared" ca="1" si="21"/>
        <v>0</v>
      </c>
      <c r="K100" s="5">
        <f t="shared" ca="1" si="17"/>
        <v>0</v>
      </c>
      <c r="L100" s="5">
        <f t="shared" ca="1" si="18"/>
        <v>0</v>
      </c>
      <c r="M100" s="25">
        <f t="shared" ca="1" si="19"/>
        <v>5.205479452054794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</row>
    <row r="101" spans="2:116" ht="13.2" hidden="1" customHeight="1">
      <c r="B101" s="21"/>
      <c r="E101" s="5">
        <v>97</v>
      </c>
      <c r="F101" s="5">
        <f t="shared" ca="1" si="14"/>
        <v>120</v>
      </c>
      <c r="G101" s="5">
        <f t="shared" ca="1" si="22"/>
        <v>190</v>
      </c>
      <c r="H101" s="5">
        <f t="shared" ca="1" si="20"/>
        <v>70</v>
      </c>
      <c r="I101" s="5">
        <f t="shared" ca="1" si="23"/>
        <v>1</v>
      </c>
      <c r="J101" s="5">
        <f t="shared" ca="1" si="21"/>
        <v>0</v>
      </c>
      <c r="K101" s="5">
        <f t="shared" ca="1" si="17"/>
        <v>0</v>
      </c>
      <c r="L101" s="5">
        <f t="shared" ca="1" si="18"/>
        <v>200</v>
      </c>
      <c r="M101" s="25">
        <f t="shared" ca="1" si="19"/>
        <v>1.9178082191780821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</row>
    <row r="102" spans="2:116" ht="13.2" hidden="1" customHeight="1">
      <c r="B102" s="21"/>
      <c r="E102" s="5">
        <v>98</v>
      </c>
      <c r="F102" s="5">
        <f t="shared" ca="1" si="14"/>
        <v>110</v>
      </c>
      <c r="G102" s="5">
        <f t="shared" ca="1" si="22"/>
        <v>1070</v>
      </c>
      <c r="H102" s="5">
        <f t="shared" ca="1" si="20"/>
        <v>960</v>
      </c>
      <c r="I102" s="5">
        <f t="shared" ca="1" si="23"/>
        <v>0</v>
      </c>
      <c r="J102" s="5">
        <f t="shared" ca="1" si="21"/>
        <v>0</v>
      </c>
      <c r="K102" s="5">
        <f t="shared" ca="1" si="17"/>
        <v>0</v>
      </c>
      <c r="L102" s="5">
        <f t="shared" ca="1" si="18"/>
        <v>0</v>
      </c>
      <c r="M102" s="25">
        <f t="shared" ca="1" si="19"/>
        <v>26.301369863013697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</row>
    <row r="103" spans="2:116" ht="13.2" hidden="1" customHeight="1">
      <c r="B103" s="21"/>
      <c r="E103" s="5">
        <v>99</v>
      </c>
      <c r="F103" s="5">
        <f t="shared" ca="1" si="14"/>
        <v>110</v>
      </c>
      <c r="G103" s="5">
        <f t="shared" ca="1" si="22"/>
        <v>960</v>
      </c>
      <c r="H103" s="5">
        <f t="shared" ca="1" si="20"/>
        <v>850</v>
      </c>
      <c r="I103" s="5">
        <f t="shared" ca="1" si="23"/>
        <v>0</v>
      </c>
      <c r="J103" s="5">
        <f t="shared" ca="1" si="21"/>
        <v>0</v>
      </c>
      <c r="K103" s="5">
        <f t="shared" ca="1" si="17"/>
        <v>0</v>
      </c>
      <c r="L103" s="5">
        <f t="shared" ca="1" si="18"/>
        <v>0</v>
      </c>
      <c r="M103" s="25">
        <f t="shared" ca="1" si="19"/>
        <v>23.287671232876711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</row>
    <row r="104" spans="2:116" ht="13.2" hidden="1" customHeight="1">
      <c r="B104" s="21"/>
      <c r="E104" s="5">
        <v>100</v>
      </c>
      <c r="F104" s="5">
        <f t="shared" ca="1" si="14"/>
        <v>0</v>
      </c>
      <c r="G104" s="5">
        <f t="shared" ca="1" si="22"/>
        <v>850</v>
      </c>
      <c r="H104" s="5">
        <f t="shared" ca="1" si="20"/>
        <v>850</v>
      </c>
      <c r="I104" s="5">
        <f t="shared" ca="1" si="23"/>
        <v>0</v>
      </c>
      <c r="J104" s="5">
        <f t="shared" ca="1" si="21"/>
        <v>0</v>
      </c>
      <c r="K104" s="5">
        <f t="shared" ca="1" si="17"/>
        <v>0</v>
      </c>
      <c r="L104" s="5">
        <f t="shared" ca="1" si="18"/>
        <v>0</v>
      </c>
      <c r="M104" s="25">
        <f t="shared" ca="1" si="19"/>
        <v>23.287671232876711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</row>
    <row r="105" spans="2:116" ht="13.2" hidden="1" customHeight="1">
      <c r="B105" s="21"/>
      <c r="E105" s="5">
        <v>101</v>
      </c>
      <c r="F105" s="5">
        <f t="shared" ca="1" si="14"/>
        <v>100</v>
      </c>
      <c r="G105" s="5">
        <f t="shared" ca="1" si="22"/>
        <v>850</v>
      </c>
      <c r="H105" s="5">
        <f t="shared" ca="1" si="20"/>
        <v>750</v>
      </c>
      <c r="I105" s="5">
        <f t="shared" ca="1" si="23"/>
        <v>0</v>
      </c>
      <c r="J105" s="5">
        <f t="shared" ca="1" si="21"/>
        <v>0</v>
      </c>
      <c r="K105" s="5">
        <f t="shared" ca="1" si="17"/>
        <v>0</v>
      </c>
      <c r="L105" s="5">
        <f t="shared" ca="1" si="18"/>
        <v>0</v>
      </c>
      <c r="M105" s="25">
        <f t="shared" ca="1" si="19"/>
        <v>20.547945205479451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</row>
    <row r="106" spans="2:116" ht="13.2" hidden="1" customHeight="1">
      <c r="B106" s="21"/>
      <c r="E106" s="5">
        <v>102</v>
      </c>
      <c r="F106" s="5">
        <f t="shared" ca="1" si="14"/>
        <v>0</v>
      </c>
      <c r="G106" s="5">
        <f t="shared" ca="1" si="22"/>
        <v>750</v>
      </c>
      <c r="H106" s="5">
        <f t="shared" ca="1" si="20"/>
        <v>750</v>
      </c>
      <c r="I106" s="5">
        <f t="shared" ca="1" si="23"/>
        <v>0</v>
      </c>
      <c r="J106" s="5">
        <f t="shared" ca="1" si="21"/>
        <v>0</v>
      </c>
      <c r="K106" s="5">
        <f t="shared" ca="1" si="17"/>
        <v>0</v>
      </c>
      <c r="L106" s="5">
        <f t="shared" ca="1" si="18"/>
        <v>0</v>
      </c>
      <c r="M106" s="25">
        <f t="shared" ca="1" si="19"/>
        <v>20.547945205479451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</row>
    <row r="107" spans="2:116" ht="13.2" hidden="1" customHeight="1">
      <c r="B107" s="21"/>
      <c r="E107" s="5">
        <v>103</v>
      </c>
      <c r="F107" s="5">
        <f t="shared" ca="1" si="14"/>
        <v>100</v>
      </c>
      <c r="G107" s="5">
        <f t="shared" ca="1" si="22"/>
        <v>750</v>
      </c>
      <c r="H107" s="5">
        <f t="shared" ca="1" si="20"/>
        <v>650</v>
      </c>
      <c r="I107" s="5">
        <f t="shared" ca="1" si="23"/>
        <v>0</v>
      </c>
      <c r="J107" s="5">
        <f t="shared" ca="1" si="21"/>
        <v>0</v>
      </c>
      <c r="K107" s="5">
        <f t="shared" ca="1" si="17"/>
        <v>0</v>
      </c>
      <c r="L107" s="5">
        <f t="shared" ca="1" si="18"/>
        <v>0</v>
      </c>
      <c r="M107" s="25">
        <f t="shared" ca="1" si="19"/>
        <v>17.80821917808219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</row>
    <row r="108" spans="2:116" ht="13.2" hidden="1" customHeight="1">
      <c r="B108" s="21"/>
      <c r="E108" s="5">
        <v>104</v>
      </c>
      <c r="F108" s="5">
        <f t="shared" ca="1" si="14"/>
        <v>110</v>
      </c>
      <c r="G108" s="5">
        <f t="shared" ca="1" si="22"/>
        <v>650</v>
      </c>
      <c r="H108" s="5">
        <f t="shared" ca="1" si="20"/>
        <v>540</v>
      </c>
      <c r="I108" s="5">
        <f t="shared" ca="1" si="23"/>
        <v>0</v>
      </c>
      <c r="J108" s="5">
        <f t="shared" ca="1" si="21"/>
        <v>0</v>
      </c>
      <c r="K108" s="5">
        <f t="shared" ca="1" si="17"/>
        <v>0</v>
      </c>
      <c r="L108" s="5">
        <f t="shared" ca="1" si="18"/>
        <v>0</v>
      </c>
      <c r="M108" s="25">
        <f t="shared" ca="1" si="19"/>
        <v>14.794520547945204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</row>
    <row r="109" spans="2:116" ht="13.2" hidden="1" customHeight="1">
      <c r="B109" s="21"/>
      <c r="E109" s="5">
        <v>105</v>
      </c>
      <c r="F109" s="5">
        <f t="shared" ca="1" si="14"/>
        <v>120</v>
      </c>
      <c r="G109" s="5">
        <f t="shared" ca="1" si="22"/>
        <v>540</v>
      </c>
      <c r="H109" s="5">
        <f t="shared" ca="1" si="20"/>
        <v>420</v>
      </c>
      <c r="I109" s="5">
        <f t="shared" ca="1" si="23"/>
        <v>0</v>
      </c>
      <c r="J109" s="5">
        <f t="shared" ca="1" si="21"/>
        <v>0</v>
      </c>
      <c r="K109" s="5">
        <f t="shared" ca="1" si="17"/>
        <v>0</v>
      </c>
      <c r="L109" s="5">
        <f t="shared" ca="1" si="18"/>
        <v>0</v>
      </c>
      <c r="M109" s="25">
        <f t="shared" ca="1" si="19"/>
        <v>11.506849315068493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</row>
    <row r="110" spans="2:116" ht="13.2" hidden="1" customHeight="1">
      <c r="B110" s="21"/>
      <c r="E110" s="5">
        <v>106</v>
      </c>
      <c r="F110" s="5">
        <f t="shared" ca="1" si="14"/>
        <v>110</v>
      </c>
      <c r="G110" s="5">
        <f t="shared" ca="1" si="22"/>
        <v>420</v>
      </c>
      <c r="H110" s="5">
        <f t="shared" ca="1" si="20"/>
        <v>310</v>
      </c>
      <c r="I110" s="5">
        <f t="shared" ca="1" si="23"/>
        <v>0</v>
      </c>
      <c r="J110" s="5">
        <f t="shared" ca="1" si="21"/>
        <v>0</v>
      </c>
      <c r="K110" s="5">
        <f t="shared" ca="1" si="17"/>
        <v>0</v>
      </c>
      <c r="L110" s="5">
        <f t="shared" ca="1" si="18"/>
        <v>0</v>
      </c>
      <c r="M110" s="25">
        <f t="shared" ca="1" si="19"/>
        <v>8.493150684931507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</row>
    <row r="111" spans="2:116" ht="13.2" hidden="1" customHeight="1">
      <c r="B111" s="21"/>
      <c r="E111" s="5">
        <v>107</v>
      </c>
      <c r="F111" s="5">
        <f t="shared" ca="1" si="14"/>
        <v>110</v>
      </c>
      <c r="G111" s="5">
        <f t="shared" ca="1" si="22"/>
        <v>310</v>
      </c>
      <c r="H111" s="5">
        <f t="shared" ca="1" si="20"/>
        <v>200</v>
      </c>
      <c r="I111" s="5">
        <f t="shared" ca="1" si="23"/>
        <v>0</v>
      </c>
      <c r="J111" s="5">
        <f t="shared" ca="1" si="21"/>
        <v>0</v>
      </c>
      <c r="K111" s="5">
        <f t="shared" ca="1" si="17"/>
        <v>0</v>
      </c>
      <c r="L111" s="5">
        <f t="shared" ca="1" si="18"/>
        <v>0</v>
      </c>
      <c r="M111" s="25">
        <f t="shared" ca="1" si="19"/>
        <v>5.4794520547945202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</row>
    <row r="112" spans="2:116" ht="13.2" hidden="1" customHeight="1">
      <c r="B112" s="21"/>
      <c r="E112" s="5">
        <v>108</v>
      </c>
      <c r="F112" s="5">
        <f t="shared" ca="1" si="14"/>
        <v>100</v>
      </c>
      <c r="G112" s="5">
        <f t="shared" ca="1" si="22"/>
        <v>200</v>
      </c>
      <c r="H112" s="5">
        <f t="shared" ca="1" si="20"/>
        <v>100</v>
      </c>
      <c r="I112" s="5">
        <f t="shared" ca="1" si="23"/>
        <v>0</v>
      </c>
      <c r="J112" s="5">
        <f t="shared" ca="1" si="21"/>
        <v>0</v>
      </c>
      <c r="K112" s="5">
        <f t="shared" ca="1" si="17"/>
        <v>0</v>
      </c>
      <c r="L112" s="5">
        <f t="shared" ca="1" si="18"/>
        <v>0</v>
      </c>
      <c r="M112" s="25">
        <f t="shared" ca="1" si="19"/>
        <v>2.7397260273972601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</row>
    <row r="113" spans="2:116" ht="13.2" hidden="1" customHeight="1">
      <c r="B113" s="21"/>
      <c r="E113" s="5">
        <v>109</v>
      </c>
      <c r="F113" s="5">
        <f t="shared" ca="1" si="14"/>
        <v>0</v>
      </c>
      <c r="G113" s="5">
        <f t="shared" ca="1" si="22"/>
        <v>100</v>
      </c>
      <c r="H113" s="5">
        <f t="shared" ca="1" si="20"/>
        <v>100</v>
      </c>
      <c r="I113" s="5">
        <f t="shared" ca="1" si="23"/>
        <v>0</v>
      </c>
      <c r="J113" s="5">
        <f t="shared" ca="1" si="21"/>
        <v>0</v>
      </c>
      <c r="K113" s="5">
        <f t="shared" ca="1" si="17"/>
        <v>0</v>
      </c>
      <c r="L113" s="5">
        <f t="shared" ca="1" si="18"/>
        <v>0</v>
      </c>
      <c r="M113" s="25">
        <f t="shared" ca="1" si="19"/>
        <v>2.7397260273972601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</row>
    <row r="114" spans="2:116" ht="13.2" hidden="1" customHeight="1">
      <c r="B114" s="21"/>
      <c r="E114" s="5">
        <v>110</v>
      </c>
      <c r="F114" s="5">
        <f t="shared" ca="1" si="14"/>
        <v>100</v>
      </c>
      <c r="G114" s="5">
        <f t="shared" ca="1" si="22"/>
        <v>100</v>
      </c>
      <c r="H114" s="5">
        <f t="shared" ca="1" si="20"/>
        <v>0</v>
      </c>
      <c r="I114" s="5">
        <f t="shared" ca="1" si="23"/>
        <v>1</v>
      </c>
      <c r="J114" s="5">
        <f t="shared" ca="1" si="21"/>
        <v>1</v>
      </c>
      <c r="K114" s="5">
        <f t="shared" ca="1" si="17"/>
        <v>0</v>
      </c>
      <c r="L114" s="5">
        <f t="shared" ca="1" si="18"/>
        <v>200</v>
      </c>
      <c r="M114" s="25">
        <f t="shared" ca="1" si="19"/>
        <v>0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</row>
    <row r="115" spans="2:116" ht="13.2" hidden="1" customHeight="1">
      <c r="B115" s="21"/>
      <c r="E115" s="5">
        <v>111</v>
      </c>
      <c r="F115" s="5">
        <f t="shared" ca="1" si="14"/>
        <v>120</v>
      </c>
      <c r="G115" s="5">
        <f t="shared" ca="1" si="22"/>
        <v>0</v>
      </c>
      <c r="H115" s="5">
        <f t="shared" ca="1" si="20"/>
        <v>0</v>
      </c>
      <c r="I115" s="5">
        <f t="shared" ca="1" si="23"/>
        <v>0</v>
      </c>
      <c r="J115" s="5">
        <f t="shared" ca="1" si="21"/>
        <v>0</v>
      </c>
      <c r="K115" s="5">
        <f t="shared" ca="1" si="17"/>
        <v>1</v>
      </c>
      <c r="L115" s="5">
        <f t="shared" ca="1" si="18"/>
        <v>0</v>
      </c>
      <c r="M115" s="25">
        <f t="shared" ca="1" si="19"/>
        <v>0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</row>
    <row r="116" spans="2:116" ht="13.2" hidden="1" customHeight="1">
      <c r="B116" s="21"/>
      <c r="E116" s="5">
        <v>112</v>
      </c>
      <c r="F116" s="5">
        <f t="shared" ca="1" si="14"/>
        <v>0</v>
      </c>
      <c r="G116" s="5">
        <f t="shared" ca="1" si="22"/>
        <v>1000</v>
      </c>
      <c r="H116" s="5">
        <f t="shared" ca="1" si="20"/>
        <v>1000</v>
      </c>
      <c r="I116" s="5">
        <f t="shared" ca="1" si="23"/>
        <v>0</v>
      </c>
      <c r="J116" s="5">
        <f t="shared" ca="1" si="21"/>
        <v>0</v>
      </c>
      <c r="K116" s="5">
        <f t="shared" ca="1" si="17"/>
        <v>0</v>
      </c>
      <c r="L116" s="5">
        <f t="shared" ca="1" si="18"/>
        <v>0</v>
      </c>
      <c r="M116" s="25">
        <f t="shared" ca="1" si="19"/>
        <v>27.397260273972602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</row>
    <row r="117" spans="2:116" ht="13.2" hidden="1" customHeight="1">
      <c r="B117" s="21"/>
      <c r="E117" s="5">
        <v>113</v>
      </c>
      <c r="F117" s="5">
        <f t="shared" ca="1" si="14"/>
        <v>120</v>
      </c>
      <c r="G117" s="5">
        <f t="shared" ca="1" si="22"/>
        <v>1000</v>
      </c>
      <c r="H117" s="5">
        <f t="shared" ca="1" si="20"/>
        <v>880</v>
      </c>
      <c r="I117" s="5">
        <f t="shared" ca="1" si="23"/>
        <v>0</v>
      </c>
      <c r="J117" s="5">
        <f t="shared" ca="1" si="21"/>
        <v>0</v>
      </c>
      <c r="K117" s="5">
        <f t="shared" ca="1" si="17"/>
        <v>0</v>
      </c>
      <c r="L117" s="5">
        <f t="shared" ca="1" si="18"/>
        <v>0</v>
      </c>
      <c r="M117" s="25">
        <f t="shared" ca="1" si="19"/>
        <v>24.109589041095887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</row>
    <row r="118" spans="2:116" ht="13.2" hidden="1" customHeight="1">
      <c r="B118" s="21"/>
      <c r="E118" s="5">
        <v>114</v>
      </c>
      <c r="F118" s="5">
        <f t="shared" ca="1" si="14"/>
        <v>110</v>
      </c>
      <c r="G118" s="5">
        <f t="shared" ca="1" si="22"/>
        <v>880</v>
      </c>
      <c r="H118" s="5">
        <f t="shared" ca="1" si="20"/>
        <v>770</v>
      </c>
      <c r="I118" s="5">
        <f t="shared" ca="1" si="23"/>
        <v>0</v>
      </c>
      <c r="J118" s="5">
        <f t="shared" ca="1" si="21"/>
        <v>0</v>
      </c>
      <c r="K118" s="5">
        <f t="shared" ca="1" si="17"/>
        <v>0</v>
      </c>
      <c r="L118" s="5">
        <f t="shared" ca="1" si="18"/>
        <v>0</v>
      </c>
      <c r="M118" s="25">
        <f t="shared" ca="1" si="19"/>
        <v>21.095890410958901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</row>
    <row r="119" spans="2:116" ht="13.2" hidden="1" customHeight="1">
      <c r="B119" s="21"/>
      <c r="E119" s="5">
        <v>115</v>
      </c>
      <c r="F119" s="5">
        <f t="shared" ca="1" si="14"/>
        <v>90</v>
      </c>
      <c r="G119" s="5">
        <f t="shared" ca="1" si="22"/>
        <v>770</v>
      </c>
      <c r="H119" s="5">
        <f t="shared" ca="1" si="20"/>
        <v>680</v>
      </c>
      <c r="I119" s="5">
        <f t="shared" ca="1" si="23"/>
        <v>0</v>
      </c>
      <c r="J119" s="5">
        <f t="shared" ca="1" si="21"/>
        <v>0</v>
      </c>
      <c r="K119" s="5">
        <f t="shared" ca="1" si="17"/>
        <v>0</v>
      </c>
      <c r="L119" s="5">
        <f t="shared" ca="1" si="18"/>
        <v>0</v>
      </c>
      <c r="M119" s="25">
        <f t="shared" ca="1" si="19"/>
        <v>18.63013698630137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</row>
    <row r="120" spans="2:116" ht="13.2" hidden="1" customHeight="1">
      <c r="B120" s="21"/>
      <c r="E120" s="5">
        <v>116</v>
      </c>
      <c r="F120" s="5">
        <f t="shared" ca="1" si="14"/>
        <v>120</v>
      </c>
      <c r="G120" s="5">
        <f t="shared" ca="1" si="22"/>
        <v>680</v>
      </c>
      <c r="H120" s="5">
        <f t="shared" ca="1" si="20"/>
        <v>560</v>
      </c>
      <c r="I120" s="5">
        <f t="shared" ca="1" si="23"/>
        <v>0</v>
      </c>
      <c r="J120" s="5">
        <f t="shared" ca="1" si="21"/>
        <v>0</v>
      </c>
      <c r="K120" s="5">
        <f t="shared" ca="1" si="17"/>
        <v>0</v>
      </c>
      <c r="L120" s="5">
        <f t="shared" ca="1" si="18"/>
        <v>0</v>
      </c>
      <c r="M120" s="25">
        <f t="shared" ca="1" si="19"/>
        <v>15.342465753424657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</row>
    <row r="121" spans="2:116" ht="13.2" hidden="1" customHeight="1">
      <c r="B121" s="21"/>
      <c r="E121" s="5">
        <v>117</v>
      </c>
      <c r="F121" s="5">
        <f t="shared" ca="1" si="14"/>
        <v>120</v>
      </c>
      <c r="G121" s="5">
        <f t="shared" ca="1" si="22"/>
        <v>560</v>
      </c>
      <c r="H121" s="5">
        <f t="shared" ca="1" si="20"/>
        <v>440</v>
      </c>
      <c r="I121" s="5">
        <f t="shared" ca="1" si="23"/>
        <v>0</v>
      </c>
      <c r="J121" s="5">
        <f t="shared" ca="1" si="21"/>
        <v>0</v>
      </c>
      <c r="K121" s="5">
        <f t="shared" ca="1" si="17"/>
        <v>0</v>
      </c>
      <c r="L121" s="5">
        <f t="shared" ca="1" si="18"/>
        <v>0</v>
      </c>
      <c r="M121" s="25">
        <f t="shared" ca="1" si="19"/>
        <v>12.054794520547944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</row>
    <row r="122" spans="2:116" ht="13.2" hidden="1" customHeight="1">
      <c r="B122" s="21"/>
      <c r="E122" s="5">
        <v>118</v>
      </c>
      <c r="F122" s="5">
        <f t="shared" ca="1" si="14"/>
        <v>120</v>
      </c>
      <c r="G122" s="5">
        <f t="shared" ca="1" si="22"/>
        <v>440</v>
      </c>
      <c r="H122" s="5">
        <f t="shared" ca="1" si="20"/>
        <v>320</v>
      </c>
      <c r="I122" s="5">
        <f t="shared" ca="1" si="23"/>
        <v>0</v>
      </c>
      <c r="J122" s="5">
        <f t="shared" ca="1" si="21"/>
        <v>0</v>
      </c>
      <c r="K122" s="5">
        <f t="shared" ca="1" si="17"/>
        <v>0</v>
      </c>
      <c r="L122" s="5">
        <f t="shared" ca="1" si="18"/>
        <v>0</v>
      </c>
      <c r="M122" s="25">
        <f t="shared" ca="1" si="19"/>
        <v>8.7671232876712324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</row>
    <row r="123" spans="2:116" ht="13.2" hidden="1" customHeight="1">
      <c r="B123" s="21"/>
      <c r="E123" s="5">
        <v>119</v>
      </c>
      <c r="F123" s="5">
        <f t="shared" ca="1" si="14"/>
        <v>100</v>
      </c>
      <c r="G123" s="5">
        <f t="shared" ca="1" si="22"/>
        <v>320</v>
      </c>
      <c r="H123" s="5">
        <f t="shared" ca="1" si="20"/>
        <v>220</v>
      </c>
      <c r="I123" s="5">
        <f t="shared" ca="1" si="23"/>
        <v>0</v>
      </c>
      <c r="J123" s="5">
        <f t="shared" ca="1" si="21"/>
        <v>0</v>
      </c>
      <c r="K123" s="5">
        <f t="shared" ca="1" si="17"/>
        <v>0</v>
      </c>
      <c r="L123" s="5">
        <f t="shared" ca="1" si="18"/>
        <v>0</v>
      </c>
      <c r="M123" s="25">
        <f t="shared" ca="1" si="19"/>
        <v>6.0273972602739718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</row>
    <row r="124" spans="2:116" ht="13.2" hidden="1" customHeight="1">
      <c r="B124" s="21"/>
      <c r="E124" s="5">
        <v>120</v>
      </c>
      <c r="F124" s="5">
        <f t="shared" ca="1" si="14"/>
        <v>110</v>
      </c>
      <c r="G124" s="5">
        <f t="shared" ca="1" si="22"/>
        <v>220</v>
      </c>
      <c r="H124" s="5">
        <f t="shared" ca="1" si="20"/>
        <v>110</v>
      </c>
      <c r="I124" s="5">
        <f t="shared" ca="1" si="23"/>
        <v>0</v>
      </c>
      <c r="J124" s="5">
        <f t="shared" ca="1" si="21"/>
        <v>0</v>
      </c>
      <c r="K124" s="5">
        <f t="shared" ca="1" si="17"/>
        <v>0</v>
      </c>
      <c r="L124" s="5">
        <f t="shared" ca="1" si="18"/>
        <v>0</v>
      </c>
      <c r="M124" s="25">
        <f t="shared" ca="1" si="19"/>
        <v>3.0136986301369859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</row>
    <row r="125" spans="2:116" ht="13.2" hidden="1" customHeight="1">
      <c r="B125" s="21"/>
      <c r="E125" s="5">
        <v>121</v>
      </c>
      <c r="F125" s="5">
        <f t="shared" ca="1" si="14"/>
        <v>100</v>
      </c>
      <c r="G125" s="5">
        <f t="shared" ca="1" si="22"/>
        <v>110</v>
      </c>
      <c r="H125" s="5">
        <f t="shared" ca="1" si="20"/>
        <v>10</v>
      </c>
      <c r="I125" s="5">
        <f t="shared" ca="1" si="23"/>
        <v>1</v>
      </c>
      <c r="J125" s="5">
        <f t="shared" ca="1" si="21"/>
        <v>1</v>
      </c>
      <c r="K125" s="5">
        <f t="shared" ca="1" si="17"/>
        <v>0</v>
      </c>
      <c r="L125" s="5">
        <f t="shared" ca="1" si="18"/>
        <v>200</v>
      </c>
      <c r="M125" s="25">
        <f t="shared" ca="1" si="19"/>
        <v>0.27397260273972601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</row>
    <row r="126" spans="2:116" ht="13.2" hidden="1" customHeight="1">
      <c r="B126" s="21"/>
      <c r="E126" s="5">
        <v>122</v>
      </c>
      <c r="F126" s="5">
        <f t="shared" ca="1" si="14"/>
        <v>110</v>
      </c>
      <c r="G126" s="5">
        <f t="shared" ca="1" si="22"/>
        <v>10</v>
      </c>
      <c r="H126" s="5">
        <f t="shared" ca="1" si="20"/>
        <v>0</v>
      </c>
      <c r="I126" s="5">
        <f t="shared" ca="1" si="23"/>
        <v>0</v>
      </c>
      <c r="J126" s="5">
        <f t="shared" ca="1" si="21"/>
        <v>0</v>
      </c>
      <c r="K126" s="5">
        <f t="shared" ca="1" si="17"/>
        <v>1</v>
      </c>
      <c r="L126" s="5">
        <f t="shared" ca="1" si="18"/>
        <v>0</v>
      </c>
      <c r="M126" s="25">
        <f t="shared" ca="1" si="19"/>
        <v>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</row>
    <row r="127" spans="2:116" ht="13.2" hidden="1" customHeight="1">
      <c r="B127" s="21"/>
      <c r="E127" s="5">
        <v>123</v>
      </c>
      <c r="F127" s="5">
        <f t="shared" ca="1" si="14"/>
        <v>90</v>
      </c>
      <c r="G127" s="5">
        <f t="shared" ca="1" si="22"/>
        <v>1000</v>
      </c>
      <c r="H127" s="5">
        <f t="shared" ca="1" si="20"/>
        <v>910</v>
      </c>
      <c r="I127" s="5">
        <f t="shared" ca="1" si="23"/>
        <v>0</v>
      </c>
      <c r="J127" s="5">
        <f t="shared" ca="1" si="21"/>
        <v>0</v>
      </c>
      <c r="K127" s="5">
        <f t="shared" ca="1" si="17"/>
        <v>0</v>
      </c>
      <c r="L127" s="5">
        <f t="shared" ca="1" si="18"/>
        <v>0</v>
      </c>
      <c r="M127" s="25">
        <f t="shared" ca="1" si="19"/>
        <v>24.931506849315067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</row>
    <row r="128" spans="2:116" ht="13.2" hidden="1" customHeight="1">
      <c r="B128" s="21"/>
      <c r="E128" s="5">
        <v>124</v>
      </c>
      <c r="F128" s="5">
        <f t="shared" ca="1" si="14"/>
        <v>110</v>
      </c>
      <c r="G128" s="5">
        <f t="shared" ca="1" si="22"/>
        <v>910</v>
      </c>
      <c r="H128" s="5">
        <f t="shared" ca="1" si="20"/>
        <v>800</v>
      </c>
      <c r="I128" s="5">
        <f t="shared" ca="1" si="23"/>
        <v>0</v>
      </c>
      <c r="J128" s="5">
        <f t="shared" ca="1" si="21"/>
        <v>0</v>
      </c>
      <c r="K128" s="5">
        <f t="shared" ca="1" si="17"/>
        <v>0</v>
      </c>
      <c r="L128" s="5">
        <f t="shared" ca="1" si="18"/>
        <v>0</v>
      </c>
      <c r="M128" s="25">
        <f t="shared" ca="1" si="19"/>
        <v>21.917808219178081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</row>
    <row r="129" spans="2:116" ht="13.2" hidden="1" customHeight="1">
      <c r="B129" s="21"/>
      <c r="E129" s="5">
        <v>125</v>
      </c>
      <c r="F129" s="5">
        <f t="shared" ca="1" si="14"/>
        <v>110</v>
      </c>
      <c r="G129" s="5">
        <f t="shared" ca="1" si="22"/>
        <v>800</v>
      </c>
      <c r="H129" s="5">
        <f t="shared" ca="1" si="20"/>
        <v>690</v>
      </c>
      <c r="I129" s="5">
        <f t="shared" ca="1" si="23"/>
        <v>0</v>
      </c>
      <c r="J129" s="5">
        <f t="shared" ca="1" si="21"/>
        <v>0</v>
      </c>
      <c r="K129" s="5">
        <f t="shared" ca="1" si="17"/>
        <v>0</v>
      </c>
      <c r="L129" s="5">
        <f t="shared" ca="1" si="18"/>
        <v>0</v>
      </c>
      <c r="M129" s="25">
        <f t="shared" ca="1" si="19"/>
        <v>18.904109589041095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</row>
    <row r="130" spans="2:116" ht="13.2" hidden="1" customHeight="1">
      <c r="B130" s="21"/>
      <c r="E130" s="5">
        <v>126</v>
      </c>
      <c r="F130" s="5">
        <f t="shared" ca="1" si="14"/>
        <v>100</v>
      </c>
      <c r="G130" s="5">
        <f t="shared" ca="1" si="22"/>
        <v>690</v>
      </c>
      <c r="H130" s="5">
        <f t="shared" ca="1" si="20"/>
        <v>590</v>
      </c>
      <c r="I130" s="5">
        <f t="shared" ca="1" si="23"/>
        <v>0</v>
      </c>
      <c r="J130" s="5">
        <f t="shared" ca="1" si="21"/>
        <v>0</v>
      </c>
      <c r="K130" s="5">
        <f t="shared" ca="1" si="17"/>
        <v>0</v>
      </c>
      <c r="L130" s="5">
        <f t="shared" ca="1" si="18"/>
        <v>0</v>
      </c>
      <c r="M130" s="25">
        <f t="shared" ca="1" si="19"/>
        <v>16.164383561643834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</row>
    <row r="131" spans="2:116" ht="13.2" hidden="1" customHeight="1">
      <c r="B131" s="21"/>
      <c r="E131" s="5">
        <v>127</v>
      </c>
      <c r="F131" s="5">
        <f t="shared" ca="1" si="14"/>
        <v>90</v>
      </c>
      <c r="G131" s="5">
        <f t="shared" ca="1" si="22"/>
        <v>590</v>
      </c>
      <c r="H131" s="5">
        <f t="shared" ca="1" si="20"/>
        <v>500</v>
      </c>
      <c r="I131" s="5">
        <f t="shared" ca="1" si="23"/>
        <v>0</v>
      </c>
      <c r="J131" s="5">
        <f t="shared" ca="1" si="21"/>
        <v>0</v>
      </c>
      <c r="K131" s="5">
        <f t="shared" ca="1" si="17"/>
        <v>0</v>
      </c>
      <c r="L131" s="5">
        <f t="shared" ca="1" si="18"/>
        <v>0</v>
      </c>
      <c r="M131" s="25">
        <f t="shared" ca="1" si="19"/>
        <v>13.698630136986301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</row>
    <row r="132" spans="2:116" ht="13.2" hidden="1" customHeight="1">
      <c r="B132" s="21"/>
      <c r="E132" s="5">
        <v>128</v>
      </c>
      <c r="F132" s="5">
        <f t="shared" ca="1" si="14"/>
        <v>120</v>
      </c>
      <c r="G132" s="5">
        <f t="shared" ca="1" si="22"/>
        <v>500</v>
      </c>
      <c r="H132" s="5">
        <f t="shared" ca="1" si="20"/>
        <v>380</v>
      </c>
      <c r="I132" s="5">
        <f t="shared" ca="1" si="23"/>
        <v>0</v>
      </c>
      <c r="J132" s="5">
        <f t="shared" ca="1" si="21"/>
        <v>0</v>
      </c>
      <c r="K132" s="5">
        <f t="shared" ca="1" si="17"/>
        <v>0</v>
      </c>
      <c r="L132" s="5">
        <f t="shared" ca="1" si="18"/>
        <v>0</v>
      </c>
      <c r="M132" s="25">
        <f t="shared" ca="1" si="19"/>
        <v>10.410958904109588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</row>
    <row r="133" spans="2:116" ht="13.2" hidden="1" customHeight="1">
      <c r="B133" s="21"/>
      <c r="E133" s="5">
        <v>129</v>
      </c>
      <c r="F133" s="5">
        <f t="shared" ref="F133:F196" ca="1" si="24">INDEX($S$23:$S$27,MATCH(RAND(),$U$22:$U$27,1))</f>
        <v>120</v>
      </c>
      <c r="G133" s="5">
        <f t="shared" ca="1" si="22"/>
        <v>380</v>
      </c>
      <c r="H133" s="5">
        <f t="shared" ca="1" si="20"/>
        <v>260</v>
      </c>
      <c r="I133" s="5">
        <f t="shared" ca="1" si="23"/>
        <v>0</v>
      </c>
      <c r="J133" s="5">
        <f t="shared" ca="1" si="21"/>
        <v>0</v>
      </c>
      <c r="K133" s="5">
        <f t="shared" ref="K133:K196" ca="1" si="25">IF(G133&lt;F133,1,0)</f>
        <v>0</v>
      </c>
      <c r="L133" s="5">
        <f t="shared" ref="L133:L196" ca="1" si="26">I133*$C$4</f>
        <v>0</v>
      </c>
      <c r="M133" s="25">
        <f t="shared" ref="M133:M196" ca="1" si="27">H133*$C$7</f>
        <v>7.1232876712328768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</row>
    <row r="134" spans="2:116" ht="13.2" hidden="1" customHeight="1">
      <c r="B134" s="21"/>
      <c r="E134" s="5">
        <v>130</v>
      </c>
      <c r="F134" s="5">
        <f t="shared" ca="1" si="24"/>
        <v>120</v>
      </c>
      <c r="G134" s="5">
        <f t="shared" ca="1" si="22"/>
        <v>260</v>
      </c>
      <c r="H134" s="5">
        <f t="shared" ref="H134:H197" ca="1" si="28">IF(G134-F134&gt;0,G134-F134,0)</f>
        <v>140</v>
      </c>
      <c r="I134" s="5">
        <f t="shared" ca="1" si="23"/>
        <v>0</v>
      </c>
      <c r="J134" s="5">
        <f t="shared" ref="J134:J197" ca="1" si="29">I134*INT(RAND()*2)</f>
        <v>0</v>
      </c>
      <c r="K134" s="5">
        <f t="shared" ca="1" si="25"/>
        <v>0</v>
      </c>
      <c r="L134" s="5">
        <f t="shared" ca="1" si="26"/>
        <v>0</v>
      </c>
      <c r="M134" s="25">
        <f t="shared" ca="1" si="27"/>
        <v>3.8356164383561642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</row>
    <row r="135" spans="2:116" ht="13.2" hidden="1" customHeight="1">
      <c r="B135" s="21"/>
      <c r="E135" s="5">
        <v>131</v>
      </c>
      <c r="F135" s="5">
        <f t="shared" ca="1" si="24"/>
        <v>110</v>
      </c>
      <c r="G135" s="5">
        <f t="shared" ref="G135:G198" ca="1" si="30">H134+IF(J134=0,I134*$C$9,0)+IF(J133=1,$C$9,0)</f>
        <v>140</v>
      </c>
      <c r="H135" s="5">
        <f t="shared" ca="1" si="28"/>
        <v>30</v>
      </c>
      <c r="I135" s="5">
        <f t="shared" ref="I135:I198" ca="1" si="31">IF(AND(H135&lt;$C$3,J134=0),1,0)</f>
        <v>1</v>
      </c>
      <c r="J135" s="5">
        <f t="shared" ca="1" si="29"/>
        <v>1</v>
      </c>
      <c r="K135" s="5">
        <f t="shared" ca="1" si="25"/>
        <v>0</v>
      </c>
      <c r="L135" s="5">
        <f t="shared" ca="1" si="26"/>
        <v>200</v>
      </c>
      <c r="M135" s="25">
        <f t="shared" ca="1" si="27"/>
        <v>0.82191780821917804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</row>
    <row r="136" spans="2:116" ht="13.2" hidden="1" customHeight="1">
      <c r="B136" s="21"/>
      <c r="E136" s="5">
        <v>132</v>
      </c>
      <c r="F136" s="5">
        <f t="shared" ca="1" si="24"/>
        <v>120</v>
      </c>
      <c r="G136" s="5">
        <f t="shared" ca="1" si="30"/>
        <v>30</v>
      </c>
      <c r="H136" s="5">
        <f t="shared" ca="1" si="28"/>
        <v>0</v>
      </c>
      <c r="I136" s="5">
        <f t="shared" ca="1" si="31"/>
        <v>0</v>
      </c>
      <c r="J136" s="5">
        <f t="shared" ca="1" si="29"/>
        <v>0</v>
      </c>
      <c r="K136" s="5">
        <f t="shared" ca="1" si="25"/>
        <v>1</v>
      </c>
      <c r="L136" s="5">
        <f t="shared" ca="1" si="26"/>
        <v>0</v>
      </c>
      <c r="M136" s="25">
        <f t="shared" ca="1" si="27"/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</row>
    <row r="137" spans="2:116" ht="13.2" hidden="1" customHeight="1">
      <c r="B137" s="21"/>
      <c r="E137" s="5">
        <v>133</v>
      </c>
      <c r="F137" s="5">
        <f t="shared" ca="1" si="24"/>
        <v>100</v>
      </c>
      <c r="G137" s="5">
        <f t="shared" ca="1" si="30"/>
        <v>1000</v>
      </c>
      <c r="H137" s="5">
        <f t="shared" ca="1" si="28"/>
        <v>900</v>
      </c>
      <c r="I137" s="5">
        <f t="shared" ca="1" si="31"/>
        <v>0</v>
      </c>
      <c r="J137" s="5">
        <f t="shared" ca="1" si="29"/>
        <v>0</v>
      </c>
      <c r="K137" s="5">
        <f t="shared" ca="1" si="25"/>
        <v>0</v>
      </c>
      <c r="L137" s="5">
        <f t="shared" ca="1" si="26"/>
        <v>0</v>
      </c>
      <c r="M137" s="25">
        <f t="shared" ca="1" si="27"/>
        <v>24.657534246575342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</row>
    <row r="138" spans="2:116" ht="13.2" hidden="1" customHeight="1">
      <c r="B138" s="21"/>
      <c r="E138" s="5">
        <v>134</v>
      </c>
      <c r="F138" s="5">
        <f t="shared" ca="1" si="24"/>
        <v>120</v>
      </c>
      <c r="G138" s="5">
        <f t="shared" ca="1" si="30"/>
        <v>900</v>
      </c>
      <c r="H138" s="5">
        <f t="shared" ca="1" si="28"/>
        <v>780</v>
      </c>
      <c r="I138" s="5">
        <f t="shared" ca="1" si="31"/>
        <v>0</v>
      </c>
      <c r="J138" s="5">
        <f t="shared" ca="1" si="29"/>
        <v>0</v>
      </c>
      <c r="K138" s="5">
        <f t="shared" ca="1" si="25"/>
        <v>0</v>
      </c>
      <c r="L138" s="5">
        <f t="shared" ca="1" si="26"/>
        <v>0</v>
      </c>
      <c r="M138" s="25">
        <f t="shared" ca="1" si="27"/>
        <v>21.36986301369863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</row>
    <row r="139" spans="2:116" ht="13.2" hidden="1" customHeight="1">
      <c r="B139" s="21"/>
      <c r="E139" s="5">
        <v>135</v>
      </c>
      <c r="F139" s="5">
        <f t="shared" ca="1" si="24"/>
        <v>0</v>
      </c>
      <c r="G139" s="5">
        <f t="shared" ca="1" si="30"/>
        <v>780</v>
      </c>
      <c r="H139" s="5">
        <f t="shared" ca="1" si="28"/>
        <v>780</v>
      </c>
      <c r="I139" s="5">
        <f t="shared" ca="1" si="31"/>
        <v>0</v>
      </c>
      <c r="J139" s="5">
        <f t="shared" ca="1" si="29"/>
        <v>0</v>
      </c>
      <c r="K139" s="5">
        <f t="shared" ca="1" si="25"/>
        <v>0</v>
      </c>
      <c r="L139" s="5">
        <f t="shared" ca="1" si="26"/>
        <v>0</v>
      </c>
      <c r="M139" s="25">
        <f t="shared" ca="1" si="27"/>
        <v>21.36986301369863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</row>
    <row r="140" spans="2:116" ht="13.2" hidden="1" customHeight="1">
      <c r="B140" s="21"/>
      <c r="E140" s="5">
        <v>136</v>
      </c>
      <c r="F140" s="5">
        <f t="shared" ca="1" si="24"/>
        <v>110</v>
      </c>
      <c r="G140" s="5">
        <f t="shared" ca="1" si="30"/>
        <v>780</v>
      </c>
      <c r="H140" s="5">
        <f t="shared" ca="1" si="28"/>
        <v>670</v>
      </c>
      <c r="I140" s="5">
        <f t="shared" ca="1" si="31"/>
        <v>0</v>
      </c>
      <c r="J140" s="5">
        <f t="shared" ca="1" si="29"/>
        <v>0</v>
      </c>
      <c r="K140" s="5">
        <f t="shared" ca="1" si="25"/>
        <v>0</v>
      </c>
      <c r="L140" s="5">
        <f t="shared" ca="1" si="26"/>
        <v>0</v>
      </c>
      <c r="M140" s="25">
        <f t="shared" ca="1" si="27"/>
        <v>18.356164383561644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</row>
    <row r="141" spans="2:116" ht="13.2" hidden="1" customHeight="1">
      <c r="B141" s="21"/>
      <c r="E141" s="5">
        <v>137</v>
      </c>
      <c r="F141" s="5">
        <f t="shared" ca="1" si="24"/>
        <v>110</v>
      </c>
      <c r="G141" s="5">
        <f t="shared" ca="1" si="30"/>
        <v>670</v>
      </c>
      <c r="H141" s="5">
        <f t="shared" ca="1" si="28"/>
        <v>560</v>
      </c>
      <c r="I141" s="5">
        <f t="shared" ca="1" si="31"/>
        <v>0</v>
      </c>
      <c r="J141" s="5">
        <f t="shared" ca="1" si="29"/>
        <v>0</v>
      </c>
      <c r="K141" s="5">
        <f t="shared" ca="1" si="25"/>
        <v>0</v>
      </c>
      <c r="L141" s="5">
        <f t="shared" ca="1" si="26"/>
        <v>0</v>
      </c>
      <c r="M141" s="25">
        <f t="shared" ca="1" si="27"/>
        <v>15.342465753424657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</row>
    <row r="142" spans="2:116" ht="13.2" hidden="1" customHeight="1">
      <c r="B142" s="21"/>
      <c r="E142" s="5">
        <v>138</v>
      </c>
      <c r="F142" s="5">
        <f t="shared" ca="1" si="24"/>
        <v>110</v>
      </c>
      <c r="G142" s="5">
        <f t="shared" ca="1" si="30"/>
        <v>560</v>
      </c>
      <c r="H142" s="5">
        <f t="shared" ca="1" si="28"/>
        <v>450</v>
      </c>
      <c r="I142" s="5">
        <f t="shared" ca="1" si="31"/>
        <v>0</v>
      </c>
      <c r="J142" s="5">
        <f t="shared" ca="1" si="29"/>
        <v>0</v>
      </c>
      <c r="K142" s="5">
        <f t="shared" ca="1" si="25"/>
        <v>0</v>
      </c>
      <c r="L142" s="5">
        <f t="shared" ca="1" si="26"/>
        <v>0</v>
      </c>
      <c r="M142" s="25">
        <f t="shared" ca="1" si="27"/>
        <v>12.328767123287671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</row>
    <row r="143" spans="2:116" ht="13.2" hidden="1" customHeight="1">
      <c r="B143" s="21"/>
      <c r="E143" s="5">
        <v>139</v>
      </c>
      <c r="F143" s="5">
        <f t="shared" ca="1" si="24"/>
        <v>120</v>
      </c>
      <c r="G143" s="5">
        <f t="shared" ca="1" si="30"/>
        <v>450</v>
      </c>
      <c r="H143" s="5">
        <f t="shared" ca="1" si="28"/>
        <v>330</v>
      </c>
      <c r="I143" s="5">
        <f t="shared" ca="1" si="31"/>
        <v>0</v>
      </c>
      <c r="J143" s="5">
        <f t="shared" ca="1" si="29"/>
        <v>0</v>
      </c>
      <c r="K143" s="5">
        <f t="shared" ca="1" si="25"/>
        <v>0</v>
      </c>
      <c r="L143" s="5">
        <f t="shared" ca="1" si="26"/>
        <v>0</v>
      </c>
      <c r="M143" s="25">
        <f t="shared" ca="1" si="27"/>
        <v>9.0410958904109577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</row>
    <row r="144" spans="2:116" ht="13.2" hidden="1" customHeight="1">
      <c r="B144" s="21"/>
      <c r="E144" s="5">
        <v>140</v>
      </c>
      <c r="F144" s="5">
        <f t="shared" ca="1" si="24"/>
        <v>110</v>
      </c>
      <c r="G144" s="5">
        <f t="shared" ca="1" si="30"/>
        <v>330</v>
      </c>
      <c r="H144" s="5">
        <f t="shared" ca="1" si="28"/>
        <v>220</v>
      </c>
      <c r="I144" s="5">
        <f t="shared" ca="1" si="31"/>
        <v>0</v>
      </c>
      <c r="J144" s="5">
        <f t="shared" ca="1" si="29"/>
        <v>0</v>
      </c>
      <c r="K144" s="5">
        <f t="shared" ca="1" si="25"/>
        <v>0</v>
      </c>
      <c r="L144" s="5">
        <f t="shared" ca="1" si="26"/>
        <v>0</v>
      </c>
      <c r="M144" s="25">
        <f t="shared" ca="1" si="27"/>
        <v>6.0273972602739718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</row>
    <row r="145" spans="2:116" ht="13.2" hidden="1" customHeight="1">
      <c r="B145" s="21"/>
      <c r="E145" s="5">
        <v>141</v>
      </c>
      <c r="F145" s="5">
        <f t="shared" ca="1" si="24"/>
        <v>120</v>
      </c>
      <c r="G145" s="5">
        <f t="shared" ca="1" si="30"/>
        <v>220</v>
      </c>
      <c r="H145" s="5">
        <f t="shared" ca="1" si="28"/>
        <v>100</v>
      </c>
      <c r="I145" s="5">
        <f t="shared" ca="1" si="31"/>
        <v>0</v>
      </c>
      <c r="J145" s="5">
        <f t="shared" ca="1" si="29"/>
        <v>0</v>
      </c>
      <c r="K145" s="5">
        <f t="shared" ca="1" si="25"/>
        <v>0</v>
      </c>
      <c r="L145" s="5">
        <f t="shared" ca="1" si="26"/>
        <v>0</v>
      </c>
      <c r="M145" s="25">
        <f t="shared" ca="1" si="27"/>
        <v>2.7397260273972601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</row>
    <row r="146" spans="2:116" ht="13.2" hidden="1" customHeight="1">
      <c r="B146" s="21"/>
      <c r="E146" s="5">
        <v>142</v>
      </c>
      <c r="F146" s="5">
        <f t="shared" ca="1" si="24"/>
        <v>0</v>
      </c>
      <c r="G146" s="5">
        <f t="shared" ca="1" si="30"/>
        <v>100</v>
      </c>
      <c r="H146" s="5">
        <f t="shared" ca="1" si="28"/>
        <v>100</v>
      </c>
      <c r="I146" s="5">
        <f t="shared" ca="1" si="31"/>
        <v>0</v>
      </c>
      <c r="J146" s="5">
        <f t="shared" ca="1" si="29"/>
        <v>0</v>
      </c>
      <c r="K146" s="5">
        <f t="shared" ca="1" si="25"/>
        <v>0</v>
      </c>
      <c r="L146" s="5">
        <f t="shared" ca="1" si="26"/>
        <v>0</v>
      </c>
      <c r="M146" s="25">
        <f t="shared" ca="1" si="27"/>
        <v>2.7397260273972601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</row>
    <row r="147" spans="2:116" ht="13.2" hidden="1" customHeight="1">
      <c r="B147" s="21"/>
      <c r="E147" s="5">
        <v>143</v>
      </c>
      <c r="F147" s="5">
        <f t="shared" ca="1" si="24"/>
        <v>110</v>
      </c>
      <c r="G147" s="5">
        <f t="shared" ca="1" si="30"/>
        <v>100</v>
      </c>
      <c r="H147" s="5">
        <f t="shared" ca="1" si="28"/>
        <v>0</v>
      </c>
      <c r="I147" s="5">
        <f t="shared" ca="1" si="31"/>
        <v>1</v>
      </c>
      <c r="J147" s="5">
        <f t="shared" ca="1" si="29"/>
        <v>0</v>
      </c>
      <c r="K147" s="5">
        <f t="shared" ca="1" si="25"/>
        <v>1</v>
      </c>
      <c r="L147" s="5">
        <f t="shared" ca="1" si="26"/>
        <v>200</v>
      </c>
      <c r="M147" s="25">
        <f t="shared" ca="1" si="27"/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</row>
    <row r="148" spans="2:116" ht="13.2" hidden="1" customHeight="1">
      <c r="B148" s="21"/>
      <c r="E148" s="5">
        <v>144</v>
      </c>
      <c r="F148" s="5">
        <f t="shared" ca="1" si="24"/>
        <v>120</v>
      </c>
      <c r="G148" s="5">
        <f t="shared" ca="1" si="30"/>
        <v>1000</v>
      </c>
      <c r="H148" s="5">
        <f t="shared" ca="1" si="28"/>
        <v>880</v>
      </c>
      <c r="I148" s="5">
        <f t="shared" ca="1" si="31"/>
        <v>0</v>
      </c>
      <c r="J148" s="5">
        <f t="shared" ca="1" si="29"/>
        <v>0</v>
      </c>
      <c r="K148" s="5">
        <f t="shared" ca="1" si="25"/>
        <v>0</v>
      </c>
      <c r="L148" s="5">
        <f t="shared" ca="1" si="26"/>
        <v>0</v>
      </c>
      <c r="M148" s="25">
        <f t="shared" ca="1" si="27"/>
        <v>24.109589041095887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</row>
    <row r="149" spans="2:116" ht="13.2" hidden="1" customHeight="1">
      <c r="B149" s="21"/>
      <c r="E149" s="5">
        <v>145</v>
      </c>
      <c r="F149" s="5">
        <f t="shared" ca="1" si="24"/>
        <v>120</v>
      </c>
      <c r="G149" s="5">
        <f t="shared" ca="1" si="30"/>
        <v>880</v>
      </c>
      <c r="H149" s="5">
        <f t="shared" ca="1" si="28"/>
        <v>760</v>
      </c>
      <c r="I149" s="5">
        <f t="shared" ca="1" si="31"/>
        <v>0</v>
      </c>
      <c r="J149" s="5">
        <f t="shared" ca="1" si="29"/>
        <v>0</v>
      </c>
      <c r="K149" s="5">
        <f t="shared" ca="1" si="25"/>
        <v>0</v>
      </c>
      <c r="L149" s="5">
        <f t="shared" ca="1" si="26"/>
        <v>0</v>
      </c>
      <c r="M149" s="25">
        <f t="shared" ca="1" si="27"/>
        <v>20.821917808219176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</row>
    <row r="150" spans="2:116" ht="13.2" hidden="1" customHeight="1">
      <c r="B150" s="21"/>
      <c r="E150" s="5">
        <v>146</v>
      </c>
      <c r="F150" s="5">
        <f t="shared" ca="1" si="24"/>
        <v>110</v>
      </c>
      <c r="G150" s="5">
        <f t="shared" ca="1" si="30"/>
        <v>760</v>
      </c>
      <c r="H150" s="5">
        <f t="shared" ca="1" si="28"/>
        <v>650</v>
      </c>
      <c r="I150" s="5">
        <f t="shared" ca="1" si="31"/>
        <v>0</v>
      </c>
      <c r="J150" s="5">
        <f t="shared" ca="1" si="29"/>
        <v>0</v>
      </c>
      <c r="K150" s="5">
        <f t="shared" ca="1" si="25"/>
        <v>0</v>
      </c>
      <c r="L150" s="5">
        <f t="shared" ca="1" si="26"/>
        <v>0</v>
      </c>
      <c r="M150" s="25">
        <f t="shared" ca="1" si="27"/>
        <v>17.80821917808219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</row>
    <row r="151" spans="2:116" ht="13.2" hidden="1" customHeight="1">
      <c r="B151" s="21"/>
      <c r="E151" s="5">
        <v>147</v>
      </c>
      <c r="F151" s="5">
        <f t="shared" ca="1" si="24"/>
        <v>120</v>
      </c>
      <c r="G151" s="5">
        <f t="shared" ca="1" si="30"/>
        <v>650</v>
      </c>
      <c r="H151" s="5">
        <f t="shared" ca="1" si="28"/>
        <v>530</v>
      </c>
      <c r="I151" s="5">
        <f t="shared" ca="1" si="31"/>
        <v>0</v>
      </c>
      <c r="J151" s="5">
        <f t="shared" ca="1" si="29"/>
        <v>0</v>
      </c>
      <c r="K151" s="5">
        <f t="shared" ca="1" si="25"/>
        <v>0</v>
      </c>
      <c r="L151" s="5">
        <f t="shared" ca="1" si="26"/>
        <v>0</v>
      </c>
      <c r="M151" s="25">
        <f t="shared" ca="1" si="27"/>
        <v>14.520547945205479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</row>
    <row r="152" spans="2:116" ht="13.2" hidden="1" customHeight="1">
      <c r="B152" s="21"/>
      <c r="E152" s="5">
        <v>148</v>
      </c>
      <c r="F152" s="5">
        <f t="shared" ca="1" si="24"/>
        <v>0</v>
      </c>
      <c r="G152" s="5">
        <f t="shared" ca="1" si="30"/>
        <v>530</v>
      </c>
      <c r="H152" s="5">
        <f t="shared" ca="1" si="28"/>
        <v>530</v>
      </c>
      <c r="I152" s="5">
        <f t="shared" ca="1" si="31"/>
        <v>0</v>
      </c>
      <c r="J152" s="5">
        <f t="shared" ca="1" si="29"/>
        <v>0</v>
      </c>
      <c r="K152" s="5">
        <f t="shared" ca="1" si="25"/>
        <v>0</v>
      </c>
      <c r="L152" s="5">
        <f t="shared" ca="1" si="26"/>
        <v>0</v>
      </c>
      <c r="M152" s="25">
        <f t="shared" ca="1" si="27"/>
        <v>14.520547945205479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</row>
    <row r="153" spans="2:116" ht="13.2" hidden="1" customHeight="1">
      <c r="B153" s="21"/>
      <c r="E153" s="5">
        <v>149</v>
      </c>
      <c r="F153" s="5">
        <f t="shared" ca="1" si="24"/>
        <v>120</v>
      </c>
      <c r="G153" s="5">
        <f t="shared" ca="1" si="30"/>
        <v>530</v>
      </c>
      <c r="H153" s="5">
        <f t="shared" ca="1" si="28"/>
        <v>410</v>
      </c>
      <c r="I153" s="5">
        <f t="shared" ca="1" si="31"/>
        <v>0</v>
      </c>
      <c r="J153" s="5">
        <f t="shared" ca="1" si="29"/>
        <v>0</v>
      </c>
      <c r="K153" s="5">
        <f t="shared" ca="1" si="25"/>
        <v>0</v>
      </c>
      <c r="L153" s="5">
        <f t="shared" ca="1" si="26"/>
        <v>0</v>
      </c>
      <c r="M153" s="25">
        <f t="shared" ca="1" si="27"/>
        <v>11.232876712328766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</row>
    <row r="154" spans="2:116" ht="13.2" hidden="1" customHeight="1">
      <c r="B154" s="21"/>
      <c r="E154" s="5">
        <v>150</v>
      </c>
      <c r="F154" s="5">
        <f t="shared" ca="1" si="24"/>
        <v>90</v>
      </c>
      <c r="G154" s="5">
        <f t="shared" ca="1" si="30"/>
        <v>410</v>
      </c>
      <c r="H154" s="5">
        <f t="shared" ca="1" si="28"/>
        <v>320</v>
      </c>
      <c r="I154" s="5">
        <f t="shared" ca="1" si="31"/>
        <v>0</v>
      </c>
      <c r="J154" s="5">
        <f t="shared" ca="1" si="29"/>
        <v>0</v>
      </c>
      <c r="K154" s="5">
        <f t="shared" ca="1" si="25"/>
        <v>0</v>
      </c>
      <c r="L154" s="5">
        <f t="shared" ca="1" si="26"/>
        <v>0</v>
      </c>
      <c r="M154" s="25">
        <f t="shared" ca="1" si="27"/>
        <v>8.7671232876712324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</row>
    <row r="155" spans="2:116" ht="13.2" hidden="1" customHeight="1">
      <c r="B155" s="21"/>
      <c r="E155" s="5">
        <v>151</v>
      </c>
      <c r="F155" s="5">
        <f t="shared" ca="1" si="24"/>
        <v>120</v>
      </c>
      <c r="G155" s="5">
        <f t="shared" ca="1" si="30"/>
        <v>320</v>
      </c>
      <c r="H155" s="5">
        <f t="shared" ca="1" si="28"/>
        <v>200</v>
      </c>
      <c r="I155" s="5">
        <f t="shared" ca="1" si="31"/>
        <v>0</v>
      </c>
      <c r="J155" s="5">
        <f t="shared" ca="1" si="29"/>
        <v>0</v>
      </c>
      <c r="K155" s="5">
        <f t="shared" ca="1" si="25"/>
        <v>0</v>
      </c>
      <c r="L155" s="5">
        <f t="shared" ca="1" si="26"/>
        <v>0</v>
      </c>
      <c r="M155" s="25">
        <f t="shared" ca="1" si="27"/>
        <v>5.4794520547945202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</row>
    <row r="156" spans="2:116" ht="13.2" hidden="1" customHeight="1">
      <c r="B156" s="21"/>
      <c r="E156" s="5">
        <v>152</v>
      </c>
      <c r="F156" s="5">
        <f t="shared" ca="1" si="24"/>
        <v>90</v>
      </c>
      <c r="G156" s="5">
        <f t="shared" ca="1" si="30"/>
        <v>200</v>
      </c>
      <c r="H156" s="5">
        <f t="shared" ca="1" si="28"/>
        <v>110</v>
      </c>
      <c r="I156" s="5">
        <f t="shared" ca="1" si="31"/>
        <v>0</v>
      </c>
      <c r="J156" s="5">
        <f t="shared" ca="1" si="29"/>
        <v>0</v>
      </c>
      <c r="K156" s="5">
        <f t="shared" ca="1" si="25"/>
        <v>0</v>
      </c>
      <c r="L156" s="5">
        <f t="shared" ca="1" si="26"/>
        <v>0</v>
      </c>
      <c r="M156" s="25">
        <f t="shared" ca="1" si="27"/>
        <v>3.0136986301369859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</row>
    <row r="157" spans="2:116" ht="13.2" hidden="1" customHeight="1">
      <c r="B157" s="21"/>
      <c r="E157" s="5">
        <v>153</v>
      </c>
      <c r="F157" s="5">
        <f t="shared" ca="1" si="24"/>
        <v>110</v>
      </c>
      <c r="G157" s="5">
        <f t="shared" ca="1" si="30"/>
        <v>110</v>
      </c>
      <c r="H157" s="5">
        <f t="shared" ca="1" si="28"/>
        <v>0</v>
      </c>
      <c r="I157" s="5">
        <f t="shared" ca="1" si="31"/>
        <v>1</v>
      </c>
      <c r="J157" s="5">
        <f t="shared" ca="1" si="29"/>
        <v>1</v>
      </c>
      <c r="K157" s="5">
        <f t="shared" ca="1" si="25"/>
        <v>0</v>
      </c>
      <c r="L157" s="5">
        <f t="shared" ca="1" si="26"/>
        <v>200</v>
      </c>
      <c r="M157" s="25">
        <f t="shared" ca="1" si="27"/>
        <v>0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</row>
    <row r="158" spans="2:116" ht="13.2" hidden="1" customHeight="1">
      <c r="B158" s="21"/>
      <c r="E158" s="5">
        <v>154</v>
      </c>
      <c r="F158" s="5">
        <f t="shared" ca="1" si="24"/>
        <v>100</v>
      </c>
      <c r="G158" s="5">
        <f t="shared" ca="1" si="30"/>
        <v>0</v>
      </c>
      <c r="H158" s="5">
        <f t="shared" ca="1" si="28"/>
        <v>0</v>
      </c>
      <c r="I158" s="5">
        <f t="shared" ca="1" si="31"/>
        <v>0</v>
      </c>
      <c r="J158" s="5">
        <f t="shared" ca="1" si="29"/>
        <v>0</v>
      </c>
      <c r="K158" s="5">
        <f t="shared" ca="1" si="25"/>
        <v>1</v>
      </c>
      <c r="L158" s="5">
        <f t="shared" ca="1" si="26"/>
        <v>0</v>
      </c>
      <c r="M158" s="25">
        <f t="shared" ca="1" si="27"/>
        <v>0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</row>
    <row r="159" spans="2:116" ht="13.2" hidden="1" customHeight="1">
      <c r="B159" s="21"/>
      <c r="E159" s="5">
        <v>155</v>
      </c>
      <c r="F159" s="5">
        <f t="shared" ca="1" si="24"/>
        <v>110</v>
      </c>
      <c r="G159" s="5">
        <f t="shared" ca="1" si="30"/>
        <v>1000</v>
      </c>
      <c r="H159" s="5">
        <f t="shared" ca="1" si="28"/>
        <v>890</v>
      </c>
      <c r="I159" s="5">
        <f t="shared" ca="1" si="31"/>
        <v>0</v>
      </c>
      <c r="J159" s="5">
        <f t="shared" ca="1" si="29"/>
        <v>0</v>
      </c>
      <c r="K159" s="5">
        <f t="shared" ca="1" si="25"/>
        <v>0</v>
      </c>
      <c r="L159" s="5">
        <f t="shared" ca="1" si="26"/>
        <v>0</v>
      </c>
      <c r="M159" s="25">
        <f t="shared" ca="1" si="27"/>
        <v>24.383561643835616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</row>
    <row r="160" spans="2:116" ht="13.2" hidden="1" customHeight="1">
      <c r="B160" s="21"/>
      <c r="E160" s="5">
        <v>156</v>
      </c>
      <c r="F160" s="5">
        <f t="shared" ca="1" si="24"/>
        <v>110</v>
      </c>
      <c r="G160" s="5">
        <f t="shared" ca="1" si="30"/>
        <v>890</v>
      </c>
      <c r="H160" s="5">
        <f t="shared" ca="1" si="28"/>
        <v>780</v>
      </c>
      <c r="I160" s="5">
        <f t="shared" ca="1" si="31"/>
        <v>0</v>
      </c>
      <c r="J160" s="5">
        <f t="shared" ca="1" si="29"/>
        <v>0</v>
      </c>
      <c r="K160" s="5">
        <f t="shared" ca="1" si="25"/>
        <v>0</v>
      </c>
      <c r="L160" s="5">
        <f t="shared" ca="1" si="26"/>
        <v>0</v>
      </c>
      <c r="M160" s="25">
        <f t="shared" ca="1" si="27"/>
        <v>21.36986301369863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</row>
    <row r="161" spans="2:116" ht="13.2" hidden="1" customHeight="1">
      <c r="B161" s="21"/>
      <c r="E161" s="5">
        <v>157</v>
      </c>
      <c r="F161" s="5">
        <f t="shared" ca="1" si="24"/>
        <v>110</v>
      </c>
      <c r="G161" s="5">
        <f t="shared" ca="1" si="30"/>
        <v>780</v>
      </c>
      <c r="H161" s="5">
        <f t="shared" ca="1" si="28"/>
        <v>670</v>
      </c>
      <c r="I161" s="5">
        <f t="shared" ca="1" si="31"/>
        <v>0</v>
      </c>
      <c r="J161" s="5">
        <f t="shared" ca="1" si="29"/>
        <v>0</v>
      </c>
      <c r="K161" s="5">
        <f t="shared" ca="1" si="25"/>
        <v>0</v>
      </c>
      <c r="L161" s="5">
        <f t="shared" ca="1" si="26"/>
        <v>0</v>
      </c>
      <c r="M161" s="25">
        <f t="shared" ca="1" si="27"/>
        <v>18.356164383561644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</row>
    <row r="162" spans="2:116" ht="13.2" hidden="1" customHeight="1">
      <c r="B162" s="21"/>
      <c r="E162" s="5">
        <v>158</v>
      </c>
      <c r="F162" s="5">
        <f t="shared" ca="1" si="24"/>
        <v>110</v>
      </c>
      <c r="G162" s="5">
        <f t="shared" ca="1" si="30"/>
        <v>670</v>
      </c>
      <c r="H162" s="5">
        <f t="shared" ca="1" si="28"/>
        <v>560</v>
      </c>
      <c r="I162" s="5">
        <f t="shared" ca="1" si="31"/>
        <v>0</v>
      </c>
      <c r="J162" s="5">
        <f t="shared" ca="1" si="29"/>
        <v>0</v>
      </c>
      <c r="K162" s="5">
        <f t="shared" ca="1" si="25"/>
        <v>0</v>
      </c>
      <c r="L162" s="5">
        <f t="shared" ca="1" si="26"/>
        <v>0</v>
      </c>
      <c r="M162" s="25">
        <f t="shared" ca="1" si="27"/>
        <v>15.342465753424657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</row>
    <row r="163" spans="2:116" ht="13.2" hidden="1" customHeight="1">
      <c r="B163" s="21"/>
      <c r="E163" s="5">
        <v>159</v>
      </c>
      <c r="F163" s="5">
        <f t="shared" ca="1" si="24"/>
        <v>110</v>
      </c>
      <c r="G163" s="5">
        <f t="shared" ca="1" si="30"/>
        <v>560</v>
      </c>
      <c r="H163" s="5">
        <f t="shared" ca="1" si="28"/>
        <v>450</v>
      </c>
      <c r="I163" s="5">
        <f t="shared" ca="1" si="31"/>
        <v>0</v>
      </c>
      <c r="J163" s="5">
        <f t="shared" ca="1" si="29"/>
        <v>0</v>
      </c>
      <c r="K163" s="5">
        <f t="shared" ca="1" si="25"/>
        <v>0</v>
      </c>
      <c r="L163" s="5">
        <f t="shared" ca="1" si="26"/>
        <v>0</v>
      </c>
      <c r="M163" s="25">
        <f t="shared" ca="1" si="27"/>
        <v>12.328767123287671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</row>
    <row r="164" spans="2:116" ht="13.2" hidden="1" customHeight="1">
      <c r="B164" s="21"/>
      <c r="E164" s="5">
        <v>160</v>
      </c>
      <c r="F164" s="5">
        <f t="shared" ca="1" si="24"/>
        <v>120</v>
      </c>
      <c r="G164" s="5">
        <f t="shared" ca="1" si="30"/>
        <v>450</v>
      </c>
      <c r="H164" s="5">
        <f t="shared" ca="1" si="28"/>
        <v>330</v>
      </c>
      <c r="I164" s="5">
        <f t="shared" ca="1" si="31"/>
        <v>0</v>
      </c>
      <c r="J164" s="5">
        <f t="shared" ca="1" si="29"/>
        <v>0</v>
      </c>
      <c r="K164" s="5">
        <f t="shared" ca="1" si="25"/>
        <v>0</v>
      </c>
      <c r="L164" s="5">
        <f t="shared" ca="1" si="26"/>
        <v>0</v>
      </c>
      <c r="M164" s="25">
        <f t="shared" ca="1" si="27"/>
        <v>9.0410958904109577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</row>
    <row r="165" spans="2:116" ht="13.2" hidden="1" customHeight="1">
      <c r="B165" s="21"/>
      <c r="E165" s="5">
        <v>161</v>
      </c>
      <c r="F165" s="5">
        <f t="shared" ca="1" si="24"/>
        <v>120</v>
      </c>
      <c r="G165" s="5">
        <f t="shared" ca="1" si="30"/>
        <v>330</v>
      </c>
      <c r="H165" s="5">
        <f t="shared" ca="1" si="28"/>
        <v>210</v>
      </c>
      <c r="I165" s="5">
        <f t="shared" ca="1" si="31"/>
        <v>0</v>
      </c>
      <c r="J165" s="5">
        <f t="shared" ca="1" si="29"/>
        <v>0</v>
      </c>
      <c r="K165" s="5">
        <f t="shared" ca="1" si="25"/>
        <v>0</v>
      </c>
      <c r="L165" s="5">
        <f t="shared" ca="1" si="26"/>
        <v>0</v>
      </c>
      <c r="M165" s="25">
        <f t="shared" ca="1" si="27"/>
        <v>5.7534246575342465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</row>
    <row r="166" spans="2:116" ht="13.2" hidden="1" customHeight="1">
      <c r="B166" s="21"/>
      <c r="E166" s="5">
        <v>162</v>
      </c>
      <c r="F166" s="5">
        <f t="shared" ca="1" si="24"/>
        <v>110</v>
      </c>
      <c r="G166" s="5">
        <f t="shared" ca="1" si="30"/>
        <v>210</v>
      </c>
      <c r="H166" s="5">
        <f t="shared" ca="1" si="28"/>
        <v>100</v>
      </c>
      <c r="I166" s="5">
        <f t="shared" ca="1" si="31"/>
        <v>0</v>
      </c>
      <c r="J166" s="5">
        <f t="shared" ca="1" si="29"/>
        <v>0</v>
      </c>
      <c r="K166" s="5">
        <f t="shared" ca="1" si="25"/>
        <v>0</v>
      </c>
      <c r="L166" s="5">
        <f t="shared" ca="1" si="26"/>
        <v>0</v>
      </c>
      <c r="M166" s="25">
        <f t="shared" ca="1" si="27"/>
        <v>2.7397260273972601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</row>
    <row r="167" spans="2:116" ht="13.2" hidden="1" customHeight="1">
      <c r="B167" s="21"/>
      <c r="E167" s="5">
        <v>163</v>
      </c>
      <c r="F167" s="5">
        <f t="shared" ca="1" si="24"/>
        <v>110</v>
      </c>
      <c r="G167" s="5">
        <f t="shared" ca="1" si="30"/>
        <v>100</v>
      </c>
      <c r="H167" s="5">
        <f t="shared" ca="1" si="28"/>
        <v>0</v>
      </c>
      <c r="I167" s="5">
        <f t="shared" ca="1" si="31"/>
        <v>1</v>
      </c>
      <c r="J167" s="5">
        <f t="shared" ca="1" si="29"/>
        <v>1</v>
      </c>
      <c r="K167" s="5">
        <f t="shared" ca="1" si="25"/>
        <v>1</v>
      </c>
      <c r="L167" s="5">
        <f t="shared" ca="1" si="26"/>
        <v>200</v>
      </c>
      <c r="M167" s="25">
        <f t="shared" ca="1" si="27"/>
        <v>0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</row>
    <row r="168" spans="2:116" ht="13.2" hidden="1" customHeight="1">
      <c r="B168" s="21"/>
      <c r="E168" s="5">
        <v>164</v>
      </c>
      <c r="F168" s="5">
        <f t="shared" ca="1" si="24"/>
        <v>100</v>
      </c>
      <c r="G168" s="5">
        <f t="shared" ca="1" si="30"/>
        <v>0</v>
      </c>
      <c r="H168" s="5">
        <f t="shared" ca="1" si="28"/>
        <v>0</v>
      </c>
      <c r="I168" s="5">
        <f t="shared" ca="1" si="31"/>
        <v>0</v>
      </c>
      <c r="J168" s="5">
        <f t="shared" ca="1" si="29"/>
        <v>0</v>
      </c>
      <c r="K168" s="5">
        <f t="shared" ca="1" si="25"/>
        <v>1</v>
      </c>
      <c r="L168" s="5">
        <f t="shared" ca="1" si="26"/>
        <v>0</v>
      </c>
      <c r="M168" s="25">
        <f t="shared" ca="1" si="27"/>
        <v>0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</row>
    <row r="169" spans="2:116" ht="13.2" hidden="1" customHeight="1">
      <c r="B169" s="21"/>
      <c r="E169" s="5">
        <v>165</v>
      </c>
      <c r="F169" s="5">
        <f t="shared" ca="1" si="24"/>
        <v>90</v>
      </c>
      <c r="G169" s="5">
        <f t="shared" ca="1" si="30"/>
        <v>1000</v>
      </c>
      <c r="H169" s="5">
        <f t="shared" ca="1" si="28"/>
        <v>910</v>
      </c>
      <c r="I169" s="5">
        <f t="shared" ca="1" si="31"/>
        <v>0</v>
      </c>
      <c r="J169" s="5">
        <f t="shared" ca="1" si="29"/>
        <v>0</v>
      </c>
      <c r="K169" s="5">
        <f t="shared" ca="1" si="25"/>
        <v>0</v>
      </c>
      <c r="L169" s="5">
        <f t="shared" ca="1" si="26"/>
        <v>0</v>
      </c>
      <c r="M169" s="25">
        <f t="shared" ca="1" si="27"/>
        <v>24.931506849315067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</row>
    <row r="170" spans="2:116" ht="13.2" hidden="1" customHeight="1">
      <c r="B170" s="21"/>
      <c r="E170" s="5">
        <v>166</v>
      </c>
      <c r="F170" s="5">
        <f t="shared" ca="1" si="24"/>
        <v>120</v>
      </c>
      <c r="G170" s="5">
        <f t="shared" ca="1" si="30"/>
        <v>910</v>
      </c>
      <c r="H170" s="5">
        <f t="shared" ca="1" si="28"/>
        <v>790</v>
      </c>
      <c r="I170" s="5">
        <f t="shared" ca="1" si="31"/>
        <v>0</v>
      </c>
      <c r="J170" s="5">
        <f t="shared" ca="1" si="29"/>
        <v>0</v>
      </c>
      <c r="K170" s="5">
        <f t="shared" ca="1" si="25"/>
        <v>0</v>
      </c>
      <c r="L170" s="5">
        <f t="shared" ca="1" si="26"/>
        <v>0</v>
      </c>
      <c r="M170" s="25">
        <f t="shared" ca="1" si="27"/>
        <v>21.643835616438356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</row>
    <row r="171" spans="2:116" ht="13.2" hidden="1" customHeight="1">
      <c r="B171" s="21"/>
      <c r="E171" s="5">
        <v>167</v>
      </c>
      <c r="F171" s="5">
        <f t="shared" ca="1" si="24"/>
        <v>0</v>
      </c>
      <c r="G171" s="5">
        <f t="shared" ca="1" si="30"/>
        <v>790</v>
      </c>
      <c r="H171" s="5">
        <f t="shared" ca="1" si="28"/>
        <v>790</v>
      </c>
      <c r="I171" s="5">
        <f t="shared" ca="1" si="31"/>
        <v>0</v>
      </c>
      <c r="J171" s="5">
        <f t="shared" ca="1" si="29"/>
        <v>0</v>
      </c>
      <c r="K171" s="5">
        <f t="shared" ca="1" si="25"/>
        <v>0</v>
      </c>
      <c r="L171" s="5">
        <f t="shared" ca="1" si="26"/>
        <v>0</v>
      </c>
      <c r="M171" s="25">
        <f t="shared" ca="1" si="27"/>
        <v>21.643835616438356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</row>
    <row r="172" spans="2:116" ht="13.2" hidden="1" customHeight="1">
      <c r="B172" s="21"/>
      <c r="E172" s="5">
        <v>168</v>
      </c>
      <c r="F172" s="5">
        <f t="shared" ca="1" si="24"/>
        <v>120</v>
      </c>
      <c r="G172" s="5">
        <f t="shared" ca="1" si="30"/>
        <v>790</v>
      </c>
      <c r="H172" s="5">
        <f t="shared" ca="1" si="28"/>
        <v>670</v>
      </c>
      <c r="I172" s="5">
        <f t="shared" ca="1" si="31"/>
        <v>0</v>
      </c>
      <c r="J172" s="5">
        <f t="shared" ca="1" si="29"/>
        <v>0</v>
      </c>
      <c r="K172" s="5">
        <f t="shared" ca="1" si="25"/>
        <v>0</v>
      </c>
      <c r="L172" s="5">
        <f t="shared" ca="1" si="26"/>
        <v>0</v>
      </c>
      <c r="M172" s="25">
        <f t="shared" ca="1" si="27"/>
        <v>18.356164383561644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</row>
    <row r="173" spans="2:116" ht="13.2" hidden="1" customHeight="1">
      <c r="B173" s="21"/>
      <c r="E173" s="5">
        <v>169</v>
      </c>
      <c r="F173" s="5">
        <f t="shared" ca="1" si="24"/>
        <v>0</v>
      </c>
      <c r="G173" s="5">
        <f t="shared" ca="1" si="30"/>
        <v>670</v>
      </c>
      <c r="H173" s="5">
        <f t="shared" ca="1" si="28"/>
        <v>670</v>
      </c>
      <c r="I173" s="5">
        <f t="shared" ca="1" si="31"/>
        <v>0</v>
      </c>
      <c r="J173" s="5">
        <f t="shared" ca="1" si="29"/>
        <v>0</v>
      </c>
      <c r="K173" s="5">
        <f t="shared" ca="1" si="25"/>
        <v>0</v>
      </c>
      <c r="L173" s="5">
        <f t="shared" ca="1" si="26"/>
        <v>0</v>
      </c>
      <c r="M173" s="25">
        <f t="shared" ca="1" si="27"/>
        <v>18.356164383561644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</row>
    <row r="174" spans="2:116" ht="13.2" hidden="1" customHeight="1">
      <c r="B174" s="21"/>
      <c r="E174" s="5">
        <v>170</v>
      </c>
      <c r="F174" s="5">
        <f t="shared" ca="1" si="24"/>
        <v>90</v>
      </c>
      <c r="G174" s="5">
        <f t="shared" ca="1" si="30"/>
        <v>670</v>
      </c>
      <c r="H174" s="5">
        <f t="shared" ca="1" si="28"/>
        <v>580</v>
      </c>
      <c r="I174" s="5">
        <f t="shared" ca="1" si="31"/>
        <v>0</v>
      </c>
      <c r="J174" s="5">
        <f t="shared" ca="1" si="29"/>
        <v>0</v>
      </c>
      <c r="K174" s="5">
        <f t="shared" ca="1" si="25"/>
        <v>0</v>
      </c>
      <c r="L174" s="5">
        <f t="shared" ca="1" si="26"/>
        <v>0</v>
      </c>
      <c r="M174" s="25">
        <f t="shared" ca="1" si="27"/>
        <v>15.890410958904109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</row>
    <row r="175" spans="2:116" ht="13.2" hidden="1" customHeight="1">
      <c r="B175" s="21"/>
      <c r="E175" s="5">
        <v>171</v>
      </c>
      <c r="F175" s="5">
        <f t="shared" ca="1" si="24"/>
        <v>120</v>
      </c>
      <c r="G175" s="5">
        <f t="shared" ca="1" si="30"/>
        <v>580</v>
      </c>
      <c r="H175" s="5">
        <f t="shared" ca="1" si="28"/>
        <v>460</v>
      </c>
      <c r="I175" s="5">
        <f t="shared" ca="1" si="31"/>
        <v>0</v>
      </c>
      <c r="J175" s="5">
        <f t="shared" ca="1" si="29"/>
        <v>0</v>
      </c>
      <c r="K175" s="5">
        <f t="shared" ca="1" si="25"/>
        <v>0</v>
      </c>
      <c r="L175" s="5">
        <f t="shared" ca="1" si="26"/>
        <v>0</v>
      </c>
      <c r="M175" s="25">
        <f t="shared" ca="1" si="27"/>
        <v>12.602739726027396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</row>
    <row r="176" spans="2:116" ht="13.2" hidden="1" customHeight="1">
      <c r="B176" s="21"/>
      <c r="E176" s="5">
        <v>172</v>
      </c>
      <c r="F176" s="5">
        <f t="shared" ca="1" si="24"/>
        <v>110</v>
      </c>
      <c r="G176" s="5">
        <f t="shared" ca="1" si="30"/>
        <v>460</v>
      </c>
      <c r="H176" s="5">
        <f t="shared" ca="1" si="28"/>
        <v>350</v>
      </c>
      <c r="I176" s="5">
        <f t="shared" ca="1" si="31"/>
        <v>0</v>
      </c>
      <c r="J176" s="5">
        <f t="shared" ca="1" si="29"/>
        <v>0</v>
      </c>
      <c r="K176" s="5">
        <f t="shared" ca="1" si="25"/>
        <v>0</v>
      </c>
      <c r="L176" s="5">
        <f t="shared" ca="1" si="26"/>
        <v>0</v>
      </c>
      <c r="M176" s="25">
        <f t="shared" ca="1" si="27"/>
        <v>9.5890410958904102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</row>
    <row r="177" spans="2:116" ht="13.2" hidden="1" customHeight="1">
      <c r="B177" s="21"/>
      <c r="E177" s="5">
        <v>173</v>
      </c>
      <c r="F177" s="5">
        <f t="shared" ca="1" si="24"/>
        <v>120</v>
      </c>
      <c r="G177" s="5">
        <f t="shared" ca="1" si="30"/>
        <v>350</v>
      </c>
      <c r="H177" s="5">
        <f t="shared" ca="1" si="28"/>
        <v>230</v>
      </c>
      <c r="I177" s="5">
        <f t="shared" ca="1" si="31"/>
        <v>0</v>
      </c>
      <c r="J177" s="5">
        <f t="shared" ca="1" si="29"/>
        <v>0</v>
      </c>
      <c r="K177" s="5">
        <f t="shared" ca="1" si="25"/>
        <v>0</v>
      </c>
      <c r="L177" s="5">
        <f t="shared" ca="1" si="26"/>
        <v>0</v>
      </c>
      <c r="M177" s="25">
        <f t="shared" ca="1" si="27"/>
        <v>6.3013698630136981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</row>
    <row r="178" spans="2:116" ht="13.2" hidden="1" customHeight="1">
      <c r="B178" s="21"/>
      <c r="E178" s="5">
        <v>174</v>
      </c>
      <c r="F178" s="5">
        <f t="shared" ca="1" si="24"/>
        <v>120</v>
      </c>
      <c r="G178" s="5">
        <f t="shared" ca="1" si="30"/>
        <v>230</v>
      </c>
      <c r="H178" s="5">
        <f t="shared" ca="1" si="28"/>
        <v>110</v>
      </c>
      <c r="I178" s="5">
        <f t="shared" ca="1" si="31"/>
        <v>0</v>
      </c>
      <c r="J178" s="5">
        <f t="shared" ca="1" si="29"/>
        <v>0</v>
      </c>
      <c r="K178" s="5">
        <f t="shared" ca="1" si="25"/>
        <v>0</v>
      </c>
      <c r="L178" s="5">
        <f t="shared" ca="1" si="26"/>
        <v>0</v>
      </c>
      <c r="M178" s="25">
        <f t="shared" ca="1" si="27"/>
        <v>3.0136986301369859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</row>
    <row r="179" spans="2:116" ht="13.2" hidden="1" customHeight="1">
      <c r="B179" s="21"/>
      <c r="E179" s="5">
        <v>175</v>
      </c>
      <c r="F179" s="5">
        <f t="shared" ca="1" si="24"/>
        <v>110</v>
      </c>
      <c r="G179" s="5">
        <f t="shared" ca="1" si="30"/>
        <v>110</v>
      </c>
      <c r="H179" s="5">
        <f t="shared" ca="1" si="28"/>
        <v>0</v>
      </c>
      <c r="I179" s="5">
        <f t="shared" ca="1" si="31"/>
        <v>1</v>
      </c>
      <c r="J179" s="5">
        <f t="shared" ca="1" si="29"/>
        <v>0</v>
      </c>
      <c r="K179" s="5">
        <f t="shared" ca="1" si="25"/>
        <v>0</v>
      </c>
      <c r="L179" s="5">
        <f t="shared" ca="1" si="26"/>
        <v>200</v>
      </c>
      <c r="M179" s="25">
        <f t="shared" ca="1" si="27"/>
        <v>0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</row>
    <row r="180" spans="2:116" ht="13.2" hidden="1" customHeight="1">
      <c r="B180" s="21"/>
      <c r="E180" s="5">
        <v>176</v>
      </c>
      <c r="F180" s="5">
        <f t="shared" ca="1" si="24"/>
        <v>90</v>
      </c>
      <c r="G180" s="5">
        <f t="shared" ca="1" si="30"/>
        <v>1000</v>
      </c>
      <c r="H180" s="5">
        <f t="shared" ca="1" si="28"/>
        <v>910</v>
      </c>
      <c r="I180" s="5">
        <f t="shared" ca="1" si="31"/>
        <v>0</v>
      </c>
      <c r="J180" s="5">
        <f t="shared" ca="1" si="29"/>
        <v>0</v>
      </c>
      <c r="K180" s="5">
        <f t="shared" ca="1" si="25"/>
        <v>0</v>
      </c>
      <c r="L180" s="5">
        <f t="shared" ca="1" si="26"/>
        <v>0</v>
      </c>
      <c r="M180" s="25">
        <f t="shared" ca="1" si="27"/>
        <v>24.931506849315067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</row>
    <row r="181" spans="2:116" ht="13.2" hidden="1" customHeight="1">
      <c r="B181" s="21"/>
      <c r="E181" s="5">
        <v>177</v>
      </c>
      <c r="F181" s="5">
        <f t="shared" ca="1" si="24"/>
        <v>120</v>
      </c>
      <c r="G181" s="5">
        <f t="shared" ca="1" si="30"/>
        <v>910</v>
      </c>
      <c r="H181" s="5">
        <f t="shared" ca="1" si="28"/>
        <v>790</v>
      </c>
      <c r="I181" s="5">
        <f t="shared" ca="1" si="31"/>
        <v>0</v>
      </c>
      <c r="J181" s="5">
        <f t="shared" ca="1" si="29"/>
        <v>0</v>
      </c>
      <c r="K181" s="5">
        <f t="shared" ca="1" si="25"/>
        <v>0</v>
      </c>
      <c r="L181" s="5">
        <f t="shared" ca="1" si="26"/>
        <v>0</v>
      </c>
      <c r="M181" s="25">
        <f t="shared" ca="1" si="27"/>
        <v>21.643835616438356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</row>
    <row r="182" spans="2:116" ht="13.2" hidden="1" customHeight="1">
      <c r="B182" s="21"/>
      <c r="E182" s="5">
        <v>178</v>
      </c>
      <c r="F182" s="5">
        <f t="shared" ca="1" si="24"/>
        <v>120</v>
      </c>
      <c r="G182" s="5">
        <f t="shared" ca="1" si="30"/>
        <v>790</v>
      </c>
      <c r="H182" s="5">
        <f t="shared" ca="1" si="28"/>
        <v>670</v>
      </c>
      <c r="I182" s="5">
        <f t="shared" ca="1" si="31"/>
        <v>0</v>
      </c>
      <c r="J182" s="5">
        <f t="shared" ca="1" si="29"/>
        <v>0</v>
      </c>
      <c r="K182" s="5">
        <f t="shared" ca="1" si="25"/>
        <v>0</v>
      </c>
      <c r="L182" s="5">
        <f t="shared" ca="1" si="26"/>
        <v>0</v>
      </c>
      <c r="M182" s="25">
        <f t="shared" ca="1" si="27"/>
        <v>18.356164383561644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</row>
    <row r="183" spans="2:116" ht="13.2" hidden="1" customHeight="1">
      <c r="B183" s="21"/>
      <c r="E183" s="5">
        <v>179</v>
      </c>
      <c r="F183" s="5">
        <f t="shared" ca="1" si="24"/>
        <v>120</v>
      </c>
      <c r="G183" s="5">
        <f t="shared" ca="1" si="30"/>
        <v>670</v>
      </c>
      <c r="H183" s="5">
        <f t="shared" ca="1" si="28"/>
        <v>550</v>
      </c>
      <c r="I183" s="5">
        <f t="shared" ca="1" si="31"/>
        <v>0</v>
      </c>
      <c r="J183" s="5">
        <f t="shared" ca="1" si="29"/>
        <v>0</v>
      </c>
      <c r="K183" s="5">
        <f t="shared" ca="1" si="25"/>
        <v>0</v>
      </c>
      <c r="L183" s="5">
        <f t="shared" ca="1" si="26"/>
        <v>0</v>
      </c>
      <c r="M183" s="25">
        <f t="shared" ca="1" si="27"/>
        <v>15.068493150684931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</row>
    <row r="184" spans="2:116" ht="13.2" hidden="1" customHeight="1">
      <c r="B184" s="21"/>
      <c r="E184" s="5">
        <v>180</v>
      </c>
      <c r="F184" s="5">
        <f t="shared" ca="1" si="24"/>
        <v>100</v>
      </c>
      <c r="G184" s="5">
        <f t="shared" ca="1" si="30"/>
        <v>550</v>
      </c>
      <c r="H184" s="5">
        <f t="shared" ca="1" si="28"/>
        <v>450</v>
      </c>
      <c r="I184" s="5">
        <f t="shared" ca="1" si="31"/>
        <v>0</v>
      </c>
      <c r="J184" s="5">
        <f t="shared" ca="1" si="29"/>
        <v>0</v>
      </c>
      <c r="K184" s="5">
        <f t="shared" ca="1" si="25"/>
        <v>0</v>
      </c>
      <c r="L184" s="5">
        <f t="shared" ca="1" si="26"/>
        <v>0</v>
      </c>
      <c r="M184" s="25">
        <f t="shared" ca="1" si="27"/>
        <v>12.328767123287671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</row>
    <row r="185" spans="2:116" ht="13.2" hidden="1" customHeight="1">
      <c r="B185" s="21"/>
      <c r="E185" s="5">
        <v>181</v>
      </c>
      <c r="F185" s="5">
        <f t="shared" ca="1" si="24"/>
        <v>90</v>
      </c>
      <c r="G185" s="5">
        <f t="shared" ca="1" si="30"/>
        <v>450</v>
      </c>
      <c r="H185" s="5">
        <f t="shared" ca="1" si="28"/>
        <v>360</v>
      </c>
      <c r="I185" s="5">
        <f t="shared" ca="1" si="31"/>
        <v>0</v>
      </c>
      <c r="J185" s="5">
        <f t="shared" ca="1" si="29"/>
        <v>0</v>
      </c>
      <c r="K185" s="5">
        <f t="shared" ca="1" si="25"/>
        <v>0</v>
      </c>
      <c r="L185" s="5">
        <f t="shared" ca="1" si="26"/>
        <v>0</v>
      </c>
      <c r="M185" s="25">
        <f t="shared" ca="1" si="27"/>
        <v>9.8630136986301373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</row>
    <row r="186" spans="2:116" ht="13.2" hidden="1" customHeight="1">
      <c r="B186" s="21"/>
      <c r="E186" s="5">
        <v>182</v>
      </c>
      <c r="F186" s="5">
        <f t="shared" ca="1" si="24"/>
        <v>120</v>
      </c>
      <c r="G186" s="5">
        <f t="shared" ca="1" si="30"/>
        <v>360</v>
      </c>
      <c r="H186" s="5">
        <f t="shared" ca="1" si="28"/>
        <v>240</v>
      </c>
      <c r="I186" s="5">
        <f t="shared" ca="1" si="31"/>
        <v>0</v>
      </c>
      <c r="J186" s="5">
        <f t="shared" ca="1" si="29"/>
        <v>0</v>
      </c>
      <c r="K186" s="5">
        <f t="shared" ca="1" si="25"/>
        <v>0</v>
      </c>
      <c r="L186" s="5">
        <f t="shared" ca="1" si="26"/>
        <v>0</v>
      </c>
      <c r="M186" s="25">
        <f t="shared" ca="1" si="27"/>
        <v>6.5753424657534243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</row>
    <row r="187" spans="2:116" ht="13.2" hidden="1" customHeight="1">
      <c r="B187" s="21"/>
      <c r="E187" s="5">
        <v>183</v>
      </c>
      <c r="F187" s="5">
        <f t="shared" ca="1" si="24"/>
        <v>0</v>
      </c>
      <c r="G187" s="5">
        <f t="shared" ca="1" si="30"/>
        <v>240</v>
      </c>
      <c r="H187" s="5">
        <f t="shared" ca="1" si="28"/>
        <v>240</v>
      </c>
      <c r="I187" s="5">
        <f t="shared" ca="1" si="31"/>
        <v>0</v>
      </c>
      <c r="J187" s="5">
        <f t="shared" ca="1" si="29"/>
        <v>0</v>
      </c>
      <c r="K187" s="5">
        <f t="shared" ca="1" si="25"/>
        <v>0</v>
      </c>
      <c r="L187" s="5">
        <f t="shared" ca="1" si="26"/>
        <v>0</v>
      </c>
      <c r="M187" s="25">
        <f t="shared" ca="1" si="27"/>
        <v>6.5753424657534243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</row>
    <row r="188" spans="2:116" ht="13.2" hidden="1" customHeight="1">
      <c r="B188" s="21"/>
      <c r="E188" s="5">
        <v>184</v>
      </c>
      <c r="F188" s="5">
        <f t="shared" ca="1" si="24"/>
        <v>110</v>
      </c>
      <c r="G188" s="5">
        <f t="shared" ca="1" si="30"/>
        <v>240</v>
      </c>
      <c r="H188" s="5">
        <f t="shared" ca="1" si="28"/>
        <v>130</v>
      </c>
      <c r="I188" s="5">
        <f t="shared" ca="1" si="31"/>
        <v>0</v>
      </c>
      <c r="J188" s="5">
        <f t="shared" ca="1" si="29"/>
        <v>0</v>
      </c>
      <c r="K188" s="5">
        <f t="shared" ca="1" si="25"/>
        <v>0</v>
      </c>
      <c r="L188" s="5">
        <f t="shared" ca="1" si="26"/>
        <v>0</v>
      </c>
      <c r="M188" s="25">
        <f t="shared" ca="1" si="27"/>
        <v>3.5616438356164384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</row>
    <row r="189" spans="2:116" ht="13.2" hidden="1" customHeight="1">
      <c r="B189" s="21"/>
      <c r="E189" s="5">
        <v>185</v>
      </c>
      <c r="F189" s="5">
        <f t="shared" ca="1" si="24"/>
        <v>0</v>
      </c>
      <c r="G189" s="5">
        <f t="shared" ca="1" si="30"/>
        <v>130</v>
      </c>
      <c r="H189" s="5">
        <f t="shared" ca="1" si="28"/>
        <v>130</v>
      </c>
      <c r="I189" s="5">
        <f t="shared" ca="1" si="31"/>
        <v>0</v>
      </c>
      <c r="J189" s="5">
        <f t="shared" ca="1" si="29"/>
        <v>0</v>
      </c>
      <c r="K189" s="5">
        <f t="shared" ca="1" si="25"/>
        <v>0</v>
      </c>
      <c r="L189" s="5">
        <f t="shared" ca="1" si="26"/>
        <v>0</v>
      </c>
      <c r="M189" s="25">
        <f t="shared" ca="1" si="27"/>
        <v>3.5616438356164384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</row>
    <row r="190" spans="2:116" ht="13.2" hidden="1" customHeight="1">
      <c r="B190" s="21"/>
      <c r="E190" s="5">
        <v>186</v>
      </c>
      <c r="F190" s="5">
        <f t="shared" ca="1" si="24"/>
        <v>100</v>
      </c>
      <c r="G190" s="5">
        <f t="shared" ca="1" si="30"/>
        <v>130</v>
      </c>
      <c r="H190" s="5">
        <f t="shared" ca="1" si="28"/>
        <v>30</v>
      </c>
      <c r="I190" s="5">
        <f t="shared" ca="1" si="31"/>
        <v>1</v>
      </c>
      <c r="J190" s="5">
        <f t="shared" ca="1" si="29"/>
        <v>0</v>
      </c>
      <c r="K190" s="5">
        <f t="shared" ca="1" si="25"/>
        <v>0</v>
      </c>
      <c r="L190" s="5">
        <f t="shared" ca="1" si="26"/>
        <v>200</v>
      </c>
      <c r="M190" s="25">
        <f t="shared" ca="1" si="27"/>
        <v>0.82191780821917804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</row>
    <row r="191" spans="2:116" ht="13.2" hidden="1" customHeight="1">
      <c r="B191" s="21"/>
      <c r="E191" s="5">
        <v>187</v>
      </c>
      <c r="F191" s="5">
        <f t="shared" ca="1" si="24"/>
        <v>110</v>
      </c>
      <c r="G191" s="5">
        <f t="shared" ca="1" si="30"/>
        <v>1030</v>
      </c>
      <c r="H191" s="5">
        <f t="shared" ca="1" si="28"/>
        <v>920</v>
      </c>
      <c r="I191" s="5">
        <f t="shared" ca="1" si="31"/>
        <v>0</v>
      </c>
      <c r="J191" s="5">
        <f t="shared" ca="1" si="29"/>
        <v>0</v>
      </c>
      <c r="K191" s="5">
        <f t="shared" ca="1" si="25"/>
        <v>0</v>
      </c>
      <c r="L191" s="5">
        <f t="shared" ca="1" si="26"/>
        <v>0</v>
      </c>
      <c r="M191" s="25">
        <f t="shared" ca="1" si="27"/>
        <v>25.205479452054792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</row>
    <row r="192" spans="2:116" ht="13.2" hidden="1" customHeight="1">
      <c r="B192" s="21"/>
      <c r="E192" s="5">
        <v>188</v>
      </c>
      <c r="F192" s="5">
        <f t="shared" ca="1" si="24"/>
        <v>0</v>
      </c>
      <c r="G192" s="5">
        <f t="shared" ca="1" si="30"/>
        <v>920</v>
      </c>
      <c r="H192" s="5">
        <f t="shared" ca="1" si="28"/>
        <v>920</v>
      </c>
      <c r="I192" s="5">
        <f t="shared" ca="1" si="31"/>
        <v>0</v>
      </c>
      <c r="J192" s="5">
        <f t="shared" ca="1" si="29"/>
        <v>0</v>
      </c>
      <c r="K192" s="5">
        <f t="shared" ca="1" si="25"/>
        <v>0</v>
      </c>
      <c r="L192" s="5">
        <f t="shared" ca="1" si="26"/>
        <v>0</v>
      </c>
      <c r="M192" s="25">
        <f t="shared" ca="1" si="27"/>
        <v>25.205479452054792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</row>
    <row r="193" spans="2:116" ht="13.2" hidden="1" customHeight="1">
      <c r="B193" s="21"/>
      <c r="E193" s="5">
        <v>189</v>
      </c>
      <c r="F193" s="5">
        <f t="shared" ca="1" si="24"/>
        <v>0</v>
      </c>
      <c r="G193" s="5">
        <f t="shared" ca="1" si="30"/>
        <v>920</v>
      </c>
      <c r="H193" s="5">
        <f t="shared" ca="1" si="28"/>
        <v>920</v>
      </c>
      <c r="I193" s="5">
        <f t="shared" ca="1" si="31"/>
        <v>0</v>
      </c>
      <c r="J193" s="5">
        <f t="shared" ca="1" si="29"/>
        <v>0</v>
      </c>
      <c r="K193" s="5">
        <f t="shared" ca="1" si="25"/>
        <v>0</v>
      </c>
      <c r="L193" s="5">
        <f t="shared" ca="1" si="26"/>
        <v>0</v>
      </c>
      <c r="M193" s="25">
        <f t="shared" ca="1" si="27"/>
        <v>25.205479452054792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</row>
    <row r="194" spans="2:116" ht="13.2" hidden="1" customHeight="1">
      <c r="B194" s="21"/>
      <c r="E194" s="5">
        <v>190</v>
      </c>
      <c r="F194" s="5">
        <f t="shared" ca="1" si="24"/>
        <v>120</v>
      </c>
      <c r="G194" s="5">
        <f t="shared" ca="1" si="30"/>
        <v>920</v>
      </c>
      <c r="H194" s="5">
        <f t="shared" ca="1" si="28"/>
        <v>800</v>
      </c>
      <c r="I194" s="5">
        <f t="shared" ca="1" si="31"/>
        <v>0</v>
      </c>
      <c r="J194" s="5">
        <f t="shared" ca="1" si="29"/>
        <v>0</v>
      </c>
      <c r="K194" s="5">
        <f t="shared" ca="1" si="25"/>
        <v>0</v>
      </c>
      <c r="L194" s="5">
        <f t="shared" ca="1" si="26"/>
        <v>0</v>
      </c>
      <c r="M194" s="25">
        <f t="shared" ca="1" si="27"/>
        <v>21.917808219178081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</row>
    <row r="195" spans="2:116" ht="13.2" hidden="1" customHeight="1">
      <c r="B195" s="21"/>
      <c r="E195" s="5">
        <v>191</v>
      </c>
      <c r="F195" s="5">
        <f t="shared" ca="1" si="24"/>
        <v>100</v>
      </c>
      <c r="G195" s="5">
        <f t="shared" ca="1" si="30"/>
        <v>800</v>
      </c>
      <c r="H195" s="5">
        <f t="shared" ca="1" si="28"/>
        <v>700</v>
      </c>
      <c r="I195" s="5">
        <f t="shared" ca="1" si="31"/>
        <v>0</v>
      </c>
      <c r="J195" s="5">
        <f t="shared" ca="1" si="29"/>
        <v>0</v>
      </c>
      <c r="K195" s="5">
        <f t="shared" ca="1" si="25"/>
        <v>0</v>
      </c>
      <c r="L195" s="5">
        <f t="shared" ca="1" si="26"/>
        <v>0</v>
      </c>
      <c r="M195" s="25">
        <f t="shared" ca="1" si="27"/>
        <v>19.17808219178082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</row>
    <row r="196" spans="2:116" ht="13.2" hidden="1" customHeight="1">
      <c r="B196" s="21"/>
      <c r="E196" s="5">
        <v>192</v>
      </c>
      <c r="F196" s="5">
        <f t="shared" ca="1" si="24"/>
        <v>120</v>
      </c>
      <c r="G196" s="5">
        <f t="shared" ca="1" si="30"/>
        <v>700</v>
      </c>
      <c r="H196" s="5">
        <f t="shared" ca="1" si="28"/>
        <v>580</v>
      </c>
      <c r="I196" s="5">
        <f t="shared" ca="1" si="31"/>
        <v>0</v>
      </c>
      <c r="J196" s="5">
        <f t="shared" ca="1" si="29"/>
        <v>0</v>
      </c>
      <c r="K196" s="5">
        <f t="shared" ca="1" si="25"/>
        <v>0</v>
      </c>
      <c r="L196" s="5">
        <f t="shared" ca="1" si="26"/>
        <v>0</v>
      </c>
      <c r="M196" s="25">
        <f t="shared" ca="1" si="27"/>
        <v>15.890410958904109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</row>
    <row r="197" spans="2:116" ht="13.2" hidden="1" customHeight="1">
      <c r="B197" s="21"/>
      <c r="E197" s="5">
        <v>193</v>
      </c>
      <c r="F197" s="5">
        <f t="shared" ref="F197:F260" ca="1" si="32">INDEX($S$23:$S$27,MATCH(RAND(),$U$22:$U$27,1))</f>
        <v>0</v>
      </c>
      <c r="G197" s="5">
        <f t="shared" ca="1" si="30"/>
        <v>580</v>
      </c>
      <c r="H197" s="5">
        <f t="shared" ca="1" si="28"/>
        <v>580</v>
      </c>
      <c r="I197" s="5">
        <f t="shared" ca="1" si="31"/>
        <v>0</v>
      </c>
      <c r="J197" s="5">
        <f t="shared" ca="1" si="29"/>
        <v>0</v>
      </c>
      <c r="K197" s="5">
        <f t="shared" ref="K197:K260" ca="1" si="33">IF(G197&lt;F197,1,0)</f>
        <v>0</v>
      </c>
      <c r="L197" s="5">
        <f t="shared" ref="L197:L260" ca="1" si="34">I197*$C$4</f>
        <v>0</v>
      </c>
      <c r="M197" s="25">
        <f t="shared" ref="M197:M260" ca="1" si="35">H197*$C$7</f>
        <v>15.890410958904109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</row>
    <row r="198" spans="2:116" ht="13.2" hidden="1" customHeight="1">
      <c r="B198" s="21"/>
      <c r="E198" s="5">
        <v>194</v>
      </c>
      <c r="F198" s="5">
        <f t="shared" ca="1" si="32"/>
        <v>120</v>
      </c>
      <c r="G198" s="5">
        <f t="shared" ca="1" si="30"/>
        <v>580</v>
      </c>
      <c r="H198" s="5">
        <f t="shared" ref="H198:H261" ca="1" si="36">IF(G198-F198&gt;0,G198-F198,0)</f>
        <v>460</v>
      </c>
      <c r="I198" s="5">
        <f t="shared" ca="1" si="31"/>
        <v>0</v>
      </c>
      <c r="J198" s="5">
        <f t="shared" ref="J198:J261" ca="1" si="37">I198*INT(RAND()*2)</f>
        <v>0</v>
      </c>
      <c r="K198" s="5">
        <f t="shared" ca="1" si="33"/>
        <v>0</v>
      </c>
      <c r="L198" s="5">
        <f t="shared" ca="1" si="34"/>
        <v>0</v>
      </c>
      <c r="M198" s="25">
        <f t="shared" ca="1" si="35"/>
        <v>12.602739726027396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</row>
    <row r="199" spans="2:116" ht="13.2" hidden="1" customHeight="1">
      <c r="B199" s="21"/>
      <c r="E199" s="5">
        <v>195</v>
      </c>
      <c r="F199" s="5">
        <f t="shared" ca="1" si="32"/>
        <v>100</v>
      </c>
      <c r="G199" s="5">
        <f t="shared" ref="G199:G262" ca="1" si="38">H198+IF(J198=0,I198*$C$9,0)+IF(J197=1,$C$9,0)</f>
        <v>460</v>
      </c>
      <c r="H199" s="5">
        <f t="shared" ca="1" si="36"/>
        <v>360</v>
      </c>
      <c r="I199" s="5">
        <f t="shared" ref="I199:I262" ca="1" si="39">IF(AND(H199&lt;$C$3,J198=0),1,0)</f>
        <v>0</v>
      </c>
      <c r="J199" s="5">
        <f t="shared" ca="1" si="37"/>
        <v>0</v>
      </c>
      <c r="K199" s="5">
        <f t="shared" ca="1" si="33"/>
        <v>0</v>
      </c>
      <c r="L199" s="5">
        <f t="shared" ca="1" si="34"/>
        <v>0</v>
      </c>
      <c r="M199" s="25">
        <f t="shared" ca="1" si="35"/>
        <v>9.8630136986301373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</row>
    <row r="200" spans="2:116" ht="13.2" hidden="1" customHeight="1">
      <c r="B200" s="21"/>
      <c r="E200" s="5">
        <v>196</v>
      </c>
      <c r="F200" s="5">
        <f t="shared" ca="1" si="32"/>
        <v>120</v>
      </c>
      <c r="G200" s="5">
        <f t="shared" ca="1" si="38"/>
        <v>360</v>
      </c>
      <c r="H200" s="5">
        <f t="shared" ca="1" si="36"/>
        <v>240</v>
      </c>
      <c r="I200" s="5">
        <f t="shared" ca="1" si="39"/>
        <v>0</v>
      </c>
      <c r="J200" s="5">
        <f t="shared" ca="1" si="37"/>
        <v>0</v>
      </c>
      <c r="K200" s="5">
        <f t="shared" ca="1" si="33"/>
        <v>0</v>
      </c>
      <c r="L200" s="5">
        <f t="shared" ca="1" si="34"/>
        <v>0</v>
      </c>
      <c r="M200" s="25">
        <f t="shared" ca="1" si="35"/>
        <v>6.5753424657534243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</row>
    <row r="201" spans="2:116" ht="13.2" hidden="1" customHeight="1">
      <c r="B201" s="21"/>
      <c r="E201" s="5">
        <v>197</v>
      </c>
      <c r="F201" s="5">
        <f t="shared" ca="1" si="32"/>
        <v>100</v>
      </c>
      <c r="G201" s="5">
        <f t="shared" ca="1" si="38"/>
        <v>240</v>
      </c>
      <c r="H201" s="5">
        <f t="shared" ca="1" si="36"/>
        <v>140</v>
      </c>
      <c r="I201" s="5">
        <f t="shared" ca="1" si="39"/>
        <v>0</v>
      </c>
      <c r="J201" s="5">
        <f t="shared" ca="1" si="37"/>
        <v>0</v>
      </c>
      <c r="K201" s="5">
        <f t="shared" ca="1" si="33"/>
        <v>0</v>
      </c>
      <c r="L201" s="5">
        <f t="shared" ca="1" si="34"/>
        <v>0</v>
      </c>
      <c r="M201" s="25">
        <f t="shared" ca="1" si="35"/>
        <v>3.8356164383561642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</row>
    <row r="202" spans="2:116" ht="13.2" hidden="1" customHeight="1">
      <c r="B202" s="21"/>
      <c r="E202" s="5">
        <v>198</v>
      </c>
      <c r="F202" s="5">
        <f t="shared" ca="1" si="32"/>
        <v>100</v>
      </c>
      <c r="G202" s="5">
        <f t="shared" ca="1" si="38"/>
        <v>140</v>
      </c>
      <c r="H202" s="5">
        <f t="shared" ca="1" si="36"/>
        <v>40</v>
      </c>
      <c r="I202" s="5">
        <f t="shared" ca="1" si="39"/>
        <v>1</v>
      </c>
      <c r="J202" s="5">
        <f t="shared" ca="1" si="37"/>
        <v>1</v>
      </c>
      <c r="K202" s="5">
        <f t="shared" ca="1" si="33"/>
        <v>0</v>
      </c>
      <c r="L202" s="5">
        <f t="shared" ca="1" si="34"/>
        <v>200</v>
      </c>
      <c r="M202" s="25">
        <f t="shared" ca="1" si="35"/>
        <v>1.095890410958904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</row>
    <row r="203" spans="2:116" ht="13.2" hidden="1" customHeight="1">
      <c r="B203" s="21"/>
      <c r="E203" s="5">
        <v>199</v>
      </c>
      <c r="F203" s="5">
        <f t="shared" ca="1" si="32"/>
        <v>120</v>
      </c>
      <c r="G203" s="5">
        <f t="shared" ca="1" si="38"/>
        <v>40</v>
      </c>
      <c r="H203" s="5">
        <f t="shared" ca="1" si="36"/>
        <v>0</v>
      </c>
      <c r="I203" s="5">
        <f t="shared" ca="1" si="39"/>
        <v>0</v>
      </c>
      <c r="J203" s="5">
        <f t="shared" ca="1" si="37"/>
        <v>0</v>
      </c>
      <c r="K203" s="5">
        <f t="shared" ca="1" si="33"/>
        <v>1</v>
      </c>
      <c r="L203" s="5">
        <f t="shared" ca="1" si="34"/>
        <v>0</v>
      </c>
      <c r="M203" s="25">
        <f t="shared" ca="1" si="35"/>
        <v>0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</row>
    <row r="204" spans="2:116" ht="13.2" hidden="1" customHeight="1">
      <c r="B204" s="21"/>
      <c r="E204" s="5">
        <v>200</v>
      </c>
      <c r="F204" s="5">
        <f t="shared" ca="1" si="32"/>
        <v>120</v>
      </c>
      <c r="G204" s="5">
        <f t="shared" ca="1" si="38"/>
        <v>1000</v>
      </c>
      <c r="H204" s="5">
        <f t="shared" ca="1" si="36"/>
        <v>880</v>
      </c>
      <c r="I204" s="5">
        <f t="shared" ca="1" si="39"/>
        <v>0</v>
      </c>
      <c r="J204" s="5">
        <f t="shared" ca="1" si="37"/>
        <v>0</v>
      </c>
      <c r="K204" s="5">
        <f t="shared" ca="1" si="33"/>
        <v>0</v>
      </c>
      <c r="L204" s="5">
        <f t="shared" ca="1" si="34"/>
        <v>0</v>
      </c>
      <c r="M204" s="25">
        <f t="shared" ca="1" si="35"/>
        <v>24.109589041095887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</row>
    <row r="205" spans="2:116" ht="13.2" hidden="1" customHeight="1">
      <c r="B205" s="21"/>
      <c r="E205" s="5">
        <v>201</v>
      </c>
      <c r="F205" s="5">
        <f t="shared" ca="1" si="32"/>
        <v>110</v>
      </c>
      <c r="G205" s="5">
        <f t="shared" ca="1" si="38"/>
        <v>880</v>
      </c>
      <c r="H205" s="5">
        <f t="shared" ca="1" si="36"/>
        <v>770</v>
      </c>
      <c r="I205" s="5">
        <f t="shared" ca="1" si="39"/>
        <v>0</v>
      </c>
      <c r="J205" s="5">
        <f t="shared" ca="1" si="37"/>
        <v>0</v>
      </c>
      <c r="K205" s="5">
        <f t="shared" ca="1" si="33"/>
        <v>0</v>
      </c>
      <c r="L205" s="5">
        <f t="shared" ca="1" si="34"/>
        <v>0</v>
      </c>
      <c r="M205" s="25">
        <f t="shared" ca="1" si="35"/>
        <v>21.095890410958901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</row>
    <row r="206" spans="2:116" ht="13.2" hidden="1" customHeight="1">
      <c r="B206" s="21"/>
      <c r="E206" s="5">
        <v>202</v>
      </c>
      <c r="F206" s="5">
        <f t="shared" ca="1" si="32"/>
        <v>110</v>
      </c>
      <c r="G206" s="5">
        <f t="shared" ca="1" si="38"/>
        <v>770</v>
      </c>
      <c r="H206" s="5">
        <f t="shared" ca="1" si="36"/>
        <v>660</v>
      </c>
      <c r="I206" s="5">
        <f t="shared" ca="1" si="39"/>
        <v>0</v>
      </c>
      <c r="J206" s="5">
        <f t="shared" ca="1" si="37"/>
        <v>0</v>
      </c>
      <c r="K206" s="5">
        <f t="shared" ca="1" si="33"/>
        <v>0</v>
      </c>
      <c r="L206" s="5">
        <f t="shared" ca="1" si="34"/>
        <v>0</v>
      </c>
      <c r="M206" s="25">
        <f t="shared" ca="1" si="35"/>
        <v>18.082191780821915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</row>
    <row r="207" spans="2:116" ht="13.2" hidden="1" customHeight="1">
      <c r="B207" s="21"/>
      <c r="E207" s="5">
        <v>203</v>
      </c>
      <c r="F207" s="5">
        <f t="shared" ca="1" si="32"/>
        <v>90</v>
      </c>
      <c r="G207" s="5">
        <f t="shared" ca="1" si="38"/>
        <v>660</v>
      </c>
      <c r="H207" s="5">
        <f t="shared" ca="1" si="36"/>
        <v>570</v>
      </c>
      <c r="I207" s="5">
        <f t="shared" ca="1" si="39"/>
        <v>0</v>
      </c>
      <c r="J207" s="5">
        <f t="shared" ca="1" si="37"/>
        <v>0</v>
      </c>
      <c r="K207" s="5">
        <f t="shared" ca="1" si="33"/>
        <v>0</v>
      </c>
      <c r="L207" s="5">
        <f t="shared" ca="1" si="34"/>
        <v>0</v>
      </c>
      <c r="M207" s="25">
        <f t="shared" ca="1" si="35"/>
        <v>15.616438356164382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</row>
    <row r="208" spans="2:116" ht="13.2" hidden="1" customHeight="1">
      <c r="B208" s="21"/>
      <c r="E208" s="5">
        <v>204</v>
      </c>
      <c r="F208" s="5">
        <f t="shared" ca="1" si="32"/>
        <v>90</v>
      </c>
      <c r="G208" s="5">
        <f t="shared" ca="1" si="38"/>
        <v>570</v>
      </c>
      <c r="H208" s="5">
        <f t="shared" ca="1" si="36"/>
        <v>480</v>
      </c>
      <c r="I208" s="5">
        <f t="shared" ca="1" si="39"/>
        <v>0</v>
      </c>
      <c r="J208" s="5">
        <f t="shared" ca="1" si="37"/>
        <v>0</v>
      </c>
      <c r="K208" s="5">
        <f t="shared" ca="1" si="33"/>
        <v>0</v>
      </c>
      <c r="L208" s="5">
        <f t="shared" ca="1" si="34"/>
        <v>0</v>
      </c>
      <c r="M208" s="25">
        <f t="shared" ca="1" si="35"/>
        <v>13.150684931506849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</row>
    <row r="209" spans="2:116" ht="13.2" hidden="1" customHeight="1">
      <c r="B209" s="21"/>
      <c r="E209" s="5">
        <v>205</v>
      </c>
      <c r="F209" s="5">
        <f t="shared" ca="1" si="32"/>
        <v>0</v>
      </c>
      <c r="G209" s="5">
        <f t="shared" ca="1" si="38"/>
        <v>480</v>
      </c>
      <c r="H209" s="5">
        <f t="shared" ca="1" si="36"/>
        <v>480</v>
      </c>
      <c r="I209" s="5">
        <f t="shared" ca="1" si="39"/>
        <v>0</v>
      </c>
      <c r="J209" s="5">
        <f t="shared" ca="1" si="37"/>
        <v>0</v>
      </c>
      <c r="K209" s="5">
        <f t="shared" ca="1" si="33"/>
        <v>0</v>
      </c>
      <c r="L209" s="5">
        <f t="shared" ca="1" si="34"/>
        <v>0</v>
      </c>
      <c r="M209" s="25">
        <f t="shared" ca="1" si="35"/>
        <v>13.150684931506849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</row>
    <row r="210" spans="2:116" ht="13.2" hidden="1" customHeight="1">
      <c r="B210" s="21"/>
      <c r="E210" s="5">
        <v>206</v>
      </c>
      <c r="F210" s="5">
        <f t="shared" ca="1" si="32"/>
        <v>110</v>
      </c>
      <c r="G210" s="5">
        <f t="shared" ca="1" si="38"/>
        <v>480</v>
      </c>
      <c r="H210" s="5">
        <f t="shared" ca="1" si="36"/>
        <v>370</v>
      </c>
      <c r="I210" s="5">
        <f t="shared" ca="1" si="39"/>
        <v>0</v>
      </c>
      <c r="J210" s="5">
        <f t="shared" ca="1" si="37"/>
        <v>0</v>
      </c>
      <c r="K210" s="5">
        <f t="shared" ca="1" si="33"/>
        <v>0</v>
      </c>
      <c r="L210" s="5">
        <f t="shared" ca="1" si="34"/>
        <v>0</v>
      </c>
      <c r="M210" s="25">
        <f t="shared" ca="1" si="35"/>
        <v>10.136986301369863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</row>
    <row r="211" spans="2:116" ht="13.2" hidden="1" customHeight="1">
      <c r="B211" s="21"/>
      <c r="E211" s="5">
        <v>207</v>
      </c>
      <c r="F211" s="5">
        <f t="shared" ca="1" si="32"/>
        <v>100</v>
      </c>
      <c r="G211" s="5">
        <f t="shared" ca="1" si="38"/>
        <v>370</v>
      </c>
      <c r="H211" s="5">
        <f t="shared" ca="1" si="36"/>
        <v>270</v>
      </c>
      <c r="I211" s="5">
        <f t="shared" ca="1" si="39"/>
        <v>0</v>
      </c>
      <c r="J211" s="5">
        <f t="shared" ca="1" si="37"/>
        <v>0</v>
      </c>
      <c r="K211" s="5">
        <f t="shared" ca="1" si="33"/>
        <v>0</v>
      </c>
      <c r="L211" s="5">
        <f t="shared" ca="1" si="34"/>
        <v>0</v>
      </c>
      <c r="M211" s="25">
        <f t="shared" ca="1" si="35"/>
        <v>7.3972602739726021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</row>
    <row r="212" spans="2:116" ht="13.2" hidden="1" customHeight="1">
      <c r="B212" s="21"/>
      <c r="E212" s="5">
        <v>208</v>
      </c>
      <c r="F212" s="5">
        <f t="shared" ca="1" si="32"/>
        <v>110</v>
      </c>
      <c r="G212" s="5">
        <f t="shared" ca="1" si="38"/>
        <v>270</v>
      </c>
      <c r="H212" s="5">
        <f t="shared" ca="1" si="36"/>
        <v>160</v>
      </c>
      <c r="I212" s="5">
        <f t="shared" ca="1" si="39"/>
        <v>0</v>
      </c>
      <c r="J212" s="5">
        <f t="shared" ca="1" si="37"/>
        <v>0</v>
      </c>
      <c r="K212" s="5">
        <f t="shared" ca="1" si="33"/>
        <v>0</v>
      </c>
      <c r="L212" s="5">
        <f t="shared" ca="1" si="34"/>
        <v>0</v>
      </c>
      <c r="M212" s="25">
        <f t="shared" ca="1" si="35"/>
        <v>4.3835616438356162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</row>
    <row r="213" spans="2:116" ht="13.2" hidden="1" customHeight="1">
      <c r="B213" s="21"/>
      <c r="E213" s="5">
        <v>209</v>
      </c>
      <c r="F213" s="5">
        <f t="shared" ca="1" si="32"/>
        <v>120</v>
      </c>
      <c r="G213" s="5">
        <f t="shared" ca="1" si="38"/>
        <v>160</v>
      </c>
      <c r="H213" s="5">
        <f t="shared" ca="1" si="36"/>
        <v>40</v>
      </c>
      <c r="I213" s="5">
        <f t="shared" ca="1" si="39"/>
        <v>1</v>
      </c>
      <c r="J213" s="5">
        <f t="shared" ca="1" si="37"/>
        <v>0</v>
      </c>
      <c r="K213" s="5">
        <f t="shared" ca="1" si="33"/>
        <v>0</v>
      </c>
      <c r="L213" s="5">
        <f t="shared" ca="1" si="34"/>
        <v>200</v>
      </c>
      <c r="M213" s="25">
        <f t="shared" ca="1" si="35"/>
        <v>1.095890410958904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</row>
    <row r="214" spans="2:116" ht="13.2" hidden="1" customHeight="1">
      <c r="B214" s="21"/>
      <c r="E214" s="5">
        <v>210</v>
      </c>
      <c r="F214" s="5">
        <f t="shared" ca="1" si="32"/>
        <v>110</v>
      </c>
      <c r="G214" s="5">
        <f t="shared" ca="1" si="38"/>
        <v>1040</v>
      </c>
      <c r="H214" s="5">
        <f t="shared" ca="1" si="36"/>
        <v>930</v>
      </c>
      <c r="I214" s="5">
        <f t="shared" ca="1" si="39"/>
        <v>0</v>
      </c>
      <c r="J214" s="5">
        <f t="shared" ca="1" si="37"/>
        <v>0</v>
      </c>
      <c r="K214" s="5">
        <f t="shared" ca="1" si="33"/>
        <v>0</v>
      </c>
      <c r="L214" s="5">
        <f t="shared" ca="1" si="34"/>
        <v>0</v>
      </c>
      <c r="M214" s="25">
        <f t="shared" ca="1" si="35"/>
        <v>25.479452054794518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</row>
    <row r="215" spans="2:116" ht="13.2" hidden="1" customHeight="1">
      <c r="B215" s="21"/>
      <c r="E215" s="5">
        <v>211</v>
      </c>
      <c r="F215" s="5">
        <f t="shared" ca="1" si="32"/>
        <v>110</v>
      </c>
      <c r="G215" s="5">
        <f t="shared" ca="1" si="38"/>
        <v>930</v>
      </c>
      <c r="H215" s="5">
        <f t="shared" ca="1" si="36"/>
        <v>820</v>
      </c>
      <c r="I215" s="5">
        <f t="shared" ca="1" si="39"/>
        <v>0</v>
      </c>
      <c r="J215" s="5">
        <f t="shared" ca="1" si="37"/>
        <v>0</v>
      </c>
      <c r="K215" s="5">
        <f t="shared" ca="1" si="33"/>
        <v>0</v>
      </c>
      <c r="L215" s="5">
        <f t="shared" ca="1" si="34"/>
        <v>0</v>
      </c>
      <c r="M215" s="25">
        <f t="shared" ca="1" si="35"/>
        <v>22.465753424657532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</row>
    <row r="216" spans="2:116" ht="13.2" hidden="1" customHeight="1">
      <c r="B216" s="21"/>
      <c r="E216" s="5">
        <v>212</v>
      </c>
      <c r="F216" s="5">
        <f t="shared" ca="1" si="32"/>
        <v>120</v>
      </c>
      <c r="G216" s="5">
        <f t="shared" ca="1" si="38"/>
        <v>820</v>
      </c>
      <c r="H216" s="5">
        <f t="shared" ca="1" si="36"/>
        <v>700</v>
      </c>
      <c r="I216" s="5">
        <f t="shared" ca="1" si="39"/>
        <v>0</v>
      </c>
      <c r="J216" s="5">
        <f t="shared" ca="1" si="37"/>
        <v>0</v>
      </c>
      <c r="K216" s="5">
        <f t="shared" ca="1" si="33"/>
        <v>0</v>
      </c>
      <c r="L216" s="5">
        <f t="shared" ca="1" si="34"/>
        <v>0</v>
      </c>
      <c r="M216" s="25">
        <f t="shared" ca="1" si="35"/>
        <v>19.17808219178082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</row>
    <row r="217" spans="2:116" ht="13.2" hidden="1" customHeight="1">
      <c r="B217" s="21"/>
      <c r="E217" s="5">
        <v>213</v>
      </c>
      <c r="F217" s="5">
        <f t="shared" ca="1" si="32"/>
        <v>0</v>
      </c>
      <c r="G217" s="5">
        <f t="shared" ca="1" si="38"/>
        <v>700</v>
      </c>
      <c r="H217" s="5">
        <f t="shared" ca="1" si="36"/>
        <v>700</v>
      </c>
      <c r="I217" s="5">
        <f t="shared" ca="1" si="39"/>
        <v>0</v>
      </c>
      <c r="J217" s="5">
        <f t="shared" ca="1" si="37"/>
        <v>0</v>
      </c>
      <c r="K217" s="5">
        <f t="shared" ca="1" si="33"/>
        <v>0</v>
      </c>
      <c r="L217" s="5">
        <f t="shared" ca="1" si="34"/>
        <v>0</v>
      </c>
      <c r="M217" s="25">
        <f t="shared" ca="1" si="35"/>
        <v>19.17808219178082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</row>
    <row r="218" spans="2:116" ht="13.2" hidden="1" customHeight="1">
      <c r="B218" s="21"/>
      <c r="E218" s="5">
        <v>214</v>
      </c>
      <c r="F218" s="5">
        <f t="shared" ca="1" si="32"/>
        <v>0</v>
      </c>
      <c r="G218" s="5">
        <f t="shared" ca="1" si="38"/>
        <v>700</v>
      </c>
      <c r="H218" s="5">
        <f t="shared" ca="1" si="36"/>
        <v>700</v>
      </c>
      <c r="I218" s="5">
        <f t="shared" ca="1" si="39"/>
        <v>0</v>
      </c>
      <c r="J218" s="5">
        <f t="shared" ca="1" si="37"/>
        <v>0</v>
      </c>
      <c r="K218" s="5">
        <f t="shared" ca="1" si="33"/>
        <v>0</v>
      </c>
      <c r="L218" s="5">
        <f t="shared" ca="1" si="34"/>
        <v>0</v>
      </c>
      <c r="M218" s="25">
        <f t="shared" ca="1" si="35"/>
        <v>19.17808219178082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</row>
    <row r="219" spans="2:116" ht="13.2" hidden="1" customHeight="1">
      <c r="B219" s="21"/>
      <c r="E219" s="5">
        <v>215</v>
      </c>
      <c r="F219" s="5">
        <f t="shared" ca="1" si="32"/>
        <v>100</v>
      </c>
      <c r="G219" s="5">
        <f t="shared" ca="1" si="38"/>
        <v>700</v>
      </c>
      <c r="H219" s="5">
        <f t="shared" ca="1" si="36"/>
        <v>600</v>
      </c>
      <c r="I219" s="5">
        <f t="shared" ca="1" si="39"/>
        <v>0</v>
      </c>
      <c r="J219" s="5">
        <f t="shared" ca="1" si="37"/>
        <v>0</v>
      </c>
      <c r="K219" s="5">
        <f t="shared" ca="1" si="33"/>
        <v>0</v>
      </c>
      <c r="L219" s="5">
        <f t="shared" ca="1" si="34"/>
        <v>0</v>
      </c>
      <c r="M219" s="25">
        <f t="shared" ca="1" si="35"/>
        <v>16.43835616438356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</row>
    <row r="220" spans="2:116" ht="13.2" hidden="1" customHeight="1">
      <c r="B220" s="21"/>
      <c r="E220" s="5">
        <v>216</v>
      </c>
      <c r="F220" s="5">
        <f t="shared" ca="1" si="32"/>
        <v>110</v>
      </c>
      <c r="G220" s="5">
        <f t="shared" ca="1" si="38"/>
        <v>600</v>
      </c>
      <c r="H220" s="5">
        <f t="shared" ca="1" si="36"/>
        <v>490</v>
      </c>
      <c r="I220" s="5">
        <f t="shared" ca="1" si="39"/>
        <v>0</v>
      </c>
      <c r="J220" s="5">
        <f t="shared" ca="1" si="37"/>
        <v>0</v>
      </c>
      <c r="K220" s="5">
        <f t="shared" ca="1" si="33"/>
        <v>0</v>
      </c>
      <c r="L220" s="5">
        <f t="shared" ca="1" si="34"/>
        <v>0</v>
      </c>
      <c r="M220" s="25">
        <f t="shared" ca="1" si="35"/>
        <v>13.424657534246574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</row>
    <row r="221" spans="2:116" ht="13.2" hidden="1" customHeight="1">
      <c r="B221" s="21"/>
      <c r="E221" s="5">
        <v>217</v>
      </c>
      <c r="F221" s="5">
        <f t="shared" ca="1" si="32"/>
        <v>100</v>
      </c>
      <c r="G221" s="5">
        <f t="shared" ca="1" si="38"/>
        <v>490</v>
      </c>
      <c r="H221" s="5">
        <f t="shared" ca="1" si="36"/>
        <v>390</v>
      </c>
      <c r="I221" s="5">
        <f t="shared" ca="1" si="39"/>
        <v>0</v>
      </c>
      <c r="J221" s="5">
        <f t="shared" ca="1" si="37"/>
        <v>0</v>
      </c>
      <c r="K221" s="5">
        <f t="shared" ca="1" si="33"/>
        <v>0</v>
      </c>
      <c r="L221" s="5">
        <f t="shared" ca="1" si="34"/>
        <v>0</v>
      </c>
      <c r="M221" s="25">
        <f t="shared" ca="1" si="35"/>
        <v>10.684931506849315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</row>
    <row r="222" spans="2:116" ht="13.2" hidden="1" customHeight="1">
      <c r="B222" s="21"/>
      <c r="E222" s="5">
        <v>218</v>
      </c>
      <c r="F222" s="5">
        <f t="shared" ca="1" si="32"/>
        <v>110</v>
      </c>
      <c r="G222" s="5">
        <f t="shared" ca="1" si="38"/>
        <v>390</v>
      </c>
      <c r="H222" s="5">
        <f t="shared" ca="1" si="36"/>
        <v>280</v>
      </c>
      <c r="I222" s="5">
        <f t="shared" ca="1" si="39"/>
        <v>0</v>
      </c>
      <c r="J222" s="5">
        <f t="shared" ca="1" si="37"/>
        <v>0</v>
      </c>
      <c r="K222" s="5">
        <f t="shared" ca="1" si="33"/>
        <v>0</v>
      </c>
      <c r="L222" s="5">
        <f t="shared" ca="1" si="34"/>
        <v>0</v>
      </c>
      <c r="M222" s="25">
        <f t="shared" ca="1" si="35"/>
        <v>7.6712328767123283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</row>
    <row r="223" spans="2:116" ht="13.2" hidden="1" customHeight="1">
      <c r="B223" s="21"/>
      <c r="E223" s="5">
        <v>219</v>
      </c>
      <c r="F223" s="5">
        <f t="shared" ca="1" si="32"/>
        <v>120</v>
      </c>
      <c r="G223" s="5">
        <f t="shared" ca="1" si="38"/>
        <v>280</v>
      </c>
      <c r="H223" s="5">
        <f t="shared" ca="1" si="36"/>
        <v>160</v>
      </c>
      <c r="I223" s="5">
        <f t="shared" ca="1" si="39"/>
        <v>0</v>
      </c>
      <c r="J223" s="5">
        <f t="shared" ca="1" si="37"/>
        <v>0</v>
      </c>
      <c r="K223" s="5">
        <f t="shared" ca="1" si="33"/>
        <v>0</v>
      </c>
      <c r="L223" s="5">
        <f t="shared" ca="1" si="34"/>
        <v>0</v>
      </c>
      <c r="M223" s="25">
        <f t="shared" ca="1" si="35"/>
        <v>4.3835616438356162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</row>
    <row r="224" spans="2:116" ht="13.2" hidden="1" customHeight="1">
      <c r="B224" s="21"/>
      <c r="E224" s="5">
        <v>220</v>
      </c>
      <c r="F224" s="5">
        <f t="shared" ca="1" si="32"/>
        <v>110</v>
      </c>
      <c r="G224" s="5">
        <f t="shared" ca="1" si="38"/>
        <v>160</v>
      </c>
      <c r="H224" s="5">
        <f t="shared" ca="1" si="36"/>
        <v>50</v>
      </c>
      <c r="I224" s="5">
        <f t="shared" ca="1" si="39"/>
        <v>1</v>
      </c>
      <c r="J224" s="5">
        <f t="shared" ca="1" si="37"/>
        <v>0</v>
      </c>
      <c r="K224" s="5">
        <f t="shared" ca="1" si="33"/>
        <v>0</v>
      </c>
      <c r="L224" s="5">
        <f t="shared" ca="1" si="34"/>
        <v>200</v>
      </c>
      <c r="M224" s="25">
        <f t="shared" ca="1" si="35"/>
        <v>1.3698630136986301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</row>
    <row r="225" spans="2:116" ht="13.2" hidden="1" customHeight="1">
      <c r="B225" s="21"/>
      <c r="E225" s="5">
        <v>221</v>
      </c>
      <c r="F225" s="5">
        <f t="shared" ca="1" si="32"/>
        <v>120</v>
      </c>
      <c r="G225" s="5">
        <f t="shared" ca="1" si="38"/>
        <v>1050</v>
      </c>
      <c r="H225" s="5">
        <f t="shared" ca="1" si="36"/>
        <v>930</v>
      </c>
      <c r="I225" s="5">
        <f t="shared" ca="1" si="39"/>
        <v>0</v>
      </c>
      <c r="J225" s="5">
        <f t="shared" ca="1" si="37"/>
        <v>0</v>
      </c>
      <c r="K225" s="5">
        <f t="shared" ca="1" si="33"/>
        <v>0</v>
      </c>
      <c r="L225" s="5">
        <f t="shared" ca="1" si="34"/>
        <v>0</v>
      </c>
      <c r="M225" s="25">
        <f t="shared" ca="1" si="35"/>
        <v>25.479452054794518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</row>
    <row r="226" spans="2:116" ht="13.2" hidden="1" customHeight="1">
      <c r="B226" s="21"/>
      <c r="E226" s="5">
        <v>222</v>
      </c>
      <c r="F226" s="5">
        <f t="shared" ca="1" si="32"/>
        <v>120</v>
      </c>
      <c r="G226" s="5">
        <f t="shared" ca="1" si="38"/>
        <v>930</v>
      </c>
      <c r="H226" s="5">
        <f t="shared" ca="1" si="36"/>
        <v>810</v>
      </c>
      <c r="I226" s="5">
        <f t="shared" ca="1" si="39"/>
        <v>0</v>
      </c>
      <c r="J226" s="5">
        <f t="shared" ca="1" si="37"/>
        <v>0</v>
      </c>
      <c r="K226" s="5">
        <f t="shared" ca="1" si="33"/>
        <v>0</v>
      </c>
      <c r="L226" s="5">
        <f t="shared" ca="1" si="34"/>
        <v>0</v>
      </c>
      <c r="M226" s="25">
        <f t="shared" ca="1" si="35"/>
        <v>22.191780821917806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</row>
    <row r="227" spans="2:116" ht="13.2" hidden="1" customHeight="1">
      <c r="B227" s="21"/>
      <c r="E227" s="5">
        <v>223</v>
      </c>
      <c r="F227" s="5">
        <f t="shared" ca="1" si="32"/>
        <v>120</v>
      </c>
      <c r="G227" s="5">
        <f t="shared" ca="1" si="38"/>
        <v>810</v>
      </c>
      <c r="H227" s="5">
        <f t="shared" ca="1" si="36"/>
        <v>690</v>
      </c>
      <c r="I227" s="5">
        <f t="shared" ca="1" si="39"/>
        <v>0</v>
      </c>
      <c r="J227" s="5">
        <f t="shared" ca="1" si="37"/>
        <v>0</v>
      </c>
      <c r="K227" s="5">
        <f t="shared" ca="1" si="33"/>
        <v>0</v>
      </c>
      <c r="L227" s="5">
        <f t="shared" ca="1" si="34"/>
        <v>0</v>
      </c>
      <c r="M227" s="25">
        <f t="shared" ca="1" si="35"/>
        <v>18.904109589041095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</row>
    <row r="228" spans="2:116" ht="13.2" hidden="1" customHeight="1">
      <c r="B228" s="21"/>
      <c r="E228" s="5">
        <v>224</v>
      </c>
      <c r="F228" s="5">
        <f t="shared" ca="1" si="32"/>
        <v>110</v>
      </c>
      <c r="G228" s="5">
        <f t="shared" ca="1" si="38"/>
        <v>690</v>
      </c>
      <c r="H228" s="5">
        <f t="shared" ca="1" si="36"/>
        <v>580</v>
      </c>
      <c r="I228" s="5">
        <f t="shared" ca="1" si="39"/>
        <v>0</v>
      </c>
      <c r="J228" s="5">
        <f t="shared" ca="1" si="37"/>
        <v>0</v>
      </c>
      <c r="K228" s="5">
        <f t="shared" ca="1" si="33"/>
        <v>0</v>
      </c>
      <c r="L228" s="5">
        <f t="shared" ca="1" si="34"/>
        <v>0</v>
      </c>
      <c r="M228" s="25">
        <f t="shared" ca="1" si="35"/>
        <v>15.890410958904109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</row>
    <row r="229" spans="2:116" ht="13.2" hidden="1" customHeight="1">
      <c r="B229" s="21"/>
      <c r="E229" s="5">
        <v>225</v>
      </c>
      <c r="F229" s="5">
        <f t="shared" ca="1" si="32"/>
        <v>90</v>
      </c>
      <c r="G229" s="5">
        <f t="shared" ca="1" si="38"/>
        <v>580</v>
      </c>
      <c r="H229" s="5">
        <f t="shared" ca="1" si="36"/>
        <v>490</v>
      </c>
      <c r="I229" s="5">
        <f t="shared" ca="1" si="39"/>
        <v>0</v>
      </c>
      <c r="J229" s="5">
        <f t="shared" ca="1" si="37"/>
        <v>0</v>
      </c>
      <c r="K229" s="5">
        <f t="shared" ca="1" si="33"/>
        <v>0</v>
      </c>
      <c r="L229" s="5">
        <f t="shared" ca="1" si="34"/>
        <v>0</v>
      </c>
      <c r="M229" s="25">
        <f t="shared" ca="1" si="35"/>
        <v>13.424657534246574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</row>
    <row r="230" spans="2:116" ht="13.2" hidden="1" customHeight="1">
      <c r="B230" s="21"/>
      <c r="E230" s="5">
        <v>226</v>
      </c>
      <c r="F230" s="5">
        <f t="shared" ca="1" si="32"/>
        <v>120</v>
      </c>
      <c r="G230" s="5">
        <f t="shared" ca="1" si="38"/>
        <v>490</v>
      </c>
      <c r="H230" s="5">
        <f t="shared" ca="1" si="36"/>
        <v>370</v>
      </c>
      <c r="I230" s="5">
        <f t="shared" ca="1" si="39"/>
        <v>0</v>
      </c>
      <c r="J230" s="5">
        <f t="shared" ca="1" si="37"/>
        <v>0</v>
      </c>
      <c r="K230" s="5">
        <f t="shared" ca="1" si="33"/>
        <v>0</v>
      </c>
      <c r="L230" s="5">
        <f t="shared" ca="1" si="34"/>
        <v>0</v>
      </c>
      <c r="M230" s="25">
        <f t="shared" ca="1" si="35"/>
        <v>10.136986301369863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</row>
    <row r="231" spans="2:116" ht="13.2" hidden="1" customHeight="1">
      <c r="B231" s="21"/>
      <c r="E231" s="5">
        <v>227</v>
      </c>
      <c r="F231" s="5">
        <f t="shared" ca="1" si="32"/>
        <v>120</v>
      </c>
      <c r="G231" s="5">
        <f t="shared" ca="1" si="38"/>
        <v>370</v>
      </c>
      <c r="H231" s="5">
        <f t="shared" ca="1" si="36"/>
        <v>250</v>
      </c>
      <c r="I231" s="5">
        <f t="shared" ca="1" si="39"/>
        <v>0</v>
      </c>
      <c r="J231" s="5">
        <f t="shared" ca="1" si="37"/>
        <v>0</v>
      </c>
      <c r="K231" s="5">
        <f t="shared" ca="1" si="33"/>
        <v>0</v>
      </c>
      <c r="L231" s="5">
        <f t="shared" ca="1" si="34"/>
        <v>0</v>
      </c>
      <c r="M231" s="25">
        <f t="shared" ca="1" si="35"/>
        <v>6.8493150684931505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</row>
    <row r="232" spans="2:116" ht="13.2" hidden="1" customHeight="1">
      <c r="B232" s="21"/>
      <c r="E232" s="5">
        <v>228</v>
      </c>
      <c r="F232" s="5">
        <f t="shared" ca="1" si="32"/>
        <v>120</v>
      </c>
      <c r="G232" s="5">
        <f t="shared" ca="1" si="38"/>
        <v>250</v>
      </c>
      <c r="H232" s="5">
        <f t="shared" ca="1" si="36"/>
        <v>130</v>
      </c>
      <c r="I232" s="5">
        <f t="shared" ca="1" si="39"/>
        <v>0</v>
      </c>
      <c r="J232" s="5">
        <f t="shared" ca="1" si="37"/>
        <v>0</v>
      </c>
      <c r="K232" s="5">
        <f t="shared" ca="1" si="33"/>
        <v>0</v>
      </c>
      <c r="L232" s="5">
        <f t="shared" ca="1" si="34"/>
        <v>0</v>
      </c>
      <c r="M232" s="25">
        <f t="shared" ca="1" si="35"/>
        <v>3.5616438356164384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</row>
    <row r="233" spans="2:116" ht="13.2" hidden="1" customHeight="1">
      <c r="B233" s="21"/>
      <c r="E233" s="5">
        <v>229</v>
      </c>
      <c r="F233" s="5">
        <f t="shared" ca="1" si="32"/>
        <v>110</v>
      </c>
      <c r="G233" s="5">
        <f t="shared" ca="1" si="38"/>
        <v>130</v>
      </c>
      <c r="H233" s="5">
        <f t="shared" ca="1" si="36"/>
        <v>20</v>
      </c>
      <c r="I233" s="5">
        <f t="shared" ca="1" si="39"/>
        <v>1</v>
      </c>
      <c r="J233" s="5">
        <f t="shared" ca="1" si="37"/>
        <v>1</v>
      </c>
      <c r="K233" s="5">
        <f t="shared" ca="1" si="33"/>
        <v>0</v>
      </c>
      <c r="L233" s="5">
        <f t="shared" ca="1" si="34"/>
        <v>200</v>
      </c>
      <c r="M233" s="25">
        <f t="shared" ca="1" si="35"/>
        <v>0.54794520547945202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</row>
    <row r="234" spans="2:116" ht="13.2" hidden="1" customHeight="1">
      <c r="B234" s="21"/>
      <c r="E234" s="5">
        <v>230</v>
      </c>
      <c r="F234" s="5">
        <f t="shared" ca="1" si="32"/>
        <v>120</v>
      </c>
      <c r="G234" s="5">
        <f t="shared" ca="1" si="38"/>
        <v>20</v>
      </c>
      <c r="H234" s="5">
        <f t="shared" ca="1" si="36"/>
        <v>0</v>
      </c>
      <c r="I234" s="5">
        <f t="shared" ca="1" si="39"/>
        <v>0</v>
      </c>
      <c r="J234" s="5">
        <f t="shared" ca="1" si="37"/>
        <v>0</v>
      </c>
      <c r="K234" s="5">
        <f t="shared" ca="1" si="33"/>
        <v>1</v>
      </c>
      <c r="L234" s="5">
        <f t="shared" ca="1" si="34"/>
        <v>0</v>
      </c>
      <c r="M234" s="25">
        <f t="shared" ca="1" si="35"/>
        <v>0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</row>
    <row r="235" spans="2:116" ht="13.2" hidden="1" customHeight="1">
      <c r="B235" s="21"/>
      <c r="E235" s="5">
        <v>231</v>
      </c>
      <c r="F235" s="5">
        <f t="shared" ca="1" si="32"/>
        <v>90</v>
      </c>
      <c r="G235" s="5">
        <f t="shared" ca="1" si="38"/>
        <v>1000</v>
      </c>
      <c r="H235" s="5">
        <f t="shared" ca="1" si="36"/>
        <v>910</v>
      </c>
      <c r="I235" s="5">
        <f t="shared" ca="1" si="39"/>
        <v>0</v>
      </c>
      <c r="J235" s="5">
        <f t="shared" ca="1" si="37"/>
        <v>0</v>
      </c>
      <c r="K235" s="5">
        <f t="shared" ca="1" si="33"/>
        <v>0</v>
      </c>
      <c r="L235" s="5">
        <f t="shared" ca="1" si="34"/>
        <v>0</v>
      </c>
      <c r="M235" s="25">
        <f t="shared" ca="1" si="35"/>
        <v>24.931506849315067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</row>
    <row r="236" spans="2:116" ht="13.2" hidden="1" customHeight="1">
      <c r="B236" s="21"/>
      <c r="E236" s="5">
        <v>232</v>
      </c>
      <c r="F236" s="5">
        <f t="shared" ca="1" si="32"/>
        <v>110</v>
      </c>
      <c r="G236" s="5">
        <f t="shared" ca="1" si="38"/>
        <v>910</v>
      </c>
      <c r="H236" s="5">
        <f t="shared" ca="1" si="36"/>
        <v>800</v>
      </c>
      <c r="I236" s="5">
        <f t="shared" ca="1" si="39"/>
        <v>0</v>
      </c>
      <c r="J236" s="5">
        <f t="shared" ca="1" si="37"/>
        <v>0</v>
      </c>
      <c r="K236" s="5">
        <f t="shared" ca="1" si="33"/>
        <v>0</v>
      </c>
      <c r="L236" s="5">
        <f t="shared" ca="1" si="34"/>
        <v>0</v>
      </c>
      <c r="M236" s="25">
        <f t="shared" ca="1" si="35"/>
        <v>21.917808219178081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</row>
    <row r="237" spans="2:116" ht="13.2" hidden="1" customHeight="1">
      <c r="B237" s="21"/>
      <c r="E237" s="5">
        <v>233</v>
      </c>
      <c r="F237" s="5">
        <f t="shared" ca="1" si="32"/>
        <v>110</v>
      </c>
      <c r="G237" s="5">
        <f t="shared" ca="1" si="38"/>
        <v>800</v>
      </c>
      <c r="H237" s="5">
        <f t="shared" ca="1" si="36"/>
        <v>690</v>
      </c>
      <c r="I237" s="5">
        <f t="shared" ca="1" si="39"/>
        <v>0</v>
      </c>
      <c r="J237" s="5">
        <f t="shared" ca="1" si="37"/>
        <v>0</v>
      </c>
      <c r="K237" s="5">
        <f t="shared" ca="1" si="33"/>
        <v>0</v>
      </c>
      <c r="L237" s="5">
        <f t="shared" ca="1" si="34"/>
        <v>0</v>
      </c>
      <c r="M237" s="25">
        <f t="shared" ca="1" si="35"/>
        <v>18.904109589041095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</row>
    <row r="238" spans="2:116" ht="13.2" hidden="1" customHeight="1">
      <c r="B238" s="21"/>
      <c r="E238" s="5">
        <v>234</v>
      </c>
      <c r="F238" s="5">
        <f t="shared" ca="1" si="32"/>
        <v>0</v>
      </c>
      <c r="G238" s="5">
        <f t="shared" ca="1" si="38"/>
        <v>690</v>
      </c>
      <c r="H238" s="5">
        <f t="shared" ca="1" si="36"/>
        <v>690</v>
      </c>
      <c r="I238" s="5">
        <f t="shared" ca="1" si="39"/>
        <v>0</v>
      </c>
      <c r="J238" s="5">
        <f t="shared" ca="1" si="37"/>
        <v>0</v>
      </c>
      <c r="K238" s="5">
        <f t="shared" ca="1" si="33"/>
        <v>0</v>
      </c>
      <c r="L238" s="5">
        <f t="shared" ca="1" si="34"/>
        <v>0</v>
      </c>
      <c r="M238" s="25">
        <f t="shared" ca="1" si="35"/>
        <v>18.904109589041095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</row>
    <row r="239" spans="2:116" ht="13.2" hidden="1" customHeight="1">
      <c r="B239" s="21"/>
      <c r="E239" s="5">
        <v>235</v>
      </c>
      <c r="F239" s="5">
        <f t="shared" ca="1" si="32"/>
        <v>110</v>
      </c>
      <c r="G239" s="5">
        <f t="shared" ca="1" si="38"/>
        <v>690</v>
      </c>
      <c r="H239" s="5">
        <f t="shared" ca="1" si="36"/>
        <v>580</v>
      </c>
      <c r="I239" s="5">
        <f t="shared" ca="1" si="39"/>
        <v>0</v>
      </c>
      <c r="J239" s="5">
        <f t="shared" ca="1" si="37"/>
        <v>0</v>
      </c>
      <c r="K239" s="5">
        <f t="shared" ca="1" si="33"/>
        <v>0</v>
      </c>
      <c r="L239" s="5">
        <f t="shared" ca="1" si="34"/>
        <v>0</v>
      </c>
      <c r="M239" s="25">
        <f t="shared" ca="1" si="35"/>
        <v>15.890410958904109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</row>
    <row r="240" spans="2:116" ht="13.2" hidden="1" customHeight="1">
      <c r="B240" s="21"/>
      <c r="E240" s="5">
        <v>236</v>
      </c>
      <c r="F240" s="5">
        <f t="shared" ca="1" si="32"/>
        <v>110</v>
      </c>
      <c r="G240" s="5">
        <f t="shared" ca="1" si="38"/>
        <v>580</v>
      </c>
      <c r="H240" s="5">
        <f t="shared" ca="1" si="36"/>
        <v>470</v>
      </c>
      <c r="I240" s="5">
        <f t="shared" ca="1" si="39"/>
        <v>0</v>
      </c>
      <c r="J240" s="5">
        <f t="shared" ca="1" si="37"/>
        <v>0</v>
      </c>
      <c r="K240" s="5">
        <f t="shared" ca="1" si="33"/>
        <v>0</v>
      </c>
      <c r="L240" s="5">
        <f t="shared" ca="1" si="34"/>
        <v>0</v>
      </c>
      <c r="M240" s="25">
        <f t="shared" ca="1" si="35"/>
        <v>12.876712328767123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</row>
    <row r="241" spans="2:116" ht="13.2" hidden="1" customHeight="1">
      <c r="B241" s="21"/>
      <c r="E241" s="5">
        <v>237</v>
      </c>
      <c r="F241" s="5">
        <f t="shared" ca="1" si="32"/>
        <v>90</v>
      </c>
      <c r="G241" s="5">
        <f t="shared" ca="1" si="38"/>
        <v>470</v>
      </c>
      <c r="H241" s="5">
        <f t="shared" ca="1" si="36"/>
        <v>380</v>
      </c>
      <c r="I241" s="5">
        <f t="shared" ca="1" si="39"/>
        <v>0</v>
      </c>
      <c r="J241" s="5">
        <f t="shared" ca="1" si="37"/>
        <v>0</v>
      </c>
      <c r="K241" s="5">
        <f t="shared" ca="1" si="33"/>
        <v>0</v>
      </c>
      <c r="L241" s="5">
        <f t="shared" ca="1" si="34"/>
        <v>0</v>
      </c>
      <c r="M241" s="25">
        <f t="shared" ca="1" si="35"/>
        <v>10.410958904109588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</row>
    <row r="242" spans="2:116" ht="13.2" hidden="1" customHeight="1">
      <c r="B242" s="21"/>
      <c r="E242" s="5">
        <v>238</v>
      </c>
      <c r="F242" s="5">
        <f t="shared" ca="1" si="32"/>
        <v>120</v>
      </c>
      <c r="G242" s="5">
        <f t="shared" ca="1" si="38"/>
        <v>380</v>
      </c>
      <c r="H242" s="5">
        <f t="shared" ca="1" si="36"/>
        <v>260</v>
      </c>
      <c r="I242" s="5">
        <f t="shared" ca="1" si="39"/>
        <v>0</v>
      </c>
      <c r="J242" s="5">
        <f t="shared" ca="1" si="37"/>
        <v>0</v>
      </c>
      <c r="K242" s="5">
        <f t="shared" ca="1" si="33"/>
        <v>0</v>
      </c>
      <c r="L242" s="5">
        <f t="shared" ca="1" si="34"/>
        <v>0</v>
      </c>
      <c r="M242" s="25">
        <f t="shared" ca="1" si="35"/>
        <v>7.1232876712328768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</row>
    <row r="243" spans="2:116" ht="13.2" hidden="1" customHeight="1">
      <c r="B243" s="21"/>
      <c r="E243" s="5">
        <v>239</v>
      </c>
      <c r="F243" s="5">
        <f t="shared" ca="1" si="32"/>
        <v>90</v>
      </c>
      <c r="G243" s="5">
        <f t="shared" ca="1" si="38"/>
        <v>260</v>
      </c>
      <c r="H243" s="5">
        <f t="shared" ca="1" si="36"/>
        <v>170</v>
      </c>
      <c r="I243" s="5">
        <f t="shared" ca="1" si="39"/>
        <v>0</v>
      </c>
      <c r="J243" s="5">
        <f t="shared" ca="1" si="37"/>
        <v>0</v>
      </c>
      <c r="K243" s="5">
        <f t="shared" ca="1" si="33"/>
        <v>0</v>
      </c>
      <c r="L243" s="5">
        <f t="shared" ca="1" si="34"/>
        <v>0</v>
      </c>
      <c r="M243" s="25">
        <f t="shared" ca="1" si="35"/>
        <v>4.6575342465753424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</row>
    <row r="244" spans="2:116" ht="13.2" hidden="1" customHeight="1">
      <c r="B244" s="21"/>
      <c r="E244" s="5">
        <v>240</v>
      </c>
      <c r="F244" s="5">
        <f t="shared" ca="1" si="32"/>
        <v>100</v>
      </c>
      <c r="G244" s="5">
        <f t="shared" ca="1" si="38"/>
        <v>170</v>
      </c>
      <c r="H244" s="5">
        <f t="shared" ca="1" si="36"/>
        <v>70</v>
      </c>
      <c r="I244" s="5">
        <f t="shared" ca="1" si="39"/>
        <v>1</v>
      </c>
      <c r="J244" s="5">
        <f t="shared" ca="1" si="37"/>
        <v>1</v>
      </c>
      <c r="K244" s="5">
        <f t="shared" ca="1" si="33"/>
        <v>0</v>
      </c>
      <c r="L244" s="5">
        <f t="shared" ca="1" si="34"/>
        <v>200</v>
      </c>
      <c r="M244" s="25">
        <f t="shared" ca="1" si="35"/>
        <v>1.9178082191780821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</row>
    <row r="245" spans="2:116" ht="13.2" hidden="1" customHeight="1">
      <c r="B245" s="21"/>
      <c r="E245" s="5">
        <v>241</v>
      </c>
      <c r="F245" s="5">
        <f t="shared" ca="1" si="32"/>
        <v>120</v>
      </c>
      <c r="G245" s="5">
        <f t="shared" ca="1" si="38"/>
        <v>70</v>
      </c>
      <c r="H245" s="5">
        <f t="shared" ca="1" si="36"/>
        <v>0</v>
      </c>
      <c r="I245" s="5">
        <f t="shared" ca="1" si="39"/>
        <v>0</v>
      </c>
      <c r="J245" s="5">
        <f t="shared" ca="1" si="37"/>
        <v>0</v>
      </c>
      <c r="K245" s="5">
        <f t="shared" ca="1" si="33"/>
        <v>1</v>
      </c>
      <c r="L245" s="5">
        <f t="shared" ca="1" si="34"/>
        <v>0</v>
      </c>
      <c r="M245" s="25">
        <f t="shared" ca="1" si="35"/>
        <v>0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</row>
    <row r="246" spans="2:116" ht="13.2" hidden="1" customHeight="1">
      <c r="B246" s="21"/>
      <c r="E246" s="5">
        <v>242</v>
      </c>
      <c r="F246" s="5">
        <f t="shared" ca="1" si="32"/>
        <v>100</v>
      </c>
      <c r="G246" s="5">
        <f t="shared" ca="1" si="38"/>
        <v>1000</v>
      </c>
      <c r="H246" s="5">
        <f t="shared" ca="1" si="36"/>
        <v>900</v>
      </c>
      <c r="I246" s="5">
        <f t="shared" ca="1" si="39"/>
        <v>0</v>
      </c>
      <c r="J246" s="5">
        <f t="shared" ca="1" si="37"/>
        <v>0</v>
      </c>
      <c r="K246" s="5">
        <f t="shared" ca="1" si="33"/>
        <v>0</v>
      </c>
      <c r="L246" s="5">
        <f t="shared" ca="1" si="34"/>
        <v>0</v>
      </c>
      <c r="M246" s="25">
        <f t="shared" ca="1" si="35"/>
        <v>24.657534246575342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</row>
    <row r="247" spans="2:116" ht="13.2" hidden="1" customHeight="1">
      <c r="B247" s="21"/>
      <c r="E247" s="5">
        <v>243</v>
      </c>
      <c r="F247" s="5">
        <f t="shared" ca="1" si="32"/>
        <v>110</v>
      </c>
      <c r="G247" s="5">
        <f t="shared" ca="1" si="38"/>
        <v>900</v>
      </c>
      <c r="H247" s="5">
        <f t="shared" ca="1" si="36"/>
        <v>790</v>
      </c>
      <c r="I247" s="5">
        <f t="shared" ca="1" si="39"/>
        <v>0</v>
      </c>
      <c r="J247" s="5">
        <f t="shared" ca="1" si="37"/>
        <v>0</v>
      </c>
      <c r="K247" s="5">
        <f t="shared" ca="1" si="33"/>
        <v>0</v>
      </c>
      <c r="L247" s="5">
        <f t="shared" ca="1" si="34"/>
        <v>0</v>
      </c>
      <c r="M247" s="25">
        <f t="shared" ca="1" si="35"/>
        <v>21.643835616438356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</row>
    <row r="248" spans="2:116" ht="13.2" hidden="1" customHeight="1">
      <c r="B248" s="21"/>
      <c r="E248" s="5">
        <v>244</v>
      </c>
      <c r="F248" s="5">
        <f t="shared" ca="1" si="32"/>
        <v>110</v>
      </c>
      <c r="G248" s="5">
        <f t="shared" ca="1" si="38"/>
        <v>790</v>
      </c>
      <c r="H248" s="5">
        <f t="shared" ca="1" si="36"/>
        <v>680</v>
      </c>
      <c r="I248" s="5">
        <f t="shared" ca="1" si="39"/>
        <v>0</v>
      </c>
      <c r="J248" s="5">
        <f t="shared" ca="1" si="37"/>
        <v>0</v>
      </c>
      <c r="K248" s="5">
        <f t="shared" ca="1" si="33"/>
        <v>0</v>
      </c>
      <c r="L248" s="5">
        <f t="shared" ca="1" si="34"/>
        <v>0</v>
      </c>
      <c r="M248" s="25">
        <f t="shared" ca="1" si="35"/>
        <v>18.63013698630137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</row>
    <row r="249" spans="2:116" ht="13.2" hidden="1" customHeight="1">
      <c r="B249" s="21"/>
      <c r="E249" s="5">
        <v>245</v>
      </c>
      <c r="F249" s="5">
        <f t="shared" ca="1" si="32"/>
        <v>120</v>
      </c>
      <c r="G249" s="5">
        <f t="shared" ca="1" si="38"/>
        <v>680</v>
      </c>
      <c r="H249" s="5">
        <f t="shared" ca="1" si="36"/>
        <v>560</v>
      </c>
      <c r="I249" s="5">
        <f t="shared" ca="1" si="39"/>
        <v>0</v>
      </c>
      <c r="J249" s="5">
        <f t="shared" ca="1" si="37"/>
        <v>0</v>
      </c>
      <c r="K249" s="5">
        <f t="shared" ca="1" si="33"/>
        <v>0</v>
      </c>
      <c r="L249" s="5">
        <f t="shared" ca="1" si="34"/>
        <v>0</v>
      </c>
      <c r="M249" s="25">
        <f t="shared" ca="1" si="35"/>
        <v>15.342465753424657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</row>
    <row r="250" spans="2:116" ht="13.2" hidden="1" customHeight="1">
      <c r="B250" s="21"/>
      <c r="E250" s="5">
        <v>246</v>
      </c>
      <c r="F250" s="5">
        <f t="shared" ca="1" si="32"/>
        <v>120</v>
      </c>
      <c r="G250" s="5">
        <f t="shared" ca="1" si="38"/>
        <v>560</v>
      </c>
      <c r="H250" s="5">
        <f t="shared" ca="1" si="36"/>
        <v>440</v>
      </c>
      <c r="I250" s="5">
        <f t="shared" ca="1" si="39"/>
        <v>0</v>
      </c>
      <c r="J250" s="5">
        <f t="shared" ca="1" si="37"/>
        <v>0</v>
      </c>
      <c r="K250" s="5">
        <f t="shared" ca="1" si="33"/>
        <v>0</v>
      </c>
      <c r="L250" s="5">
        <f t="shared" ca="1" si="34"/>
        <v>0</v>
      </c>
      <c r="M250" s="25">
        <f t="shared" ca="1" si="35"/>
        <v>12.054794520547944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</row>
    <row r="251" spans="2:116" ht="13.2" hidden="1" customHeight="1">
      <c r="B251" s="21"/>
      <c r="E251" s="5">
        <v>247</v>
      </c>
      <c r="F251" s="5">
        <f t="shared" ca="1" si="32"/>
        <v>120</v>
      </c>
      <c r="G251" s="5">
        <f t="shared" ca="1" si="38"/>
        <v>440</v>
      </c>
      <c r="H251" s="5">
        <f t="shared" ca="1" si="36"/>
        <v>320</v>
      </c>
      <c r="I251" s="5">
        <f t="shared" ca="1" si="39"/>
        <v>0</v>
      </c>
      <c r="J251" s="5">
        <f t="shared" ca="1" si="37"/>
        <v>0</v>
      </c>
      <c r="K251" s="5">
        <f t="shared" ca="1" si="33"/>
        <v>0</v>
      </c>
      <c r="L251" s="5">
        <f t="shared" ca="1" si="34"/>
        <v>0</v>
      </c>
      <c r="M251" s="25">
        <f t="shared" ca="1" si="35"/>
        <v>8.7671232876712324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</row>
    <row r="252" spans="2:116" ht="13.2" hidden="1" customHeight="1">
      <c r="B252" s="21"/>
      <c r="E252" s="5">
        <v>248</v>
      </c>
      <c r="F252" s="5">
        <f t="shared" ca="1" si="32"/>
        <v>110</v>
      </c>
      <c r="G252" s="5">
        <f t="shared" ca="1" si="38"/>
        <v>320</v>
      </c>
      <c r="H252" s="5">
        <f t="shared" ca="1" si="36"/>
        <v>210</v>
      </c>
      <c r="I252" s="5">
        <f t="shared" ca="1" si="39"/>
        <v>0</v>
      </c>
      <c r="J252" s="5">
        <f t="shared" ca="1" si="37"/>
        <v>0</v>
      </c>
      <c r="K252" s="5">
        <f t="shared" ca="1" si="33"/>
        <v>0</v>
      </c>
      <c r="L252" s="5">
        <f t="shared" ca="1" si="34"/>
        <v>0</v>
      </c>
      <c r="M252" s="25">
        <f t="shared" ca="1" si="35"/>
        <v>5.7534246575342465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</row>
    <row r="253" spans="2:116" ht="13.2" hidden="1" customHeight="1">
      <c r="B253" s="21"/>
      <c r="E253" s="5">
        <v>249</v>
      </c>
      <c r="F253" s="5">
        <f t="shared" ca="1" si="32"/>
        <v>90</v>
      </c>
      <c r="G253" s="5">
        <f t="shared" ca="1" si="38"/>
        <v>210</v>
      </c>
      <c r="H253" s="5">
        <f t="shared" ca="1" si="36"/>
        <v>120</v>
      </c>
      <c r="I253" s="5">
        <f t="shared" ca="1" si="39"/>
        <v>0</v>
      </c>
      <c r="J253" s="5">
        <f t="shared" ca="1" si="37"/>
        <v>0</v>
      </c>
      <c r="K253" s="5">
        <f t="shared" ca="1" si="33"/>
        <v>0</v>
      </c>
      <c r="L253" s="5">
        <f t="shared" ca="1" si="34"/>
        <v>0</v>
      </c>
      <c r="M253" s="25">
        <f t="shared" ca="1" si="35"/>
        <v>3.2876712328767121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</row>
    <row r="254" spans="2:116" ht="13.2" hidden="1" customHeight="1">
      <c r="B254" s="21"/>
      <c r="E254" s="5">
        <v>250</v>
      </c>
      <c r="F254" s="5">
        <f t="shared" ca="1" si="32"/>
        <v>0</v>
      </c>
      <c r="G254" s="5">
        <f t="shared" ca="1" si="38"/>
        <v>120</v>
      </c>
      <c r="H254" s="5">
        <f t="shared" ca="1" si="36"/>
        <v>120</v>
      </c>
      <c r="I254" s="5">
        <f t="shared" ca="1" si="39"/>
        <v>0</v>
      </c>
      <c r="J254" s="5">
        <f t="shared" ca="1" si="37"/>
        <v>0</v>
      </c>
      <c r="K254" s="5">
        <f t="shared" ca="1" si="33"/>
        <v>0</v>
      </c>
      <c r="L254" s="5">
        <f t="shared" ca="1" si="34"/>
        <v>0</v>
      </c>
      <c r="M254" s="25">
        <f t="shared" ca="1" si="35"/>
        <v>3.2876712328767121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</row>
    <row r="255" spans="2:116" ht="13.2" hidden="1" customHeight="1">
      <c r="B255" s="21"/>
      <c r="E255" s="5">
        <v>251</v>
      </c>
      <c r="F255" s="5">
        <f t="shared" ca="1" si="32"/>
        <v>90</v>
      </c>
      <c r="G255" s="5">
        <f t="shared" ca="1" si="38"/>
        <v>120</v>
      </c>
      <c r="H255" s="5">
        <f t="shared" ca="1" si="36"/>
        <v>30</v>
      </c>
      <c r="I255" s="5">
        <f t="shared" ca="1" si="39"/>
        <v>1</v>
      </c>
      <c r="J255" s="5">
        <f t="shared" ca="1" si="37"/>
        <v>1</v>
      </c>
      <c r="K255" s="5">
        <f t="shared" ca="1" si="33"/>
        <v>0</v>
      </c>
      <c r="L255" s="5">
        <f t="shared" ca="1" si="34"/>
        <v>200</v>
      </c>
      <c r="M255" s="25">
        <f t="shared" ca="1" si="35"/>
        <v>0.82191780821917804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</row>
    <row r="256" spans="2:116" ht="13.2" hidden="1" customHeight="1">
      <c r="B256" s="21"/>
      <c r="E256" s="5">
        <v>252</v>
      </c>
      <c r="F256" s="5">
        <f t="shared" ca="1" si="32"/>
        <v>120</v>
      </c>
      <c r="G256" s="5">
        <f t="shared" ca="1" si="38"/>
        <v>30</v>
      </c>
      <c r="H256" s="5">
        <f t="shared" ca="1" si="36"/>
        <v>0</v>
      </c>
      <c r="I256" s="5">
        <f t="shared" ca="1" si="39"/>
        <v>0</v>
      </c>
      <c r="J256" s="5">
        <f t="shared" ca="1" si="37"/>
        <v>0</v>
      </c>
      <c r="K256" s="5">
        <f t="shared" ca="1" si="33"/>
        <v>1</v>
      </c>
      <c r="L256" s="5">
        <f t="shared" ca="1" si="34"/>
        <v>0</v>
      </c>
      <c r="M256" s="25">
        <f t="shared" ca="1" si="35"/>
        <v>0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</row>
    <row r="257" spans="2:116" ht="13.2" hidden="1" customHeight="1">
      <c r="B257" s="21"/>
      <c r="E257" s="5">
        <v>253</v>
      </c>
      <c r="F257" s="5">
        <f t="shared" ca="1" si="32"/>
        <v>110</v>
      </c>
      <c r="G257" s="5">
        <f t="shared" ca="1" si="38"/>
        <v>1000</v>
      </c>
      <c r="H257" s="5">
        <f t="shared" ca="1" si="36"/>
        <v>890</v>
      </c>
      <c r="I257" s="5">
        <f t="shared" ca="1" si="39"/>
        <v>0</v>
      </c>
      <c r="J257" s="5">
        <f t="shared" ca="1" si="37"/>
        <v>0</v>
      </c>
      <c r="K257" s="5">
        <f t="shared" ca="1" si="33"/>
        <v>0</v>
      </c>
      <c r="L257" s="5">
        <f t="shared" ca="1" si="34"/>
        <v>0</v>
      </c>
      <c r="M257" s="25">
        <f t="shared" ca="1" si="35"/>
        <v>24.383561643835616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</row>
    <row r="258" spans="2:116" ht="13.2" hidden="1" customHeight="1">
      <c r="B258" s="21"/>
      <c r="E258" s="5">
        <v>254</v>
      </c>
      <c r="F258" s="5">
        <f t="shared" ca="1" si="32"/>
        <v>120</v>
      </c>
      <c r="G258" s="5">
        <f t="shared" ca="1" si="38"/>
        <v>890</v>
      </c>
      <c r="H258" s="5">
        <f t="shared" ca="1" si="36"/>
        <v>770</v>
      </c>
      <c r="I258" s="5">
        <f t="shared" ca="1" si="39"/>
        <v>0</v>
      </c>
      <c r="J258" s="5">
        <f t="shared" ca="1" si="37"/>
        <v>0</v>
      </c>
      <c r="K258" s="5">
        <f t="shared" ca="1" si="33"/>
        <v>0</v>
      </c>
      <c r="L258" s="5">
        <f t="shared" ca="1" si="34"/>
        <v>0</v>
      </c>
      <c r="M258" s="25">
        <f t="shared" ca="1" si="35"/>
        <v>21.095890410958901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</row>
    <row r="259" spans="2:116" ht="13.2" hidden="1" customHeight="1">
      <c r="B259" s="21"/>
      <c r="E259" s="5">
        <v>255</v>
      </c>
      <c r="F259" s="5">
        <f t="shared" ca="1" si="32"/>
        <v>90</v>
      </c>
      <c r="G259" s="5">
        <f t="shared" ca="1" si="38"/>
        <v>770</v>
      </c>
      <c r="H259" s="5">
        <f t="shared" ca="1" si="36"/>
        <v>680</v>
      </c>
      <c r="I259" s="5">
        <f t="shared" ca="1" si="39"/>
        <v>0</v>
      </c>
      <c r="J259" s="5">
        <f t="shared" ca="1" si="37"/>
        <v>0</v>
      </c>
      <c r="K259" s="5">
        <f t="shared" ca="1" si="33"/>
        <v>0</v>
      </c>
      <c r="L259" s="5">
        <f t="shared" ca="1" si="34"/>
        <v>0</v>
      </c>
      <c r="M259" s="25">
        <f t="shared" ca="1" si="35"/>
        <v>18.63013698630137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</row>
    <row r="260" spans="2:116" ht="13.2" hidden="1" customHeight="1">
      <c r="B260" s="21"/>
      <c r="E260" s="5">
        <v>256</v>
      </c>
      <c r="F260" s="5">
        <f t="shared" ca="1" si="32"/>
        <v>90</v>
      </c>
      <c r="G260" s="5">
        <f t="shared" ca="1" si="38"/>
        <v>680</v>
      </c>
      <c r="H260" s="5">
        <f t="shared" ca="1" si="36"/>
        <v>590</v>
      </c>
      <c r="I260" s="5">
        <f t="shared" ca="1" si="39"/>
        <v>0</v>
      </c>
      <c r="J260" s="5">
        <f t="shared" ca="1" si="37"/>
        <v>0</v>
      </c>
      <c r="K260" s="5">
        <f t="shared" ca="1" si="33"/>
        <v>0</v>
      </c>
      <c r="L260" s="5">
        <f t="shared" ca="1" si="34"/>
        <v>0</v>
      </c>
      <c r="M260" s="25">
        <f t="shared" ca="1" si="35"/>
        <v>16.164383561643834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</row>
    <row r="261" spans="2:116" ht="13.2" hidden="1" customHeight="1">
      <c r="B261" s="21"/>
      <c r="E261" s="5">
        <v>257</v>
      </c>
      <c r="F261" s="5">
        <f t="shared" ref="F261:F324" ca="1" si="40">INDEX($S$23:$S$27,MATCH(RAND(),$U$22:$U$27,1))</f>
        <v>100</v>
      </c>
      <c r="G261" s="5">
        <f t="shared" ca="1" si="38"/>
        <v>590</v>
      </c>
      <c r="H261" s="5">
        <f t="shared" ca="1" si="36"/>
        <v>490</v>
      </c>
      <c r="I261" s="5">
        <f t="shared" ca="1" si="39"/>
        <v>0</v>
      </c>
      <c r="J261" s="5">
        <f t="shared" ca="1" si="37"/>
        <v>0</v>
      </c>
      <c r="K261" s="5">
        <f t="shared" ref="K261:K324" ca="1" si="41">IF(G261&lt;F261,1,0)</f>
        <v>0</v>
      </c>
      <c r="L261" s="5">
        <f t="shared" ref="L261:L325" ca="1" si="42">I261*$C$4</f>
        <v>0</v>
      </c>
      <c r="M261" s="25">
        <f t="shared" ref="M261:M325" ca="1" si="43">H261*$C$7</f>
        <v>13.424657534246574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</row>
    <row r="262" spans="2:116" ht="13.2" hidden="1" customHeight="1">
      <c r="B262" s="21"/>
      <c r="E262" s="5">
        <v>258</v>
      </c>
      <c r="F262" s="5">
        <f t="shared" ca="1" si="40"/>
        <v>110</v>
      </c>
      <c r="G262" s="5">
        <f t="shared" ca="1" si="38"/>
        <v>490</v>
      </c>
      <c r="H262" s="5">
        <f t="shared" ref="H262:H325" ca="1" si="44">IF(G262-F262&gt;0,G262-F262,0)</f>
        <v>380</v>
      </c>
      <c r="I262" s="5">
        <f t="shared" ca="1" si="39"/>
        <v>0</v>
      </c>
      <c r="J262" s="5">
        <f t="shared" ref="J262:J325" ca="1" si="45">I262*INT(RAND()*2)</f>
        <v>0</v>
      </c>
      <c r="K262" s="5">
        <f t="shared" ca="1" si="41"/>
        <v>0</v>
      </c>
      <c r="L262" s="5">
        <f t="shared" ca="1" si="42"/>
        <v>0</v>
      </c>
      <c r="M262" s="25">
        <f t="shared" ca="1" si="43"/>
        <v>10.410958904109588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</row>
    <row r="263" spans="2:116" ht="13.2" hidden="1" customHeight="1">
      <c r="B263" s="21"/>
      <c r="E263" s="5">
        <v>259</v>
      </c>
      <c r="F263" s="5">
        <f t="shared" ca="1" si="40"/>
        <v>110</v>
      </c>
      <c r="G263" s="5">
        <f t="shared" ref="G263:G326" ca="1" si="46">H262+IF(J262=0,I262*$C$9,0)+IF(J261=1,$C$9,0)</f>
        <v>380</v>
      </c>
      <c r="H263" s="5">
        <f t="shared" ca="1" si="44"/>
        <v>270</v>
      </c>
      <c r="I263" s="5">
        <f t="shared" ref="I263:I326" ca="1" si="47">IF(AND(H263&lt;$C$3,J262=0),1,0)</f>
        <v>0</v>
      </c>
      <c r="J263" s="5">
        <f t="shared" ca="1" si="45"/>
        <v>0</v>
      </c>
      <c r="K263" s="5">
        <f t="shared" ca="1" si="41"/>
        <v>0</v>
      </c>
      <c r="L263" s="5">
        <f t="shared" ca="1" si="42"/>
        <v>0</v>
      </c>
      <c r="M263" s="25">
        <f t="shared" ca="1" si="43"/>
        <v>7.3972602739726021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</row>
    <row r="264" spans="2:116" ht="13.2" hidden="1" customHeight="1">
      <c r="B264" s="21"/>
      <c r="E264" s="5">
        <v>260</v>
      </c>
      <c r="F264" s="5">
        <f t="shared" ca="1" si="40"/>
        <v>100</v>
      </c>
      <c r="G264" s="5">
        <f t="shared" ca="1" si="46"/>
        <v>270</v>
      </c>
      <c r="H264" s="5">
        <f t="shared" ca="1" si="44"/>
        <v>170</v>
      </c>
      <c r="I264" s="5">
        <f t="shared" ca="1" si="47"/>
        <v>0</v>
      </c>
      <c r="J264" s="5">
        <f t="shared" ca="1" si="45"/>
        <v>0</v>
      </c>
      <c r="K264" s="5">
        <f t="shared" ca="1" si="41"/>
        <v>0</v>
      </c>
      <c r="L264" s="5">
        <f t="shared" ca="1" si="42"/>
        <v>0</v>
      </c>
      <c r="M264" s="25">
        <f t="shared" ca="1" si="43"/>
        <v>4.6575342465753424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</row>
    <row r="265" spans="2:116" ht="13.2" hidden="1" customHeight="1">
      <c r="B265" s="21"/>
      <c r="E265" s="5">
        <v>261</v>
      </c>
      <c r="F265" s="5">
        <f t="shared" ca="1" si="40"/>
        <v>110</v>
      </c>
      <c r="G265" s="5">
        <f t="shared" ca="1" si="46"/>
        <v>170</v>
      </c>
      <c r="H265" s="5">
        <f t="shared" ca="1" si="44"/>
        <v>60</v>
      </c>
      <c r="I265" s="5">
        <f t="shared" ca="1" si="47"/>
        <v>1</v>
      </c>
      <c r="J265" s="5">
        <f t="shared" ca="1" si="45"/>
        <v>0</v>
      </c>
      <c r="K265" s="5">
        <f t="shared" ca="1" si="41"/>
        <v>0</v>
      </c>
      <c r="L265" s="5">
        <f t="shared" ca="1" si="42"/>
        <v>200</v>
      </c>
      <c r="M265" s="25">
        <f t="shared" ca="1" si="43"/>
        <v>1.6438356164383561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</row>
    <row r="266" spans="2:116" ht="13.2" hidden="1" customHeight="1">
      <c r="B266" s="21"/>
      <c r="E266" s="5">
        <v>262</v>
      </c>
      <c r="F266" s="5">
        <f t="shared" ca="1" si="40"/>
        <v>120</v>
      </c>
      <c r="G266" s="5">
        <f t="shared" ca="1" si="46"/>
        <v>1060</v>
      </c>
      <c r="H266" s="5">
        <f t="shared" ca="1" si="44"/>
        <v>940</v>
      </c>
      <c r="I266" s="5">
        <f t="shared" ca="1" si="47"/>
        <v>0</v>
      </c>
      <c r="J266" s="5">
        <f t="shared" ca="1" si="45"/>
        <v>0</v>
      </c>
      <c r="K266" s="5">
        <f t="shared" ca="1" si="41"/>
        <v>0</v>
      </c>
      <c r="L266" s="5">
        <f t="shared" ca="1" si="42"/>
        <v>0</v>
      </c>
      <c r="M266" s="25">
        <f t="shared" ca="1" si="43"/>
        <v>25.753424657534246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</row>
    <row r="267" spans="2:116" ht="13.2" hidden="1" customHeight="1">
      <c r="B267" s="21"/>
      <c r="E267" s="5">
        <v>263</v>
      </c>
      <c r="F267" s="5">
        <f t="shared" ca="1" si="40"/>
        <v>110</v>
      </c>
      <c r="G267" s="5">
        <f t="shared" ca="1" si="46"/>
        <v>940</v>
      </c>
      <c r="H267" s="5">
        <f t="shared" ca="1" si="44"/>
        <v>830</v>
      </c>
      <c r="I267" s="5">
        <f t="shared" ca="1" si="47"/>
        <v>0</v>
      </c>
      <c r="J267" s="5">
        <f t="shared" ca="1" si="45"/>
        <v>0</v>
      </c>
      <c r="K267" s="5">
        <f t="shared" ca="1" si="41"/>
        <v>0</v>
      </c>
      <c r="L267" s="5">
        <f t="shared" ca="1" si="42"/>
        <v>0</v>
      </c>
      <c r="M267" s="25">
        <f t="shared" ca="1" si="43"/>
        <v>22.739726027397261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</row>
    <row r="268" spans="2:116" ht="13.2" hidden="1" customHeight="1">
      <c r="B268" s="21"/>
      <c r="E268" s="5">
        <v>264</v>
      </c>
      <c r="F268" s="5">
        <f t="shared" ca="1" si="40"/>
        <v>100</v>
      </c>
      <c r="G268" s="5">
        <f t="shared" ca="1" si="46"/>
        <v>830</v>
      </c>
      <c r="H268" s="5">
        <f t="shared" ca="1" si="44"/>
        <v>730</v>
      </c>
      <c r="I268" s="5">
        <f t="shared" ca="1" si="47"/>
        <v>0</v>
      </c>
      <c r="J268" s="5">
        <f t="shared" ca="1" si="45"/>
        <v>0</v>
      </c>
      <c r="K268" s="5">
        <f t="shared" ca="1" si="41"/>
        <v>0</v>
      </c>
      <c r="L268" s="5">
        <f t="shared" ca="1" si="42"/>
        <v>0</v>
      </c>
      <c r="M268" s="25">
        <f t="shared" ca="1" si="43"/>
        <v>20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</row>
    <row r="269" spans="2:116" ht="13.2" hidden="1" customHeight="1">
      <c r="B269" s="21"/>
      <c r="E269" s="5">
        <v>265</v>
      </c>
      <c r="F269" s="5">
        <f t="shared" ca="1" si="40"/>
        <v>100</v>
      </c>
      <c r="G269" s="5">
        <f t="shared" ca="1" si="46"/>
        <v>730</v>
      </c>
      <c r="H269" s="5">
        <f t="shared" ca="1" si="44"/>
        <v>630</v>
      </c>
      <c r="I269" s="5">
        <f t="shared" ca="1" si="47"/>
        <v>0</v>
      </c>
      <c r="J269" s="5">
        <f t="shared" ca="1" si="45"/>
        <v>0</v>
      </c>
      <c r="K269" s="5">
        <f t="shared" ca="1" si="41"/>
        <v>0</v>
      </c>
      <c r="L269" s="5">
        <f t="shared" ca="1" si="42"/>
        <v>0</v>
      </c>
      <c r="M269" s="25">
        <f t="shared" ca="1" si="43"/>
        <v>17.260273972602739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</row>
    <row r="270" spans="2:116" ht="13.2" hidden="1" customHeight="1">
      <c r="B270" s="21"/>
      <c r="E270" s="5">
        <v>266</v>
      </c>
      <c r="F270" s="5">
        <f t="shared" ca="1" si="40"/>
        <v>110</v>
      </c>
      <c r="G270" s="5">
        <f t="shared" ca="1" si="46"/>
        <v>630</v>
      </c>
      <c r="H270" s="5">
        <f t="shared" ca="1" si="44"/>
        <v>520</v>
      </c>
      <c r="I270" s="5">
        <f t="shared" ca="1" si="47"/>
        <v>0</v>
      </c>
      <c r="J270" s="5">
        <f t="shared" ca="1" si="45"/>
        <v>0</v>
      </c>
      <c r="K270" s="5">
        <f t="shared" ca="1" si="41"/>
        <v>0</v>
      </c>
      <c r="L270" s="5">
        <f t="shared" ca="1" si="42"/>
        <v>0</v>
      </c>
      <c r="M270" s="25">
        <f t="shared" ca="1" si="43"/>
        <v>14.246575342465754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</row>
    <row r="271" spans="2:116" ht="13.2" hidden="1" customHeight="1">
      <c r="B271" s="21"/>
      <c r="E271" s="5">
        <v>267</v>
      </c>
      <c r="F271" s="5">
        <f t="shared" ca="1" si="40"/>
        <v>100</v>
      </c>
      <c r="G271" s="5">
        <f t="shared" ca="1" si="46"/>
        <v>520</v>
      </c>
      <c r="H271" s="5">
        <f t="shared" ca="1" si="44"/>
        <v>420</v>
      </c>
      <c r="I271" s="5">
        <f t="shared" ca="1" si="47"/>
        <v>0</v>
      </c>
      <c r="J271" s="5">
        <f t="shared" ca="1" si="45"/>
        <v>0</v>
      </c>
      <c r="K271" s="5">
        <f t="shared" ca="1" si="41"/>
        <v>0</v>
      </c>
      <c r="L271" s="5">
        <f t="shared" ca="1" si="42"/>
        <v>0</v>
      </c>
      <c r="M271" s="25">
        <f t="shared" ca="1" si="43"/>
        <v>11.506849315068493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</row>
    <row r="272" spans="2:116" ht="13.2" hidden="1" customHeight="1">
      <c r="B272" s="21"/>
      <c r="E272" s="5">
        <v>268</v>
      </c>
      <c r="F272" s="5">
        <f t="shared" ca="1" si="40"/>
        <v>110</v>
      </c>
      <c r="G272" s="5">
        <f t="shared" ca="1" si="46"/>
        <v>420</v>
      </c>
      <c r="H272" s="5">
        <f t="shared" ca="1" si="44"/>
        <v>310</v>
      </c>
      <c r="I272" s="5">
        <f t="shared" ca="1" si="47"/>
        <v>0</v>
      </c>
      <c r="J272" s="5">
        <f t="shared" ca="1" si="45"/>
        <v>0</v>
      </c>
      <c r="K272" s="5">
        <f t="shared" ca="1" si="41"/>
        <v>0</v>
      </c>
      <c r="L272" s="5">
        <f t="shared" ca="1" si="42"/>
        <v>0</v>
      </c>
      <c r="M272" s="25">
        <f t="shared" ca="1" si="43"/>
        <v>8.493150684931507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</row>
    <row r="273" spans="2:116" ht="13.2" hidden="1" customHeight="1">
      <c r="B273" s="21"/>
      <c r="E273" s="5">
        <v>269</v>
      </c>
      <c r="F273" s="5">
        <f t="shared" ca="1" si="40"/>
        <v>0</v>
      </c>
      <c r="G273" s="5">
        <f t="shared" ca="1" si="46"/>
        <v>310</v>
      </c>
      <c r="H273" s="5">
        <f t="shared" ca="1" si="44"/>
        <v>310</v>
      </c>
      <c r="I273" s="5">
        <f t="shared" ca="1" si="47"/>
        <v>0</v>
      </c>
      <c r="J273" s="5">
        <f t="shared" ca="1" si="45"/>
        <v>0</v>
      </c>
      <c r="K273" s="5">
        <f t="shared" ca="1" si="41"/>
        <v>0</v>
      </c>
      <c r="L273" s="5">
        <f t="shared" ca="1" si="42"/>
        <v>0</v>
      </c>
      <c r="M273" s="25">
        <f t="shared" ca="1" si="43"/>
        <v>8.493150684931507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</row>
    <row r="274" spans="2:116" ht="13.2" hidden="1" customHeight="1">
      <c r="B274" s="21"/>
      <c r="E274" s="5">
        <v>270</v>
      </c>
      <c r="F274" s="5">
        <f t="shared" ca="1" si="40"/>
        <v>90</v>
      </c>
      <c r="G274" s="5">
        <f t="shared" ca="1" si="46"/>
        <v>310</v>
      </c>
      <c r="H274" s="5">
        <f t="shared" ca="1" si="44"/>
        <v>220</v>
      </c>
      <c r="I274" s="5">
        <f t="shared" ca="1" si="47"/>
        <v>0</v>
      </c>
      <c r="J274" s="5">
        <f t="shared" ca="1" si="45"/>
        <v>0</v>
      </c>
      <c r="K274" s="5">
        <f t="shared" ca="1" si="41"/>
        <v>0</v>
      </c>
      <c r="L274" s="5">
        <f t="shared" ca="1" si="42"/>
        <v>0</v>
      </c>
      <c r="M274" s="25">
        <f t="shared" ca="1" si="43"/>
        <v>6.0273972602739718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</row>
    <row r="275" spans="2:116" ht="13.2" hidden="1" customHeight="1">
      <c r="B275" s="21"/>
      <c r="E275" s="5">
        <v>271</v>
      </c>
      <c r="F275" s="5">
        <f t="shared" ca="1" si="40"/>
        <v>110</v>
      </c>
      <c r="G275" s="5">
        <f t="shared" ca="1" si="46"/>
        <v>220</v>
      </c>
      <c r="H275" s="5">
        <f t="shared" ca="1" si="44"/>
        <v>110</v>
      </c>
      <c r="I275" s="5">
        <f t="shared" ca="1" si="47"/>
        <v>0</v>
      </c>
      <c r="J275" s="5">
        <f t="shared" ca="1" si="45"/>
        <v>0</v>
      </c>
      <c r="K275" s="5">
        <f t="shared" ca="1" si="41"/>
        <v>0</v>
      </c>
      <c r="L275" s="5">
        <f t="shared" ca="1" si="42"/>
        <v>0</v>
      </c>
      <c r="M275" s="25">
        <f t="shared" ca="1" si="43"/>
        <v>3.0136986301369859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</row>
    <row r="276" spans="2:116" ht="13.2" hidden="1" customHeight="1">
      <c r="B276" s="21"/>
      <c r="E276" s="5">
        <v>272</v>
      </c>
      <c r="F276" s="5">
        <f t="shared" ca="1" si="40"/>
        <v>120</v>
      </c>
      <c r="G276" s="5">
        <f t="shared" ca="1" si="46"/>
        <v>110</v>
      </c>
      <c r="H276" s="5">
        <f t="shared" ca="1" si="44"/>
        <v>0</v>
      </c>
      <c r="I276" s="5">
        <f t="shared" ca="1" si="47"/>
        <v>1</v>
      </c>
      <c r="J276" s="5">
        <f t="shared" ca="1" si="45"/>
        <v>1</v>
      </c>
      <c r="K276" s="5">
        <f t="shared" ca="1" si="41"/>
        <v>1</v>
      </c>
      <c r="L276" s="5">
        <f t="shared" ca="1" si="42"/>
        <v>200</v>
      </c>
      <c r="M276" s="25">
        <f t="shared" ca="1" si="43"/>
        <v>0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</row>
    <row r="277" spans="2:116" ht="13.2" hidden="1" customHeight="1">
      <c r="B277" s="21"/>
      <c r="E277" s="5">
        <v>273</v>
      </c>
      <c r="F277" s="5">
        <f t="shared" ca="1" si="40"/>
        <v>120</v>
      </c>
      <c r="G277" s="5">
        <f t="shared" ca="1" si="46"/>
        <v>0</v>
      </c>
      <c r="H277" s="5">
        <f t="shared" ca="1" si="44"/>
        <v>0</v>
      </c>
      <c r="I277" s="5">
        <f t="shared" ca="1" si="47"/>
        <v>0</v>
      </c>
      <c r="J277" s="5">
        <f t="shared" ca="1" si="45"/>
        <v>0</v>
      </c>
      <c r="K277" s="5">
        <f t="shared" ca="1" si="41"/>
        <v>1</v>
      </c>
      <c r="L277" s="5">
        <f t="shared" ca="1" si="42"/>
        <v>0</v>
      </c>
      <c r="M277" s="25">
        <f t="shared" ca="1" si="43"/>
        <v>0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</row>
    <row r="278" spans="2:116" ht="13.2" hidden="1" customHeight="1">
      <c r="B278" s="21"/>
      <c r="E278" s="5">
        <v>274</v>
      </c>
      <c r="F278" s="5">
        <f t="shared" ca="1" si="40"/>
        <v>100</v>
      </c>
      <c r="G278" s="5">
        <f t="shared" ca="1" si="46"/>
        <v>1000</v>
      </c>
      <c r="H278" s="5">
        <f t="shared" ca="1" si="44"/>
        <v>900</v>
      </c>
      <c r="I278" s="5">
        <f t="shared" ca="1" si="47"/>
        <v>0</v>
      </c>
      <c r="J278" s="5">
        <f t="shared" ca="1" si="45"/>
        <v>0</v>
      </c>
      <c r="K278" s="5">
        <f t="shared" ca="1" si="41"/>
        <v>0</v>
      </c>
      <c r="L278" s="5">
        <f t="shared" ca="1" si="42"/>
        <v>0</v>
      </c>
      <c r="M278" s="25">
        <f t="shared" ca="1" si="43"/>
        <v>24.657534246575342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</row>
    <row r="279" spans="2:116" ht="13.2" hidden="1" customHeight="1">
      <c r="B279" s="21"/>
      <c r="E279" s="5">
        <v>275</v>
      </c>
      <c r="F279" s="5">
        <f t="shared" ca="1" si="40"/>
        <v>90</v>
      </c>
      <c r="G279" s="5">
        <f t="shared" ca="1" si="46"/>
        <v>900</v>
      </c>
      <c r="H279" s="5">
        <f t="shared" ca="1" si="44"/>
        <v>810</v>
      </c>
      <c r="I279" s="5">
        <f t="shared" ca="1" si="47"/>
        <v>0</v>
      </c>
      <c r="J279" s="5">
        <f t="shared" ca="1" si="45"/>
        <v>0</v>
      </c>
      <c r="K279" s="5">
        <f t="shared" ca="1" si="41"/>
        <v>0</v>
      </c>
      <c r="L279" s="5">
        <f t="shared" ca="1" si="42"/>
        <v>0</v>
      </c>
      <c r="M279" s="25">
        <f t="shared" ca="1" si="43"/>
        <v>22.191780821917806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</row>
    <row r="280" spans="2:116" ht="13.2" hidden="1" customHeight="1">
      <c r="B280" s="21"/>
      <c r="E280" s="5">
        <v>276</v>
      </c>
      <c r="F280" s="5">
        <f t="shared" ca="1" si="40"/>
        <v>110</v>
      </c>
      <c r="G280" s="5">
        <f t="shared" ca="1" si="46"/>
        <v>810</v>
      </c>
      <c r="H280" s="5">
        <f t="shared" ca="1" si="44"/>
        <v>700</v>
      </c>
      <c r="I280" s="5">
        <f t="shared" ca="1" si="47"/>
        <v>0</v>
      </c>
      <c r="J280" s="5">
        <f t="shared" ca="1" si="45"/>
        <v>0</v>
      </c>
      <c r="K280" s="5">
        <f t="shared" ca="1" si="41"/>
        <v>0</v>
      </c>
      <c r="L280" s="5">
        <f t="shared" ca="1" si="42"/>
        <v>0</v>
      </c>
      <c r="M280" s="25">
        <f t="shared" ca="1" si="43"/>
        <v>19.17808219178082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</row>
    <row r="281" spans="2:116" ht="13.2" hidden="1" customHeight="1">
      <c r="B281" s="21"/>
      <c r="E281" s="5">
        <v>277</v>
      </c>
      <c r="F281" s="5">
        <f t="shared" ca="1" si="40"/>
        <v>0</v>
      </c>
      <c r="G281" s="5">
        <f t="shared" ca="1" si="46"/>
        <v>700</v>
      </c>
      <c r="H281" s="5">
        <f t="shared" ca="1" si="44"/>
        <v>700</v>
      </c>
      <c r="I281" s="5">
        <f t="shared" ca="1" si="47"/>
        <v>0</v>
      </c>
      <c r="J281" s="5">
        <f t="shared" ca="1" si="45"/>
        <v>0</v>
      </c>
      <c r="K281" s="5">
        <f t="shared" ca="1" si="41"/>
        <v>0</v>
      </c>
      <c r="L281" s="5">
        <f t="shared" ca="1" si="42"/>
        <v>0</v>
      </c>
      <c r="M281" s="25">
        <f t="shared" ca="1" si="43"/>
        <v>19.17808219178082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</row>
    <row r="282" spans="2:116" ht="13.2" hidden="1" customHeight="1">
      <c r="B282" s="21"/>
      <c r="E282" s="5">
        <v>278</v>
      </c>
      <c r="F282" s="5">
        <f t="shared" ca="1" si="40"/>
        <v>100</v>
      </c>
      <c r="G282" s="5">
        <f t="shared" ca="1" si="46"/>
        <v>700</v>
      </c>
      <c r="H282" s="5">
        <f t="shared" ca="1" si="44"/>
        <v>600</v>
      </c>
      <c r="I282" s="5">
        <f t="shared" ca="1" si="47"/>
        <v>0</v>
      </c>
      <c r="J282" s="5">
        <f t="shared" ca="1" si="45"/>
        <v>0</v>
      </c>
      <c r="K282" s="5">
        <f t="shared" ca="1" si="41"/>
        <v>0</v>
      </c>
      <c r="L282" s="5">
        <f t="shared" ca="1" si="42"/>
        <v>0</v>
      </c>
      <c r="M282" s="25">
        <f t="shared" ca="1" si="43"/>
        <v>16.43835616438356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</row>
    <row r="283" spans="2:116" ht="13.2" hidden="1" customHeight="1">
      <c r="B283" s="21"/>
      <c r="E283" s="5">
        <v>279</v>
      </c>
      <c r="F283" s="5">
        <f t="shared" ca="1" si="40"/>
        <v>100</v>
      </c>
      <c r="G283" s="5">
        <f t="shared" ca="1" si="46"/>
        <v>600</v>
      </c>
      <c r="H283" s="5">
        <f t="shared" ca="1" si="44"/>
        <v>500</v>
      </c>
      <c r="I283" s="5">
        <f t="shared" ca="1" si="47"/>
        <v>0</v>
      </c>
      <c r="J283" s="5">
        <f t="shared" ca="1" si="45"/>
        <v>0</v>
      </c>
      <c r="K283" s="5">
        <f t="shared" ca="1" si="41"/>
        <v>0</v>
      </c>
      <c r="L283" s="5">
        <f t="shared" ca="1" si="42"/>
        <v>0</v>
      </c>
      <c r="M283" s="25">
        <f t="shared" ca="1" si="43"/>
        <v>13.698630136986301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</row>
    <row r="284" spans="2:116" ht="13.2" hidden="1" customHeight="1">
      <c r="B284" s="21"/>
      <c r="E284" s="5">
        <v>280</v>
      </c>
      <c r="F284" s="5">
        <f t="shared" ca="1" si="40"/>
        <v>0</v>
      </c>
      <c r="G284" s="5">
        <f t="shared" ca="1" si="46"/>
        <v>500</v>
      </c>
      <c r="H284" s="5">
        <f t="shared" ca="1" si="44"/>
        <v>500</v>
      </c>
      <c r="I284" s="5">
        <f t="shared" ca="1" si="47"/>
        <v>0</v>
      </c>
      <c r="J284" s="5">
        <f t="shared" ca="1" si="45"/>
        <v>0</v>
      </c>
      <c r="K284" s="5">
        <f t="shared" ca="1" si="41"/>
        <v>0</v>
      </c>
      <c r="L284" s="5">
        <f t="shared" ca="1" si="42"/>
        <v>0</v>
      </c>
      <c r="M284" s="25">
        <f t="shared" ca="1" si="43"/>
        <v>13.698630136986301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</row>
    <row r="285" spans="2:116" ht="13.2" hidden="1" customHeight="1">
      <c r="B285" s="21"/>
      <c r="E285" s="5">
        <v>281</v>
      </c>
      <c r="F285" s="5">
        <f t="shared" ca="1" si="40"/>
        <v>110</v>
      </c>
      <c r="G285" s="5">
        <f t="shared" ca="1" si="46"/>
        <v>500</v>
      </c>
      <c r="H285" s="5">
        <f t="shared" ca="1" si="44"/>
        <v>390</v>
      </c>
      <c r="I285" s="5">
        <f t="shared" ca="1" si="47"/>
        <v>0</v>
      </c>
      <c r="J285" s="5">
        <f t="shared" ca="1" si="45"/>
        <v>0</v>
      </c>
      <c r="K285" s="5">
        <f t="shared" ca="1" si="41"/>
        <v>0</v>
      </c>
      <c r="L285" s="5">
        <f t="shared" ca="1" si="42"/>
        <v>0</v>
      </c>
      <c r="M285" s="25">
        <f t="shared" ca="1" si="43"/>
        <v>10.684931506849315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</row>
    <row r="286" spans="2:116" ht="13.2" hidden="1" customHeight="1">
      <c r="B286" s="21"/>
      <c r="E286" s="5">
        <v>282</v>
      </c>
      <c r="F286" s="5">
        <f t="shared" ca="1" si="40"/>
        <v>0</v>
      </c>
      <c r="G286" s="5">
        <f t="shared" ca="1" si="46"/>
        <v>390</v>
      </c>
      <c r="H286" s="5">
        <f t="shared" ca="1" si="44"/>
        <v>390</v>
      </c>
      <c r="I286" s="5">
        <f t="shared" ca="1" si="47"/>
        <v>0</v>
      </c>
      <c r="J286" s="5">
        <f t="shared" ca="1" si="45"/>
        <v>0</v>
      </c>
      <c r="K286" s="5">
        <f t="shared" ca="1" si="41"/>
        <v>0</v>
      </c>
      <c r="L286" s="5">
        <f t="shared" ca="1" si="42"/>
        <v>0</v>
      </c>
      <c r="M286" s="25">
        <f t="shared" ca="1" si="43"/>
        <v>10.684931506849315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</row>
    <row r="287" spans="2:116" ht="13.2" hidden="1" customHeight="1">
      <c r="B287" s="21"/>
      <c r="E287" s="5">
        <v>283</v>
      </c>
      <c r="F287" s="5">
        <f t="shared" ca="1" si="40"/>
        <v>120</v>
      </c>
      <c r="G287" s="5">
        <f t="shared" ca="1" si="46"/>
        <v>390</v>
      </c>
      <c r="H287" s="5">
        <f t="shared" ca="1" si="44"/>
        <v>270</v>
      </c>
      <c r="I287" s="5">
        <f t="shared" ca="1" si="47"/>
        <v>0</v>
      </c>
      <c r="J287" s="5">
        <f t="shared" ca="1" si="45"/>
        <v>0</v>
      </c>
      <c r="K287" s="5">
        <f t="shared" ca="1" si="41"/>
        <v>0</v>
      </c>
      <c r="L287" s="5">
        <f t="shared" ca="1" si="42"/>
        <v>0</v>
      </c>
      <c r="M287" s="25">
        <f t="shared" ca="1" si="43"/>
        <v>7.3972602739726021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</row>
    <row r="288" spans="2:116" ht="13.2" hidden="1" customHeight="1">
      <c r="B288" s="21"/>
      <c r="E288" s="5">
        <v>284</v>
      </c>
      <c r="F288" s="5">
        <f t="shared" ca="1" si="40"/>
        <v>0</v>
      </c>
      <c r="G288" s="5">
        <f t="shared" ca="1" si="46"/>
        <v>270</v>
      </c>
      <c r="H288" s="5">
        <f t="shared" ca="1" si="44"/>
        <v>270</v>
      </c>
      <c r="I288" s="5">
        <f t="shared" ca="1" si="47"/>
        <v>0</v>
      </c>
      <c r="J288" s="5">
        <f t="shared" ca="1" si="45"/>
        <v>0</v>
      </c>
      <c r="K288" s="5">
        <f t="shared" ca="1" si="41"/>
        <v>0</v>
      </c>
      <c r="L288" s="5">
        <f t="shared" ca="1" si="42"/>
        <v>0</v>
      </c>
      <c r="M288" s="25">
        <f t="shared" ca="1" si="43"/>
        <v>7.3972602739726021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</row>
    <row r="289" spans="2:116" ht="13.2" hidden="1" customHeight="1">
      <c r="B289" s="21"/>
      <c r="E289" s="5">
        <v>285</v>
      </c>
      <c r="F289" s="5">
        <f t="shared" ca="1" si="40"/>
        <v>0</v>
      </c>
      <c r="G289" s="5">
        <f t="shared" ca="1" si="46"/>
        <v>270</v>
      </c>
      <c r="H289" s="5">
        <f t="shared" ca="1" si="44"/>
        <v>270</v>
      </c>
      <c r="I289" s="5">
        <f t="shared" ca="1" si="47"/>
        <v>0</v>
      </c>
      <c r="J289" s="5">
        <f t="shared" ca="1" si="45"/>
        <v>0</v>
      </c>
      <c r="K289" s="5">
        <f t="shared" ca="1" si="41"/>
        <v>0</v>
      </c>
      <c r="L289" s="5">
        <f t="shared" ca="1" si="42"/>
        <v>0</v>
      </c>
      <c r="M289" s="25">
        <f t="shared" ca="1" si="43"/>
        <v>7.3972602739726021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</row>
    <row r="290" spans="2:116" ht="13.2" hidden="1" customHeight="1">
      <c r="B290" s="21"/>
      <c r="E290" s="5">
        <v>286</v>
      </c>
      <c r="F290" s="5">
        <f t="shared" ca="1" si="40"/>
        <v>120</v>
      </c>
      <c r="G290" s="5">
        <f t="shared" ca="1" si="46"/>
        <v>270</v>
      </c>
      <c r="H290" s="5">
        <f t="shared" ca="1" si="44"/>
        <v>150</v>
      </c>
      <c r="I290" s="5">
        <f t="shared" ca="1" si="47"/>
        <v>0</v>
      </c>
      <c r="J290" s="5">
        <f t="shared" ca="1" si="45"/>
        <v>0</v>
      </c>
      <c r="K290" s="5">
        <f t="shared" ca="1" si="41"/>
        <v>0</v>
      </c>
      <c r="L290" s="5">
        <f t="shared" ca="1" si="42"/>
        <v>0</v>
      </c>
      <c r="M290" s="25">
        <f t="shared" ca="1" si="43"/>
        <v>4.10958904109589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</row>
    <row r="291" spans="2:116" ht="13.2" hidden="1" customHeight="1">
      <c r="B291" s="21"/>
      <c r="E291" s="5">
        <v>287</v>
      </c>
      <c r="F291" s="5">
        <f t="shared" ca="1" si="40"/>
        <v>120</v>
      </c>
      <c r="G291" s="5">
        <f t="shared" ca="1" si="46"/>
        <v>150</v>
      </c>
      <c r="H291" s="5">
        <f t="shared" ca="1" si="44"/>
        <v>30</v>
      </c>
      <c r="I291" s="5">
        <f t="shared" ca="1" si="47"/>
        <v>1</v>
      </c>
      <c r="J291" s="5">
        <f t="shared" ca="1" si="45"/>
        <v>0</v>
      </c>
      <c r="K291" s="5">
        <f t="shared" ca="1" si="41"/>
        <v>0</v>
      </c>
      <c r="L291" s="5">
        <f t="shared" ca="1" si="42"/>
        <v>200</v>
      </c>
      <c r="M291" s="25">
        <f t="shared" ca="1" si="43"/>
        <v>0.82191780821917804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</row>
    <row r="292" spans="2:116" ht="13.2" hidden="1" customHeight="1">
      <c r="B292" s="21"/>
      <c r="E292" s="5">
        <v>288</v>
      </c>
      <c r="F292" s="5">
        <f t="shared" ca="1" si="40"/>
        <v>100</v>
      </c>
      <c r="G292" s="5">
        <f t="shared" ca="1" si="46"/>
        <v>1030</v>
      </c>
      <c r="H292" s="5">
        <f t="shared" ca="1" si="44"/>
        <v>930</v>
      </c>
      <c r="I292" s="5">
        <f t="shared" ca="1" si="47"/>
        <v>0</v>
      </c>
      <c r="J292" s="5">
        <f t="shared" ca="1" si="45"/>
        <v>0</v>
      </c>
      <c r="K292" s="5">
        <f t="shared" ca="1" si="41"/>
        <v>0</v>
      </c>
      <c r="L292" s="5">
        <f t="shared" ca="1" si="42"/>
        <v>0</v>
      </c>
      <c r="M292" s="25">
        <f t="shared" ca="1" si="43"/>
        <v>25.479452054794518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</row>
    <row r="293" spans="2:116" ht="13.2" hidden="1" customHeight="1">
      <c r="B293" s="21"/>
      <c r="E293" s="5">
        <v>289</v>
      </c>
      <c r="F293" s="5">
        <f t="shared" ca="1" si="40"/>
        <v>110</v>
      </c>
      <c r="G293" s="5">
        <f t="shared" ca="1" si="46"/>
        <v>930</v>
      </c>
      <c r="H293" s="5">
        <f t="shared" ca="1" si="44"/>
        <v>820</v>
      </c>
      <c r="I293" s="5">
        <f t="shared" ca="1" si="47"/>
        <v>0</v>
      </c>
      <c r="J293" s="5">
        <f t="shared" ca="1" si="45"/>
        <v>0</v>
      </c>
      <c r="K293" s="5">
        <f t="shared" ca="1" si="41"/>
        <v>0</v>
      </c>
      <c r="L293" s="5">
        <f t="shared" ca="1" si="42"/>
        <v>0</v>
      </c>
      <c r="M293" s="25">
        <f t="shared" ca="1" si="43"/>
        <v>22.465753424657532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</row>
    <row r="294" spans="2:116" ht="13.2" hidden="1" customHeight="1">
      <c r="B294" s="21"/>
      <c r="E294" s="5">
        <v>290</v>
      </c>
      <c r="F294" s="5">
        <f t="shared" ca="1" si="40"/>
        <v>120</v>
      </c>
      <c r="G294" s="5">
        <f t="shared" ca="1" si="46"/>
        <v>820</v>
      </c>
      <c r="H294" s="5">
        <f t="shared" ca="1" si="44"/>
        <v>700</v>
      </c>
      <c r="I294" s="5">
        <f t="shared" ca="1" si="47"/>
        <v>0</v>
      </c>
      <c r="J294" s="5">
        <f t="shared" ca="1" si="45"/>
        <v>0</v>
      </c>
      <c r="K294" s="5">
        <f t="shared" ca="1" si="41"/>
        <v>0</v>
      </c>
      <c r="L294" s="5">
        <f t="shared" ca="1" si="42"/>
        <v>0</v>
      </c>
      <c r="M294" s="25">
        <f t="shared" ca="1" si="43"/>
        <v>19.17808219178082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</row>
    <row r="295" spans="2:116" ht="13.2" hidden="1" customHeight="1">
      <c r="B295" s="21"/>
      <c r="E295" s="5">
        <v>291</v>
      </c>
      <c r="F295" s="5">
        <f t="shared" ca="1" si="40"/>
        <v>120</v>
      </c>
      <c r="G295" s="5">
        <f t="shared" ca="1" si="46"/>
        <v>700</v>
      </c>
      <c r="H295" s="5">
        <f t="shared" ca="1" si="44"/>
        <v>580</v>
      </c>
      <c r="I295" s="5">
        <f t="shared" ca="1" si="47"/>
        <v>0</v>
      </c>
      <c r="J295" s="5">
        <f t="shared" ca="1" si="45"/>
        <v>0</v>
      </c>
      <c r="K295" s="5">
        <f t="shared" ca="1" si="41"/>
        <v>0</v>
      </c>
      <c r="L295" s="5">
        <f t="shared" ca="1" si="42"/>
        <v>0</v>
      </c>
      <c r="M295" s="25">
        <f t="shared" ca="1" si="43"/>
        <v>15.890410958904109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</row>
    <row r="296" spans="2:116" ht="13.2" hidden="1" customHeight="1">
      <c r="B296" s="21"/>
      <c r="E296" s="5">
        <v>292</v>
      </c>
      <c r="F296" s="5">
        <f t="shared" ca="1" si="40"/>
        <v>110</v>
      </c>
      <c r="G296" s="5">
        <f t="shared" ca="1" si="46"/>
        <v>580</v>
      </c>
      <c r="H296" s="5">
        <f t="shared" ca="1" si="44"/>
        <v>470</v>
      </c>
      <c r="I296" s="5">
        <f t="shared" ca="1" si="47"/>
        <v>0</v>
      </c>
      <c r="J296" s="5">
        <f t="shared" ca="1" si="45"/>
        <v>0</v>
      </c>
      <c r="K296" s="5">
        <f t="shared" ca="1" si="41"/>
        <v>0</v>
      </c>
      <c r="L296" s="5">
        <f t="shared" ca="1" si="42"/>
        <v>0</v>
      </c>
      <c r="M296" s="25">
        <f t="shared" ca="1" si="43"/>
        <v>12.876712328767123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</row>
    <row r="297" spans="2:116" ht="13.2" hidden="1" customHeight="1">
      <c r="B297" s="21"/>
      <c r="E297" s="5">
        <v>293</v>
      </c>
      <c r="F297" s="5">
        <f t="shared" ca="1" si="40"/>
        <v>0</v>
      </c>
      <c r="G297" s="5">
        <f t="shared" ca="1" si="46"/>
        <v>470</v>
      </c>
      <c r="H297" s="5">
        <f t="shared" ca="1" si="44"/>
        <v>470</v>
      </c>
      <c r="I297" s="5">
        <f t="shared" ca="1" si="47"/>
        <v>0</v>
      </c>
      <c r="J297" s="5">
        <f t="shared" ca="1" si="45"/>
        <v>0</v>
      </c>
      <c r="K297" s="5">
        <f t="shared" ca="1" si="41"/>
        <v>0</v>
      </c>
      <c r="L297" s="5">
        <f t="shared" ca="1" si="42"/>
        <v>0</v>
      </c>
      <c r="M297" s="25">
        <f t="shared" ca="1" si="43"/>
        <v>12.876712328767123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</row>
    <row r="298" spans="2:116" ht="13.2" hidden="1" customHeight="1">
      <c r="B298" s="21"/>
      <c r="E298" s="5">
        <v>294</v>
      </c>
      <c r="F298" s="5">
        <f t="shared" ca="1" si="40"/>
        <v>0</v>
      </c>
      <c r="G298" s="5">
        <f t="shared" ca="1" si="46"/>
        <v>470</v>
      </c>
      <c r="H298" s="5">
        <f t="shared" ca="1" si="44"/>
        <v>470</v>
      </c>
      <c r="I298" s="5">
        <f t="shared" ca="1" si="47"/>
        <v>0</v>
      </c>
      <c r="J298" s="5">
        <f t="shared" ca="1" si="45"/>
        <v>0</v>
      </c>
      <c r="K298" s="5">
        <f t="shared" ca="1" si="41"/>
        <v>0</v>
      </c>
      <c r="L298" s="5">
        <f t="shared" ca="1" si="42"/>
        <v>0</v>
      </c>
      <c r="M298" s="25">
        <f t="shared" ca="1" si="43"/>
        <v>12.876712328767123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</row>
    <row r="299" spans="2:116" ht="13.2" hidden="1" customHeight="1">
      <c r="B299" s="21"/>
      <c r="E299" s="5">
        <v>295</v>
      </c>
      <c r="F299" s="5">
        <f t="shared" ca="1" si="40"/>
        <v>110</v>
      </c>
      <c r="G299" s="5">
        <f t="shared" ca="1" si="46"/>
        <v>470</v>
      </c>
      <c r="H299" s="5">
        <f t="shared" ca="1" si="44"/>
        <v>360</v>
      </c>
      <c r="I299" s="5">
        <f t="shared" ca="1" si="47"/>
        <v>0</v>
      </c>
      <c r="J299" s="5">
        <f t="shared" ca="1" si="45"/>
        <v>0</v>
      </c>
      <c r="K299" s="5">
        <f t="shared" ca="1" si="41"/>
        <v>0</v>
      </c>
      <c r="L299" s="5">
        <f t="shared" ca="1" si="42"/>
        <v>0</v>
      </c>
      <c r="M299" s="25">
        <f t="shared" ca="1" si="43"/>
        <v>9.8630136986301373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</row>
    <row r="300" spans="2:116" ht="13.2" hidden="1" customHeight="1">
      <c r="B300" s="21"/>
      <c r="E300" s="5">
        <v>296</v>
      </c>
      <c r="F300" s="5">
        <f t="shared" ca="1" si="40"/>
        <v>0</v>
      </c>
      <c r="G300" s="5">
        <f t="shared" ca="1" si="46"/>
        <v>360</v>
      </c>
      <c r="H300" s="5">
        <f t="shared" ca="1" si="44"/>
        <v>360</v>
      </c>
      <c r="I300" s="5">
        <f t="shared" ca="1" si="47"/>
        <v>0</v>
      </c>
      <c r="J300" s="5">
        <f t="shared" ca="1" si="45"/>
        <v>0</v>
      </c>
      <c r="K300" s="5">
        <f t="shared" ca="1" si="41"/>
        <v>0</v>
      </c>
      <c r="L300" s="5">
        <f t="shared" ca="1" si="42"/>
        <v>0</v>
      </c>
      <c r="M300" s="25">
        <f t="shared" ca="1" si="43"/>
        <v>9.8630136986301373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</row>
    <row r="301" spans="2:116" ht="13.2" hidden="1" customHeight="1">
      <c r="B301" s="21"/>
      <c r="E301" s="5">
        <v>297</v>
      </c>
      <c r="F301" s="5">
        <f t="shared" ca="1" si="40"/>
        <v>90</v>
      </c>
      <c r="G301" s="5">
        <f t="shared" ca="1" si="46"/>
        <v>360</v>
      </c>
      <c r="H301" s="5">
        <f t="shared" ca="1" si="44"/>
        <v>270</v>
      </c>
      <c r="I301" s="5">
        <f t="shared" ca="1" si="47"/>
        <v>0</v>
      </c>
      <c r="J301" s="5">
        <f t="shared" ca="1" si="45"/>
        <v>0</v>
      </c>
      <c r="K301" s="5">
        <f t="shared" ca="1" si="41"/>
        <v>0</v>
      </c>
      <c r="L301" s="5">
        <f t="shared" ca="1" si="42"/>
        <v>0</v>
      </c>
      <c r="M301" s="25">
        <f t="shared" ca="1" si="43"/>
        <v>7.3972602739726021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</row>
    <row r="302" spans="2:116" ht="13.2" hidden="1" customHeight="1">
      <c r="B302" s="21"/>
      <c r="E302" s="5">
        <v>298</v>
      </c>
      <c r="F302" s="5">
        <f t="shared" ca="1" si="40"/>
        <v>110</v>
      </c>
      <c r="G302" s="5">
        <f t="shared" ca="1" si="46"/>
        <v>270</v>
      </c>
      <c r="H302" s="5">
        <f t="shared" ca="1" si="44"/>
        <v>160</v>
      </c>
      <c r="I302" s="5">
        <f t="shared" ca="1" si="47"/>
        <v>0</v>
      </c>
      <c r="J302" s="5">
        <f t="shared" ca="1" si="45"/>
        <v>0</v>
      </c>
      <c r="K302" s="5">
        <f t="shared" ca="1" si="41"/>
        <v>0</v>
      </c>
      <c r="L302" s="5">
        <f t="shared" ca="1" si="42"/>
        <v>0</v>
      </c>
      <c r="M302" s="25">
        <f t="shared" ca="1" si="43"/>
        <v>4.3835616438356162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</row>
    <row r="303" spans="2:116" ht="13.2" hidden="1" customHeight="1">
      <c r="B303" s="21"/>
      <c r="E303" s="5">
        <v>299</v>
      </c>
      <c r="F303" s="5">
        <f t="shared" ca="1" si="40"/>
        <v>110</v>
      </c>
      <c r="G303" s="5">
        <f t="shared" ca="1" si="46"/>
        <v>160</v>
      </c>
      <c r="H303" s="5">
        <f t="shared" ca="1" si="44"/>
        <v>50</v>
      </c>
      <c r="I303" s="5">
        <f t="shared" ca="1" si="47"/>
        <v>1</v>
      </c>
      <c r="J303" s="5">
        <f t="shared" ca="1" si="45"/>
        <v>1</v>
      </c>
      <c r="K303" s="5">
        <f t="shared" ca="1" si="41"/>
        <v>0</v>
      </c>
      <c r="L303" s="5">
        <f t="shared" ca="1" si="42"/>
        <v>200</v>
      </c>
      <c r="M303" s="25">
        <f t="shared" ca="1" si="43"/>
        <v>1.3698630136986301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</row>
    <row r="304" spans="2:116" ht="13.2" hidden="1" customHeight="1">
      <c r="B304" s="21"/>
      <c r="E304" s="5">
        <v>300</v>
      </c>
      <c r="F304" s="5">
        <f t="shared" ca="1" si="40"/>
        <v>100</v>
      </c>
      <c r="G304" s="5">
        <f t="shared" ca="1" si="46"/>
        <v>50</v>
      </c>
      <c r="H304" s="5">
        <f t="shared" ca="1" si="44"/>
        <v>0</v>
      </c>
      <c r="I304" s="5">
        <f t="shared" ca="1" si="47"/>
        <v>0</v>
      </c>
      <c r="J304" s="5">
        <f t="shared" ca="1" si="45"/>
        <v>0</v>
      </c>
      <c r="K304" s="5">
        <f t="shared" ca="1" si="41"/>
        <v>1</v>
      </c>
      <c r="L304" s="5">
        <f t="shared" ca="1" si="42"/>
        <v>0</v>
      </c>
      <c r="M304" s="25">
        <f t="shared" ca="1" si="43"/>
        <v>0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</row>
    <row r="305" spans="2:116" ht="13.2" hidden="1" customHeight="1">
      <c r="B305" s="21"/>
      <c r="E305" s="5">
        <v>301</v>
      </c>
      <c r="F305" s="5">
        <f t="shared" ca="1" si="40"/>
        <v>90</v>
      </c>
      <c r="G305" s="5">
        <f t="shared" ca="1" si="46"/>
        <v>1000</v>
      </c>
      <c r="H305" s="5">
        <f t="shared" ca="1" si="44"/>
        <v>910</v>
      </c>
      <c r="I305" s="5">
        <f t="shared" ca="1" si="47"/>
        <v>0</v>
      </c>
      <c r="J305" s="5">
        <f t="shared" ca="1" si="45"/>
        <v>0</v>
      </c>
      <c r="K305" s="5">
        <f t="shared" ca="1" si="41"/>
        <v>0</v>
      </c>
      <c r="L305" s="5">
        <f t="shared" ca="1" si="42"/>
        <v>0</v>
      </c>
      <c r="M305" s="25">
        <f t="shared" ca="1" si="43"/>
        <v>24.931506849315067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</row>
    <row r="306" spans="2:116" ht="13.2" hidden="1" customHeight="1">
      <c r="B306" s="21"/>
      <c r="E306" s="5">
        <v>302</v>
      </c>
      <c r="F306" s="5">
        <f t="shared" ca="1" si="40"/>
        <v>110</v>
      </c>
      <c r="G306" s="5">
        <f t="shared" ca="1" si="46"/>
        <v>910</v>
      </c>
      <c r="H306" s="5">
        <f t="shared" ca="1" si="44"/>
        <v>800</v>
      </c>
      <c r="I306" s="5">
        <f t="shared" ca="1" si="47"/>
        <v>0</v>
      </c>
      <c r="J306" s="5">
        <f t="shared" ca="1" si="45"/>
        <v>0</v>
      </c>
      <c r="K306" s="5">
        <f t="shared" ca="1" si="41"/>
        <v>0</v>
      </c>
      <c r="L306" s="5">
        <f t="shared" ca="1" si="42"/>
        <v>0</v>
      </c>
      <c r="M306" s="25">
        <f t="shared" ca="1" si="43"/>
        <v>21.917808219178081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</row>
    <row r="307" spans="2:116" ht="13.2" hidden="1" customHeight="1">
      <c r="B307" s="21"/>
      <c r="E307" s="5">
        <v>303</v>
      </c>
      <c r="F307" s="5">
        <f t="shared" ca="1" si="40"/>
        <v>110</v>
      </c>
      <c r="G307" s="5">
        <f t="shared" ca="1" si="46"/>
        <v>800</v>
      </c>
      <c r="H307" s="5">
        <f t="shared" ca="1" si="44"/>
        <v>690</v>
      </c>
      <c r="I307" s="5">
        <f t="shared" ca="1" si="47"/>
        <v>0</v>
      </c>
      <c r="J307" s="5">
        <f t="shared" ca="1" si="45"/>
        <v>0</v>
      </c>
      <c r="K307" s="5">
        <f t="shared" ca="1" si="41"/>
        <v>0</v>
      </c>
      <c r="L307" s="5">
        <f t="shared" ca="1" si="42"/>
        <v>0</v>
      </c>
      <c r="M307" s="25">
        <f t="shared" ca="1" si="43"/>
        <v>18.904109589041095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</row>
    <row r="308" spans="2:116" ht="13.2" hidden="1" customHeight="1">
      <c r="B308" s="21"/>
      <c r="E308" s="5">
        <v>304</v>
      </c>
      <c r="F308" s="5">
        <f t="shared" ca="1" si="40"/>
        <v>100</v>
      </c>
      <c r="G308" s="5">
        <f t="shared" ca="1" si="46"/>
        <v>690</v>
      </c>
      <c r="H308" s="5">
        <f t="shared" ca="1" si="44"/>
        <v>590</v>
      </c>
      <c r="I308" s="5">
        <f t="shared" ca="1" si="47"/>
        <v>0</v>
      </c>
      <c r="J308" s="5">
        <f t="shared" ca="1" si="45"/>
        <v>0</v>
      </c>
      <c r="K308" s="5">
        <f t="shared" ca="1" si="41"/>
        <v>0</v>
      </c>
      <c r="L308" s="5">
        <f t="shared" ca="1" si="42"/>
        <v>0</v>
      </c>
      <c r="M308" s="25">
        <f t="shared" ca="1" si="43"/>
        <v>16.164383561643834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</row>
    <row r="309" spans="2:116" ht="13.2" hidden="1" customHeight="1">
      <c r="B309" s="21"/>
      <c r="E309" s="5">
        <v>305</v>
      </c>
      <c r="F309" s="5">
        <f t="shared" ca="1" si="40"/>
        <v>0</v>
      </c>
      <c r="G309" s="5">
        <f t="shared" ca="1" si="46"/>
        <v>590</v>
      </c>
      <c r="H309" s="5">
        <f t="shared" ca="1" si="44"/>
        <v>590</v>
      </c>
      <c r="I309" s="5">
        <f t="shared" ca="1" si="47"/>
        <v>0</v>
      </c>
      <c r="J309" s="5">
        <f t="shared" ca="1" si="45"/>
        <v>0</v>
      </c>
      <c r="K309" s="5">
        <f t="shared" ca="1" si="41"/>
        <v>0</v>
      </c>
      <c r="L309" s="5">
        <f t="shared" ca="1" si="42"/>
        <v>0</v>
      </c>
      <c r="M309" s="25">
        <f t="shared" ca="1" si="43"/>
        <v>16.164383561643834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</row>
    <row r="310" spans="2:116" ht="13.2" hidden="1" customHeight="1">
      <c r="B310" s="21"/>
      <c r="E310" s="5">
        <v>306</v>
      </c>
      <c r="F310" s="5">
        <f t="shared" ca="1" si="40"/>
        <v>110</v>
      </c>
      <c r="G310" s="5">
        <f t="shared" ca="1" si="46"/>
        <v>590</v>
      </c>
      <c r="H310" s="5">
        <f t="shared" ca="1" si="44"/>
        <v>480</v>
      </c>
      <c r="I310" s="5">
        <f t="shared" ca="1" si="47"/>
        <v>0</v>
      </c>
      <c r="J310" s="5">
        <f t="shared" ca="1" si="45"/>
        <v>0</v>
      </c>
      <c r="K310" s="5">
        <f t="shared" ca="1" si="41"/>
        <v>0</v>
      </c>
      <c r="L310" s="5">
        <f t="shared" ca="1" si="42"/>
        <v>0</v>
      </c>
      <c r="M310" s="25">
        <f t="shared" ca="1" si="43"/>
        <v>13.150684931506849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</row>
    <row r="311" spans="2:116" ht="13.2" hidden="1" customHeight="1">
      <c r="B311" s="21"/>
      <c r="E311" s="5">
        <v>307</v>
      </c>
      <c r="F311" s="5">
        <f t="shared" ca="1" si="40"/>
        <v>100</v>
      </c>
      <c r="G311" s="5">
        <f t="shared" ca="1" si="46"/>
        <v>480</v>
      </c>
      <c r="H311" s="5">
        <f t="shared" ca="1" si="44"/>
        <v>380</v>
      </c>
      <c r="I311" s="5">
        <f t="shared" ca="1" si="47"/>
        <v>0</v>
      </c>
      <c r="J311" s="5">
        <f t="shared" ca="1" si="45"/>
        <v>0</v>
      </c>
      <c r="K311" s="5">
        <f t="shared" ca="1" si="41"/>
        <v>0</v>
      </c>
      <c r="L311" s="5">
        <f t="shared" ca="1" si="42"/>
        <v>0</v>
      </c>
      <c r="M311" s="25">
        <f t="shared" ca="1" si="43"/>
        <v>10.410958904109588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</row>
    <row r="312" spans="2:116" ht="13.2" hidden="1" customHeight="1">
      <c r="B312" s="21"/>
      <c r="E312" s="5">
        <v>308</v>
      </c>
      <c r="F312" s="5">
        <f t="shared" ca="1" si="40"/>
        <v>90</v>
      </c>
      <c r="G312" s="5">
        <f t="shared" ca="1" si="46"/>
        <v>380</v>
      </c>
      <c r="H312" s="5">
        <f t="shared" ca="1" si="44"/>
        <v>290</v>
      </c>
      <c r="I312" s="5">
        <f t="shared" ca="1" si="47"/>
        <v>0</v>
      </c>
      <c r="J312" s="5">
        <f t="shared" ca="1" si="45"/>
        <v>0</v>
      </c>
      <c r="K312" s="5">
        <f t="shared" ca="1" si="41"/>
        <v>0</v>
      </c>
      <c r="L312" s="5">
        <f t="shared" ca="1" si="42"/>
        <v>0</v>
      </c>
      <c r="M312" s="25">
        <f t="shared" ca="1" si="43"/>
        <v>7.9452054794520546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</row>
    <row r="313" spans="2:116" ht="13.2" hidden="1" customHeight="1">
      <c r="B313" s="21"/>
      <c r="E313" s="5">
        <v>309</v>
      </c>
      <c r="F313" s="5">
        <f t="shared" ca="1" si="40"/>
        <v>120</v>
      </c>
      <c r="G313" s="5">
        <f t="shared" ca="1" si="46"/>
        <v>290</v>
      </c>
      <c r="H313" s="5">
        <f t="shared" ca="1" si="44"/>
        <v>170</v>
      </c>
      <c r="I313" s="5">
        <f t="shared" ca="1" si="47"/>
        <v>0</v>
      </c>
      <c r="J313" s="5">
        <f t="shared" ca="1" si="45"/>
        <v>0</v>
      </c>
      <c r="K313" s="5">
        <f t="shared" ca="1" si="41"/>
        <v>0</v>
      </c>
      <c r="L313" s="5">
        <f t="shared" ca="1" si="42"/>
        <v>0</v>
      </c>
      <c r="M313" s="25">
        <f t="shared" ca="1" si="43"/>
        <v>4.6575342465753424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</row>
    <row r="314" spans="2:116" ht="13.2" hidden="1" customHeight="1">
      <c r="B314" s="21"/>
      <c r="E314" s="5">
        <v>310</v>
      </c>
      <c r="F314" s="5">
        <f t="shared" ca="1" si="40"/>
        <v>0</v>
      </c>
      <c r="G314" s="5">
        <f t="shared" ca="1" si="46"/>
        <v>170</v>
      </c>
      <c r="H314" s="5">
        <f t="shared" ca="1" si="44"/>
        <v>170</v>
      </c>
      <c r="I314" s="5">
        <f t="shared" ca="1" si="47"/>
        <v>0</v>
      </c>
      <c r="J314" s="5">
        <f t="shared" ca="1" si="45"/>
        <v>0</v>
      </c>
      <c r="K314" s="5">
        <f t="shared" ca="1" si="41"/>
        <v>0</v>
      </c>
      <c r="L314" s="5">
        <f t="shared" ca="1" si="42"/>
        <v>0</v>
      </c>
      <c r="M314" s="25">
        <f t="shared" ca="1" si="43"/>
        <v>4.6575342465753424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</row>
    <row r="315" spans="2:116" ht="13.2" hidden="1" customHeight="1">
      <c r="B315" s="21"/>
      <c r="E315" s="5">
        <v>311</v>
      </c>
      <c r="F315" s="5">
        <f t="shared" ca="1" si="40"/>
        <v>100</v>
      </c>
      <c r="G315" s="5">
        <f t="shared" ca="1" si="46"/>
        <v>170</v>
      </c>
      <c r="H315" s="5">
        <f t="shared" ca="1" si="44"/>
        <v>70</v>
      </c>
      <c r="I315" s="5">
        <f t="shared" ca="1" si="47"/>
        <v>1</v>
      </c>
      <c r="J315" s="5">
        <f t="shared" ca="1" si="45"/>
        <v>1</v>
      </c>
      <c r="K315" s="5">
        <f t="shared" ca="1" si="41"/>
        <v>0</v>
      </c>
      <c r="L315" s="5">
        <f t="shared" ca="1" si="42"/>
        <v>200</v>
      </c>
      <c r="M315" s="25">
        <f t="shared" ca="1" si="43"/>
        <v>1.9178082191780821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</row>
    <row r="316" spans="2:116" ht="13.2" hidden="1" customHeight="1">
      <c r="B316" s="21"/>
      <c r="E316" s="5">
        <v>312</v>
      </c>
      <c r="F316" s="5">
        <f t="shared" ca="1" si="40"/>
        <v>110</v>
      </c>
      <c r="G316" s="5">
        <f t="shared" ca="1" si="46"/>
        <v>70</v>
      </c>
      <c r="H316" s="5">
        <f t="shared" ca="1" si="44"/>
        <v>0</v>
      </c>
      <c r="I316" s="5">
        <f t="shared" ca="1" si="47"/>
        <v>0</v>
      </c>
      <c r="J316" s="5">
        <f t="shared" ca="1" si="45"/>
        <v>0</v>
      </c>
      <c r="K316" s="5">
        <f t="shared" ca="1" si="41"/>
        <v>1</v>
      </c>
      <c r="L316" s="5">
        <f t="shared" ca="1" si="42"/>
        <v>0</v>
      </c>
      <c r="M316" s="25">
        <f t="shared" ca="1" si="43"/>
        <v>0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</row>
    <row r="317" spans="2:116" ht="13.2" hidden="1" customHeight="1">
      <c r="B317" s="21"/>
      <c r="E317" s="5">
        <v>313</v>
      </c>
      <c r="F317" s="5">
        <f t="shared" ca="1" si="40"/>
        <v>120</v>
      </c>
      <c r="G317" s="5">
        <f t="shared" ca="1" si="46"/>
        <v>1000</v>
      </c>
      <c r="H317" s="5">
        <f t="shared" ca="1" si="44"/>
        <v>880</v>
      </c>
      <c r="I317" s="5">
        <f t="shared" ca="1" si="47"/>
        <v>0</v>
      </c>
      <c r="J317" s="5">
        <f t="shared" ca="1" si="45"/>
        <v>0</v>
      </c>
      <c r="K317" s="5">
        <f t="shared" ca="1" si="41"/>
        <v>0</v>
      </c>
      <c r="L317" s="5">
        <f t="shared" ca="1" si="42"/>
        <v>0</v>
      </c>
      <c r="M317" s="25">
        <f t="shared" ca="1" si="43"/>
        <v>24.109589041095887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</row>
    <row r="318" spans="2:116" ht="13.2" hidden="1" customHeight="1">
      <c r="B318" s="21"/>
      <c r="E318" s="5">
        <v>314</v>
      </c>
      <c r="F318" s="5">
        <f t="shared" ca="1" si="40"/>
        <v>100</v>
      </c>
      <c r="G318" s="5">
        <f t="shared" ca="1" si="46"/>
        <v>880</v>
      </c>
      <c r="H318" s="5">
        <f t="shared" ca="1" si="44"/>
        <v>780</v>
      </c>
      <c r="I318" s="5">
        <f t="shared" ca="1" si="47"/>
        <v>0</v>
      </c>
      <c r="J318" s="5">
        <f t="shared" ca="1" si="45"/>
        <v>0</v>
      </c>
      <c r="K318" s="5">
        <f t="shared" ca="1" si="41"/>
        <v>0</v>
      </c>
      <c r="L318" s="5">
        <f t="shared" ca="1" si="42"/>
        <v>0</v>
      </c>
      <c r="M318" s="25">
        <f t="shared" ca="1" si="43"/>
        <v>21.36986301369863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</row>
    <row r="319" spans="2:116" ht="13.2" hidden="1" customHeight="1">
      <c r="B319" s="21"/>
      <c r="E319" s="5">
        <v>315</v>
      </c>
      <c r="F319" s="5">
        <f t="shared" ca="1" si="40"/>
        <v>120</v>
      </c>
      <c r="G319" s="5">
        <f t="shared" ca="1" si="46"/>
        <v>780</v>
      </c>
      <c r="H319" s="5">
        <f t="shared" ca="1" si="44"/>
        <v>660</v>
      </c>
      <c r="I319" s="5">
        <f t="shared" ca="1" si="47"/>
        <v>0</v>
      </c>
      <c r="J319" s="5">
        <f t="shared" ca="1" si="45"/>
        <v>0</v>
      </c>
      <c r="K319" s="5">
        <f t="shared" ca="1" si="41"/>
        <v>0</v>
      </c>
      <c r="L319" s="5">
        <f t="shared" ca="1" si="42"/>
        <v>0</v>
      </c>
      <c r="M319" s="25">
        <f t="shared" ca="1" si="43"/>
        <v>18.082191780821915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</row>
    <row r="320" spans="2:116" ht="13.2" hidden="1" customHeight="1">
      <c r="B320" s="21"/>
      <c r="E320" s="5">
        <v>316</v>
      </c>
      <c r="F320" s="5">
        <f t="shared" ca="1" si="40"/>
        <v>110</v>
      </c>
      <c r="G320" s="5">
        <f t="shared" ca="1" si="46"/>
        <v>660</v>
      </c>
      <c r="H320" s="5">
        <f t="shared" ca="1" si="44"/>
        <v>550</v>
      </c>
      <c r="I320" s="5">
        <f t="shared" ca="1" si="47"/>
        <v>0</v>
      </c>
      <c r="J320" s="5">
        <f t="shared" ca="1" si="45"/>
        <v>0</v>
      </c>
      <c r="K320" s="5">
        <f t="shared" ca="1" si="41"/>
        <v>0</v>
      </c>
      <c r="L320" s="5">
        <f t="shared" ca="1" si="42"/>
        <v>0</v>
      </c>
      <c r="M320" s="25">
        <f t="shared" ca="1" si="43"/>
        <v>15.068493150684931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</row>
    <row r="321" spans="2:116" ht="13.2" hidden="1" customHeight="1">
      <c r="B321" s="21"/>
      <c r="E321" s="5">
        <v>317</v>
      </c>
      <c r="F321" s="5">
        <f t="shared" ca="1" si="40"/>
        <v>90</v>
      </c>
      <c r="G321" s="5">
        <f t="shared" ca="1" si="46"/>
        <v>550</v>
      </c>
      <c r="H321" s="5">
        <f t="shared" ca="1" si="44"/>
        <v>460</v>
      </c>
      <c r="I321" s="5">
        <f t="shared" ca="1" si="47"/>
        <v>0</v>
      </c>
      <c r="J321" s="5">
        <f t="shared" ca="1" si="45"/>
        <v>0</v>
      </c>
      <c r="K321" s="5">
        <f t="shared" ca="1" si="41"/>
        <v>0</v>
      </c>
      <c r="L321" s="5">
        <f t="shared" ca="1" si="42"/>
        <v>0</v>
      </c>
      <c r="M321" s="25">
        <f t="shared" ca="1" si="43"/>
        <v>12.602739726027396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</row>
    <row r="322" spans="2:116" ht="13.2" hidden="1" customHeight="1">
      <c r="B322" s="21"/>
      <c r="E322" s="5">
        <v>318</v>
      </c>
      <c r="F322" s="5">
        <f t="shared" ca="1" si="40"/>
        <v>120</v>
      </c>
      <c r="G322" s="5">
        <f t="shared" ca="1" si="46"/>
        <v>460</v>
      </c>
      <c r="H322" s="5">
        <f t="shared" ca="1" si="44"/>
        <v>340</v>
      </c>
      <c r="I322" s="5">
        <f t="shared" ca="1" si="47"/>
        <v>0</v>
      </c>
      <c r="J322" s="5">
        <f t="shared" ca="1" si="45"/>
        <v>0</v>
      </c>
      <c r="K322" s="5">
        <f t="shared" ca="1" si="41"/>
        <v>0</v>
      </c>
      <c r="L322" s="5">
        <f t="shared" ca="1" si="42"/>
        <v>0</v>
      </c>
      <c r="M322" s="25">
        <f t="shared" ca="1" si="43"/>
        <v>9.3150684931506849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</row>
    <row r="323" spans="2:116" ht="13.2" hidden="1" customHeight="1">
      <c r="B323" s="21"/>
      <c r="E323" s="5">
        <v>319</v>
      </c>
      <c r="F323" s="5">
        <f t="shared" ca="1" si="40"/>
        <v>110</v>
      </c>
      <c r="G323" s="5">
        <f t="shared" ca="1" si="46"/>
        <v>340</v>
      </c>
      <c r="H323" s="5">
        <f t="shared" ca="1" si="44"/>
        <v>230</v>
      </c>
      <c r="I323" s="5">
        <f t="shared" ca="1" si="47"/>
        <v>0</v>
      </c>
      <c r="J323" s="5">
        <f t="shared" ca="1" si="45"/>
        <v>0</v>
      </c>
      <c r="K323" s="5">
        <f t="shared" ca="1" si="41"/>
        <v>0</v>
      </c>
      <c r="L323" s="5">
        <f t="shared" ca="1" si="42"/>
        <v>0</v>
      </c>
      <c r="M323" s="25">
        <f t="shared" ca="1" si="43"/>
        <v>6.3013698630136981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</row>
    <row r="324" spans="2:116" ht="13.2" hidden="1" customHeight="1">
      <c r="B324" s="21"/>
      <c r="E324" s="5">
        <v>320</v>
      </c>
      <c r="F324" s="5">
        <f t="shared" ca="1" si="40"/>
        <v>110</v>
      </c>
      <c r="G324" s="5">
        <f t="shared" ca="1" si="46"/>
        <v>230</v>
      </c>
      <c r="H324" s="5">
        <f t="shared" ca="1" si="44"/>
        <v>120</v>
      </c>
      <c r="I324" s="5">
        <f t="shared" ca="1" si="47"/>
        <v>0</v>
      </c>
      <c r="J324" s="5">
        <f t="shared" ca="1" si="45"/>
        <v>0</v>
      </c>
      <c r="K324" s="5">
        <f t="shared" ca="1" si="41"/>
        <v>0</v>
      </c>
      <c r="L324" s="5">
        <f t="shared" ca="1" si="42"/>
        <v>0</v>
      </c>
      <c r="M324" s="25">
        <f t="shared" ca="1" si="43"/>
        <v>3.2876712328767121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</row>
    <row r="325" spans="2:116" ht="13.2" hidden="1" customHeight="1">
      <c r="B325" s="21"/>
      <c r="E325" s="5">
        <v>321</v>
      </c>
      <c r="F325" s="5">
        <f t="shared" ref="F325:F369" ca="1" si="48">INDEX($S$23:$S$27,MATCH(RAND(),$U$22:$U$27,1))</f>
        <v>120</v>
      </c>
      <c r="G325" s="5">
        <f t="shared" ca="1" si="46"/>
        <v>120</v>
      </c>
      <c r="H325" s="5">
        <f t="shared" ca="1" si="44"/>
        <v>0</v>
      </c>
      <c r="I325" s="5">
        <f t="shared" ca="1" si="47"/>
        <v>1</v>
      </c>
      <c r="J325" s="5">
        <f t="shared" ca="1" si="45"/>
        <v>1</v>
      </c>
      <c r="K325" s="5">
        <f t="shared" ref="K325:K369" ca="1" si="49">IF(G325&lt;F325,1,0)</f>
        <v>0</v>
      </c>
      <c r="L325" s="5">
        <f t="shared" ca="1" si="42"/>
        <v>200</v>
      </c>
      <c r="M325" s="25">
        <f t="shared" ca="1" si="43"/>
        <v>0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</row>
    <row r="326" spans="2:116" ht="13.2" hidden="1" customHeight="1">
      <c r="B326" s="21"/>
      <c r="E326" s="5">
        <v>322</v>
      </c>
      <c r="F326" s="5">
        <f t="shared" ca="1" si="48"/>
        <v>120</v>
      </c>
      <c r="G326" s="5">
        <f t="shared" ca="1" si="46"/>
        <v>0</v>
      </c>
      <c r="H326" s="5">
        <f t="shared" ref="H326:H369" ca="1" si="50">IF(G326-F326&gt;0,G326-F326,0)</f>
        <v>0</v>
      </c>
      <c r="I326" s="5">
        <f t="shared" ca="1" si="47"/>
        <v>0</v>
      </c>
      <c r="J326" s="5">
        <f t="shared" ref="J326:J369" ca="1" si="51">I326*INT(RAND()*2)</f>
        <v>0</v>
      </c>
      <c r="K326" s="5">
        <f t="shared" ca="1" si="49"/>
        <v>1</v>
      </c>
      <c r="L326" s="5">
        <f t="shared" ref="L326:L369" ca="1" si="52">I326*$C$4</f>
        <v>0</v>
      </c>
      <c r="M326" s="25">
        <f t="shared" ref="M326:M369" ca="1" si="53">H326*$C$7</f>
        <v>0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</row>
    <row r="327" spans="2:116" ht="13.2" hidden="1" customHeight="1">
      <c r="B327" s="21"/>
      <c r="E327" s="5">
        <v>323</v>
      </c>
      <c r="F327" s="5">
        <f t="shared" ca="1" si="48"/>
        <v>90</v>
      </c>
      <c r="G327" s="5">
        <f t="shared" ref="G327" ca="1" si="54">H326+IF(J326=0,I326*$C$9,0)+IF(J325=1,$C$9,0)</f>
        <v>1000</v>
      </c>
      <c r="H327" s="5">
        <f t="shared" ca="1" si="50"/>
        <v>910</v>
      </c>
      <c r="I327" s="5">
        <f t="shared" ref="I327:I369" ca="1" si="55">IF(AND(H327&lt;$C$3,J326=0),1,0)</f>
        <v>0</v>
      </c>
      <c r="J327" s="5">
        <f t="shared" ca="1" si="51"/>
        <v>0</v>
      </c>
      <c r="K327" s="5">
        <f t="shared" ca="1" si="49"/>
        <v>0</v>
      </c>
      <c r="L327" s="5">
        <f t="shared" ca="1" si="52"/>
        <v>0</v>
      </c>
      <c r="M327" s="25">
        <f t="shared" ca="1" si="53"/>
        <v>24.931506849315067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</row>
    <row r="328" spans="2:116" ht="13.2" hidden="1" customHeight="1">
      <c r="B328" s="21"/>
      <c r="E328" s="5">
        <v>324</v>
      </c>
      <c r="F328" s="5">
        <f t="shared" ca="1" si="48"/>
        <v>120</v>
      </c>
      <c r="G328" s="5">
        <f t="shared" ref="G328:G369" ca="1" si="56">H327+IF(J327=0,I327*$C$9,0)+IF(J326=1,$C$9,0)</f>
        <v>910</v>
      </c>
      <c r="H328" s="5">
        <f t="shared" ca="1" si="50"/>
        <v>790</v>
      </c>
      <c r="I328" s="5">
        <f t="shared" ca="1" si="55"/>
        <v>0</v>
      </c>
      <c r="J328" s="5">
        <f t="shared" ca="1" si="51"/>
        <v>0</v>
      </c>
      <c r="K328" s="5">
        <f t="shared" ca="1" si="49"/>
        <v>0</v>
      </c>
      <c r="L328" s="5">
        <f t="shared" ca="1" si="52"/>
        <v>0</v>
      </c>
      <c r="M328" s="25">
        <f t="shared" ca="1" si="53"/>
        <v>21.643835616438356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</row>
    <row r="329" spans="2:116" ht="13.2" hidden="1" customHeight="1">
      <c r="B329" s="21"/>
      <c r="E329" s="5">
        <v>325</v>
      </c>
      <c r="F329" s="5">
        <f t="shared" ca="1" si="48"/>
        <v>120</v>
      </c>
      <c r="G329" s="5">
        <f t="shared" ca="1" si="56"/>
        <v>790</v>
      </c>
      <c r="H329" s="5">
        <f t="shared" ca="1" si="50"/>
        <v>670</v>
      </c>
      <c r="I329" s="5">
        <f t="shared" ca="1" si="55"/>
        <v>0</v>
      </c>
      <c r="J329" s="5">
        <f t="shared" ca="1" si="51"/>
        <v>0</v>
      </c>
      <c r="K329" s="5">
        <f t="shared" ca="1" si="49"/>
        <v>0</v>
      </c>
      <c r="L329" s="5">
        <f t="shared" ca="1" si="52"/>
        <v>0</v>
      </c>
      <c r="M329" s="25">
        <f t="shared" ca="1" si="53"/>
        <v>18.356164383561644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</row>
    <row r="330" spans="2:116" ht="13.2" hidden="1" customHeight="1">
      <c r="B330" s="21"/>
      <c r="E330" s="5">
        <v>326</v>
      </c>
      <c r="F330" s="5">
        <f t="shared" ca="1" si="48"/>
        <v>100</v>
      </c>
      <c r="G330" s="5">
        <f t="shared" ca="1" si="56"/>
        <v>670</v>
      </c>
      <c r="H330" s="5">
        <f t="shared" ca="1" si="50"/>
        <v>570</v>
      </c>
      <c r="I330" s="5">
        <f t="shared" ca="1" si="55"/>
        <v>0</v>
      </c>
      <c r="J330" s="5">
        <f t="shared" ca="1" si="51"/>
        <v>0</v>
      </c>
      <c r="K330" s="5">
        <f t="shared" ca="1" si="49"/>
        <v>0</v>
      </c>
      <c r="L330" s="5">
        <f t="shared" ca="1" si="52"/>
        <v>0</v>
      </c>
      <c r="M330" s="25">
        <f t="shared" ca="1" si="53"/>
        <v>15.616438356164382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</row>
    <row r="331" spans="2:116" ht="13.2" hidden="1" customHeight="1">
      <c r="B331" s="21"/>
      <c r="E331" s="5">
        <v>327</v>
      </c>
      <c r="F331" s="5">
        <f t="shared" ca="1" si="48"/>
        <v>120</v>
      </c>
      <c r="G331" s="5">
        <f t="shared" ca="1" si="56"/>
        <v>570</v>
      </c>
      <c r="H331" s="5">
        <f t="shared" ca="1" si="50"/>
        <v>450</v>
      </c>
      <c r="I331" s="5">
        <f t="shared" ca="1" si="55"/>
        <v>0</v>
      </c>
      <c r="J331" s="5">
        <f t="shared" ca="1" si="51"/>
        <v>0</v>
      </c>
      <c r="K331" s="5">
        <f t="shared" ca="1" si="49"/>
        <v>0</v>
      </c>
      <c r="L331" s="5">
        <f t="shared" ca="1" si="52"/>
        <v>0</v>
      </c>
      <c r="M331" s="25">
        <f t="shared" ca="1" si="53"/>
        <v>12.328767123287671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</row>
    <row r="332" spans="2:116" ht="13.2" hidden="1" customHeight="1">
      <c r="B332" s="21"/>
      <c r="E332" s="5">
        <v>328</v>
      </c>
      <c r="F332" s="5">
        <f t="shared" ca="1" si="48"/>
        <v>90</v>
      </c>
      <c r="G332" s="5">
        <f t="shared" ca="1" si="56"/>
        <v>450</v>
      </c>
      <c r="H332" s="5">
        <f t="shared" ca="1" si="50"/>
        <v>360</v>
      </c>
      <c r="I332" s="5">
        <f t="shared" ca="1" si="55"/>
        <v>0</v>
      </c>
      <c r="J332" s="5">
        <f t="shared" ca="1" si="51"/>
        <v>0</v>
      </c>
      <c r="K332" s="5">
        <f t="shared" ca="1" si="49"/>
        <v>0</v>
      </c>
      <c r="L332" s="5">
        <f t="shared" ca="1" si="52"/>
        <v>0</v>
      </c>
      <c r="M332" s="25">
        <f t="shared" ca="1" si="53"/>
        <v>9.8630136986301373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</row>
    <row r="333" spans="2:116" ht="13.2" hidden="1" customHeight="1">
      <c r="B333" s="21"/>
      <c r="E333" s="5">
        <v>329</v>
      </c>
      <c r="F333" s="5">
        <f t="shared" ca="1" si="48"/>
        <v>120</v>
      </c>
      <c r="G333" s="5">
        <f t="shared" ca="1" si="56"/>
        <v>360</v>
      </c>
      <c r="H333" s="5">
        <f t="shared" ca="1" si="50"/>
        <v>240</v>
      </c>
      <c r="I333" s="5">
        <f t="shared" ca="1" si="55"/>
        <v>0</v>
      </c>
      <c r="J333" s="5">
        <f t="shared" ca="1" si="51"/>
        <v>0</v>
      </c>
      <c r="K333" s="5">
        <f t="shared" ca="1" si="49"/>
        <v>0</v>
      </c>
      <c r="L333" s="5">
        <f t="shared" ca="1" si="52"/>
        <v>0</v>
      </c>
      <c r="M333" s="25">
        <f t="shared" ca="1" si="53"/>
        <v>6.5753424657534243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</row>
    <row r="334" spans="2:116" ht="13.2" hidden="1" customHeight="1">
      <c r="B334" s="21"/>
      <c r="E334" s="5">
        <v>330</v>
      </c>
      <c r="F334" s="5">
        <f t="shared" ca="1" si="48"/>
        <v>120</v>
      </c>
      <c r="G334" s="5">
        <f t="shared" ca="1" si="56"/>
        <v>240</v>
      </c>
      <c r="H334" s="5">
        <f t="shared" ca="1" si="50"/>
        <v>120</v>
      </c>
      <c r="I334" s="5">
        <f t="shared" ca="1" si="55"/>
        <v>0</v>
      </c>
      <c r="J334" s="5">
        <f t="shared" ca="1" si="51"/>
        <v>0</v>
      </c>
      <c r="K334" s="5">
        <f t="shared" ca="1" si="49"/>
        <v>0</v>
      </c>
      <c r="L334" s="5">
        <f t="shared" ca="1" si="52"/>
        <v>0</v>
      </c>
      <c r="M334" s="25">
        <f t="shared" ca="1" si="53"/>
        <v>3.2876712328767121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</row>
    <row r="335" spans="2:116" ht="13.2" hidden="1" customHeight="1">
      <c r="B335" s="21"/>
      <c r="E335" s="5">
        <v>331</v>
      </c>
      <c r="F335" s="5">
        <f t="shared" ca="1" si="48"/>
        <v>110</v>
      </c>
      <c r="G335" s="5">
        <f t="shared" ca="1" si="56"/>
        <v>120</v>
      </c>
      <c r="H335" s="5">
        <f t="shared" ca="1" si="50"/>
        <v>10</v>
      </c>
      <c r="I335" s="5">
        <f t="shared" ca="1" si="55"/>
        <v>1</v>
      </c>
      <c r="J335" s="5">
        <f t="shared" ca="1" si="51"/>
        <v>0</v>
      </c>
      <c r="K335" s="5">
        <f t="shared" ca="1" si="49"/>
        <v>0</v>
      </c>
      <c r="L335" s="5">
        <f t="shared" ca="1" si="52"/>
        <v>200</v>
      </c>
      <c r="M335" s="25">
        <f t="shared" ca="1" si="53"/>
        <v>0.27397260273972601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</row>
    <row r="336" spans="2:116" ht="13.2" hidden="1" customHeight="1">
      <c r="B336" s="21"/>
      <c r="E336" s="5">
        <v>332</v>
      </c>
      <c r="F336" s="5">
        <f t="shared" ca="1" si="48"/>
        <v>110</v>
      </c>
      <c r="G336" s="5">
        <f t="shared" ca="1" si="56"/>
        <v>1010</v>
      </c>
      <c r="H336" s="5">
        <f t="shared" ca="1" si="50"/>
        <v>900</v>
      </c>
      <c r="I336" s="5">
        <f t="shared" ca="1" si="55"/>
        <v>0</v>
      </c>
      <c r="J336" s="5">
        <f t="shared" ca="1" si="51"/>
        <v>0</v>
      </c>
      <c r="K336" s="5">
        <f t="shared" ca="1" si="49"/>
        <v>0</v>
      </c>
      <c r="L336" s="5">
        <f t="shared" ca="1" si="52"/>
        <v>0</v>
      </c>
      <c r="M336" s="25">
        <f t="shared" ca="1" si="53"/>
        <v>24.657534246575342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</row>
    <row r="337" spans="2:116" ht="13.2" hidden="1" customHeight="1">
      <c r="B337" s="21"/>
      <c r="E337" s="5">
        <v>333</v>
      </c>
      <c r="F337" s="5">
        <f t="shared" ca="1" si="48"/>
        <v>0</v>
      </c>
      <c r="G337" s="5">
        <f t="shared" ca="1" si="56"/>
        <v>900</v>
      </c>
      <c r="H337" s="5">
        <f t="shared" ca="1" si="50"/>
        <v>900</v>
      </c>
      <c r="I337" s="5">
        <f t="shared" ca="1" si="55"/>
        <v>0</v>
      </c>
      <c r="J337" s="5">
        <f t="shared" ca="1" si="51"/>
        <v>0</v>
      </c>
      <c r="K337" s="5">
        <f t="shared" ca="1" si="49"/>
        <v>0</v>
      </c>
      <c r="L337" s="5">
        <f t="shared" ca="1" si="52"/>
        <v>0</v>
      </c>
      <c r="M337" s="25">
        <f t="shared" ca="1" si="53"/>
        <v>24.657534246575342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</row>
    <row r="338" spans="2:116" ht="13.2" hidden="1" customHeight="1">
      <c r="B338" s="21"/>
      <c r="E338" s="5">
        <v>334</v>
      </c>
      <c r="F338" s="5">
        <f t="shared" ca="1" si="48"/>
        <v>120</v>
      </c>
      <c r="G338" s="5">
        <f t="shared" ca="1" si="56"/>
        <v>900</v>
      </c>
      <c r="H338" s="5">
        <f t="shared" ca="1" si="50"/>
        <v>780</v>
      </c>
      <c r="I338" s="5">
        <f t="shared" ca="1" si="55"/>
        <v>0</v>
      </c>
      <c r="J338" s="5">
        <f t="shared" ca="1" si="51"/>
        <v>0</v>
      </c>
      <c r="K338" s="5">
        <f t="shared" ca="1" si="49"/>
        <v>0</v>
      </c>
      <c r="L338" s="5">
        <f t="shared" ca="1" si="52"/>
        <v>0</v>
      </c>
      <c r="M338" s="25">
        <f t="shared" ca="1" si="53"/>
        <v>21.36986301369863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</row>
    <row r="339" spans="2:116" ht="13.2" hidden="1" customHeight="1">
      <c r="B339" s="21"/>
      <c r="E339" s="5">
        <v>335</v>
      </c>
      <c r="F339" s="5">
        <f t="shared" ca="1" si="48"/>
        <v>110</v>
      </c>
      <c r="G339" s="5">
        <f t="shared" ca="1" si="56"/>
        <v>780</v>
      </c>
      <c r="H339" s="5">
        <f t="shared" ca="1" si="50"/>
        <v>670</v>
      </c>
      <c r="I339" s="5">
        <f t="shared" ca="1" si="55"/>
        <v>0</v>
      </c>
      <c r="J339" s="5">
        <f t="shared" ca="1" si="51"/>
        <v>0</v>
      </c>
      <c r="K339" s="5">
        <f t="shared" ca="1" si="49"/>
        <v>0</v>
      </c>
      <c r="L339" s="5">
        <f t="shared" ca="1" si="52"/>
        <v>0</v>
      </c>
      <c r="M339" s="25">
        <f t="shared" ca="1" si="53"/>
        <v>18.356164383561644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</row>
    <row r="340" spans="2:116" ht="13.2" hidden="1" customHeight="1">
      <c r="B340" s="21"/>
      <c r="E340" s="5">
        <v>336</v>
      </c>
      <c r="F340" s="5">
        <f t="shared" ca="1" si="48"/>
        <v>100</v>
      </c>
      <c r="G340" s="5">
        <f t="shared" ca="1" si="56"/>
        <v>670</v>
      </c>
      <c r="H340" s="5">
        <f t="shared" ca="1" si="50"/>
        <v>570</v>
      </c>
      <c r="I340" s="5">
        <f t="shared" ca="1" si="55"/>
        <v>0</v>
      </c>
      <c r="J340" s="5">
        <f t="shared" ca="1" si="51"/>
        <v>0</v>
      </c>
      <c r="K340" s="5">
        <f t="shared" ca="1" si="49"/>
        <v>0</v>
      </c>
      <c r="L340" s="5">
        <f t="shared" ca="1" si="52"/>
        <v>0</v>
      </c>
      <c r="M340" s="25">
        <f t="shared" ca="1" si="53"/>
        <v>15.616438356164382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</row>
    <row r="341" spans="2:116" ht="13.2" hidden="1" customHeight="1">
      <c r="B341" s="21"/>
      <c r="E341" s="5">
        <v>337</v>
      </c>
      <c r="F341" s="5">
        <f t="shared" ca="1" si="48"/>
        <v>0</v>
      </c>
      <c r="G341" s="5">
        <f t="shared" ca="1" si="56"/>
        <v>570</v>
      </c>
      <c r="H341" s="5">
        <f t="shared" ca="1" si="50"/>
        <v>570</v>
      </c>
      <c r="I341" s="5">
        <f t="shared" ca="1" si="55"/>
        <v>0</v>
      </c>
      <c r="J341" s="5">
        <f t="shared" ca="1" si="51"/>
        <v>0</v>
      </c>
      <c r="K341" s="5">
        <f t="shared" ca="1" si="49"/>
        <v>0</v>
      </c>
      <c r="L341" s="5">
        <f t="shared" ca="1" si="52"/>
        <v>0</v>
      </c>
      <c r="M341" s="25">
        <f t="shared" ca="1" si="53"/>
        <v>15.616438356164382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</row>
    <row r="342" spans="2:116" ht="13.2" hidden="1" customHeight="1">
      <c r="B342" s="21"/>
      <c r="E342" s="5">
        <v>338</v>
      </c>
      <c r="F342" s="5">
        <f t="shared" ca="1" si="48"/>
        <v>0</v>
      </c>
      <c r="G342" s="5">
        <f t="shared" ca="1" si="56"/>
        <v>570</v>
      </c>
      <c r="H342" s="5">
        <f t="shared" ca="1" si="50"/>
        <v>570</v>
      </c>
      <c r="I342" s="5">
        <f t="shared" ca="1" si="55"/>
        <v>0</v>
      </c>
      <c r="J342" s="5">
        <f t="shared" ca="1" si="51"/>
        <v>0</v>
      </c>
      <c r="K342" s="5">
        <f t="shared" ca="1" si="49"/>
        <v>0</v>
      </c>
      <c r="L342" s="5">
        <f t="shared" ca="1" si="52"/>
        <v>0</v>
      </c>
      <c r="M342" s="25">
        <f t="shared" ca="1" si="53"/>
        <v>15.616438356164382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</row>
    <row r="343" spans="2:116" ht="13.2" hidden="1" customHeight="1">
      <c r="B343" s="21"/>
      <c r="E343" s="5">
        <v>339</v>
      </c>
      <c r="F343" s="5">
        <f t="shared" ca="1" si="48"/>
        <v>120</v>
      </c>
      <c r="G343" s="5">
        <f t="shared" ca="1" si="56"/>
        <v>570</v>
      </c>
      <c r="H343" s="5">
        <f t="shared" ca="1" si="50"/>
        <v>450</v>
      </c>
      <c r="I343" s="5">
        <f t="shared" ca="1" si="55"/>
        <v>0</v>
      </c>
      <c r="J343" s="5">
        <f t="shared" ca="1" si="51"/>
        <v>0</v>
      </c>
      <c r="K343" s="5">
        <f t="shared" ca="1" si="49"/>
        <v>0</v>
      </c>
      <c r="L343" s="5">
        <f t="shared" ca="1" si="52"/>
        <v>0</v>
      </c>
      <c r="M343" s="25">
        <f t="shared" ca="1" si="53"/>
        <v>12.328767123287671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</row>
    <row r="344" spans="2:116" ht="13.2" hidden="1" customHeight="1">
      <c r="B344" s="21"/>
      <c r="E344" s="5">
        <v>340</v>
      </c>
      <c r="F344" s="5">
        <f t="shared" ca="1" si="48"/>
        <v>100</v>
      </c>
      <c r="G344" s="5">
        <f t="shared" ca="1" si="56"/>
        <v>450</v>
      </c>
      <c r="H344" s="5">
        <f t="shared" ca="1" si="50"/>
        <v>350</v>
      </c>
      <c r="I344" s="5">
        <f t="shared" ca="1" si="55"/>
        <v>0</v>
      </c>
      <c r="J344" s="5">
        <f t="shared" ca="1" si="51"/>
        <v>0</v>
      </c>
      <c r="K344" s="5">
        <f t="shared" ca="1" si="49"/>
        <v>0</v>
      </c>
      <c r="L344" s="5">
        <f t="shared" ca="1" si="52"/>
        <v>0</v>
      </c>
      <c r="M344" s="25">
        <f t="shared" ca="1" si="53"/>
        <v>9.5890410958904102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</row>
    <row r="345" spans="2:116" ht="13.2" hidden="1" customHeight="1">
      <c r="B345" s="21"/>
      <c r="E345" s="5">
        <v>341</v>
      </c>
      <c r="F345" s="5">
        <f t="shared" ca="1" si="48"/>
        <v>110</v>
      </c>
      <c r="G345" s="5">
        <f t="shared" ca="1" si="56"/>
        <v>350</v>
      </c>
      <c r="H345" s="5">
        <f t="shared" ca="1" si="50"/>
        <v>240</v>
      </c>
      <c r="I345" s="5">
        <f t="shared" ca="1" si="55"/>
        <v>0</v>
      </c>
      <c r="J345" s="5">
        <f t="shared" ca="1" si="51"/>
        <v>0</v>
      </c>
      <c r="K345" s="5">
        <f t="shared" ca="1" si="49"/>
        <v>0</v>
      </c>
      <c r="L345" s="5">
        <f t="shared" ca="1" si="52"/>
        <v>0</v>
      </c>
      <c r="M345" s="25">
        <f t="shared" ca="1" si="53"/>
        <v>6.5753424657534243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</row>
    <row r="346" spans="2:116" ht="13.2" hidden="1" customHeight="1">
      <c r="B346" s="21"/>
      <c r="E346" s="5">
        <v>342</v>
      </c>
      <c r="F346" s="5">
        <f t="shared" ca="1" si="48"/>
        <v>100</v>
      </c>
      <c r="G346" s="5">
        <f t="shared" ca="1" si="56"/>
        <v>240</v>
      </c>
      <c r="H346" s="5">
        <f t="shared" ca="1" si="50"/>
        <v>140</v>
      </c>
      <c r="I346" s="5">
        <f t="shared" ca="1" si="55"/>
        <v>0</v>
      </c>
      <c r="J346" s="5">
        <f t="shared" ca="1" si="51"/>
        <v>0</v>
      </c>
      <c r="K346" s="5">
        <f t="shared" ca="1" si="49"/>
        <v>0</v>
      </c>
      <c r="L346" s="5">
        <f t="shared" ca="1" si="52"/>
        <v>0</v>
      </c>
      <c r="M346" s="25">
        <f t="shared" ca="1" si="53"/>
        <v>3.8356164383561642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</row>
    <row r="347" spans="2:116" ht="13.2" hidden="1" customHeight="1">
      <c r="B347" s="21"/>
      <c r="E347" s="5">
        <v>343</v>
      </c>
      <c r="F347" s="5">
        <f t="shared" ca="1" si="48"/>
        <v>110</v>
      </c>
      <c r="G347" s="5">
        <f t="shared" ca="1" si="56"/>
        <v>140</v>
      </c>
      <c r="H347" s="5">
        <f t="shared" ca="1" si="50"/>
        <v>30</v>
      </c>
      <c r="I347" s="5">
        <f t="shared" ca="1" si="55"/>
        <v>1</v>
      </c>
      <c r="J347" s="5">
        <f t="shared" ca="1" si="51"/>
        <v>1</v>
      </c>
      <c r="K347" s="5">
        <f t="shared" ca="1" si="49"/>
        <v>0</v>
      </c>
      <c r="L347" s="5">
        <f t="shared" ca="1" si="52"/>
        <v>200</v>
      </c>
      <c r="M347" s="25">
        <f t="shared" ca="1" si="53"/>
        <v>0.82191780821917804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</row>
    <row r="348" spans="2:116" ht="13.2" hidden="1" customHeight="1">
      <c r="B348" s="21"/>
      <c r="E348" s="5">
        <v>344</v>
      </c>
      <c r="F348" s="5">
        <f t="shared" ca="1" si="48"/>
        <v>120</v>
      </c>
      <c r="G348" s="5">
        <f t="shared" ca="1" si="56"/>
        <v>30</v>
      </c>
      <c r="H348" s="5">
        <f t="shared" ca="1" si="50"/>
        <v>0</v>
      </c>
      <c r="I348" s="5">
        <f t="shared" ca="1" si="55"/>
        <v>0</v>
      </c>
      <c r="J348" s="5">
        <f t="shared" ca="1" si="51"/>
        <v>0</v>
      </c>
      <c r="K348" s="5">
        <f t="shared" ca="1" si="49"/>
        <v>1</v>
      </c>
      <c r="L348" s="5">
        <f t="shared" ca="1" si="52"/>
        <v>0</v>
      </c>
      <c r="M348" s="25">
        <f t="shared" ca="1" si="53"/>
        <v>0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</row>
    <row r="349" spans="2:116" ht="13.2" hidden="1" customHeight="1">
      <c r="B349" s="21"/>
      <c r="E349" s="5">
        <v>345</v>
      </c>
      <c r="F349" s="5">
        <f t="shared" ca="1" si="48"/>
        <v>0</v>
      </c>
      <c r="G349" s="5">
        <f t="shared" ca="1" si="56"/>
        <v>1000</v>
      </c>
      <c r="H349" s="5">
        <f t="shared" ca="1" si="50"/>
        <v>1000</v>
      </c>
      <c r="I349" s="5">
        <f t="shared" ca="1" si="55"/>
        <v>0</v>
      </c>
      <c r="J349" s="5">
        <f t="shared" ca="1" si="51"/>
        <v>0</v>
      </c>
      <c r="K349" s="5">
        <f t="shared" ca="1" si="49"/>
        <v>0</v>
      </c>
      <c r="L349" s="5">
        <f t="shared" ca="1" si="52"/>
        <v>0</v>
      </c>
      <c r="M349" s="25">
        <f t="shared" ca="1" si="53"/>
        <v>27.397260273972602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</row>
    <row r="350" spans="2:116" ht="13.2" hidden="1" customHeight="1">
      <c r="B350" s="21"/>
      <c r="E350" s="5">
        <v>346</v>
      </c>
      <c r="F350" s="5">
        <f t="shared" ca="1" si="48"/>
        <v>110</v>
      </c>
      <c r="G350" s="5">
        <f t="shared" ca="1" si="56"/>
        <v>1000</v>
      </c>
      <c r="H350" s="5">
        <f t="shared" ca="1" si="50"/>
        <v>890</v>
      </c>
      <c r="I350" s="5">
        <f t="shared" ca="1" si="55"/>
        <v>0</v>
      </c>
      <c r="J350" s="5">
        <f t="shared" ca="1" si="51"/>
        <v>0</v>
      </c>
      <c r="K350" s="5">
        <f t="shared" ca="1" si="49"/>
        <v>0</v>
      </c>
      <c r="L350" s="5">
        <f t="shared" ca="1" si="52"/>
        <v>0</v>
      </c>
      <c r="M350" s="25">
        <f t="shared" ca="1" si="53"/>
        <v>24.383561643835616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</row>
    <row r="351" spans="2:116" ht="13.2" hidden="1" customHeight="1">
      <c r="B351" s="21"/>
      <c r="E351" s="5">
        <v>347</v>
      </c>
      <c r="F351" s="5">
        <f t="shared" ca="1" si="48"/>
        <v>120</v>
      </c>
      <c r="G351" s="5">
        <f t="shared" ca="1" si="56"/>
        <v>890</v>
      </c>
      <c r="H351" s="5">
        <f t="shared" ca="1" si="50"/>
        <v>770</v>
      </c>
      <c r="I351" s="5">
        <f t="shared" ca="1" si="55"/>
        <v>0</v>
      </c>
      <c r="J351" s="5">
        <f t="shared" ca="1" si="51"/>
        <v>0</v>
      </c>
      <c r="K351" s="5">
        <f t="shared" ca="1" si="49"/>
        <v>0</v>
      </c>
      <c r="L351" s="5">
        <f t="shared" ca="1" si="52"/>
        <v>0</v>
      </c>
      <c r="M351" s="25">
        <f t="shared" ca="1" si="53"/>
        <v>21.095890410958901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</row>
    <row r="352" spans="2:116" ht="13.2" hidden="1" customHeight="1">
      <c r="B352" s="21"/>
      <c r="E352" s="5">
        <v>348</v>
      </c>
      <c r="F352" s="5">
        <f t="shared" ca="1" si="48"/>
        <v>100</v>
      </c>
      <c r="G352" s="5">
        <f t="shared" ca="1" si="56"/>
        <v>770</v>
      </c>
      <c r="H352" s="5">
        <f t="shared" ca="1" si="50"/>
        <v>670</v>
      </c>
      <c r="I352" s="5">
        <f t="shared" ca="1" si="55"/>
        <v>0</v>
      </c>
      <c r="J352" s="5">
        <f t="shared" ca="1" si="51"/>
        <v>0</v>
      </c>
      <c r="K352" s="5">
        <f t="shared" ca="1" si="49"/>
        <v>0</v>
      </c>
      <c r="L352" s="5">
        <f t="shared" ca="1" si="52"/>
        <v>0</v>
      </c>
      <c r="M352" s="25">
        <f t="shared" ca="1" si="53"/>
        <v>18.356164383561644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</row>
    <row r="353" spans="2:116" ht="13.2" hidden="1" customHeight="1">
      <c r="B353" s="21"/>
      <c r="E353" s="5">
        <v>349</v>
      </c>
      <c r="F353" s="5">
        <f t="shared" ca="1" si="48"/>
        <v>0</v>
      </c>
      <c r="G353" s="5">
        <f t="shared" ca="1" si="56"/>
        <v>670</v>
      </c>
      <c r="H353" s="5">
        <f t="shared" ca="1" si="50"/>
        <v>670</v>
      </c>
      <c r="I353" s="5">
        <f t="shared" ca="1" si="55"/>
        <v>0</v>
      </c>
      <c r="J353" s="5">
        <f t="shared" ca="1" si="51"/>
        <v>0</v>
      </c>
      <c r="K353" s="5">
        <f t="shared" ca="1" si="49"/>
        <v>0</v>
      </c>
      <c r="L353" s="5">
        <f t="shared" ca="1" si="52"/>
        <v>0</v>
      </c>
      <c r="M353" s="25">
        <f t="shared" ca="1" si="53"/>
        <v>18.356164383561644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</row>
    <row r="354" spans="2:116" ht="13.2" hidden="1" customHeight="1">
      <c r="B354" s="21"/>
      <c r="E354" s="5">
        <v>350</v>
      </c>
      <c r="F354" s="5">
        <f t="shared" ca="1" si="48"/>
        <v>0</v>
      </c>
      <c r="G354" s="5">
        <f t="shared" ca="1" si="56"/>
        <v>670</v>
      </c>
      <c r="H354" s="5">
        <f t="shared" ca="1" si="50"/>
        <v>670</v>
      </c>
      <c r="I354" s="5">
        <f t="shared" ca="1" si="55"/>
        <v>0</v>
      </c>
      <c r="J354" s="5">
        <f t="shared" ca="1" si="51"/>
        <v>0</v>
      </c>
      <c r="K354" s="5">
        <f t="shared" ca="1" si="49"/>
        <v>0</v>
      </c>
      <c r="L354" s="5">
        <f t="shared" ca="1" si="52"/>
        <v>0</v>
      </c>
      <c r="M354" s="25">
        <f t="shared" ca="1" si="53"/>
        <v>18.356164383561644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</row>
    <row r="355" spans="2:116" ht="13.2" hidden="1" customHeight="1">
      <c r="B355" s="21"/>
      <c r="E355" s="5">
        <v>351</v>
      </c>
      <c r="F355" s="5">
        <f t="shared" ca="1" si="48"/>
        <v>110</v>
      </c>
      <c r="G355" s="5">
        <f t="shared" ca="1" si="56"/>
        <v>670</v>
      </c>
      <c r="H355" s="5">
        <f t="shared" ca="1" si="50"/>
        <v>560</v>
      </c>
      <c r="I355" s="5">
        <f t="shared" ca="1" si="55"/>
        <v>0</v>
      </c>
      <c r="J355" s="5">
        <f t="shared" ca="1" si="51"/>
        <v>0</v>
      </c>
      <c r="K355" s="5">
        <f t="shared" ca="1" si="49"/>
        <v>0</v>
      </c>
      <c r="L355" s="5">
        <f t="shared" ca="1" si="52"/>
        <v>0</v>
      </c>
      <c r="M355" s="25">
        <f t="shared" ca="1" si="53"/>
        <v>15.342465753424657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</row>
    <row r="356" spans="2:116" ht="13.2" hidden="1" customHeight="1">
      <c r="B356" s="21"/>
      <c r="E356" s="5">
        <v>352</v>
      </c>
      <c r="F356" s="5">
        <f t="shared" ca="1" si="48"/>
        <v>0</v>
      </c>
      <c r="G356" s="5">
        <f t="shared" ca="1" si="56"/>
        <v>560</v>
      </c>
      <c r="H356" s="5">
        <f t="shared" ca="1" si="50"/>
        <v>560</v>
      </c>
      <c r="I356" s="5">
        <f t="shared" ca="1" si="55"/>
        <v>0</v>
      </c>
      <c r="J356" s="5">
        <f t="shared" ca="1" si="51"/>
        <v>0</v>
      </c>
      <c r="K356" s="5">
        <f t="shared" ca="1" si="49"/>
        <v>0</v>
      </c>
      <c r="L356" s="5">
        <f t="shared" ca="1" si="52"/>
        <v>0</v>
      </c>
      <c r="M356" s="25">
        <f t="shared" ca="1" si="53"/>
        <v>15.342465753424657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</row>
    <row r="357" spans="2:116" ht="13.2" hidden="1" customHeight="1">
      <c r="B357" s="21"/>
      <c r="E357" s="5">
        <v>353</v>
      </c>
      <c r="F357" s="5">
        <f t="shared" ca="1" si="48"/>
        <v>120</v>
      </c>
      <c r="G357" s="5">
        <f t="shared" ca="1" si="56"/>
        <v>560</v>
      </c>
      <c r="H357" s="5">
        <f t="shared" ca="1" si="50"/>
        <v>440</v>
      </c>
      <c r="I357" s="5">
        <f t="shared" ca="1" si="55"/>
        <v>0</v>
      </c>
      <c r="J357" s="5">
        <f t="shared" ca="1" si="51"/>
        <v>0</v>
      </c>
      <c r="K357" s="5">
        <f t="shared" ca="1" si="49"/>
        <v>0</v>
      </c>
      <c r="L357" s="5">
        <f t="shared" ca="1" si="52"/>
        <v>0</v>
      </c>
      <c r="M357" s="25">
        <f t="shared" ca="1" si="53"/>
        <v>12.054794520547944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</row>
    <row r="358" spans="2:116" ht="13.2" hidden="1" customHeight="1">
      <c r="B358" s="21"/>
      <c r="E358" s="5">
        <v>354</v>
      </c>
      <c r="F358" s="5">
        <f t="shared" ca="1" si="48"/>
        <v>100</v>
      </c>
      <c r="G358" s="5">
        <f t="shared" ca="1" si="56"/>
        <v>440</v>
      </c>
      <c r="H358" s="5">
        <f t="shared" ca="1" si="50"/>
        <v>340</v>
      </c>
      <c r="I358" s="5">
        <f t="shared" ca="1" si="55"/>
        <v>0</v>
      </c>
      <c r="J358" s="5">
        <f t="shared" ca="1" si="51"/>
        <v>0</v>
      </c>
      <c r="K358" s="5">
        <f t="shared" ca="1" si="49"/>
        <v>0</v>
      </c>
      <c r="L358" s="5">
        <f t="shared" ca="1" si="52"/>
        <v>0</v>
      </c>
      <c r="M358" s="25">
        <f t="shared" ca="1" si="53"/>
        <v>9.3150684931506849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</row>
    <row r="359" spans="2:116" ht="13.2" hidden="1" customHeight="1">
      <c r="B359" s="21"/>
      <c r="E359" s="5">
        <v>355</v>
      </c>
      <c r="F359" s="5">
        <f t="shared" ca="1" si="48"/>
        <v>120</v>
      </c>
      <c r="G359" s="5">
        <f t="shared" ca="1" si="56"/>
        <v>340</v>
      </c>
      <c r="H359" s="5">
        <f t="shared" ca="1" si="50"/>
        <v>220</v>
      </c>
      <c r="I359" s="5">
        <f t="shared" ca="1" si="55"/>
        <v>0</v>
      </c>
      <c r="J359" s="5">
        <f t="shared" ca="1" si="51"/>
        <v>0</v>
      </c>
      <c r="K359" s="5">
        <f t="shared" ca="1" si="49"/>
        <v>0</v>
      </c>
      <c r="L359" s="5">
        <f t="shared" ca="1" si="52"/>
        <v>0</v>
      </c>
      <c r="M359" s="25">
        <f t="shared" ca="1" si="53"/>
        <v>6.0273972602739718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</row>
    <row r="360" spans="2:116" ht="13.2" hidden="1" customHeight="1">
      <c r="B360" s="21"/>
      <c r="E360" s="5">
        <v>356</v>
      </c>
      <c r="F360" s="5">
        <f t="shared" ca="1" si="48"/>
        <v>0</v>
      </c>
      <c r="G360" s="5">
        <f t="shared" ca="1" si="56"/>
        <v>220</v>
      </c>
      <c r="H360" s="5">
        <f t="shared" ca="1" si="50"/>
        <v>220</v>
      </c>
      <c r="I360" s="5">
        <f t="shared" ca="1" si="55"/>
        <v>0</v>
      </c>
      <c r="J360" s="5">
        <f t="shared" ca="1" si="51"/>
        <v>0</v>
      </c>
      <c r="K360" s="5">
        <f t="shared" ca="1" si="49"/>
        <v>0</v>
      </c>
      <c r="L360" s="5">
        <f t="shared" ca="1" si="52"/>
        <v>0</v>
      </c>
      <c r="M360" s="25">
        <f t="shared" ca="1" si="53"/>
        <v>6.0273972602739718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</row>
    <row r="361" spans="2:116" ht="13.2" hidden="1" customHeight="1">
      <c r="B361" s="21"/>
      <c r="E361" s="5">
        <v>357</v>
      </c>
      <c r="F361" s="5">
        <f t="shared" ca="1" si="48"/>
        <v>120</v>
      </c>
      <c r="G361" s="5">
        <f t="shared" ca="1" si="56"/>
        <v>220</v>
      </c>
      <c r="H361" s="5">
        <f t="shared" ca="1" si="50"/>
        <v>100</v>
      </c>
      <c r="I361" s="5">
        <f t="shared" ca="1" si="55"/>
        <v>0</v>
      </c>
      <c r="J361" s="5">
        <f t="shared" ca="1" si="51"/>
        <v>0</v>
      </c>
      <c r="K361" s="5">
        <f t="shared" ca="1" si="49"/>
        <v>0</v>
      </c>
      <c r="L361" s="5">
        <f t="shared" ca="1" si="52"/>
        <v>0</v>
      </c>
      <c r="M361" s="25">
        <f t="shared" ca="1" si="53"/>
        <v>2.7397260273972601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</row>
    <row r="362" spans="2:116" ht="13.2" hidden="1" customHeight="1">
      <c r="B362" s="21"/>
      <c r="E362" s="5">
        <v>358</v>
      </c>
      <c r="F362" s="5">
        <f t="shared" ca="1" si="48"/>
        <v>0</v>
      </c>
      <c r="G362" s="5">
        <f t="shared" ca="1" si="56"/>
        <v>100</v>
      </c>
      <c r="H362" s="5">
        <f t="shared" ca="1" si="50"/>
        <v>100</v>
      </c>
      <c r="I362" s="5">
        <f t="shared" ca="1" si="55"/>
        <v>0</v>
      </c>
      <c r="J362" s="5">
        <f t="shared" ca="1" si="51"/>
        <v>0</v>
      </c>
      <c r="K362" s="5">
        <f t="shared" ca="1" si="49"/>
        <v>0</v>
      </c>
      <c r="L362" s="5">
        <f t="shared" ca="1" si="52"/>
        <v>0</v>
      </c>
      <c r="M362" s="25">
        <f t="shared" ca="1" si="53"/>
        <v>2.7397260273972601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</row>
    <row r="363" spans="2:116" ht="13.2" hidden="1" customHeight="1">
      <c r="B363" s="21"/>
      <c r="E363" s="5">
        <v>359</v>
      </c>
      <c r="F363" s="5">
        <f t="shared" ca="1" si="48"/>
        <v>120</v>
      </c>
      <c r="G363" s="5">
        <f t="shared" ca="1" si="56"/>
        <v>100</v>
      </c>
      <c r="H363" s="5">
        <f t="shared" ca="1" si="50"/>
        <v>0</v>
      </c>
      <c r="I363" s="5">
        <f t="shared" ca="1" si="55"/>
        <v>1</v>
      </c>
      <c r="J363" s="5">
        <f t="shared" ca="1" si="51"/>
        <v>1</v>
      </c>
      <c r="K363" s="5">
        <f t="shared" ca="1" si="49"/>
        <v>1</v>
      </c>
      <c r="L363" s="5">
        <f t="shared" ca="1" si="52"/>
        <v>200</v>
      </c>
      <c r="M363" s="25">
        <f t="shared" ca="1" si="53"/>
        <v>0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</row>
    <row r="364" spans="2:116" ht="13.2" hidden="1" customHeight="1">
      <c r="B364" s="21"/>
      <c r="E364" s="5">
        <v>360</v>
      </c>
      <c r="F364" s="5">
        <f t="shared" ca="1" si="48"/>
        <v>100</v>
      </c>
      <c r="G364" s="5">
        <f t="shared" ca="1" si="56"/>
        <v>0</v>
      </c>
      <c r="H364" s="5">
        <f t="shared" ca="1" si="50"/>
        <v>0</v>
      </c>
      <c r="I364" s="5">
        <f t="shared" ca="1" si="55"/>
        <v>0</v>
      </c>
      <c r="J364" s="5">
        <f t="shared" ca="1" si="51"/>
        <v>0</v>
      </c>
      <c r="K364" s="5">
        <f t="shared" ca="1" si="49"/>
        <v>1</v>
      </c>
      <c r="L364" s="5">
        <f t="shared" ca="1" si="52"/>
        <v>0</v>
      </c>
      <c r="M364" s="25">
        <f t="shared" ca="1" si="53"/>
        <v>0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</row>
    <row r="365" spans="2:116" ht="13.2" hidden="1" customHeight="1">
      <c r="E365" s="5">
        <v>361</v>
      </c>
      <c r="F365" s="5">
        <f t="shared" ca="1" si="48"/>
        <v>120</v>
      </c>
      <c r="G365" s="5">
        <f t="shared" ca="1" si="56"/>
        <v>1000</v>
      </c>
      <c r="H365" s="5">
        <f t="shared" ca="1" si="50"/>
        <v>880</v>
      </c>
      <c r="I365" s="5">
        <f t="shared" ca="1" si="55"/>
        <v>0</v>
      </c>
      <c r="J365" s="5">
        <f t="shared" ca="1" si="51"/>
        <v>0</v>
      </c>
      <c r="K365" s="5">
        <f t="shared" ca="1" si="49"/>
        <v>0</v>
      </c>
      <c r="L365" s="5">
        <f t="shared" ca="1" si="52"/>
        <v>0</v>
      </c>
      <c r="M365" s="25">
        <f t="shared" ca="1" si="53"/>
        <v>24.109589041095887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</row>
    <row r="366" spans="2:116" ht="13.2" hidden="1" customHeight="1">
      <c r="E366" s="5">
        <v>362</v>
      </c>
      <c r="F366" s="5">
        <f t="shared" ca="1" si="48"/>
        <v>90</v>
      </c>
      <c r="G366" s="5">
        <f t="shared" ca="1" si="56"/>
        <v>880</v>
      </c>
      <c r="H366" s="5">
        <f t="shared" ca="1" si="50"/>
        <v>790</v>
      </c>
      <c r="I366" s="5">
        <f t="shared" ca="1" si="55"/>
        <v>0</v>
      </c>
      <c r="J366" s="5">
        <f t="shared" ca="1" si="51"/>
        <v>0</v>
      </c>
      <c r="K366" s="5">
        <f t="shared" ca="1" si="49"/>
        <v>0</v>
      </c>
      <c r="L366" s="5">
        <f t="shared" ca="1" si="52"/>
        <v>0</v>
      </c>
      <c r="M366" s="25">
        <f t="shared" ca="1" si="53"/>
        <v>21.643835616438356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</row>
    <row r="367" spans="2:116" ht="13.2" hidden="1" customHeight="1">
      <c r="E367" s="5">
        <v>363</v>
      </c>
      <c r="F367" s="5">
        <f t="shared" ca="1" si="48"/>
        <v>0</v>
      </c>
      <c r="G367" s="5">
        <f t="shared" ca="1" si="56"/>
        <v>790</v>
      </c>
      <c r="H367" s="5">
        <f t="shared" ca="1" si="50"/>
        <v>790</v>
      </c>
      <c r="I367" s="5">
        <f t="shared" ca="1" si="55"/>
        <v>0</v>
      </c>
      <c r="J367" s="5">
        <f t="shared" ca="1" si="51"/>
        <v>0</v>
      </c>
      <c r="K367" s="5">
        <f t="shared" ca="1" si="49"/>
        <v>0</v>
      </c>
      <c r="L367" s="5">
        <f t="shared" ca="1" si="52"/>
        <v>0</v>
      </c>
      <c r="M367" s="25">
        <f t="shared" ca="1" si="53"/>
        <v>21.643835616438356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</row>
    <row r="368" spans="2:116" ht="13.2" hidden="1" customHeight="1">
      <c r="E368" s="5">
        <v>364</v>
      </c>
      <c r="F368" s="5">
        <f t="shared" ca="1" si="48"/>
        <v>100</v>
      </c>
      <c r="G368" s="5">
        <f t="shared" ca="1" si="56"/>
        <v>790</v>
      </c>
      <c r="H368" s="5">
        <f t="shared" ca="1" si="50"/>
        <v>690</v>
      </c>
      <c r="I368" s="5">
        <f t="shared" ca="1" si="55"/>
        <v>0</v>
      </c>
      <c r="J368" s="5">
        <f t="shared" ca="1" si="51"/>
        <v>0</v>
      </c>
      <c r="K368" s="5">
        <f t="shared" ca="1" si="49"/>
        <v>0</v>
      </c>
      <c r="L368" s="5">
        <f t="shared" ca="1" si="52"/>
        <v>0</v>
      </c>
      <c r="M368" s="25">
        <f t="shared" ca="1" si="53"/>
        <v>18.904109589041095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</row>
    <row r="369" spans="5:116" ht="13.2" customHeight="1">
      <c r="E369" s="5">
        <v>365</v>
      </c>
      <c r="F369" s="5">
        <f t="shared" ca="1" si="48"/>
        <v>100</v>
      </c>
      <c r="G369" s="5">
        <f t="shared" ca="1" si="56"/>
        <v>690</v>
      </c>
      <c r="H369" s="5">
        <f t="shared" ca="1" si="50"/>
        <v>590</v>
      </c>
      <c r="I369" s="5">
        <f t="shared" ca="1" si="55"/>
        <v>0</v>
      </c>
      <c r="J369" s="5">
        <f t="shared" ca="1" si="51"/>
        <v>0</v>
      </c>
      <c r="K369" s="5">
        <f t="shared" ca="1" si="49"/>
        <v>0</v>
      </c>
      <c r="L369" s="5">
        <f t="shared" ca="1" si="52"/>
        <v>0</v>
      </c>
      <c r="M369" s="25">
        <f t="shared" ca="1" si="53"/>
        <v>16.164383561643834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</row>
    <row r="370" spans="5:116">
      <c r="E370" s="47"/>
      <c r="F370" s="47"/>
      <c r="G370" s="47"/>
      <c r="H370" s="47"/>
      <c r="I370" s="47"/>
      <c r="J370" s="47"/>
      <c r="K370" s="47"/>
      <c r="L370" s="47"/>
      <c r="M370" s="47"/>
    </row>
    <row r="371" spans="5:116" ht="13.2" customHeight="1">
      <c r="F371" s="12"/>
      <c r="G371" s="13"/>
    </row>
    <row r="372" spans="5:116" ht="13.2" customHeight="1">
      <c r="F372" s="12"/>
      <c r="G372" s="13"/>
    </row>
    <row r="373" spans="5:116" ht="13.2" customHeight="1">
      <c r="F373" s="12"/>
      <c r="G373" s="13"/>
    </row>
    <row r="374" spans="5:116" ht="13.2" customHeight="1">
      <c r="F374" s="12"/>
      <c r="G374" s="13"/>
    </row>
    <row r="375" spans="5:116" ht="13.2" customHeight="1">
      <c r="F375" s="12"/>
      <c r="G375" s="13"/>
    </row>
    <row r="376" spans="5:116" ht="13.2" customHeight="1">
      <c r="F376" s="12"/>
      <c r="G376" s="13"/>
    </row>
    <row r="377" spans="5:116" ht="13.2" customHeight="1">
      <c r="F377" s="12"/>
      <c r="G377" s="13"/>
    </row>
    <row r="378" spans="5:116" ht="13.2" customHeight="1">
      <c r="F378" s="12"/>
      <c r="G378" s="13"/>
    </row>
    <row r="379" spans="5:116" ht="13.2" customHeight="1">
      <c r="F379" s="12"/>
      <c r="G379" s="13"/>
    </row>
    <row r="380" spans="5:116" ht="13.2" customHeight="1">
      <c r="F380" s="12"/>
      <c r="G380" s="13"/>
    </row>
    <row r="381" spans="5:116" ht="13.2" customHeight="1">
      <c r="F381" s="12"/>
      <c r="G381" s="13"/>
    </row>
    <row r="382" spans="5:116" ht="13.2" customHeight="1">
      <c r="F382" s="12"/>
      <c r="G382" s="13"/>
    </row>
    <row r="383" spans="5:116" ht="13.2" customHeight="1">
      <c r="F383" s="12"/>
      <c r="G383" s="13"/>
    </row>
    <row r="384" spans="5:116" ht="13.2" customHeight="1">
      <c r="F384" s="12"/>
      <c r="G384" s="13"/>
    </row>
    <row r="385" spans="6:7" ht="13.2" customHeight="1">
      <c r="F385" s="12"/>
      <c r="G385" s="13"/>
    </row>
    <row r="386" spans="6:7" ht="13.2" customHeight="1">
      <c r="F386" s="12"/>
      <c r="G386" s="13"/>
    </row>
    <row r="387" spans="6:7" ht="13.2" customHeight="1">
      <c r="F387" s="12"/>
      <c r="G387" s="13"/>
    </row>
    <row r="388" spans="6:7" ht="13.2" customHeight="1">
      <c r="F388" s="12"/>
      <c r="G388" s="13"/>
    </row>
    <row r="389" spans="6:7" ht="13.2" customHeight="1">
      <c r="F389" s="12"/>
      <c r="G389" s="13"/>
    </row>
    <row r="390" spans="6:7" ht="13.2" customHeight="1">
      <c r="F390" s="12"/>
      <c r="G390" s="13"/>
    </row>
    <row r="391" spans="6:7" ht="13.2" customHeight="1">
      <c r="F391" s="12"/>
      <c r="G391" s="13"/>
    </row>
    <row r="392" spans="6:7" ht="13.2" customHeight="1">
      <c r="F392" s="12"/>
      <c r="G392" s="13"/>
    </row>
    <row r="393" spans="6:7" ht="13.2" customHeight="1">
      <c r="F393" s="12"/>
      <c r="G393" s="13"/>
    </row>
    <row r="394" spans="6:7" ht="13.2" customHeight="1">
      <c r="F394" s="12"/>
      <c r="G394" s="13"/>
    </row>
    <row r="395" spans="6:7" ht="13.2" customHeight="1">
      <c r="F395" s="12"/>
      <c r="G395" s="13"/>
    </row>
    <row r="396" spans="6:7" ht="13.2" customHeight="1">
      <c r="F396" s="12"/>
      <c r="G396" s="13"/>
    </row>
    <row r="397" spans="6:7" ht="13.2" customHeight="1">
      <c r="F397" s="12"/>
      <c r="G397" s="13"/>
    </row>
    <row r="398" spans="6:7" ht="13.2" customHeight="1">
      <c r="F398" s="12"/>
      <c r="G398" s="13"/>
    </row>
    <row r="399" spans="6:7" ht="13.2" customHeight="1">
      <c r="F399" s="12"/>
      <c r="G399" s="13"/>
    </row>
    <row r="400" spans="6:7" ht="13.2" customHeight="1">
      <c r="F400" s="12"/>
      <c r="G400" s="13"/>
    </row>
    <row r="401" spans="6:7" ht="13.2" customHeight="1">
      <c r="F401" s="12"/>
      <c r="G401" s="13"/>
    </row>
    <row r="402" spans="6:7" ht="13.2" customHeight="1">
      <c r="F402" s="12"/>
      <c r="G402" s="13"/>
    </row>
    <row r="403" spans="6:7" ht="13.2" customHeight="1">
      <c r="F403" s="12"/>
      <c r="G403" s="13"/>
    </row>
    <row r="404" spans="6:7" ht="13.2" customHeight="1">
      <c r="F404" s="12"/>
      <c r="G404" s="13"/>
    </row>
    <row r="405" spans="6:7" ht="13.2" customHeight="1">
      <c r="F405" s="12"/>
      <c r="G405" s="13"/>
    </row>
    <row r="406" spans="6:7" ht="13.2" customHeight="1">
      <c r="F406" s="12"/>
      <c r="G406" s="13"/>
    </row>
    <row r="407" spans="6:7" ht="13.2" customHeight="1">
      <c r="F407" s="12"/>
      <c r="G407" s="13"/>
    </row>
    <row r="408" spans="6:7" ht="13.2" customHeight="1">
      <c r="F408" s="12"/>
      <c r="G408" s="13"/>
    </row>
    <row r="409" spans="6:7" ht="13.2" customHeight="1">
      <c r="F409" s="12"/>
      <c r="G409" s="13"/>
    </row>
    <row r="410" spans="6:7" ht="13.2" customHeight="1">
      <c r="F410" s="12"/>
      <c r="G410" s="13"/>
    </row>
    <row r="411" spans="6:7" ht="13.2" customHeight="1">
      <c r="F411" s="12"/>
      <c r="G411" s="13"/>
    </row>
    <row r="412" spans="6:7" ht="13.2" customHeight="1">
      <c r="F412" s="12"/>
      <c r="G412" s="13"/>
    </row>
    <row r="413" spans="6:7" ht="13.2" customHeight="1">
      <c r="F413" s="12"/>
      <c r="G413" s="13"/>
    </row>
    <row r="414" spans="6:7" ht="13.2" customHeight="1">
      <c r="F414" s="12"/>
      <c r="G414" s="13"/>
    </row>
    <row r="415" spans="6:7" ht="13.2" customHeight="1">
      <c r="F415" s="12"/>
      <c r="G415" s="13"/>
    </row>
    <row r="416" spans="6:7" ht="13.2" customHeight="1">
      <c r="F416" s="12"/>
      <c r="G416" s="13"/>
    </row>
    <row r="417" spans="6:7" ht="13.2" customHeight="1">
      <c r="F417" s="12"/>
      <c r="G417" s="13"/>
    </row>
    <row r="418" spans="6:7" ht="13.2" customHeight="1">
      <c r="F418" s="12"/>
      <c r="G418" s="13"/>
    </row>
    <row r="419" spans="6:7" ht="13.2" customHeight="1">
      <c r="F419" s="12"/>
      <c r="G419" s="13"/>
    </row>
    <row r="420" spans="6:7" ht="13.2" customHeight="1">
      <c r="F420" s="12"/>
      <c r="G420" s="13"/>
    </row>
    <row r="421" spans="6:7" ht="13.2" customHeight="1">
      <c r="F421" s="12"/>
      <c r="G421" s="13"/>
    </row>
    <row r="422" spans="6:7" ht="13.2" customHeight="1">
      <c r="F422" s="12"/>
      <c r="G422" s="13"/>
    </row>
    <row r="423" spans="6:7" ht="13.2" customHeight="1">
      <c r="F423" s="12"/>
      <c r="G423" s="13"/>
    </row>
    <row r="424" spans="6:7" ht="13.2" customHeight="1">
      <c r="F424" s="12"/>
      <c r="G424" s="13"/>
    </row>
    <row r="425" spans="6:7" ht="13.2" customHeight="1"/>
    <row r="426" spans="6:7" ht="13.2" customHeight="1"/>
    <row r="427" spans="6:7" ht="13.2" customHeight="1"/>
    <row r="428" spans="6:7" ht="13.2" customHeight="1"/>
    <row r="429" spans="6:7" ht="13.2" customHeight="1"/>
  </sheetData>
  <mergeCells count="1">
    <mergeCell ref="E2:E3"/>
  </mergeCells>
  <phoneticPr fontId="2" type="noConversion"/>
  <printOptions headings="1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9"/>
  <sheetViews>
    <sheetView showGridLines="0" zoomScale="93" zoomScaleNormal="93" workbookViewId="0">
      <selection activeCell="S26" sqref="S26"/>
    </sheetView>
  </sheetViews>
  <sheetFormatPr defaultRowHeight="13.2"/>
  <sheetData>
    <row r="9" spans="3:3">
      <c r="C9">
        <v>1200</v>
      </c>
    </row>
  </sheetData>
  <phoneticPr fontId="2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2</xdr:col>
                    <xdr:colOff>525780</xdr:colOff>
                    <xdr:row>5</xdr:row>
                    <xdr:rowOff>15240</xdr:rowOff>
                  </from>
                  <to>
                    <xdr:col>3</xdr:col>
                    <xdr:colOff>114300</xdr:colOff>
                    <xdr:row>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4" name="Spinner 3">
              <controlPr defaultSize="0" autoPict="0">
                <anchor moveWithCells="1" sizeWithCells="1">
                  <from>
                    <xdr:col>7</xdr:col>
                    <xdr:colOff>182880</xdr:colOff>
                    <xdr:row>5</xdr:row>
                    <xdr:rowOff>38100</xdr:rowOff>
                  </from>
                  <to>
                    <xdr:col>7</xdr:col>
                    <xdr:colOff>403860</xdr:colOff>
                    <xdr:row>6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R11" sqref="R11"/>
    </sheetView>
  </sheetViews>
  <sheetFormatPr defaultRowHeight="13.2"/>
  <sheetData/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7</xdr:col>
                    <xdr:colOff>182880</xdr:colOff>
                    <xdr:row>1</xdr:row>
                    <xdr:rowOff>137160</xdr:rowOff>
                  </from>
                  <to>
                    <xdr:col>7</xdr:col>
                    <xdr:colOff>426720</xdr:colOff>
                    <xdr:row>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9</xdr:col>
                    <xdr:colOff>472440</xdr:colOff>
                    <xdr:row>1</xdr:row>
                    <xdr:rowOff>137160</xdr:rowOff>
                  </from>
                  <to>
                    <xdr:col>10</xdr:col>
                    <xdr:colOff>76200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例8-8</vt:lpstr>
      <vt:lpstr>延期交货模拟模型</vt:lpstr>
      <vt:lpstr>延期交货模拟图形</vt:lpstr>
      <vt:lpstr>延期交货服务水平模拟模型</vt:lpstr>
      <vt:lpstr>延期交货服务水平模拟图形</vt:lpstr>
      <vt:lpstr>延期交货库存变化模拟图形</vt:lpstr>
      <vt:lpstr>延期交货服务水平模拟模型!Print_Area</vt:lpstr>
      <vt:lpstr>延期交货模拟模型!Print_Area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yuan chen</cp:lastModifiedBy>
  <cp:lastPrinted>2010-02-17T08:50:59Z</cp:lastPrinted>
  <dcterms:created xsi:type="dcterms:W3CDTF">1997-07-27T18:56:09Z</dcterms:created>
  <dcterms:modified xsi:type="dcterms:W3CDTF">2024-07-23T06:44:47Z</dcterms:modified>
</cp:coreProperties>
</file>