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86158\Desktop\经管机作业\"/>
    </mc:Choice>
  </mc:AlternateContent>
  <xr:revisionPtr revIDLastSave="0" documentId="13_ncr:1_{089F1DAB-D53C-4A66-8CAD-3FB6A5616C6F}" xr6:coauthVersionLast="47" xr6:coauthVersionMax="47" xr10:uidLastSave="{00000000-0000-0000-0000-000000000000}"/>
  <bookViews>
    <workbookView xWindow="-98" yWindow="-98" windowWidth="21795" windowHeight="12975" firstSheet="2" activeTab="3" xr2:uid="{00000000-000D-0000-FFFF-FFFF00000000}"/>
  </bookViews>
  <sheets>
    <sheet name="例8-1" sheetId="2" r:id="rId1"/>
    <sheet name="订货周期策略库存量变化模型" sheetId="1" r:id="rId2"/>
    <sheet name="订货周期策略库存量变化图形" sheetId="19761" r:id="rId3"/>
    <sheet name="订货量策略库存量变化模型" sheetId="19763" r:id="rId4"/>
    <sheet name="订货量策略库存量变化图形" sheetId="1976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9763" l="1"/>
  <c r="C9" i="19763"/>
  <c r="C10" i="19763" s="1"/>
  <c r="C5" i="19763"/>
  <c r="C6" i="1"/>
  <c r="B13" i="19763" l="1"/>
  <c r="B14" i="19763"/>
  <c r="B12" i="19763"/>
  <c r="G2" i="19763" l="1"/>
  <c r="B14" i="1"/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" i="1"/>
  <c r="C8" i="1"/>
  <c r="C9" i="1" s="1"/>
  <c r="C10" i="1" s="1"/>
  <c r="B13" i="1" l="1"/>
  <c r="B12" i="1"/>
  <c r="G2" i="1" l="1"/>
</calcChain>
</file>

<file path=xl/sharedStrings.xml><?xml version="1.0" encoding="utf-8"?>
<sst xmlns="http://schemas.openxmlformats.org/spreadsheetml/2006/main" count="16" uniqueCount="8">
  <si>
    <t>订货量</t>
  </si>
  <si>
    <t>订货周期</t>
    <phoneticPr fontId="2" type="noConversion"/>
  </si>
  <si>
    <t>初始库存量</t>
    <phoneticPr fontId="2" type="noConversion"/>
  </si>
  <si>
    <t>本周期已过去天数</t>
    <phoneticPr fontId="2" type="noConversion"/>
  </si>
  <si>
    <t>日需求量</t>
    <phoneticPr fontId="2" type="noConversion"/>
  </si>
  <si>
    <t>当前库存量</t>
    <phoneticPr fontId="2" type="noConversion"/>
  </si>
  <si>
    <t>查看时间(天)</t>
    <phoneticPr fontId="2" type="noConversion"/>
  </si>
  <si>
    <t>已过去订货周期数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</si>
</sst>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B8FACE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4" fillId="2" borderId="0" xfId="0" applyFont="1" applyFill="1"/>
    <xf numFmtId="0" fontId="4" fillId="2" borderId="1" xfId="0" applyFont="1" applyFill="1" applyBorder="1"/>
    <xf numFmtId="2" fontId="4" fillId="2" borderId="0" xfId="0" applyNumberFormat="1" applyFont="1" applyFill="1"/>
    <xf numFmtId="0" fontId="4" fillId="2" borderId="0" xfId="0" applyFont="1" applyFill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1" fontId="6" fillId="2" borderId="1" xfId="0" applyNumberFormat="1" applyFont="1" applyFill="1" applyBorder="1" applyAlignment="1">
      <alignment horizontal="center"/>
    </xf>
    <xf numFmtId="0" fontId="6" fillId="2" borderId="1" xfId="0" applyFont="1" applyFill="1" applyBorder="1"/>
    <xf numFmtId="0" fontId="7" fillId="0" borderId="0" xfId="0" applyFont="1"/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/>
    <xf numFmtId="1" fontId="6" fillId="4" borderId="1" xfId="1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1" fontId="6" fillId="7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" fontId="6" fillId="6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/>
    <xf numFmtId="0" fontId="4" fillId="5" borderId="1" xfId="0" applyFont="1" applyFill="1" applyBorder="1" applyAlignment="1">
      <alignment horizontal="center"/>
    </xf>
    <xf numFmtId="1" fontId="4" fillId="4" borderId="1" xfId="1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colors>
    <mruColors>
      <color rgb="FFB8FACE"/>
      <color rgb="FFFFFF99"/>
      <color rgb="FF92F8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/>
              <a:t>确定需求下</a:t>
            </a:r>
            <a:r>
              <a:rPr lang="zh-CN" altLang="en-US"/>
              <a:t>基于订货周期的</a:t>
            </a:r>
            <a:r>
              <a:rPr lang="en-US" altLang="zh-CN" sz="1260" b="1" i="0" u="none" strike="noStrike" baseline="0">
                <a:effectLst/>
              </a:rPr>
              <a:t>30</a:t>
            </a:r>
            <a:r>
              <a:rPr lang="zh-CN" altLang="zh-CN" sz="1260" b="1" i="0" u="none" strike="noStrike" baseline="0">
                <a:effectLst/>
              </a:rPr>
              <a:t>天</a:t>
            </a:r>
            <a:r>
              <a:rPr lang="zh-CN"/>
              <a:t>库存量变化</a:t>
            </a:r>
          </a:p>
        </c:rich>
      </c:tx>
      <c:layout>
        <c:manualLayout>
          <c:xMode val="edge"/>
          <c:yMode val="edge"/>
          <c:x val="0.23550896353870102"/>
          <c:y val="4.58641427715868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049047992712252"/>
          <c:y val="0.26716462525517642"/>
          <c:w val="0.85256180606290188"/>
          <c:h val="0.58084478124582728"/>
        </c:manualLayout>
      </c:layout>
      <c:barChart>
        <c:barDir val="col"/>
        <c:grouping val="clustered"/>
        <c:varyColors val="0"/>
        <c:ser>
          <c:idx val="2"/>
          <c:order val="0"/>
          <c:tx>
            <c:v>当前库存量</c:v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</c:spPr>
          <c:invertIfNegative val="0"/>
          <c:cat>
            <c:numRef>
              <c:f>订货周期策略库存量变化模型!$F$3:$F$33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订货周期策略库存量变化模型!$H$3:$H$33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9-4CA3-A398-55B7FDF3E540}"/>
            </c:ext>
          </c:extLst>
        </c:ser>
        <c:ser>
          <c:idx val="0"/>
          <c:order val="1"/>
          <c:tx>
            <c:v>库存量</c:v>
          </c:tx>
          <c:spPr>
            <a:noFill/>
            <a:ln>
              <a:solidFill>
                <a:schemeClr val="bg1">
                  <a:lumMod val="65000"/>
                </a:schemeClr>
              </a:solidFill>
            </a:ln>
          </c:spPr>
          <c:invertIfNegative val="0"/>
          <c:cat>
            <c:numRef>
              <c:f>订货周期策略库存量变化模型!$F$3:$F$33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订货周期策略库存量变化模型!$G$3:$G$33</c:f>
              <c:numCache>
                <c:formatCode>0</c:formatCode>
                <c:ptCount val="31"/>
                <c:pt idx="0">
                  <c:v>500</c:v>
                </c:pt>
                <c:pt idx="1">
                  <c:v>400</c:v>
                </c:pt>
                <c:pt idx="2">
                  <c:v>300</c:v>
                </c:pt>
                <c:pt idx="3">
                  <c:v>200</c:v>
                </c:pt>
                <c:pt idx="4">
                  <c:v>100</c:v>
                </c:pt>
                <c:pt idx="5">
                  <c:v>500</c:v>
                </c:pt>
                <c:pt idx="6">
                  <c:v>400</c:v>
                </c:pt>
                <c:pt idx="7">
                  <c:v>300</c:v>
                </c:pt>
                <c:pt idx="8">
                  <c:v>200</c:v>
                </c:pt>
                <c:pt idx="9">
                  <c:v>100</c:v>
                </c:pt>
                <c:pt idx="10">
                  <c:v>500</c:v>
                </c:pt>
                <c:pt idx="11">
                  <c:v>400</c:v>
                </c:pt>
                <c:pt idx="12">
                  <c:v>300</c:v>
                </c:pt>
                <c:pt idx="13">
                  <c:v>200</c:v>
                </c:pt>
                <c:pt idx="14">
                  <c:v>100</c:v>
                </c:pt>
                <c:pt idx="15">
                  <c:v>500</c:v>
                </c:pt>
                <c:pt idx="16">
                  <c:v>400</c:v>
                </c:pt>
                <c:pt idx="17">
                  <c:v>300</c:v>
                </c:pt>
                <c:pt idx="18">
                  <c:v>200</c:v>
                </c:pt>
                <c:pt idx="19">
                  <c:v>100</c:v>
                </c:pt>
                <c:pt idx="20">
                  <c:v>500</c:v>
                </c:pt>
                <c:pt idx="21">
                  <c:v>400</c:v>
                </c:pt>
                <c:pt idx="22">
                  <c:v>300</c:v>
                </c:pt>
                <c:pt idx="23">
                  <c:v>200</c:v>
                </c:pt>
                <c:pt idx="24">
                  <c:v>100</c:v>
                </c:pt>
                <c:pt idx="25">
                  <c:v>500</c:v>
                </c:pt>
                <c:pt idx="26">
                  <c:v>400</c:v>
                </c:pt>
                <c:pt idx="27">
                  <c:v>300</c:v>
                </c:pt>
                <c:pt idx="28">
                  <c:v>200</c:v>
                </c:pt>
                <c:pt idx="29">
                  <c:v>100</c:v>
                </c:pt>
                <c:pt idx="30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59-4CA3-A398-55B7FDF3E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4400768"/>
        <c:axId val="156817600"/>
      </c:barChart>
      <c:catAx>
        <c:axId val="74400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/>
                  <a:t>天</a:t>
                </a:r>
              </a:p>
            </c:rich>
          </c:tx>
          <c:layout>
            <c:manualLayout>
              <c:xMode val="edge"/>
              <c:yMode val="edge"/>
              <c:x val="0.48019223275750106"/>
              <c:y val="0.9237817574633426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568176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6817600"/>
        <c:scaling>
          <c:orientation val="minMax"/>
        </c:scaling>
        <c:delete val="0"/>
        <c:axPos val="l"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zh-CN"/>
                  <a:t>库存量</a:t>
                </a:r>
              </a:p>
            </c:rich>
          </c:tx>
          <c:layout>
            <c:manualLayout>
              <c:xMode val="edge"/>
              <c:yMode val="edge"/>
              <c:x val="1.4448347878930866E-2"/>
              <c:y val="0.46038257687431333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7440076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5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/>
              <a:t>确定需求下</a:t>
            </a:r>
            <a:r>
              <a:rPr lang="zh-CN" altLang="en-US"/>
              <a:t>基于订货量的</a:t>
            </a:r>
            <a:r>
              <a:rPr lang="en-US"/>
              <a:t>30</a:t>
            </a:r>
            <a:r>
              <a:rPr lang="zh-CN"/>
              <a:t>天内库存量变化</a:t>
            </a:r>
          </a:p>
        </c:rich>
      </c:tx>
      <c:layout>
        <c:manualLayout>
          <c:xMode val="edge"/>
          <c:yMode val="edge"/>
          <c:x val="0.25217631301241983"/>
          <c:y val="4.166666666666666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049047992712252"/>
          <c:y val="0.26716462525517642"/>
          <c:w val="0.85256180606290188"/>
          <c:h val="0.58084478124582728"/>
        </c:manualLayout>
      </c:layout>
      <c:barChart>
        <c:barDir val="col"/>
        <c:grouping val="clustered"/>
        <c:varyColors val="0"/>
        <c:ser>
          <c:idx val="2"/>
          <c:order val="0"/>
          <c:tx>
            <c:v>当前库存量</c:v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</c:spPr>
          <c:invertIfNegative val="0"/>
          <c:cat>
            <c:numRef>
              <c:f>订货量策略库存量变化模型!$F$3:$F$33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订货量策略库存量变化模型!$H$3:$H$33</c:f>
              <c:numCache>
                <c:formatCode>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FF59-4CA3-A398-55B7FDF3E540}"/>
            </c:ext>
          </c:extLst>
        </c:ser>
        <c:ser>
          <c:idx val="0"/>
          <c:order val="1"/>
          <c:spPr>
            <a:noFill/>
            <a:ln>
              <a:solidFill>
                <a:schemeClr val="bg1">
                  <a:lumMod val="65000"/>
                </a:schemeClr>
              </a:solidFill>
            </a:ln>
          </c:spPr>
          <c:invertIfNegative val="0"/>
          <c:cat>
            <c:numRef>
              <c:f>订货量策略库存量变化模型!$F$3:$F$33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订货量策略库存量变化模型!$G$3:$G$33</c:f>
              <c:numCache>
                <c:formatCode>0</c:formatCode>
                <c:ptCount val="31"/>
                <c:pt idx="0">
                  <c:v>800</c:v>
                </c:pt>
                <c:pt idx="1">
                  <c:v>700</c:v>
                </c:pt>
                <c:pt idx="2">
                  <c:v>600</c:v>
                </c:pt>
                <c:pt idx="3">
                  <c:v>500</c:v>
                </c:pt>
                <c:pt idx="4">
                  <c:v>400</c:v>
                </c:pt>
                <c:pt idx="5">
                  <c:v>300</c:v>
                </c:pt>
                <c:pt idx="6">
                  <c:v>200</c:v>
                </c:pt>
                <c:pt idx="7">
                  <c:v>100</c:v>
                </c:pt>
                <c:pt idx="8">
                  <c:v>800</c:v>
                </c:pt>
                <c:pt idx="9">
                  <c:v>700</c:v>
                </c:pt>
                <c:pt idx="10">
                  <c:v>600</c:v>
                </c:pt>
                <c:pt idx="11">
                  <c:v>500</c:v>
                </c:pt>
                <c:pt idx="12">
                  <c:v>400</c:v>
                </c:pt>
                <c:pt idx="13">
                  <c:v>300</c:v>
                </c:pt>
                <c:pt idx="14">
                  <c:v>200</c:v>
                </c:pt>
                <c:pt idx="15">
                  <c:v>100</c:v>
                </c:pt>
                <c:pt idx="16">
                  <c:v>800</c:v>
                </c:pt>
                <c:pt idx="17">
                  <c:v>700</c:v>
                </c:pt>
                <c:pt idx="18">
                  <c:v>600</c:v>
                </c:pt>
                <c:pt idx="19">
                  <c:v>500</c:v>
                </c:pt>
                <c:pt idx="20">
                  <c:v>400</c:v>
                </c:pt>
                <c:pt idx="21">
                  <c:v>300</c:v>
                </c:pt>
                <c:pt idx="22">
                  <c:v>200</c:v>
                </c:pt>
                <c:pt idx="23">
                  <c:v>100</c:v>
                </c:pt>
                <c:pt idx="24">
                  <c:v>800</c:v>
                </c:pt>
                <c:pt idx="25">
                  <c:v>700</c:v>
                </c:pt>
                <c:pt idx="26">
                  <c:v>600</c:v>
                </c:pt>
                <c:pt idx="27">
                  <c:v>500</c:v>
                </c:pt>
                <c:pt idx="28">
                  <c:v>400</c:v>
                </c:pt>
                <c:pt idx="29">
                  <c:v>300</c:v>
                </c:pt>
                <c:pt idx="3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59-4CA3-A398-55B7FDF3E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4952704"/>
        <c:axId val="74491584"/>
      </c:barChart>
      <c:catAx>
        <c:axId val="74952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/>
                  <a:t>天</a:t>
                </a:r>
              </a:p>
            </c:rich>
          </c:tx>
          <c:layout>
            <c:manualLayout>
              <c:xMode val="edge"/>
              <c:yMode val="edge"/>
              <c:x val="0.48019223275750106"/>
              <c:y val="0.9237817574633426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7449158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74491584"/>
        <c:scaling>
          <c:orientation val="minMax"/>
        </c:scaling>
        <c:delete val="0"/>
        <c:axPos val="l"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zh-CN"/>
                  <a:t>库存量</a:t>
                </a:r>
              </a:p>
            </c:rich>
          </c:tx>
          <c:layout>
            <c:manualLayout>
              <c:xMode val="edge"/>
              <c:yMode val="edge"/>
              <c:x val="1.4448347878930866E-2"/>
              <c:y val="0.46038257687431333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7495270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5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Spin" dx="16" fmlaLink="订货周期策略库存量变化模型!$C$7" max="30" min="1" page="10" val="7"/>
</file>

<file path=xl/ctrlProps/ctrlProp2.xml><?xml version="1.0" encoding="utf-8"?>
<formControlPr xmlns="http://schemas.microsoft.com/office/spreadsheetml/2009/9/main" objectType="Spin" dx="16" fmlaLink="订货周期策略库存量变化模型!$C$5" max="10" min="1" page="10" val="5"/>
</file>

<file path=xl/ctrlProps/ctrlProp3.xml><?xml version="1.0" encoding="utf-8"?>
<formControlPr xmlns="http://schemas.microsoft.com/office/spreadsheetml/2009/9/main" objectType="Spin" dx="16" fmlaLink="订货量策略库存量变化模型!$C$7" max="30" min="1" page="10" val="10"/>
</file>

<file path=xl/ctrlProps/ctrlProp4.xml><?xml version="1.0" encoding="utf-8"?>
<formControlPr xmlns="http://schemas.microsoft.com/office/spreadsheetml/2009/9/main" objectType="Spin" dx="16" fmlaLink="订货量策略库存量变化模型!$C$6" inc="100" max="1000" min="100" page="10" val="80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619124</xdr:colOff>
      <xdr:row>1</xdr:row>
      <xdr:rowOff>76200</xdr:rowOff>
    </xdr:from>
    <xdr:to>
      <xdr:col>9</xdr:col>
      <xdr:colOff>266699</xdr:colOff>
      <xdr:row>40</xdr:row>
      <xdr:rowOff>38100</xdr:rowOff>
    </xdr:to>
    <xdr:grpSp>
      <xdr:nvGrpSpPr>
        <xdr:cNvPr id="12" name="组合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619124" y="238125"/>
          <a:ext cx="5819775" cy="6276975"/>
          <a:chOff x="619124" y="241300"/>
          <a:chExt cx="5819775" cy="6400800"/>
        </a:xfrm>
      </xdr:grpSpPr>
      <xdr:sp macro="" textlink="">
        <xdr:nvSpPr>
          <xdr:cNvPr id="3073" name="Text Box 1">
            <a:extLst>
              <a:ext uri="{FF2B5EF4-FFF2-40B4-BE49-F238E27FC236}">
                <a16:creationId xmlns:a16="http://schemas.microsoft.com/office/drawing/2014/main" id="{00000000-0008-0000-0000-000001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19124" y="241300"/>
            <a:ext cx="5819775" cy="6400800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lnSpc>
                <a:spcPts val="1100"/>
              </a:lnSpc>
              <a:defRPr sz="1000"/>
            </a:pPr>
            <a:r>
              <a:rPr lang="en-US" altLang="zh-CN" sz="10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【</a:t>
            </a: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例</a:t>
            </a:r>
            <a:r>
              <a:rPr lang="en-US" altLang="zh-CN" sz="1000" b="0" i="0" u="none" strike="noStrike" baseline="0">
                <a:solidFill>
                  <a:srgbClr val="000000"/>
                </a:solidFill>
                <a:latin typeface="宋体"/>
                <a:ea typeface="+mn-ea"/>
              </a:rPr>
              <a:t>8-1】</a:t>
            </a:r>
            <a:r>
              <a:rPr lang="zh-CN" altLang="zh-CN" sz="1000">
                <a:effectLst/>
                <a:latin typeface="+mn-lt"/>
                <a:ea typeface="+mn-ea"/>
                <a:cs typeface="+mn-cs"/>
              </a:rPr>
              <a:t>某公司经销一种商品，初始库存量为</a:t>
            </a:r>
            <a:r>
              <a:rPr lang="en-US" altLang="zh-CN" sz="1000">
                <a:effectLst/>
                <a:latin typeface="+mn-lt"/>
                <a:ea typeface="+mn-ea"/>
                <a:cs typeface="+mn-cs"/>
              </a:rPr>
              <a:t>0</a:t>
            </a:r>
            <a:r>
              <a:rPr lang="zh-CN" altLang="zh-CN" sz="1000">
                <a:effectLst/>
                <a:latin typeface="+mn-lt"/>
                <a:ea typeface="+mn-ea"/>
                <a:cs typeface="+mn-cs"/>
              </a:rPr>
              <a:t>，每次最多订货</a:t>
            </a:r>
            <a:r>
              <a:rPr lang="en-US" altLang="zh-CN" sz="1000">
                <a:effectLst/>
                <a:latin typeface="+mn-lt"/>
                <a:ea typeface="+mn-ea"/>
                <a:cs typeface="+mn-cs"/>
              </a:rPr>
              <a:t>1000</a:t>
            </a:r>
            <a:r>
              <a:rPr lang="zh-CN" altLang="zh-CN" sz="1000">
                <a:effectLst/>
                <a:latin typeface="+mn-lt"/>
                <a:ea typeface="+mn-ea"/>
                <a:cs typeface="+mn-cs"/>
              </a:rPr>
              <a:t>件，最长每隔</a:t>
            </a:r>
            <a:r>
              <a:rPr lang="en-US" altLang="zh-CN" sz="1000">
                <a:effectLst/>
                <a:latin typeface="+mn-lt"/>
                <a:ea typeface="+mn-ea"/>
                <a:cs typeface="+mn-cs"/>
              </a:rPr>
              <a:t>10</a:t>
            </a:r>
            <a:r>
              <a:rPr lang="zh-CN" altLang="zh-CN" sz="1000">
                <a:effectLst/>
                <a:latin typeface="+mn-lt"/>
                <a:ea typeface="+mn-ea"/>
                <a:cs typeface="+mn-cs"/>
              </a:rPr>
              <a:t>天订一次货。在每天需求固定</a:t>
            </a:r>
            <a:r>
              <a:rPr lang="en-US" altLang="zh-CN" sz="1000">
                <a:effectLst/>
                <a:latin typeface="+mn-lt"/>
                <a:ea typeface="+mn-ea"/>
                <a:cs typeface="+mn-cs"/>
              </a:rPr>
              <a:t>100</a:t>
            </a:r>
            <a:r>
              <a:rPr lang="zh-CN" altLang="zh-CN" sz="1000">
                <a:effectLst/>
                <a:latin typeface="+mn-lt"/>
                <a:ea typeface="+mn-ea"/>
                <a:cs typeface="+mn-cs"/>
              </a:rPr>
              <a:t>件，订货能即时到货（即交货期为零）的情况下，管理人员想借助模型随时了解两种不同订货策略下一个月（</a:t>
            </a:r>
            <a:r>
              <a:rPr lang="en-US" altLang="zh-CN" sz="1000">
                <a:effectLst/>
                <a:latin typeface="+mn-lt"/>
                <a:ea typeface="+mn-ea"/>
                <a:cs typeface="+mn-cs"/>
              </a:rPr>
              <a:t>30</a:t>
            </a:r>
            <a:r>
              <a:rPr lang="zh-CN" altLang="zh-CN" sz="1000">
                <a:effectLst/>
                <a:latin typeface="+mn-lt"/>
                <a:ea typeface="+mn-ea"/>
                <a:cs typeface="+mn-cs"/>
              </a:rPr>
              <a:t>天）内的每天库存量。参照下面</a:t>
            </a:r>
            <a:r>
              <a:rPr lang="zh-CN" altLang="en-US" sz="1000">
                <a:effectLst/>
                <a:latin typeface="+mn-lt"/>
                <a:ea typeface="+mn-ea"/>
                <a:cs typeface="+mn-cs"/>
              </a:rPr>
              <a:t>两</a:t>
            </a:r>
            <a:r>
              <a:rPr lang="zh-CN" altLang="zh-CN" sz="1000">
                <a:effectLst/>
                <a:latin typeface="+mn-lt"/>
                <a:ea typeface="+mn-ea"/>
                <a:cs typeface="+mn-cs"/>
              </a:rPr>
              <a:t>图形建立模型</a:t>
            </a:r>
            <a:r>
              <a:rPr lang="zh-CN" altLang="en-US" sz="1000">
                <a:effectLst/>
                <a:latin typeface="+mn-lt"/>
                <a:ea typeface="+mn-ea"/>
                <a:cs typeface="+mn-cs"/>
              </a:rPr>
              <a:t>。</a:t>
            </a:r>
            <a:endParaRPr lang="en-US" altLang="zh-CN" sz="1000">
              <a:effectLst/>
              <a:latin typeface="+mn-lt"/>
              <a:ea typeface="+mn-ea"/>
              <a:cs typeface="+mn-cs"/>
            </a:endParaRPr>
          </a:p>
          <a:p>
            <a:pPr algn="l" rtl="0">
              <a:lnSpc>
                <a:spcPts val="1100"/>
              </a:lnSpc>
              <a:defRPr sz="1000"/>
            </a:pPr>
            <a:endParaRPr lang="zh-CN" altLang="en-US"/>
          </a:p>
        </xdr:txBody>
      </xdr:sp>
      <xdr:pic>
        <xdr:nvPicPr>
          <xdr:cNvPr id="13" name="图片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55650" y="3600450"/>
            <a:ext cx="5530717" cy="28956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" name="图片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68351" y="800101"/>
            <a:ext cx="5530849" cy="272046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223122</xdr:colOff>
      <xdr:row>1</xdr:row>
      <xdr:rowOff>14193</xdr:rowOff>
    </xdr:from>
    <xdr:to>
      <xdr:col>9</xdr:col>
      <xdr:colOff>141630</xdr:colOff>
      <xdr:row>19</xdr:row>
      <xdr:rowOff>98237</xdr:rowOff>
    </xdr:to>
    <xdr:grpSp>
      <xdr:nvGrpSpPr>
        <xdr:cNvPr id="11" name="组合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pSpPr/>
      </xdr:nvGrpSpPr>
      <xdr:grpSpPr>
        <a:xfrm>
          <a:off x="223122" y="177613"/>
          <a:ext cx="6095751" cy="3025588"/>
          <a:chOff x="266700" y="177613"/>
          <a:chExt cx="5535581" cy="3025588"/>
        </a:xfrm>
      </xdr:grpSpPr>
      <xdr:graphicFrame macro="">
        <xdr:nvGraphicFramePr>
          <xdr:cNvPr id="8" name="图表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GraphicFramePr>
            <a:graphicFrameLocks/>
          </xdr:cNvGraphicFramePr>
        </xdr:nvGraphicFramePr>
        <xdr:xfrm>
          <a:off x="266700" y="177613"/>
          <a:ext cx="5535581" cy="30255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9" name="组合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GrpSpPr/>
        </xdr:nvGrpSpPr>
        <xdr:grpSpPr>
          <a:xfrm>
            <a:off x="1554879" y="684803"/>
            <a:ext cx="1433356" cy="249020"/>
            <a:chOff x="1710516" y="684803"/>
            <a:chExt cx="1433356" cy="249020"/>
          </a:xfrm>
        </xdr:grpSpPr>
        <xdr:sp macro="" textlink="订货周期策略库存量变化模型!B14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1959177" y="694330"/>
              <a:ext cx="1184695" cy="23949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>
              <a:noAutofit/>
            </a:bodyPr>
            <a:lstStyle/>
            <a:p>
              <a:pPr marL="0" indent="0" algn="ctr"/>
              <a:fld id="{D9272CF6-D11F-4991-AEA7-3DBFFABD3EE5}" type="TxLink">
                <a:rPr lang="zh-CN" altLang="en-US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pPr marL="0" indent="0" algn="ctr"/>
                <a:t>查看时间(天)=7天</a:t>
              </a:fld>
              <a:endParaRPr lang="zh-CN" altLang="en-US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3317" name="Spinner 5" hidden="1">
                  <a:extLst>
                    <a:ext uri="{63B3BB69-23CF-44E3-9099-C40C66FF867C}">
                      <a14:compatExt spid="_x0000_s13317"/>
                    </a:ext>
                    <a:ext uri="{FF2B5EF4-FFF2-40B4-BE49-F238E27FC236}">
                      <a16:creationId xmlns:a16="http://schemas.microsoft.com/office/drawing/2014/main" id="{00000000-0008-0000-0200-000005340000}"/>
                    </a:ext>
                  </a:extLst>
                </xdr:cNvPr>
                <xdr:cNvSpPr/>
              </xdr:nvSpPr>
              <xdr:spPr bwMode="auto">
                <a:xfrm>
                  <a:off x="1710516" y="684803"/>
                  <a:ext cx="240304" cy="242794"/>
                </a:xfrm>
                <a:prstGeom prst="rect">
                  <a:avLst/>
                </a:prstGeom>
                <a:noFill/>
                <a:ln w="9525">
                  <a:miter lim="800000"/>
                  <a:headEnd/>
                  <a:tailEnd/>
                </a:ln>
              </xdr:spPr>
            </xdr:sp>
          </mc:Choice>
          <mc:Fallback/>
        </mc:AlternateContent>
      </xdr:grpSp>
      <xdr:grpSp>
        <xdr:nvGrpSpPr>
          <xdr:cNvPr id="10" name="组合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GrpSpPr/>
        </xdr:nvGrpSpPr>
        <xdr:grpSpPr>
          <a:xfrm>
            <a:off x="3206999" y="694949"/>
            <a:ext cx="1262903" cy="226424"/>
            <a:chOff x="3206999" y="694949"/>
            <a:chExt cx="1262903" cy="226424"/>
          </a:xfrm>
        </xdr:grpSpPr>
        <xdr:sp macro="" textlink="订货周期策略库存量变化模型!B13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SpPr txBox="1"/>
          </xdr:nvSpPr>
          <xdr:spPr>
            <a:xfrm>
              <a:off x="3445368" y="694949"/>
              <a:ext cx="1024534" cy="22642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>
              <a:noAutofit/>
            </a:bodyPr>
            <a:lstStyle/>
            <a:p>
              <a:pPr marL="0" indent="0" algn="ctr"/>
              <a:fld id="{451F7DCB-C5E5-441F-B75B-C90EAA80919A}" type="TxLink">
                <a:rPr lang="zh-CN" altLang="en-US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pPr marL="0" indent="0" algn="ctr"/>
                <a:t>订货周期=5天</a:t>
              </a:fld>
              <a:endParaRPr lang="zh-CN" altLang="en-US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3318" name="Spinner 6" hidden="1">
                  <a:extLst>
                    <a:ext uri="{63B3BB69-23CF-44E3-9099-C40C66FF867C}">
                      <a14:compatExt spid="_x0000_s13318"/>
                    </a:ext>
                    <a:ext uri="{FF2B5EF4-FFF2-40B4-BE49-F238E27FC236}">
                      <a16:creationId xmlns:a16="http://schemas.microsoft.com/office/drawing/2014/main" id="{00000000-0008-0000-0200-000006340000}"/>
                    </a:ext>
                  </a:extLst>
                </xdr:cNvPr>
                <xdr:cNvSpPr/>
              </xdr:nvSpPr>
              <xdr:spPr bwMode="auto">
                <a:xfrm>
                  <a:off x="3206999" y="699497"/>
                  <a:ext cx="228600" cy="221876"/>
                </a:xfrm>
                <a:prstGeom prst="rect">
                  <a:avLst/>
                </a:prstGeom>
                <a:noFill/>
                <a:ln w="9525">
                  <a:miter lim="800000"/>
                  <a:headEnd/>
                  <a:tailEnd/>
                </a:ln>
              </xdr:spPr>
            </xdr:sp>
          </mc:Choice>
          <mc:Fallback/>
        </mc:AlternateContent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297827</xdr:colOff>
      <xdr:row>1</xdr:row>
      <xdr:rowOff>57771</xdr:rowOff>
    </xdr:from>
    <xdr:to>
      <xdr:col>8</xdr:col>
      <xdr:colOff>597647</xdr:colOff>
      <xdr:row>19</xdr:row>
      <xdr:rowOff>141815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97827" y="221191"/>
          <a:ext cx="5790702" cy="3025588"/>
          <a:chOff x="266700" y="177613"/>
          <a:chExt cx="5535581" cy="3025588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>
            <a:graphicFrameLocks/>
          </xdr:cNvGraphicFramePr>
        </xdr:nvGraphicFramePr>
        <xdr:xfrm>
          <a:off x="266700" y="177613"/>
          <a:ext cx="5535581" cy="30255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4" name="组合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GrpSpPr/>
        </xdr:nvGrpSpPr>
        <xdr:grpSpPr>
          <a:xfrm>
            <a:off x="1666936" y="681880"/>
            <a:ext cx="1420907" cy="245717"/>
            <a:chOff x="1822573" y="681880"/>
            <a:chExt cx="1420907" cy="245717"/>
          </a:xfrm>
        </xdr:grpSpPr>
        <xdr:sp macro="" textlink="订货周期策略库存量变化模型!B14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SpPr txBox="1"/>
          </xdr:nvSpPr>
          <xdr:spPr>
            <a:xfrm>
              <a:off x="2058785" y="681880"/>
              <a:ext cx="1184695" cy="23949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>
              <a:noAutofit/>
            </a:bodyPr>
            <a:lstStyle/>
            <a:p>
              <a:pPr marL="0" indent="0" algn="ctr"/>
              <a:fld id="{D9272CF6-D11F-4991-AEA7-3DBFFABD3EE5}" type="TxLink">
                <a:rPr lang="zh-CN" altLang="en-US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pPr marL="0" indent="0" algn="ctr"/>
                <a:t>查看时间(天)=7天</a:t>
              </a:fld>
              <a:endParaRPr lang="zh-CN" altLang="en-US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5361" name="Spinner 1" hidden="1">
                  <a:extLst>
                    <a:ext uri="{63B3BB69-23CF-44E3-9099-C40C66FF867C}">
                      <a14:compatExt spid="_x0000_s15361"/>
                    </a:ext>
                    <a:ext uri="{FF2B5EF4-FFF2-40B4-BE49-F238E27FC236}">
                      <a16:creationId xmlns:a16="http://schemas.microsoft.com/office/drawing/2014/main" id="{00000000-0008-0000-0400-0000013C0000}"/>
                    </a:ext>
                  </a:extLst>
                </xdr:cNvPr>
                <xdr:cNvSpPr/>
              </xdr:nvSpPr>
              <xdr:spPr bwMode="auto">
                <a:xfrm>
                  <a:off x="1822573" y="684803"/>
                  <a:ext cx="240304" cy="242794"/>
                </a:xfrm>
                <a:prstGeom prst="rect">
                  <a:avLst/>
                </a:prstGeom>
                <a:noFill/>
                <a:ln w="9525">
                  <a:miter lim="800000"/>
                  <a:headEnd/>
                  <a:tailEnd/>
                </a:ln>
              </xdr:spPr>
            </xdr:sp>
          </mc:Choice>
          <mc:Fallback/>
        </mc:AlternateContent>
      </xdr:grpSp>
      <xdr:grpSp>
        <xdr:nvGrpSpPr>
          <xdr:cNvPr id="6" name="组合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GrpSpPr/>
        </xdr:nvGrpSpPr>
        <xdr:grpSpPr>
          <a:xfrm>
            <a:off x="3287930" y="693271"/>
            <a:ext cx="1188199" cy="223672"/>
            <a:chOff x="3636558" y="774202"/>
            <a:chExt cx="1188199" cy="223672"/>
          </a:xfrm>
        </xdr:grpSpPr>
        <xdr:sp macro="" textlink="订货量策略库存量变化模型!B12">
          <xdr:nvSpPr>
            <xdr:cNvPr id="7" name="TextBox 6">
              <a:extLst>
                <a:ext uri="{FF2B5EF4-FFF2-40B4-BE49-F238E27FC236}">
                  <a16:creationId xmlns:a16="http://schemas.microsoft.com/office/drawing/2014/main" id="{00000000-0008-0000-0400-000007000000}"/>
                </a:ext>
              </a:extLst>
            </xdr:cNvPr>
            <xdr:cNvSpPr txBox="1"/>
          </xdr:nvSpPr>
          <xdr:spPr>
            <a:xfrm>
              <a:off x="3857317" y="774451"/>
              <a:ext cx="967440" cy="22342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>
              <a:noAutofit/>
            </a:bodyPr>
            <a:lstStyle/>
            <a:p>
              <a:fld id="{7EC2973F-DCD9-43F2-82E5-7529CA16336D}" type="TxLink">
                <a:rPr lang="zh-CN" altLang="en-US" sz="1100"/>
                <a:pPr/>
                <a:t>订货量=800</a:t>
              </a:fld>
              <a:endParaRPr lang="zh-CN" altLang="en-US" sz="1100"/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5363" name="Spinner 3" hidden="1">
                  <a:extLst>
                    <a:ext uri="{63B3BB69-23CF-44E3-9099-C40C66FF867C}">
                      <a14:compatExt spid="_x0000_s15363"/>
                    </a:ext>
                    <a:ext uri="{FF2B5EF4-FFF2-40B4-BE49-F238E27FC236}">
                      <a16:creationId xmlns:a16="http://schemas.microsoft.com/office/drawing/2014/main" id="{00000000-0008-0000-0400-0000033C0000}"/>
                    </a:ext>
                  </a:extLst>
                </xdr:cNvPr>
                <xdr:cNvSpPr/>
              </xdr:nvSpPr>
              <xdr:spPr bwMode="auto">
                <a:xfrm>
                  <a:off x="3636558" y="774202"/>
                  <a:ext cx="228600" cy="221877"/>
                </a:xfrm>
                <a:prstGeom prst="rect">
                  <a:avLst/>
                </a:prstGeom>
                <a:noFill/>
                <a:ln w="9525">
                  <a:miter lim="800000"/>
                  <a:headEnd/>
                  <a:tailEnd/>
                </a:ln>
              </xdr:spPr>
            </xdr:sp>
          </mc:Choice>
          <mc:Fallback/>
        </mc:AlternateContent>
      </xdr:grp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workbookViewId="0"/>
  </sheetViews>
  <sheetFormatPr defaultColWidth="9" defaultRowHeight="12.75" x14ac:dyDescent="0.3"/>
  <cols>
    <col min="1" max="16384" width="9" style="1"/>
  </cols>
  <sheetData/>
  <phoneticPr fontId="2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392"/>
  <sheetViews>
    <sheetView showGridLines="0" workbookViewId="0">
      <selection activeCell="C7" sqref="C7"/>
    </sheetView>
  </sheetViews>
  <sheetFormatPr defaultColWidth="9" defaultRowHeight="12.75" x14ac:dyDescent="0.35"/>
  <cols>
    <col min="1" max="1" width="2" style="2" customWidth="1"/>
    <col min="2" max="2" width="15.1875" style="2" customWidth="1"/>
    <col min="3" max="3" width="7.1875" style="2" customWidth="1"/>
    <col min="4" max="4" width="2" style="2" customWidth="1"/>
    <col min="5" max="5" width="1.5" style="2" customWidth="1"/>
    <col min="6" max="6" width="4.0625" style="5" bestFit="1" customWidth="1"/>
    <col min="7" max="7" width="6.6875" style="5" bestFit="1" customWidth="1"/>
    <col min="8" max="8" width="5.9375" style="5" bestFit="1" customWidth="1"/>
    <col min="9" max="9" width="1.9375" style="2" customWidth="1"/>
    <col min="10" max="16384" width="9" style="2"/>
  </cols>
  <sheetData>
    <row r="2" spans="2:10" ht="13.15" x14ac:dyDescent="0.35">
      <c r="B2" s="12" t="s">
        <v>4</v>
      </c>
      <c r="C2" s="14">
        <v>100</v>
      </c>
      <c r="D2" s="7"/>
      <c r="E2" s="7"/>
      <c r="F2" s="8"/>
      <c r="G2" s="17">
        <f>C10</f>
        <v>300</v>
      </c>
      <c r="H2" s="8"/>
    </row>
    <row r="3" spans="2:10" ht="13.15" x14ac:dyDescent="0.35">
      <c r="B3" s="13" t="s">
        <v>2</v>
      </c>
      <c r="C3" s="15">
        <v>0</v>
      </c>
      <c r="D3" s="7"/>
      <c r="E3" s="7"/>
      <c r="F3" s="18">
        <v>0</v>
      </c>
      <c r="G3" s="19">
        <f t="dataTable" ref="G3:G33" dt2D="0" dtr="0" r1="C7"/>
        <v>500</v>
      </c>
      <c r="H3" s="9">
        <f>IF(F3=$C$7,G3,0)</f>
        <v>0</v>
      </c>
      <c r="J3" s="4"/>
    </row>
    <row r="4" spans="2:10" ht="13.15" x14ac:dyDescent="0.35">
      <c r="B4" s="7"/>
      <c r="C4" s="8"/>
      <c r="D4" s="7"/>
      <c r="E4" s="7"/>
      <c r="F4" s="18">
        <v>1</v>
      </c>
      <c r="G4" s="19">
        <v>400</v>
      </c>
      <c r="H4" s="9">
        <f t="shared" ref="H4:H33" si="0">IF(F4=$C$7,G4,0)</f>
        <v>0</v>
      </c>
    </row>
    <row r="5" spans="2:10" ht="13.15" x14ac:dyDescent="0.35">
      <c r="B5" s="13" t="s">
        <v>1</v>
      </c>
      <c r="C5" s="15">
        <v>5</v>
      </c>
      <c r="D5" s="7"/>
      <c r="E5" s="7"/>
      <c r="F5" s="18">
        <v>2</v>
      </c>
      <c r="G5" s="19">
        <v>300</v>
      </c>
      <c r="H5" s="9">
        <f t="shared" si="0"/>
        <v>0</v>
      </c>
      <c r="J5" s="4"/>
    </row>
    <row r="6" spans="2:10" ht="13.15" x14ac:dyDescent="0.35">
      <c r="B6" s="13" t="s">
        <v>0</v>
      </c>
      <c r="C6" s="16">
        <f>C2*C5</f>
        <v>500</v>
      </c>
      <c r="D6" s="7"/>
      <c r="E6" s="7"/>
      <c r="F6" s="18">
        <v>3</v>
      </c>
      <c r="G6" s="19">
        <v>200</v>
      </c>
      <c r="H6" s="9">
        <f t="shared" si="0"/>
        <v>0</v>
      </c>
    </row>
    <row r="7" spans="2:10" ht="13.15" x14ac:dyDescent="0.35">
      <c r="B7" s="13" t="s">
        <v>6</v>
      </c>
      <c r="C7" s="9">
        <v>7</v>
      </c>
      <c r="D7" s="7"/>
      <c r="E7" s="7"/>
      <c r="F7" s="18">
        <v>4</v>
      </c>
      <c r="G7" s="19">
        <v>100</v>
      </c>
      <c r="H7" s="9">
        <f t="shared" si="0"/>
        <v>0</v>
      </c>
    </row>
    <row r="8" spans="2:10" ht="13.15" x14ac:dyDescent="0.35">
      <c r="B8" s="13" t="s">
        <v>7</v>
      </c>
      <c r="C8" s="16">
        <f>INT(C7/C5)</f>
        <v>1</v>
      </c>
      <c r="D8" s="7"/>
      <c r="E8" s="7"/>
      <c r="F8" s="18">
        <v>5</v>
      </c>
      <c r="G8" s="19">
        <v>500</v>
      </c>
      <c r="H8" s="9">
        <f t="shared" si="0"/>
        <v>0</v>
      </c>
    </row>
    <row r="9" spans="2:10" ht="13.15" x14ac:dyDescent="0.35">
      <c r="B9" s="13" t="s">
        <v>3</v>
      </c>
      <c r="C9" s="16">
        <f>C7-C8*C5</f>
        <v>2</v>
      </c>
      <c r="D9" s="7"/>
      <c r="E9" s="7"/>
      <c r="F9" s="18">
        <v>6</v>
      </c>
      <c r="G9" s="19">
        <v>400</v>
      </c>
      <c r="H9" s="9">
        <f t="shared" si="0"/>
        <v>0</v>
      </c>
    </row>
    <row r="10" spans="2:10" ht="13.15" x14ac:dyDescent="0.35">
      <c r="B10" s="13" t="s">
        <v>5</v>
      </c>
      <c r="C10" s="17">
        <f>C6-C9*C2</f>
        <v>300</v>
      </c>
      <c r="D10" s="7"/>
      <c r="E10" s="7"/>
      <c r="F10" s="18">
        <v>7</v>
      </c>
      <c r="G10" s="19">
        <v>300</v>
      </c>
      <c r="H10" s="9">
        <f t="shared" si="0"/>
        <v>300</v>
      </c>
    </row>
    <row r="11" spans="2:10" ht="13.15" x14ac:dyDescent="0.35">
      <c r="B11" s="7"/>
      <c r="C11" s="7"/>
      <c r="D11" s="7"/>
      <c r="E11" s="7"/>
      <c r="F11" s="18">
        <v>8</v>
      </c>
      <c r="G11" s="19">
        <v>200</v>
      </c>
      <c r="H11" s="9">
        <f t="shared" si="0"/>
        <v>0</v>
      </c>
    </row>
    <row r="12" spans="2:10" ht="13.15" x14ac:dyDescent="0.35">
      <c r="B12" s="10" t="str">
        <f>B6&amp;"="&amp;C6</f>
        <v>订货量=500</v>
      </c>
      <c r="C12" s="7"/>
      <c r="D12" s="7"/>
      <c r="E12" s="7"/>
      <c r="F12" s="18">
        <v>9</v>
      </c>
      <c r="G12" s="19">
        <v>100</v>
      </c>
      <c r="H12" s="9">
        <f t="shared" si="0"/>
        <v>0</v>
      </c>
    </row>
    <row r="13" spans="2:10" ht="13.15" x14ac:dyDescent="0.35">
      <c r="B13" s="10" t="str">
        <f>B5&amp;"="&amp;C5&amp;"天"</f>
        <v>订货周期=5天</v>
      </c>
      <c r="C13" s="7"/>
      <c r="D13" s="7"/>
      <c r="E13" s="7"/>
      <c r="F13" s="18">
        <v>10</v>
      </c>
      <c r="G13" s="19">
        <v>500</v>
      </c>
      <c r="H13" s="9">
        <f t="shared" si="0"/>
        <v>0</v>
      </c>
    </row>
    <row r="14" spans="2:10" ht="13.15" x14ac:dyDescent="0.35">
      <c r="B14" s="10" t="str">
        <f>B7&amp;"="&amp;C7&amp;"天"</f>
        <v>查看时间(天)=7天</v>
      </c>
      <c r="C14" s="7"/>
      <c r="D14" s="7"/>
      <c r="E14" s="7"/>
      <c r="F14" s="18">
        <v>11</v>
      </c>
      <c r="G14" s="19">
        <v>400</v>
      </c>
      <c r="H14" s="9">
        <f t="shared" si="0"/>
        <v>0</v>
      </c>
    </row>
    <row r="15" spans="2:10" ht="13.15" x14ac:dyDescent="0.35">
      <c r="B15" s="7"/>
      <c r="C15" s="7"/>
      <c r="D15" s="7"/>
      <c r="E15" s="7"/>
      <c r="F15" s="18">
        <v>12</v>
      </c>
      <c r="G15" s="19">
        <v>300</v>
      </c>
      <c r="H15" s="9">
        <f t="shared" si="0"/>
        <v>0</v>
      </c>
    </row>
    <row r="16" spans="2:10" ht="13.15" x14ac:dyDescent="0.35">
      <c r="B16" s="7"/>
      <c r="C16" s="7"/>
      <c r="D16" s="7"/>
      <c r="E16" s="7"/>
      <c r="F16" s="18">
        <v>13</v>
      </c>
      <c r="G16" s="19">
        <v>200</v>
      </c>
      <c r="H16" s="9">
        <f t="shared" si="0"/>
        <v>0</v>
      </c>
    </row>
    <row r="17" spans="2:8" ht="13.15" x14ac:dyDescent="0.35">
      <c r="B17" s="7"/>
      <c r="C17" s="7"/>
      <c r="D17" s="7"/>
      <c r="E17" s="7"/>
      <c r="F17" s="18">
        <v>14</v>
      </c>
      <c r="G17" s="19">
        <v>100</v>
      </c>
      <c r="H17" s="9">
        <f t="shared" si="0"/>
        <v>0</v>
      </c>
    </row>
    <row r="18" spans="2:8" ht="13.15" x14ac:dyDescent="0.35">
      <c r="B18" s="7"/>
      <c r="C18" s="7"/>
      <c r="D18" s="7"/>
      <c r="E18" s="7"/>
      <c r="F18" s="18">
        <v>15</v>
      </c>
      <c r="G18" s="19">
        <v>500</v>
      </c>
      <c r="H18" s="9">
        <f t="shared" si="0"/>
        <v>0</v>
      </c>
    </row>
    <row r="19" spans="2:8" ht="13.15" x14ac:dyDescent="0.35">
      <c r="B19" s="7"/>
      <c r="C19" s="7"/>
      <c r="D19" s="7"/>
      <c r="E19" s="7"/>
      <c r="F19" s="18">
        <v>16</v>
      </c>
      <c r="G19" s="19">
        <v>400</v>
      </c>
      <c r="H19" s="9">
        <f t="shared" si="0"/>
        <v>0</v>
      </c>
    </row>
    <row r="20" spans="2:8" ht="13.15" x14ac:dyDescent="0.35">
      <c r="B20" s="7"/>
      <c r="C20" s="7"/>
      <c r="D20" s="7"/>
      <c r="E20" s="7"/>
      <c r="F20" s="18">
        <v>17</v>
      </c>
      <c r="G20" s="19">
        <v>300</v>
      </c>
      <c r="H20" s="9">
        <f t="shared" si="0"/>
        <v>0</v>
      </c>
    </row>
    <row r="21" spans="2:8" ht="13.15" x14ac:dyDescent="0.35">
      <c r="B21" s="7"/>
      <c r="C21" s="7"/>
      <c r="D21" s="7"/>
      <c r="E21" s="7"/>
      <c r="F21" s="18">
        <v>18</v>
      </c>
      <c r="G21" s="19">
        <v>200</v>
      </c>
      <c r="H21" s="9">
        <f t="shared" si="0"/>
        <v>0</v>
      </c>
    </row>
    <row r="22" spans="2:8" ht="13.15" x14ac:dyDescent="0.35">
      <c r="B22" s="7"/>
      <c r="C22" s="7"/>
      <c r="D22" s="7"/>
      <c r="E22" s="7"/>
      <c r="F22" s="18">
        <v>19</v>
      </c>
      <c r="G22" s="19">
        <v>100</v>
      </c>
      <c r="H22" s="9">
        <f t="shared" si="0"/>
        <v>0</v>
      </c>
    </row>
    <row r="23" spans="2:8" ht="13.15" x14ac:dyDescent="0.35">
      <c r="B23" s="7"/>
      <c r="C23" s="7"/>
      <c r="D23" s="7"/>
      <c r="E23" s="7"/>
      <c r="F23" s="18">
        <v>20</v>
      </c>
      <c r="G23" s="19">
        <v>500</v>
      </c>
      <c r="H23" s="9">
        <f t="shared" si="0"/>
        <v>0</v>
      </c>
    </row>
    <row r="24" spans="2:8" ht="13.15" x14ac:dyDescent="0.35">
      <c r="B24" s="7"/>
      <c r="C24" s="7"/>
      <c r="D24" s="7"/>
      <c r="E24" s="7"/>
      <c r="F24" s="18">
        <v>21</v>
      </c>
      <c r="G24" s="19">
        <v>400</v>
      </c>
      <c r="H24" s="9">
        <f t="shared" si="0"/>
        <v>0</v>
      </c>
    </row>
    <row r="25" spans="2:8" ht="13.15" x14ac:dyDescent="0.35">
      <c r="B25" s="7"/>
      <c r="C25" s="7"/>
      <c r="D25" s="7"/>
      <c r="E25" s="7"/>
      <c r="F25" s="18">
        <v>22</v>
      </c>
      <c r="G25" s="19">
        <v>300</v>
      </c>
      <c r="H25" s="9">
        <f t="shared" si="0"/>
        <v>0</v>
      </c>
    </row>
    <row r="26" spans="2:8" ht="13.15" x14ac:dyDescent="0.35">
      <c r="B26" s="7"/>
      <c r="C26" s="7"/>
      <c r="D26" s="7"/>
      <c r="E26" s="7"/>
      <c r="F26" s="18">
        <v>23</v>
      </c>
      <c r="G26" s="19">
        <v>200</v>
      </c>
      <c r="H26" s="9">
        <f t="shared" si="0"/>
        <v>0</v>
      </c>
    </row>
    <row r="27" spans="2:8" ht="13.15" x14ac:dyDescent="0.35">
      <c r="B27" s="7"/>
      <c r="C27" s="7"/>
      <c r="D27" s="7"/>
      <c r="E27" s="7"/>
      <c r="F27" s="18">
        <v>24</v>
      </c>
      <c r="G27" s="19">
        <v>100</v>
      </c>
      <c r="H27" s="9">
        <f t="shared" si="0"/>
        <v>0</v>
      </c>
    </row>
    <row r="28" spans="2:8" ht="13.15" x14ac:dyDescent="0.35">
      <c r="B28" s="7"/>
      <c r="C28" s="7"/>
      <c r="D28" s="7"/>
      <c r="E28" s="7"/>
      <c r="F28" s="18">
        <v>25</v>
      </c>
      <c r="G28" s="19">
        <v>500</v>
      </c>
      <c r="H28" s="9">
        <f t="shared" si="0"/>
        <v>0</v>
      </c>
    </row>
    <row r="29" spans="2:8" ht="13.15" x14ac:dyDescent="0.35">
      <c r="B29" s="7"/>
      <c r="C29" s="7"/>
      <c r="D29" s="7"/>
      <c r="E29" s="7"/>
      <c r="F29" s="18">
        <v>26</v>
      </c>
      <c r="G29" s="19">
        <v>400</v>
      </c>
      <c r="H29" s="9">
        <f t="shared" si="0"/>
        <v>0</v>
      </c>
    </row>
    <row r="30" spans="2:8" ht="13.15" x14ac:dyDescent="0.35">
      <c r="B30" s="7"/>
      <c r="C30" s="7"/>
      <c r="D30" s="7"/>
      <c r="E30" s="7"/>
      <c r="F30" s="18">
        <v>27</v>
      </c>
      <c r="G30" s="19">
        <v>300</v>
      </c>
      <c r="H30" s="9">
        <f t="shared" si="0"/>
        <v>0</v>
      </c>
    </row>
    <row r="31" spans="2:8" ht="13.15" x14ac:dyDescent="0.35">
      <c r="B31" s="7"/>
      <c r="C31" s="7"/>
      <c r="D31" s="7"/>
      <c r="E31" s="7"/>
      <c r="F31" s="18">
        <v>28</v>
      </c>
      <c r="G31" s="19">
        <v>200</v>
      </c>
      <c r="H31" s="9">
        <f t="shared" si="0"/>
        <v>0</v>
      </c>
    </row>
    <row r="32" spans="2:8" ht="13.15" x14ac:dyDescent="0.35">
      <c r="B32" s="7"/>
      <c r="C32" s="7"/>
      <c r="D32" s="7"/>
      <c r="E32" s="7"/>
      <c r="F32" s="18">
        <v>29</v>
      </c>
      <c r="G32" s="19">
        <v>100</v>
      </c>
      <c r="H32" s="9">
        <f t="shared" si="0"/>
        <v>0</v>
      </c>
    </row>
    <row r="33" spans="2:8" ht="15.75" x14ac:dyDescent="0.4">
      <c r="B33" s="11"/>
      <c r="C33" s="11"/>
      <c r="D33" s="7"/>
      <c r="E33" s="7"/>
      <c r="F33" s="18">
        <v>30</v>
      </c>
      <c r="G33" s="19">
        <v>500</v>
      </c>
      <c r="H33" s="9">
        <f t="shared" si="0"/>
        <v>0</v>
      </c>
    </row>
    <row r="34" spans="2:8" customFormat="1" ht="15.75" x14ac:dyDescent="0.4"/>
    <row r="35" spans="2:8" customFormat="1" ht="15.75" x14ac:dyDescent="0.4"/>
    <row r="36" spans="2:8" customFormat="1" ht="15.75" x14ac:dyDescent="0.4"/>
    <row r="37" spans="2:8" customFormat="1" ht="15.75" x14ac:dyDescent="0.4"/>
    <row r="38" spans="2:8" customFormat="1" ht="15.75" x14ac:dyDescent="0.4"/>
    <row r="39" spans="2:8" customFormat="1" ht="15.75" x14ac:dyDescent="0.4"/>
    <row r="40" spans="2:8" customFormat="1" ht="15.75" x14ac:dyDescent="0.4"/>
    <row r="41" spans="2:8" customFormat="1" ht="15.75" x14ac:dyDescent="0.4"/>
    <row r="42" spans="2:8" customFormat="1" ht="15.75" x14ac:dyDescent="0.4"/>
    <row r="43" spans="2:8" customFormat="1" ht="15.75" x14ac:dyDescent="0.4"/>
    <row r="44" spans="2:8" customFormat="1" ht="15.75" x14ac:dyDescent="0.4"/>
    <row r="45" spans="2:8" customFormat="1" ht="15.75" x14ac:dyDescent="0.4"/>
    <row r="46" spans="2:8" customFormat="1" ht="15.75" x14ac:dyDescent="0.4"/>
    <row r="47" spans="2:8" customFormat="1" ht="15.75" x14ac:dyDescent="0.4"/>
    <row r="48" spans="2:8" customFormat="1" ht="15.75" x14ac:dyDescent="0.4"/>
    <row r="49" customFormat="1" ht="15.75" x14ac:dyDescent="0.4"/>
    <row r="50" customFormat="1" ht="15.75" x14ac:dyDescent="0.4"/>
    <row r="51" customFormat="1" ht="15.75" x14ac:dyDescent="0.4"/>
    <row r="52" customFormat="1" ht="15.75" x14ac:dyDescent="0.4"/>
    <row r="53" customFormat="1" ht="15.75" x14ac:dyDescent="0.4"/>
    <row r="54" customFormat="1" ht="15.75" x14ac:dyDescent="0.4"/>
    <row r="55" customFormat="1" ht="15.75" x14ac:dyDescent="0.4"/>
    <row r="56" customFormat="1" ht="15.75" x14ac:dyDescent="0.4"/>
    <row r="57" customFormat="1" ht="15.75" x14ac:dyDescent="0.4"/>
    <row r="58" customFormat="1" ht="15.75" x14ac:dyDescent="0.4"/>
    <row r="59" customFormat="1" ht="15.75" x14ac:dyDescent="0.4"/>
    <row r="60" customFormat="1" ht="15.75" x14ac:dyDescent="0.4"/>
    <row r="61" customFormat="1" ht="15.75" x14ac:dyDescent="0.4"/>
    <row r="62" customFormat="1" ht="15.75" x14ac:dyDescent="0.4"/>
    <row r="63" customFormat="1" ht="15.75" x14ac:dyDescent="0.4"/>
    <row r="64" customFormat="1" ht="15.75" x14ac:dyDescent="0.4"/>
    <row r="65" customFormat="1" ht="15.75" x14ac:dyDescent="0.4"/>
    <row r="66" customFormat="1" ht="15.75" x14ac:dyDescent="0.4"/>
    <row r="67" customFormat="1" ht="15.75" x14ac:dyDescent="0.4"/>
    <row r="68" customFormat="1" ht="15.75" x14ac:dyDescent="0.4"/>
    <row r="69" customFormat="1" ht="15.75" x14ac:dyDescent="0.4"/>
    <row r="70" customFormat="1" ht="15.75" x14ac:dyDescent="0.4"/>
    <row r="71" customFormat="1" ht="15.75" x14ac:dyDescent="0.4"/>
    <row r="72" customFormat="1" ht="15.75" x14ac:dyDescent="0.4"/>
    <row r="73" customFormat="1" ht="15.75" x14ac:dyDescent="0.4"/>
    <row r="74" customFormat="1" ht="15.75" x14ac:dyDescent="0.4"/>
    <row r="75" customFormat="1" ht="15.75" x14ac:dyDescent="0.4"/>
    <row r="76" customFormat="1" ht="15.75" x14ac:dyDescent="0.4"/>
    <row r="77" customFormat="1" ht="15.75" x14ac:dyDescent="0.4"/>
    <row r="78" customFormat="1" ht="15.75" x14ac:dyDescent="0.4"/>
    <row r="79" customFormat="1" ht="15.75" x14ac:dyDescent="0.4"/>
    <row r="80" customFormat="1" ht="15.75" x14ac:dyDescent="0.4"/>
    <row r="81" customFormat="1" ht="15.75" x14ac:dyDescent="0.4"/>
    <row r="82" customFormat="1" ht="15.75" x14ac:dyDescent="0.4"/>
    <row r="83" customFormat="1" ht="15.75" x14ac:dyDescent="0.4"/>
    <row r="84" customFormat="1" ht="15.75" x14ac:dyDescent="0.4"/>
    <row r="85" customFormat="1" ht="15.75" x14ac:dyDescent="0.4"/>
    <row r="86" customFormat="1" ht="15.75" x14ac:dyDescent="0.4"/>
    <row r="87" customFormat="1" ht="15.75" x14ac:dyDescent="0.4"/>
    <row r="88" customFormat="1" ht="15.75" x14ac:dyDescent="0.4"/>
    <row r="89" customFormat="1" ht="15.75" x14ac:dyDescent="0.4"/>
    <row r="90" customFormat="1" ht="15.75" x14ac:dyDescent="0.4"/>
    <row r="91" customFormat="1" ht="15.75" x14ac:dyDescent="0.4"/>
    <row r="92" customFormat="1" ht="15.75" x14ac:dyDescent="0.4"/>
    <row r="93" customFormat="1" ht="15.75" x14ac:dyDescent="0.4"/>
    <row r="94" customFormat="1" ht="15.75" x14ac:dyDescent="0.4"/>
    <row r="95" customFormat="1" ht="15.75" x14ac:dyDescent="0.4"/>
    <row r="96" customFormat="1" ht="15.75" x14ac:dyDescent="0.4"/>
    <row r="97" customFormat="1" ht="15.75" x14ac:dyDescent="0.4"/>
    <row r="98" customFormat="1" ht="15.75" x14ac:dyDescent="0.4"/>
    <row r="99" customFormat="1" ht="15.75" x14ac:dyDescent="0.4"/>
    <row r="100" customFormat="1" ht="15.75" x14ac:dyDescent="0.4"/>
    <row r="101" customFormat="1" ht="15.75" x14ac:dyDescent="0.4"/>
    <row r="102" customFormat="1" ht="15.75" x14ac:dyDescent="0.4"/>
    <row r="103" customFormat="1" ht="15.75" x14ac:dyDescent="0.4"/>
    <row r="104" customFormat="1" ht="15.75" x14ac:dyDescent="0.4"/>
    <row r="105" customFormat="1" ht="15.75" x14ac:dyDescent="0.4"/>
    <row r="106" customFormat="1" ht="15.75" x14ac:dyDescent="0.4"/>
    <row r="107" customFormat="1" ht="15.75" x14ac:dyDescent="0.4"/>
    <row r="108" customFormat="1" ht="15.75" x14ac:dyDescent="0.4"/>
    <row r="109" customFormat="1" ht="15.75" x14ac:dyDescent="0.4"/>
    <row r="110" customFormat="1" ht="15.75" x14ac:dyDescent="0.4"/>
    <row r="111" customFormat="1" ht="15.75" x14ac:dyDescent="0.4"/>
    <row r="112" customFormat="1" ht="15.75" x14ac:dyDescent="0.4"/>
    <row r="113" customFormat="1" ht="15.75" x14ac:dyDescent="0.4"/>
    <row r="114" customFormat="1" ht="15.75" x14ac:dyDescent="0.4"/>
    <row r="115" customFormat="1" ht="15.75" x14ac:dyDescent="0.4"/>
    <row r="116" customFormat="1" ht="15.75" x14ac:dyDescent="0.4"/>
    <row r="117" customFormat="1" ht="15.75" x14ac:dyDescent="0.4"/>
    <row r="118" customFormat="1" ht="15.75" x14ac:dyDescent="0.4"/>
    <row r="119" customFormat="1" ht="15.75" x14ac:dyDescent="0.4"/>
    <row r="120" customFormat="1" ht="15.75" x14ac:dyDescent="0.4"/>
    <row r="121" customFormat="1" ht="15.75" x14ac:dyDescent="0.4"/>
    <row r="122" customFormat="1" ht="15.75" x14ac:dyDescent="0.4"/>
    <row r="123" customFormat="1" ht="15.75" x14ac:dyDescent="0.4"/>
    <row r="124" customFormat="1" ht="15.75" x14ac:dyDescent="0.4"/>
    <row r="125" customFormat="1" ht="15.75" x14ac:dyDescent="0.4"/>
    <row r="126" customFormat="1" ht="15.75" x14ac:dyDescent="0.4"/>
    <row r="127" customFormat="1" ht="15.75" x14ac:dyDescent="0.4"/>
    <row r="128" customFormat="1" ht="15.75" x14ac:dyDescent="0.4"/>
    <row r="129" customFormat="1" ht="15.75" x14ac:dyDescent="0.4"/>
    <row r="130" customFormat="1" ht="15.75" x14ac:dyDescent="0.4"/>
    <row r="131" customFormat="1" ht="15.75" x14ac:dyDescent="0.4"/>
    <row r="132" customFormat="1" ht="15.75" x14ac:dyDescent="0.4"/>
    <row r="133" customFormat="1" ht="15.75" x14ac:dyDescent="0.4"/>
    <row r="134" customFormat="1" ht="15.75" x14ac:dyDescent="0.4"/>
    <row r="135" customFormat="1" ht="15.75" x14ac:dyDescent="0.4"/>
    <row r="136" customFormat="1" ht="15.75" x14ac:dyDescent="0.4"/>
    <row r="137" customFormat="1" ht="15.75" x14ac:dyDescent="0.4"/>
    <row r="138" customFormat="1" ht="15.75" x14ac:dyDescent="0.4"/>
    <row r="139" customFormat="1" ht="15.75" x14ac:dyDescent="0.4"/>
    <row r="140" customFormat="1" ht="15.75" x14ac:dyDescent="0.4"/>
    <row r="141" customFormat="1" ht="15.75" x14ac:dyDescent="0.4"/>
    <row r="142" customFormat="1" ht="15.75" x14ac:dyDescent="0.4"/>
    <row r="143" customFormat="1" ht="15.75" x14ac:dyDescent="0.4"/>
    <row r="144" customFormat="1" ht="15.75" x14ac:dyDescent="0.4"/>
    <row r="145" customFormat="1" ht="15.75" x14ac:dyDescent="0.4"/>
    <row r="146" customFormat="1" ht="15.75" x14ac:dyDescent="0.4"/>
    <row r="147" customFormat="1" ht="15.75" x14ac:dyDescent="0.4"/>
    <row r="148" customFormat="1" ht="15.75" x14ac:dyDescent="0.4"/>
    <row r="149" customFormat="1" ht="15.75" x14ac:dyDescent="0.4"/>
    <row r="150" customFormat="1" ht="15.75" x14ac:dyDescent="0.4"/>
    <row r="151" customFormat="1" ht="15.75" x14ac:dyDescent="0.4"/>
    <row r="152" customFormat="1" ht="15.75" x14ac:dyDescent="0.4"/>
    <row r="153" customFormat="1" ht="15.75" x14ac:dyDescent="0.4"/>
    <row r="154" customFormat="1" ht="15.75" x14ac:dyDescent="0.4"/>
    <row r="155" customFormat="1" ht="15.75" x14ac:dyDescent="0.4"/>
    <row r="156" customFormat="1" ht="15.75" x14ac:dyDescent="0.4"/>
    <row r="157" customFormat="1" ht="15.75" x14ac:dyDescent="0.4"/>
    <row r="158" customFormat="1" ht="15.75" x14ac:dyDescent="0.4"/>
    <row r="159" customFormat="1" ht="15.75" x14ac:dyDescent="0.4"/>
    <row r="160" customFormat="1" ht="15.75" x14ac:dyDescent="0.4"/>
    <row r="161" customFormat="1" ht="15.75" x14ac:dyDescent="0.4"/>
    <row r="162" customFormat="1" ht="15.75" x14ac:dyDescent="0.4"/>
    <row r="163" customFormat="1" ht="15.75" x14ac:dyDescent="0.4"/>
    <row r="164" customFormat="1" ht="15.75" x14ac:dyDescent="0.4"/>
    <row r="165" customFormat="1" ht="15.75" x14ac:dyDescent="0.4"/>
    <row r="166" customFormat="1" ht="15.75" x14ac:dyDescent="0.4"/>
    <row r="167" customFormat="1" ht="15.75" x14ac:dyDescent="0.4"/>
    <row r="168" customFormat="1" ht="15.75" x14ac:dyDescent="0.4"/>
    <row r="169" customFormat="1" ht="15.75" x14ac:dyDescent="0.4"/>
    <row r="170" customFormat="1" ht="15.75" x14ac:dyDescent="0.4"/>
    <row r="171" customFormat="1" ht="15.75" x14ac:dyDescent="0.4"/>
    <row r="172" customFormat="1" ht="15.75" x14ac:dyDescent="0.4"/>
    <row r="173" customFormat="1" ht="15.75" x14ac:dyDescent="0.4"/>
    <row r="174" customFormat="1" ht="15.75" x14ac:dyDescent="0.4"/>
    <row r="175" customFormat="1" ht="15.75" x14ac:dyDescent="0.4"/>
    <row r="176" customFormat="1" ht="15.75" x14ac:dyDescent="0.4"/>
    <row r="177" customFormat="1" ht="15.75" x14ac:dyDescent="0.4"/>
    <row r="178" customFormat="1" ht="15.75" x14ac:dyDescent="0.4"/>
    <row r="179" customFormat="1" ht="15.75" x14ac:dyDescent="0.4"/>
    <row r="180" customFormat="1" ht="15.75" x14ac:dyDescent="0.4"/>
    <row r="181" customFormat="1" ht="15.75" x14ac:dyDescent="0.4"/>
    <row r="182" customFormat="1" ht="15.75" x14ac:dyDescent="0.4"/>
    <row r="183" customFormat="1" ht="15.75" x14ac:dyDescent="0.4"/>
    <row r="184" customFormat="1" ht="15.75" x14ac:dyDescent="0.4"/>
    <row r="185" customFormat="1" ht="15.75" x14ac:dyDescent="0.4"/>
    <row r="186" customFormat="1" ht="15.75" x14ac:dyDescent="0.4"/>
    <row r="187" customFormat="1" ht="15.75" x14ac:dyDescent="0.4"/>
    <row r="188" customFormat="1" ht="15.75" x14ac:dyDescent="0.4"/>
    <row r="189" customFormat="1" ht="15.75" x14ac:dyDescent="0.4"/>
    <row r="190" customFormat="1" ht="15.75" x14ac:dyDescent="0.4"/>
    <row r="191" customFormat="1" ht="15.75" x14ac:dyDescent="0.4"/>
    <row r="192" customFormat="1" ht="15.75" x14ac:dyDescent="0.4"/>
    <row r="193" customFormat="1" ht="15.75" x14ac:dyDescent="0.4"/>
    <row r="194" customFormat="1" ht="15.75" x14ac:dyDescent="0.4"/>
    <row r="195" customFormat="1" ht="15.75" x14ac:dyDescent="0.4"/>
    <row r="196" customFormat="1" ht="15.75" x14ac:dyDescent="0.4"/>
    <row r="197" customFormat="1" ht="15.75" x14ac:dyDescent="0.4"/>
    <row r="198" customFormat="1" ht="15.75" x14ac:dyDescent="0.4"/>
    <row r="199" customFormat="1" ht="15.75" x14ac:dyDescent="0.4"/>
    <row r="200" customFormat="1" ht="15.75" x14ac:dyDescent="0.4"/>
    <row r="201" customFormat="1" ht="15.75" x14ac:dyDescent="0.4"/>
    <row r="202" customFormat="1" ht="15.75" x14ac:dyDescent="0.4"/>
    <row r="203" customFormat="1" ht="15.75" x14ac:dyDescent="0.4"/>
    <row r="204" customFormat="1" ht="15.75" x14ac:dyDescent="0.4"/>
    <row r="205" customFormat="1" ht="15.75" x14ac:dyDescent="0.4"/>
    <row r="206" customFormat="1" ht="15.75" x14ac:dyDescent="0.4"/>
    <row r="207" customFormat="1" ht="15.75" x14ac:dyDescent="0.4"/>
    <row r="208" customFormat="1" ht="15.75" x14ac:dyDescent="0.4"/>
    <row r="209" customFormat="1" ht="15.75" x14ac:dyDescent="0.4"/>
    <row r="210" customFormat="1" ht="15.75" x14ac:dyDescent="0.4"/>
    <row r="211" customFormat="1" ht="15.75" x14ac:dyDescent="0.4"/>
    <row r="212" customFormat="1" ht="15.75" x14ac:dyDescent="0.4"/>
    <row r="213" customFormat="1" ht="15.75" x14ac:dyDescent="0.4"/>
    <row r="214" customFormat="1" ht="15.75" x14ac:dyDescent="0.4"/>
    <row r="215" customFormat="1" ht="15.75" x14ac:dyDescent="0.4"/>
    <row r="216" customFormat="1" ht="15.75" x14ac:dyDescent="0.4"/>
    <row r="217" customFormat="1" ht="15.75" x14ac:dyDescent="0.4"/>
    <row r="218" customFormat="1" ht="15.75" x14ac:dyDescent="0.4"/>
    <row r="219" customFormat="1" ht="15.75" x14ac:dyDescent="0.4"/>
    <row r="220" customFormat="1" ht="15.75" x14ac:dyDescent="0.4"/>
    <row r="221" customFormat="1" ht="15.75" x14ac:dyDescent="0.4"/>
    <row r="222" customFormat="1" ht="15.75" x14ac:dyDescent="0.4"/>
    <row r="223" customFormat="1" ht="15.75" x14ac:dyDescent="0.4"/>
    <row r="224" customFormat="1" ht="15.75" x14ac:dyDescent="0.4"/>
    <row r="225" customFormat="1" ht="15.75" x14ac:dyDescent="0.4"/>
    <row r="226" customFormat="1" ht="15.75" x14ac:dyDescent="0.4"/>
    <row r="227" customFormat="1" ht="15.75" x14ac:dyDescent="0.4"/>
    <row r="228" customFormat="1" ht="15.75" x14ac:dyDescent="0.4"/>
    <row r="229" customFormat="1" ht="15.75" x14ac:dyDescent="0.4"/>
    <row r="230" customFormat="1" ht="15.75" x14ac:dyDescent="0.4"/>
    <row r="231" customFormat="1" ht="15.75" x14ac:dyDescent="0.4"/>
    <row r="232" customFormat="1" ht="15.75" x14ac:dyDescent="0.4"/>
    <row r="233" customFormat="1" ht="15.75" x14ac:dyDescent="0.4"/>
    <row r="234" customFormat="1" ht="15.75" x14ac:dyDescent="0.4"/>
    <row r="235" customFormat="1" ht="15.75" x14ac:dyDescent="0.4"/>
    <row r="236" customFormat="1" ht="15.75" x14ac:dyDescent="0.4"/>
    <row r="237" customFormat="1" ht="15.75" x14ac:dyDescent="0.4"/>
    <row r="238" customFormat="1" ht="15.75" x14ac:dyDescent="0.4"/>
    <row r="239" customFormat="1" ht="15.75" x14ac:dyDescent="0.4"/>
    <row r="240" customFormat="1" ht="15.75" x14ac:dyDescent="0.4"/>
    <row r="241" customFormat="1" ht="15.75" x14ac:dyDescent="0.4"/>
    <row r="242" customFormat="1" ht="15.75" x14ac:dyDescent="0.4"/>
    <row r="243" customFormat="1" ht="15.75" x14ac:dyDescent="0.4"/>
    <row r="244" customFormat="1" ht="15.75" x14ac:dyDescent="0.4"/>
    <row r="245" customFormat="1" ht="15.75" x14ac:dyDescent="0.4"/>
    <row r="246" customFormat="1" ht="15.75" x14ac:dyDescent="0.4"/>
    <row r="247" customFormat="1" ht="15.75" x14ac:dyDescent="0.4"/>
    <row r="248" customFormat="1" ht="15.75" x14ac:dyDescent="0.4"/>
    <row r="249" customFormat="1" ht="15.75" x14ac:dyDescent="0.4"/>
    <row r="250" customFormat="1" ht="15.75" x14ac:dyDescent="0.4"/>
    <row r="251" customFormat="1" ht="15.75" x14ac:dyDescent="0.4"/>
    <row r="252" customFormat="1" ht="15.75" x14ac:dyDescent="0.4"/>
    <row r="253" customFormat="1" ht="15.75" x14ac:dyDescent="0.4"/>
    <row r="254" customFormat="1" ht="15.75" x14ac:dyDescent="0.4"/>
    <row r="255" customFormat="1" ht="15.75" x14ac:dyDescent="0.4"/>
    <row r="256" customFormat="1" ht="15.75" x14ac:dyDescent="0.4"/>
    <row r="257" customFormat="1" ht="15.75" x14ac:dyDescent="0.4"/>
    <row r="258" customFormat="1" ht="15.75" x14ac:dyDescent="0.4"/>
    <row r="259" customFormat="1" ht="15.75" x14ac:dyDescent="0.4"/>
    <row r="260" customFormat="1" ht="15.75" x14ac:dyDescent="0.4"/>
    <row r="261" customFormat="1" ht="15.75" x14ac:dyDescent="0.4"/>
    <row r="262" customFormat="1" ht="15.75" x14ac:dyDescent="0.4"/>
    <row r="263" customFormat="1" ht="15.75" x14ac:dyDescent="0.4"/>
    <row r="264" customFormat="1" ht="15.75" x14ac:dyDescent="0.4"/>
    <row r="265" customFormat="1" ht="15.75" x14ac:dyDescent="0.4"/>
    <row r="266" customFormat="1" ht="15.75" x14ac:dyDescent="0.4"/>
    <row r="267" customFormat="1" ht="15.75" x14ac:dyDescent="0.4"/>
    <row r="268" customFormat="1" ht="15.75" x14ac:dyDescent="0.4"/>
    <row r="269" customFormat="1" ht="15.75" x14ac:dyDescent="0.4"/>
    <row r="270" customFormat="1" ht="15.75" x14ac:dyDescent="0.4"/>
    <row r="271" customFormat="1" ht="15.75" x14ac:dyDescent="0.4"/>
    <row r="272" customFormat="1" ht="15.75" x14ac:dyDescent="0.4"/>
    <row r="273" customFormat="1" ht="15.75" x14ac:dyDescent="0.4"/>
    <row r="274" customFormat="1" ht="15.75" x14ac:dyDescent="0.4"/>
    <row r="275" customFormat="1" ht="15.75" x14ac:dyDescent="0.4"/>
    <row r="276" customFormat="1" ht="15.75" x14ac:dyDescent="0.4"/>
    <row r="277" customFormat="1" ht="15.75" x14ac:dyDescent="0.4"/>
    <row r="278" customFormat="1" ht="15.75" x14ac:dyDescent="0.4"/>
    <row r="279" customFormat="1" ht="15.75" x14ac:dyDescent="0.4"/>
    <row r="280" customFormat="1" ht="15.75" x14ac:dyDescent="0.4"/>
    <row r="281" customFormat="1" ht="15.75" x14ac:dyDescent="0.4"/>
    <row r="282" customFormat="1" ht="15.75" x14ac:dyDescent="0.4"/>
    <row r="283" customFormat="1" ht="15.75" x14ac:dyDescent="0.4"/>
    <row r="284" customFormat="1" ht="15.75" x14ac:dyDescent="0.4"/>
    <row r="285" customFormat="1" ht="15.75" x14ac:dyDescent="0.4"/>
    <row r="286" customFormat="1" ht="15.75" x14ac:dyDescent="0.4"/>
    <row r="287" customFormat="1" ht="15.75" x14ac:dyDescent="0.4"/>
    <row r="288" customFormat="1" ht="15.75" x14ac:dyDescent="0.4"/>
    <row r="289" customFormat="1" ht="15.75" x14ac:dyDescent="0.4"/>
    <row r="290" customFormat="1" ht="15.75" x14ac:dyDescent="0.4"/>
    <row r="291" customFormat="1" ht="15.75" x14ac:dyDescent="0.4"/>
    <row r="292" customFormat="1" ht="15.75" x14ac:dyDescent="0.4"/>
    <row r="293" customFormat="1" ht="15.75" x14ac:dyDescent="0.4"/>
    <row r="294" customFormat="1" ht="15.75" x14ac:dyDescent="0.4"/>
    <row r="295" customFormat="1" ht="15.75" x14ac:dyDescent="0.4"/>
    <row r="296" customFormat="1" ht="15.75" x14ac:dyDescent="0.4"/>
    <row r="297" customFormat="1" ht="15.75" x14ac:dyDescent="0.4"/>
    <row r="298" customFormat="1" ht="15.75" x14ac:dyDescent="0.4"/>
    <row r="299" customFormat="1" ht="15.75" x14ac:dyDescent="0.4"/>
    <row r="300" customFormat="1" ht="15.75" x14ac:dyDescent="0.4"/>
    <row r="301" customFormat="1" ht="15.75" x14ac:dyDescent="0.4"/>
    <row r="302" customFormat="1" ht="15.75" x14ac:dyDescent="0.4"/>
    <row r="303" customFormat="1" ht="15.75" x14ac:dyDescent="0.4"/>
    <row r="304" customFormat="1" ht="15.75" x14ac:dyDescent="0.4"/>
    <row r="305" customFormat="1" ht="15.75" x14ac:dyDescent="0.4"/>
    <row r="306" customFormat="1" ht="15.75" x14ac:dyDescent="0.4"/>
    <row r="307" customFormat="1" ht="15.75" x14ac:dyDescent="0.4"/>
    <row r="308" customFormat="1" ht="15.75" x14ac:dyDescent="0.4"/>
    <row r="309" customFormat="1" ht="15.75" x14ac:dyDescent="0.4"/>
    <row r="310" customFormat="1" ht="15.75" x14ac:dyDescent="0.4"/>
    <row r="311" customFormat="1" ht="15.75" x14ac:dyDescent="0.4"/>
    <row r="312" customFormat="1" ht="15.75" x14ac:dyDescent="0.4"/>
    <row r="313" customFormat="1" ht="15.75" x14ac:dyDescent="0.4"/>
    <row r="314" customFormat="1" ht="15.75" x14ac:dyDescent="0.4"/>
    <row r="315" customFormat="1" ht="15.75" x14ac:dyDescent="0.4"/>
    <row r="316" customFormat="1" ht="15.75" x14ac:dyDescent="0.4"/>
    <row r="317" customFormat="1" ht="15.75" x14ac:dyDescent="0.4"/>
    <row r="318" customFormat="1" ht="15.75" x14ac:dyDescent="0.4"/>
    <row r="319" customFormat="1" ht="15.75" x14ac:dyDescent="0.4"/>
    <row r="320" customFormat="1" ht="15.75" x14ac:dyDescent="0.4"/>
    <row r="321" customFormat="1" ht="15.75" x14ac:dyDescent="0.4"/>
    <row r="322" customFormat="1" ht="15.75" x14ac:dyDescent="0.4"/>
    <row r="323" customFormat="1" ht="15.75" x14ac:dyDescent="0.4"/>
    <row r="324" customFormat="1" ht="15.75" x14ac:dyDescent="0.4"/>
    <row r="325" customFormat="1" ht="15.75" x14ac:dyDescent="0.4"/>
    <row r="326" customFormat="1" ht="15.75" x14ac:dyDescent="0.4"/>
    <row r="327" customFormat="1" ht="15.75" x14ac:dyDescent="0.4"/>
    <row r="328" customFormat="1" ht="15.75" x14ac:dyDescent="0.4"/>
    <row r="329" customFormat="1" ht="15.75" x14ac:dyDescent="0.4"/>
    <row r="330" customFormat="1" ht="15.75" x14ac:dyDescent="0.4"/>
    <row r="331" customFormat="1" ht="15.75" x14ac:dyDescent="0.4"/>
    <row r="332" customFormat="1" ht="15.75" x14ac:dyDescent="0.4"/>
    <row r="333" customFormat="1" ht="15.75" x14ac:dyDescent="0.4"/>
    <row r="334" customFormat="1" ht="15.75" x14ac:dyDescent="0.4"/>
    <row r="335" customFormat="1" ht="15.75" x14ac:dyDescent="0.4"/>
    <row r="336" customFormat="1" ht="15.75" x14ac:dyDescent="0.4"/>
    <row r="337" customFormat="1" ht="15.75" x14ac:dyDescent="0.4"/>
    <row r="338" customFormat="1" ht="15.75" x14ac:dyDescent="0.4"/>
    <row r="339" customFormat="1" ht="15.75" x14ac:dyDescent="0.4"/>
    <row r="340" customFormat="1" ht="15.75" x14ac:dyDescent="0.4"/>
    <row r="341" customFormat="1" ht="15.75" x14ac:dyDescent="0.4"/>
    <row r="342" customFormat="1" ht="15.75" x14ac:dyDescent="0.4"/>
    <row r="343" customFormat="1" ht="15.75" x14ac:dyDescent="0.4"/>
    <row r="344" customFormat="1" ht="15.75" x14ac:dyDescent="0.4"/>
    <row r="345" customFormat="1" ht="15.75" x14ac:dyDescent="0.4"/>
    <row r="346" customFormat="1" ht="15.75" x14ac:dyDescent="0.4"/>
    <row r="347" customFormat="1" ht="15.75" x14ac:dyDescent="0.4"/>
    <row r="348" customFormat="1" ht="15.75" x14ac:dyDescent="0.4"/>
    <row r="349" customFormat="1" ht="15.75" x14ac:dyDescent="0.4"/>
    <row r="350" customFormat="1" ht="15.75" x14ac:dyDescent="0.4"/>
    <row r="351" customFormat="1" ht="15.75" x14ac:dyDescent="0.4"/>
    <row r="352" customFormat="1" ht="15.75" x14ac:dyDescent="0.4"/>
    <row r="353" customFormat="1" ht="15.75" x14ac:dyDescent="0.4"/>
    <row r="354" customFormat="1" ht="15.75" x14ac:dyDescent="0.4"/>
    <row r="355" customFormat="1" ht="15.75" x14ac:dyDescent="0.4"/>
    <row r="356" customFormat="1" ht="15.75" x14ac:dyDescent="0.4"/>
    <row r="357" customFormat="1" ht="15.75" x14ac:dyDescent="0.4"/>
    <row r="358" customFormat="1" ht="15.75" x14ac:dyDescent="0.4"/>
    <row r="359" customFormat="1" ht="15.75" x14ac:dyDescent="0.4"/>
    <row r="360" customFormat="1" ht="15.75" x14ac:dyDescent="0.4"/>
    <row r="361" customFormat="1" ht="15.75" x14ac:dyDescent="0.4"/>
    <row r="362" customFormat="1" ht="15.75" x14ac:dyDescent="0.4"/>
    <row r="363" customFormat="1" ht="15.75" x14ac:dyDescent="0.4"/>
    <row r="364" customFormat="1" ht="15.75" x14ac:dyDescent="0.4"/>
    <row r="365" customFormat="1" ht="15.75" x14ac:dyDescent="0.4"/>
    <row r="366" customFormat="1" ht="15.75" x14ac:dyDescent="0.4"/>
    <row r="367" customFormat="1" ht="15.75" x14ac:dyDescent="0.4"/>
    <row r="368" customFormat="1" ht="15.75" x14ac:dyDescent="0.4"/>
    <row r="369" customFormat="1" ht="15.75" x14ac:dyDescent="0.4"/>
    <row r="370" customFormat="1" ht="15.75" x14ac:dyDescent="0.4"/>
    <row r="371" customFormat="1" ht="15.75" x14ac:dyDescent="0.4"/>
    <row r="372" customFormat="1" ht="15.75" x14ac:dyDescent="0.4"/>
    <row r="373" customFormat="1" ht="15.75" x14ac:dyDescent="0.4"/>
    <row r="374" customFormat="1" ht="15.75" x14ac:dyDescent="0.4"/>
    <row r="375" customFormat="1" ht="15.75" x14ac:dyDescent="0.4"/>
    <row r="376" customFormat="1" ht="15.75" x14ac:dyDescent="0.4"/>
    <row r="377" customFormat="1" ht="15.75" x14ac:dyDescent="0.4"/>
    <row r="378" customFormat="1" ht="15.75" x14ac:dyDescent="0.4"/>
    <row r="379" customFormat="1" ht="15.75" x14ac:dyDescent="0.4"/>
    <row r="380" customFormat="1" ht="15.75" x14ac:dyDescent="0.4"/>
    <row r="381" customFormat="1" ht="15.75" x14ac:dyDescent="0.4"/>
    <row r="382" customFormat="1" ht="15.75" x14ac:dyDescent="0.4"/>
    <row r="383" customFormat="1" ht="15.75" x14ac:dyDescent="0.4"/>
    <row r="384" customFormat="1" ht="15.75" x14ac:dyDescent="0.4"/>
    <row r="385" spans="2:3" customFormat="1" ht="15.75" x14ac:dyDescent="0.4"/>
    <row r="386" spans="2:3" customFormat="1" ht="15.75" x14ac:dyDescent="0.4"/>
    <row r="387" spans="2:3" customFormat="1" ht="15.75" x14ac:dyDescent="0.4"/>
    <row r="388" spans="2:3" customFormat="1" ht="15.75" x14ac:dyDescent="0.4"/>
    <row r="389" spans="2:3" customFormat="1" ht="15.75" x14ac:dyDescent="0.4"/>
    <row r="390" spans="2:3" customFormat="1" ht="15.75" x14ac:dyDescent="0.4"/>
    <row r="391" spans="2:3" customFormat="1" ht="15.75" x14ac:dyDescent="0.4"/>
    <row r="392" spans="2:3" customFormat="1" ht="15.75" x14ac:dyDescent="0.4">
      <c r="B392" s="2"/>
      <c r="C392" s="2"/>
    </row>
  </sheetData>
  <phoneticPr fontId="2" type="noConversion"/>
  <printOptions headings="1"/>
  <pageMargins left="0.75" right="0.75" top="1" bottom="1" header="0.5" footer="0.5"/>
  <pageSetup paperSize="9" orientation="portrait" horizontalDpi="4294967293" vertic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topLeftCell="A13" zoomScale="102" zoomScaleNormal="102" workbookViewId="0">
      <selection activeCell="K11" sqref="K11"/>
    </sheetView>
  </sheetViews>
  <sheetFormatPr defaultColWidth="9" defaultRowHeight="12.75" x14ac:dyDescent="0.3"/>
  <cols>
    <col min="1" max="16384" width="9" style="1"/>
  </cols>
  <sheetData/>
  <phoneticPr fontId="2" type="noConversion"/>
  <pageMargins left="0.75" right="0.75" top="1" bottom="1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7" r:id="rId3" name="Spinner 5">
              <controlPr defaultSize="0" autoPict="0">
                <anchor moveWithCells="1" sizeWithCells="1">
                  <from>
                    <xdr:col>2</xdr:col>
                    <xdr:colOff>271463</xdr:colOff>
                    <xdr:row>4</xdr:row>
                    <xdr:rowOff>14288</xdr:rowOff>
                  </from>
                  <to>
                    <xdr:col>2</xdr:col>
                    <xdr:colOff>538163</xdr:colOff>
                    <xdr:row>5</xdr:row>
                    <xdr:rowOff>90488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4" name="Spinner 6">
              <controlPr defaultSize="0" autoPict="0">
                <anchor moveWithCells="1" sizeWithCells="1">
                  <from>
                    <xdr:col>5</xdr:col>
                    <xdr:colOff>38100</xdr:colOff>
                    <xdr:row>4</xdr:row>
                    <xdr:rowOff>23813</xdr:rowOff>
                  </from>
                  <to>
                    <xdr:col>5</xdr:col>
                    <xdr:colOff>285750</xdr:colOff>
                    <xdr:row>5</xdr:row>
                    <xdr:rowOff>80963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392"/>
  <sheetViews>
    <sheetView showGridLines="0" tabSelected="1" workbookViewId="0">
      <selection activeCell="H10" sqref="H10"/>
    </sheetView>
  </sheetViews>
  <sheetFormatPr defaultColWidth="9" defaultRowHeight="12.75" x14ac:dyDescent="0.35"/>
  <cols>
    <col min="1" max="1" width="2" style="2" customWidth="1"/>
    <col min="2" max="2" width="15.1875" style="2" customWidth="1"/>
    <col min="3" max="3" width="7.1875" style="2" customWidth="1"/>
    <col min="4" max="4" width="2" style="2" customWidth="1"/>
    <col min="5" max="5" width="1.5" style="2" customWidth="1"/>
    <col min="6" max="6" width="4.0625" style="5" bestFit="1" customWidth="1"/>
    <col min="7" max="7" width="6.6875" style="5" bestFit="1" customWidth="1"/>
    <col min="8" max="8" width="5.9375" style="5" bestFit="1" customWidth="1"/>
    <col min="9" max="9" width="1.9375" style="2" customWidth="1"/>
    <col min="10" max="16384" width="9" style="2"/>
  </cols>
  <sheetData>
    <row r="2" spans="2:10" x14ac:dyDescent="0.35">
      <c r="B2" s="20" t="s">
        <v>4</v>
      </c>
      <c r="C2" s="23">
        <v>100</v>
      </c>
      <c r="G2" s="27">
        <f>C10</f>
        <v>600</v>
      </c>
    </row>
    <row r="3" spans="2:10" ht="13.15" x14ac:dyDescent="0.35">
      <c r="B3" s="21" t="s">
        <v>2</v>
      </c>
      <c r="C3" s="24">
        <v>0</v>
      </c>
      <c r="F3" s="22">
        <v>0</v>
      </c>
      <c r="G3" s="28">
        <f t="dataTable" ref="G3:G33" dt2D="0" dtr="0" r1="C7"/>
        <v>800</v>
      </c>
      <c r="H3" s="6"/>
      <c r="J3" s="4"/>
    </row>
    <row r="4" spans="2:10" x14ac:dyDescent="0.35">
      <c r="C4" s="5"/>
      <c r="F4" s="22">
        <v>1</v>
      </c>
      <c r="G4" s="28">
        <v>700</v>
      </c>
      <c r="H4" s="6"/>
    </row>
    <row r="5" spans="2:10" ht="13.15" x14ac:dyDescent="0.35">
      <c r="B5" s="21" t="s">
        <v>1</v>
      </c>
      <c r="C5" s="25">
        <f>C6/C2</f>
        <v>8</v>
      </c>
      <c r="F5" s="22">
        <v>2</v>
      </c>
      <c r="G5" s="28">
        <v>600</v>
      </c>
      <c r="H5" s="6"/>
      <c r="J5" s="4"/>
    </row>
    <row r="6" spans="2:10" ht="13.15" x14ac:dyDescent="0.35">
      <c r="B6" s="21" t="s">
        <v>0</v>
      </c>
      <c r="C6" s="26">
        <v>800</v>
      </c>
      <c r="F6" s="22">
        <v>3</v>
      </c>
      <c r="G6" s="28">
        <v>500</v>
      </c>
      <c r="H6" s="6"/>
    </row>
    <row r="7" spans="2:10" ht="13.15" x14ac:dyDescent="0.35">
      <c r="B7" s="21" t="s">
        <v>6</v>
      </c>
      <c r="C7" s="6">
        <v>10</v>
      </c>
      <c r="F7" s="22">
        <v>4</v>
      </c>
      <c r="G7" s="28">
        <v>400</v>
      </c>
      <c r="H7" s="6"/>
    </row>
    <row r="8" spans="2:10" ht="13.15" x14ac:dyDescent="0.35">
      <c r="B8" s="21" t="s">
        <v>7</v>
      </c>
      <c r="C8" s="25">
        <f>INT(C7/C5)</f>
        <v>1</v>
      </c>
      <c r="F8" s="22">
        <v>5</v>
      </c>
      <c r="G8" s="28">
        <v>300</v>
      </c>
      <c r="H8" s="6"/>
    </row>
    <row r="9" spans="2:10" ht="13.15" x14ac:dyDescent="0.35">
      <c r="B9" s="21" t="s">
        <v>3</v>
      </c>
      <c r="C9" s="28">
        <f>MOD(C7,C5)</f>
        <v>2</v>
      </c>
      <c r="F9" s="22">
        <v>6</v>
      </c>
      <c r="G9" s="28">
        <v>200</v>
      </c>
      <c r="H9" s="6"/>
    </row>
    <row r="10" spans="2:10" ht="13.15" x14ac:dyDescent="0.35">
      <c r="B10" s="21" t="s">
        <v>5</v>
      </c>
      <c r="C10" s="27">
        <f>C6-C2*C9</f>
        <v>600</v>
      </c>
      <c r="F10" s="22">
        <v>7</v>
      </c>
      <c r="G10" s="28">
        <v>100</v>
      </c>
      <c r="H10" s="6"/>
    </row>
    <row r="11" spans="2:10" x14ac:dyDescent="0.35">
      <c r="F11" s="22">
        <v>8</v>
      </c>
      <c r="G11" s="28">
        <v>800</v>
      </c>
      <c r="H11" s="6"/>
    </row>
    <row r="12" spans="2:10" x14ac:dyDescent="0.35">
      <c r="B12" s="3" t="str">
        <f>B6&amp;"="&amp;C6</f>
        <v>订货量=800</v>
      </c>
      <c r="F12" s="22">
        <v>9</v>
      </c>
      <c r="G12" s="28">
        <v>700</v>
      </c>
      <c r="H12" s="6"/>
    </row>
    <row r="13" spans="2:10" x14ac:dyDescent="0.35">
      <c r="B13" s="3" t="str">
        <f>B5&amp;"="&amp;C5&amp;"天"</f>
        <v>订货周期=8天</v>
      </c>
      <c r="F13" s="22">
        <v>10</v>
      </c>
      <c r="G13" s="28">
        <v>600</v>
      </c>
      <c r="H13" s="6"/>
    </row>
    <row r="14" spans="2:10" x14ac:dyDescent="0.35">
      <c r="B14" s="3" t="str">
        <f>B7&amp;"="&amp;C7&amp;"天"</f>
        <v>查看时间(天)=10天</v>
      </c>
      <c r="F14" s="22">
        <v>11</v>
      </c>
      <c r="G14" s="28">
        <v>500</v>
      </c>
      <c r="H14" s="6"/>
    </row>
    <row r="15" spans="2:10" x14ac:dyDescent="0.35">
      <c r="F15" s="22">
        <v>12</v>
      </c>
      <c r="G15" s="28">
        <v>400</v>
      </c>
      <c r="H15" s="6"/>
    </row>
    <row r="16" spans="2:10" x14ac:dyDescent="0.35">
      <c r="F16" s="22">
        <v>13</v>
      </c>
      <c r="G16" s="28">
        <v>300</v>
      </c>
      <c r="H16" s="6"/>
    </row>
    <row r="17" spans="6:8" x14ac:dyDescent="0.35">
      <c r="F17" s="22">
        <v>14</v>
      </c>
      <c r="G17" s="28">
        <v>200</v>
      </c>
      <c r="H17" s="6"/>
    </row>
    <row r="18" spans="6:8" x14ac:dyDescent="0.35">
      <c r="F18" s="22">
        <v>15</v>
      </c>
      <c r="G18" s="28">
        <v>100</v>
      </c>
      <c r="H18" s="6"/>
    </row>
    <row r="19" spans="6:8" x14ac:dyDescent="0.35">
      <c r="F19" s="22">
        <v>16</v>
      </c>
      <c r="G19" s="28">
        <v>800</v>
      </c>
      <c r="H19" s="6"/>
    </row>
    <row r="20" spans="6:8" x14ac:dyDescent="0.35">
      <c r="F20" s="22">
        <v>17</v>
      </c>
      <c r="G20" s="28">
        <v>700</v>
      </c>
      <c r="H20" s="6"/>
    </row>
    <row r="21" spans="6:8" x14ac:dyDescent="0.35">
      <c r="F21" s="22">
        <v>18</v>
      </c>
      <c r="G21" s="28">
        <v>600</v>
      </c>
      <c r="H21" s="6"/>
    </row>
    <row r="22" spans="6:8" x14ac:dyDescent="0.35">
      <c r="F22" s="22">
        <v>19</v>
      </c>
      <c r="G22" s="28">
        <v>500</v>
      </c>
      <c r="H22" s="6"/>
    </row>
    <row r="23" spans="6:8" x14ac:dyDescent="0.35">
      <c r="F23" s="22">
        <v>20</v>
      </c>
      <c r="G23" s="28">
        <v>400</v>
      </c>
      <c r="H23" s="6"/>
    </row>
    <row r="24" spans="6:8" x14ac:dyDescent="0.35">
      <c r="F24" s="22">
        <v>21</v>
      </c>
      <c r="G24" s="28">
        <v>300</v>
      </c>
      <c r="H24" s="6"/>
    </row>
    <row r="25" spans="6:8" x14ac:dyDescent="0.35">
      <c r="F25" s="22">
        <v>22</v>
      </c>
      <c r="G25" s="28">
        <v>200</v>
      </c>
      <c r="H25" s="6"/>
    </row>
    <row r="26" spans="6:8" x14ac:dyDescent="0.35">
      <c r="F26" s="22">
        <v>23</v>
      </c>
      <c r="G26" s="28">
        <v>100</v>
      </c>
      <c r="H26" s="6"/>
    </row>
    <row r="27" spans="6:8" x14ac:dyDescent="0.35">
      <c r="F27" s="22">
        <v>24</v>
      </c>
      <c r="G27" s="28">
        <v>800</v>
      </c>
      <c r="H27" s="6"/>
    </row>
    <row r="28" spans="6:8" x14ac:dyDescent="0.35">
      <c r="F28" s="22">
        <v>25</v>
      </c>
      <c r="G28" s="28">
        <v>700</v>
      </c>
      <c r="H28" s="6"/>
    </row>
    <row r="29" spans="6:8" x14ac:dyDescent="0.35">
      <c r="F29" s="22">
        <v>26</v>
      </c>
      <c r="G29" s="28">
        <v>600</v>
      </c>
      <c r="H29" s="6"/>
    </row>
    <row r="30" spans="6:8" x14ac:dyDescent="0.35">
      <c r="F30" s="22">
        <v>27</v>
      </c>
      <c r="G30" s="28">
        <v>500</v>
      </c>
      <c r="H30" s="6"/>
    </row>
    <row r="31" spans="6:8" x14ac:dyDescent="0.35">
      <c r="F31" s="22">
        <v>28</v>
      </c>
      <c r="G31" s="28">
        <v>400</v>
      </c>
      <c r="H31" s="6"/>
    </row>
    <row r="32" spans="6:8" x14ac:dyDescent="0.35">
      <c r="F32" s="22">
        <v>29</v>
      </c>
      <c r="G32" s="28">
        <v>300</v>
      </c>
      <c r="H32" s="6"/>
    </row>
    <row r="33" spans="2:8" ht="15.75" x14ac:dyDescent="0.4">
      <c r="B33"/>
      <c r="C33"/>
      <c r="F33" s="22">
        <v>30</v>
      </c>
      <c r="G33" s="28">
        <v>200</v>
      </c>
      <c r="H33" s="6"/>
    </row>
    <row r="34" spans="2:8" customFormat="1" ht="15.75" x14ac:dyDescent="0.4"/>
    <row r="35" spans="2:8" customFormat="1" ht="15.75" x14ac:dyDescent="0.4"/>
    <row r="36" spans="2:8" customFormat="1" ht="15.75" x14ac:dyDescent="0.4"/>
    <row r="37" spans="2:8" customFormat="1" ht="15.75" x14ac:dyDescent="0.4"/>
    <row r="38" spans="2:8" customFormat="1" ht="15.75" x14ac:dyDescent="0.4"/>
    <row r="39" spans="2:8" customFormat="1" ht="15.75" x14ac:dyDescent="0.4"/>
    <row r="40" spans="2:8" customFormat="1" ht="15.75" x14ac:dyDescent="0.4"/>
    <row r="41" spans="2:8" customFormat="1" ht="15.75" x14ac:dyDescent="0.4"/>
    <row r="42" spans="2:8" customFormat="1" ht="15.75" x14ac:dyDescent="0.4"/>
    <row r="43" spans="2:8" customFormat="1" ht="15.75" x14ac:dyDescent="0.4"/>
    <row r="44" spans="2:8" customFormat="1" ht="15.75" x14ac:dyDescent="0.4"/>
    <row r="45" spans="2:8" customFormat="1" ht="15.75" x14ac:dyDescent="0.4"/>
    <row r="46" spans="2:8" customFormat="1" ht="15.75" x14ac:dyDescent="0.4"/>
    <row r="47" spans="2:8" customFormat="1" ht="15.75" x14ac:dyDescent="0.4"/>
    <row r="48" spans="2:8" customFormat="1" ht="15.75" x14ac:dyDescent="0.4"/>
    <row r="49" customFormat="1" ht="15.75" x14ac:dyDescent="0.4"/>
    <row r="50" customFormat="1" ht="15.75" x14ac:dyDescent="0.4"/>
    <row r="51" customFormat="1" ht="15.75" x14ac:dyDescent="0.4"/>
    <row r="52" customFormat="1" ht="15.75" x14ac:dyDescent="0.4"/>
    <row r="53" customFormat="1" ht="15.75" x14ac:dyDescent="0.4"/>
    <row r="54" customFormat="1" ht="15.75" x14ac:dyDescent="0.4"/>
    <row r="55" customFormat="1" ht="15.75" x14ac:dyDescent="0.4"/>
    <row r="56" customFormat="1" ht="15.75" x14ac:dyDescent="0.4"/>
    <row r="57" customFormat="1" ht="15.75" x14ac:dyDescent="0.4"/>
    <row r="58" customFormat="1" ht="15.75" x14ac:dyDescent="0.4"/>
    <row r="59" customFormat="1" ht="15.75" x14ac:dyDescent="0.4"/>
    <row r="60" customFormat="1" ht="15.75" x14ac:dyDescent="0.4"/>
    <row r="61" customFormat="1" ht="15.75" x14ac:dyDescent="0.4"/>
    <row r="62" customFormat="1" ht="15.75" x14ac:dyDescent="0.4"/>
    <row r="63" customFormat="1" ht="15.75" x14ac:dyDescent="0.4"/>
    <row r="64" customFormat="1" ht="15.75" x14ac:dyDescent="0.4"/>
    <row r="65" customFormat="1" ht="15.75" x14ac:dyDescent="0.4"/>
    <row r="66" customFormat="1" ht="15.75" x14ac:dyDescent="0.4"/>
    <row r="67" customFormat="1" ht="15.75" x14ac:dyDescent="0.4"/>
    <row r="68" customFormat="1" ht="15.75" x14ac:dyDescent="0.4"/>
    <row r="69" customFormat="1" ht="15.75" x14ac:dyDescent="0.4"/>
    <row r="70" customFormat="1" ht="15.75" x14ac:dyDescent="0.4"/>
    <row r="71" customFormat="1" ht="15.75" x14ac:dyDescent="0.4"/>
    <row r="72" customFormat="1" ht="15.75" x14ac:dyDescent="0.4"/>
    <row r="73" customFormat="1" ht="15.75" x14ac:dyDescent="0.4"/>
    <row r="74" customFormat="1" ht="15.75" x14ac:dyDescent="0.4"/>
    <row r="75" customFormat="1" ht="15.75" x14ac:dyDescent="0.4"/>
    <row r="76" customFormat="1" ht="15.75" x14ac:dyDescent="0.4"/>
    <row r="77" customFormat="1" ht="15.75" x14ac:dyDescent="0.4"/>
    <row r="78" customFormat="1" ht="15.75" x14ac:dyDescent="0.4"/>
    <row r="79" customFormat="1" ht="15.75" x14ac:dyDescent="0.4"/>
    <row r="80" customFormat="1" ht="15.75" x14ac:dyDescent="0.4"/>
    <row r="81" customFormat="1" ht="15.75" x14ac:dyDescent="0.4"/>
    <row r="82" customFormat="1" ht="15.75" x14ac:dyDescent="0.4"/>
    <row r="83" customFormat="1" ht="15.75" x14ac:dyDescent="0.4"/>
    <row r="84" customFormat="1" ht="15.75" x14ac:dyDescent="0.4"/>
    <row r="85" customFormat="1" ht="15.75" x14ac:dyDescent="0.4"/>
    <row r="86" customFormat="1" ht="15.75" x14ac:dyDescent="0.4"/>
    <row r="87" customFormat="1" ht="15.75" x14ac:dyDescent="0.4"/>
    <row r="88" customFormat="1" ht="15.75" x14ac:dyDescent="0.4"/>
    <row r="89" customFormat="1" ht="15.75" x14ac:dyDescent="0.4"/>
    <row r="90" customFormat="1" ht="15.75" x14ac:dyDescent="0.4"/>
    <row r="91" customFormat="1" ht="15.75" x14ac:dyDescent="0.4"/>
    <row r="92" customFormat="1" ht="15.75" x14ac:dyDescent="0.4"/>
    <row r="93" customFormat="1" ht="15.75" x14ac:dyDescent="0.4"/>
    <row r="94" customFormat="1" ht="15.75" x14ac:dyDescent="0.4"/>
    <row r="95" customFormat="1" ht="15.75" x14ac:dyDescent="0.4"/>
    <row r="96" customFormat="1" ht="15.75" x14ac:dyDescent="0.4"/>
    <row r="97" customFormat="1" ht="15.75" x14ac:dyDescent="0.4"/>
    <row r="98" customFormat="1" ht="15.75" x14ac:dyDescent="0.4"/>
    <row r="99" customFormat="1" ht="15.75" x14ac:dyDescent="0.4"/>
    <row r="100" customFormat="1" ht="15.75" x14ac:dyDescent="0.4"/>
    <row r="101" customFormat="1" ht="15.75" x14ac:dyDescent="0.4"/>
    <row r="102" customFormat="1" ht="15.75" x14ac:dyDescent="0.4"/>
    <row r="103" customFormat="1" ht="15.75" x14ac:dyDescent="0.4"/>
    <row r="104" customFormat="1" ht="15.75" x14ac:dyDescent="0.4"/>
    <row r="105" customFormat="1" ht="15.75" x14ac:dyDescent="0.4"/>
    <row r="106" customFormat="1" ht="15.75" x14ac:dyDescent="0.4"/>
    <row r="107" customFormat="1" ht="15.75" x14ac:dyDescent="0.4"/>
    <row r="108" customFormat="1" ht="15.75" x14ac:dyDescent="0.4"/>
    <row r="109" customFormat="1" ht="15.75" x14ac:dyDescent="0.4"/>
    <row r="110" customFormat="1" ht="15.75" x14ac:dyDescent="0.4"/>
    <row r="111" customFormat="1" ht="15.75" x14ac:dyDescent="0.4"/>
    <row r="112" customFormat="1" ht="15.75" x14ac:dyDescent="0.4"/>
    <row r="113" customFormat="1" ht="15.75" x14ac:dyDescent="0.4"/>
    <row r="114" customFormat="1" ht="15.75" x14ac:dyDescent="0.4"/>
    <row r="115" customFormat="1" ht="15.75" x14ac:dyDescent="0.4"/>
    <row r="116" customFormat="1" ht="15.75" x14ac:dyDescent="0.4"/>
    <row r="117" customFormat="1" ht="15.75" x14ac:dyDescent="0.4"/>
    <row r="118" customFormat="1" ht="15.75" x14ac:dyDescent="0.4"/>
    <row r="119" customFormat="1" ht="15.75" x14ac:dyDescent="0.4"/>
    <row r="120" customFormat="1" ht="15.75" x14ac:dyDescent="0.4"/>
    <row r="121" customFormat="1" ht="15.75" x14ac:dyDescent="0.4"/>
    <row r="122" customFormat="1" ht="15.75" x14ac:dyDescent="0.4"/>
    <row r="123" customFormat="1" ht="15.75" x14ac:dyDescent="0.4"/>
    <row r="124" customFormat="1" ht="15.75" x14ac:dyDescent="0.4"/>
    <row r="125" customFormat="1" ht="15.75" x14ac:dyDescent="0.4"/>
    <row r="126" customFormat="1" ht="15.75" x14ac:dyDescent="0.4"/>
    <row r="127" customFormat="1" ht="15.75" x14ac:dyDescent="0.4"/>
    <row r="128" customFormat="1" ht="15.75" x14ac:dyDescent="0.4"/>
    <row r="129" customFormat="1" ht="15.75" x14ac:dyDescent="0.4"/>
    <row r="130" customFormat="1" ht="15.75" x14ac:dyDescent="0.4"/>
    <row r="131" customFormat="1" ht="15.75" x14ac:dyDescent="0.4"/>
    <row r="132" customFormat="1" ht="15.75" x14ac:dyDescent="0.4"/>
    <row r="133" customFormat="1" ht="15.75" x14ac:dyDescent="0.4"/>
    <row r="134" customFormat="1" ht="15.75" x14ac:dyDescent="0.4"/>
    <row r="135" customFormat="1" ht="15.75" x14ac:dyDescent="0.4"/>
    <row r="136" customFormat="1" ht="15.75" x14ac:dyDescent="0.4"/>
    <row r="137" customFormat="1" ht="15.75" x14ac:dyDescent="0.4"/>
    <row r="138" customFormat="1" ht="15.75" x14ac:dyDescent="0.4"/>
    <row r="139" customFormat="1" ht="15.75" x14ac:dyDescent="0.4"/>
    <row r="140" customFormat="1" ht="15.75" x14ac:dyDescent="0.4"/>
    <row r="141" customFormat="1" ht="15.75" x14ac:dyDescent="0.4"/>
    <row r="142" customFormat="1" ht="15.75" x14ac:dyDescent="0.4"/>
    <row r="143" customFormat="1" ht="15.75" x14ac:dyDescent="0.4"/>
    <row r="144" customFormat="1" ht="15.75" x14ac:dyDescent="0.4"/>
    <row r="145" customFormat="1" ht="15.75" x14ac:dyDescent="0.4"/>
    <row r="146" customFormat="1" ht="15.75" x14ac:dyDescent="0.4"/>
    <row r="147" customFormat="1" ht="15.75" x14ac:dyDescent="0.4"/>
    <row r="148" customFormat="1" ht="15.75" x14ac:dyDescent="0.4"/>
    <row r="149" customFormat="1" ht="15.75" x14ac:dyDescent="0.4"/>
    <row r="150" customFormat="1" ht="15.75" x14ac:dyDescent="0.4"/>
    <row r="151" customFormat="1" ht="15.75" x14ac:dyDescent="0.4"/>
    <row r="152" customFormat="1" ht="15.75" x14ac:dyDescent="0.4"/>
    <row r="153" customFormat="1" ht="15.75" x14ac:dyDescent="0.4"/>
    <row r="154" customFormat="1" ht="15.75" x14ac:dyDescent="0.4"/>
    <row r="155" customFormat="1" ht="15.75" x14ac:dyDescent="0.4"/>
    <row r="156" customFormat="1" ht="15.75" x14ac:dyDescent="0.4"/>
    <row r="157" customFormat="1" ht="15.75" x14ac:dyDescent="0.4"/>
    <row r="158" customFormat="1" ht="15.75" x14ac:dyDescent="0.4"/>
    <row r="159" customFormat="1" ht="15.75" x14ac:dyDescent="0.4"/>
    <row r="160" customFormat="1" ht="15.75" x14ac:dyDescent="0.4"/>
    <row r="161" customFormat="1" ht="15.75" x14ac:dyDescent="0.4"/>
    <row r="162" customFormat="1" ht="15.75" x14ac:dyDescent="0.4"/>
    <row r="163" customFormat="1" ht="15.75" x14ac:dyDescent="0.4"/>
    <row r="164" customFormat="1" ht="15.75" x14ac:dyDescent="0.4"/>
    <row r="165" customFormat="1" ht="15.75" x14ac:dyDescent="0.4"/>
    <row r="166" customFormat="1" ht="15.75" x14ac:dyDescent="0.4"/>
    <row r="167" customFormat="1" ht="15.75" x14ac:dyDescent="0.4"/>
    <row r="168" customFormat="1" ht="15.75" x14ac:dyDescent="0.4"/>
    <row r="169" customFormat="1" ht="15.75" x14ac:dyDescent="0.4"/>
    <row r="170" customFormat="1" ht="15.75" x14ac:dyDescent="0.4"/>
    <row r="171" customFormat="1" ht="15.75" x14ac:dyDescent="0.4"/>
    <row r="172" customFormat="1" ht="15.75" x14ac:dyDescent="0.4"/>
    <row r="173" customFormat="1" ht="15.75" x14ac:dyDescent="0.4"/>
    <row r="174" customFormat="1" ht="15.75" x14ac:dyDescent="0.4"/>
    <row r="175" customFormat="1" ht="15.75" x14ac:dyDescent="0.4"/>
    <row r="176" customFormat="1" ht="15.75" x14ac:dyDescent="0.4"/>
    <row r="177" customFormat="1" ht="15.75" x14ac:dyDescent="0.4"/>
    <row r="178" customFormat="1" ht="15.75" x14ac:dyDescent="0.4"/>
    <row r="179" customFormat="1" ht="15.75" x14ac:dyDescent="0.4"/>
    <row r="180" customFormat="1" ht="15.75" x14ac:dyDescent="0.4"/>
    <row r="181" customFormat="1" ht="15.75" x14ac:dyDescent="0.4"/>
    <row r="182" customFormat="1" ht="15.75" x14ac:dyDescent="0.4"/>
    <row r="183" customFormat="1" ht="15.75" x14ac:dyDescent="0.4"/>
    <row r="184" customFormat="1" ht="15.75" x14ac:dyDescent="0.4"/>
    <row r="185" customFormat="1" ht="15.75" x14ac:dyDescent="0.4"/>
    <row r="186" customFormat="1" ht="15.75" x14ac:dyDescent="0.4"/>
    <row r="187" customFormat="1" ht="15.75" x14ac:dyDescent="0.4"/>
    <row r="188" customFormat="1" ht="15.75" x14ac:dyDescent="0.4"/>
    <row r="189" customFormat="1" ht="15.75" x14ac:dyDescent="0.4"/>
    <row r="190" customFormat="1" ht="15.75" x14ac:dyDescent="0.4"/>
    <row r="191" customFormat="1" ht="15.75" x14ac:dyDescent="0.4"/>
    <row r="192" customFormat="1" ht="15.75" x14ac:dyDescent="0.4"/>
    <row r="193" customFormat="1" ht="15.75" x14ac:dyDescent="0.4"/>
    <row r="194" customFormat="1" ht="15.75" x14ac:dyDescent="0.4"/>
    <row r="195" customFormat="1" ht="15.75" x14ac:dyDescent="0.4"/>
    <row r="196" customFormat="1" ht="15.75" x14ac:dyDescent="0.4"/>
    <row r="197" customFormat="1" ht="15.75" x14ac:dyDescent="0.4"/>
    <row r="198" customFormat="1" ht="15.75" x14ac:dyDescent="0.4"/>
    <row r="199" customFormat="1" ht="15.75" x14ac:dyDescent="0.4"/>
    <row r="200" customFormat="1" ht="15.75" x14ac:dyDescent="0.4"/>
    <row r="201" customFormat="1" ht="15.75" x14ac:dyDescent="0.4"/>
    <row r="202" customFormat="1" ht="15.75" x14ac:dyDescent="0.4"/>
    <row r="203" customFormat="1" ht="15.75" x14ac:dyDescent="0.4"/>
    <row r="204" customFormat="1" ht="15.75" x14ac:dyDescent="0.4"/>
    <row r="205" customFormat="1" ht="15.75" x14ac:dyDescent="0.4"/>
    <row r="206" customFormat="1" ht="15.75" x14ac:dyDescent="0.4"/>
    <row r="207" customFormat="1" ht="15.75" x14ac:dyDescent="0.4"/>
    <row r="208" customFormat="1" ht="15.75" x14ac:dyDescent="0.4"/>
    <row r="209" customFormat="1" ht="15.75" x14ac:dyDescent="0.4"/>
    <row r="210" customFormat="1" ht="15.75" x14ac:dyDescent="0.4"/>
    <row r="211" customFormat="1" ht="15.75" x14ac:dyDescent="0.4"/>
    <row r="212" customFormat="1" ht="15.75" x14ac:dyDescent="0.4"/>
    <row r="213" customFormat="1" ht="15.75" x14ac:dyDescent="0.4"/>
    <row r="214" customFormat="1" ht="15.75" x14ac:dyDescent="0.4"/>
    <row r="215" customFormat="1" ht="15.75" x14ac:dyDescent="0.4"/>
    <row r="216" customFormat="1" ht="15.75" x14ac:dyDescent="0.4"/>
    <row r="217" customFormat="1" ht="15.75" x14ac:dyDescent="0.4"/>
    <row r="218" customFormat="1" ht="15.75" x14ac:dyDescent="0.4"/>
    <row r="219" customFormat="1" ht="15.75" x14ac:dyDescent="0.4"/>
    <row r="220" customFormat="1" ht="15.75" x14ac:dyDescent="0.4"/>
    <row r="221" customFormat="1" ht="15.75" x14ac:dyDescent="0.4"/>
    <row r="222" customFormat="1" ht="15.75" x14ac:dyDescent="0.4"/>
    <row r="223" customFormat="1" ht="15.75" x14ac:dyDescent="0.4"/>
    <row r="224" customFormat="1" ht="15.75" x14ac:dyDescent="0.4"/>
    <row r="225" customFormat="1" ht="15.75" x14ac:dyDescent="0.4"/>
    <row r="226" customFormat="1" ht="15.75" x14ac:dyDescent="0.4"/>
    <row r="227" customFormat="1" ht="15.75" x14ac:dyDescent="0.4"/>
    <row r="228" customFormat="1" ht="15.75" x14ac:dyDescent="0.4"/>
    <row r="229" customFormat="1" ht="15.75" x14ac:dyDescent="0.4"/>
    <row r="230" customFormat="1" ht="15.75" x14ac:dyDescent="0.4"/>
    <row r="231" customFormat="1" ht="15.75" x14ac:dyDescent="0.4"/>
    <row r="232" customFormat="1" ht="15.75" x14ac:dyDescent="0.4"/>
    <row r="233" customFormat="1" ht="15.75" x14ac:dyDescent="0.4"/>
    <row r="234" customFormat="1" ht="15.75" x14ac:dyDescent="0.4"/>
    <row r="235" customFormat="1" ht="15.75" x14ac:dyDescent="0.4"/>
    <row r="236" customFormat="1" ht="15.75" x14ac:dyDescent="0.4"/>
    <row r="237" customFormat="1" ht="15.75" x14ac:dyDescent="0.4"/>
    <row r="238" customFormat="1" ht="15.75" x14ac:dyDescent="0.4"/>
    <row r="239" customFormat="1" ht="15.75" x14ac:dyDescent="0.4"/>
    <row r="240" customFormat="1" ht="15.75" x14ac:dyDescent="0.4"/>
    <row r="241" customFormat="1" ht="15.75" x14ac:dyDescent="0.4"/>
    <row r="242" customFormat="1" ht="15.75" x14ac:dyDescent="0.4"/>
    <row r="243" customFormat="1" ht="15.75" x14ac:dyDescent="0.4"/>
    <row r="244" customFormat="1" ht="15.75" x14ac:dyDescent="0.4"/>
    <row r="245" customFormat="1" ht="15.75" x14ac:dyDescent="0.4"/>
    <row r="246" customFormat="1" ht="15.75" x14ac:dyDescent="0.4"/>
    <row r="247" customFormat="1" ht="15.75" x14ac:dyDescent="0.4"/>
    <row r="248" customFormat="1" ht="15.75" x14ac:dyDescent="0.4"/>
    <row r="249" customFormat="1" ht="15.75" x14ac:dyDescent="0.4"/>
    <row r="250" customFormat="1" ht="15.75" x14ac:dyDescent="0.4"/>
    <row r="251" customFormat="1" ht="15.75" x14ac:dyDescent="0.4"/>
    <row r="252" customFormat="1" ht="15.75" x14ac:dyDescent="0.4"/>
    <row r="253" customFormat="1" ht="15.75" x14ac:dyDescent="0.4"/>
    <row r="254" customFormat="1" ht="15.75" x14ac:dyDescent="0.4"/>
    <row r="255" customFormat="1" ht="15.75" x14ac:dyDescent="0.4"/>
    <row r="256" customFormat="1" ht="15.75" x14ac:dyDescent="0.4"/>
    <row r="257" customFormat="1" ht="15.75" x14ac:dyDescent="0.4"/>
    <row r="258" customFormat="1" ht="15.75" x14ac:dyDescent="0.4"/>
    <row r="259" customFormat="1" ht="15.75" x14ac:dyDescent="0.4"/>
    <row r="260" customFormat="1" ht="15.75" x14ac:dyDescent="0.4"/>
    <row r="261" customFormat="1" ht="15.75" x14ac:dyDescent="0.4"/>
    <row r="262" customFormat="1" ht="15.75" x14ac:dyDescent="0.4"/>
    <row r="263" customFormat="1" ht="15.75" x14ac:dyDescent="0.4"/>
    <row r="264" customFormat="1" ht="15.75" x14ac:dyDescent="0.4"/>
    <row r="265" customFormat="1" ht="15.75" x14ac:dyDescent="0.4"/>
    <row r="266" customFormat="1" ht="15.75" x14ac:dyDescent="0.4"/>
    <row r="267" customFormat="1" ht="15.75" x14ac:dyDescent="0.4"/>
    <row r="268" customFormat="1" ht="15.75" x14ac:dyDescent="0.4"/>
    <row r="269" customFormat="1" ht="15.75" x14ac:dyDescent="0.4"/>
    <row r="270" customFormat="1" ht="15.75" x14ac:dyDescent="0.4"/>
    <row r="271" customFormat="1" ht="15.75" x14ac:dyDescent="0.4"/>
    <row r="272" customFormat="1" ht="15.75" x14ac:dyDescent="0.4"/>
    <row r="273" customFormat="1" ht="15.75" x14ac:dyDescent="0.4"/>
    <row r="274" customFormat="1" ht="15.75" x14ac:dyDescent="0.4"/>
    <row r="275" customFormat="1" ht="15.75" x14ac:dyDescent="0.4"/>
    <row r="276" customFormat="1" ht="15.75" x14ac:dyDescent="0.4"/>
    <row r="277" customFormat="1" ht="15.75" x14ac:dyDescent="0.4"/>
    <row r="278" customFormat="1" ht="15.75" x14ac:dyDescent="0.4"/>
    <row r="279" customFormat="1" ht="15.75" x14ac:dyDescent="0.4"/>
    <row r="280" customFormat="1" ht="15.75" x14ac:dyDescent="0.4"/>
    <row r="281" customFormat="1" ht="15.75" x14ac:dyDescent="0.4"/>
    <row r="282" customFormat="1" ht="15.75" x14ac:dyDescent="0.4"/>
    <row r="283" customFormat="1" ht="15.75" x14ac:dyDescent="0.4"/>
    <row r="284" customFormat="1" ht="15.75" x14ac:dyDescent="0.4"/>
    <row r="285" customFormat="1" ht="15.75" x14ac:dyDescent="0.4"/>
    <row r="286" customFormat="1" ht="15.75" x14ac:dyDescent="0.4"/>
    <row r="287" customFormat="1" ht="15.75" x14ac:dyDescent="0.4"/>
    <row r="288" customFormat="1" ht="15.75" x14ac:dyDescent="0.4"/>
    <row r="289" customFormat="1" ht="15.75" x14ac:dyDescent="0.4"/>
    <row r="290" customFormat="1" ht="15.75" x14ac:dyDescent="0.4"/>
    <row r="291" customFormat="1" ht="15.75" x14ac:dyDescent="0.4"/>
    <row r="292" customFormat="1" ht="15.75" x14ac:dyDescent="0.4"/>
    <row r="293" customFormat="1" ht="15.75" x14ac:dyDescent="0.4"/>
    <row r="294" customFormat="1" ht="15.75" x14ac:dyDescent="0.4"/>
    <row r="295" customFormat="1" ht="15.75" x14ac:dyDescent="0.4"/>
    <row r="296" customFormat="1" ht="15.75" x14ac:dyDescent="0.4"/>
    <row r="297" customFormat="1" ht="15.75" x14ac:dyDescent="0.4"/>
    <row r="298" customFormat="1" ht="15.75" x14ac:dyDescent="0.4"/>
    <row r="299" customFormat="1" ht="15.75" x14ac:dyDescent="0.4"/>
    <row r="300" customFormat="1" ht="15.75" x14ac:dyDescent="0.4"/>
    <row r="301" customFormat="1" ht="15.75" x14ac:dyDescent="0.4"/>
    <row r="302" customFormat="1" ht="15.75" x14ac:dyDescent="0.4"/>
    <row r="303" customFormat="1" ht="15.75" x14ac:dyDescent="0.4"/>
    <row r="304" customFormat="1" ht="15.75" x14ac:dyDescent="0.4"/>
    <row r="305" customFormat="1" ht="15.75" x14ac:dyDescent="0.4"/>
    <row r="306" customFormat="1" ht="15.75" x14ac:dyDescent="0.4"/>
    <row r="307" customFormat="1" ht="15.75" x14ac:dyDescent="0.4"/>
    <row r="308" customFormat="1" ht="15.75" x14ac:dyDescent="0.4"/>
    <row r="309" customFormat="1" ht="15.75" x14ac:dyDescent="0.4"/>
    <row r="310" customFormat="1" ht="15.75" x14ac:dyDescent="0.4"/>
    <row r="311" customFormat="1" ht="15.75" x14ac:dyDescent="0.4"/>
    <row r="312" customFormat="1" ht="15.75" x14ac:dyDescent="0.4"/>
    <row r="313" customFormat="1" ht="15.75" x14ac:dyDescent="0.4"/>
    <row r="314" customFormat="1" ht="15.75" x14ac:dyDescent="0.4"/>
    <row r="315" customFormat="1" ht="15.75" x14ac:dyDescent="0.4"/>
    <row r="316" customFormat="1" ht="15.75" x14ac:dyDescent="0.4"/>
    <row r="317" customFormat="1" ht="15.75" x14ac:dyDescent="0.4"/>
    <row r="318" customFormat="1" ht="15.75" x14ac:dyDescent="0.4"/>
    <row r="319" customFormat="1" ht="15.75" x14ac:dyDescent="0.4"/>
    <row r="320" customFormat="1" ht="15.75" x14ac:dyDescent="0.4"/>
    <row r="321" customFormat="1" ht="15.75" x14ac:dyDescent="0.4"/>
    <row r="322" customFormat="1" ht="15.75" x14ac:dyDescent="0.4"/>
    <row r="323" customFormat="1" ht="15.75" x14ac:dyDescent="0.4"/>
    <row r="324" customFormat="1" ht="15.75" x14ac:dyDescent="0.4"/>
    <row r="325" customFormat="1" ht="15.75" x14ac:dyDescent="0.4"/>
    <row r="326" customFormat="1" ht="15.75" x14ac:dyDescent="0.4"/>
    <row r="327" customFormat="1" ht="15.75" x14ac:dyDescent="0.4"/>
    <row r="328" customFormat="1" ht="15.75" x14ac:dyDescent="0.4"/>
    <row r="329" customFormat="1" ht="15.75" x14ac:dyDescent="0.4"/>
    <row r="330" customFormat="1" ht="15.75" x14ac:dyDescent="0.4"/>
    <row r="331" customFormat="1" ht="15.75" x14ac:dyDescent="0.4"/>
    <row r="332" customFormat="1" ht="15.75" x14ac:dyDescent="0.4"/>
    <row r="333" customFormat="1" ht="15.75" x14ac:dyDescent="0.4"/>
    <row r="334" customFormat="1" ht="15.75" x14ac:dyDescent="0.4"/>
    <row r="335" customFormat="1" ht="15.75" x14ac:dyDescent="0.4"/>
    <row r="336" customFormat="1" ht="15.75" x14ac:dyDescent="0.4"/>
    <row r="337" customFormat="1" ht="15.75" x14ac:dyDescent="0.4"/>
    <row r="338" customFormat="1" ht="15.75" x14ac:dyDescent="0.4"/>
    <row r="339" customFormat="1" ht="15.75" x14ac:dyDescent="0.4"/>
    <row r="340" customFormat="1" ht="15.75" x14ac:dyDescent="0.4"/>
    <row r="341" customFormat="1" ht="15.75" x14ac:dyDescent="0.4"/>
    <row r="342" customFormat="1" ht="15.75" x14ac:dyDescent="0.4"/>
    <row r="343" customFormat="1" ht="15.75" x14ac:dyDescent="0.4"/>
    <row r="344" customFormat="1" ht="15.75" x14ac:dyDescent="0.4"/>
    <row r="345" customFormat="1" ht="15.75" x14ac:dyDescent="0.4"/>
    <row r="346" customFormat="1" ht="15.75" x14ac:dyDescent="0.4"/>
    <row r="347" customFormat="1" ht="15.75" x14ac:dyDescent="0.4"/>
    <row r="348" customFormat="1" ht="15.75" x14ac:dyDescent="0.4"/>
    <row r="349" customFormat="1" ht="15.75" x14ac:dyDescent="0.4"/>
    <row r="350" customFormat="1" ht="15.75" x14ac:dyDescent="0.4"/>
    <row r="351" customFormat="1" ht="15.75" x14ac:dyDescent="0.4"/>
    <row r="352" customFormat="1" ht="15.75" x14ac:dyDescent="0.4"/>
    <row r="353" customFormat="1" ht="15.75" x14ac:dyDescent="0.4"/>
    <row r="354" customFormat="1" ht="15.75" x14ac:dyDescent="0.4"/>
    <row r="355" customFormat="1" ht="15.75" x14ac:dyDescent="0.4"/>
    <row r="356" customFormat="1" ht="15.75" x14ac:dyDescent="0.4"/>
    <row r="357" customFormat="1" ht="15.75" x14ac:dyDescent="0.4"/>
    <row r="358" customFormat="1" ht="15.75" x14ac:dyDescent="0.4"/>
    <row r="359" customFormat="1" ht="15.75" x14ac:dyDescent="0.4"/>
    <row r="360" customFormat="1" ht="15.75" x14ac:dyDescent="0.4"/>
    <row r="361" customFormat="1" ht="15.75" x14ac:dyDescent="0.4"/>
    <row r="362" customFormat="1" ht="15.75" x14ac:dyDescent="0.4"/>
    <row r="363" customFormat="1" ht="15.75" x14ac:dyDescent="0.4"/>
    <row r="364" customFormat="1" ht="15.75" x14ac:dyDescent="0.4"/>
    <row r="365" customFormat="1" ht="15.75" x14ac:dyDescent="0.4"/>
    <row r="366" customFormat="1" ht="15.75" x14ac:dyDescent="0.4"/>
    <row r="367" customFormat="1" ht="15.75" x14ac:dyDescent="0.4"/>
    <row r="368" customFormat="1" ht="15.75" x14ac:dyDescent="0.4"/>
    <row r="369" customFormat="1" ht="15.75" x14ac:dyDescent="0.4"/>
    <row r="370" customFormat="1" ht="15.75" x14ac:dyDescent="0.4"/>
    <row r="371" customFormat="1" ht="15.75" x14ac:dyDescent="0.4"/>
    <row r="372" customFormat="1" ht="15.75" x14ac:dyDescent="0.4"/>
    <row r="373" customFormat="1" ht="15.75" x14ac:dyDescent="0.4"/>
    <row r="374" customFormat="1" ht="15.75" x14ac:dyDescent="0.4"/>
    <row r="375" customFormat="1" ht="15.75" x14ac:dyDescent="0.4"/>
    <row r="376" customFormat="1" ht="15.75" x14ac:dyDescent="0.4"/>
    <row r="377" customFormat="1" ht="15.75" x14ac:dyDescent="0.4"/>
    <row r="378" customFormat="1" ht="15.75" x14ac:dyDescent="0.4"/>
    <row r="379" customFormat="1" ht="15.75" x14ac:dyDescent="0.4"/>
    <row r="380" customFormat="1" ht="15.75" x14ac:dyDescent="0.4"/>
    <row r="381" customFormat="1" ht="15.75" x14ac:dyDescent="0.4"/>
    <row r="382" customFormat="1" ht="15.75" x14ac:dyDescent="0.4"/>
    <row r="383" customFormat="1" ht="15.75" x14ac:dyDescent="0.4"/>
    <row r="384" customFormat="1" ht="15.75" x14ac:dyDescent="0.4"/>
    <row r="385" spans="2:3" customFormat="1" ht="15.75" x14ac:dyDescent="0.4"/>
    <row r="386" spans="2:3" customFormat="1" ht="15.75" x14ac:dyDescent="0.4"/>
    <row r="387" spans="2:3" customFormat="1" ht="15.75" x14ac:dyDescent="0.4"/>
    <row r="388" spans="2:3" customFormat="1" ht="15.75" x14ac:dyDescent="0.4"/>
    <row r="389" spans="2:3" customFormat="1" ht="15.75" x14ac:dyDescent="0.4"/>
    <row r="390" spans="2:3" customFormat="1" ht="15.75" x14ac:dyDescent="0.4"/>
    <row r="391" spans="2:3" customFormat="1" ht="15.75" x14ac:dyDescent="0.4"/>
    <row r="392" spans="2:3" customFormat="1" ht="15.75" x14ac:dyDescent="0.4">
      <c r="B392" s="2"/>
      <c r="C392" s="2"/>
    </row>
  </sheetData>
  <phoneticPr fontId="2" type="noConversion"/>
  <printOptions headings="1"/>
  <pageMargins left="0.75" right="0.75" top="1" bottom="1" header="0.5" footer="0.5"/>
  <pageSetup paperSize="9" orientation="portrait" horizontalDpi="4294967293" verticalDpi="4294967293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showGridLines="0" zoomScale="102" zoomScaleNormal="102" workbookViewId="0">
      <selection activeCell="N20" sqref="N20"/>
    </sheetView>
  </sheetViews>
  <sheetFormatPr defaultColWidth="9" defaultRowHeight="12.75" x14ac:dyDescent="0.3"/>
  <cols>
    <col min="1" max="16384" width="9" style="1"/>
  </cols>
  <sheetData/>
  <phoneticPr fontId="2" type="noConversion"/>
  <pageMargins left="0.75" right="0.75" top="1" bottom="1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3" name="Spinner 1">
              <controlPr defaultSize="0" autoPict="0">
                <anchor moveWithCells="1" sizeWithCells="1">
                  <from>
                    <xdr:col>2</xdr:col>
                    <xdr:colOff>395288</xdr:colOff>
                    <xdr:row>4</xdr:row>
                    <xdr:rowOff>57150</xdr:rowOff>
                  </from>
                  <to>
                    <xdr:col>2</xdr:col>
                    <xdr:colOff>642938</xdr:colOff>
                    <xdr:row>5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4" name="Spinner 3">
              <controlPr defaultSize="0" autoPict="0">
                <anchor moveWithCells="1" sizeWithCells="1">
                  <from>
                    <xdr:col>5</xdr:col>
                    <xdr:colOff>33338</xdr:colOff>
                    <xdr:row>4</xdr:row>
                    <xdr:rowOff>61913</xdr:rowOff>
                  </from>
                  <to>
                    <xdr:col>5</xdr:col>
                    <xdr:colOff>271463</xdr:colOff>
                    <xdr:row>5</xdr:row>
                    <xdr:rowOff>119063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例8-1</vt:lpstr>
      <vt:lpstr>订货周期策略库存量变化模型</vt:lpstr>
      <vt:lpstr>订货周期策略库存量变化图形</vt:lpstr>
      <vt:lpstr>订货量策略库存量变化模型</vt:lpstr>
      <vt:lpstr>订货量策略库存量变化图形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zlqfujitsu</dc:creator>
  <cp:lastModifiedBy>a77111</cp:lastModifiedBy>
  <cp:lastPrinted>2004-06-28T23:31:30Z</cp:lastPrinted>
  <dcterms:created xsi:type="dcterms:W3CDTF">1996-12-17T01:32:42Z</dcterms:created>
  <dcterms:modified xsi:type="dcterms:W3CDTF">2026-06-21T10:46:26Z</dcterms:modified>
</cp:coreProperties>
</file>