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yz\第5章例题答案 - 副本\"/>
    </mc:Choice>
  </mc:AlternateContent>
  <xr:revisionPtr revIDLastSave="0" documentId="13_ncr:1_{0ED73EF4-F685-4E94-8E4C-86DDB2A9A9EB}" xr6:coauthVersionLast="47" xr6:coauthVersionMax="47" xr10:uidLastSave="{00000000-0000-0000-0000-000000000000}"/>
  <bookViews>
    <workbookView xWindow="-120" yWindow="-120" windowWidth="15600" windowHeight="11160" activeTab="1" xr2:uid="{076714DA-B463-49A4-9685-FAE53C1E7158}"/>
  </bookViews>
  <sheets>
    <sheet name="例5-5" sheetId="1" r:id="rId1"/>
    <sheet name="季节指数模型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2" l="1"/>
  <c r="I15" i="2" l="1"/>
</calcChain>
</file>

<file path=xl/sharedStrings.xml><?xml version="1.0" encoding="utf-8"?>
<sst xmlns="http://schemas.openxmlformats.org/spreadsheetml/2006/main" count="179" uniqueCount="96">
  <si>
    <t>指标</t>
  </si>
  <si>
    <t>地区</t>
  </si>
  <si>
    <t>频度</t>
  </si>
  <si>
    <t>单位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</si>
  <si>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</si>
  <si>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</si>
  <si>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</si>
  <si>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</si>
  <si>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</si>
  <si>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</si>
  <si>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</si>
  <si>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</si>
  <si>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</si>
  <si>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</si>
  <si>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</si>
  <si>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</si>
  <si>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</si>
  <si>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</si>
  <si>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</si>
  <si>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</si>
  <si>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</si>
  <si>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</si>
  <si>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</si>
  <si>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</si>
  <si>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</si>
  <si>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</si>
  <si>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</si>
  <si>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</si>
  <si>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</si>
  <si>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</si>
  <si>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</si>
  <si>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</si>
  <si>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</si>
  <si>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</si>
  <si>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</si>
  <si>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</si>
  <si>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</si>
  <si>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</si>
  <si>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</si>
  <si>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</si>
  <si>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</si>
  <si>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</si>
  <si>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</si>
  <si>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</si>
  <si>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</si>
  <si>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</si>
  <si>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</si>
  <si>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</si>
  <si>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</si>
  <si>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</si>
  <si>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</si>
  <si>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</si>
  <si>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</si>
  <si>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</si>
  <si>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</si>
  <si>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</si>
  <si>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</si>
  <si>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</si>
  <si>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</si>
  <si>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</si>
  <si>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</si>
  <si>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</si>
  <si>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</si>
  <si>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</si>
  <si>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</si>
  <si>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</si>
  <si>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</si>
  <si>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</si>
  <si>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</si>
  <si>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</si>
  <si>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全国</t>
  </si>
  <si>
    <t>月</t>
  </si>
  <si>
    <t>亿千瓦时</t>
  </si>
  <si>
    <t>规模以上工业企业风力发电量_累计</t>
    <phoneticPr fontId="1" type="noConversion"/>
  </si>
  <si>
    <t>日期</t>
    <phoneticPr fontId="1" type="noConversion"/>
  </si>
  <si>
    <t>序号</t>
    <phoneticPr fontId="5" type="noConversion"/>
  </si>
  <si>
    <t>趋势值</t>
    <phoneticPr fontId="5" type="noConversion"/>
  </si>
  <si>
    <t>趋势预测值</t>
    <phoneticPr fontId="5" type="noConversion"/>
  </si>
  <si>
    <t>带季节成分的预测值</t>
    <phoneticPr fontId="5" type="noConversion"/>
  </si>
  <si>
    <t>季节指数</t>
    <phoneticPr fontId="5" type="noConversion"/>
  </si>
  <si>
    <t>2024-02</t>
    <phoneticPr fontId="1" type="noConversion"/>
  </si>
  <si>
    <t>2024-05</t>
  </si>
  <si>
    <t>2024-04</t>
    <phoneticPr fontId="1" type="noConversion"/>
  </si>
  <si>
    <t>2024-03</t>
    <phoneticPr fontId="1" type="noConversion"/>
  </si>
  <si>
    <t>2024-06</t>
  </si>
  <si>
    <t>2024-07</t>
  </si>
  <si>
    <t>2024-08</t>
  </si>
  <si>
    <t>2024-09</t>
  </si>
  <si>
    <t>2024-10</t>
  </si>
  <si>
    <t>2024-11</t>
  </si>
  <si>
    <t>2024-12</t>
  </si>
  <si>
    <t>月</t>
    <phoneticPr fontId="5" type="noConversion"/>
  </si>
  <si>
    <t>各月的平均值</t>
    <phoneticPr fontId="1" type="noConversion"/>
  </si>
  <si>
    <t>所有月的平均值</t>
    <phoneticPr fontId="1" type="noConversion"/>
  </si>
  <si>
    <t>r^2</t>
    <phoneticPr fontId="1" type="noConversion"/>
  </si>
  <si>
    <t>季节性模式的长度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</si>
</sst>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0" borderId="0" xfId="0" applyFont="1" applyAlignment="1"/>
    <xf numFmtId="0" fontId="4" fillId="3" borderId="5" xfId="0" applyFont="1" applyFill="1" applyBorder="1" applyAlignment="1">
      <alignment horizontal="center"/>
    </xf>
    <xf numFmtId="0" fontId="2" fillId="0" borderId="0" xfId="0" applyFont="1">
      <alignment vertical="center"/>
    </xf>
    <xf numFmtId="0" fontId="2" fillId="2" borderId="6" xfId="0" quotePrefix="1" applyFont="1" applyFill="1" applyBorder="1" applyAlignment="1">
      <alignment horizontal="center" vertical="center"/>
    </xf>
    <xf numFmtId="17" fontId="2" fillId="2" borderId="6" xfId="0" quotePrefix="1" applyNumberFormat="1" applyFont="1" applyFill="1" applyBorder="1" applyAlignment="1">
      <alignment horizontal="center" vertical="center"/>
    </xf>
    <xf numFmtId="0" fontId="2" fillId="2" borderId="7" xfId="0" quotePrefix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200"/>
              <a:t>规模以上工业企业风力发电量</a:t>
            </a:r>
            <a:r>
              <a:rPr lang="en-US" altLang="zh-CN" sz="1200"/>
              <a:t>_</a:t>
            </a:r>
            <a:r>
              <a:rPr lang="zh-CN" altLang="en-US" sz="1200"/>
              <a:t>累计值及预测值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观测值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季节指数模型!$A$2:$A$78</c:f>
              <c:strCache>
                <c:ptCount val="77"/>
                <c:pt idx="0">
                  <c:v>2018-02</c:v>
                </c:pt>
                <c:pt idx="1">
                  <c:v>2018-03</c:v>
                </c:pt>
                <c:pt idx="2">
                  <c:v>2018-04</c:v>
                </c:pt>
                <c:pt idx="3">
                  <c:v>2018-05</c:v>
                </c:pt>
                <c:pt idx="4">
                  <c:v>2018-06</c:v>
                </c:pt>
                <c:pt idx="5">
                  <c:v>2018-07</c:v>
                </c:pt>
                <c:pt idx="6">
                  <c:v>2018-08</c:v>
                </c:pt>
                <c:pt idx="7">
                  <c:v>2018-09</c:v>
                </c:pt>
                <c:pt idx="8">
                  <c:v>2018-10</c:v>
                </c:pt>
                <c:pt idx="9">
                  <c:v>2018-11</c:v>
                </c:pt>
                <c:pt idx="10">
                  <c:v>2018-12</c:v>
                </c:pt>
                <c:pt idx="11">
                  <c:v>2019-02</c:v>
                </c:pt>
                <c:pt idx="12">
                  <c:v>2019-03</c:v>
                </c:pt>
                <c:pt idx="13">
                  <c:v>2019-04</c:v>
                </c:pt>
                <c:pt idx="14">
                  <c:v>2019-05</c:v>
                </c:pt>
                <c:pt idx="15">
                  <c:v>2019-06</c:v>
                </c:pt>
                <c:pt idx="16">
                  <c:v>2019-07</c:v>
                </c:pt>
                <c:pt idx="17">
                  <c:v>2019-08</c:v>
                </c:pt>
                <c:pt idx="18">
                  <c:v>2019-09</c:v>
                </c:pt>
                <c:pt idx="19">
                  <c:v>2019-10</c:v>
                </c:pt>
                <c:pt idx="20">
                  <c:v>2019-11</c:v>
                </c:pt>
                <c:pt idx="21">
                  <c:v>2019-12</c:v>
                </c:pt>
                <c:pt idx="22">
                  <c:v>2020-02</c:v>
                </c:pt>
                <c:pt idx="23">
                  <c:v>2020-03</c:v>
                </c:pt>
                <c:pt idx="24">
                  <c:v>2020-04</c:v>
                </c:pt>
                <c:pt idx="25">
                  <c:v>2020-05</c:v>
                </c:pt>
                <c:pt idx="26">
                  <c:v>2020-06</c:v>
                </c:pt>
                <c:pt idx="27">
                  <c:v>2020-07</c:v>
                </c:pt>
                <c:pt idx="28">
                  <c:v>2020-08</c:v>
                </c:pt>
                <c:pt idx="29">
                  <c:v>2020-09</c:v>
                </c:pt>
                <c:pt idx="30">
                  <c:v>2020-10</c:v>
                </c:pt>
                <c:pt idx="31">
                  <c:v>2020-11</c:v>
                </c:pt>
                <c:pt idx="32">
                  <c:v>2020-12</c:v>
                </c:pt>
                <c:pt idx="33">
                  <c:v>2021-02</c:v>
                </c:pt>
                <c:pt idx="34">
                  <c:v>2021-03</c:v>
                </c:pt>
                <c:pt idx="35">
                  <c:v>2021-04</c:v>
                </c:pt>
                <c:pt idx="36">
                  <c:v>2021-05</c:v>
                </c:pt>
                <c:pt idx="37">
                  <c:v>2021-06</c:v>
                </c:pt>
                <c:pt idx="38">
                  <c:v>2021-07</c:v>
                </c:pt>
                <c:pt idx="39">
                  <c:v>2021-08</c:v>
                </c:pt>
                <c:pt idx="40">
                  <c:v>2021-09</c:v>
                </c:pt>
                <c:pt idx="41">
                  <c:v>2021-10</c:v>
                </c:pt>
                <c:pt idx="42">
                  <c:v>2021-11</c:v>
                </c:pt>
                <c:pt idx="43">
                  <c:v>2021-12</c:v>
                </c:pt>
                <c:pt idx="44">
                  <c:v>2022-02</c:v>
                </c:pt>
                <c:pt idx="45">
                  <c:v>2022-03</c:v>
                </c:pt>
                <c:pt idx="46">
                  <c:v>2022-04</c:v>
                </c:pt>
                <c:pt idx="47">
                  <c:v>2022-05</c:v>
                </c:pt>
                <c:pt idx="48">
                  <c:v>2022-06</c:v>
                </c:pt>
                <c:pt idx="49">
                  <c:v>2022-07</c:v>
                </c:pt>
                <c:pt idx="50">
                  <c:v>2022-08</c:v>
                </c:pt>
                <c:pt idx="51">
                  <c:v>2022-09</c:v>
                </c:pt>
                <c:pt idx="52">
                  <c:v>2022-10</c:v>
                </c:pt>
                <c:pt idx="53">
                  <c:v>2022-11</c:v>
                </c:pt>
                <c:pt idx="54">
                  <c:v>2022-12</c:v>
                </c:pt>
                <c:pt idx="55">
                  <c:v>2023-02</c:v>
                </c:pt>
                <c:pt idx="56">
                  <c:v>2023-03</c:v>
                </c:pt>
                <c:pt idx="57">
                  <c:v>2023-04</c:v>
                </c:pt>
                <c:pt idx="58">
                  <c:v>2023-05</c:v>
                </c:pt>
                <c:pt idx="59">
                  <c:v>2023-06</c:v>
                </c:pt>
                <c:pt idx="60">
                  <c:v>2023-07</c:v>
                </c:pt>
                <c:pt idx="61">
                  <c:v>2023-08</c:v>
                </c:pt>
                <c:pt idx="62">
                  <c:v>2023-09</c:v>
                </c:pt>
                <c:pt idx="63">
                  <c:v>2023-10</c:v>
                </c:pt>
                <c:pt idx="64">
                  <c:v>2023-11</c:v>
                </c:pt>
                <c:pt idx="65">
                  <c:v>2023-12</c:v>
                </c:pt>
                <c:pt idx="66">
                  <c:v>2024-02</c:v>
                </c:pt>
                <c:pt idx="67">
                  <c:v>2024-03</c:v>
                </c:pt>
                <c:pt idx="68">
                  <c:v>2024-04</c:v>
                </c:pt>
                <c:pt idx="69">
                  <c:v>2024-05</c:v>
                </c:pt>
                <c:pt idx="70">
                  <c:v>2024-06</c:v>
                </c:pt>
                <c:pt idx="71">
                  <c:v>2024-07</c:v>
                </c:pt>
                <c:pt idx="72">
                  <c:v>2024-08</c:v>
                </c:pt>
                <c:pt idx="73">
                  <c:v>2024-09</c:v>
                </c:pt>
                <c:pt idx="74">
                  <c:v>2024-10</c:v>
                </c:pt>
                <c:pt idx="75">
                  <c:v>2024-11</c:v>
                </c:pt>
                <c:pt idx="76">
                  <c:v>2024-12</c:v>
                </c:pt>
              </c:strCache>
            </c:strRef>
          </c:cat>
          <c:val>
            <c:numRef>
              <c:f>季节指数模型!$B$2:$B$67</c:f>
              <c:numCache>
                <c:formatCode>General</c:formatCode>
                <c:ptCount val="66"/>
                <c:pt idx="0">
                  <c:v>568.1</c:v>
                </c:pt>
                <c:pt idx="1">
                  <c:v>871.6</c:v>
                </c:pt>
                <c:pt idx="2">
                  <c:v>1197.2</c:v>
                </c:pt>
                <c:pt idx="3">
                  <c:v>1484.2</c:v>
                </c:pt>
                <c:pt idx="4">
                  <c:v>1712.5</c:v>
                </c:pt>
                <c:pt idx="5">
                  <c:v>1948.5</c:v>
                </c:pt>
                <c:pt idx="6">
                  <c:v>2128.6999999999998</c:v>
                </c:pt>
                <c:pt idx="7">
                  <c:v>2367.3000000000002</c:v>
                </c:pt>
                <c:pt idx="8">
                  <c:v>2624.5</c:v>
                </c:pt>
                <c:pt idx="9">
                  <c:v>2896.8</c:v>
                </c:pt>
                <c:pt idx="10">
                  <c:v>3253.2</c:v>
                </c:pt>
                <c:pt idx="11">
                  <c:v>571.70000000000005</c:v>
                </c:pt>
                <c:pt idx="12">
                  <c:v>915.5</c:v>
                </c:pt>
                <c:pt idx="13">
                  <c:v>1259.4000000000001</c:v>
                </c:pt>
                <c:pt idx="14">
                  <c:v>1615.3</c:v>
                </c:pt>
                <c:pt idx="15">
                  <c:v>1879.3</c:v>
                </c:pt>
                <c:pt idx="16">
                  <c:v>2107.8000000000002</c:v>
                </c:pt>
                <c:pt idx="17">
                  <c:v>2334.6999999999998</c:v>
                </c:pt>
                <c:pt idx="18">
                  <c:v>2566.4</c:v>
                </c:pt>
                <c:pt idx="19">
                  <c:v>2856.8</c:v>
                </c:pt>
                <c:pt idx="20">
                  <c:v>3204</c:v>
                </c:pt>
                <c:pt idx="21">
                  <c:v>3577.4</c:v>
                </c:pt>
                <c:pt idx="22">
                  <c:v>593.6</c:v>
                </c:pt>
                <c:pt idx="23">
                  <c:v>1022.4</c:v>
                </c:pt>
                <c:pt idx="24">
                  <c:v>1383</c:v>
                </c:pt>
                <c:pt idx="25">
                  <c:v>1786.2</c:v>
                </c:pt>
                <c:pt idx="26">
                  <c:v>2117</c:v>
                </c:pt>
                <c:pt idx="27">
                  <c:v>2406.1</c:v>
                </c:pt>
                <c:pt idx="28">
                  <c:v>2695.9</c:v>
                </c:pt>
                <c:pt idx="29">
                  <c:v>2971.9</c:v>
                </c:pt>
                <c:pt idx="30">
                  <c:v>3326.6</c:v>
                </c:pt>
                <c:pt idx="31">
                  <c:v>3731</c:v>
                </c:pt>
                <c:pt idx="32">
                  <c:v>4146</c:v>
                </c:pt>
                <c:pt idx="33">
                  <c:v>914.5</c:v>
                </c:pt>
                <c:pt idx="34">
                  <c:v>1400.6</c:v>
                </c:pt>
                <c:pt idx="35">
                  <c:v>1870</c:v>
                </c:pt>
                <c:pt idx="36">
                  <c:v>2382.3000000000002</c:v>
                </c:pt>
                <c:pt idx="37">
                  <c:v>2819.2</c:v>
                </c:pt>
                <c:pt idx="38">
                  <c:v>3293.9</c:v>
                </c:pt>
                <c:pt idx="39">
                  <c:v>3650.8</c:v>
                </c:pt>
                <c:pt idx="40">
                  <c:v>4025</c:v>
                </c:pt>
                <c:pt idx="41">
                  <c:v>4515</c:v>
                </c:pt>
                <c:pt idx="42">
                  <c:v>5066.1000000000004</c:v>
                </c:pt>
                <c:pt idx="43">
                  <c:v>5667</c:v>
                </c:pt>
                <c:pt idx="44">
                  <c:v>942.1</c:v>
                </c:pt>
                <c:pt idx="45">
                  <c:v>1627.4</c:v>
                </c:pt>
                <c:pt idx="46">
                  <c:v>2264.6999999999998</c:v>
                </c:pt>
                <c:pt idx="47">
                  <c:v>2876</c:v>
                </c:pt>
                <c:pt idx="48">
                  <c:v>3429.1</c:v>
                </c:pt>
                <c:pt idx="49">
                  <c:v>3904.7</c:v>
                </c:pt>
                <c:pt idx="50">
                  <c:v>4373.2</c:v>
                </c:pt>
                <c:pt idx="51">
                  <c:v>4870.8</c:v>
                </c:pt>
                <c:pt idx="52">
                  <c:v>5513.4</c:v>
                </c:pt>
                <c:pt idx="53">
                  <c:v>6144.82</c:v>
                </c:pt>
                <c:pt idx="54">
                  <c:v>6867.2</c:v>
                </c:pt>
                <c:pt idx="55">
                  <c:v>1336.84</c:v>
                </c:pt>
                <c:pt idx="56">
                  <c:v>2080.08</c:v>
                </c:pt>
                <c:pt idx="57">
                  <c:v>2909.3</c:v>
                </c:pt>
                <c:pt idx="58">
                  <c:v>3662.8</c:v>
                </c:pt>
                <c:pt idx="59">
                  <c:v>4246.4399999999996</c:v>
                </c:pt>
                <c:pt idx="60">
                  <c:v>4835.8999999999996</c:v>
                </c:pt>
                <c:pt idx="61">
                  <c:v>5308.39</c:v>
                </c:pt>
                <c:pt idx="62">
                  <c:v>5836.8</c:v>
                </c:pt>
                <c:pt idx="63">
                  <c:v>6424.3</c:v>
                </c:pt>
                <c:pt idx="64">
                  <c:v>7251.9</c:v>
                </c:pt>
                <c:pt idx="65">
                  <c:v>8090.5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73-4B80-A6BB-B4EF8FC1C7E7}"/>
            </c:ext>
          </c:extLst>
        </c:ser>
        <c:ser>
          <c:idx val="1"/>
          <c:order val="1"/>
          <c:tx>
            <c:v>预测值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季节指数模型!$A$2:$A$78</c:f>
              <c:strCache>
                <c:ptCount val="77"/>
                <c:pt idx="0">
                  <c:v>2018-02</c:v>
                </c:pt>
                <c:pt idx="1">
                  <c:v>2018-03</c:v>
                </c:pt>
                <c:pt idx="2">
                  <c:v>2018-04</c:v>
                </c:pt>
                <c:pt idx="3">
                  <c:v>2018-05</c:v>
                </c:pt>
                <c:pt idx="4">
                  <c:v>2018-06</c:v>
                </c:pt>
                <c:pt idx="5">
                  <c:v>2018-07</c:v>
                </c:pt>
                <c:pt idx="6">
                  <c:v>2018-08</c:v>
                </c:pt>
                <c:pt idx="7">
                  <c:v>2018-09</c:v>
                </c:pt>
                <c:pt idx="8">
                  <c:v>2018-10</c:v>
                </c:pt>
                <c:pt idx="9">
                  <c:v>2018-11</c:v>
                </c:pt>
                <c:pt idx="10">
                  <c:v>2018-12</c:v>
                </c:pt>
                <c:pt idx="11">
                  <c:v>2019-02</c:v>
                </c:pt>
                <c:pt idx="12">
                  <c:v>2019-03</c:v>
                </c:pt>
                <c:pt idx="13">
                  <c:v>2019-04</c:v>
                </c:pt>
                <c:pt idx="14">
                  <c:v>2019-05</c:v>
                </c:pt>
                <c:pt idx="15">
                  <c:v>2019-06</c:v>
                </c:pt>
                <c:pt idx="16">
                  <c:v>2019-07</c:v>
                </c:pt>
                <c:pt idx="17">
                  <c:v>2019-08</c:v>
                </c:pt>
                <c:pt idx="18">
                  <c:v>2019-09</c:v>
                </c:pt>
                <c:pt idx="19">
                  <c:v>2019-10</c:v>
                </c:pt>
                <c:pt idx="20">
                  <c:v>2019-11</c:v>
                </c:pt>
                <c:pt idx="21">
                  <c:v>2019-12</c:v>
                </c:pt>
                <c:pt idx="22">
                  <c:v>2020-02</c:v>
                </c:pt>
                <c:pt idx="23">
                  <c:v>2020-03</c:v>
                </c:pt>
                <c:pt idx="24">
                  <c:v>2020-04</c:v>
                </c:pt>
                <c:pt idx="25">
                  <c:v>2020-05</c:v>
                </c:pt>
                <c:pt idx="26">
                  <c:v>2020-06</c:v>
                </c:pt>
                <c:pt idx="27">
                  <c:v>2020-07</c:v>
                </c:pt>
                <c:pt idx="28">
                  <c:v>2020-08</c:v>
                </c:pt>
                <c:pt idx="29">
                  <c:v>2020-09</c:v>
                </c:pt>
                <c:pt idx="30">
                  <c:v>2020-10</c:v>
                </c:pt>
                <c:pt idx="31">
                  <c:v>2020-11</c:v>
                </c:pt>
                <c:pt idx="32">
                  <c:v>2020-12</c:v>
                </c:pt>
                <c:pt idx="33">
                  <c:v>2021-02</c:v>
                </c:pt>
                <c:pt idx="34">
                  <c:v>2021-03</c:v>
                </c:pt>
                <c:pt idx="35">
                  <c:v>2021-04</c:v>
                </c:pt>
                <c:pt idx="36">
                  <c:v>2021-05</c:v>
                </c:pt>
                <c:pt idx="37">
                  <c:v>2021-06</c:v>
                </c:pt>
                <c:pt idx="38">
                  <c:v>2021-07</c:v>
                </c:pt>
                <c:pt idx="39">
                  <c:v>2021-08</c:v>
                </c:pt>
                <c:pt idx="40">
                  <c:v>2021-09</c:v>
                </c:pt>
                <c:pt idx="41">
                  <c:v>2021-10</c:v>
                </c:pt>
                <c:pt idx="42">
                  <c:v>2021-11</c:v>
                </c:pt>
                <c:pt idx="43">
                  <c:v>2021-12</c:v>
                </c:pt>
                <c:pt idx="44">
                  <c:v>2022-02</c:v>
                </c:pt>
                <c:pt idx="45">
                  <c:v>2022-03</c:v>
                </c:pt>
                <c:pt idx="46">
                  <c:v>2022-04</c:v>
                </c:pt>
                <c:pt idx="47">
                  <c:v>2022-05</c:v>
                </c:pt>
                <c:pt idx="48">
                  <c:v>2022-06</c:v>
                </c:pt>
                <c:pt idx="49">
                  <c:v>2022-07</c:v>
                </c:pt>
                <c:pt idx="50">
                  <c:v>2022-08</c:v>
                </c:pt>
                <c:pt idx="51">
                  <c:v>2022-09</c:v>
                </c:pt>
                <c:pt idx="52">
                  <c:v>2022-10</c:v>
                </c:pt>
                <c:pt idx="53">
                  <c:v>2022-11</c:v>
                </c:pt>
                <c:pt idx="54">
                  <c:v>2022-12</c:v>
                </c:pt>
                <c:pt idx="55">
                  <c:v>2023-02</c:v>
                </c:pt>
                <c:pt idx="56">
                  <c:v>2023-03</c:v>
                </c:pt>
                <c:pt idx="57">
                  <c:v>2023-04</c:v>
                </c:pt>
                <c:pt idx="58">
                  <c:v>2023-05</c:v>
                </c:pt>
                <c:pt idx="59">
                  <c:v>2023-06</c:v>
                </c:pt>
                <c:pt idx="60">
                  <c:v>2023-07</c:v>
                </c:pt>
                <c:pt idx="61">
                  <c:v>2023-08</c:v>
                </c:pt>
                <c:pt idx="62">
                  <c:v>2023-09</c:v>
                </c:pt>
                <c:pt idx="63">
                  <c:v>2023-10</c:v>
                </c:pt>
                <c:pt idx="64">
                  <c:v>2023-11</c:v>
                </c:pt>
                <c:pt idx="65">
                  <c:v>2023-12</c:v>
                </c:pt>
                <c:pt idx="66">
                  <c:v>2024-02</c:v>
                </c:pt>
                <c:pt idx="67">
                  <c:v>2024-03</c:v>
                </c:pt>
                <c:pt idx="68">
                  <c:v>2024-04</c:v>
                </c:pt>
                <c:pt idx="69">
                  <c:v>2024-05</c:v>
                </c:pt>
                <c:pt idx="70">
                  <c:v>2024-06</c:v>
                </c:pt>
                <c:pt idx="71">
                  <c:v>2024-07</c:v>
                </c:pt>
                <c:pt idx="72">
                  <c:v>2024-08</c:v>
                </c:pt>
                <c:pt idx="73">
                  <c:v>2024-09</c:v>
                </c:pt>
                <c:pt idx="74">
                  <c:v>2024-10</c:v>
                </c:pt>
                <c:pt idx="75">
                  <c:v>2024-11</c:v>
                </c:pt>
                <c:pt idx="76">
                  <c:v>2024-12</c:v>
                </c:pt>
              </c:strCache>
            </c:strRef>
          </c:cat>
          <c:val>
            <c:numRef>
              <c:f>季节指数模型!$F$2:$F$78</c:f>
              <c:numCache>
                <c:formatCode>General</c:formatCode>
                <c:ptCount val="7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73-4B80-A6BB-B4EF8FC1C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4149728"/>
        <c:axId val="1984140608"/>
      </c:lineChart>
      <c:catAx>
        <c:axId val="198414972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84140608"/>
        <c:crosses val="autoZero"/>
        <c:auto val="1"/>
        <c:lblAlgn val="ctr"/>
        <c:lblOffset val="100"/>
        <c:noMultiLvlLbl val="0"/>
      </c:catAx>
      <c:valAx>
        <c:axId val="1984140608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84149728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规模以上工业企业风力发电量</a:t>
            </a: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_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累计值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2018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季节指数模型!$B$2:$B$12</c:f>
              <c:numCache>
                <c:formatCode>General</c:formatCode>
                <c:ptCount val="11"/>
                <c:pt idx="0">
                  <c:v>568.1</c:v>
                </c:pt>
                <c:pt idx="1">
                  <c:v>871.6</c:v>
                </c:pt>
                <c:pt idx="2">
                  <c:v>1197.2</c:v>
                </c:pt>
                <c:pt idx="3">
                  <c:v>1484.2</c:v>
                </c:pt>
                <c:pt idx="4">
                  <c:v>1712.5</c:v>
                </c:pt>
                <c:pt idx="5">
                  <c:v>1948.5</c:v>
                </c:pt>
                <c:pt idx="6">
                  <c:v>2128.6999999999998</c:v>
                </c:pt>
                <c:pt idx="7">
                  <c:v>2367.3000000000002</c:v>
                </c:pt>
                <c:pt idx="8">
                  <c:v>2624.5</c:v>
                </c:pt>
                <c:pt idx="9">
                  <c:v>2896.8</c:v>
                </c:pt>
                <c:pt idx="10">
                  <c:v>3253.2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B7-4470-B99F-3D295EAD0B0C}"/>
            </c:ext>
          </c:extLst>
        </c:ser>
        <c:ser>
          <c:idx val="1"/>
          <c:order val="1"/>
          <c:tx>
            <c:v>2019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季节指数模型!$B$13:$B$23</c:f>
              <c:numCache>
                <c:formatCode>General</c:formatCode>
                <c:ptCount val="11"/>
                <c:pt idx="0">
                  <c:v>571.70000000000005</c:v>
                </c:pt>
                <c:pt idx="1">
                  <c:v>915.5</c:v>
                </c:pt>
                <c:pt idx="2">
                  <c:v>1259.4000000000001</c:v>
                </c:pt>
                <c:pt idx="3">
                  <c:v>1615.3</c:v>
                </c:pt>
                <c:pt idx="4">
                  <c:v>1879.3</c:v>
                </c:pt>
                <c:pt idx="5">
                  <c:v>2107.8000000000002</c:v>
                </c:pt>
                <c:pt idx="6">
                  <c:v>2334.6999999999998</c:v>
                </c:pt>
                <c:pt idx="7">
                  <c:v>2566.4</c:v>
                </c:pt>
                <c:pt idx="8">
                  <c:v>2856.8</c:v>
                </c:pt>
                <c:pt idx="9">
                  <c:v>3204</c:v>
                </c:pt>
                <c:pt idx="10">
                  <c:v>3577.4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B7-4470-B99F-3D295EAD0B0C}"/>
            </c:ext>
          </c:extLst>
        </c:ser>
        <c:ser>
          <c:idx val="2"/>
          <c:order val="2"/>
          <c:tx>
            <c:v>2020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季节指数模型!$B$24:$B$33</c:f>
              <c:numCache>
                <c:formatCode>General</c:formatCode>
                <c:ptCount val="10"/>
                <c:pt idx="0">
                  <c:v>593.6</c:v>
                </c:pt>
                <c:pt idx="1">
                  <c:v>1022.4</c:v>
                </c:pt>
                <c:pt idx="2">
                  <c:v>1383</c:v>
                </c:pt>
                <c:pt idx="3">
                  <c:v>1786.2</c:v>
                </c:pt>
                <c:pt idx="4">
                  <c:v>2117</c:v>
                </c:pt>
                <c:pt idx="5">
                  <c:v>2406.1</c:v>
                </c:pt>
                <c:pt idx="6">
                  <c:v>2695.9</c:v>
                </c:pt>
                <c:pt idx="7">
                  <c:v>2971.9</c:v>
                </c:pt>
                <c:pt idx="8">
                  <c:v>3326.6</c:v>
                </c:pt>
                <c:pt idx="9">
                  <c:v>3731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B7-4470-B99F-3D295EAD0B0C}"/>
            </c:ext>
          </c:extLst>
        </c:ser>
        <c:ser>
          <c:idx val="3"/>
          <c:order val="3"/>
          <c:tx>
            <c:v>2021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季节指数模型!$B$35:$B$45</c:f>
              <c:numCache>
                <c:formatCode>General</c:formatCode>
                <c:ptCount val="11"/>
                <c:pt idx="0">
                  <c:v>914.5</c:v>
                </c:pt>
                <c:pt idx="1">
                  <c:v>1400.6</c:v>
                </c:pt>
                <c:pt idx="2">
                  <c:v>1870</c:v>
                </c:pt>
                <c:pt idx="3">
                  <c:v>2382.3000000000002</c:v>
                </c:pt>
                <c:pt idx="4">
                  <c:v>2819.2</c:v>
                </c:pt>
                <c:pt idx="5">
                  <c:v>3293.9</c:v>
                </c:pt>
                <c:pt idx="6">
                  <c:v>3650.8</c:v>
                </c:pt>
                <c:pt idx="7">
                  <c:v>4025</c:v>
                </c:pt>
                <c:pt idx="8">
                  <c:v>4515</c:v>
                </c:pt>
                <c:pt idx="9">
                  <c:v>5066.1000000000004</c:v>
                </c:pt>
                <c:pt idx="10">
                  <c:v>5667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B7-4470-B99F-3D295EAD0B0C}"/>
            </c:ext>
          </c:extLst>
        </c:ser>
        <c:ser>
          <c:idx val="4"/>
          <c:order val="4"/>
          <c:tx>
            <c:v>2022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季节指数模型!$B$46:$B$56</c:f>
              <c:numCache>
                <c:formatCode>General</c:formatCode>
                <c:ptCount val="11"/>
                <c:pt idx="0">
                  <c:v>942.1</c:v>
                </c:pt>
                <c:pt idx="1">
                  <c:v>1627.4</c:v>
                </c:pt>
                <c:pt idx="2">
                  <c:v>2264.6999999999998</c:v>
                </c:pt>
                <c:pt idx="3">
                  <c:v>2876</c:v>
                </c:pt>
                <c:pt idx="4">
                  <c:v>3429.1</c:v>
                </c:pt>
                <c:pt idx="5">
                  <c:v>3904.7</c:v>
                </c:pt>
                <c:pt idx="6">
                  <c:v>4373.2</c:v>
                </c:pt>
                <c:pt idx="7">
                  <c:v>4870.8</c:v>
                </c:pt>
                <c:pt idx="8">
                  <c:v>5513.4</c:v>
                </c:pt>
                <c:pt idx="9">
                  <c:v>6144.82</c:v>
                </c:pt>
                <c:pt idx="10">
                  <c:v>6867.2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CB7-4470-B99F-3D295EAD0B0C}"/>
            </c:ext>
          </c:extLst>
        </c:ser>
        <c:ser>
          <c:idx val="5"/>
          <c:order val="5"/>
          <c:tx>
            <c:v>2023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季节指数模型!$B$57:$B$67</c:f>
              <c:numCache>
                <c:formatCode>General</c:formatCode>
                <c:ptCount val="11"/>
                <c:pt idx="0">
                  <c:v>1336.84</c:v>
                </c:pt>
                <c:pt idx="1">
                  <c:v>2080.08</c:v>
                </c:pt>
                <c:pt idx="2">
                  <c:v>2909.3</c:v>
                </c:pt>
                <c:pt idx="3">
                  <c:v>3662.8</c:v>
                </c:pt>
                <c:pt idx="4">
                  <c:v>4246.4399999999996</c:v>
                </c:pt>
                <c:pt idx="5">
                  <c:v>4835.8999999999996</c:v>
                </c:pt>
                <c:pt idx="6">
                  <c:v>5308.39</c:v>
                </c:pt>
                <c:pt idx="7">
                  <c:v>5836.8</c:v>
                </c:pt>
                <c:pt idx="8">
                  <c:v>6424.3</c:v>
                </c:pt>
                <c:pt idx="9">
                  <c:v>7251.9</c:v>
                </c:pt>
                <c:pt idx="10">
                  <c:v>8090.5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CB7-4470-B99F-3D295EAD0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6520688"/>
        <c:axId val="1986542768"/>
      </c:lineChart>
      <c:catAx>
        <c:axId val="1986520688"/>
        <c:scaling>
          <c:orientation val="minMax"/>
        </c:scaling>
        <c:delete val="0"/>
        <c:axPos val="b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86542768"/>
        <c:crosses val="autoZero"/>
        <c:auto val="1"/>
        <c:lblAlgn val="ctr"/>
        <c:lblOffset val="100"/>
        <c:noMultiLvlLbl val="0"/>
      </c:catAx>
      <c:valAx>
        <c:axId val="1986542768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86520688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规模以上工业企业风力发电量</a:t>
            </a: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_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累计值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季节指数模型!$A$2:$A$67</c:f>
              <c:strCache>
                <c:ptCount val="66"/>
                <c:pt idx="0">
                  <c:v>2018-02</c:v>
                </c:pt>
                <c:pt idx="1">
                  <c:v>2018-03</c:v>
                </c:pt>
                <c:pt idx="2">
                  <c:v>2018-04</c:v>
                </c:pt>
                <c:pt idx="3">
                  <c:v>2018-05</c:v>
                </c:pt>
                <c:pt idx="4">
                  <c:v>2018-06</c:v>
                </c:pt>
                <c:pt idx="5">
                  <c:v>2018-07</c:v>
                </c:pt>
                <c:pt idx="6">
                  <c:v>2018-08</c:v>
                </c:pt>
                <c:pt idx="7">
                  <c:v>2018-09</c:v>
                </c:pt>
                <c:pt idx="8">
                  <c:v>2018-10</c:v>
                </c:pt>
                <c:pt idx="9">
                  <c:v>2018-11</c:v>
                </c:pt>
                <c:pt idx="10">
                  <c:v>2018-12</c:v>
                </c:pt>
                <c:pt idx="11">
                  <c:v>2019-02</c:v>
                </c:pt>
                <c:pt idx="12">
                  <c:v>2019-03</c:v>
                </c:pt>
                <c:pt idx="13">
                  <c:v>2019-04</c:v>
                </c:pt>
                <c:pt idx="14">
                  <c:v>2019-05</c:v>
                </c:pt>
                <c:pt idx="15">
                  <c:v>2019-06</c:v>
                </c:pt>
                <c:pt idx="16">
                  <c:v>2019-07</c:v>
                </c:pt>
                <c:pt idx="17">
                  <c:v>2019-08</c:v>
                </c:pt>
                <c:pt idx="18">
                  <c:v>2019-09</c:v>
                </c:pt>
                <c:pt idx="19">
                  <c:v>2019-10</c:v>
                </c:pt>
                <c:pt idx="20">
                  <c:v>2019-11</c:v>
                </c:pt>
                <c:pt idx="21">
                  <c:v>2019-12</c:v>
                </c:pt>
                <c:pt idx="22">
                  <c:v>2020-02</c:v>
                </c:pt>
                <c:pt idx="23">
                  <c:v>2020-03</c:v>
                </c:pt>
                <c:pt idx="24">
                  <c:v>2020-04</c:v>
                </c:pt>
                <c:pt idx="25">
                  <c:v>2020-05</c:v>
                </c:pt>
                <c:pt idx="26">
                  <c:v>2020-06</c:v>
                </c:pt>
                <c:pt idx="27">
                  <c:v>2020-07</c:v>
                </c:pt>
                <c:pt idx="28">
                  <c:v>2020-08</c:v>
                </c:pt>
                <c:pt idx="29">
                  <c:v>2020-09</c:v>
                </c:pt>
                <c:pt idx="30">
                  <c:v>2020-10</c:v>
                </c:pt>
                <c:pt idx="31">
                  <c:v>2020-11</c:v>
                </c:pt>
                <c:pt idx="32">
                  <c:v>2020-12</c:v>
                </c:pt>
                <c:pt idx="33">
                  <c:v>2021-02</c:v>
                </c:pt>
                <c:pt idx="34">
                  <c:v>2021-03</c:v>
                </c:pt>
                <c:pt idx="35">
                  <c:v>2021-04</c:v>
                </c:pt>
                <c:pt idx="36">
                  <c:v>2021-05</c:v>
                </c:pt>
                <c:pt idx="37">
                  <c:v>2021-06</c:v>
                </c:pt>
                <c:pt idx="38">
                  <c:v>2021-07</c:v>
                </c:pt>
                <c:pt idx="39">
                  <c:v>2021-08</c:v>
                </c:pt>
                <c:pt idx="40">
                  <c:v>2021-09</c:v>
                </c:pt>
                <c:pt idx="41">
                  <c:v>2021-10</c:v>
                </c:pt>
                <c:pt idx="42">
                  <c:v>2021-11</c:v>
                </c:pt>
                <c:pt idx="43">
                  <c:v>2021-12</c:v>
                </c:pt>
                <c:pt idx="44">
                  <c:v>2022-02</c:v>
                </c:pt>
                <c:pt idx="45">
                  <c:v>2022-03</c:v>
                </c:pt>
                <c:pt idx="46">
                  <c:v>2022-04</c:v>
                </c:pt>
                <c:pt idx="47">
                  <c:v>2022-05</c:v>
                </c:pt>
                <c:pt idx="48">
                  <c:v>2022-06</c:v>
                </c:pt>
                <c:pt idx="49">
                  <c:v>2022-07</c:v>
                </c:pt>
                <c:pt idx="50">
                  <c:v>2022-08</c:v>
                </c:pt>
                <c:pt idx="51">
                  <c:v>2022-09</c:v>
                </c:pt>
                <c:pt idx="52">
                  <c:v>2022-10</c:v>
                </c:pt>
                <c:pt idx="53">
                  <c:v>2022-11</c:v>
                </c:pt>
                <c:pt idx="54">
                  <c:v>2022-12</c:v>
                </c:pt>
                <c:pt idx="55">
                  <c:v>2023-02</c:v>
                </c:pt>
                <c:pt idx="56">
                  <c:v>2023-03</c:v>
                </c:pt>
                <c:pt idx="57">
                  <c:v>2023-04</c:v>
                </c:pt>
                <c:pt idx="58">
                  <c:v>2023-05</c:v>
                </c:pt>
                <c:pt idx="59">
                  <c:v>2023-06</c:v>
                </c:pt>
                <c:pt idx="60">
                  <c:v>2023-07</c:v>
                </c:pt>
                <c:pt idx="61">
                  <c:v>2023-08</c:v>
                </c:pt>
                <c:pt idx="62">
                  <c:v>2023-09</c:v>
                </c:pt>
                <c:pt idx="63">
                  <c:v>2023-10</c:v>
                </c:pt>
                <c:pt idx="64">
                  <c:v>2023-11</c:v>
                </c:pt>
                <c:pt idx="65">
                  <c:v>2023-12</c:v>
                </c:pt>
              </c:strCache>
            </c:strRef>
          </c:cat>
          <c:val>
            <c:numRef>
              <c:f>季节指数模型!$B$2:$B$67</c:f>
              <c:numCache>
                <c:formatCode>General</c:formatCode>
                <c:ptCount val="66"/>
                <c:pt idx="0">
                  <c:v>568.1</c:v>
                </c:pt>
                <c:pt idx="1">
                  <c:v>871.6</c:v>
                </c:pt>
                <c:pt idx="2">
                  <c:v>1197.2</c:v>
                </c:pt>
                <c:pt idx="3">
                  <c:v>1484.2</c:v>
                </c:pt>
                <c:pt idx="4">
                  <c:v>1712.5</c:v>
                </c:pt>
                <c:pt idx="5">
                  <c:v>1948.5</c:v>
                </c:pt>
                <c:pt idx="6">
                  <c:v>2128.6999999999998</c:v>
                </c:pt>
                <c:pt idx="7">
                  <c:v>2367.3000000000002</c:v>
                </c:pt>
                <c:pt idx="8">
                  <c:v>2624.5</c:v>
                </c:pt>
                <c:pt idx="9">
                  <c:v>2896.8</c:v>
                </c:pt>
                <c:pt idx="10">
                  <c:v>3253.2</c:v>
                </c:pt>
                <c:pt idx="11">
                  <c:v>571.70000000000005</c:v>
                </c:pt>
                <c:pt idx="12">
                  <c:v>915.5</c:v>
                </c:pt>
                <c:pt idx="13">
                  <c:v>1259.4000000000001</c:v>
                </c:pt>
                <c:pt idx="14">
                  <c:v>1615.3</c:v>
                </c:pt>
                <c:pt idx="15">
                  <c:v>1879.3</c:v>
                </c:pt>
                <c:pt idx="16">
                  <c:v>2107.8000000000002</c:v>
                </c:pt>
                <c:pt idx="17">
                  <c:v>2334.6999999999998</c:v>
                </c:pt>
                <c:pt idx="18">
                  <c:v>2566.4</c:v>
                </c:pt>
                <c:pt idx="19">
                  <c:v>2856.8</c:v>
                </c:pt>
                <c:pt idx="20">
                  <c:v>3204</c:v>
                </c:pt>
                <c:pt idx="21">
                  <c:v>3577.4</c:v>
                </c:pt>
                <c:pt idx="22">
                  <c:v>593.6</c:v>
                </c:pt>
                <c:pt idx="23">
                  <c:v>1022.4</c:v>
                </c:pt>
                <c:pt idx="24">
                  <c:v>1383</c:v>
                </c:pt>
                <c:pt idx="25">
                  <c:v>1786.2</c:v>
                </c:pt>
                <c:pt idx="26">
                  <c:v>2117</c:v>
                </c:pt>
                <c:pt idx="27">
                  <c:v>2406.1</c:v>
                </c:pt>
                <c:pt idx="28">
                  <c:v>2695.9</c:v>
                </c:pt>
                <c:pt idx="29">
                  <c:v>2971.9</c:v>
                </c:pt>
                <c:pt idx="30">
                  <c:v>3326.6</c:v>
                </c:pt>
                <c:pt idx="31">
                  <c:v>3731</c:v>
                </c:pt>
                <c:pt idx="32">
                  <c:v>4146</c:v>
                </c:pt>
                <c:pt idx="33">
                  <c:v>914.5</c:v>
                </c:pt>
                <c:pt idx="34">
                  <c:v>1400.6</c:v>
                </c:pt>
                <c:pt idx="35">
                  <c:v>1870</c:v>
                </c:pt>
                <c:pt idx="36">
                  <c:v>2382.3000000000002</c:v>
                </c:pt>
                <c:pt idx="37">
                  <c:v>2819.2</c:v>
                </c:pt>
                <c:pt idx="38">
                  <c:v>3293.9</c:v>
                </c:pt>
                <c:pt idx="39">
                  <c:v>3650.8</c:v>
                </c:pt>
                <c:pt idx="40">
                  <c:v>4025</c:v>
                </c:pt>
                <c:pt idx="41">
                  <c:v>4515</c:v>
                </c:pt>
                <c:pt idx="42">
                  <c:v>5066.1000000000004</c:v>
                </c:pt>
                <c:pt idx="43">
                  <c:v>5667</c:v>
                </c:pt>
                <c:pt idx="44">
                  <c:v>942.1</c:v>
                </c:pt>
                <c:pt idx="45">
                  <c:v>1627.4</c:v>
                </c:pt>
                <c:pt idx="46">
                  <c:v>2264.6999999999998</c:v>
                </c:pt>
                <c:pt idx="47">
                  <c:v>2876</c:v>
                </c:pt>
                <c:pt idx="48">
                  <c:v>3429.1</c:v>
                </c:pt>
                <c:pt idx="49">
                  <c:v>3904.7</c:v>
                </c:pt>
                <c:pt idx="50">
                  <c:v>4373.2</c:v>
                </c:pt>
                <c:pt idx="51">
                  <c:v>4870.8</c:v>
                </c:pt>
                <c:pt idx="52">
                  <c:v>5513.4</c:v>
                </c:pt>
                <c:pt idx="53">
                  <c:v>6144.82</c:v>
                </c:pt>
                <c:pt idx="54">
                  <c:v>6867.2</c:v>
                </c:pt>
                <c:pt idx="55">
                  <c:v>1336.84</c:v>
                </c:pt>
                <c:pt idx="56">
                  <c:v>2080.08</c:v>
                </c:pt>
                <c:pt idx="57">
                  <c:v>2909.3</c:v>
                </c:pt>
                <c:pt idx="58">
                  <c:v>3662.8</c:v>
                </c:pt>
                <c:pt idx="59">
                  <c:v>4246.4399999999996</c:v>
                </c:pt>
                <c:pt idx="60">
                  <c:v>4835.8999999999996</c:v>
                </c:pt>
                <c:pt idx="61">
                  <c:v>5308.39</c:v>
                </c:pt>
                <c:pt idx="62">
                  <c:v>5836.8</c:v>
                </c:pt>
                <c:pt idx="63">
                  <c:v>6424.3</c:v>
                </c:pt>
                <c:pt idx="64">
                  <c:v>7251.9</c:v>
                </c:pt>
                <c:pt idx="65">
                  <c:v>8090.5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9C-4557-AD2A-C0D362585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527264"/>
        <c:axId val="163533504"/>
      </c:lineChart>
      <c:catAx>
        <c:axId val="1635272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3533504"/>
        <c:crosses val="autoZero"/>
        <c:auto val="1"/>
        <c:lblAlgn val="ctr"/>
        <c:lblOffset val="100"/>
        <c:noMultiLvlLbl val="0"/>
      </c:catAx>
      <c:valAx>
        <c:axId val="163533504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3527264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</xdr:colOff>
      <xdr:row>2</xdr:row>
      <xdr:rowOff>9527</xdr:rowOff>
    </xdr:from>
    <xdr:to>
      <xdr:col>13</xdr:col>
      <xdr:colOff>25400</xdr:colOff>
      <xdr:row>7</xdr:row>
      <xdr:rowOff>25400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6C743AB4-DEBD-7561-6CD3-0EA1156736D4}"/>
            </a:ext>
          </a:extLst>
        </xdr:cNvPr>
        <xdr:cNvSpPr txBox="1"/>
      </xdr:nvSpPr>
      <xdr:spPr>
        <a:xfrm>
          <a:off x="8416925" y="365127"/>
          <a:ext cx="3971925" cy="9048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【例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5-5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】根据中经网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2018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月至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2023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月的规模以上工业企业风力发电量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_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累计数据如图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5-28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所示，预测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月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-12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月的估计值。</a:t>
          </a:r>
        </a:p>
        <a:p>
          <a:endParaRPr lang="zh-CN" altLang="en-US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223836</xdr:colOff>
      <xdr:row>2</xdr:row>
      <xdr:rowOff>161925</xdr:rowOff>
    </xdr:from>
    <xdr:to>
      <xdr:col>18</xdr:col>
      <xdr:colOff>285749</xdr:colOff>
      <xdr:row>18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E283808-7394-30CB-723B-6FA3C5FBBB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190500</xdr:colOff>
      <xdr:row>20</xdr:row>
      <xdr:rowOff>123825</xdr:rowOff>
    </xdr:from>
    <xdr:to>
      <xdr:col>17</xdr:col>
      <xdr:colOff>647700</xdr:colOff>
      <xdr:row>35</xdr:row>
      <xdr:rowOff>152400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C1A9C3B-2CDC-6798-DB0D-AD40AA4E87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180974</xdr:colOff>
      <xdr:row>38</xdr:row>
      <xdr:rowOff>109537</xdr:rowOff>
    </xdr:from>
    <xdr:to>
      <xdr:col>18</xdr:col>
      <xdr:colOff>47625</xdr:colOff>
      <xdr:row>53</xdr:row>
      <xdr:rowOff>138112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1C547586-1BC3-62ED-CCB7-D7A0303F1F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9A45C-E256-482E-BBF7-C8B76E17DB94}">
  <dimension ref="A1:F26"/>
  <sheetViews>
    <sheetView workbookViewId="0">
      <selection activeCell="J13" sqref="J13"/>
    </sheetView>
  </sheetViews>
  <sheetFormatPr defaultRowHeight="14.25" x14ac:dyDescent="0.2"/>
  <cols>
    <col min="1" max="1" width="7.25" style="1" customWidth="1"/>
    <col min="2" max="2" width="26.375" style="1" customWidth="1"/>
    <col min="3" max="3" width="7.625" bestFit="1" customWidth="1"/>
    <col min="4" max="4" width="26.625" customWidth="1"/>
    <col min="5" max="5" width="7.625" bestFit="1" customWidth="1"/>
    <col min="6" max="6" width="26.25" customWidth="1"/>
  </cols>
  <sheetData>
    <row r="1" spans="1:6" x14ac:dyDescent="0.2">
      <c r="A1" s="2" t="s">
        <v>0</v>
      </c>
      <c r="B1" s="2" t="s">
        <v>73</v>
      </c>
      <c r="C1" s="2" t="s">
        <v>0</v>
      </c>
      <c r="D1" s="2" t="s">
        <v>73</v>
      </c>
      <c r="E1" s="2" t="s">
        <v>0</v>
      </c>
      <c r="F1" s="2" t="s">
        <v>73</v>
      </c>
    </row>
    <row r="2" spans="1:6" x14ac:dyDescent="0.2">
      <c r="A2" s="2" t="s">
        <v>1</v>
      </c>
      <c r="B2" s="2" t="s">
        <v>70</v>
      </c>
      <c r="C2" s="2" t="s">
        <v>1</v>
      </c>
      <c r="D2" s="2" t="s">
        <v>70</v>
      </c>
      <c r="E2" s="2" t="s">
        <v>1</v>
      </c>
      <c r="F2" s="2" t="s">
        <v>70</v>
      </c>
    </row>
    <row r="3" spans="1:6" x14ac:dyDescent="0.2">
      <c r="A3" s="2" t="s">
        <v>2</v>
      </c>
      <c r="B3" s="2" t="s">
        <v>71</v>
      </c>
      <c r="C3" s="2" t="s">
        <v>2</v>
      </c>
      <c r="D3" s="2" t="s">
        <v>71</v>
      </c>
      <c r="E3" s="2" t="s">
        <v>2</v>
      </c>
      <c r="F3" s="2" t="s">
        <v>71</v>
      </c>
    </row>
    <row r="4" spans="1:6" x14ac:dyDescent="0.2">
      <c r="A4" s="2" t="s">
        <v>3</v>
      </c>
      <c r="B4" s="2" t="s">
        <v>72</v>
      </c>
      <c r="C4" s="2" t="s">
        <v>3</v>
      </c>
      <c r="D4" s="2" t="s">
        <v>72</v>
      </c>
      <c r="E4" s="2" t="s">
        <v>3</v>
      </c>
      <c r="F4" s="2" t="s">
        <v>72</v>
      </c>
    </row>
    <row r="5" spans="1:6" x14ac:dyDescent="0.2">
      <c r="A5" s="2" t="s">
        <v>4</v>
      </c>
      <c r="B5" s="3">
        <v>568.1</v>
      </c>
      <c r="C5" s="2" t="s">
        <v>26</v>
      </c>
      <c r="D5" s="3">
        <v>593.6</v>
      </c>
      <c r="E5" s="2" t="s">
        <v>48</v>
      </c>
      <c r="F5" s="3">
        <v>942.1</v>
      </c>
    </row>
    <row r="6" spans="1:6" x14ac:dyDescent="0.2">
      <c r="A6" s="2" t="s">
        <v>5</v>
      </c>
      <c r="B6" s="3">
        <v>871.6</v>
      </c>
      <c r="C6" s="2" t="s">
        <v>27</v>
      </c>
      <c r="D6" s="3">
        <v>1022.4</v>
      </c>
      <c r="E6" s="2" t="s">
        <v>49</v>
      </c>
      <c r="F6" s="3">
        <v>1627.4</v>
      </c>
    </row>
    <row r="7" spans="1:6" x14ac:dyDescent="0.2">
      <c r="A7" s="2" t="s">
        <v>6</v>
      </c>
      <c r="B7" s="3">
        <v>1197.2</v>
      </c>
      <c r="C7" s="2" t="s">
        <v>28</v>
      </c>
      <c r="D7" s="3">
        <v>1383</v>
      </c>
      <c r="E7" s="2" t="s">
        <v>50</v>
      </c>
      <c r="F7" s="3">
        <v>2264.6999999999998</v>
      </c>
    </row>
    <row r="8" spans="1:6" x14ac:dyDescent="0.2">
      <c r="A8" s="2" t="s">
        <v>7</v>
      </c>
      <c r="B8" s="3">
        <v>1484.2</v>
      </c>
      <c r="C8" s="2" t="s">
        <v>29</v>
      </c>
      <c r="D8" s="3">
        <v>1786.2</v>
      </c>
      <c r="E8" s="2" t="s">
        <v>51</v>
      </c>
      <c r="F8" s="3">
        <v>2876</v>
      </c>
    </row>
    <row r="9" spans="1:6" x14ac:dyDescent="0.2">
      <c r="A9" s="2" t="s">
        <v>8</v>
      </c>
      <c r="B9" s="3">
        <v>1712.5</v>
      </c>
      <c r="C9" s="2" t="s">
        <v>30</v>
      </c>
      <c r="D9" s="3">
        <v>2117</v>
      </c>
      <c r="E9" s="2" t="s">
        <v>52</v>
      </c>
      <c r="F9" s="3">
        <v>3429.1</v>
      </c>
    </row>
    <row r="10" spans="1:6" x14ac:dyDescent="0.2">
      <c r="A10" s="2" t="s">
        <v>9</v>
      </c>
      <c r="B10" s="3">
        <v>1948.5</v>
      </c>
      <c r="C10" s="2" t="s">
        <v>31</v>
      </c>
      <c r="D10" s="3">
        <v>2406.1</v>
      </c>
      <c r="E10" s="2" t="s">
        <v>53</v>
      </c>
      <c r="F10" s="3">
        <v>3904.7</v>
      </c>
    </row>
    <row r="11" spans="1:6" x14ac:dyDescent="0.2">
      <c r="A11" s="2" t="s">
        <v>10</v>
      </c>
      <c r="B11" s="3">
        <v>2128.6999999999998</v>
      </c>
      <c r="C11" s="2" t="s">
        <v>32</v>
      </c>
      <c r="D11" s="3">
        <v>2695.9</v>
      </c>
      <c r="E11" s="2" t="s">
        <v>54</v>
      </c>
      <c r="F11" s="3">
        <v>4373.2</v>
      </c>
    </row>
    <row r="12" spans="1:6" x14ac:dyDescent="0.2">
      <c r="A12" s="2" t="s">
        <v>11</v>
      </c>
      <c r="B12" s="3">
        <v>2367.3000000000002</v>
      </c>
      <c r="C12" s="2" t="s">
        <v>33</v>
      </c>
      <c r="D12" s="3">
        <v>2971.9</v>
      </c>
      <c r="E12" s="2" t="s">
        <v>55</v>
      </c>
      <c r="F12" s="3">
        <v>4870.8</v>
      </c>
    </row>
    <row r="13" spans="1:6" x14ac:dyDescent="0.2">
      <c r="A13" s="2" t="s">
        <v>12</v>
      </c>
      <c r="B13" s="3">
        <v>2624.5</v>
      </c>
      <c r="C13" s="2" t="s">
        <v>34</v>
      </c>
      <c r="D13" s="3">
        <v>3326.6</v>
      </c>
      <c r="E13" s="2" t="s">
        <v>56</v>
      </c>
      <c r="F13" s="3">
        <v>5513.4</v>
      </c>
    </row>
    <row r="14" spans="1:6" x14ac:dyDescent="0.2">
      <c r="A14" s="2" t="s">
        <v>13</v>
      </c>
      <c r="B14" s="3">
        <v>2896.8</v>
      </c>
      <c r="C14" s="2" t="s">
        <v>35</v>
      </c>
      <c r="D14" s="3">
        <v>3731</v>
      </c>
      <c r="E14" s="2" t="s">
        <v>57</v>
      </c>
      <c r="F14" s="3">
        <v>6144.82</v>
      </c>
    </row>
    <row r="15" spans="1:6" x14ac:dyDescent="0.2">
      <c r="A15" s="2" t="s">
        <v>14</v>
      </c>
      <c r="B15" s="3">
        <v>3253.2</v>
      </c>
      <c r="C15" s="2" t="s">
        <v>36</v>
      </c>
      <c r="D15" s="3">
        <v>4146</v>
      </c>
      <c r="E15" s="2" t="s">
        <v>58</v>
      </c>
      <c r="F15" s="3">
        <v>6867.2</v>
      </c>
    </row>
    <row r="16" spans="1:6" x14ac:dyDescent="0.2">
      <c r="A16" s="2" t="s">
        <v>15</v>
      </c>
      <c r="B16" s="3">
        <v>571.70000000000005</v>
      </c>
      <c r="C16" s="2" t="s">
        <v>37</v>
      </c>
      <c r="D16" s="3">
        <v>914.5</v>
      </c>
      <c r="E16" s="2" t="s">
        <v>59</v>
      </c>
      <c r="F16" s="3">
        <v>1336.84</v>
      </c>
    </row>
    <row r="17" spans="1:6" x14ac:dyDescent="0.2">
      <c r="A17" s="2" t="s">
        <v>16</v>
      </c>
      <c r="B17" s="3">
        <v>915.5</v>
      </c>
      <c r="C17" s="2" t="s">
        <v>38</v>
      </c>
      <c r="D17" s="3">
        <v>1400.6</v>
      </c>
      <c r="E17" s="2" t="s">
        <v>60</v>
      </c>
      <c r="F17" s="3">
        <v>2080.08</v>
      </c>
    </row>
    <row r="18" spans="1:6" x14ac:dyDescent="0.2">
      <c r="A18" s="2" t="s">
        <v>17</v>
      </c>
      <c r="B18" s="3">
        <v>1259.4000000000001</v>
      </c>
      <c r="C18" s="2" t="s">
        <v>39</v>
      </c>
      <c r="D18" s="3">
        <v>1870</v>
      </c>
      <c r="E18" s="2" t="s">
        <v>61</v>
      </c>
      <c r="F18" s="3">
        <v>2909.3</v>
      </c>
    </row>
    <row r="19" spans="1:6" x14ac:dyDescent="0.2">
      <c r="A19" s="2" t="s">
        <v>18</v>
      </c>
      <c r="B19" s="3">
        <v>1615.3</v>
      </c>
      <c r="C19" s="2" t="s">
        <v>40</v>
      </c>
      <c r="D19" s="3">
        <v>2382.3000000000002</v>
      </c>
      <c r="E19" s="2" t="s">
        <v>62</v>
      </c>
      <c r="F19" s="3">
        <v>3662.8</v>
      </c>
    </row>
    <row r="20" spans="1:6" x14ac:dyDescent="0.2">
      <c r="A20" s="2" t="s">
        <v>19</v>
      </c>
      <c r="B20" s="3">
        <v>1879.3</v>
      </c>
      <c r="C20" s="2" t="s">
        <v>41</v>
      </c>
      <c r="D20" s="3">
        <v>2819.2</v>
      </c>
      <c r="E20" s="2" t="s">
        <v>63</v>
      </c>
      <c r="F20" s="3">
        <v>4246.4399999999996</v>
      </c>
    </row>
    <row r="21" spans="1:6" x14ac:dyDescent="0.2">
      <c r="A21" s="2" t="s">
        <v>20</v>
      </c>
      <c r="B21" s="3">
        <v>2107.8000000000002</v>
      </c>
      <c r="C21" s="2" t="s">
        <v>42</v>
      </c>
      <c r="D21" s="3">
        <v>3293.9</v>
      </c>
      <c r="E21" s="2" t="s">
        <v>64</v>
      </c>
      <c r="F21" s="3">
        <v>4835.8999999999996</v>
      </c>
    </row>
    <row r="22" spans="1:6" x14ac:dyDescent="0.2">
      <c r="A22" s="2" t="s">
        <v>21</v>
      </c>
      <c r="B22" s="3">
        <v>2334.6999999999998</v>
      </c>
      <c r="C22" s="2" t="s">
        <v>43</v>
      </c>
      <c r="D22" s="3">
        <v>3650.8</v>
      </c>
      <c r="E22" s="2" t="s">
        <v>65</v>
      </c>
      <c r="F22" s="3">
        <v>5308.39</v>
      </c>
    </row>
    <row r="23" spans="1:6" x14ac:dyDescent="0.2">
      <c r="A23" s="2" t="s">
        <v>22</v>
      </c>
      <c r="B23" s="3">
        <v>2566.4</v>
      </c>
      <c r="C23" s="2" t="s">
        <v>44</v>
      </c>
      <c r="D23" s="3">
        <v>4025</v>
      </c>
      <c r="E23" s="2" t="s">
        <v>66</v>
      </c>
      <c r="F23" s="3">
        <v>5836.8</v>
      </c>
    </row>
    <row r="24" spans="1:6" x14ac:dyDescent="0.2">
      <c r="A24" s="2" t="s">
        <v>23</v>
      </c>
      <c r="B24" s="3">
        <v>2856.8</v>
      </c>
      <c r="C24" s="2" t="s">
        <v>45</v>
      </c>
      <c r="D24" s="3">
        <v>4515</v>
      </c>
      <c r="E24" s="2" t="s">
        <v>67</v>
      </c>
      <c r="F24" s="3">
        <v>6424.3</v>
      </c>
    </row>
    <row r="25" spans="1:6" x14ac:dyDescent="0.2">
      <c r="A25" s="2" t="s">
        <v>24</v>
      </c>
      <c r="B25" s="3">
        <v>3204</v>
      </c>
      <c r="C25" s="2" t="s">
        <v>46</v>
      </c>
      <c r="D25" s="3">
        <v>5066.1000000000004</v>
      </c>
      <c r="E25" s="2" t="s">
        <v>68</v>
      </c>
      <c r="F25" s="3">
        <v>7251.9</v>
      </c>
    </row>
    <row r="26" spans="1:6" x14ac:dyDescent="0.2">
      <c r="A26" s="2" t="s">
        <v>25</v>
      </c>
      <c r="B26" s="3">
        <v>3577.4</v>
      </c>
      <c r="C26" s="2" t="s">
        <v>47</v>
      </c>
      <c r="D26" s="3">
        <v>5667</v>
      </c>
      <c r="E26" s="2" t="s">
        <v>69</v>
      </c>
      <c r="F26" s="3">
        <v>8090.5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B7E6D-0240-47F2-87F4-CAC2836E78C2}">
  <dimension ref="A1:L78"/>
  <sheetViews>
    <sheetView showGridLines="0" tabSelected="1" workbookViewId="0">
      <selection activeCell="I21" sqref="I21"/>
    </sheetView>
  </sheetViews>
  <sheetFormatPr defaultRowHeight="14.25" x14ac:dyDescent="0.2"/>
  <cols>
    <col min="1" max="1" width="7.625" customWidth="1"/>
    <col min="2" max="2" width="17.125" customWidth="1"/>
    <col min="3" max="3" width="3.5" customWidth="1"/>
    <col min="4" max="4" width="5.625" customWidth="1"/>
    <col min="5" max="5" width="8.5" customWidth="1"/>
    <col min="6" max="6" width="11" customWidth="1"/>
    <col min="7" max="7" width="2.875" customWidth="1"/>
    <col min="8" max="8" width="15" bestFit="1" customWidth="1"/>
    <col min="9" max="9" width="13.125" bestFit="1" customWidth="1"/>
    <col min="10" max="10" width="15" bestFit="1" customWidth="1"/>
  </cols>
  <sheetData>
    <row r="1" spans="1:12" ht="25.5" x14ac:dyDescent="0.15">
      <c r="A1" s="11" t="s">
        <v>74</v>
      </c>
      <c r="B1" s="28" t="s">
        <v>73</v>
      </c>
      <c r="C1" s="29" t="s">
        <v>75</v>
      </c>
      <c r="D1" s="30" t="s">
        <v>76</v>
      </c>
      <c r="E1" s="29" t="s">
        <v>77</v>
      </c>
      <c r="F1" s="31" t="s">
        <v>78</v>
      </c>
      <c r="G1" s="5"/>
      <c r="H1" s="4" t="s">
        <v>91</v>
      </c>
      <c r="I1" s="6" t="s">
        <v>92</v>
      </c>
      <c r="J1" s="4" t="s">
        <v>93</v>
      </c>
      <c r="K1" s="4" t="s">
        <v>79</v>
      </c>
      <c r="L1" s="7"/>
    </row>
    <row r="2" spans="1:12" x14ac:dyDescent="0.2">
      <c r="A2" s="12" t="s">
        <v>4</v>
      </c>
      <c r="B2" s="15">
        <v>568.1</v>
      </c>
      <c r="C2" s="18">
        <v>1</v>
      </c>
      <c r="D2" s="18"/>
      <c r="E2" s="18"/>
      <c r="F2" s="18"/>
      <c r="G2" s="7"/>
      <c r="H2" s="25">
        <v>1</v>
      </c>
      <c r="I2" s="18"/>
      <c r="J2" s="32"/>
      <c r="K2" s="18"/>
      <c r="L2" s="7"/>
    </row>
    <row r="3" spans="1:12" x14ac:dyDescent="0.2">
      <c r="A3" s="13" t="s">
        <v>5</v>
      </c>
      <c r="B3" s="16">
        <v>871.6</v>
      </c>
      <c r="C3" s="19">
        <v>2</v>
      </c>
      <c r="D3" s="19"/>
      <c r="E3" s="19"/>
      <c r="F3" s="19"/>
      <c r="G3" s="7"/>
      <c r="H3" s="26">
        <v>2</v>
      </c>
      <c r="I3" s="19"/>
      <c r="J3" s="33"/>
      <c r="K3" s="19"/>
      <c r="L3" s="7"/>
    </row>
    <row r="4" spans="1:12" x14ac:dyDescent="0.2">
      <c r="A4" s="13" t="s">
        <v>6</v>
      </c>
      <c r="B4" s="16">
        <v>1197.2</v>
      </c>
      <c r="C4" s="19">
        <v>3</v>
      </c>
      <c r="D4" s="19"/>
      <c r="E4" s="19"/>
      <c r="F4" s="19"/>
      <c r="G4" s="7"/>
      <c r="H4" s="26">
        <v>3</v>
      </c>
      <c r="I4" s="19"/>
      <c r="J4" s="33"/>
      <c r="K4" s="19"/>
      <c r="L4" s="7"/>
    </row>
    <row r="5" spans="1:12" x14ac:dyDescent="0.2">
      <c r="A5" s="13" t="s">
        <v>7</v>
      </c>
      <c r="B5" s="16">
        <v>1484.2</v>
      </c>
      <c r="C5" s="19">
        <v>4</v>
      </c>
      <c r="D5" s="19"/>
      <c r="E5" s="19"/>
      <c r="F5" s="19"/>
      <c r="G5" s="7"/>
      <c r="H5" s="26">
        <v>4</v>
      </c>
      <c r="I5" s="19"/>
      <c r="J5" s="33"/>
      <c r="K5" s="19"/>
      <c r="L5" s="7"/>
    </row>
    <row r="6" spans="1:12" x14ac:dyDescent="0.2">
      <c r="A6" s="13" t="s">
        <v>8</v>
      </c>
      <c r="B6" s="16">
        <v>1712.5</v>
      </c>
      <c r="C6" s="19">
        <v>5</v>
      </c>
      <c r="D6" s="19"/>
      <c r="E6" s="19"/>
      <c r="F6" s="19"/>
      <c r="G6" s="7"/>
      <c r="H6" s="26">
        <v>5</v>
      </c>
      <c r="I6" s="19"/>
      <c r="J6" s="33"/>
      <c r="K6" s="19"/>
      <c r="L6" s="7"/>
    </row>
    <row r="7" spans="1:12" x14ac:dyDescent="0.2">
      <c r="A7" s="13" t="s">
        <v>9</v>
      </c>
      <c r="B7" s="16">
        <v>1948.5</v>
      </c>
      <c r="C7" s="19">
        <v>6</v>
      </c>
      <c r="D7" s="19"/>
      <c r="E7" s="19"/>
      <c r="F7" s="19"/>
      <c r="G7" s="7"/>
      <c r="H7" s="26">
        <v>6</v>
      </c>
      <c r="I7" s="19"/>
      <c r="J7" s="33"/>
      <c r="K7" s="19"/>
      <c r="L7" s="7"/>
    </row>
    <row r="8" spans="1:12" x14ac:dyDescent="0.2">
      <c r="A8" s="13" t="s">
        <v>10</v>
      </c>
      <c r="B8" s="16">
        <v>2128.6999999999998</v>
      </c>
      <c r="C8" s="19">
        <v>7</v>
      </c>
      <c r="D8" s="19"/>
      <c r="E8" s="19"/>
      <c r="F8" s="19"/>
      <c r="G8" s="7"/>
      <c r="H8" s="26">
        <v>7</v>
      </c>
      <c r="I8" s="19"/>
      <c r="J8" s="33"/>
      <c r="K8" s="19"/>
      <c r="L8" s="7"/>
    </row>
    <row r="9" spans="1:12" x14ac:dyDescent="0.2">
      <c r="A9" s="13" t="s">
        <v>11</v>
      </c>
      <c r="B9" s="16">
        <v>2367.3000000000002</v>
      </c>
      <c r="C9" s="19">
        <v>8</v>
      </c>
      <c r="D9" s="19"/>
      <c r="E9" s="19"/>
      <c r="F9" s="19"/>
      <c r="G9" s="7"/>
      <c r="H9" s="26">
        <v>8</v>
      </c>
      <c r="I9" s="19"/>
      <c r="J9" s="33"/>
      <c r="K9" s="19"/>
      <c r="L9" s="7"/>
    </row>
    <row r="10" spans="1:12" x14ac:dyDescent="0.2">
      <c r="A10" s="13" t="s">
        <v>12</v>
      </c>
      <c r="B10" s="16">
        <v>2624.5</v>
      </c>
      <c r="C10" s="19">
        <v>9</v>
      </c>
      <c r="D10" s="19"/>
      <c r="E10" s="19"/>
      <c r="F10" s="19"/>
      <c r="G10" s="7"/>
      <c r="H10" s="26">
        <v>9</v>
      </c>
      <c r="I10" s="19"/>
      <c r="J10" s="33"/>
      <c r="K10" s="19"/>
      <c r="L10" s="7"/>
    </row>
    <row r="11" spans="1:12" x14ac:dyDescent="0.2">
      <c r="A11" s="13" t="s">
        <v>13</v>
      </c>
      <c r="B11" s="16">
        <v>2896.8</v>
      </c>
      <c r="C11" s="19">
        <v>10</v>
      </c>
      <c r="D11" s="19"/>
      <c r="E11" s="19"/>
      <c r="F11" s="19"/>
      <c r="G11" s="7"/>
      <c r="H11" s="26">
        <v>10</v>
      </c>
      <c r="I11" s="19"/>
      <c r="J11" s="33"/>
      <c r="K11" s="19"/>
      <c r="L11" s="7"/>
    </row>
    <row r="12" spans="1:12" x14ac:dyDescent="0.2">
      <c r="A12" s="14" t="s">
        <v>14</v>
      </c>
      <c r="B12" s="17">
        <v>3253.2</v>
      </c>
      <c r="C12" s="20">
        <v>11</v>
      </c>
      <c r="D12" s="20"/>
      <c r="E12" s="20"/>
      <c r="F12" s="20"/>
      <c r="G12" s="7"/>
      <c r="H12" s="27">
        <v>11</v>
      </c>
      <c r="I12" s="20"/>
      <c r="J12" s="34"/>
      <c r="K12" s="20"/>
      <c r="L12" s="7"/>
    </row>
    <row r="13" spans="1:12" x14ac:dyDescent="0.2">
      <c r="A13" s="12" t="s">
        <v>15</v>
      </c>
      <c r="B13" s="15">
        <v>571.70000000000005</v>
      </c>
      <c r="C13" s="18">
        <v>12</v>
      </c>
      <c r="D13" s="18"/>
      <c r="E13" s="18"/>
      <c r="F13" s="18"/>
      <c r="G13" s="7"/>
      <c r="H13" s="7"/>
      <c r="I13" s="7"/>
      <c r="J13" s="7"/>
      <c r="K13" s="7"/>
      <c r="L13" s="7"/>
    </row>
    <row r="14" spans="1:12" x14ac:dyDescent="0.2">
      <c r="A14" s="13" t="s">
        <v>16</v>
      </c>
      <c r="B14" s="16">
        <v>915.5</v>
      </c>
      <c r="C14" s="19">
        <v>13</v>
      </c>
      <c r="D14" s="19"/>
      <c r="E14" s="19"/>
      <c r="F14" s="19"/>
      <c r="G14" s="7"/>
      <c r="H14" s="7"/>
      <c r="I14" s="7"/>
      <c r="J14" s="7"/>
      <c r="K14" s="7"/>
      <c r="L14" s="7"/>
    </row>
    <row r="15" spans="1:12" x14ac:dyDescent="0.2">
      <c r="A15" s="13" t="s">
        <v>17</v>
      </c>
      <c r="B15" s="16">
        <v>1259.4000000000001</v>
      </c>
      <c r="C15" s="19">
        <v>14</v>
      </c>
      <c r="D15" s="19"/>
      <c r="E15" s="19"/>
      <c r="F15" s="19"/>
      <c r="G15" s="7"/>
      <c r="H15" s="23" t="s">
        <v>94</v>
      </c>
      <c r="I15" s="23" t="e">
        <f>RSQ(D2:D67,C2:C67)</f>
        <v>#DIV/0!</v>
      </c>
      <c r="J15" s="7"/>
      <c r="K15" s="7"/>
      <c r="L15" s="7"/>
    </row>
    <row r="16" spans="1:12" x14ac:dyDescent="0.2">
      <c r="A16" s="13" t="s">
        <v>18</v>
      </c>
      <c r="B16" s="16">
        <v>1615.3</v>
      </c>
      <c r="C16" s="19">
        <v>15</v>
      </c>
      <c r="D16" s="19"/>
      <c r="E16" s="19"/>
      <c r="F16" s="19"/>
      <c r="G16" s="7"/>
      <c r="H16" s="24" t="s">
        <v>95</v>
      </c>
      <c r="I16" s="23">
        <f>_xlfn.FORECAST.ETS.SEASONALITY(B2:B67,C2:C67)</f>
        <v>11</v>
      </c>
      <c r="J16" s="7"/>
      <c r="K16" s="7"/>
      <c r="L16" s="7"/>
    </row>
    <row r="17" spans="1:12" x14ac:dyDescent="0.2">
      <c r="A17" s="13" t="s">
        <v>19</v>
      </c>
      <c r="B17" s="16">
        <v>1879.3</v>
      </c>
      <c r="C17" s="19">
        <v>16</v>
      </c>
      <c r="D17" s="19"/>
      <c r="E17" s="19"/>
      <c r="F17" s="19"/>
      <c r="G17" s="7"/>
      <c r="H17" s="7"/>
      <c r="I17" s="7"/>
      <c r="J17" s="7"/>
      <c r="K17" s="7"/>
      <c r="L17" s="7"/>
    </row>
    <row r="18" spans="1:12" x14ac:dyDescent="0.2">
      <c r="A18" s="13" t="s">
        <v>20</v>
      </c>
      <c r="B18" s="16">
        <v>2107.8000000000002</v>
      </c>
      <c r="C18" s="19">
        <v>17</v>
      </c>
      <c r="D18" s="19"/>
      <c r="E18" s="19"/>
      <c r="F18" s="19"/>
      <c r="G18" s="7"/>
      <c r="H18" s="7"/>
      <c r="I18" s="7"/>
      <c r="J18" s="7"/>
      <c r="K18" s="7"/>
      <c r="L18" s="7"/>
    </row>
    <row r="19" spans="1:12" x14ac:dyDescent="0.2">
      <c r="A19" s="13" t="s">
        <v>21</v>
      </c>
      <c r="B19" s="16">
        <v>2334.6999999999998</v>
      </c>
      <c r="C19" s="19">
        <v>18</v>
      </c>
      <c r="D19" s="19"/>
      <c r="E19" s="19"/>
      <c r="F19" s="19"/>
      <c r="G19" s="7"/>
      <c r="H19" s="7"/>
      <c r="I19" s="7"/>
      <c r="J19" s="7"/>
      <c r="K19" s="7"/>
      <c r="L19" s="7"/>
    </row>
    <row r="20" spans="1:12" x14ac:dyDescent="0.2">
      <c r="A20" s="13" t="s">
        <v>22</v>
      </c>
      <c r="B20" s="16">
        <v>2566.4</v>
      </c>
      <c r="C20" s="19">
        <v>19</v>
      </c>
      <c r="D20" s="19"/>
      <c r="E20" s="19"/>
      <c r="F20" s="19"/>
      <c r="G20" s="7"/>
      <c r="H20" s="7"/>
      <c r="I20" s="7"/>
      <c r="J20" s="7"/>
      <c r="K20" s="7"/>
      <c r="L20" s="7"/>
    </row>
    <row r="21" spans="1:12" x14ac:dyDescent="0.2">
      <c r="A21" s="13" t="s">
        <v>23</v>
      </c>
      <c r="B21" s="16">
        <v>2856.8</v>
      </c>
      <c r="C21" s="19">
        <v>20</v>
      </c>
      <c r="D21" s="19"/>
      <c r="E21" s="19"/>
      <c r="F21" s="19"/>
      <c r="G21" s="7"/>
      <c r="H21" s="7"/>
      <c r="I21" s="7"/>
      <c r="J21" s="7"/>
      <c r="K21" s="7"/>
      <c r="L21" s="7"/>
    </row>
    <row r="22" spans="1:12" x14ac:dyDescent="0.2">
      <c r="A22" s="13" t="s">
        <v>24</v>
      </c>
      <c r="B22" s="16">
        <v>3204</v>
      </c>
      <c r="C22" s="19">
        <v>21</v>
      </c>
      <c r="D22" s="19"/>
      <c r="E22" s="19"/>
      <c r="F22" s="19"/>
      <c r="G22" s="7"/>
      <c r="H22" s="7"/>
      <c r="I22" s="7"/>
      <c r="J22" s="7"/>
      <c r="K22" s="7"/>
      <c r="L22" s="7"/>
    </row>
    <row r="23" spans="1:12" x14ac:dyDescent="0.2">
      <c r="A23" s="14" t="s">
        <v>25</v>
      </c>
      <c r="B23" s="17">
        <v>3577.4</v>
      </c>
      <c r="C23" s="20">
        <v>22</v>
      </c>
      <c r="D23" s="20"/>
      <c r="E23" s="20"/>
      <c r="F23" s="20"/>
      <c r="G23" s="7"/>
      <c r="H23" s="7"/>
      <c r="I23" s="7"/>
      <c r="J23" s="7"/>
      <c r="K23" s="7"/>
      <c r="L23" s="7"/>
    </row>
    <row r="24" spans="1:12" x14ac:dyDescent="0.2">
      <c r="A24" s="12" t="s">
        <v>26</v>
      </c>
      <c r="B24" s="15">
        <v>593.6</v>
      </c>
      <c r="C24" s="18">
        <v>23</v>
      </c>
      <c r="D24" s="18"/>
      <c r="E24" s="18"/>
      <c r="F24" s="18"/>
      <c r="G24" s="7"/>
      <c r="H24" s="7"/>
      <c r="I24" s="7"/>
      <c r="J24" s="7"/>
      <c r="K24" s="7"/>
      <c r="L24" s="7"/>
    </row>
    <row r="25" spans="1:12" x14ac:dyDescent="0.2">
      <c r="A25" s="13" t="s">
        <v>27</v>
      </c>
      <c r="B25" s="16">
        <v>1022.4</v>
      </c>
      <c r="C25" s="19">
        <v>24</v>
      </c>
      <c r="D25" s="19"/>
      <c r="E25" s="19"/>
      <c r="F25" s="19"/>
      <c r="G25" s="7"/>
      <c r="H25" s="7"/>
      <c r="I25" s="7"/>
      <c r="J25" s="7"/>
      <c r="K25" s="7"/>
      <c r="L25" s="7"/>
    </row>
    <row r="26" spans="1:12" x14ac:dyDescent="0.2">
      <c r="A26" s="13" t="s">
        <v>28</v>
      </c>
      <c r="B26" s="16">
        <v>1383</v>
      </c>
      <c r="C26" s="19">
        <v>25</v>
      </c>
      <c r="D26" s="19"/>
      <c r="E26" s="19"/>
      <c r="F26" s="19"/>
      <c r="G26" s="7"/>
      <c r="H26" s="7"/>
      <c r="I26" s="7"/>
      <c r="J26" s="7"/>
      <c r="K26" s="7"/>
      <c r="L26" s="7"/>
    </row>
    <row r="27" spans="1:12" x14ac:dyDescent="0.2">
      <c r="A27" s="13" t="s">
        <v>29</v>
      </c>
      <c r="B27" s="16">
        <v>1786.2</v>
      </c>
      <c r="C27" s="19">
        <v>26</v>
      </c>
      <c r="D27" s="19"/>
      <c r="E27" s="19"/>
      <c r="F27" s="19"/>
      <c r="G27" s="7"/>
      <c r="H27" s="7"/>
      <c r="I27" s="7"/>
      <c r="J27" s="7"/>
      <c r="K27" s="7"/>
      <c r="L27" s="7"/>
    </row>
    <row r="28" spans="1:12" x14ac:dyDescent="0.2">
      <c r="A28" s="13" t="s">
        <v>30</v>
      </c>
      <c r="B28" s="16">
        <v>2117</v>
      </c>
      <c r="C28" s="19">
        <v>27</v>
      </c>
      <c r="D28" s="19"/>
      <c r="E28" s="19"/>
      <c r="F28" s="19"/>
      <c r="G28" s="7"/>
      <c r="H28" s="7"/>
      <c r="I28" s="7"/>
      <c r="J28" s="7"/>
      <c r="K28" s="7"/>
      <c r="L28" s="7"/>
    </row>
    <row r="29" spans="1:12" x14ac:dyDescent="0.2">
      <c r="A29" s="13" t="s">
        <v>31</v>
      </c>
      <c r="B29" s="16">
        <v>2406.1</v>
      </c>
      <c r="C29" s="19">
        <v>28</v>
      </c>
      <c r="D29" s="19"/>
      <c r="E29" s="19"/>
      <c r="F29" s="19"/>
      <c r="G29" s="7"/>
      <c r="H29" s="7"/>
      <c r="I29" s="7"/>
      <c r="J29" s="7"/>
      <c r="K29" s="7"/>
      <c r="L29" s="7"/>
    </row>
    <row r="30" spans="1:12" x14ac:dyDescent="0.2">
      <c r="A30" s="13" t="s">
        <v>32</v>
      </c>
      <c r="B30" s="16">
        <v>2695.9</v>
      </c>
      <c r="C30" s="19">
        <v>29</v>
      </c>
      <c r="D30" s="19"/>
      <c r="E30" s="19"/>
      <c r="F30" s="19"/>
      <c r="G30" s="7"/>
      <c r="H30" s="7"/>
      <c r="I30" s="7"/>
      <c r="J30" s="7"/>
      <c r="K30" s="7"/>
      <c r="L30" s="7"/>
    </row>
    <row r="31" spans="1:12" x14ac:dyDescent="0.2">
      <c r="A31" s="13" t="s">
        <v>33</v>
      </c>
      <c r="B31" s="16">
        <v>2971.9</v>
      </c>
      <c r="C31" s="19">
        <v>30</v>
      </c>
      <c r="D31" s="19"/>
      <c r="E31" s="19"/>
      <c r="F31" s="19"/>
      <c r="G31" s="7"/>
      <c r="H31" s="7"/>
      <c r="I31" s="7"/>
      <c r="J31" s="7"/>
      <c r="K31" s="7"/>
      <c r="L31" s="7"/>
    </row>
    <row r="32" spans="1:12" x14ac:dyDescent="0.2">
      <c r="A32" s="13" t="s">
        <v>34</v>
      </c>
      <c r="B32" s="16">
        <v>3326.6</v>
      </c>
      <c r="C32" s="19">
        <v>31</v>
      </c>
      <c r="D32" s="19"/>
      <c r="E32" s="19"/>
      <c r="F32" s="19"/>
      <c r="G32" s="7"/>
      <c r="H32" s="7"/>
      <c r="I32" s="7"/>
      <c r="J32" s="7"/>
      <c r="K32" s="7"/>
      <c r="L32" s="7"/>
    </row>
    <row r="33" spans="1:12" x14ac:dyDescent="0.2">
      <c r="A33" s="13" t="s">
        <v>35</v>
      </c>
      <c r="B33" s="16">
        <v>3731</v>
      </c>
      <c r="C33" s="19">
        <v>32</v>
      </c>
      <c r="D33" s="19"/>
      <c r="E33" s="19"/>
      <c r="F33" s="19"/>
      <c r="G33" s="7"/>
      <c r="H33" s="7"/>
      <c r="I33" s="7"/>
      <c r="J33" s="7"/>
      <c r="K33" s="7"/>
      <c r="L33" s="7"/>
    </row>
    <row r="34" spans="1:12" x14ac:dyDescent="0.2">
      <c r="A34" s="14" t="s">
        <v>36</v>
      </c>
      <c r="B34" s="17">
        <v>4146</v>
      </c>
      <c r="C34" s="20">
        <v>33</v>
      </c>
      <c r="D34" s="20"/>
      <c r="E34" s="20"/>
      <c r="F34" s="20"/>
      <c r="G34" s="7"/>
      <c r="H34" s="7"/>
      <c r="I34" s="7"/>
      <c r="J34" s="7"/>
      <c r="K34" s="7"/>
      <c r="L34" s="7"/>
    </row>
    <row r="35" spans="1:12" x14ac:dyDescent="0.2">
      <c r="A35" s="12" t="s">
        <v>37</v>
      </c>
      <c r="B35" s="15">
        <v>914.5</v>
      </c>
      <c r="C35" s="18">
        <v>34</v>
      </c>
      <c r="D35" s="18"/>
      <c r="E35" s="18"/>
      <c r="F35" s="18"/>
      <c r="G35" s="7"/>
      <c r="H35" s="7"/>
      <c r="I35" s="7"/>
      <c r="J35" s="7"/>
      <c r="K35" s="7"/>
      <c r="L35" s="7"/>
    </row>
    <row r="36" spans="1:12" x14ac:dyDescent="0.2">
      <c r="A36" s="13" t="s">
        <v>38</v>
      </c>
      <c r="B36" s="16">
        <v>1400.6</v>
      </c>
      <c r="C36" s="19">
        <v>35</v>
      </c>
      <c r="D36" s="19"/>
      <c r="E36" s="19"/>
      <c r="F36" s="19"/>
      <c r="G36" s="7"/>
      <c r="H36" s="7"/>
      <c r="I36" s="7"/>
      <c r="J36" s="7"/>
      <c r="K36" s="7"/>
      <c r="L36" s="7"/>
    </row>
    <row r="37" spans="1:12" x14ac:dyDescent="0.2">
      <c r="A37" s="13" t="s">
        <v>39</v>
      </c>
      <c r="B37" s="16">
        <v>1870</v>
      </c>
      <c r="C37" s="19">
        <v>36</v>
      </c>
      <c r="D37" s="19"/>
      <c r="E37" s="19"/>
      <c r="F37" s="19"/>
      <c r="G37" s="7"/>
      <c r="H37" s="7"/>
      <c r="I37" s="7"/>
      <c r="J37" s="7"/>
      <c r="K37" s="7"/>
      <c r="L37" s="7"/>
    </row>
    <row r="38" spans="1:12" x14ac:dyDescent="0.2">
      <c r="A38" s="13" t="s">
        <v>40</v>
      </c>
      <c r="B38" s="16">
        <v>2382.3000000000002</v>
      </c>
      <c r="C38" s="19">
        <v>37</v>
      </c>
      <c r="D38" s="19"/>
      <c r="E38" s="19"/>
      <c r="F38" s="19"/>
      <c r="G38" s="7"/>
      <c r="H38" s="7"/>
      <c r="I38" s="7"/>
      <c r="J38" s="7"/>
      <c r="K38" s="7"/>
      <c r="L38" s="7"/>
    </row>
    <row r="39" spans="1:12" x14ac:dyDescent="0.2">
      <c r="A39" s="13" t="s">
        <v>41</v>
      </c>
      <c r="B39" s="16">
        <v>2819.2</v>
      </c>
      <c r="C39" s="19">
        <v>38</v>
      </c>
      <c r="D39" s="19"/>
      <c r="E39" s="19"/>
      <c r="F39" s="19"/>
      <c r="G39" s="7"/>
      <c r="H39" s="7"/>
      <c r="I39" s="7"/>
      <c r="J39" s="7"/>
      <c r="K39" s="7"/>
      <c r="L39" s="7"/>
    </row>
    <row r="40" spans="1:12" x14ac:dyDescent="0.2">
      <c r="A40" s="13" t="s">
        <v>42</v>
      </c>
      <c r="B40" s="16">
        <v>3293.9</v>
      </c>
      <c r="C40" s="19">
        <v>39</v>
      </c>
      <c r="D40" s="19"/>
      <c r="E40" s="19"/>
      <c r="F40" s="19"/>
      <c r="G40" s="7"/>
      <c r="H40" s="7"/>
      <c r="I40" s="7"/>
      <c r="J40" s="7"/>
      <c r="K40" s="7"/>
      <c r="L40" s="7"/>
    </row>
    <row r="41" spans="1:12" x14ac:dyDescent="0.2">
      <c r="A41" s="13" t="s">
        <v>43</v>
      </c>
      <c r="B41" s="16">
        <v>3650.8</v>
      </c>
      <c r="C41" s="19">
        <v>40</v>
      </c>
      <c r="D41" s="19"/>
      <c r="E41" s="19"/>
      <c r="F41" s="19"/>
      <c r="G41" s="7"/>
      <c r="H41" s="7"/>
      <c r="I41" s="7"/>
      <c r="J41" s="7"/>
      <c r="K41" s="7"/>
      <c r="L41" s="7"/>
    </row>
    <row r="42" spans="1:12" x14ac:dyDescent="0.2">
      <c r="A42" s="13" t="s">
        <v>44</v>
      </c>
      <c r="B42" s="16">
        <v>4025</v>
      </c>
      <c r="C42" s="19">
        <v>41</v>
      </c>
      <c r="D42" s="19"/>
      <c r="E42" s="19"/>
      <c r="F42" s="19"/>
      <c r="G42" s="7"/>
      <c r="H42" s="7"/>
      <c r="I42" s="7"/>
      <c r="J42" s="7"/>
      <c r="K42" s="7"/>
      <c r="L42" s="7"/>
    </row>
    <row r="43" spans="1:12" x14ac:dyDescent="0.2">
      <c r="A43" s="13" t="s">
        <v>45</v>
      </c>
      <c r="B43" s="16">
        <v>4515</v>
      </c>
      <c r="C43" s="19">
        <v>42</v>
      </c>
      <c r="D43" s="19"/>
      <c r="E43" s="19"/>
      <c r="F43" s="19"/>
      <c r="G43" s="7"/>
      <c r="H43" s="7"/>
      <c r="I43" s="7"/>
      <c r="J43" s="7"/>
      <c r="K43" s="7"/>
      <c r="L43" s="7"/>
    </row>
    <row r="44" spans="1:12" x14ac:dyDescent="0.2">
      <c r="A44" s="13" t="s">
        <v>46</v>
      </c>
      <c r="B44" s="16">
        <v>5066.1000000000004</v>
      </c>
      <c r="C44" s="19">
        <v>43</v>
      </c>
      <c r="D44" s="19"/>
      <c r="E44" s="19"/>
      <c r="F44" s="19"/>
      <c r="G44" s="7"/>
      <c r="H44" s="7"/>
      <c r="I44" s="7"/>
      <c r="J44" s="7"/>
      <c r="K44" s="7"/>
      <c r="L44" s="7"/>
    </row>
    <row r="45" spans="1:12" x14ac:dyDescent="0.2">
      <c r="A45" s="14" t="s">
        <v>47</v>
      </c>
      <c r="B45" s="17">
        <v>5667</v>
      </c>
      <c r="C45" s="20">
        <v>44</v>
      </c>
      <c r="D45" s="20"/>
      <c r="E45" s="20"/>
      <c r="F45" s="20"/>
      <c r="G45" s="7"/>
      <c r="H45" s="7"/>
      <c r="I45" s="7"/>
      <c r="J45" s="7"/>
      <c r="K45" s="7"/>
      <c r="L45" s="7"/>
    </row>
    <row r="46" spans="1:12" x14ac:dyDescent="0.2">
      <c r="A46" s="12" t="s">
        <v>48</v>
      </c>
      <c r="B46" s="15">
        <v>942.1</v>
      </c>
      <c r="C46" s="18">
        <v>45</v>
      </c>
      <c r="D46" s="18"/>
      <c r="E46" s="18"/>
      <c r="F46" s="18"/>
      <c r="G46" s="7"/>
      <c r="H46" s="7"/>
      <c r="I46" s="7"/>
      <c r="J46" s="7"/>
      <c r="K46" s="7"/>
      <c r="L46" s="7"/>
    </row>
    <row r="47" spans="1:12" x14ac:dyDescent="0.2">
      <c r="A47" s="13" t="s">
        <v>49</v>
      </c>
      <c r="B47" s="16">
        <v>1627.4</v>
      </c>
      <c r="C47" s="19">
        <v>46</v>
      </c>
      <c r="D47" s="19"/>
      <c r="E47" s="19"/>
      <c r="F47" s="19"/>
      <c r="G47" s="7"/>
      <c r="H47" s="7"/>
      <c r="I47" s="7"/>
      <c r="J47" s="7"/>
      <c r="K47" s="7"/>
      <c r="L47" s="7"/>
    </row>
    <row r="48" spans="1:12" x14ac:dyDescent="0.2">
      <c r="A48" s="13" t="s">
        <v>50</v>
      </c>
      <c r="B48" s="16">
        <v>2264.6999999999998</v>
      </c>
      <c r="C48" s="19">
        <v>47</v>
      </c>
      <c r="D48" s="19"/>
      <c r="E48" s="19"/>
      <c r="F48" s="19"/>
      <c r="G48" s="7"/>
      <c r="H48" s="7"/>
      <c r="I48" s="7"/>
      <c r="J48" s="7"/>
      <c r="K48" s="7"/>
      <c r="L48" s="7"/>
    </row>
    <row r="49" spans="1:12" x14ac:dyDescent="0.2">
      <c r="A49" s="13" t="s">
        <v>51</v>
      </c>
      <c r="B49" s="16">
        <v>2876</v>
      </c>
      <c r="C49" s="19">
        <v>48</v>
      </c>
      <c r="D49" s="19"/>
      <c r="E49" s="19"/>
      <c r="F49" s="19"/>
      <c r="G49" s="7"/>
      <c r="H49" s="7"/>
      <c r="I49" s="7"/>
      <c r="J49" s="7"/>
      <c r="K49" s="7"/>
      <c r="L49" s="7"/>
    </row>
    <row r="50" spans="1:12" x14ac:dyDescent="0.2">
      <c r="A50" s="13" t="s">
        <v>52</v>
      </c>
      <c r="B50" s="16">
        <v>3429.1</v>
      </c>
      <c r="C50" s="19">
        <v>49</v>
      </c>
      <c r="D50" s="19"/>
      <c r="E50" s="19"/>
      <c r="F50" s="19"/>
      <c r="G50" s="7"/>
      <c r="H50" s="7"/>
      <c r="I50" s="7"/>
      <c r="J50" s="7"/>
      <c r="K50" s="7"/>
      <c r="L50" s="7"/>
    </row>
    <row r="51" spans="1:12" x14ac:dyDescent="0.2">
      <c r="A51" s="13" t="s">
        <v>53</v>
      </c>
      <c r="B51" s="16">
        <v>3904.7</v>
      </c>
      <c r="C51" s="19">
        <v>50</v>
      </c>
      <c r="D51" s="19"/>
      <c r="E51" s="19"/>
      <c r="F51" s="19"/>
      <c r="G51" s="7"/>
      <c r="H51" s="7"/>
      <c r="I51" s="7"/>
      <c r="J51" s="7"/>
      <c r="K51" s="7"/>
      <c r="L51" s="7"/>
    </row>
    <row r="52" spans="1:12" x14ac:dyDescent="0.2">
      <c r="A52" s="13" t="s">
        <v>54</v>
      </c>
      <c r="B52" s="16">
        <v>4373.2</v>
      </c>
      <c r="C52" s="19">
        <v>51</v>
      </c>
      <c r="D52" s="19"/>
      <c r="E52" s="19"/>
      <c r="F52" s="19"/>
      <c r="G52" s="7"/>
      <c r="H52" s="7"/>
      <c r="I52" s="7"/>
      <c r="J52" s="7"/>
      <c r="K52" s="7"/>
      <c r="L52" s="7"/>
    </row>
    <row r="53" spans="1:12" x14ac:dyDescent="0.2">
      <c r="A53" s="13" t="s">
        <v>55</v>
      </c>
      <c r="B53" s="16">
        <v>4870.8</v>
      </c>
      <c r="C53" s="19">
        <v>52</v>
      </c>
      <c r="D53" s="19"/>
      <c r="E53" s="19"/>
      <c r="F53" s="19"/>
      <c r="G53" s="7"/>
      <c r="H53" s="7"/>
      <c r="I53" s="7"/>
      <c r="J53" s="7"/>
      <c r="K53" s="7"/>
      <c r="L53" s="7"/>
    </row>
    <row r="54" spans="1:12" x14ac:dyDescent="0.2">
      <c r="A54" s="13" t="s">
        <v>56</v>
      </c>
      <c r="B54" s="16">
        <v>5513.4</v>
      </c>
      <c r="C54" s="19">
        <v>53</v>
      </c>
      <c r="D54" s="19"/>
      <c r="E54" s="19"/>
      <c r="F54" s="19"/>
      <c r="G54" s="7"/>
      <c r="H54" s="7"/>
      <c r="I54" s="7"/>
      <c r="J54" s="7"/>
      <c r="K54" s="7"/>
      <c r="L54" s="7"/>
    </row>
    <row r="55" spans="1:12" x14ac:dyDescent="0.2">
      <c r="A55" s="13" t="s">
        <v>57</v>
      </c>
      <c r="B55" s="16">
        <v>6144.82</v>
      </c>
      <c r="C55" s="19">
        <v>54</v>
      </c>
      <c r="D55" s="19"/>
      <c r="E55" s="19"/>
      <c r="F55" s="19"/>
      <c r="G55" s="7"/>
      <c r="H55" s="7"/>
      <c r="I55" s="7"/>
      <c r="J55" s="7"/>
      <c r="K55" s="7"/>
      <c r="L55" s="7"/>
    </row>
    <row r="56" spans="1:12" x14ac:dyDescent="0.2">
      <c r="A56" s="14" t="s">
        <v>58</v>
      </c>
      <c r="B56" s="17">
        <v>6867.2</v>
      </c>
      <c r="C56" s="20">
        <v>55</v>
      </c>
      <c r="D56" s="20"/>
      <c r="E56" s="20"/>
      <c r="F56" s="20"/>
      <c r="G56" s="7"/>
      <c r="H56" s="7"/>
      <c r="I56" s="7"/>
      <c r="J56" s="7"/>
      <c r="K56" s="7"/>
      <c r="L56" s="7"/>
    </row>
    <row r="57" spans="1:12" x14ac:dyDescent="0.2">
      <c r="A57" s="12" t="s">
        <v>59</v>
      </c>
      <c r="B57" s="15">
        <v>1336.84</v>
      </c>
      <c r="C57" s="18">
        <v>56</v>
      </c>
      <c r="D57" s="18"/>
      <c r="E57" s="18"/>
      <c r="F57" s="18"/>
      <c r="G57" s="7"/>
      <c r="H57" s="7"/>
      <c r="I57" s="7"/>
      <c r="J57" s="7"/>
      <c r="K57" s="7"/>
      <c r="L57" s="7"/>
    </row>
    <row r="58" spans="1:12" x14ac:dyDescent="0.2">
      <c r="A58" s="13" t="s">
        <v>60</v>
      </c>
      <c r="B58" s="16">
        <v>2080.08</v>
      </c>
      <c r="C58" s="19">
        <v>57</v>
      </c>
      <c r="D58" s="19"/>
      <c r="E58" s="19"/>
      <c r="F58" s="19"/>
      <c r="G58" s="7"/>
      <c r="H58" s="7"/>
      <c r="I58" s="7"/>
      <c r="J58" s="7"/>
      <c r="K58" s="7"/>
      <c r="L58" s="7"/>
    </row>
    <row r="59" spans="1:12" x14ac:dyDescent="0.2">
      <c r="A59" s="13" t="s">
        <v>61</v>
      </c>
      <c r="B59" s="16">
        <v>2909.3</v>
      </c>
      <c r="C59" s="19">
        <v>58</v>
      </c>
      <c r="D59" s="19"/>
      <c r="E59" s="19"/>
      <c r="F59" s="19"/>
      <c r="G59" s="7"/>
      <c r="H59" s="7"/>
      <c r="I59" s="7"/>
      <c r="J59" s="7"/>
      <c r="K59" s="7"/>
      <c r="L59" s="7"/>
    </row>
    <row r="60" spans="1:12" x14ac:dyDescent="0.2">
      <c r="A60" s="13" t="s">
        <v>62</v>
      </c>
      <c r="B60" s="16">
        <v>3662.8</v>
      </c>
      <c r="C60" s="19">
        <v>59</v>
      </c>
      <c r="D60" s="19"/>
      <c r="E60" s="19"/>
      <c r="F60" s="19"/>
      <c r="G60" s="7"/>
      <c r="H60" s="7"/>
      <c r="I60" s="7"/>
      <c r="J60" s="7"/>
      <c r="K60" s="7"/>
      <c r="L60" s="7"/>
    </row>
    <row r="61" spans="1:12" x14ac:dyDescent="0.2">
      <c r="A61" s="13" t="s">
        <v>63</v>
      </c>
      <c r="B61" s="16">
        <v>4246.4399999999996</v>
      </c>
      <c r="C61" s="19">
        <v>60</v>
      </c>
      <c r="D61" s="19"/>
      <c r="E61" s="19"/>
      <c r="F61" s="19"/>
      <c r="G61" s="7"/>
      <c r="H61" s="7"/>
      <c r="I61" s="7"/>
      <c r="J61" s="7"/>
      <c r="K61" s="7"/>
      <c r="L61" s="7"/>
    </row>
    <row r="62" spans="1:12" x14ac:dyDescent="0.2">
      <c r="A62" s="13" t="s">
        <v>64</v>
      </c>
      <c r="B62" s="16">
        <v>4835.8999999999996</v>
      </c>
      <c r="C62" s="19">
        <v>61</v>
      </c>
      <c r="D62" s="19"/>
      <c r="E62" s="19"/>
      <c r="F62" s="19"/>
      <c r="G62" s="7"/>
      <c r="H62" s="7"/>
      <c r="I62" s="7"/>
      <c r="J62" s="7"/>
      <c r="K62" s="7"/>
      <c r="L62" s="7"/>
    </row>
    <row r="63" spans="1:12" x14ac:dyDescent="0.2">
      <c r="A63" s="13" t="s">
        <v>65</v>
      </c>
      <c r="B63" s="16">
        <v>5308.39</v>
      </c>
      <c r="C63" s="19">
        <v>62</v>
      </c>
      <c r="D63" s="19"/>
      <c r="E63" s="19"/>
      <c r="F63" s="19"/>
      <c r="G63" s="7"/>
      <c r="H63" s="7"/>
      <c r="I63" s="7"/>
      <c r="J63" s="7"/>
      <c r="K63" s="7"/>
      <c r="L63" s="7"/>
    </row>
    <row r="64" spans="1:12" x14ac:dyDescent="0.2">
      <c r="A64" s="13" t="s">
        <v>66</v>
      </c>
      <c r="B64" s="16">
        <v>5836.8</v>
      </c>
      <c r="C64" s="19">
        <v>63</v>
      </c>
      <c r="D64" s="19"/>
      <c r="E64" s="19"/>
      <c r="F64" s="19"/>
      <c r="G64" s="7"/>
      <c r="H64" s="7"/>
      <c r="I64" s="7"/>
      <c r="J64" s="7"/>
      <c r="K64" s="7"/>
      <c r="L64" s="7"/>
    </row>
    <row r="65" spans="1:12" x14ac:dyDescent="0.2">
      <c r="A65" s="13" t="s">
        <v>67</v>
      </c>
      <c r="B65" s="16">
        <v>6424.3</v>
      </c>
      <c r="C65" s="19">
        <v>64</v>
      </c>
      <c r="D65" s="19"/>
      <c r="E65" s="19"/>
      <c r="F65" s="19"/>
      <c r="G65" s="7"/>
      <c r="H65" s="7"/>
      <c r="I65" s="7"/>
      <c r="J65" s="7"/>
      <c r="K65" s="7"/>
      <c r="L65" s="7"/>
    </row>
    <row r="66" spans="1:12" x14ac:dyDescent="0.2">
      <c r="A66" s="13" t="s">
        <v>68</v>
      </c>
      <c r="B66" s="16">
        <v>7251.9</v>
      </c>
      <c r="C66" s="19">
        <v>65</v>
      </c>
      <c r="D66" s="19"/>
      <c r="E66" s="19"/>
      <c r="F66" s="19"/>
      <c r="G66" s="7"/>
      <c r="H66" s="7"/>
      <c r="I66" s="7"/>
      <c r="J66" s="7"/>
      <c r="K66" s="7"/>
      <c r="L66" s="7"/>
    </row>
    <row r="67" spans="1:12" x14ac:dyDescent="0.2">
      <c r="A67" s="14" t="s">
        <v>69</v>
      </c>
      <c r="B67" s="17">
        <v>8090.5</v>
      </c>
      <c r="C67" s="20">
        <v>66</v>
      </c>
      <c r="D67" s="20"/>
      <c r="E67" s="20"/>
      <c r="F67" s="20"/>
      <c r="G67" s="7"/>
      <c r="H67" s="7"/>
      <c r="I67" s="7"/>
      <c r="J67" s="7"/>
      <c r="K67" s="7"/>
      <c r="L67" s="7"/>
    </row>
    <row r="68" spans="1:12" x14ac:dyDescent="0.2">
      <c r="A68" s="9" t="s">
        <v>80</v>
      </c>
      <c r="B68" s="18"/>
      <c r="C68" s="18">
        <v>67</v>
      </c>
      <c r="D68" s="18"/>
      <c r="E68" s="18"/>
      <c r="F68" s="18"/>
      <c r="G68" s="7"/>
      <c r="H68" s="7"/>
      <c r="I68" s="7"/>
      <c r="J68" s="7"/>
      <c r="K68" s="7"/>
      <c r="L68" s="7"/>
    </row>
    <row r="69" spans="1:12" x14ac:dyDescent="0.2">
      <c r="A69" s="8" t="s">
        <v>83</v>
      </c>
      <c r="B69" s="19"/>
      <c r="C69" s="19">
        <v>68</v>
      </c>
      <c r="D69" s="19"/>
      <c r="E69" s="19"/>
      <c r="F69" s="19"/>
      <c r="G69" s="7"/>
      <c r="H69" s="7"/>
      <c r="I69" s="7"/>
      <c r="J69" s="7"/>
      <c r="K69" s="7"/>
      <c r="L69" s="7"/>
    </row>
    <row r="70" spans="1:12" x14ac:dyDescent="0.2">
      <c r="A70" s="8" t="s">
        <v>82</v>
      </c>
      <c r="B70" s="19"/>
      <c r="C70" s="19">
        <v>69</v>
      </c>
      <c r="D70" s="19"/>
      <c r="E70" s="19"/>
      <c r="F70" s="19"/>
      <c r="G70" s="7"/>
      <c r="H70" s="7"/>
      <c r="I70" s="7"/>
      <c r="J70" s="7"/>
      <c r="K70" s="7"/>
      <c r="L70" s="7"/>
    </row>
    <row r="71" spans="1:12" x14ac:dyDescent="0.2">
      <c r="A71" s="9" t="s">
        <v>81</v>
      </c>
      <c r="B71" s="21"/>
      <c r="C71" s="19">
        <v>70</v>
      </c>
      <c r="D71" s="19"/>
      <c r="E71" s="19"/>
      <c r="F71" s="19"/>
    </row>
    <row r="72" spans="1:12" x14ac:dyDescent="0.2">
      <c r="A72" s="8" t="s">
        <v>84</v>
      </c>
      <c r="B72" s="21"/>
      <c r="C72" s="19">
        <v>71</v>
      </c>
      <c r="D72" s="19"/>
      <c r="E72" s="19"/>
      <c r="F72" s="19"/>
    </row>
    <row r="73" spans="1:12" x14ac:dyDescent="0.2">
      <c r="A73" s="8" t="s">
        <v>85</v>
      </c>
      <c r="B73" s="21"/>
      <c r="C73" s="19">
        <v>72</v>
      </c>
      <c r="D73" s="19"/>
      <c r="E73" s="19"/>
      <c r="F73" s="19"/>
    </row>
    <row r="74" spans="1:12" x14ac:dyDescent="0.2">
      <c r="A74" s="9" t="s">
        <v>86</v>
      </c>
      <c r="B74" s="21"/>
      <c r="C74" s="19">
        <v>73</v>
      </c>
      <c r="D74" s="19"/>
      <c r="E74" s="19"/>
      <c r="F74" s="19"/>
    </row>
    <row r="75" spans="1:12" x14ac:dyDescent="0.2">
      <c r="A75" s="8" t="s">
        <v>87</v>
      </c>
      <c r="B75" s="21"/>
      <c r="C75" s="19">
        <v>74</v>
      </c>
      <c r="D75" s="19"/>
      <c r="E75" s="19"/>
      <c r="F75" s="19"/>
    </row>
    <row r="76" spans="1:12" x14ac:dyDescent="0.2">
      <c r="A76" s="8" t="s">
        <v>88</v>
      </c>
      <c r="B76" s="21"/>
      <c r="C76" s="19">
        <v>75</v>
      </c>
      <c r="D76" s="19"/>
      <c r="E76" s="19"/>
      <c r="F76" s="19"/>
    </row>
    <row r="77" spans="1:12" x14ac:dyDescent="0.2">
      <c r="A77" s="9" t="s">
        <v>89</v>
      </c>
      <c r="B77" s="21"/>
      <c r="C77" s="19">
        <v>76</v>
      </c>
      <c r="D77" s="19"/>
      <c r="E77" s="19"/>
      <c r="F77" s="19"/>
    </row>
    <row r="78" spans="1:12" x14ac:dyDescent="0.2">
      <c r="A78" s="10" t="s">
        <v>90</v>
      </c>
      <c r="B78" s="22"/>
      <c r="C78" s="20">
        <v>77</v>
      </c>
      <c r="D78" s="20"/>
      <c r="E78" s="20"/>
      <c r="F78" s="20"/>
    </row>
  </sheetData>
  <mergeCells count="1">
    <mergeCell ref="J2:J1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例5-5</vt:lpstr>
      <vt:lpstr>季节指数模型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xiemp@126.com</dc:creator>
  <cp:lastModifiedBy>Administrator</cp:lastModifiedBy>
  <dcterms:created xsi:type="dcterms:W3CDTF">2024-03-21T09:03:09Z</dcterms:created>
  <dcterms:modified xsi:type="dcterms:W3CDTF">2025-04-06T23:42:36Z</dcterms:modified>
</cp:coreProperties>
</file>