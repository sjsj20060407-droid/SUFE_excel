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86158\Desktop\经管机作业\"/>
    </mc:Choice>
  </mc:AlternateContent>
  <xr:revisionPtr revIDLastSave="0" documentId="13_ncr:1_{A1582969-9FAF-41AC-88ED-D5FC127020BC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例5-5" sheetId="1" r:id="rId1"/>
    <sheet name="季节指数法（1）" sheetId="2" r:id="rId2"/>
    <sheet name="季节指数法" sheetId="3" r:id="rId3"/>
    <sheet name="Foreacast函数族方法" sheetId="5" r:id="rId4"/>
  </sheets>
  <calcPr calcId="191029"/>
  <pivotCaches>
    <pivotCache cacheId="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0" i="2" l="1" a="1"/>
  <c r="G50" i="2" s="1"/>
  <c r="F50" i="2"/>
  <c r="F51" i="2"/>
  <c r="F52" i="2"/>
  <c r="F53" i="2"/>
  <c r="N9" i="2"/>
  <c r="L3" i="2"/>
  <c r="L4" i="2"/>
  <c r="L5" i="2"/>
  <c r="L2" i="2"/>
  <c r="M2" i="2"/>
  <c r="G5" i="5"/>
  <c r="G6" i="5"/>
  <c r="H5" i="5"/>
  <c r="H6" i="5"/>
  <c r="D6" i="5"/>
  <c r="D14" i="5"/>
  <c r="D22" i="5"/>
  <c r="D30" i="5"/>
  <c r="D38" i="5"/>
  <c r="D46" i="5"/>
  <c r="D7" i="5"/>
  <c r="D15" i="5"/>
  <c r="D23" i="5"/>
  <c r="D31" i="5"/>
  <c r="D39" i="5"/>
  <c r="D47" i="5"/>
  <c r="D8" i="5"/>
  <c r="D16" i="5"/>
  <c r="D24" i="5"/>
  <c r="D32" i="5"/>
  <c r="D40" i="5"/>
  <c r="D48" i="5"/>
  <c r="D52" i="5"/>
  <c r="D21" i="5"/>
  <c r="D45" i="5"/>
  <c r="D9" i="5"/>
  <c r="D17" i="5"/>
  <c r="D25" i="5"/>
  <c r="D33" i="5"/>
  <c r="D41" i="5"/>
  <c r="D49" i="5"/>
  <c r="D12" i="5"/>
  <c r="D36" i="5"/>
  <c r="D5" i="5"/>
  <c r="D37" i="5"/>
  <c r="D53" i="5"/>
  <c r="D10" i="5"/>
  <c r="D18" i="5"/>
  <c r="D26" i="5"/>
  <c r="D34" i="5"/>
  <c r="D42" i="5"/>
  <c r="D50" i="5"/>
  <c r="D3" i="5"/>
  <c r="D11" i="5"/>
  <c r="D19" i="5"/>
  <c r="D27" i="5"/>
  <c r="D35" i="5"/>
  <c r="D43" i="5"/>
  <c r="D51" i="5"/>
  <c r="D4" i="5"/>
  <c r="D20" i="5"/>
  <c r="D28" i="5"/>
  <c r="D44" i="5"/>
  <c r="D13" i="5"/>
  <c r="D29" i="5"/>
  <c r="D2" i="5"/>
  <c r="G1" i="5"/>
  <c r="G53" i="2" l="1"/>
  <c r="G52" i="2"/>
  <c r="G51" i="2"/>
  <c r="K2" i="2"/>
  <c r="K5" i="2"/>
  <c r="K4" i="2"/>
  <c r="K3" i="2"/>
  <c r="E10" i="2" s="1" a="1"/>
  <c r="E2" i="2" a="1"/>
  <c r="E5" i="2" s="1"/>
  <c r="E38" i="2" a="1"/>
  <c r="E38" i="2" s="1"/>
  <c r="E18" i="2" a="1"/>
  <c r="E18" i="2" s="1"/>
  <c r="E22" i="2" a="1"/>
  <c r="E22" i="2" s="1"/>
  <c r="E26" i="2" a="1"/>
  <c r="E26" i="2" s="1"/>
  <c r="E34" i="2" a="1"/>
  <c r="E37" i="2" s="1"/>
  <c r="E14" i="2" a="1"/>
  <c r="E14" i="2" s="1"/>
  <c r="E42" i="2" a="1"/>
  <c r="L6" i="3"/>
  <c r="E30" i="2" l="1" a="1"/>
  <c r="E32" i="2" s="1"/>
  <c r="E6" i="2" a="1"/>
  <c r="E6" i="2" s="1"/>
  <c r="E46" i="2" a="1"/>
  <c r="E47" i="2" s="1"/>
  <c r="E33" i="2"/>
  <c r="E39" i="2"/>
  <c r="E4" i="2"/>
  <c r="E2" i="2"/>
  <c r="E40" i="2"/>
  <c r="E41" i="2"/>
  <c r="E30" i="2"/>
  <c r="E31" i="2"/>
  <c r="E24" i="2"/>
  <c r="E3" i="2"/>
  <c r="E25" i="2"/>
  <c r="E19" i="2"/>
  <c r="E27" i="2"/>
  <c r="E17" i="2"/>
  <c r="E15" i="2"/>
  <c r="E28" i="2"/>
  <c r="E20" i="2"/>
  <c r="E45" i="2"/>
  <c r="E44" i="2"/>
  <c r="E43" i="2"/>
  <c r="E42" i="2"/>
  <c r="E16" i="2"/>
  <c r="E23" i="2"/>
  <c r="E35" i="2"/>
  <c r="E34" i="2"/>
  <c r="E29" i="2"/>
  <c r="E36" i="2"/>
  <c r="E10" i="2"/>
  <c r="E11" i="2"/>
  <c r="E12" i="2"/>
  <c r="E13" i="2"/>
  <c r="E21" i="2"/>
  <c r="F50" i="3" a="1"/>
  <c r="F53" i="3" s="1"/>
  <c r="F51" i="3"/>
  <c r="G50" i="3" s="1" a="1"/>
  <c r="G53" i="3" s="1"/>
  <c r="F52" i="3"/>
  <c r="F50" i="3"/>
  <c r="E48" i="2" l="1"/>
  <c r="E46" i="2"/>
  <c r="E9" i="2"/>
  <c r="E8" i="2"/>
  <c r="E7" i="2"/>
  <c r="F38" i="2" s="1"/>
  <c r="E49" i="2"/>
  <c r="F49" i="2"/>
  <c r="F34" i="2"/>
  <c r="F3" i="2"/>
  <c r="K7" i="2"/>
  <c r="F37" i="2"/>
  <c r="F6" i="2"/>
  <c r="F42" i="2"/>
  <c r="F17" i="2"/>
  <c r="F18" i="2"/>
  <c r="F2" i="2"/>
  <c r="F35" i="2"/>
  <c r="F5" i="2"/>
  <c r="F23" i="2"/>
  <c r="F44" i="2"/>
  <c r="F24" i="2"/>
  <c r="F25" i="2"/>
  <c r="F10" i="2"/>
  <c r="F27" i="2"/>
  <c r="F29" i="2"/>
  <c r="F46" i="2"/>
  <c r="F12" i="2"/>
  <c r="G50" i="3"/>
  <c r="G52" i="3"/>
  <c r="G51" i="3"/>
  <c r="F48" i="2" l="1"/>
  <c r="F22" i="2"/>
  <c r="F32" i="2"/>
  <c r="F16" i="2"/>
  <c r="F19" i="2"/>
  <c r="G18" i="2" s="1" a="1"/>
  <c r="F45" i="2"/>
  <c r="F15" i="2"/>
  <c r="F39" i="2"/>
  <c r="F33" i="2"/>
  <c r="F47" i="2"/>
  <c r="G46" i="2" s="1" a="1"/>
  <c r="F21" i="2"/>
  <c r="F31" i="2"/>
  <c r="F30" i="2"/>
  <c r="G30" i="2" s="1" a="1"/>
  <c r="G32" i="2" s="1"/>
  <c r="F13" i="2"/>
  <c r="F14" i="2"/>
  <c r="G14" i="2" s="1" a="1"/>
  <c r="G17" i="2" s="1"/>
  <c r="F28" i="2"/>
  <c r="F43" i="2"/>
  <c r="F36" i="2"/>
  <c r="F26" i="2"/>
  <c r="G26" i="2" s="1" a="1"/>
  <c r="F8" i="2"/>
  <c r="F11" i="2"/>
  <c r="G10" i="2" s="1" a="1"/>
  <c r="F20" i="2"/>
  <c r="F9" i="2"/>
  <c r="F7" i="2"/>
  <c r="G6" i="2" s="1" a="1"/>
  <c r="F41" i="2"/>
  <c r="F4" i="2"/>
  <c r="G2" i="2" s="1" a="1"/>
  <c r="F40" i="2"/>
  <c r="G38" i="2" s="1" a="1"/>
  <c r="G42" i="2" a="1"/>
  <c r="G34" i="2" a="1"/>
  <c r="G22" i="2" a="1"/>
  <c r="G9" i="2" l="1"/>
  <c r="G6" i="2"/>
  <c r="G7" i="2"/>
  <c r="G8" i="2"/>
  <c r="G46" i="2"/>
  <c r="G47" i="2"/>
  <c r="G49" i="2"/>
  <c r="G48" i="2"/>
  <c r="G16" i="2"/>
  <c r="G15" i="2"/>
  <c r="G14" i="2"/>
  <c r="G30" i="2"/>
  <c r="G31" i="2"/>
  <c r="G33" i="2"/>
  <c r="G44" i="2"/>
  <c r="G43" i="2"/>
  <c r="G42" i="2"/>
  <c r="G45" i="2"/>
  <c r="G27" i="2"/>
  <c r="G29" i="2"/>
  <c r="G28" i="2"/>
  <c r="G26" i="2"/>
  <c r="G24" i="2"/>
  <c r="G23" i="2"/>
  <c r="G22" i="2"/>
  <c r="G25" i="2"/>
  <c r="G34" i="2"/>
  <c r="G35" i="2"/>
  <c r="G36" i="2"/>
  <c r="G37" i="2"/>
  <c r="G18" i="2"/>
  <c r="G19" i="2"/>
  <c r="G20" i="2"/>
  <c r="G21" i="2"/>
  <c r="G2" i="2"/>
  <c r="G3" i="2"/>
  <c r="G5" i="2"/>
  <c r="G4" i="2"/>
  <c r="G11" i="2"/>
  <c r="G10" i="2"/>
  <c r="G13" i="2"/>
  <c r="G12" i="2"/>
  <c r="G39" i="2"/>
  <c r="G40" i="2"/>
  <c r="G38" i="2"/>
  <c r="G41" i="2"/>
  <c r="L17" i="2" l="1"/>
</calcChain>
</file>

<file path=xl/sharedStrings.xml><?xml version="1.0" encoding="utf-8"?>
<sst xmlns="http://schemas.openxmlformats.org/spreadsheetml/2006/main" count="42" uniqueCount="36">
  <si>
    <t>季度</t>
    <phoneticPr fontId="3" type="noConversion"/>
  </si>
  <si>
    <t>销量</t>
    <phoneticPr fontId="3" type="noConversion"/>
  </si>
  <si>
    <t>季节指数</t>
    <phoneticPr fontId="3" type="noConversion"/>
  </si>
  <si>
    <t>R^2</t>
    <phoneticPr fontId="2" type="noConversion"/>
  </si>
  <si>
    <t>序号</t>
    <phoneticPr fontId="3" type="noConversion"/>
  </si>
  <si>
    <t>趋势值</t>
    <phoneticPr fontId="3" type="noConversion"/>
  </si>
  <si>
    <t>趋势预测值</t>
    <phoneticPr fontId="3" type="noConversion"/>
  </si>
  <si>
    <t>带季节成分的预测值</t>
    <phoneticPr fontId="3" type="noConversion"/>
  </si>
  <si>
    <t>各季度的平均值</t>
    <phoneticPr fontId="2" type="noConversion"/>
  </si>
  <si>
    <t>所有季度的平均值</t>
    <phoneticPr fontId="2" type="noConversion"/>
  </si>
  <si>
    <t>月份</t>
    <phoneticPr fontId="3" type="noConversion"/>
  </si>
  <si>
    <t>周</t>
    <phoneticPr fontId="3" type="noConversion"/>
  </si>
  <si>
    <t>空调销售数据</t>
    <phoneticPr fontId="2" type="noConversion"/>
  </si>
  <si>
    <t>季节模式长度</t>
    <phoneticPr fontId="2" type="noConversion"/>
  </si>
  <si>
    <t>观测值</t>
    <phoneticPr fontId="2" type="noConversion"/>
  </si>
  <si>
    <t>序号</t>
    <phoneticPr fontId="2" type="noConversion"/>
  </si>
  <si>
    <t>季节指数法</t>
    <phoneticPr fontId="2" type="noConversion"/>
  </si>
  <si>
    <t>FORECAST.ETS函数</t>
    <phoneticPr fontId="2" type="noConversion"/>
  </si>
  <si>
    <t>FORECAST.ETS法</t>
    <phoneticPr fontId="2" type="noConversion"/>
  </si>
  <si>
    <t>MSE</t>
    <phoneticPr fontId="2" type="noConversion"/>
  </si>
  <si>
    <t>周平均</t>
    <phoneticPr fontId="2" type="noConversion"/>
  </si>
  <si>
    <t>总平均</t>
    <phoneticPr fontId="2" type="noConversion"/>
  </si>
  <si>
    <t>s1</t>
    <phoneticPr fontId="2" type="noConversion"/>
  </si>
  <si>
    <t>s2</t>
    <phoneticPr fontId="2" type="noConversion"/>
  </si>
  <si>
    <t>s3</t>
    <phoneticPr fontId="2" type="noConversion"/>
  </si>
  <si>
    <t>s4</t>
    <phoneticPr fontId="2" type="noConversion"/>
  </si>
  <si>
    <t>行标签</t>
  </si>
  <si>
    <t>总计</t>
  </si>
  <si>
    <t>平均值项:销量</t>
  </si>
  <si>
    <t>趋势=观测值/季节指数</t>
    <phoneticPr fontId="2" type="noConversion"/>
  </si>
  <si>
    <t>季节指数</t>
    <phoneticPr fontId="2" type="noConversion"/>
  </si>
  <si>
    <t>r^2</t>
    <phoneticPr fontId="2" type="noConversion"/>
  </si>
  <si>
    <t>mse</t>
    <phoneticPr fontId="2" type="noConversion"/>
  </si>
  <si>
    <t>趋势值</t>
    <phoneticPr fontId="2" type="noConversion"/>
  </si>
  <si>
    <t>趋势预测值</t>
    <phoneticPr fontId="2" type="noConversion"/>
  </si>
  <si>
    <t>带季节成分的趋势预测值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</si>
</sst>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7" x14ac:knownFonts="1">
    <font>
      <sz val="11"/>
      <color theme="1"/>
      <name val="宋体"/>
      <family val="2"/>
      <charset val="134"/>
      <scheme val="minor"/>
    </font>
    <font>
      <sz val="10"/>
      <name val="宋体"/>
      <family val="3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20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2" borderId="6" xfId="0" applyFill="1" applyBorder="1">
      <alignment vertical="center"/>
    </xf>
    <xf numFmtId="0" fontId="0" fillId="2" borderId="0" xfId="0" applyFill="1">
      <alignment vertical="center"/>
    </xf>
    <xf numFmtId="0" fontId="0" fillId="2" borderId="7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4" fillId="0" borderId="0" xfId="0" applyFont="1">
      <alignment vertical="center"/>
    </xf>
    <xf numFmtId="0" fontId="1" fillId="2" borderId="4" xfId="0" applyFont="1" applyFill="1" applyBorder="1" applyAlignment="1"/>
    <xf numFmtId="0" fontId="1" fillId="2" borderId="1" xfId="0" applyFont="1" applyFill="1" applyBorder="1" applyAlignment="1"/>
    <xf numFmtId="0" fontId="0" fillId="0" borderId="4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5" fillId="0" borderId="0" xfId="0" applyFont="1">
      <alignment vertical="center"/>
    </xf>
    <xf numFmtId="176" fontId="0" fillId="0" borderId="0" xfId="0" applyNumberFormat="1">
      <alignment vertical="center"/>
    </xf>
    <xf numFmtId="176" fontId="0" fillId="0" borderId="2" xfId="0" applyNumberFormat="1" applyBorder="1">
      <alignment vertical="center"/>
    </xf>
    <xf numFmtId="176" fontId="0" fillId="0" borderId="3" xfId="0" applyNumberForma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1" fillId="2" borderId="0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1"/>
              <a:t>空调每周销量变化图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季节指数法!$C$2:$C$5</c:f>
              <c:numCache>
                <c:formatCode>General</c:formatCode>
                <c:ptCount val="4"/>
                <c:pt idx="0">
                  <c:v>4.5</c:v>
                </c:pt>
                <c:pt idx="1">
                  <c:v>4.8</c:v>
                </c:pt>
                <c:pt idx="2">
                  <c:v>5.9</c:v>
                </c:pt>
                <c:pt idx="3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01-4A87-9CDB-54E18FFD497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季节指数法!$C$6:$C$9</c:f>
              <c:numCache>
                <c:formatCode>General</c:formatCode>
                <c:ptCount val="4"/>
                <c:pt idx="0">
                  <c:v>5.0999999999999996</c:v>
                </c:pt>
                <c:pt idx="1">
                  <c:v>5.3</c:v>
                </c:pt>
                <c:pt idx="2">
                  <c:v>7.1</c:v>
                </c:pt>
                <c:pt idx="3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01-4A87-9CDB-54E18FFD497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季节指数法!$C$10:$C$13</c:f>
              <c:numCache>
                <c:formatCode>General</c:formatCode>
                <c:ptCount val="4"/>
                <c:pt idx="0">
                  <c:v>5.5</c:v>
                </c:pt>
                <c:pt idx="1">
                  <c:v>5.5</c:v>
                </c:pt>
                <c:pt idx="2">
                  <c:v>7.3</c:v>
                </c:pt>
                <c:pt idx="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01-4A87-9CDB-54E18FFD4973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季节指数法!$C$14:$C$17</c:f>
              <c:numCache>
                <c:formatCode>General</c:formatCode>
                <c:ptCount val="4"/>
                <c:pt idx="0">
                  <c:v>6.2</c:v>
                </c:pt>
                <c:pt idx="1">
                  <c:v>6.3</c:v>
                </c:pt>
                <c:pt idx="2">
                  <c:v>8</c:v>
                </c:pt>
                <c:pt idx="3">
                  <c:v>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01-4A87-9CDB-54E18FFD4973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季节指数法!$C$18:$C$21</c:f>
              <c:numCache>
                <c:formatCode>General</c:formatCode>
                <c:ptCount val="4"/>
                <c:pt idx="0">
                  <c:v>7.1</c:v>
                </c:pt>
                <c:pt idx="1">
                  <c:v>7.3</c:v>
                </c:pt>
                <c:pt idx="2">
                  <c:v>8.5</c:v>
                </c:pt>
                <c:pt idx="3">
                  <c:v>8.8000000000000007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C01-4A87-9CDB-54E18FFD4973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季节指数法!$C$22:$C$25</c:f>
              <c:numCache>
                <c:formatCode>General</c:formatCode>
                <c:ptCount val="4"/>
                <c:pt idx="0">
                  <c:v>8.1999999999999993</c:v>
                </c:pt>
                <c:pt idx="1">
                  <c:v>8.3000000000000007</c:v>
                </c:pt>
                <c:pt idx="2">
                  <c:v>9</c:v>
                </c:pt>
                <c:pt idx="3">
                  <c:v>9.1999999999999993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C01-4A87-9CDB-54E18FFD4973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季节指数法!$C$26:$C$29</c:f>
              <c:numCache>
                <c:formatCode>General</c:formatCode>
                <c:ptCount val="4"/>
                <c:pt idx="0">
                  <c:v>8.5</c:v>
                </c:pt>
                <c:pt idx="1">
                  <c:v>8.8000000000000007</c:v>
                </c:pt>
                <c:pt idx="2">
                  <c:v>9.8000000000000007</c:v>
                </c:pt>
                <c:pt idx="3">
                  <c:v>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C01-4A87-9CDB-54E18FFD4973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季节指数法!$C$30:$C$33</c:f>
              <c:numCache>
                <c:formatCode>General</c:formatCode>
                <c:ptCount val="4"/>
                <c:pt idx="0">
                  <c:v>9.4</c:v>
                </c:pt>
                <c:pt idx="1">
                  <c:v>9.3000000000000007</c:v>
                </c:pt>
                <c:pt idx="2">
                  <c:v>10.6</c:v>
                </c:pt>
                <c:pt idx="3">
                  <c:v>10.7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C01-4A87-9CDB-54E18FFD4973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val>
            <c:numRef>
              <c:f>季节指数法!$C$34:$C$37</c:f>
              <c:numCache>
                <c:formatCode>General</c:formatCode>
                <c:ptCount val="4"/>
                <c:pt idx="0">
                  <c:v>10</c:v>
                </c:pt>
                <c:pt idx="1">
                  <c:v>10.199999999999999</c:v>
                </c:pt>
                <c:pt idx="2">
                  <c:v>11</c:v>
                </c:pt>
                <c:pt idx="3">
                  <c:v>11.3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C01-4A87-9CDB-54E18FFD4973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val>
            <c:numRef>
              <c:f>季节指数法!$C$38:$C$41</c:f>
              <c:numCache>
                <c:formatCode>General</c:formatCode>
                <c:ptCount val="4"/>
                <c:pt idx="0">
                  <c:v>10.8</c:v>
                </c:pt>
                <c:pt idx="1">
                  <c:v>10.6</c:v>
                </c:pt>
                <c:pt idx="2">
                  <c:v>11.6</c:v>
                </c:pt>
                <c:pt idx="3">
                  <c:v>11.4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C01-4A87-9CDB-54E18FFD4973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val>
            <c:numRef>
              <c:f>季节指数法!$C$42:$C$45</c:f>
              <c:numCache>
                <c:formatCode>General</c:formatCode>
                <c:ptCount val="4"/>
                <c:pt idx="0">
                  <c:v>11</c:v>
                </c:pt>
                <c:pt idx="1">
                  <c:v>11.2</c:v>
                </c:pt>
                <c:pt idx="2">
                  <c:v>12.8</c:v>
                </c:pt>
                <c:pt idx="3">
                  <c:v>12.6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C01-4A87-9CDB-54E18FFD4973}"/>
            </c:ext>
          </c:extLst>
        </c:ser>
        <c:ser>
          <c:idx val="11"/>
          <c:order val="11"/>
          <c:val>
            <c:numRef>
              <c:f>'季节指数法（1）'!$C$46:$C$49</c:f>
              <c:numCache>
                <c:formatCode>General</c:formatCode>
                <c:ptCount val="4"/>
                <c:pt idx="0">
                  <c:v>11.4</c:v>
                </c:pt>
                <c:pt idx="1">
                  <c:v>11.5</c:v>
                </c:pt>
                <c:pt idx="2">
                  <c:v>13</c:v>
                </c:pt>
                <c:pt idx="3">
                  <c:v>13.1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FB-44BF-889C-BFC1AE387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044416"/>
        <c:axId val="128502016"/>
      </c:lineChart>
      <c:catAx>
        <c:axId val="74044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8502016"/>
        <c:crosses val="autoZero"/>
        <c:auto val="1"/>
        <c:lblAlgn val="ctr"/>
        <c:lblOffset val="100"/>
        <c:noMultiLvlLbl val="0"/>
      </c:catAx>
      <c:valAx>
        <c:axId val="128502016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044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zh-CN"/>
              <a:t>空调</a:t>
            </a:r>
            <a:r>
              <a:rPr lang="en-US"/>
              <a:t>12</a:t>
            </a:r>
            <a:r>
              <a:rPr lang="zh-CN"/>
              <a:t>个月的每周销量变化图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'季节指数法（1）'!$C$2:$C$49</c:f>
              <c:numCache>
                <c:formatCode>General</c:formatCode>
                <c:ptCount val="48"/>
                <c:pt idx="0">
                  <c:v>4.5</c:v>
                </c:pt>
                <c:pt idx="1">
                  <c:v>4.8</c:v>
                </c:pt>
                <c:pt idx="2">
                  <c:v>5.9</c:v>
                </c:pt>
                <c:pt idx="3">
                  <c:v>6.4</c:v>
                </c:pt>
                <c:pt idx="4">
                  <c:v>5.0999999999999996</c:v>
                </c:pt>
                <c:pt idx="5">
                  <c:v>5.3</c:v>
                </c:pt>
                <c:pt idx="6">
                  <c:v>7.1</c:v>
                </c:pt>
                <c:pt idx="7">
                  <c:v>7.6</c:v>
                </c:pt>
                <c:pt idx="8">
                  <c:v>5.5</c:v>
                </c:pt>
                <c:pt idx="9">
                  <c:v>5.5</c:v>
                </c:pt>
                <c:pt idx="10">
                  <c:v>7.3</c:v>
                </c:pt>
                <c:pt idx="11">
                  <c:v>8</c:v>
                </c:pt>
                <c:pt idx="12">
                  <c:v>6.2</c:v>
                </c:pt>
                <c:pt idx="13">
                  <c:v>6.3</c:v>
                </c:pt>
                <c:pt idx="14">
                  <c:v>8</c:v>
                </c:pt>
                <c:pt idx="15">
                  <c:v>8.5</c:v>
                </c:pt>
                <c:pt idx="16">
                  <c:v>7.1</c:v>
                </c:pt>
                <c:pt idx="17">
                  <c:v>7.3</c:v>
                </c:pt>
                <c:pt idx="18">
                  <c:v>8.5</c:v>
                </c:pt>
                <c:pt idx="19">
                  <c:v>8.8000000000000007</c:v>
                </c:pt>
                <c:pt idx="20">
                  <c:v>8.1999999999999993</c:v>
                </c:pt>
                <c:pt idx="21">
                  <c:v>8.3000000000000007</c:v>
                </c:pt>
                <c:pt idx="22">
                  <c:v>9</c:v>
                </c:pt>
                <c:pt idx="23">
                  <c:v>9.1999999999999993</c:v>
                </c:pt>
                <c:pt idx="24">
                  <c:v>8.5</c:v>
                </c:pt>
                <c:pt idx="25">
                  <c:v>8.8000000000000007</c:v>
                </c:pt>
                <c:pt idx="26">
                  <c:v>9.8000000000000007</c:v>
                </c:pt>
                <c:pt idx="27">
                  <c:v>9.9</c:v>
                </c:pt>
                <c:pt idx="28">
                  <c:v>9.4</c:v>
                </c:pt>
                <c:pt idx="29">
                  <c:v>9.3000000000000007</c:v>
                </c:pt>
                <c:pt idx="30">
                  <c:v>10.6</c:v>
                </c:pt>
                <c:pt idx="31">
                  <c:v>10.7</c:v>
                </c:pt>
                <c:pt idx="32">
                  <c:v>10</c:v>
                </c:pt>
                <c:pt idx="33">
                  <c:v>10.199999999999999</c:v>
                </c:pt>
                <c:pt idx="34">
                  <c:v>11</c:v>
                </c:pt>
                <c:pt idx="35">
                  <c:v>11.3</c:v>
                </c:pt>
                <c:pt idx="36">
                  <c:v>10.8</c:v>
                </c:pt>
                <c:pt idx="37">
                  <c:v>10.6</c:v>
                </c:pt>
                <c:pt idx="38">
                  <c:v>11.6</c:v>
                </c:pt>
                <c:pt idx="39">
                  <c:v>11.4</c:v>
                </c:pt>
                <c:pt idx="40">
                  <c:v>11</c:v>
                </c:pt>
                <c:pt idx="41">
                  <c:v>11.2</c:v>
                </c:pt>
                <c:pt idx="42">
                  <c:v>12.8</c:v>
                </c:pt>
                <c:pt idx="43">
                  <c:v>12.6</c:v>
                </c:pt>
                <c:pt idx="44">
                  <c:v>11.4</c:v>
                </c:pt>
                <c:pt idx="45">
                  <c:v>11.5</c:v>
                </c:pt>
                <c:pt idx="46">
                  <c:v>13</c:v>
                </c:pt>
                <c:pt idx="47">
                  <c:v>13.1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31-428E-9C77-A34050D5A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981952"/>
        <c:axId val="128504320"/>
      </c:lineChart>
      <c:catAx>
        <c:axId val="7398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128504320"/>
        <c:crosses val="autoZero"/>
        <c:auto val="1"/>
        <c:lblAlgn val="ctr"/>
        <c:lblOffset val="100"/>
        <c:noMultiLvlLbl val="0"/>
      </c:catAx>
      <c:valAx>
        <c:axId val="12850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73981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1">
                <a:solidFill>
                  <a:sysClr val="windowText" lastClr="000000"/>
                </a:solidFill>
              </a:rPr>
              <a:t>空调每周销量观测值及季节指数模型预测值</a:t>
            </a:r>
          </a:p>
        </c:rich>
      </c:tx>
      <c:layout>
        <c:manualLayout>
          <c:xMode val="edge"/>
          <c:yMode val="edge"/>
          <c:x val="0.32683727974319571"/>
          <c:y val="4.473660610191379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5318853626373199E-2"/>
          <c:y val="0.132760090637873"/>
          <c:w val="0.90775727080095558"/>
          <c:h val="0.62205513604649076"/>
        </c:manualLayout>
      </c:layout>
      <c:lineChart>
        <c:grouping val="standard"/>
        <c:varyColors val="0"/>
        <c:ser>
          <c:idx val="0"/>
          <c:order val="0"/>
          <c:tx>
            <c:strRef>
              <c:f>季节指数法!$C$1</c:f>
              <c:strCache>
                <c:ptCount val="1"/>
                <c:pt idx="0">
                  <c:v>销量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季节指数法!$A$2:$B$53</c:f>
              <c:multiLvlStrCache>
                <c:ptCount val="5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19">
                    <c:v>4</c:v>
                  </c:pt>
                  <c:pt idx="20">
                    <c:v>1</c:v>
                  </c:pt>
                  <c:pt idx="21">
                    <c:v>2</c:v>
                  </c:pt>
                  <c:pt idx="22">
                    <c:v>3</c:v>
                  </c:pt>
                  <c:pt idx="23">
                    <c:v>4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1</c:v>
                  </c:pt>
                  <c:pt idx="33">
                    <c:v>2</c:v>
                  </c:pt>
                  <c:pt idx="34">
                    <c:v>3</c:v>
                  </c:pt>
                  <c:pt idx="35">
                    <c:v>4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1</c:v>
                  </c:pt>
                  <c:pt idx="41">
                    <c:v>2</c:v>
                  </c:pt>
                  <c:pt idx="42">
                    <c:v>3</c:v>
                  </c:pt>
                  <c:pt idx="43">
                    <c:v>4</c:v>
                  </c:pt>
                  <c:pt idx="44">
                    <c:v>1</c:v>
                  </c:pt>
                  <c:pt idx="45">
                    <c:v>2</c:v>
                  </c:pt>
                  <c:pt idx="46">
                    <c:v>3</c:v>
                  </c:pt>
                  <c:pt idx="47">
                    <c:v>4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</c:lvl>
                <c:lvl>
                  <c:pt idx="0">
                    <c:v>1</c:v>
                  </c:pt>
                  <c:pt idx="4">
                    <c:v>2</c:v>
                  </c:pt>
                  <c:pt idx="8">
                    <c:v>3</c:v>
                  </c:pt>
                  <c:pt idx="12">
                    <c:v>4</c:v>
                  </c:pt>
                  <c:pt idx="16">
                    <c:v>5</c:v>
                  </c:pt>
                  <c:pt idx="20">
                    <c:v>6</c:v>
                  </c:pt>
                  <c:pt idx="24">
                    <c:v>7</c:v>
                  </c:pt>
                  <c:pt idx="28">
                    <c:v>8</c:v>
                  </c:pt>
                  <c:pt idx="32">
                    <c:v>9</c:v>
                  </c:pt>
                  <c:pt idx="36">
                    <c:v>10</c:v>
                  </c:pt>
                  <c:pt idx="40">
                    <c:v>11</c:v>
                  </c:pt>
                  <c:pt idx="44">
                    <c:v>12</c:v>
                  </c:pt>
                  <c:pt idx="48">
                    <c:v>13</c:v>
                  </c:pt>
                </c:lvl>
              </c:multiLvlStrCache>
            </c:multiLvlStrRef>
          </c:cat>
          <c:val>
            <c:numRef>
              <c:f>季节指数法!$C$2:$C$49</c:f>
              <c:numCache>
                <c:formatCode>General</c:formatCode>
                <c:ptCount val="48"/>
                <c:pt idx="0">
                  <c:v>4.5</c:v>
                </c:pt>
                <c:pt idx="1">
                  <c:v>4.8</c:v>
                </c:pt>
                <c:pt idx="2">
                  <c:v>5.9</c:v>
                </c:pt>
                <c:pt idx="3">
                  <c:v>6.4</c:v>
                </c:pt>
                <c:pt idx="4">
                  <c:v>5.0999999999999996</c:v>
                </c:pt>
                <c:pt idx="5">
                  <c:v>5.3</c:v>
                </c:pt>
                <c:pt idx="6">
                  <c:v>7.1</c:v>
                </c:pt>
                <c:pt idx="7">
                  <c:v>7.6</c:v>
                </c:pt>
                <c:pt idx="8">
                  <c:v>5.5</c:v>
                </c:pt>
                <c:pt idx="9">
                  <c:v>5.5</c:v>
                </c:pt>
                <c:pt idx="10">
                  <c:v>7.3</c:v>
                </c:pt>
                <c:pt idx="11">
                  <c:v>8</c:v>
                </c:pt>
                <c:pt idx="12">
                  <c:v>6.2</c:v>
                </c:pt>
                <c:pt idx="13">
                  <c:v>6.3</c:v>
                </c:pt>
                <c:pt idx="14">
                  <c:v>8</c:v>
                </c:pt>
                <c:pt idx="15">
                  <c:v>8.5</c:v>
                </c:pt>
                <c:pt idx="16">
                  <c:v>7.1</c:v>
                </c:pt>
                <c:pt idx="17">
                  <c:v>7.3</c:v>
                </c:pt>
                <c:pt idx="18">
                  <c:v>8.5</c:v>
                </c:pt>
                <c:pt idx="19">
                  <c:v>8.8000000000000007</c:v>
                </c:pt>
                <c:pt idx="20">
                  <c:v>8.1999999999999993</c:v>
                </c:pt>
                <c:pt idx="21">
                  <c:v>8.3000000000000007</c:v>
                </c:pt>
                <c:pt idx="22">
                  <c:v>9</c:v>
                </c:pt>
                <c:pt idx="23">
                  <c:v>9.1999999999999993</c:v>
                </c:pt>
                <c:pt idx="24">
                  <c:v>8.5</c:v>
                </c:pt>
                <c:pt idx="25">
                  <c:v>8.8000000000000007</c:v>
                </c:pt>
                <c:pt idx="26">
                  <c:v>9.8000000000000007</c:v>
                </c:pt>
                <c:pt idx="27">
                  <c:v>9.9</c:v>
                </c:pt>
                <c:pt idx="28">
                  <c:v>9.4</c:v>
                </c:pt>
                <c:pt idx="29">
                  <c:v>9.3000000000000007</c:v>
                </c:pt>
                <c:pt idx="30">
                  <c:v>10.6</c:v>
                </c:pt>
                <c:pt idx="31">
                  <c:v>10.7</c:v>
                </c:pt>
                <c:pt idx="32">
                  <c:v>10</c:v>
                </c:pt>
                <c:pt idx="33">
                  <c:v>10.199999999999999</c:v>
                </c:pt>
                <c:pt idx="34">
                  <c:v>11</c:v>
                </c:pt>
                <c:pt idx="35">
                  <c:v>11.3</c:v>
                </c:pt>
                <c:pt idx="36">
                  <c:v>10.8</c:v>
                </c:pt>
                <c:pt idx="37">
                  <c:v>10.6</c:v>
                </c:pt>
                <c:pt idx="38">
                  <c:v>11.6</c:v>
                </c:pt>
                <c:pt idx="39">
                  <c:v>11.4</c:v>
                </c:pt>
                <c:pt idx="40">
                  <c:v>11</c:v>
                </c:pt>
                <c:pt idx="41">
                  <c:v>11.2</c:v>
                </c:pt>
                <c:pt idx="42">
                  <c:v>12.8</c:v>
                </c:pt>
                <c:pt idx="43">
                  <c:v>12.6</c:v>
                </c:pt>
                <c:pt idx="44">
                  <c:v>11.4</c:v>
                </c:pt>
                <c:pt idx="45">
                  <c:v>11.5</c:v>
                </c:pt>
                <c:pt idx="46">
                  <c:v>13</c:v>
                </c:pt>
                <c:pt idx="47">
                  <c:v>13.1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76-4897-8460-2F9ECB0FA060}"/>
            </c:ext>
          </c:extLst>
        </c:ser>
        <c:ser>
          <c:idx val="1"/>
          <c:order val="1"/>
          <c:tx>
            <c:strRef>
              <c:f>季节指数法!$G$1</c:f>
              <c:strCache>
                <c:ptCount val="1"/>
                <c:pt idx="0">
                  <c:v>带季节成分的预测值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8"/>
            <c:marker>
              <c:spPr>
                <a:solidFill>
                  <a:schemeClr val="bg1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1C5D-42C6-AF5B-A213CDB6CD8A}"/>
              </c:ext>
            </c:extLst>
          </c:dPt>
          <c:dPt>
            <c:idx val="49"/>
            <c:marker>
              <c:spPr>
                <a:solidFill>
                  <a:schemeClr val="bg1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1C5D-42C6-AF5B-A213CDB6CD8A}"/>
              </c:ext>
            </c:extLst>
          </c:dPt>
          <c:dPt>
            <c:idx val="50"/>
            <c:marker>
              <c:spPr>
                <a:solidFill>
                  <a:schemeClr val="bg1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1C5D-42C6-AF5B-A213CDB6CD8A}"/>
              </c:ext>
            </c:extLst>
          </c:dPt>
          <c:dPt>
            <c:idx val="51"/>
            <c:marker>
              <c:spPr>
                <a:solidFill>
                  <a:schemeClr val="bg1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1C5D-42C6-AF5B-A213CDB6CD8A}"/>
              </c:ext>
            </c:extLst>
          </c:dPt>
          <c:dLbls>
            <c:dLbl>
              <c:idx val="48"/>
              <c:layout>
                <c:manualLayout>
                  <c:x val="-2.3724796840081233E-2"/>
                  <c:y val="4.85651382959233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C5D-42C6-AF5B-A213CDB6CD8A}"/>
                </c:ext>
              </c:extLst>
            </c:dLbl>
            <c:dLbl>
              <c:idx val="49"/>
              <c:layout>
                <c:manualLayout>
                  <c:x val="-1.423487810404874E-2"/>
                  <c:y val="-4.0470481061485417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C5D-42C6-AF5B-A213CDB6CD8A}"/>
                </c:ext>
              </c:extLst>
            </c:dLbl>
            <c:dLbl>
              <c:idx val="50"/>
              <c:layout>
                <c:manualLayout>
                  <c:x val="-2.3724796840081234E-3"/>
                  <c:y val="2.20750628617833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C5D-42C6-AF5B-A213CDB6CD8A}"/>
                </c:ext>
              </c:extLst>
            </c:dLbl>
            <c:dLbl>
              <c:idx val="51"/>
              <c:layout>
                <c:manualLayout>
                  <c:x val="0"/>
                  <c:y val="-3.5320100578853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C5D-42C6-AF5B-A213CDB6CD8A}"/>
                </c:ext>
              </c:extLst>
            </c:dLbl>
            <c:numFmt formatCode="#,##0.0_);[Red]\(#,##0.0\)" sourceLinked="0"/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季节指数法!$A$2:$B$53</c:f>
              <c:multiLvlStrCache>
                <c:ptCount val="5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19">
                    <c:v>4</c:v>
                  </c:pt>
                  <c:pt idx="20">
                    <c:v>1</c:v>
                  </c:pt>
                  <c:pt idx="21">
                    <c:v>2</c:v>
                  </c:pt>
                  <c:pt idx="22">
                    <c:v>3</c:v>
                  </c:pt>
                  <c:pt idx="23">
                    <c:v>4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1</c:v>
                  </c:pt>
                  <c:pt idx="33">
                    <c:v>2</c:v>
                  </c:pt>
                  <c:pt idx="34">
                    <c:v>3</c:v>
                  </c:pt>
                  <c:pt idx="35">
                    <c:v>4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1</c:v>
                  </c:pt>
                  <c:pt idx="41">
                    <c:v>2</c:v>
                  </c:pt>
                  <c:pt idx="42">
                    <c:v>3</c:v>
                  </c:pt>
                  <c:pt idx="43">
                    <c:v>4</c:v>
                  </c:pt>
                  <c:pt idx="44">
                    <c:v>1</c:v>
                  </c:pt>
                  <c:pt idx="45">
                    <c:v>2</c:v>
                  </c:pt>
                  <c:pt idx="46">
                    <c:v>3</c:v>
                  </c:pt>
                  <c:pt idx="47">
                    <c:v>4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</c:lvl>
                <c:lvl>
                  <c:pt idx="0">
                    <c:v>1</c:v>
                  </c:pt>
                  <c:pt idx="4">
                    <c:v>2</c:v>
                  </c:pt>
                  <c:pt idx="8">
                    <c:v>3</c:v>
                  </c:pt>
                  <c:pt idx="12">
                    <c:v>4</c:v>
                  </c:pt>
                  <c:pt idx="16">
                    <c:v>5</c:v>
                  </c:pt>
                  <c:pt idx="20">
                    <c:v>6</c:v>
                  </c:pt>
                  <c:pt idx="24">
                    <c:v>7</c:v>
                  </c:pt>
                  <c:pt idx="28">
                    <c:v>8</c:v>
                  </c:pt>
                  <c:pt idx="32">
                    <c:v>9</c:v>
                  </c:pt>
                  <c:pt idx="36">
                    <c:v>10</c:v>
                  </c:pt>
                  <c:pt idx="40">
                    <c:v>11</c:v>
                  </c:pt>
                  <c:pt idx="44">
                    <c:v>12</c:v>
                  </c:pt>
                  <c:pt idx="48">
                    <c:v>13</c:v>
                  </c:pt>
                </c:lvl>
              </c:multiLvlStrCache>
            </c:multiLvlStrRef>
          </c:cat>
          <c:val>
            <c:numRef>
              <c:f>季节指数法!$G$2:$G$53</c:f>
              <c:numCache>
                <c:formatCode>General</c:formatCode>
                <c:ptCount val="52"/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76-4897-8460-2F9ECB0FA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644224"/>
        <c:axId val="128506048"/>
      </c:lineChart>
      <c:catAx>
        <c:axId val="7064422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0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8506048"/>
        <c:crosses val="autoZero"/>
        <c:auto val="0"/>
        <c:lblAlgn val="ctr"/>
        <c:lblOffset val="100"/>
        <c:tickMarkSkip val="2"/>
        <c:noMultiLvlLbl val="0"/>
      </c:catAx>
      <c:valAx>
        <c:axId val="128506048"/>
        <c:scaling>
          <c:orientation val="minMax"/>
        </c:scaling>
        <c:delete val="0"/>
        <c:axPos val="l"/>
        <c:majorGridlines/>
        <c:numFmt formatCode="General" sourceLinked="1"/>
        <c:majorTickMark val="in"/>
        <c:minorTickMark val="none"/>
        <c:tickLblPos val="nextTo"/>
        <c:spPr>
          <a:noFill/>
          <a:ln w="3175">
            <a:solidFill>
              <a:schemeClr val="bg1">
                <a:lumMod val="6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644224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853058244841909"/>
          <c:y val="0.87779097088945879"/>
          <c:w val="0.52721561114049209"/>
          <c:h val="7.00939485368067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空调每周销量观测值及季节指数模型预测值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Foreacast函数族方法!$B$1</c:f>
              <c:strCache>
                <c:ptCount val="1"/>
                <c:pt idx="0">
                  <c:v>观测值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Foreacast函数族方法!$A$2:$A$53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xVal>
          <c:yVal>
            <c:numRef>
              <c:f>Foreacast函数族方法!$B$2:$B$53</c:f>
              <c:numCache>
                <c:formatCode>General</c:formatCode>
                <c:ptCount val="52"/>
                <c:pt idx="0">
                  <c:v>4.5</c:v>
                </c:pt>
                <c:pt idx="1">
                  <c:v>4.8</c:v>
                </c:pt>
                <c:pt idx="2">
                  <c:v>5.9</c:v>
                </c:pt>
                <c:pt idx="3">
                  <c:v>6.4</c:v>
                </c:pt>
                <c:pt idx="4">
                  <c:v>5.0999999999999996</c:v>
                </c:pt>
                <c:pt idx="5">
                  <c:v>5.3</c:v>
                </c:pt>
                <c:pt idx="6">
                  <c:v>7.1</c:v>
                </c:pt>
                <c:pt idx="7">
                  <c:v>7.6</c:v>
                </c:pt>
                <c:pt idx="8">
                  <c:v>5.5</c:v>
                </c:pt>
                <c:pt idx="9">
                  <c:v>5.5</c:v>
                </c:pt>
                <c:pt idx="10">
                  <c:v>7.3</c:v>
                </c:pt>
                <c:pt idx="11">
                  <c:v>8</c:v>
                </c:pt>
                <c:pt idx="12">
                  <c:v>6.2</c:v>
                </c:pt>
                <c:pt idx="13">
                  <c:v>6.3</c:v>
                </c:pt>
                <c:pt idx="14">
                  <c:v>8</c:v>
                </c:pt>
                <c:pt idx="15">
                  <c:v>8.5</c:v>
                </c:pt>
                <c:pt idx="16">
                  <c:v>7.1</c:v>
                </c:pt>
                <c:pt idx="17">
                  <c:v>7.3</c:v>
                </c:pt>
                <c:pt idx="18">
                  <c:v>8.5</c:v>
                </c:pt>
                <c:pt idx="19">
                  <c:v>8.8000000000000007</c:v>
                </c:pt>
                <c:pt idx="20">
                  <c:v>8.1999999999999993</c:v>
                </c:pt>
                <c:pt idx="21">
                  <c:v>8.3000000000000007</c:v>
                </c:pt>
                <c:pt idx="22">
                  <c:v>9</c:v>
                </c:pt>
                <c:pt idx="23">
                  <c:v>9.1999999999999993</c:v>
                </c:pt>
                <c:pt idx="24">
                  <c:v>8.5</c:v>
                </c:pt>
                <c:pt idx="25">
                  <c:v>8.8000000000000007</c:v>
                </c:pt>
                <c:pt idx="26">
                  <c:v>9.8000000000000007</c:v>
                </c:pt>
                <c:pt idx="27">
                  <c:v>9.9</c:v>
                </c:pt>
                <c:pt idx="28">
                  <c:v>9.4</c:v>
                </c:pt>
                <c:pt idx="29">
                  <c:v>9.3000000000000007</c:v>
                </c:pt>
                <c:pt idx="30">
                  <c:v>10.6</c:v>
                </c:pt>
                <c:pt idx="31">
                  <c:v>10.7</c:v>
                </c:pt>
                <c:pt idx="32">
                  <c:v>10</c:v>
                </c:pt>
                <c:pt idx="33">
                  <c:v>10.199999999999999</c:v>
                </c:pt>
                <c:pt idx="34">
                  <c:v>11</c:v>
                </c:pt>
                <c:pt idx="35">
                  <c:v>11.3</c:v>
                </c:pt>
                <c:pt idx="36">
                  <c:v>10.8</c:v>
                </c:pt>
                <c:pt idx="37">
                  <c:v>10.6</c:v>
                </c:pt>
                <c:pt idx="38">
                  <c:v>11.6</c:v>
                </c:pt>
                <c:pt idx="39">
                  <c:v>11.4</c:v>
                </c:pt>
                <c:pt idx="40">
                  <c:v>11</c:v>
                </c:pt>
                <c:pt idx="41">
                  <c:v>11.2</c:v>
                </c:pt>
                <c:pt idx="42">
                  <c:v>12.8</c:v>
                </c:pt>
                <c:pt idx="43">
                  <c:v>12.6</c:v>
                </c:pt>
                <c:pt idx="44">
                  <c:v>11.4</c:v>
                </c:pt>
                <c:pt idx="45">
                  <c:v>11.5</c:v>
                </c:pt>
                <c:pt idx="46">
                  <c:v>13</c:v>
                </c:pt>
                <c:pt idx="47">
                  <c:v>13.1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1C-4E33-93D5-F737D72AD236}"/>
            </c:ext>
          </c:extLst>
        </c:ser>
        <c:ser>
          <c:idx val="1"/>
          <c:order val="1"/>
          <c:tx>
            <c:strRef>
              <c:f>Foreacast函数族方法!$C$1</c:f>
              <c:strCache>
                <c:ptCount val="1"/>
                <c:pt idx="0">
                  <c:v>季节指数法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Foreacast函数族方法!$A$2:$A$53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xVal>
          <c:yVal>
            <c:numRef>
              <c:f>Foreacast函数族方法!$C$2:$C$53</c:f>
              <c:numCache>
                <c:formatCode>0.000</c:formatCode>
                <c:ptCount val="52"/>
                <c:pt idx="0">
                  <c:v>4.7314309698871115</c:v>
                </c:pt>
                <c:pt idx="1">
                  <c:v>4.9464262600546407</c:v>
                </c:pt>
                <c:pt idx="2">
                  <c:v>5.8903036942027711</c:v>
                </c:pt>
                <c:pt idx="3">
                  <c:v>6.2138861250095072</c:v>
                </c:pt>
                <c:pt idx="4">
                  <c:v>5.3118966204027807</c:v>
                </c:pt>
                <c:pt idx="5">
                  <c:v>5.5352097397486295</c:v>
                </c:pt>
                <c:pt idx="6">
                  <c:v>6.5711774255138833</c:v>
                </c:pt>
                <c:pt idx="7">
                  <c:v>6.9119896453328549</c:v>
                </c:pt>
                <c:pt idx="8">
                  <c:v>5.8923622709184489</c:v>
                </c:pt>
                <c:pt idx="9">
                  <c:v>6.1239932194426192</c:v>
                </c:pt>
                <c:pt idx="10">
                  <c:v>7.2520511568249946</c:v>
                </c:pt>
                <c:pt idx="11">
                  <c:v>7.6100931656562025</c:v>
                </c:pt>
                <c:pt idx="12">
                  <c:v>6.472827921434118</c:v>
                </c:pt>
                <c:pt idx="13">
                  <c:v>6.7127766991366098</c:v>
                </c:pt>
                <c:pt idx="14">
                  <c:v>7.9329248881361059</c:v>
                </c:pt>
                <c:pt idx="15">
                  <c:v>8.3081966859795511</c:v>
                </c:pt>
                <c:pt idx="16">
                  <c:v>7.0532935719497862</c:v>
                </c:pt>
                <c:pt idx="17">
                  <c:v>7.3015601788305986</c:v>
                </c:pt>
                <c:pt idx="18">
                  <c:v>8.613798619447218</c:v>
                </c:pt>
                <c:pt idx="19">
                  <c:v>9.0063002063028978</c:v>
                </c:pt>
                <c:pt idx="20">
                  <c:v>7.6337592224654562</c:v>
                </c:pt>
                <c:pt idx="21">
                  <c:v>7.8903436585245874</c:v>
                </c:pt>
                <c:pt idx="22">
                  <c:v>9.2946723507583293</c:v>
                </c:pt>
                <c:pt idx="23">
                  <c:v>9.7044037266262446</c:v>
                </c:pt>
                <c:pt idx="24">
                  <c:v>8.2142248729811236</c:v>
                </c:pt>
                <c:pt idx="25">
                  <c:v>8.4791271382185762</c:v>
                </c:pt>
                <c:pt idx="26">
                  <c:v>9.9755460820694424</c:v>
                </c:pt>
                <c:pt idx="27">
                  <c:v>10.402507246949593</c:v>
                </c:pt>
                <c:pt idx="28">
                  <c:v>8.7946905234967936</c:v>
                </c:pt>
                <c:pt idx="29">
                  <c:v>9.0679106179125668</c:v>
                </c:pt>
                <c:pt idx="30">
                  <c:v>10.656419813380554</c:v>
                </c:pt>
                <c:pt idx="31">
                  <c:v>11.10061076727294</c:v>
                </c:pt>
                <c:pt idx="32">
                  <c:v>9.3751561740124618</c:v>
                </c:pt>
                <c:pt idx="33">
                  <c:v>9.6566940976065556</c:v>
                </c:pt>
                <c:pt idx="34">
                  <c:v>11.337293544691665</c:v>
                </c:pt>
                <c:pt idx="35">
                  <c:v>11.798714287596287</c:v>
                </c:pt>
                <c:pt idx="36">
                  <c:v>9.95562182452813</c:v>
                </c:pt>
                <c:pt idx="37">
                  <c:v>10.245477577300546</c:v>
                </c:pt>
                <c:pt idx="38">
                  <c:v>12.018167276002778</c:v>
                </c:pt>
                <c:pt idx="39">
                  <c:v>12.496817807919637</c:v>
                </c:pt>
                <c:pt idx="40">
                  <c:v>10.536087475043798</c:v>
                </c:pt>
                <c:pt idx="41">
                  <c:v>10.834261056994535</c:v>
                </c:pt>
                <c:pt idx="42">
                  <c:v>12.699041007313891</c:v>
                </c:pt>
                <c:pt idx="43">
                  <c:v>13.194921328242984</c:v>
                </c:pt>
                <c:pt idx="44">
                  <c:v>11.116553125559467</c:v>
                </c:pt>
                <c:pt idx="45">
                  <c:v>11.423044536688524</c:v>
                </c:pt>
                <c:pt idx="46">
                  <c:v>13.379914738625002</c:v>
                </c:pt>
                <c:pt idx="47">
                  <c:v>13.893024848566331</c:v>
                </c:pt>
                <c:pt idx="48">
                  <c:v>11.697018776075137</c:v>
                </c:pt>
                <c:pt idx="49">
                  <c:v>12.011828016382513</c:v>
                </c:pt>
                <c:pt idx="50">
                  <c:v>14.060788469936114</c:v>
                </c:pt>
                <c:pt idx="51">
                  <c:v>14.591128368889679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1C-4E33-93D5-F737D72AD236}"/>
            </c:ext>
          </c:extLst>
        </c:ser>
        <c:ser>
          <c:idx val="2"/>
          <c:order val="2"/>
          <c:tx>
            <c:strRef>
              <c:f>Foreacast函数族方法!$D$1</c:f>
              <c:strCache>
                <c:ptCount val="1"/>
                <c:pt idx="0">
                  <c:v>FORECAST.ETS函数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Foreacast函数族方法!$A$2:$A$53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xVal>
          <c:yVal>
            <c:numRef>
              <c:f>Foreacast函数族方法!$D$2:$D$53</c:f>
              <c:numCache>
                <c:formatCode>0.000</c:formatCode>
                <c:ptCount val="52"/>
                <c:pt idx="0">
                  <c:v>4.7219664188376775</c:v>
                </c:pt>
                <c:pt idx="1">
                  <c:v>4.8129773656020918</c:v>
                </c:pt>
                <c:pt idx="2">
                  <c:v>6.2110989813263418</c:v>
                </c:pt>
                <c:pt idx="3">
                  <c:v>6.2140392515683125</c:v>
                </c:pt>
                <c:pt idx="4">
                  <c:v>5.3464379249027534</c:v>
                </c:pt>
                <c:pt idx="5">
                  <c:v>5.4374488716671676</c:v>
                </c:pt>
                <c:pt idx="6">
                  <c:v>6.8355704873914185</c:v>
                </c:pt>
                <c:pt idx="7">
                  <c:v>6.8385107576333883</c:v>
                </c:pt>
                <c:pt idx="8">
                  <c:v>5.9709094309678301</c:v>
                </c:pt>
                <c:pt idx="9">
                  <c:v>6.0619203777322435</c:v>
                </c:pt>
                <c:pt idx="10">
                  <c:v>7.4600419934564943</c:v>
                </c:pt>
                <c:pt idx="11">
                  <c:v>7.4629822636984642</c:v>
                </c:pt>
                <c:pt idx="12">
                  <c:v>6.595380937032906</c:v>
                </c:pt>
                <c:pt idx="13">
                  <c:v>6.6863918837973202</c:v>
                </c:pt>
                <c:pt idx="14">
                  <c:v>8.0845134995215702</c:v>
                </c:pt>
                <c:pt idx="15">
                  <c:v>8.08745376976354</c:v>
                </c:pt>
                <c:pt idx="16">
                  <c:v>7.2198524430979827</c:v>
                </c:pt>
                <c:pt idx="17">
                  <c:v>7.310863389862396</c:v>
                </c:pt>
                <c:pt idx="18">
                  <c:v>8.7089850055866478</c:v>
                </c:pt>
                <c:pt idx="19">
                  <c:v>8.7119252758286176</c:v>
                </c:pt>
                <c:pt idx="20">
                  <c:v>7.8443239491630594</c:v>
                </c:pt>
                <c:pt idx="21">
                  <c:v>7.9353348959274737</c:v>
                </c:pt>
                <c:pt idx="22">
                  <c:v>9.3334565116517236</c:v>
                </c:pt>
                <c:pt idx="23">
                  <c:v>9.3363967818936935</c:v>
                </c:pt>
                <c:pt idx="24">
                  <c:v>8.4687954552281361</c:v>
                </c:pt>
                <c:pt idx="25">
                  <c:v>8.5598064019925477</c:v>
                </c:pt>
                <c:pt idx="26">
                  <c:v>9.9579280177167995</c:v>
                </c:pt>
                <c:pt idx="27">
                  <c:v>9.9608682879587693</c:v>
                </c:pt>
                <c:pt idx="28">
                  <c:v>9.093266961293212</c:v>
                </c:pt>
                <c:pt idx="29">
                  <c:v>9.1842779080576253</c:v>
                </c:pt>
                <c:pt idx="30">
                  <c:v>10.582399523781877</c:v>
                </c:pt>
                <c:pt idx="31">
                  <c:v>10.585339794023845</c:v>
                </c:pt>
                <c:pt idx="32">
                  <c:v>9.7177384673582878</c:v>
                </c:pt>
                <c:pt idx="33">
                  <c:v>9.8087494141227012</c:v>
                </c:pt>
                <c:pt idx="34">
                  <c:v>11.206871029846953</c:v>
                </c:pt>
                <c:pt idx="35">
                  <c:v>11.209811300088921</c:v>
                </c:pt>
                <c:pt idx="36">
                  <c:v>10.342209973423364</c:v>
                </c:pt>
                <c:pt idx="37">
                  <c:v>10.433220920187777</c:v>
                </c:pt>
                <c:pt idx="38">
                  <c:v>11.831342535912029</c:v>
                </c:pt>
                <c:pt idx="39">
                  <c:v>11.834282806153999</c:v>
                </c:pt>
                <c:pt idx="40">
                  <c:v>10.96668147948844</c:v>
                </c:pt>
                <c:pt idx="41">
                  <c:v>11.057692426252853</c:v>
                </c:pt>
                <c:pt idx="42">
                  <c:v>12.455814041977105</c:v>
                </c:pt>
                <c:pt idx="43">
                  <c:v>12.458754312219074</c:v>
                </c:pt>
                <c:pt idx="44">
                  <c:v>11.591152985553517</c:v>
                </c:pt>
                <c:pt idx="45">
                  <c:v>11.682163932317929</c:v>
                </c:pt>
                <c:pt idx="46">
                  <c:v>13.08028554804218</c:v>
                </c:pt>
                <c:pt idx="47">
                  <c:v>13.08322581828415</c:v>
                </c:pt>
                <c:pt idx="48">
                  <c:v>12.215624491618593</c:v>
                </c:pt>
                <c:pt idx="49">
                  <c:v>12.306635438383006</c:v>
                </c:pt>
                <c:pt idx="50">
                  <c:v>13.704757054107256</c:v>
                </c:pt>
                <c:pt idx="51">
                  <c:v>13.707697324349226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1C-4E33-93D5-F737D72AD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6651088"/>
        <c:axId val="2006654416"/>
      </c:scatterChart>
      <c:valAx>
        <c:axId val="2006651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6654416"/>
        <c:crosses val="autoZero"/>
        <c:crossBetween val="midCat"/>
      </c:valAx>
      <c:valAx>
        <c:axId val="200665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6651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31750</xdr:rowOff>
    </xdr:from>
    <xdr:to>
      <xdr:col>15</xdr:col>
      <xdr:colOff>0</xdr:colOff>
      <xdr:row>6</xdr:row>
      <xdr:rowOff>120650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5334000" y="209550"/>
          <a:ext cx="5149850" cy="977900"/>
        </a:xfrm>
        <a:prstGeom prst="rect">
          <a:avLst/>
        </a:prstGeom>
        <a:solidFill>
          <a:sysClr val="window" lastClr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r>
            <a:rPr lang="zh-CN" altLang="zh-CN" sz="1200">
              <a:effectLst/>
              <a:latin typeface="+mn-lt"/>
              <a:ea typeface="+mn-ea"/>
              <a:cs typeface="+mn-cs"/>
            </a:rPr>
            <a:t>【例</a:t>
          </a:r>
          <a:r>
            <a:rPr lang="en-US" altLang="zh-CN" sz="1200">
              <a:effectLst/>
              <a:latin typeface="+mn-lt"/>
              <a:ea typeface="+mn-ea"/>
              <a:cs typeface="+mn-cs"/>
            </a:rPr>
            <a:t>5-6</a:t>
          </a:r>
          <a:r>
            <a:rPr lang="zh-CN" altLang="zh-CN" sz="1200">
              <a:effectLst/>
              <a:latin typeface="+mn-lt"/>
              <a:ea typeface="+mn-ea"/>
              <a:cs typeface="+mn-cs"/>
            </a:rPr>
            <a:t>】负责空调销售的经理，发现空调销售数据整体上有增长趋势，但他不仅想预测第</a:t>
          </a:r>
          <a:r>
            <a:rPr lang="en-US" altLang="zh-CN" sz="1200">
              <a:effectLst/>
              <a:latin typeface="+mn-lt"/>
              <a:ea typeface="+mn-ea"/>
              <a:cs typeface="+mn-cs"/>
            </a:rPr>
            <a:t>13</a:t>
          </a:r>
          <a:r>
            <a:rPr lang="zh-CN" altLang="zh-CN" sz="1200">
              <a:effectLst/>
              <a:latin typeface="+mn-lt"/>
              <a:ea typeface="+mn-ea"/>
              <a:cs typeface="+mn-cs"/>
            </a:rPr>
            <a:t>个月以及第</a:t>
          </a:r>
          <a:r>
            <a:rPr lang="en-US" altLang="zh-CN" sz="1200">
              <a:effectLst/>
              <a:latin typeface="+mn-lt"/>
              <a:ea typeface="+mn-ea"/>
              <a:cs typeface="+mn-cs"/>
            </a:rPr>
            <a:t>13</a:t>
          </a:r>
          <a:r>
            <a:rPr lang="zh-CN" altLang="zh-CN" sz="1200">
              <a:effectLst/>
              <a:latin typeface="+mn-lt"/>
              <a:ea typeface="+mn-ea"/>
              <a:cs typeface="+mn-cs"/>
            </a:rPr>
            <a:t>个月每周的空调销量，为此他收集了过去</a:t>
          </a:r>
          <a:r>
            <a:rPr lang="en-US" altLang="zh-CN" sz="1200">
              <a:effectLst/>
              <a:latin typeface="+mn-lt"/>
              <a:ea typeface="+mn-ea"/>
              <a:cs typeface="+mn-cs"/>
            </a:rPr>
            <a:t>12</a:t>
          </a:r>
          <a:r>
            <a:rPr lang="zh-CN" altLang="zh-CN" sz="1200">
              <a:effectLst/>
              <a:latin typeface="+mn-lt"/>
              <a:ea typeface="+mn-ea"/>
              <a:cs typeface="+mn-cs"/>
            </a:rPr>
            <a:t>个月每周的空调销量的明细数据。下面将介绍运用</a:t>
          </a:r>
          <a:r>
            <a:rPr lang="en-US" altLang="zh-CN" sz="1200">
              <a:effectLst/>
              <a:latin typeface="+mn-lt"/>
              <a:ea typeface="+mn-ea"/>
              <a:cs typeface="+mn-cs"/>
            </a:rPr>
            <a:t>FORECAST</a:t>
          </a:r>
          <a:r>
            <a:rPr lang="zh-CN" altLang="zh-CN" sz="1200">
              <a:effectLst/>
              <a:latin typeface="+mn-lt"/>
              <a:ea typeface="+mn-ea"/>
              <a:cs typeface="+mn-cs"/>
            </a:rPr>
            <a:t>函数族来进行预测及其与季节指数法预测结果的对比。</a:t>
          </a:r>
        </a:p>
      </xdr:txBody>
    </xdr:sp>
    <xdr:clientData/>
  </xdr:twoCellAnchor>
  <xdr:twoCellAnchor editAs="oneCell">
    <xdr:from>
      <xdr:col>1</xdr:col>
      <xdr:colOff>0</xdr:colOff>
      <xdr:row>1</xdr:row>
      <xdr:rowOff>9525</xdr:rowOff>
    </xdr:from>
    <xdr:to>
      <xdr:col>4</xdr:col>
      <xdr:colOff>838200</xdr:colOff>
      <xdr:row>18</xdr:row>
      <xdr:rowOff>19050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" y="187325"/>
          <a:ext cx="3581400" cy="317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455613</xdr:colOff>
      <xdr:row>1</xdr:row>
      <xdr:rowOff>112713</xdr:rowOff>
    </xdr:from>
    <xdr:to>
      <xdr:col>25</xdr:col>
      <xdr:colOff>271463</xdr:colOff>
      <xdr:row>17</xdr:row>
      <xdr:rowOff>106363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327025</xdr:colOff>
      <xdr:row>18</xdr:row>
      <xdr:rowOff>77788</xdr:rowOff>
    </xdr:from>
    <xdr:to>
      <xdr:col>26</xdr:col>
      <xdr:colOff>250825</xdr:colOff>
      <xdr:row>34</xdr:row>
      <xdr:rowOff>122238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317500</xdr:colOff>
      <xdr:row>5</xdr:row>
      <xdr:rowOff>146050</xdr:rowOff>
    </xdr:from>
    <xdr:to>
      <xdr:col>31</xdr:col>
      <xdr:colOff>82550</xdr:colOff>
      <xdr:row>30</xdr:row>
      <xdr:rowOff>53975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155574</xdr:colOff>
      <xdr:row>3</xdr:row>
      <xdr:rowOff>28574</xdr:rowOff>
    </xdr:from>
    <xdr:to>
      <xdr:col>18</xdr:col>
      <xdr:colOff>596900</xdr:colOff>
      <xdr:row>19</xdr:row>
      <xdr:rowOff>25400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E9914F9-593A-4476-9861-C1CDE2AAEF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施倩" refreshedDate="46193.605328587961" createdVersion="8" refreshedVersion="8" minRefreshableVersion="3" recordCount="52" xr:uid="{6170CAE2-FC62-48DD-BC2A-757A83C013E9}">
  <cacheSource type="worksheet">
    <worksheetSource ref="A1:M53" sheet="季节指数法（1）"/>
  </cacheSource>
  <cacheFields count="9">
    <cacheField name="月份" numFmtId="0">
      <sharedItems containsString="0" containsBlank="1" containsNumber="1" containsInteger="1" minValue="1" maxValue="13"/>
    </cacheField>
    <cacheField name="周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销量" numFmtId="0">
      <sharedItems containsString="0" containsBlank="1" containsNumber="1" minValue="4.5" maxValue="13.1"/>
    </cacheField>
    <cacheField name="字段4" caption="字段4" numFmtId="0">
      <sharedItems containsSemiMixedTypes="0" containsString="0" containsNumber="1" containsInteger="1" minValue="1" maxValue="52"/>
    </cacheField>
    <cacheField name="字段5" caption="字段5" numFmtId="0">
      <sharedItems containsNonDate="0" containsString="0" containsBlank="1"/>
    </cacheField>
    <cacheField name="字段6" caption="字段6" numFmtId="0">
      <sharedItems containsBlank="1"/>
    </cacheField>
    <cacheField name="字段7" caption="字段7" numFmtId="0">
      <sharedItems containsString="0" containsBlank="1" containsNumber="1" minValue="0.91116810445325236" maxValue="1.095826532991373"/>
    </cacheField>
    <cacheField name="周平均" numFmtId="0">
      <sharedItems containsString="0" containsBlank="1" containsNumber="1" minValue="8.1416666666666675" maxValue="9.7916666666666661"/>
    </cacheField>
    <cacheField name="总平均" numFmtId="0">
      <sharedItems containsString="0" containsBlank="1" containsNumber="1" minValue="8.9354166666666686" maxValue="8.93541666666666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n v="1"/>
    <x v="0"/>
    <n v="4.5"/>
    <n v="1"/>
    <m/>
    <s v="s1"/>
    <n v="0.91116810445325236"/>
    <n v="8.1416666666666675"/>
    <n v="8.9354166666666686"/>
  </r>
  <r>
    <m/>
    <x v="1"/>
    <n v="4.8"/>
    <n v="2"/>
    <m/>
    <s v="s2"/>
    <n v="0.92422476101655371"/>
    <n v="8.2583333333333329"/>
    <m/>
  </r>
  <r>
    <m/>
    <x v="2"/>
    <n v="5.9"/>
    <n v="3"/>
    <m/>
    <s v="s3"/>
    <n v="1.0687806015388199"/>
    <n v="9.5499999999999989"/>
    <m/>
  </r>
  <r>
    <m/>
    <x v="3"/>
    <n v="6.4"/>
    <n v="4"/>
    <m/>
    <s v="s4"/>
    <n v="1.095826532991373"/>
    <n v="9.7916666666666661"/>
    <m/>
  </r>
  <r>
    <n v="2"/>
    <x v="0"/>
    <n v="5.0999999999999996"/>
    <n v="5"/>
    <m/>
    <m/>
    <m/>
    <m/>
    <m/>
  </r>
  <r>
    <m/>
    <x v="1"/>
    <n v="5.3"/>
    <n v="6"/>
    <m/>
    <m/>
    <m/>
    <m/>
    <m/>
  </r>
  <r>
    <m/>
    <x v="2"/>
    <n v="7.1"/>
    <n v="7"/>
    <m/>
    <m/>
    <m/>
    <m/>
    <m/>
  </r>
  <r>
    <m/>
    <x v="3"/>
    <n v="7.6"/>
    <n v="8"/>
    <m/>
    <m/>
    <m/>
    <m/>
    <m/>
  </r>
  <r>
    <n v="3"/>
    <x v="0"/>
    <n v="5.5"/>
    <n v="9"/>
    <m/>
    <m/>
    <m/>
    <m/>
    <m/>
  </r>
  <r>
    <m/>
    <x v="1"/>
    <n v="5.5"/>
    <n v="10"/>
    <m/>
    <m/>
    <m/>
    <m/>
    <m/>
  </r>
  <r>
    <m/>
    <x v="2"/>
    <n v="7.3"/>
    <n v="11"/>
    <m/>
    <m/>
    <m/>
    <m/>
    <m/>
  </r>
  <r>
    <m/>
    <x v="3"/>
    <n v="8"/>
    <n v="12"/>
    <m/>
    <m/>
    <m/>
    <m/>
    <m/>
  </r>
  <r>
    <n v="4"/>
    <x v="0"/>
    <n v="6.2"/>
    <n v="13"/>
    <m/>
    <m/>
    <m/>
    <m/>
    <m/>
  </r>
  <r>
    <m/>
    <x v="1"/>
    <n v="6.3"/>
    <n v="14"/>
    <m/>
    <m/>
    <m/>
    <m/>
    <m/>
  </r>
  <r>
    <m/>
    <x v="2"/>
    <n v="8"/>
    <n v="15"/>
    <m/>
    <m/>
    <m/>
    <m/>
    <m/>
  </r>
  <r>
    <m/>
    <x v="3"/>
    <n v="8.5"/>
    <n v="16"/>
    <m/>
    <m/>
    <m/>
    <m/>
    <m/>
  </r>
  <r>
    <n v="5"/>
    <x v="0"/>
    <n v="7.1"/>
    <n v="17"/>
    <m/>
    <m/>
    <m/>
    <m/>
    <m/>
  </r>
  <r>
    <m/>
    <x v="1"/>
    <n v="7.3"/>
    <n v="18"/>
    <m/>
    <m/>
    <m/>
    <m/>
    <m/>
  </r>
  <r>
    <m/>
    <x v="2"/>
    <n v="8.5"/>
    <n v="19"/>
    <m/>
    <m/>
    <m/>
    <m/>
    <m/>
  </r>
  <r>
    <m/>
    <x v="3"/>
    <n v="8.8000000000000007"/>
    <n v="20"/>
    <m/>
    <m/>
    <m/>
    <m/>
    <m/>
  </r>
  <r>
    <n v="6"/>
    <x v="0"/>
    <n v="8.1999999999999993"/>
    <n v="21"/>
    <m/>
    <m/>
    <m/>
    <m/>
    <m/>
  </r>
  <r>
    <m/>
    <x v="1"/>
    <n v="8.3000000000000007"/>
    <n v="22"/>
    <m/>
    <m/>
    <m/>
    <m/>
    <m/>
  </r>
  <r>
    <m/>
    <x v="2"/>
    <n v="9"/>
    <n v="23"/>
    <m/>
    <m/>
    <m/>
    <m/>
    <m/>
  </r>
  <r>
    <m/>
    <x v="3"/>
    <n v="9.1999999999999993"/>
    <n v="24"/>
    <m/>
    <m/>
    <m/>
    <m/>
    <m/>
  </r>
  <r>
    <n v="7"/>
    <x v="0"/>
    <n v="8.5"/>
    <n v="25"/>
    <m/>
    <m/>
    <m/>
    <m/>
    <m/>
  </r>
  <r>
    <m/>
    <x v="1"/>
    <n v="8.8000000000000007"/>
    <n v="26"/>
    <m/>
    <m/>
    <m/>
    <m/>
    <m/>
  </r>
  <r>
    <m/>
    <x v="2"/>
    <n v="9.8000000000000007"/>
    <n v="27"/>
    <m/>
    <m/>
    <m/>
    <m/>
    <m/>
  </r>
  <r>
    <m/>
    <x v="3"/>
    <n v="9.9"/>
    <n v="28"/>
    <m/>
    <m/>
    <m/>
    <m/>
    <m/>
  </r>
  <r>
    <n v="8"/>
    <x v="0"/>
    <n v="9.4"/>
    <n v="29"/>
    <m/>
    <m/>
    <m/>
    <m/>
    <m/>
  </r>
  <r>
    <m/>
    <x v="1"/>
    <n v="9.3000000000000007"/>
    <n v="30"/>
    <m/>
    <m/>
    <m/>
    <m/>
    <m/>
  </r>
  <r>
    <m/>
    <x v="2"/>
    <n v="10.6"/>
    <n v="31"/>
    <m/>
    <m/>
    <m/>
    <m/>
    <m/>
  </r>
  <r>
    <m/>
    <x v="3"/>
    <n v="10.7"/>
    <n v="32"/>
    <m/>
    <m/>
    <m/>
    <m/>
    <m/>
  </r>
  <r>
    <n v="9"/>
    <x v="0"/>
    <n v="10"/>
    <n v="33"/>
    <m/>
    <m/>
    <m/>
    <m/>
    <m/>
  </r>
  <r>
    <m/>
    <x v="1"/>
    <n v="10.199999999999999"/>
    <n v="34"/>
    <m/>
    <m/>
    <m/>
    <m/>
    <m/>
  </r>
  <r>
    <m/>
    <x v="2"/>
    <n v="11"/>
    <n v="35"/>
    <m/>
    <m/>
    <m/>
    <m/>
    <m/>
  </r>
  <r>
    <m/>
    <x v="3"/>
    <n v="11.3"/>
    <n v="36"/>
    <m/>
    <m/>
    <m/>
    <m/>
    <m/>
  </r>
  <r>
    <n v="10"/>
    <x v="0"/>
    <n v="10.8"/>
    <n v="37"/>
    <m/>
    <m/>
    <m/>
    <m/>
    <m/>
  </r>
  <r>
    <m/>
    <x v="1"/>
    <n v="10.6"/>
    <n v="38"/>
    <m/>
    <m/>
    <m/>
    <m/>
    <m/>
  </r>
  <r>
    <m/>
    <x v="2"/>
    <n v="11.6"/>
    <n v="39"/>
    <m/>
    <m/>
    <m/>
    <m/>
    <m/>
  </r>
  <r>
    <m/>
    <x v="3"/>
    <n v="11.4"/>
    <n v="40"/>
    <m/>
    <m/>
    <m/>
    <m/>
    <m/>
  </r>
  <r>
    <n v="11"/>
    <x v="0"/>
    <n v="11"/>
    <n v="41"/>
    <m/>
    <m/>
    <m/>
    <m/>
    <m/>
  </r>
  <r>
    <m/>
    <x v="1"/>
    <n v="11.2"/>
    <n v="42"/>
    <m/>
    <m/>
    <m/>
    <m/>
    <m/>
  </r>
  <r>
    <m/>
    <x v="2"/>
    <n v="12.8"/>
    <n v="43"/>
    <m/>
    <m/>
    <m/>
    <m/>
    <m/>
  </r>
  <r>
    <m/>
    <x v="3"/>
    <n v="12.6"/>
    <n v="44"/>
    <m/>
    <m/>
    <m/>
    <m/>
    <m/>
  </r>
  <r>
    <n v="12"/>
    <x v="0"/>
    <n v="11.4"/>
    <n v="45"/>
    <m/>
    <m/>
    <m/>
    <m/>
    <m/>
  </r>
  <r>
    <m/>
    <x v="1"/>
    <n v="11.5"/>
    <n v="46"/>
    <m/>
    <m/>
    <m/>
    <m/>
    <m/>
  </r>
  <r>
    <m/>
    <x v="2"/>
    <n v="13"/>
    <n v="47"/>
    <m/>
    <m/>
    <m/>
    <m/>
    <m/>
  </r>
  <r>
    <m/>
    <x v="3"/>
    <n v="13.1"/>
    <n v="48"/>
    <m/>
    <m/>
    <m/>
    <m/>
    <m/>
  </r>
  <r>
    <n v="13"/>
    <x v="0"/>
    <m/>
    <n v="49"/>
    <m/>
    <m/>
    <m/>
    <m/>
    <m/>
  </r>
  <r>
    <m/>
    <x v="1"/>
    <m/>
    <n v="50"/>
    <m/>
    <m/>
    <m/>
    <m/>
    <m/>
  </r>
  <r>
    <m/>
    <x v="2"/>
    <m/>
    <n v="51"/>
    <m/>
    <m/>
    <m/>
    <m/>
    <m/>
  </r>
  <r>
    <m/>
    <x v="3"/>
    <m/>
    <n v="52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3A7AF6-058D-48B3-88D2-4AAF4F017773}" name="数据透视表1" cacheId="4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J9:K14" firstHeaderRow="1" firstDataRow="1" firstDataCol="1"/>
  <pivotFields count="9">
    <pivotField showAll="0"/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平均值项:销量" fld="2" subtotal="average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8"/>
  <sheetViews>
    <sheetView workbookViewId="0">
      <selection activeCell="L15" sqref="L15"/>
    </sheetView>
  </sheetViews>
  <sheetFormatPr defaultRowHeight="13.5" x14ac:dyDescent="0.3"/>
  <cols>
    <col min="1" max="1" width="3.73046875" customWidth="1"/>
    <col min="3" max="5" width="15.265625" bestFit="1" customWidth="1"/>
    <col min="6" max="6" width="18.1328125" customWidth="1"/>
    <col min="7" max="7" width="3.86328125" customWidth="1"/>
  </cols>
  <sheetData>
    <row r="1" spans="2:3" x14ac:dyDescent="0.3">
      <c r="B1" s="41" t="s">
        <v>12</v>
      </c>
      <c r="C1" s="41"/>
    </row>
    <row r="8" spans="2:3" ht="25.15" x14ac:dyDescent="0.3">
      <c r="B8" s="24"/>
    </row>
  </sheetData>
  <mergeCells count="1">
    <mergeCell ref="B1:C1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3"/>
  <sheetViews>
    <sheetView tabSelected="1" workbookViewId="0">
      <selection activeCell="G2" sqref="G2"/>
    </sheetView>
  </sheetViews>
  <sheetFormatPr defaultRowHeight="13.5" x14ac:dyDescent="0.3"/>
  <cols>
    <col min="1" max="1" width="5" customWidth="1"/>
    <col min="7" max="7" width="18.53125" customWidth="1"/>
    <col min="10" max="10" width="9.265625" bestFit="1" customWidth="1"/>
    <col min="11" max="11" width="14.3984375" bestFit="1" customWidth="1"/>
  </cols>
  <sheetData>
    <row r="1" spans="1:15" x14ac:dyDescent="0.3">
      <c r="A1" s="2" t="s">
        <v>10</v>
      </c>
      <c r="B1" s="2" t="s">
        <v>11</v>
      </c>
      <c r="C1" s="2" t="s">
        <v>1</v>
      </c>
      <c r="D1" s="4" t="s">
        <v>15</v>
      </c>
      <c r="E1" s="5" t="s">
        <v>33</v>
      </c>
      <c r="F1" s="45" t="s">
        <v>34</v>
      </c>
      <c r="G1" s="45" t="s">
        <v>35</v>
      </c>
      <c r="H1" s="45"/>
      <c r="I1" s="45"/>
      <c r="K1" t="s">
        <v>30</v>
      </c>
      <c r="L1" t="s">
        <v>20</v>
      </c>
      <c r="M1" t="s">
        <v>21</v>
      </c>
    </row>
    <row r="2" spans="1:15" x14ac:dyDescent="0.3">
      <c r="A2" s="4">
        <v>1</v>
      </c>
      <c r="B2" s="4">
        <v>1</v>
      </c>
      <c r="C2" s="4">
        <v>4.5</v>
      </c>
      <c r="D2" s="4">
        <v>1</v>
      </c>
      <c r="E2">
        <f t="array" ref="E2:E5">C2:C5/$K$2:$K$5</f>
        <v>4.9387154554759478</v>
      </c>
      <c r="F2">
        <f>FORECAST(D2,$E$2:$E$49,$D$2:$D$49)</f>
        <v>5.1927091683331179</v>
      </c>
      <c r="G2">
        <f t="array" ref="G2:G5">$K$2:$K$5*F2:F5</f>
        <v>4.7314309698871115</v>
      </c>
      <c r="J2" t="s">
        <v>22</v>
      </c>
      <c r="K2">
        <f>L2/$M$2</f>
        <v>0.91116810445325236</v>
      </c>
      <c r="L2">
        <f>AVERAGE(C2,C6,C10,C14,C18,C22,C26,C30,C34,C38,C42,C46)</f>
        <v>8.1416666666666675</v>
      </c>
      <c r="M2">
        <f>AVERAGE(C2:C49)</f>
        <v>8.9354166666666686</v>
      </c>
    </row>
    <row r="3" spans="1:15" x14ac:dyDescent="0.3">
      <c r="A3" s="4"/>
      <c r="B3" s="4">
        <v>2</v>
      </c>
      <c r="C3" s="4">
        <v>4.8</v>
      </c>
      <c r="D3" s="39">
        <v>2</v>
      </c>
      <c r="E3">
        <v>5.1935418768920298</v>
      </c>
      <c r="F3">
        <f t="shared" ref="F3:F53" si="0">FORECAST(D3,$E$2:$E$49,$D$2:$D$49)</f>
        <v>5.3519733171983752</v>
      </c>
      <c r="G3">
        <v>4.9464262600546407</v>
      </c>
      <c r="J3" t="s">
        <v>23</v>
      </c>
      <c r="K3">
        <f t="shared" ref="K3:K5" si="1">L3/$M$2</f>
        <v>0.92422476101655371</v>
      </c>
      <c r="L3">
        <f t="shared" ref="L3:L5" si="2">AVERAGE(C3,C7,C11,C15,C19,C23,C27,C31,C35,C39,C43,C47)</f>
        <v>8.2583333333333329</v>
      </c>
    </row>
    <row r="4" spans="1:15" x14ac:dyDescent="0.3">
      <c r="A4" s="4"/>
      <c r="B4" s="4">
        <v>3</v>
      </c>
      <c r="C4" s="4">
        <v>5.9</v>
      </c>
      <c r="D4" s="39">
        <v>3</v>
      </c>
      <c r="E4">
        <v>5.5203097731239108</v>
      </c>
      <c r="F4">
        <f t="shared" si="0"/>
        <v>5.5112374660636325</v>
      </c>
      <c r="G4">
        <v>5.8903036942027711</v>
      </c>
      <c r="J4" t="s">
        <v>24</v>
      </c>
      <c r="K4">
        <f t="shared" si="1"/>
        <v>1.0687806015388199</v>
      </c>
      <c r="L4">
        <f t="shared" si="2"/>
        <v>9.5499999999999989</v>
      </c>
    </row>
    <row r="5" spans="1:15" x14ac:dyDescent="0.3">
      <c r="A5" s="6"/>
      <c r="B5" s="6">
        <v>4</v>
      </c>
      <c r="C5" s="6">
        <v>6.4</v>
      </c>
      <c r="D5" s="4">
        <v>4</v>
      </c>
      <c r="E5">
        <v>5.8403404255319167</v>
      </c>
      <c r="F5">
        <f t="shared" si="0"/>
        <v>5.6705016149288898</v>
      </c>
      <c r="G5">
        <v>6.2138861250095072</v>
      </c>
      <c r="J5" t="s">
        <v>25</v>
      </c>
      <c r="K5">
        <f t="shared" si="1"/>
        <v>1.095826532991373</v>
      </c>
      <c r="L5">
        <f t="shared" si="2"/>
        <v>9.7916666666666661</v>
      </c>
    </row>
    <row r="6" spans="1:15" x14ac:dyDescent="0.3">
      <c r="A6" s="4">
        <v>2</v>
      </c>
      <c r="B6" s="4">
        <v>1</v>
      </c>
      <c r="C6" s="4">
        <v>5.0999999999999996</v>
      </c>
      <c r="D6" s="39">
        <v>5</v>
      </c>
      <c r="E6">
        <f t="array" ref="E6:E9">C6:C9/$K$2:$K$5</f>
        <v>5.5972108495394073</v>
      </c>
      <c r="F6">
        <f t="shared" si="0"/>
        <v>5.829765763794148</v>
      </c>
      <c r="G6">
        <f t="array" ref="G6:G9">$K$2:$K$5*F6:F9</f>
        <v>5.3118966204027807</v>
      </c>
      <c r="N6" t="s">
        <v>29</v>
      </c>
    </row>
    <row r="7" spans="1:15" x14ac:dyDescent="0.3">
      <c r="A7" s="4"/>
      <c r="B7" s="4">
        <v>2</v>
      </c>
      <c r="C7" s="4">
        <v>5.3</v>
      </c>
      <c r="D7" s="39">
        <v>6</v>
      </c>
      <c r="E7">
        <v>5.7345358224016163</v>
      </c>
      <c r="F7">
        <f t="shared" si="0"/>
        <v>5.9890299126594044</v>
      </c>
      <c r="G7">
        <v>5.5352097397486295</v>
      </c>
      <c r="J7" t="s">
        <v>31</v>
      </c>
      <c r="K7">
        <f>RSQ(E2:E49,D2:D49)</f>
        <v>0.96393037607458953</v>
      </c>
    </row>
    <row r="8" spans="1:15" x14ac:dyDescent="0.3">
      <c r="A8" s="4"/>
      <c r="B8" s="4">
        <v>3</v>
      </c>
      <c r="C8" s="4">
        <v>7.1</v>
      </c>
      <c r="D8" s="4">
        <v>7</v>
      </c>
      <c r="E8">
        <v>6.6430846422338581</v>
      </c>
      <c r="F8">
        <f t="shared" si="0"/>
        <v>6.1482940615246626</v>
      </c>
      <c r="G8">
        <v>6.5711774255138833</v>
      </c>
      <c r="O8" s="2" t="s">
        <v>11</v>
      </c>
    </row>
    <row r="9" spans="1:15" x14ac:dyDescent="0.3">
      <c r="A9" s="6"/>
      <c r="B9" s="6">
        <v>4</v>
      </c>
      <c r="C9" s="6">
        <v>7.6</v>
      </c>
      <c r="D9" s="39">
        <v>8</v>
      </c>
      <c r="E9">
        <v>6.9354042553191499</v>
      </c>
      <c r="F9">
        <f t="shared" si="0"/>
        <v>6.3075582103899199</v>
      </c>
      <c r="G9">
        <v>6.9119896453328549</v>
      </c>
      <c r="J9" s="42" t="s">
        <v>26</v>
      </c>
      <c r="K9" t="s">
        <v>28</v>
      </c>
      <c r="N9">
        <f>DAVERAGE(A1:C49,C1,O8:O9)</f>
        <v>8.1416666666666675</v>
      </c>
      <c r="O9" s="4">
        <v>1</v>
      </c>
    </row>
    <row r="10" spans="1:15" x14ac:dyDescent="0.3">
      <c r="A10" s="4">
        <v>3</v>
      </c>
      <c r="B10" s="4">
        <v>1</v>
      </c>
      <c r="C10" s="4">
        <v>5.5</v>
      </c>
      <c r="D10" s="39">
        <v>9</v>
      </c>
      <c r="E10">
        <f t="array" ref="E10:E13">C10:C13/$K$2:$K$5</f>
        <v>6.0362077789150472</v>
      </c>
      <c r="F10">
        <f t="shared" si="0"/>
        <v>6.4668223592551772</v>
      </c>
      <c r="G10">
        <f t="array" ref="G10:G13">$K$2:$K$5*F10:F13</f>
        <v>5.8923622709184489</v>
      </c>
      <c r="J10" s="43">
        <v>1</v>
      </c>
      <c r="K10" s="44">
        <v>8.1416666666666675</v>
      </c>
      <c r="M10" s="4">
        <v>1</v>
      </c>
      <c r="N10">
        <f t="dataTable" ref="N10:N13" dt2D="0" dtr="0" r1="O9"/>
        <v>8.1416666666666675</v>
      </c>
    </row>
    <row r="11" spans="1:15" x14ac:dyDescent="0.3">
      <c r="A11" s="4"/>
      <c r="B11" s="4">
        <v>2</v>
      </c>
      <c r="C11" s="4">
        <v>5.5</v>
      </c>
      <c r="D11" s="4">
        <v>10</v>
      </c>
      <c r="E11">
        <v>5.9509334006054511</v>
      </c>
      <c r="F11">
        <f t="shared" si="0"/>
        <v>6.6260865081204345</v>
      </c>
      <c r="G11">
        <v>6.1239932194426192</v>
      </c>
      <c r="J11" s="43">
        <v>2</v>
      </c>
      <c r="K11" s="44">
        <v>8.2583333333333329</v>
      </c>
      <c r="M11" s="4">
        <v>2</v>
      </c>
      <c r="N11">
        <v>8.2583333333333329</v>
      </c>
    </row>
    <row r="12" spans="1:15" x14ac:dyDescent="0.3">
      <c r="A12" s="4"/>
      <c r="B12" s="4">
        <v>3</v>
      </c>
      <c r="C12" s="4">
        <v>7.3</v>
      </c>
      <c r="D12" s="39">
        <v>11</v>
      </c>
      <c r="E12">
        <v>6.8302137870855164</v>
      </c>
      <c r="F12">
        <f t="shared" si="0"/>
        <v>6.7853506569856918</v>
      </c>
      <c r="G12">
        <v>7.2520511568249946</v>
      </c>
      <c r="J12" s="43">
        <v>3</v>
      </c>
      <c r="K12" s="44">
        <v>9.5499999999999989</v>
      </c>
      <c r="M12" s="4">
        <v>3</v>
      </c>
      <c r="N12">
        <v>9.5499999999999989</v>
      </c>
    </row>
    <row r="13" spans="1:15" x14ac:dyDescent="0.3">
      <c r="A13" s="6"/>
      <c r="B13" s="6">
        <v>4</v>
      </c>
      <c r="C13" s="6">
        <v>8</v>
      </c>
      <c r="D13" s="39">
        <v>12</v>
      </c>
      <c r="E13">
        <v>7.3004255319148958</v>
      </c>
      <c r="F13">
        <f t="shared" si="0"/>
        <v>6.9446148058509491</v>
      </c>
      <c r="G13">
        <v>7.6100931656562025</v>
      </c>
      <c r="J13" s="43">
        <v>4</v>
      </c>
      <c r="K13" s="44">
        <v>9.7916666666666661</v>
      </c>
      <c r="M13" s="6">
        <v>4</v>
      </c>
      <c r="N13">
        <v>9.7916666666666661</v>
      </c>
    </row>
    <row r="14" spans="1:15" x14ac:dyDescent="0.3">
      <c r="A14" s="4">
        <v>4</v>
      </c>
      <c r="B14" s="4">
        <v>1</v>
      </c>
      <c r="C14" s="4">
        <v>6.2</v>
      </c>
      <c r="D14" s="4">
        <v>13</v>
      </c>
      <c r="E14">
        <f t="array" ref="E14:E17">C14:C17/$K$2:$K$5</f>
        <v>6.8044524053224169</v>
      </c>
      <c r="F14">
        <f t="shared" si="0"/>
        <v>7.1038789547162065</v>
      </c>
      <c r="G14">
        <f t="array" ref="G14:G17">$K$2:$K$5*F14:F17</f>
        <v>6.472827921434118</v>
      </c>
      <c r="J14" s="43" t="s">
        <v>27</v>
      </c>
      <c r="K14" s="44">
        <v>8.9354166666666668</v>
      </c>
    </row>
    <row r="15" spans="1:15" x14ac:dyDescent="0.3">
      <c r="A15" s="4"/>
      <c r="B15" s="4">
        <v>2</v>
      </c>
      <c r="C15" s="4">
        <v>6.3</v>
      </c>
      <c r="D15" s="39">
        <v>14</v>
      </c>
      <c r="E15">
        <v>6.8165237134207892</v>
      </c>
      <c r="F15">
        <f t="shared" si="0"/>
        <v>7.2631431035814646</v>
      </c>
      <c r="G15">
        <v>6.7127766991366098</v>
      </c>
    </row>
    <row r="16" spans="1:15" x14ac:dyDescent="0.3">
      <c r="A16" s="4"/>
      <c r="B16" s="4">
        <v>3</v>
      </c>
      <c r="C16" s="4">
        <v>8</v>
      </c>
      <c r="D16" s="39">
        <v>15</v>
      </c>
      <c r="E16">
        <v>7.4851657940663197</v>
      </c>
      <c r="F16">
        <f t="shared" si="0"/>
        <v>7.4224072524467211</v>
      </c>
      <c r="G16">
        <v>7.9329248881361059</v>
      </c>
    </row>
    <row r="17" spans="1:12" x14ac:dyDescent="0.3">
      <c r="A17" s="6"/>
      <c r="B17" s="6">
        <v>4</v>
      </c>
      <c r="C17" s="6">
        <v>8.5</v>
      </c>
      <c r="D17" s="4">
        <v>16</v>
      </c>
      <c r="E17">
        <v>7.756702127659576</v>
      </c>
      <c r="F17">
        <f t="shared" si="0"/>
        <v>7.5816714013119793</v>
      </c>
      <c r="G17">
        <v>8.3081966859795511</v>
      </c>
      <c r="K17" t="s">
        <v>32</v>
      </c>
      <c r="L17">
        <f>SUMXMY2(C2:C49,G2:G49)/COUNT(G2:G49)</f>
        <v>0.18173390361086159</v>
      </c>
    </row>
    <row r="18" spans="1:12" x14ac:dyDescent="0.3">
      <c r="A18" s="4">
        <v>5</v>
      </c>
      <c r="B18" s="4">
        <v>1</v>
      </c>
      <c r="C18" s="10">
        <v>7.1</v>
      </c>
      <c r="D18" s="39">
        <v>17</v>
      </c>
      <c r="E18">
        <f t="array" ref="E18:E21">C18:C21/$K$2:$K$5</f>
        <v>7.7921954964176061</v>
      </c>
      <c r="F18">
        <f t="shared" si="0"/>
        <v>7.7409355501772357</v>
      </c>
      <c r="G18">
        <f t="array" ref="G18:G21">$K$2:$K$5*F18:F21</f>
        <v>7.0532935719497862</v>
      </c>
    </row>
    <row r="19" spans="1:12" x14ac:dyDescent="0.3">
      <c r="A19" s="4"/>
      <c r="B19" s="4">
        <v>2</v>
      </c>
      <c r="C19" s="22">
        <v>7.3</v>
      </c>
      <c r="D19" s="39">
        <v>18</v>
      </c>
      <c r="E19">
        <v>7.8985116044399621</v>
      </c>
      <c r="F19">
        <f t="shared" si="0"/>
        <v>7.9001996990424939</v>
      </c>
      <c r="G19">
        <v>7.3015601788305986</v>
      </c>
    </row>
    <row r="20" spans="1:12" x14ac:dyDescent="0.3">
      <c r="A20" s="4"/>
      <c r="B20" s="4">
        <v>3</v>
      </c>
      <c r="C20" s="22">
        <v>8.5</v>
      </c>
      <c r="D20" s="4">
        <v>19</v>
      </c>
      <c r="E20">
        <v>7.9529886561954646</v>
      </c>
      <c r="F20">
        <f t="shared" si="0"/>
        <v>8.0594638479077503</v>
      </c>
      <c r="G20">
        <v>8.613798619447218</v>
      </c>
    </row>
    <row r="21" spans="1:12" x14ac:dyDescent="0.3">
      <c r="A21" s="6"/>
      <c r="B21" s="6">
        <v>4</v>
      </c>
      <c r="C21" s="23">
        <v>8.8000000000000007</v>
      </c>
      <c r="D21" s="39">
        <v>20</v>
      </c>
      <c r="E21">
        <v>8.030468085106385</v>
      </c>
      <c r="F21">
        <f t="shared" si="0"/>
        <v>8.2187279967730085</v>
      </c>
      <c r="G21">
        <v>9.0063002063028978</v>
      </c>
    </row>
    <row r="22" spans="1:12" x14ac:dyDescent="0.3">
      <c r="A22" s="4">
        <v>6</v>
      </c>
      <c r="B22" s="4">
        <v>1</v>
      </c>
      <c r="C22" s="10">
        <v>8.1999999999999993</v>
      </c>
      <c r="D22" s="39">
        <v>21</v>
      </c>
      <c r="E22">
        <f t="array" ref="E22:E25">C22:C25/$K$2:$K$5</f>
        <v>8.999437052200614</v>
      </c>
      <c r="F22">
        <f t="shared" si="0"/>
        <v>8.3779921456382667</v>
      </c>
      <c r="G22">
        <f t="array" ref="G22:G25">$K$2:$K$5*F22:F25</f>
        <v>7.6337592224654562</v>
      </c>
    </row>
    <row r="23" spans="1:12" x14ac:dyDescent="0.3">
      <c r="A23" s="4"/>
      <c r="B23" s="4">
        <v>2</v>
      </c>
      <c r="C23" s="22">
        <v>8.3000000000000007</v>
      </c>
      <c r="D23" s="4">
        <v>22</v>
      </c>
      <c r="E23">
        <v>8.9804994954591351</v>
      </c>
      <c r="F23">
        <f t="shared" si="0"/>
        <v>8.5372562945035231</v>
      </c>
      <c r="G23">
        <v>7.8903436585245874</v>
      </c>
    </row>
    <row r="24" spans="1:12" x14ac:dyDescent="0.3">
      <c r="A24" s="4"/>
      <c r="B24" s="4">
        <v>3</v>
      </c>
      <c r="C24" s="22">
        <v>9</v>
      </c>
      <c r="D24" s="39">
        <v>23</v>
      </c>
      <c r="E24">
        <v>8.4208115183246104</v>
      </c>
      <c r="F24">
        <f t="shared" si="0"/>
        <v>8.6965204433687795</v>
      </c>
      <c r="G24">
        <v>9.2946723507583293</v>
      </c>
    </row>
    <row r="25" spans="1:12" x14ac:dyDescent="0.3">
      <c r="A25" s="6"/>
      <c r="B25" s="6">
        <v>4</v>
      </c>
      <c r="C25" s="23">
        <v>9.1999999999999993</v>
      </c>
      <c r="D25" s="39">
        <v>24</v>
      </c>
      <c r="E25">
        <v>8.3954893617021291</v>
      </c>
      <c r="F25">
        <f t="shared" si="0"/>
        <v>8.8557845922340377</v>
      </c>
      <c r="G25">
        <v>9.7044037266262446</v>
      </c>
    </row>
    <row r="26" spans="1:12" x14ac:dyDescent="0.3">
      <c r="A26" s="4">
        <v>7</v>
      </c>
      <c r="B26" s="4">
        <v>1</v>
      </c>
      <c r="C26" s="10">
        <v>8.5</v>
      </c>
      <c r="D26" s="4">
        <v>25</v>
      </c>
      <c r="E26">
        <f t="array" ref="E26:E29">C26:C29/$K$2:$K$5</f>
        <v>9.3286847492323446</v>
      </c>
      <c r="F26">
        <f t="shared" si="0"/>
        <v>9.0150487410992959</v>
      </c>
      <c r="G26">
        <f t="array" ref="G26:G29">$K$2:$K$5*F26:F29</f>
        <v>8.2142248729811236</v>
      </c>
    </row>
    <row r="27" spans="1:12" x14ac:dyDescent="0.3">
      <c r="A27" s="4"/>
      <c r="B27" s="4">
        <v>2</v>
      </c>
      <c r="C27" s="22">
        <v>8.8000000000000007</v>
      </c>
      <c r="D27" s="39">
        <v>26</v>
      </c>
      <c r="E27">
        <v>9.5214934409687224</v>
      </c>
      <c r="F27">
        <f t="shared" si="0"/>
        <v>9.1743128899645523</v>
      </c>
      <c r="G27">
        <v>8.4791271382185762</v>
      </c>
    </row>
    <row r="28" spans="1:12" x14ac:dyDescent="0.3">
      <c r="A28" s="4"/>
      <c r="B28" s="4">
        <v>3</v>
      </c>
      <c r="C28" s="22">
        <v>9.8000000000000007</v>
      </c>
      <c r="D28" s="39">
        <v>27</v>
      </c>
      <c r="E28">
        <v>9.1693280977312419</v>
      </c>
      <c r="F28">
        <f t="shared" si="0"/>
        <v>9.3335770388298105</v>
      </c>
      <c r="G28">
        <v>9.9755460820694424</v>
      </c>
    </row>
    <row r="29" spans="1:12" x14ac:dyDescent="0.3">
      <c r="A29" s="6"/>
      <c r="B29" s="6">
        <v>4</v>
      </c>
      <c r="C29" s="23">
        <v>9.9</v>
      </c>
      <c r="D29" s="4">
        <v>28</v>
      </c>
      <c r="E29">
        <v>9.034276595744684</v>
      </c>
      <c r="F29">
        <f t="shared" si="0"/>
        <v>9.4928411876950669</v>
      </c>
      <c r="G29">
        <v>10.402507246949593</v>
      </c>
    </row>
    <row r="30" spans="1:12" x14ac:dyDescent="0.3">
      <c r="A30" s="4">
        <v>8</v>
      </c>
      <c r="B30" s="4">
        <v>1</v>
      </c>
      <c r="C30" s="10">
        <v>9.4</v>
      </c>
      <c r="D30" s="39">
        <v>29</v>
      </c>
      <c r="E30">
        <f t="array" ref="E30:E33">C30:C33/$K$2:$K$5</f>
        <v>10.316427840327535</v>
      </c>
      <c r="F30">
        <f t="shared" si="0"/>
        <v>9.6521053365603251</v>
      </c>
      <c r="G30">
        <f t="array" ref="G30:G33">$K$2:$K$5*F30:F33</f>
        <v>8.7946905234967936</v>
      </c>
    </row>
    <row r="31" spans="1:12" x14ac:dyDescent="0.3">
      <c r="A31" s="4"/>
      <c r="B31" s="4">
        <v>2</v>
      </c>
      <c r="C31" s="22">
        <v>9.3000000000000007</v>
      </c>
      <c r="D31" s="39">
        <v>30</v>
      </c>
      <c r="E31">
        <v>10.062487386478308</v>
      </c>
      <c r="F31">
        <f t="shared" si="0"/>
        <v>9.8113694854255833</v>
      </c>
      <c r="G31">
        <v>9.0679106179125668</v>
      </c>
    </row>
    <row r="32" spans="1:12" x14ac:dyDescent="0.3">
      <c r="A32" s="4"/>
      <c r="B32" s="4">
        <v>3</v>
      </c>
      <c r="C32" s="22">
        <v>10.6</v>
      </c>
      <c r="D32" s="4">
        <v>31</v>
      </c>
      <c r="E32">
        <v>9.9178446771378734</v>
      </c>
      <c r="F32">
        <f t="shared" si="0"/>
        <v>9.9706336342908397</v>
      </c>
      <c r="G32">
        <v>10.656419813380554</v>
      </c>
    </row>
    <row r="33" spans="1:7" x14ac:dyDescent="0.3">
      <c r="A33" s="6"/>
      <c r="B33" s="6">
        <v>4</v>
      </c>
      <c r="C33" s="23">
        <v>10.7</v>
      </c>
      <c r="D33" s="39">
        <v>32</v>
      </c>
      <c r="E33">
        <v>9.7643191489361723</v>
      </c>
      <c r="F33">
        <f t="shared" si="0"/>
        <v>10.129897783156096</v>
      </c>
      <c r="G33">
        <v>11.10061076727294</v>
      </c>
    </row>
    <row r="34" spans="1:7" x14ac:dyDescent="0.3">
      <c r="A34" s="4">
        <v>9</v>
      </c>
      <c r="B34" s="4">
        <v>1</v>
      </c>
      <c r="C34" s="10">
        <v>10</v>
      </c>
      <c r="D34" s="39">
        <v>33</v>
      </c>
      <c r="E34">
        <f t="array" ref="E34:E37">C34:C37/$K$2:$K$5</f>
        <v>10.974923234390994</v>
      </c>
      <c r="F34">
        <f t="shared" si="0"/>
        <v>10.289161932021354</v>
      </c>
      <c r="G34">
        <f t="array" ref="G34:G37">$K$2:$K$5*F34:F37</f>
        <v>9.3751561740124618</v>
      </c>
    </row>
    <row r="35" spans="1:7" x14ac:dyDescent="0.3">
      <c r="A35" s="4"/>
      <c r="B35" s="4">
        <v>2</v>
      </c>
      <c r="C35" s="22">
        <v>10.199999999999999</v>
      </c>
      <c r="D35" s="4">
        <v>34</v>
      </c>
      <c r="E35">
        <v>11.036276488395563</v>
      </c>
      <c r="F35">
        <f t="shared" si="0"/>
        <v>10.448426080886613</v>
      </c>
      <c r="G35">
        <v>9.6566940976065556</v>
      </c>
    </row>
    <row r="36" spans="1:7" x14ac:dyDescent="0.3">
      <c r="A36" s="4"/>
      <c r="B36" s="4">
        <v>3</v>
      </c>
      <c r="C36" s="22">
        <v>11</v>
      </c>
      <c r="D36" s="39">
        <v>35</v>
      </c>
      <c r="E36">
        <v>10.29210296684119</v>
      </c>
      <c r="F36">
        <f t="shared" si="0"/>
        <v>10.607690229751869</v>
      </c>
      <c r="G36">
        <v>11.337293544691665</v>
      </c>
    </row>
    <row r="37" spans="1:7" x14ac:dyDescent="0.3">
      <c r="A37" s="6"/>
      <c r="B37" s="6">
        <v>4</v>
      </c>
      <c r="C37" s="23">
        <v>11.3</v>
      </c>
      <c r="D37" s="39">
        <v>36</v>
      </c>
      <c r="E37">
        <v>10.31185106382979</v>
      </c>
      <c r="F37">
        <f t="shared" si="0"/>
        <v>10.766954378617125</v>
      </c>
      <c r="G37">
        <v>11.798714287596287</v>
      </c>
    </row>
    <row r="38" spans="1:7" x14ac:dyDescent="0.3">
      <c r="A38" s="4">
        <v>10</v>
      </c>
      <c r="B38" s="4">
        <v>1</v>
      </c>
      <c r="C38" s="10">
        <v>10.8</v>
      </c>
      <c r="D38" s="4">
        <v>37</v>
      </c>
      <c r="E38">
        <f t="array" ref="E38:E41">C38:C41/$K$2:$K$5</f>
        <v>11.852917093142276</v>
      </c>
      <c r="F38">
        <f t="shared" si="0"/>
        <v>10.926218527482384</v>
      </c>
      <c r="G38">
        <f t="array" ref="G38:G41">$K$2:$K$5*F38:F41</f>
        <v>9.95562182452813</v>
      </c>
    </row>
    <row r="39" spans="1:7" x14ac:dyDescent="0.3">
      <c r="A39" s="4"/>
      <c r="B39" s="4">
        <v>2</v>
      </c>
      <c r="C39" s="22">
        <v>10.6</v>
      </c>
      <c r="D39" s="39">
        <v>38</v>
      </c>
      <c r="E39">
        <v>11.469071644803233</v>
      </c>
      <c r="F39">
        <f t="shared" si="0"/>
        <v>11.085482676347642</v>
      </c>
      <c r="G39">
        <v>10.245477577300546</v>
      </c>
    </row>
    <row r="40" spans="1:7" x14ac:dyDescent="0.3">
      <c r="A40" s="4"/>
      <c r="B40" s="4">
        <v>3</v>
      </c>
      <c r="C40" s="22">
        <v>11.6</v>
      </c>
      <c r="D40" s="39">
        <v>39</v>
      </c>
      <c r="E40">
        <v>10.853490401396163</v>
      </c>
      <c r="F40">
        <f t="shared" si="0"/>
        <v>11.2447468252129</v>
      </c>
      <c r="G40">
        <v>12.018167276002778</v>
      </c>
    </row>
    <row r="41" spans="1:7" x14ac:dyDescent="0.3">
      <c r="A41" s="6"/>
      <c r="B41" s="6">
        <v>4</v>
      </c>
      <c r="C41" s="23">
        <v>11.4</v>
      </c>
      <c r="D41" s="4">
        <v>40</v>
      </c>
      <c r="E41">
        <v>10.403106382978727</v>
      </c>
      <c r="F41">
        <f t="shared" si="0"/>
        <v>11.404010974078156</v>
      </c>
      <c r="G41">
        <v>12.496817807919637</v>
      </c>
    </row>
    <row r="42" spans="1:7" x14ac:dyDescent="0.3">
      <c r="A42" s="4">
        <v>11</v>
      </c>
      <c r="B42" s="4">
        <v>1</v>
      </c>
      <c r="C42" s="10">
        <v>11</v>
      </c>
      <c r="D42" s="39">
        <v>41</v>
      </c>
      <c r="E42">
        <f t="array" ref="E42:E45">C42:C45/$K$2:$K$5</f>
        <v>12.072415557830094</v>
      </c>
      <c r="F42">
        <f t="shared" si="0"/>
        <v>11.563275122943413</v>
      </c>
      <c r="G42">
        <f t="array" ref="G42:G45">$K$2:$K$5*F42:F45</f>
        <v>10.536087475043798</v>
      </c>
    </row>
    <row r="43" spans="1:7" x14ac:dyDescent="0.3">
      <c r="A43" s="4"/>
      <c r="B43" s="4">
        <v>2</v>
      </c>
      <c r="C43" s="22">
        <v>11.2</v>
      </c>
      <c r="D43" s="39">
        <v>42</v>
      </c>
      <c r="E43">
        <v>12.118264379414736</v>
      </c>
      <c r="F43">
        <f t="shared" si="0"/>
        <v>11.722539271808671</v>
      </c>
      <c r="G43">
        <v>10.834261056994535</v>
      </c>
    </row>
    <row r="44" spans="1:7" x14ac:dyDescent="0.3">
      <c r="A44" s="4"/>
      <c r="B44" s="4">
        <v>3</v>
      </c>
      <c r="C44" s="22">
        <v>12.8</v>
      </c>
      <c r="D44" s="4">
        <v>43</v>
      </c>
      <c r="E44">
        <v>11.976265270506111</v>
      </c>
      <c r="F44">
        <f t="shared" si="0"/>
        <v>11.881803420673929</v>
      </c>
      <c r="G44">
        <v>12.699041007313891</v>
      </c>
    </row>
    <row r="45" spans="1:7" x14ac:dyDescent="0.3">
      <c r="A45" s="6"/>
      <c r="B45" s="6">
        <v>4</v>
      </c>
      <c r="C45" s="23">
        <v>12.6</v>
      </c>
      <c r="D45" s="39">
        <v>44</v>
      </c>
      <c r="E45">
        <v>11.49817021276596</v>
      </c>
      <c r="F45">
        <f t="shared" si="0"/>
        <v>12.041067569539186</v>
      </c>
      <c r="G45">
        <v>13.194921328242984</v>
      </c>
    </row>
    <row r="46" spans="1:7" x14ac:dyDescent="0.3">
      <c r="A46" s="4">
        <v>12</v>
      </c>
      <c r="B46" s="4">
        <v>1</v>
      </c>
      <c r="C46" s="10">
        <v>11.4</v>
      </c>
      <c r="D46" s="39">
        <v>45</v>
      </c>
      <c r="E46">
        <f t="array" ref="E46:E49">C46:C49/$K$2:$K$5</f>
        <v>12.511412487205734</v>
      </c>
      <c r="F46">
        <f t="shared" si="0"/>
        <v>12.200331718404442</v>
      </c>
      <c r="G46">
        <f t="array" ref="G46:G49">$K$2:$K$5*F46:F49</f>
        <v>11.116553125559467</v>
      </c>
    </row>
    <row r="47" spans="1:7" x14ac:dyDescent="0.3">
      <c r="A47" s="4"/>
      <c r="B47" s="4">
        <v>2</v>
      </c>
      <c r="C47" s="22">
        <v>11.5</v>
      </c>
      <c r="D47" s="4">
        <v>46</v>
      </c>
      <c r="E47">
        <v>12.442860746720488</v>
      </c>
      <c r="F47">
        <f t="shared" si="0"/>
        <v>12.3595958672697</v>
      </c>
      <c r="G47">
        <v>11.423044536688524</v>
      </c>
    </row>
    <row r="48" spans="1:7" x14ac:dyDescent="0.3">
      <c r="A48" s="4"/>
      <c r="B48" s="4">
        <v>3</v>
      </c>
      <c r="C48" s="22">
        <v>13</v>
      </c>
      <c r="D48" s="39">
        <v>47</v>
      </c>
      <c r="E48">
        <v>12.16339441535777</v>
      </c>
      <c r="F48">
        <f t="shared" si="0"/>
        <v>12.518860016134958</v>
      </c>
      <c r="G48">
        <v>13.379914738625002</v>
      </c>
    </row>
    <row r="49" spans="1:7" x14ac:dyDescent="0.3">
      <c r="A49" s="6"/>
      <c r="B49" s="6">
        <v>4</v>
      </c>
      <c r="C49" s="23">
        <v>13.1</v>
      </c>
      <c r="D49" s="39">
        <v>48</v>
      </c>
      <c r="E49">
        <v>11.954446808510641</v>
      </c>
      <c r="F49">
        <f t="shared" si="0"/>
        <v>12.678124165000215</v>
      </c>
      <c r="G49">
        <v>13.893024848566331</v>
      </c>
    </row>
    <row r="50" spans="1:7" x14ac:dyDescent="0.3">
      <c r="A50" s="4">
        <v>13</v>
      </c>
      <c r="B50" s="4">
        <v>1</v>
      </c>
      <c r="C50" s="10"/>
      <c r="D50" s="4">
        <v>49</v>
      </c>
      <c r="F50">
        <f t="shared" si="0"/>
        <v>12.837388313865473</v>
      </c>
      <c r="G50">
        <f t="array" ref="G50:G53">$K$2:$K$5*F50:F53</f>
        <v>11.697018776075137</v>
      </c>
    </row>
    <row r="51" spans="1:7" x14ac:dyDescent="0.3">
      <c r="A51" s="4"/>
      <c r="B51" s="4">
        <v>2</v>
      </c>
      <c r="C51" s="22"/>
      <c r="D51" s="39">
        <v>50</v>
      </c>
      <c r="F51">
        <f t="shared" si="0"/>
        <v>12.996652462730729</v>
      </c>
      <c r="G51">
        <v>12.011828016382513</v>
      </c>
    </row>
    <row r="52" spans="1:7" x14ac:dyDescent="0.3">
      <c r="A52" s="4"/>
      <c r="B52" s="4">
        <v>3</v>
      </c>
      <c r="C52" s="22"/>
      <c r="D52" s="39">
        <v>51</v>
      </c>
      <c r="F52">
        <f t="shared" si="0"/>
        <v>13.155916611595988</v>
      </c>
      <c r="G52">
        <v>14.060788469936114</v>
      </c>
    </row>
    <row r="53" spans="1:7" x14ac:dyDescent="0.3">
      <c r="A53" s="6"/>
      <c r="B53" s="6">
        <v>4</v>
      </c>
      <c r="C53" s="23"/>
      <c r="D53" s="4">
        <v>52</v>
      </c>
      <c r="F53">
        <f t="shared" si="0"/>
        <v>13.315180760461244</v>
      </c>
      <c r="G53">
        <v>14.591128368889679</v>
      </c>
    </row>
  </sheetData>
  <phoneticPr fontId="2" type="noConversion"/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3"/>
  <sheetViews>
    <sheetView showGridLines="0" workbookViewId="0">
      <selection activeCell="K17" sqref="K17"/>
    </sheetView>
  </sheetViews>
  <sheetFormatPr defaultRowHeight="13.5" x14ac:dyDescent="0.3"/>
  <cols>
    <col min="1" max="2" width="4.73046875" bestFit="1" customWidth="1"/>
    <col min="3" max="3" width="8.265625" customWidth="1"/>
    <col min="4" max="4" width="4.73046875" bestFit="1" customWidth="1"/>
    <col min="5" max="5" width="6.86328125" customWidth="1"/>
    <col min="6" max="6" width="11.265625" bestFit="1" customWidth="1"/>
    <col min="7" max="7" width="16.73046875" bestFit="1" customWidth="1"/>
    <col min="8" max="8" width="2.1328125" customWidth="1"/>
    <col min="9" max="9" width="4.73046875" bestFit="1" customWidth="1"/>
    <col min="10" max="10" width="14.46484375" customWidth="1"/>
    <col min="11" max="11" width="15" bestFit="1" customWidth="1"/>
    <col min="13" max="13" width="3.86328125" customWidth="1"/>
    <col min="14" max="14" width="9.73046875" bestFit="1" customWidth="1"/>
  </cols>
  <sheetData>
    <row r="1" spans="1:14" x14ac:dyDescent="0.3">
      <c r="A1" s="2" t="s">
        <v>10</v>
      </c>
      <c r="B1" s="2" t="s">
        <v>11</v>
      </c>
      <c r="C1" s="3" t="s">
        <v>1</v>
      </c>
      <c r="D1" s="2" t="s">
        <v>4</v>
      </c>
      <c r="E1" s="8" t="s">
        <v>5</v>
      </c>
      <c r="F1" s="2" t="s">
        <v>6</v>
      </c>
      <c r="G1" s="9" t="s">
        <v>7</v>
      </c>
      <c r="H1" s="1"/>
      <c r="I1" s="2" t="s">
        <v>0</v>
      </c>
      <c r="J1" s="10" t="s">
        <v>8</v>
      </c>
      <c r="K1" s="10" t="s">
        <v>9</v>
      </c>
      <c r="L1" s="10" t="s">
        <v>2</v>
      </c>
      <c r="N1" s="5"/>
    </row>
    <row r="2" spans="1:14" x14ac:dyDescent="0.3">
      <c r="A2" s="4">
        <v>1</v>
      </c>
      <c r="B2" s="4">
        <v>1</v>
      </c>
      <c r="C2" s="5">
        <v>4.5</v>
      </c>
      <c r="D2" s="10">
        <v>1</v>
      </c>
      <c r="E2" s="11"/>
      <c r="F2" s="10"/>
      <c r="G2" s="12"/>
      <c r="H2" s="1"/>
      <c r="I2" s="17">
        <v>1</v>
      </c>
      <c r="J2" s="17"/>
      <c r="K2" s="40"/>
      <c r="L2" s="25"/>
    </row>
    <row r="3" spans="1:14" x14ac:dyDescent="0.3">
      <c r="A3" s="4"/>
      <c r="B3" s="4">
        <v>2</v>
      </c>
      <c r="C3" s="5">
        <v>4.8</v>
      </c>
      <c r="D3" s="4">
        <v>2</v>
      </c>
      <c r="E3" s="13"/>
      <c r="F3" s="4"/>
      <c r="G3" s="14"/>
      <c r="H3" s="1"/>
      <c r="I3" s="5">
        <v>2</v>
      </c>
      <c r="J3" s="17"/>
      <c r="K3" s="40"/>
      <c r="L3" s="25"/>
    </row>
    <row r="4" spans="1:14" x14ac:dyDescent="0.3">
      <c r="A4" s="4"/>
      <c r="B4" s="4">
        <v>3</v>
      </c>
      <c r="C4" s="5">
        <v>5.9</v>
      </c>
      <c r="D4" s="4">
        <v>3</v>
      </c>
      <c r="E4" s="13"/>
      <c r="F4" s="4"/>
      <c r="G4" s="14"/>
      <c r="H4" s="1"/>
      <c r="I4" s="5">
        <v>3</v>
      </c>
      <c r="J4" s="17"/>
      <c r="K4" s="40"/>
      <c r="L4" s="25"/>
    </row>
    <row r="5" spans="1:14" x14ac:dyDescent="0.3">
      <c r="A5" s="6"/>
      <c r="B5" s="6">
        <v>4</v>
      </c>
      <c r="C5" s="7">
        <v>6.4</v>
      </c>
      <c r="D5" s="6">
        <v>4</v>
      </c>
      <c r="E5" s="15"/>
      <c r="F5" s="6"/>
      <c r="G5" s="16"/>
      <c r="H5" s="1"/>
      <c r="I5" s="7">
        <v>4</v>
      </c>
      <c r="J5" s="2"/>
      <c r="K5" s="40"/>
      <c r="L5" s="26"/>
    </row>
    <row r="6" spans="1:14" x14ac:dyDescent="0.3">
      <c r="A6" s="4">
        <v>2</v>
      </c>
      <c r="B6" s="4">
        <v>1</v>
      </c>
      <c r="C6" s="5">
        <v>5.0999999999999996</v>
      </c>
      <c r="D6" s="10">
        <v>5</v>
      </c>
      <c r="E6" s="11"/>
      <c r="F6" s="10"/>
      <c r="G6" s="12"/>
      <c r="H6" s="1"/>
      <c r="K6" s="1"/>
      <c r="L6" s="1">
        <f>SUM(L2:L5)</f>
        <v>0</v>
      </c>
    </row>
    <row r="7" spans="1:14" x14ac:dyDescent="0.3">
      <c r="A7" s="4"/>
      <c r="B7" s="4">
        <v>2</v>
      </c>
      <c r="C7" s="5">
        <v>5.3</v>
      </c>
      <c r="D7" s="4">
        <v>6</v>
      </c>
      <c r="E7" s="13"/>
      <c r="F7" s="4"/>
      <c r="G7" s="14"/>
      <c r="H7" s="1"/>
      <c r="L7" s="1"/>
    </row>
    <row r="8" spans="1:14" x14ac:dyDescent="0.3">
      <c r="A8" s="4"/>
      <c r="B8" s="4">
        <v>3</v>
      </c>
      <c r="C8" s="5">
        <v>7.1</v>
      </c>
      <c r="D8" s="4">
        <v>7</v>
      </c>
      <c r="E8" s="13"/>
      <c r="F8" s="4"/>
      <c r="G8" s="14"/>
      <c r="H8" s="1"/>
    </row>
    <row r="9" spans="1:14" x14ac:dyDescent="0.3">
      <c r="A9" s="6"/>
      <c r="B9" s="6">
        <v>4</v>
      </c>
      <c r="C9" s="7">
        <v>7.6</v>
      </c>
      <c r="D9" s="6">
        <v>8</v>
      </c>
      <c r="E9" s="15"/>
      <c r="F9" s="6"/>
      <c r="G9" s="16"/>
      <c r="H9" s="1"/>
    </row>
    <row r="10" spans="1:14" x14ac:dyDescent="0.3">
      <c r="A10" s="4">
        <v>3</v>
      </c>
      <c r="B10" s="4">
        <v>1</v>
      </c>
      <c r="C10" s="5">
        <v>5.5</v>
      </c>
      <c r="D10" s="10">
        <v>9</v>
      </c>
      <c r="E10" s="11"/>
      <c r="F10" s="10"/>
      <c r="G10" s="12"/>
      <c r="H10" s="1"/>
      <c r="K10" s="1"/>
      <c r="L10" s="1"/>
    </row>
    <row r="11" spans="1:14" x14ac:dyDescent="0.3">
      <c r="A11" s="4"/>
      <c r="B11" s="4">
        <v>2</v>
      </c>
      <c r="C11" s="5">
        <v>5.5</v>
      </c>
      <c r="D11" s="4">
        <v>10</v>
      </c>
      <c r="E11" s="13"/>
      <c r="F11" s="4"/>
      <c r="G11" s="14"/>
      <c r="H11" s="1"/>
      <c r="K11" s="1"/>
      <c r="L11" s="1"/>
    </row>
    <row r="12" spans="1:14" x14ac:dyDescent="0.3">
      <c r="A12" s="4"/>
      <c r="B12" s="4">
        <v>3</v>
      </c>
      <c r="C12" s="5">
        <v>7.3</v>
      </c>
      <c r="D12" s="4">
        <v>11</v>
      </c>
      <c r="E12" s="13"/>
      <c r="F12" s="4"/>
      <c r="G12" s="14"/>
      <c r="H12" s="1"/>
      <c r="K12" s="1"/>
      <c r="L12" s="1"/>
    </row>
    <row r="13" spans="1:14" x14ac:dyDescent="0.3">
      <c r="A13" s="6"/>
      <c r="B13" s="6">
        <v>4</v>
      </c>
      <c r="C13" s="7">
        <v>8</v>
      </c>
      <c r="D13" s="6">
        <v>12</v>
      </c>
      <c r="E13" s="15"/>
      <c r="F13" s="6"/>
      <c r="G13" s="16"/>
      <c r="H13" s="1"/>
      <c r="K13" s="1"/>
      <c r="L13" s="1"/>
    </row>
    <row r="14" spans="1:14" x14ac:dyDescent="0.3">
      <c r="A14" s="4">
        <v>4</v>
      </c>
      <c r="B14" s="4">
        <v>1</v>
      </c>
      <c r="C14" s="5">
        <v>6.2</v>
      </c>
      <c r="D14" s="10">
        <v>13</v>
      </c>
      <c r="E14" s="11"/>
      <c r="F14" s="10"/>
      <c r="G14" s="12"/>
      <c r="H14" s="1"/>
      <c r="I14" s="1"/>
      <c r="L14" s="1"/>
    </row>
    <row r="15" spans="1:14" x14ac:dyDescent="0.3">
      <c r="A15" s="4"/>
      <c r="B15" s="4">
        <v>2</v>
      </c>
      <c r="C15" s="5">
        <v>6.3</v>
      </c>
      <c r="D15" s="4">
        <v>14</v>
      </c>
      <c r="E15" s="13"/>
      <c r="F15" s="4"/>
      <c r="G15" s="14"/>
      <c r="H15" s="1"/>
      <c r="I15" s="1"/>
      <c r="L15" s="1"/>
    </row>
    <row r="16" spans="1:14" x14ac:dyDescent="0.3">
      <c r="A16" s="4"/>
      <c r="B16" s="4">
        <v>3</v>
      </c>
      <c r="C16" s="5">
        <v>8</v>
      </c>
      <c r="D16" s="4">
        <v>15</v>
      </c>
      <c r="E16" s="13"/>
      <c r="F16" s="4"/>
      <c r="G16" s="14"/>
      <c r="H16" s="1"/>
      <c r="I16" s="1"/>
      <c r="J16" s="1"/>
      <c r="K16" s="1"/>
      <c r="L16" s="1"/>
    </row>
    <row r="17" spans="1:12" x14ac:dyDescent="0.3">
      <c r="A17" s="6"/>
      <c r="B17" s="6">
        <v>4</v>
      </c>
      <c r="C17" s="7">
        <v>8.5</v>
      </c>
      <c r="D17" s="6">
        <v>16</v>
      </c>
      <c r="E17" s="15"/>
      <c r="F17" s="6"/>
      <c r="G17" s="16"/>
      <c r="H17" s="1"/>
      <c r="I17" s="1"/>
      <c r="J17" s="1"/>
      <c r="K17" s="1"/>
      <c r="L17" s="1"/>
    </row>
    <row r="18" spans="1:12" x14ac:dyDescent="0.3">
      <c r="A18" s="4">
        <v>5</v>
      </c>
      <c r="B18" s="4">
        <v>1</v>
      </c>
      <c r="C18" s="17">
        <v>7.1</v>
      </c>
      <c r="D18" s="10">
        <v>17</v>
      </c>
      <c r="E18" s="11"/>
      <c r="F18" s="10"/>
      <c r="G18" s="12"/>
      <c r="H18" s="1"/>
      <c r="I18" s="1"/>
      <c r="J18" s="1"/>
      <c r="K18" s="1"/>
      <c r="L18" s="1"/>
    </row>
    <row r="19" spans="1:12" x14ac:dyDescent="0.3">
      <c r="A19" s="4"/>
      <c r="B19" s="4">
        <v>2</v>
      </c>
      <c r="C19" s="18">
        <v>7.3</v>
      </c>
      <c r="D19" s="4">
        <v>18</v>
      </c>
      <c r="E19" s="13"/>
      <c r="F19" s="4"/>
      <c r="G19" s="14"/>
    </row>
    <row r="20" spans="1:12" x14ac:dyDescent="0.3">
      <c r="A20" s="4"/>
      <c r="B20" s="4">
        <v>3</v>
      </c>
      <c r="C20" s="18">
        <v>8.5</v>
      </c>
      <c r="D20" s="4">
        <v>19</v>
      </c>
      <c r="E20" s="13"/>
      <c r="F20" s="4"/>
      <c r="G20" s="14"/>
    </row>
    <row r="21" spans="1:12" x14ac:dyDescent="0.3">
      <c r="A21" s="6"/>
      <c r="B21" s="6">
        <v>4</v>
      </c>
      <c r="C21" s="20">
        <v>8.8000000000000007</v>
      </c>
      <c r="D21" s="6">
        <v>20</v>
      </c>
      <c r="E21" s="15"/>
      <c r="F21" s="6"/>
      <c r="G21" s="16"/>
    </row>
    <row r="22" spans="1:12" x14ac:dyDescent="0.3">
      <c r="A22" s="4">
        <v>6</v>
      </c>
      <c r="B22" s="4">
        <v>1</v>
      </c>
      <c r="C22" s="17">
        <v>8.1999999999999993</v>
      </c>
      <c r="D22" s="10">
        <v>21</v>
      </c>
      <c r="E22" s="11"/>
      <c r="F22" s="10"/>
      <c r="G22" s="12"/>
    </row>
    <row r="23" spans="1:12" x14ac:dyDescent="0.3">
      <c r="A23" s="4"/>
      <c r="B23" s="4">
        <v>2</v>
      </c>
      <c r="C23" s="18">
        <v>8.3000000000000007</v>
      </c>
      <c r="D23" s="4">
        <v>22</v>
      </c>
      <c r="E23" s="13"/>
      <c r="F23" s="4"/>
      <c r="G23" s="14"/>
    </row>
    <row r="24" spans="1:12" x14ac:dyDescent="0.3">
      <c r="A24" s="4"/>
      <c r="B24" s="4">
        <v>3</v>
      </c>
      <c r="C24" s="18">
        <v>9</v>
      </c>
      <c r="D24" s="4">
        <v>23</v>
      </c>
      <c r="E24" s="13"/>
      <c r="F24" s="4"/>
      <c r="G24" s="14"/>
    </row>
    <row r="25" spans="1:12" x14ac:dyDescent="0.3">
      <c r="A25" s="6"/>
      <c r="B25" s="6">
        <v>4</v>
      </c>
      <c r="C25" s="20">
        <v>9.1999999999999993</v>
      </c>
      <c r="D25" s="6">
        <v>24</v>
      </c>
      <c r="E25" s="15"/>
      <c r="F25" s="6"/>
      <c r="G25" s="16"/>
    </row>
    <row r="26" spans="1:12" x14ac:dyDescent="0.3">
      <c r="A26" s="4">
        <v>7</v>
      </c>
      <c r="B26" s="4">
        <v>1</v>
      </c>
      <c r="C26" s="17">
        <v>8.5</v>
      </c>
      <c r="D26" s="10">
        <v>25</v>
      </c>
      <c r="E26" s="11"/>
      <c r="F26" s="10"/>
      <c r="G26" s="12"/>
    </row>
    <row r="27" spans="1:12" x14ac:dyDescent="0.3">
      <c r="A27" s="4"/>
      <c r="B27" s="4">
        <v>2</v>
      </c>
      <c r="C27" s="18">
        <v>8.8000000000000007</v>
      </c>
      <c r="D27" s="4">
        <v>26</v>
      </c>
      <c r="E27" s="13"/>
      <c r="F27" s="4"/>
      <c r="G27" s="14"/>
    </row>
    <row r="28" spans="1:12" x14ac:dyDescent="0.3">
      <c r="A28" s="4"/>
      <c r="B28" s="4">
        <v>3</v>
      </c>
      <c r="C28" s="18">
        <v>9.8000000000000007</v>
      </c>
      <c r="D28" s="4">
        <v>27</v>
      </c>
      <c r="E28" s="13"/>
      <c r="F28" s="4"/>
      <c r="G28" s="14"/>
    </row>
    <row r="29" spans="1:12" x14ac:dyDescent="0.3">
      <c r="A29" s="6"/>
      <c r="B29" s="6">
        <v>4</v>
      </c>
      <c r="C29" s="20">
        <v>9.9</v>
      </c>
      <c r="D29" s="6">
        <v>28</v>
      </c>
      <c r="E29" s="15"/>
      <c r="F29" s="6"/>
      <c r="G29" s="16"/>
    </row>
    <row r="30" spans="1:12" x14ac:dyDescent="0.3">
      <c r="A30" s="4">
        <v>8</v>
      </c>
      <c r="B30" s="4">
        <v>1</v>
      </c>
      <c r="C30" s="17">
        <v>9.4</v>
      </c>
      <c r="D30" s="10">
        <v>29</v>
      </c>
      <c r="E30" s="11"/>
      <c r="F30" s="10"/>
      <c r="G30" s="12"/>
    </row>
    <row r="31" spans="1:12" x14ac:dyDescent="0.3">
      <c r="A31" s="4"/>
      <c r="B31" s="4">
        <v>2</v>
      </c>
      <c r="C31" s="18">
        <v>9.3000000000000007</v>
      </c>
      <c r="D31" s="4">
        <v>30</v>
      </c>
      <c r="E31" s="13"/>
      <c r="F31" s="4"/>
      <c r="G31" s="14"/>
    </row>
    <row r="32" spans="1:12" x14ac:dyDescent="0.3">
      <c r="A32" s="4"/>
      <c r="B32" s="4">
        <v>3</v>
      </c>
      <c r="C32" s="18">
        <v>10.6</v>
      </c>
      <c r="D32" s="4">
        <v>31</v>
      </c>
      <c r="E32" s="13"/>
      <c r="F32" s="4"/>
      <c r="G32" s="14"/>
    </row>
    <row r="33" spans="1:7" x14ac:dyDescent="0.3">
      <c r="A33" s="6"/>
      <c r="B33" s="6">
        <v>4</v>
      </c>
      <c r="C33" s="20">
        <v>10.7</v>
      </c>
      <c r="D33" s="6">
        <v>32</v>
      </c>
      <c r="E33" s="15"/>
      <c r="F33" s="6"/>
      <c r="G33" s="16"/>
    </row>
    <row r="34" spans="1:7" x14ac:dyDescent="0.3">
      <c r="A34" s="4">
        <v>9</v>
      </c>
      <c r="B34" s="4">
        <v>1</v>
      </c>
      <c r="C34" s="17">
        <v>10</v>
      </c>
      <c r="D34" s="10">
        <v>33</v>
      </c>
      <c r="E34" s="11"/>
      <c r="F34" s="10"/>
      <c r="G34" s="12"/>
    </row>
    <row r="35" spans="1:7" x14ac:dyDescent="0.3">
      <c r="A35" s="4"/>
      <c r="B35" s="4">
        <v>2</v>
      </c>
      <c r="C35" s="18">
        <v>10.199999999999999</v>
      </c>
      <c r="D35" s="4">
        <v>34</v>
      </c>
      <c r="E35" s="13"/>
      <c r="F35" s="4"/>
      <c r="G35" s="14"/>
    </row>
    <row r="36" spans="1:7" x14ac:dyDescent="0.3">
      <c r="A36" s="4"/>
      <c r="B36" s="4">
        <v>3</v>
      </c>
      <c r="C36" s="18">
        <v>11</v>
      </c>
      <c r="D36" s="4">
        <v>35</v>
      </c>
      <c r="E36" s="13"/>
      <c r="F36" s="4"/>
      <c r="G36" s="14"/>
    </row>
    <row r="37" spans="1:7" x14ac:dyDescent="0.3">
      <c r="A37" s="6"/>
      <c r="B37" s="6">
        <v>4</v>
      </c>
      <c r="C37" s="20">
        <v>11.3</v>
      </c>
      <c r="D37" s="6">
        <v>36</v>
      </c>
      <c r="E37" s="15"/>
      <c r="F37" s="6"/>
      <c r="G37" s="16"/>
    </row>
    <row r="38" spans="1:7" x14ac:dyDescent="0.3">
      <c r="A38" s="4">
        <v>10</v>
      </c>
      <c r="B38" s="4">
        <v>1</v>
      </c>
      <c r="C38" s="17">
        <v>10.8</v>
      </c>
      <c r="D38" s="10">
        <v>37</v>
      </c>
      <c r="E38" s="11"/>
      <c r="F38" s="10"/>
      <c r="G38" s="12"/>
    </row>
    <row r="39" spans="1:7" x14ac:dyDescent="0.3">
      <c r="A39" s="4"/>
      <c r="B39" s="4">
        <v>2</v>
      </c>
      <c r="C39" s="18">
        <v>10.6</v>
      </c>
      <c r="D39" s="4">
        <v>38</v>
      </c>
      <c r="E39" s="13"/>
      <c r="F39" s="4"/>
      <c r="G39" s="14"/>
    </row>
    <row r="40" spans="1:7" x14ac:dyDescent="0.3">
      <c r="A40" s="4"/>
      <c r="B40" s="4">
        <v>3</v>
      </c>
      <c r="C40" s="18">
        <v>11.6</v>
      </c>
      <c r="D40" s="4">
        <v>39</v>
      </c>
      <c r="E40" s="13"/>
      <c r="F40" s="4"/>
      <c r="G40" s="14"/>
    </row>
    <row r="41" spans="1:7" x14ac:dyDescent="0.3">
      <c r="A41" s="6"/>
      <c r="B41" s="6">
        <v>4</v>
      </c>
      <c r="C41" s="20">
        <v>11.4</v>
      </c>
      <c r="D41" s="6">
        <v>40</v>
      </c>
      <c r="E41" s="15"/>
      <c r="F41" s="6"/>
      <c r="G41" s="16"/>
    </row>
    <row r="42" spans="1:7" x14ac:dyDescent="0.3">
      <c r="A42" s="4">
        <v>11</v>
      </c>
      <c r="B42" s="4">
        <v>1</v>
      </c>
      <c r="C42" s="17">
        <v>11</v>
      </c>
      <c r="D42" s="10">
        <v>41</v>
      </c>
      <c r="E42" s="11"/>
      <c r="F42" s="10"/>
      <c r="G42" s="12"/>
    </row>
    <row r="43" spans="1:7" x14ac:dyDescent="0.3">
      <c r="A43" s="4"/>
      <c r="B43" s="4">
        <v>2</v>
      </c>
      <c r="C43" s="18">
        <v>11.2</v>
      </c>
      <c r="D43" s="4">
        <v>42</v>
      </c>
      <c r="E43" s="13"/>
      <c r="F43" s="4"/>
      <c r="G43" s="14"/>
    </row>
    <row r="44" spans="1:7" x14ac:dyDescent="0.3">
      <c r="A44" s="4"/>
      <c r="B44" s="4">
        <v>3</v>
      </c>
      <c r="C44" s="18">
        <v>12.8</v>
      </c>
      <c r="D44" s="4">
        <v>43</v>
      </c>
      <c r="E44" s="13"/>
      <c r="F44" s="4"/>
      <c r="G44" s="14"/>
    </row>
    <row r="45" spans="1:7" x14ac:dyDescent="0.3">
      <c r="A45" s="6"/>
      <c r="B45" s="6">
        <v>4</v>
      </c>
      <c r="C45" s="20">
        <v>12.6</v>
      </c>
      <c r="D45" s="6">
        <v>44</v>
      </c>
      <c r="E45" s="15"/>
      <c r="F45" s="6"/>
      <c r="G45" s="16"/>
    </row>
    <row r="46" spans="1:7" x14ac:dyDescent="0.3">
      <c r="A46" s="4">
        <v>12</v>
      </c>
      <c r="B46" s="4">
        <v>1</v>
      </c>
      <c r="C46" s="17">
        <v>11.4</v>
      </c>
      <c r="D46" s="10">
        <v>45</v>
      </c>
      <c r="E46" s="11"/>
      <c r="F46" s="10"/>
      <c r="G46" s="12"/>
    </row>
    <row r="47" spans="1:7" x14ac:dyDescent="0.3">
      <c r="A47" s="4"/>
      <c r="B47" s="4">
        <v>2</v>
      </c>
      <c r="C47" s="18">
        <v>11.5</v>
      </c>
      <c r="D47" s="4">
        <v>46</v>
      </c>
      <c r="E47" s="13"/>
      <c r="F47" s="4"/>
      <c r="G47" s="14"/>
    </row>
    <row r="48" spans="1:7" x14ac:dyDescent="0.3">
      <c r="A48" s="4"/>
      <c r="B48" s="4">
        <v>3</v>
      </c>
      <c r="C48" s="18">
        <v>13</v>
      </c>
      <c r="D48" s="4">
        <v>47</v>
      </c>
      <c r="E48" s="13"/>
      <c r="F48" s="4"/>
      <c r="G48" s="14"/>
    </row>
    <row r="49" spans="1:7" x14ac:dyDescent="0.3">
      <c r="A49" s="6"/>
      <c r="B49" s="6">
        <v>4</v>
      </c>
      <c r="C49" s="20">
        <v>13.1</v>
      </c>
      <c r="D49" s="6">
        <v>48</v>
      </c>
      <c r="E49" s="15"/>
      <c r="F49" s="6"/>
      <c r="G49" s="16"/>
    </row>
    <row r="50" spans="1:7" x14ac:dyDescent="0.3">
      <c r="A50" s="4">
        <v>13</v>
      </c>
      <c r="B50" s="4">
        <v>1</v>
      </c>
      <c r="C50" s="17"/>
      <c r="D50" s="10">
        <v>49</v>
      </c>
      <c r="E50" s="11"/>
      <c r="F50" s="10" t="e">
        <f t="array" ref="F50:F53">FORECAST(D50:D53,$E$2:$E$49,$D$2:$D$49)</f>
        <v>#DIV/0!</v>
      </c>
      <c r="G50" s="12" t="e">
        <f t="array" ref="G50:G53">F50:F53*$L$2:$L$5</f>
        <v>#DIV/0!</v>
      </c>
    </row>
    <row r="51" spans="1:7" x14ac:dyDescent="0.3">
      <c r="A51" s="4"/>
      <c r="B51" s="4">
        <v>2</v>
      </c>
      <c r="C51" s="18"/>
      <c r="D51" s="4">
        <v>50</v>
      </c>
      <c r="E51" s="19"/>
      <c r="F51" s="4" t="e">
        <v>#DIV/0!</v>
      </c>
      <c r="G51" s="14" t="e">
        <v>#DIV/0!</v>
      </c>
    </row>
    <row r="52" spans="1:7" x14ac:dyDescent="0.3">
      <c r="A52" s="4"/>
      <c r="B52" s="4">
        <v>3</v>
      </c>
      <c r="C52" s="18"/>
      <c r="D52" s="4">
        <v>51</v>
      </c>
      <c r="E52" s="19"/>
      <c r="F52" s="4" t="e">
        <v>#DIV/0!</v>
      </c>
      <c r="G52" s="14" t="e">
        <v>#DIV/0!</v>
      </c>
    </row>
    <row r="53" spans="1:7" x14ac:dyDescent="0.3">
      <c r="A53" s="6"/>
      <c r="B53" s="6">
        <v>4</v>
      </c>
      <c r="C53" s="20"/>
      <c r="D53" s="6">
        <v>52</v>
      </c>
      <c r="E53" s="21"/>
      <c r="F53" s="6" t="e">
        <v>#DIV/0!</v>
      </c>
      <c r="G53" s="16" t="e">
        <v>#DIV/0!</v>
      </c>
    </row>
  </sheetData>
  <mergeCells count="1">
    <mergeCell ref="K2:K5"/>
  </mergeCells>
  <phoneticPr fontId="2" type="noConversion"/>
  <printOptions headings="1"/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FF4C2-1C4A-464C-96F8-C2C49A2925B0}">
  <dimension ref="A1:H53"/>
  <sheetViews>
    <sheetView topLeftCell="A4" workbookViewId="0">
      <selection activeCell="C11" sqref="C11"/>
    </sheetView>
  </sheetViews>
  <sheetFormatPr defaultRowHeight="13.5" x14ac:dyDescent="0.3"/>
  <cols>
    <col min="2" max="2" width="7.1328125" customWidth="1"/>
    <col min="3" max="3" width="19.46484375" customWidth="1"/>
    <col min="4" max="4" width="18.46484375" customWidth="1"/>
    <col min="6" max="6" width="15.86328125" customWidth="1"/>
  </cols>
  <sheetData>
    <row r="1" spans="1:8" x14ac:dyDescent="0.3">
      <c r="A1" s="34" t="s">
        <v>15</v>
      </c>
      <c r="B1" s="34" t="s">
        <v>14</v>
      </c>
      <c r="C1" s="35" t="s">
        <v>16</v>
      </c>
      <c r="D1" s="34" t="s">
        <v>17</v>
      </c>
      <c r="F1" s="30" t="s">
        <v>13</v>
      </c>
      <c r="G1">
        <f>_xlfn.FORECAST.ETS.SEASONALITY(B2:B49,A2:A49)</f>
        <v>4</v>
      </c>
    </row>
    <row r="2" spans="1:8" x14ac:dyDescent="0.3">
      <c r="A2" s="4">
        <v>1</v>
      </c>
      <c r="B2" s="28">
        <v>4.5</v>
      </c>
      <c r="C2" s="31">
        <v>4.7314309698871115</v>
      </c>
      <c r="D2" s="32">
        <f>_xlfn.FORECAST.ETS(A2,$B$2:$B$49,$A$2:$A$49)</f>
        <v>4.7219664188376775</v>
      </c>
    </row>
    <row r="3" spans="1:8" x14ac:dyDescent="0.3">
      <c r="A3" s="4">
        <v>2</v>
      </c>
      <c r="B3" s="28">
        <v>4.8</v>
      </c>
      <c r="C3" s="31">
        <v>4.9464262600546407</v>
      </c>
      <c r="D3" s="32">
        <f t="shared" ref="D3:D53" si="0">_xlfn.FORECAST.ETS(A3,$B$2:$B$49,$A$2:$A$49)</f>
        <v>4.8129773656020918</v>
      </c>
    </row>
    <row r="4" spans="1:8" x14ac:dyDescent="0.3">
      <c r="A4" s="4">
        <v>3</v>
      </c>
      <c r="B4" s="28">
        <v>5.9</v>
      </c>
      <c r="C4" s="31">
        <v>5.8903036942027711</v>
      </c>
      <c r="D4" s="32">
        <f t="shared" si="0"/>
        <v>6.2110989813263418</v>
      </c>
      <c r="F4" s="36"/>
      <c r="G4" s="37" t="s">
        <v>3</v>
      </c>
      <c r="H4" s="37" t="s">
        <v>19</v>
      </c>
    </row>
    <row r="5" spans="1:8" x14ac:dyDescent="0.3">
      <c r="A5" s="4">
        <v>4</v>
      </c>
      <c r="B5" s="28">
        <v>6.4</v>
      </c>
      <c r="C5" s="31">
        <v>6.2138861250095072</v>
      </c>
      <c r="D5" s="32">
        <f t="shared" si="0"/>
        <v>6.2140392515683125</v>
      </c>
      <c r="F5" s="38" t="s">
        <v>16</v>
      </c>
      <c r="G5" s="36">
        <f>RSQ(C2:C49,A2:A49)</f>
        <v>0.89807684847612979</v>
      </c>
      <c r="H5" s="36">
        <f>SUMXMY2(C2:C49,B2:B49)/COUNT(C2:C49)</f>
        <v>0.18173390361086159</v>
      </c>
    </row>
    <row r="6" spans="1:8" x14ac:dyDescent="0.3">
      <c r="A6" s="4">
        <v>5</v>
      </c>
      <c r="B6" s="28">
        <v>5.0999999999999996</v>
      </c>
      <c r="C6" s="31">
        <v>5.3118966204027807</v>
      </c>
      <c r="D6" s="32">
        <f t="shared" si="0"/>
        <v>5.3464379249027534</v>
      </c>
      <c r="F6" s="36" t="s">
        <v>18</v>
      </c>
      <c r="G6" s="36">
        <f>RSQ(D2:D49,A2:A49)</f>
        <v>0.93756673409047064</v>
      </c>
      <c r="H6" s="36">
        <f>SUMXMY2(D2:D49,B2:B49)/COUNT(D2:D49)</f>
        <v>8.1407170279452309E-2</v>
      </c>
    </row>
    <row r="7" spans="1:8" x14ac:dyDescent="0.3">
      <c r="A7" s="4">
        <v>6</v>
      </c>
      <c r="B7" s="28">
        <v>5.3</v>
      </c>
      <c r="C7" s="31">
        <v>5.5352097397486295</v>
      </c>
      <c r="D7" s="32">
        <f t="shared" si="0"/>
        <v>5.4374488716671676</v>
      </c>
    </row>
    <row r="8" spans="1:8" x14ac:dyDescent="0.3">
      <c r="A8" s="4">
        <v>7</v>
      </c>
      <c r="B8" s="28">
        <v>7.1</v>
      </c>
      <c r="C8" s="31">
        <v>6.5711774255138833</v>
      </c>
      <c r="D8" s="32">
        <f t="shared" si="0"/>
        <v>6.8355704873914185</v>
      </c>
    </row>
    <row r="9" spans="1:8" x14ac:dyDescent="0.3">
      <c r="A9" s="4">
        <v>8</v>
      </c>
      <c r="B9" s="28">
        <v>7.6</v>
      </c>
      <c r="C9" s="31">
        <v>6.9119896453328549</v>
      </c>
      <c r="D9" s="32">
        <f t="shared" si="0"/>
        <v>6.8385107576333883</v>
      </c>
    </row>
    <row r="10" spans="1:8" x14ac:dyDescent="0.3">
      <c r="A10" s="4">
        <v>9</v>
      </c>
      <c r="B10" s="28">
        <v>5.5</v>
      </c>
      <c r="C10" s="31">
        <v>5.8923622709184489</v>
      </c>
      <c r="D10" s="32">
        <f t="shared" si="0"/>
        <v>5.9709094309678301</v>
      </c>
    </row>
    <row r="11" spans="1:8" x14ac:dyDescent="0.3">
      <c r="A11" s="4">
        <v>10</v>
      </c>
      <c r="B11" s="28">
        <v>5.5</v>
      </c>
      <c r="C11" s="31">
        <v>6.1239932194426192</v>
      </c>
      <c r="D11" s="32">
        <f t="shared" si="0"/>
        <v>6.0619203777322435</v>
      </c>
    </row>
    <row r="12" spans="1:8" x14ac:dyDescent="0.3">
      <c r="A12" s="4">
        <v>11</v>
      </c>
      <c r="B12" s="28">
        <v>7.3</v>
      </c>
      <c r="C12" s="31">
        <v>7.2520511568249946</v>
      </c>
      <c r="D12" s="32">
        <f t="shared" si="0"/>
        <v>7.4600419934564943</v>
      </c>
    </row>
    <row r="13" spans="1:8" x14ac:dyDescent="0.3">
      <c r="A13" s="4">
        <v>12</v>
      </c>
      <c r="B13" s="28">
        <v>8</v>
      </c>
      <c r="C13" s="31">
        <v>7.6100931656562025</v>
      </c>
      <c r="D13" s="32">
        <f t="shared" si="0"/>
        <v>7.4629822636984642</v>
      </c>
    </row>
    <row r="14" spans="1:8" x14ac:dyDescent="0.3">
      <c r="A14" s="4">
        <v>13</v>
      </c>
      <c r="B14" s="28">
        <v>6.2</v>
      </c>
      <c r="C14" s="31">
        <v>6.472827921434118</v>
      </c>
      <c r="D14" s="32">
        <f t="shared" si="0"/>
        <v>6.595380937032906</v>
      </c>
    </row>
    <row r="15" spans="1:8" x14ac:dyDescent="0.3">
      <c r="A15" s="4">
        <v>14</v>
      </c>
      <c r="B15" s="28">
        <v>6.3</v>
      </c>
      <c r="C15" s="31">
        <v>6.7127766991366098</v>
      </c>
      <c r="D15" s="32">
        <f t="shared" si="0"/>
        <v>6.6863918837973202</v>
      </c>
    </row>
    <row r="16" spans="1:8" x14ac:dyDescent="0.3">
      <c r="A16" s="4">
        <v>15</v>
      </c>
      <c r="B16" s="28">
        <v>8</v>
      </c>
      <c r="C16" s="31">
        <v>7.9329248881361059</v>
      </c>
      <c r="D16" s="32">
        <f t="shared" si="0"/>
        <v>8.0845134995215702</v>
      </c>
    </row>
    <row r="17" spans="1:4" x14ac:dyDescent="0.3">
      <c r="A17" s="4">
        <v>16</v>
      </c>
      <c r="B17" s="28">
        <v>8.5</v>
      </c>
      <c r="C17" s="31">
        <v>8.3081966859795511</v>
      </c>
      <c r="D17" s="32">
        <f t="shared" si="0"/>
        <v>8.08745376976354</v>
      </c>
    </row>
    <row r="18" spans="1:4" x14ac:dyDescent="0.3">
      <c r="A18" s="4">
        <v>17</v>
      </c>
      <c r="B18" s="28">
        <v>7.1</v>
      </c>
      <c r="C18" s="31">
        <v>7.0532935719497862</v>
      </c>
      <c r="D18" s="32">
        <f t="shared" si="0"/>
        <v>7.2198524430979827</v>
      </c>
    </row>
    <row r="19" spans="1:4" x14ac:dyDescent="0.3">
      <c r="A19" s="4">
        <v>18</v>
      </c>
      <c r="B19" s="28">
        <v>7.3</v>
      </c>
      <c r="C19" s="31">
        <v>7.3015601788305986</v>
      </c>
      <c r="D19" s="32">
        <f t="shared" si="0"/>
        <v>7.310863389862396</v>
      </c>
    </row>
    <row r="20" spans="1:4" x14ac:dyDescent="0.3">
      <c r="A20" s="4">
        <v>19</v>
      </c>
      <c r="B20" s="28">
        <v>8.5</v>
      </c>
      <c r="C20" s="31">
        <v>8.613798619447218</v>
      </c>
      <c r="D20" s="32">
        <f t="shared" si="0"/>
        <v>8.7089850055866478</v>
      </c>
    </row>
    <row r="21" spans="1:4" x14ac:dyDescent="0.3">
      <c r="A21" s="4">
        <v>20</v>
      </c>
      <c r="B21" s="28">
        <v>8.8000000000000007</v>
      </c>
      <c r="C21" s="31">
        <v>9.0063002063028978</v>
      </c>
      <c r="D21" s="32">
        <f t="shared" si="0"/>
        <v>8.7119252758286176</v>
      </c>
    </row>
    <row r="22" spans="1:4" x14ac:dyDescent="0.3">
      <c r="A22" s="4">
        <v>21</v>
      </c>
      <c r="B22" s="28">
        <v>8.1999999999999993</v>
      </c>
      <c r="C22" s="31">
        <v>7.6337592224654562</v>
      </c>
      <c r="D22" s="32">
        <f t="shared" si="0"/>
        <v>7.8443239491630594</v>
      </c>
    </row>
    <row r="23" spans="1:4" x14ac:dyDescent="0.3">
      <c r="A23" s="4">
        <v>22</v>
      </c>
      <c r="B23" s="28">
        <v>8.3000000000000007</v>
      </c>
      <c r="C23" s="31">
        <v>7.8903436585245874</v>
      </c>
      <c r="D23" s="32">
        <f t="shared" si="0"/>
        <v>7.9353348959274737</v>
      </c>
    </row>
    <row r="24" spans="1:4" x14ac:dyDescent="0.3">
      <c r="A24" s="4">
        <v>23</v>
      </c>
      <c r="B24" s="28">
        <v>9</v>
      </c>
      <c r="C24" s="31">
        <v>9.2946723507583293</v>
      </c>
      <c r="D24" s="32">
        <f t="shared" si="0"/>
        <v>9.3334565116517236</v>
      </c>
    </row>
    <row r="25" spans="1:4" x14ac:dyDescent="0.3">
      <c r="A25" s="4">
        <v>24</v>
      </c>
      <c r="B25" s="28">
        <v>9.1999999999999993</v>
      </c>
      <c r="C25" s="31">
        <v>9.7044037266262446</v>
      </c>
      <c r="D25" s="32">
        <f t="shared" si="0"/>
        <v>9.3363967818936935</v>
      </c>
    </row>
    <row r="26" spans="1:4" x14ac:dyDescent="0.3">
      <c r="A26" s="4">
        <v>25</v>
      </c>
      <c r="B26" s="28">
        <v>8.5</v>
      </c>
      <c r="C26" s="31">
        <v>8.2142248729811236</v>
      </c>
      <c r="D26" s="32">
        <f t="shared" si="0"/>
        <v>8.4687954552281361</v>
      </c>
    </row>
    <row r="27" spans="1:4" x14ac:dyDescent="0.3">
      <c r="A27" s="4">
        <v>26</v>
      </c>
      <c r="B27" s="28">
        <v>8.8000000000000007</v>
      </c>
      <c r="C27" s="31">
        <v>8.4791271382185762</v>
      </c>
      <c r="D27" s="32">
        <f t="shared" si="0"/>
        <v>8.5598064019925477</v>
      </c>
    </row>
    <row r="28" spans="1:4" x14ac:dyDescent="0.3">
      <c r="A28" s="4">
        <v>27</v>
      </c>
      <c r="B28" s="28">
        <v>9.8000000000000007</v>
      </c>
      <c r="C28" s="31">
        <v>9.9755460820694424</v>
      </c>
      <c r="D28" s="32">
        <f t="shared" si="0"/>
        <v>9.9579280177167995</v>
      </c>
    </row>
    <row r="29" spans="1:4" x14ac:dyDescent="0.3">
      <c r="A29" s="4">
        <v>28</v>
      </c>
      <c r="B29" s="28">
        <v>9.9</v>
      </c>
      <c r="C29" s="31">
        <v>10.402507246949593</v>
      </c>
      <c r="D29" s="32">
        <f t="shared" si="0"/>
        <v>9.9608682879587693</v>
      </c>
    </row>
    <row r="30" spans="1:4" x14ac:dyDescent="0.3">
      <c r="A30" s="4">
        <v>29</v>
      </c>
      <c r="B30" s="28">
        <v>9.4</v>
      </c>
      <c r="C30" s="31">
        <v>8.7946905234967936</v>
      </c>
      <c r="D30" s="32">
        <f t="shared" si="0"/>
        <v>9.093266961293212</v>
      </c>
    </row>
    <row r="31" spans="1:4" x14ac:dyDescent="0.3">
      <c r="A31" s="4">
        <v>30</v>
      </c>
      <c r="B31" s="28">
        <v>9.3000000000000007</v>
      </c>
      <c r="C31" s="31">
        <v>9.0679106179125668</v>
      </c>
      <c r="D31" s="32">
        <f t="shared" si="0"/>
        <v>9.1842779080576253</v>
      </c>
    </row>
    <row r="32" spans="1:4" x14ac:dyDescent="0.3">
      <c r="A32" s="4">
        <v>31</v>
      </c>
      <c r="B32" s="28">
        <v>10.6</v>
      </c>
      <c r="C32" s="31">
        <v>10.656419813380554</v>
      </c>
      <c r="D32" s="32">
        <f t="shared" si="0"/>
        <v>10.582399523781877</v>
      </c>
    </row>
    <row r="33" spans="1:4" x14ac:dyDescent="0.3">
      <c r="A33" s="4">
        <v>32</v>
      </c>
      <c r="B33" s="28">
        <v>10.7</v>
      </c>
      <c r="C33" s="31">
        <v>11.10061076727294</v>
      </c>
      <c r="D33" s="32">
        <f t="shared" si="0"/>
        <v>10.585339794023845</v>
      </c>
    </row>
    <row r="34" spans="1:4" x14ac:dyDescent="0.3">
      <c r="A34" s="4">
        <v>33</v>
      </c>
      <c r="B34" s="28">
        <v>10</v>
      </c>
      <c r="C34" s="31">
        <v>9.3751561740124618</v>
      </c>
      <c r="D34" s="32">
        <f t="shared" si="0"/>
        <v>9.7177384673582878</v>
      </c>
    </row>
    <row r="35" spans="1:4" x14ac:dyDescent="0.3">
      <c r="A35" s="4">
        <v>34</v>
      </c>
      <c r="B35" s="28">
        <v>10.199999999999999</v>
      </c>
      <c r="C35" s="31">
        <v>9.6566940976065556</v>
      </c>
      <c r="D35" s="32">
        <f t="shared" si="0"/>
        <v>9.8087494141227012</v>
      </c>
    </row>
    <row r="36" spans="1:4" x14ac:dyDescent="0.3">
      <c r="A36" s="4">
        <v>35</v>
      </c>
      <c r="B36" s="28">
        <v>11</v>
      </c>
      <c r="C36" s="31">
        <v>11.337293544691665</v>
      </c>
      <c r="D36" s="32">
        <f t="shared" si="0"/>
        <v>11.206871029846953</v>
      </c>
    </row>
    <row r="37" spans="1:4" x14ac:dyDescent="0.3">
      <c r="A37" s="4">
        <v>36</v>
      </c>
      <c r="B37" s="28">
        <v>11.3</v>
      </c>
      <c r="C37" s="31">
        <v>11.798714287596287</v>
      </c>
      <c r="D37" s="32">
        <f t="shared" si="0"/>
        <v>11.209811300088921</v>
      </c>
    </row>
    <row r="38" spans="1:4" x14ac:dyDescent="0.3">
      <c r="A38" s="4">
        <v>37</v>
      </c>
      <c r="B38" s="28">
        <v>10.8</v>
      </c>
      <c r="C38" s="31">
        <v>9.95562182452813</v>
      </c>
      <c r="D38" s="32">
        <f t="shared" si="0"/>
        <v>10.342209973423364</v>
      </c>
    </row>
    <row r="39" spans="1:4" x14ac:dyDescent="0.3">
      <c r="A39" s="4">
        <v>38</v>
      </c>
      <c r="B39" s="28">
        <v>10.6</v>
      </c>
      <c r="C39" s="31">
        <v>10.245477577300546</v>
      </c>
      <c r="D39" s="32">
        <f t="shared" si="0"/>
        <v>10.433220920187777</v>
      </c>
    </row>
    <row r="40" spans="1:4" x14ac:dyDescent="0.3">
      <c r="A40" s="4">
        <v>39</v>
      </c>
      <c r="B40" s="28">
        <v>11.6</v>
      </c>
      <c r="C40" s="31">
        <v>12.018167276002778</v>
      </c>
      <c r="D40" s="32">
        <f t="shared" si="0"/>
        <v>11.831342535912029</v>
      </c>
    </row>
    <row r="41" spans="1:4" x14ac:dyDescent="0.3">
      <c r="A41" s="4">
        <v>40</v>
      </c>
      <c r="B41" s="28">
        <v>11.4</v>
      </c>
      <c r="C41" s="31">
        <v>12.496817807919637</v>
      </c>
      <c r="D41" s="32">
        <f t="shared" si="0"/>
        <v>11.834282806153999</v>
      </c>
    </row>
    <row r="42" spans="1:4" x14ac:dyDescent="0.3">
      <c r="A42" s="4">
        <v>41</v>
      </c>
      <c r="B42" s="28">
        <v>11</v>
      </c>
      <c r="C42" s="31">
        <v>10.536087475043798</v>
      </c>
      <c r="D42" s="32">
        <f t="shared" si="0"/>
        <v>10.96668147948844</v>
      </c>
    </row>
    <row r="43" spans="1:4" x14ac:dyDescent="0.3">
      <c r="A43" s="4">
        <v>42</v>
      </c>
      <c r="B43" s="28">
        <v>11.2</v>
      </c>
      <c r="C43" s="31">
        <v>10.834261056994535</v>
      </c>
      <c r="D43" s="32">
        <f t="shared" si="0"/>
        <v>11.057692426252853</v>
      </c>
    </row>
    <row r="44" spans="1:4" x14ac:dyDescent="0.3">
      <c r="A44" s="4">
        <v>43</v>
      </c>
      <c r="B44" s="28">
        <v>12.8</v>
      </c>
      <c r="C44" s="31">
        <v>12.699041007313891</v>
      </c>
      <c r="D44" s="32">
        <f t="shared" si="0"/>
        <v>12.455814041977105</v>
      </c>
    </row>
    <row r="45" spans="1:4" x14ac:dyDescent="0.3">
      <c r="A45" s="4">
        <v>44</v>
      </c>
      <c r="B45" s="28">
        <v>12.6</v>
      </c>
      <c r="C45" s="31">
        <v>13.194921328242984</v>
      </c>
      <c r="D45" s="32">
        <f t="shared" si="0"/>
        <v>12.458754312219074</v>
      </c>
    </row>
    <row r="46" spans="1:4" x14ac:dyDescent="0.3">
      <c r="A46" s="4">
        <v>45</v>
      </c>
      <c r="B46" s="28">
        <v>11.4</v>
      </c>
      <c r="C46" s="31">
        <v>11.116553125559467</v>
      </c>
      <c r="D46" s="32">
        <f t="shared" si="0"/>
        <v>11.591152985553517</v>
      </c>
    </row>
    <row r="47" spans="1:4" x14ac:dyDescent="0.3">
      <c r="A47" s="4">
        <v>46</v>
      </c>
      <c r="B47" s="28">
        <v>11.5</v>
      </c>
      <c r="C47" s="31">
        <v>11.423044536688524</v>
      </c>
      <c r="D47" s="32">
        <f t="shared" si="0"/>
        <v>11.682163932317929</v>
      </c>
    </row>
    <row r="48" spans="1:4" x14ac:dyDescent="0.3">
      <c r="A48" s="4">
        <v>47</v>
      </c>
      <c r="B48" s="28">
        <v>13</v>
      </c>
      <c r="C48" s="31">
        <v>13.379914738625002</v>
      </c>
      <c r="D48" s="32">
        <f t="shared" si="0"/>
        <v>13.08028554804218</v>
      </c>
    </row>
    <row r="49" spans="1:4" x14ac:dyDescent="0.3">
      <c r="A49" s="4">
        <v>48</v>
      </c>
      <c r="B49" s="28">
        <v>13.1</v>
      </c>
      <c r="C49" s="31">
        <v>13.893024848566331</v>
      </c>
      <c r="D49" s="32">
        <f t="shared" si="0"/>
        <v>13.08322581828415</v>
      </c>
    </row>
    <row r="50" spans="1:4" x14ac:dyDescent="0.3">
      <c r="A50" s="4">
        <v>49</v>
      </c>
      <c r="B50" s="27"/>
      <c r="C50" s="31">
        <v>11.697018776075137</v>
      </c>
      <c r="D50" s="32">
        <f t="shared" si="0"/>
        <v>12.215624491618593</v>
      </c>
    </row>
    <row r="51" spans="1:4" x14ac:dyDescent="0.3">
      <c r="A51" s="4">
        <v>50</v>
      </c>
      <c r="B51" s="28"/>
      <c r="C51" s="31">
        <v>12.011828016382513</v>
      </c>
      <c r="D51" s="32">
        <f t="shared" si="0"/>
        <v>12.306635438383006</v>
      </c>
    </row>
    <row r="52" spans="1:4" x14ac:dyDescent="0.3">
      <c r="A52" s="4">
        <v>51</v>
      </c>
      <c r="B52" s="28"/>
      <c r="C52" s="31">
        <v>14.060788469936114</v>
      </c>
      <c r="D52" s="32">
        <f t="shared" si="0"/>
        <v>13.704757054107256</v>
      </c>
    </row>
    <row r="53" spans="1:4" x14ac:dyDescent="0.3">
      <c r="A53" s="6">
        <v>52</v>
      </c>
      <c r="B53" s="29"/>
      <c r="C53" s="31">
        <v>14.591128368889679</v>
      </c>
      <c r="D53" s="33">
        <f t="shared" si="0"/>
        <v>13.707697324349226</v>
      </c>
    </row>
  </sheetData>
  <phoneticPr fontId="2" type="noConversion"/>
  <pageMargins left="0.7" right="0.7" top="0.75" bottom="0.75" header="0.3" footer="0.3"/>
  <ignoredErrors>
    <ignoredError sqref="G5:H5 G6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例5-5</vt:lpstr>
      <vt:lpstr>季节指数法（1）</vt:lpstr>
      <vt:lpstr>季节指数法</vt:lpstr>
      <vt:lpstr>Foreacast函数族方法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xmp</dc:creator>
  <cp:lastModifiedBy>a77111</cp:lastModifiedBy>
  <cp:lastPrinted>2019-07-21T11:05:33Z</cp:lastPrinted>
  <dcterms:created xsi:type="dcterms:W3CDTF">2012-02-17T06:10:13Z</dcterms:created>
  <dcterms:modified xsi:type="dcterms:W3CDTF">2026-06-20T07:23:47Z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9f2e6209</vt:lpwstr>
  </property>
</Properties>
</file>