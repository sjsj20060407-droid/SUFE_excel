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carl_\Desktop\1-第五版PPT&amp;数据源&amp;例题-0724\3-第五版例题答案-0723\第九章例题答案\"/>
    </mc:Choice>
  </mc:AlternateContent>
  <xr:revisionPtr revIDLastSave="0" documentId="13_ncr:1_{CD93AA91-81C2-4C9A-9CA7-898587F90DD3}" xr6:coauthVersionLast="47" xr6:coauthVersionMax="47" xr10:uidLastSave="{00000000-0000-0000-0000-000000000000}"/>
  <bookViews>
    <workbookView xWindow="-98" yWindow="-98" windowWidth="21795" windowHeight="13875" tabRatio="563" xr2:uid="{00000000-000D-0000-FFFF-FFFF00000000}"/>
  </bookViews>
  <sheets>
    <sheet name="例9-5" sheetId="6" r:id="rId1"/>
    <sheet name="基于净现值的投资决策模型" sheetId="8" r:id="rId2"/>
    <sheet name="基于净现值的投资决策图形" sheetId="9" r:id="rId3"/>
    <sheet name="基于净现值的债券投资决策模型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8" l="1"/>
  <c r="C21" i="8"/>
  <c r="H27" i="8" l="1"/>
  <c r="H28" i="8" s="1"/>
  <c r="H29" i="8" s="1"/>
  <c r="E11" i="8" l="1"/>
  <c r="D11" i="8"/>
  <c r="C11" i="8"/>
  <c r="E9" i="8"/>
  <c r="E10" i="8" s="1"/>
  <c r="D9" i="8"/>
  <c r="D10" i="8" s="1"/>
  <c r="D16" i="8" s="1"/>
  <c r="C9" i="8"/>
  <c r="C10" i="8" s="1"/>
  <c r="H5" i="8"/>
  <c r="G3" i="8"/>
  <c r="H3" i="8" s="1"/>
  <c r="D19" i="8" l="1"/>
  <c r="I8" i="8" s="1"/>
  <c r="D18" i="8"/>
  <c r="E13" i="8"/>
  <c r="C15" i="8"/>
  <c r="K3" i="8"/>
  <c r="C13" i="8"/>
  <c r="I3" i="8"/>
  <c r="I5" i="8"/>
  <c r="J5" i="8" s="1"/>
  <c r="C12" i="8"/>
  <c r="C14" i="8"/>
  <c r="C16" i="8"/>
  <c r="D17" i="8"/>
  <c r="J3" i="8"/>
  <c r="E12" i="8"/>
  <c r="C19" i="8" l="1"/>
  <c r="H8" i="8" s="1"/>
  <c r="E22" i="8"/>
  <c r="C18" i="8"/>
  <c r="C17" i="8"/>
  <c r="E15" i="8"/>
  <c r="K5" i="8"/>
  <c r="E16" i="8" s="1"/>
  <c r="E14" i="8"/>
  <c r="E19" i="8" l="1"/>
  <c r="E17" i="8"/>
  <c r="D23" i="8" s="1"/>
  <c r="E24" i="8"/>
  <c r="E23" i="8"/>
  <c r="F23" i="8" s="1"/>
  <c r="E25" i="8"/>
  <c r="E28" i="8"/>
  <c r="E18" i="8"/>
  <c r="D28" i="8" l="1"/>
  <c r="J8" i="8"/>
  <c r="D29" i="8"/>
  <c r="I28" i="8"/>
  <c r="E30" i="8"/>
  <c r="E29" i="8"/>
  <c r="F29" i="8" s="1"/>
  <c r="E27" i="8"/>
  <c r="E26" i="8"/>
  <c r="F26" i="8" s="1"/>
  <c r="D24" i="8"/>
  <c r="B25" i="8" s="1"/>
  <c r="B30" i="8" l="1"/>
</calcChain>
</file>

<file path=xl/sharedStrings.xml><?xml version="1.0" encoding="utf-8"?>
<sst xmlns="http://schemas.openxmlformats.org/spreadsheetml/2006/main" count="46" uniqueCount="44">
  <si>
    <t>计息方式</t>
  </si>
  <si>
    <t>固定利率</t>
  </si>
  <si>
    <t>贴现利率</t>
  </si>
  <si>
    <t>发行价格</t>
  </si>
  <si>
    <t>面值</t>
    <phoneticPr fontId="1" type="noConversion"/>
  </si>
  <si>
    <t>期 限</t>
    <phoneticPr fontId="1" type="noConversion"/>
  </si>
  <si>
    <t>第1年利率</t>
    <phoneticPr fontId="1" type="noConversion"/>
  </si>
  <si>
    <t>第2年利率</t>
    <phoneticPr fontId="1" type="noConversion"/>
  </si>
  <si>
    <t>第3年利率</t>
  </si>
  <si>
    <t>第4年利率</t>
  </si>
  <si>
    <t>第5年利率</t>
  </si>
  <si>
    <t>还本付息方式</t>
    <phoneticPr fontId="1" type="noConversion"/>
  </si>
  <si>
    <t>债券A</t>
    <phoneticPr fontId="1" type="noConversion"/>
  </si>
  <si>
    <t>5年</t>
    <phoneticPr fontId="1" type="noConversion"/>
  </si>
  <si>
    <t>债券B</t>
    <phoneticPr fontId="1" type="noConversion"/>
  </si>
  <si>
    <t>5年</t>
    <phoneticPr fontId="1" type="noConversion"/>
  </si>
  <si>
    <t>到期按面值支付</t>
    <phoneticPr fontId="1" type="noConversion"/>
  </si>
  <si>
    <t>债券C</t>
    <phoneticPr fontId="1" type="noConversion"/>
  </si>
  <si>
    <t>5年</t>
  </si>
  <si>
    <t>变动利率</t>
    <phoneticPr fontId="1" type="noConversion"/>
  </si>
  <si>
    <t>债券A</t>
    <phoneticPr fontId="1" type="noConversion"/>
  </si>
  <si>
    <t>债券B</t>
    <phoneticPr fontId="1" type="noConversion"/>
  </si>
  <si>
    <t>债券C</t>
    <phoneticPr fontId="1" type="noConversion"/>
  </si>
  <si>
    <t>初始投资金额</t>
    <phoneticPr fontId="1" type="noConversion"/>
  </si>
  <si>
    <t>可购买的面值</t>
    <phoneticPr fontId="1" type="noConversion"/>
  </si>
  <si>
    <t>第0年</t>
    <phoneticPr fontId="1" type="noConversion"/>
  </si>
  <si>
    <t>第1年</t>
  </si>
  <si>
    <t>第2年</t>
  </si>
  <si>
    <t>第3年</t>
  </si>
  <si>
    <t>第4年</t>
  </si>
  <si>
    <t>第5年</t>
  </si>
  <si>
    <t>内部报酬率</t>
    <phoneticPr fontId="1" type="noConversion"/>
  </si>
  <si>
    <t>一年付息一次最后还本</t>
    <phoneticPr fontId="1" type="noConversion"/>
  </si>
  <si>
    <t>每百元面值价格</t>
    <phoneticPr fontId="1" type="noConversion"/>
  </si>
  <si>
    <t>实现最大净现值的债券</t>
    <phoneticPr fontId="1" type="noConversion"/>
  </si>
  <si>
    <t>净现值交点</t>
    <phoneticPr fontId="1" type="noConversion"/>
  </si>
  <si>
    <t>当前贴现率参考线</t>
    <phoneticPr fontId="1" type="noConversion"/>
  </si>
  <si>
    <t>净现值1</t>
    <phoneticPr fontId="1" type="noConversion"/>
  </si>
  <si>
    <t>净现值2</t>
    <phoneticPr fontId="1" type="noConversion"/>
  </si>
  <si>
    <t>贴现率1</t>
    <phoneticPr fontId="1" type="noConversion"/>
  </si>
  <si>
    <t>贴现率2</t>
  </si>
  <si>
    <t>最大净现值1</t>
    <phoneticPr fontId="1" type="noConversion"/>
  </si>
  <si>
    <t>最大净现值2</t>
    <phoneticPr fontId="1" type="noConversion"/>
  </si>
  <si>
    <t>XY散点图决策结论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</si>
</sst>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_);[Red]\(0\)"/>
    <numFmt numFmtId="179" formatCode="0.0%"/>
  </numFmts>
  <fonts count="4" x14ac:knownFonts="1">
    <font>
      <sz val="10"/>
      <name val="Arial"/>
      <family val="2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ill="1"/>
    <xf numFmtId="0" fontId="0" fillId="0" borderId="0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7" fontId="2" fillId="8" borderId="1" xfId="0" applyNumberFormat="1" applyFont="1" applyFill="1" applyBorder="1" applyAlignment="1">
      <alignment vertical="center"/>
    </xf>
    <xf numFmtId="179" fontId="2" fillId="7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77" fontId="2" fillId="6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8" borderId="1" xfId="0" applyNumberFormat="1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178" fontId="2" fillId="9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0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79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7" fontId="2" fillId="11" borderId="1" xfId="0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altLang="en-US" sz="1400" b="1"/>
              <a:t>基于净现值的投资决策分析模型</a:t>
            </a:r>
            <a:endParaRPr lang="zh-CN" sz="1400" b="1"/>
          </a:p>
        </c:rich>
      </c:tx>
      <c:layout>
        <c:manualLayout>
          <c:xMode val="edge"/>
          <c:yMode val="edge"/>
          <c:x val="0.29055226728759215"/>
          <c:y val="3.19552966030025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38792389581064"/>
          <c:y val="0.25003566861834581"/>
          <c:w val="0.80204161555486242"/>
          <c:h val="0.6052915180474235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wdUpDiag">
              <a:fgClr>
                <a:srgbClr xmlns:mc="http://schemas.openxmlformats.org/markup-compatibility/2006" xmlns:a14="http://schemas.microsoft.com/office/drawing/2010/main" val="FFFFFF" mc:Ignorable="a14" a14:legacySpreadsheetColorIndex="9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728-4ADA-B405-D4BE188CB02A}"/>
              </c:ext>
            </c:extLst>
          </c:dPt>
          <c:dPt>
            <c:idx val="1"/>
            <c:invertIfNegative val="0"/>
            <c:bubble3D val="0"/>
            <c:spPr>
              <a:pattFill prst="lgCheck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969696" mc:Ignorable="a14" a14:legacySpreadsheetColorIndex="5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728-4ADA-B405-D4BE188CB02A}"/>
              </c:ext>
            </c:extLst>
          </c:dPt>
          <c:dPt>
            <c:idx val="2"/>
            <c:invertIfNegative val="0"/>
            <c:bubble3D val="0"/>
            <c:spPr>
              <a:pattFill prst="smGrid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C0C0C0" mc:Ignorable="a14" a14:legacySpreadsheetColorIndex="22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728-4ADA-B405-D4BE188CB02A}"/>
              </c:ext>
            </c:extLst>
          </c:dPt>
          <c:dLbls>
            <c:dLbl>
              <c:idx val="0"/>
              <c:layout>
                <c:manualLayout>
                  <c:x val="0"/>
                  <c:y val="1.5194681861348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28-4ADA-B405-D4BE188CB02A}"/>
                </c:ext>
              </c:extLst>
            </c:dLbl>
            <c:dLbl>
              <c:idx val="1"/>
              <c:layout>
                <c:manualLayout>
                  <c:x val="0"/>
                  <c:y val="1.8993352326685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28-4ADA-B405-D4BE188CB02A}"/>
                </c:ext>
              </c:extLst>
            </c:dLbl>
            <c:dLbl>
              <c:idx val="2"/>
              <c:layout>
                <c:manualLayout>
                  <c:x val="4.6296304734672047E-3"/>
                  <c:y val="1.5194681861348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28-4ADA-B405-D4BE188CB02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基于净现值的投资决策模型!$C$7:$E$7</c:f>
              <c:strCache>
                <c:ptCount val="3"/>
                <c:pt idx="0">
                  <c:v>债券A</c:v>
                </c:pt>
                <c:pt idx="1">
                  <c:v>债券B</c:v>
                </c:pt>
                <c:pt idx="2">
                  <c:v>债券C</c:v>
                </c:pt>
              </c:strCache>
            </c:strRef>
          </c:cat>
          <c:val>
            <c:numRef>
              <c:f>基于净现值的投资决策模型!$C$17:$E$17</c:f>
              <c:numCache>
                <c:formatCode>0_ </c:formatCode>
                <c:ptCount val="3"/>
                <c:pt idx="0">
                  <c:v>10133.937943284036</c:v>
                </c:pt>
                <c:pt idx="1">
                  <c:v>10454.976808526335</c:v>
                </c:pt>
                <c:pt idx="2">
                  <c:v>9800.2111155626626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28-4ADA-B405-D4BE188CB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70147072"/>
        <c:axId val="128962496"/>
      </c:barChart>
      <c:catAx>
        <c:axId val="70147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/>
            </a:pPr>
            <a:endParaRPr lang="zh-CN"/>
          </a:p>
        </c:txPr>
        <c:crossAx val="12896249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28962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/>
                </a:pPr>
                <a:r>
                  <a:rPr lang="zh-CN" sz="1100"/>
                  <a:t>净现值</a:t>
                </a:r>
              </a:p>
            </c:rich>
          </c:tx>
          <c:layout>
            <c:manualLayout>
              <c:xMode val="edge"/>
              <c:yMode val="edge"/>
              <c:x val="1.8824186866467418E-2"/>
              <c:y val="0.4436987684231778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/>
            </a:pPr>
            <a:endParaRPr lang="zh-CN"/>
          </a:p>
        </c:txPr>
        <c:crossAx val="70147072"/>
        <c:crosses val="autoZero"/>
        <c:crossBetween val="between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基于净现值的债券投资决策模型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675788639627592"/>
          <c:y val="0.12569073807408315"/>
          <c:w val="0.83549081364829392"/>
          <c:h val="0.79628726370293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基于净现值的投资决策模型!$C$7</c:f>
              <c:strCache>
                <c:ptCount val="1"/>
                <c:pt idx="0">
                  <c:v>债券A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基于净现值的投资决策模型!$G$9:$G$24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基于净现值的投资决策模型!$H$9:$H$24</c:f>
              <c:numCache>
                <c:formatCode>0</c:formatCode>
                <c:ptCount val="16"/>
                <c:pt idx="0">
                  <c:v>7665.6170177719032</c:v>
                </c:pt>
                <c:pt idx="1">
                  <c:v>7180.3515360962047</c:v>
                </c:pt>
                <c:pt idx="2">
                  <c:v>6697.8418286834785</c:v>
                </c:pt>
                <c:pt idx="3">
                  <c:v>6218.0694158626575</c:v>
                </c:pt>
                <c:pt idx="4">
                  <c:v>5741.0159602017957</c:v>
                </c:pt>
                <c:pt idx="5">
                  <c:v>5266.6632652737026</c:v>
                </c:pt>
                <c:pt idx="6">
                  <c:v>4794.9932744345278</c:v>
                </c:pt>
                <c:pt idx="7">
                  <c:v>4325.9880696132022</c:v>
                </c:pt>
                <c:pt idx="8">
                  <c:v>3859.6298701135092</c:v>
                </c:pt>
                <c:pt idx="9">
                  <c:v>3395.9010314265906</c:v>
                </c:pt>
                <c:pt idx="10">
                  <c:v>2934.7840440560103</c:v>
                </c:pt>
                <c:pt idx="11">
                  <c:v>2476.2615323529171</c:v>
                </c:pt>
                <c:pt idx="12">
                  <c:v>2020.3162533635186</c:v>
                </c:pt>
                <c:pt idx="13">
                  <c:v>1566.9310956863919</c:v>
                </c:pt>
                <c:pt idx="14">
                  <c:v>1116.0890783421928</c:v>
                </c:pt>
                <c:pt idx="15">
                  <c:v>667.77334965240152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31-4697-A9FB-441D0DD3ACFC}"/>
            </c:ext>
          </c:extLst>
        </c:ser>
        <c:ser>
          <c:idx val="1"/>
          <c:order val="1"/>
          <c:tx>
            <c:strRef>
              <c:f>基于净现值的投资决策模型!$D$7</c:f>
              <c:strCache>
                <c:ptCount val="1"/>
                <c:pt idx="0">
                  <c:v>债券B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基于净现值的投资决策模型!$G$9:$G$24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基于净现值的投资决策模型!$I$9:$I$24</c:f>
              <c:numCache>
                <c:formatCode>0</c:formatCode>
                <c:ptCount val="16"/>
                <c:pt idx="0">
                  <c:v>7787.1082450630784</c:v>
                </c:pt>
                <c:pt idx="1">
                  <c:v>7262.8528765930823</c:v>
                </c:pt>
                <c:pt idx="2">
                  <c:v>6741.6543839821534</c:v>
                </c:pt>
                <c:pt idx="3">
                  <c:v>6223.491992397976</c:v>
                </c:pt>
                <c:pt idx="4">
                  <c:v>5708.3450882096222</c:v>
                </c:pt>
                <c:pt idx="5">
                  <c:v>5196.1932175809488</c:v>
                </c:pt>
                <c:pt idx="6">
                  <c:v>4687.0160850790853</c:v>
                </c:pt>
                <c:pt idx="7">
                  <c:v>4180.7935522949556</c:v>
                </c:pt>
                <c:pt idx="8">
                  <c:v>3677.5056364786433</c:v>
                </c:pt>
                <c:pt idx="9">
                  <c:v>3177.1325091863109</c:v>
                </c:pt>
                <c:pt idx="10">
                  <c:v>2679.6544949419767</c:v>
                </c:pt>
                <c:pt idx="11">
                  <c:v>2185.0520699100889</c:v>
                </c:pt>
                <c:pt idx="12">
                  <c:v>1693.3058605830884</c:v>
                </c:pt>
                <c:pt idx="13">
                  <c:v>1204.3966424795653</c:v>
                </c:pt>
                <c:pt idx="14">
                  <c:v>718.30533885663317</c:v>
                </c:pt>
                <c:pt idx="15">
                  <c:v>235.0130194331141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31-4697-A9FB-441D0DD3ACFC}"/>
            </c:ext>
          </c:extLst>
        </c:ser>
        <c:ser>
          <c:idx val="2"/>
          <c:order val="2"/>
          <c:tx>
            <c:strRef>
              <c:f>基于净现值的投资决策模型!$E$7</c:f>
              <c:strCache>
                <c:ptCount val="1"/>
                <c:pt idx="0">
                  <c:v>债券C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基于净现值的投资决策模型!$G$9:$G$24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基于净现值的投资决策模型!$J$9:$J$24</c:f>
              <c:numCache>
                <c:formatCode>0</c:formatCode>
                <c:ptCount val="16"/>
                <c:pt idx="0">
                  <c:v>7427.4921201671532</c:v>
                </c:pt>
                <c:pt idx="1">
                  <c:v>6960.9648657679063</c:v>
                </c:pt>
                <c:pt idx="2">
                  <c:v>6497.0680606180831</c:v>
                </c:pt>
                <c:pt idx="3">
                  <c:v>6035.7840947815857</c:v>
                </c:pt>
                <c:pt idx="4">
                  <c:v>5577.0954938418436</c:v>
                </c:pt>
                <c:pt idx="5">
                  <c:v>5120.9849177250435</c:v>
                </c:pt>
                <c:pt idx="6">
                  <c:v>4667.4351595366024</c:v>
                </c:pt>
                <c:pt idx="7">
                  <c:v>4216.4291444069968</c:v>
                </c:pt>
                <c:pt idx="8">
                  <c:v>3767.9499283504992</c:v>
                </c:pt>
                <c:pt idx="9">
                  <c:v>3321.9806971332728</c:v>
                </c:pt>
                <c:pt idx="10">
                  <c:v>2878.5047651538916</c:v>
                </c:pt>
                <c:pt idx="11">
                  <c:v>2437.5055743328849</c:v>
                </c:pt>
                <c:pt idx="12">
                  <c:v>1998.9666930148669</c:v>
                </c:pt>
                <c:pt idx="13">
                  <c:v>1562.8718148791959</c:v>
                </c:pt>
                <c:pt idx="14">
                  <c:v>1129.2047578629572</c:v>
                </c:pt>
                <c:pt idx="15">
                  <c:v>697.94946309246006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31-4697-A9FB-441D0DD3ACF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C31-4697-A9FB-441D0DD3ACFC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C31-4697-A9FB-441D0DD3AC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31-4697-A9FB-441D0DD3ACFC}"/>
                </c:ext>
              </c:extLst>
            </c:dLbl>
            <c:dLbl>
              <c:idx val="1"/>
              <c:layout>
                <c:manualLayout>
                  <c:x val="-1.5625000000000042E-2"/>
                  <c:y val="-2.72373540856031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31-4697-A9FB-441D0DD3AC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31-4697-A9FB-441D0DD3A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基于净现值的投资决策模型!$E$22:$E$24</c:f>
              <c:numCache>
                <c:formatCode>0.00%</c:formatCode>
                <c:ptCount val="3"/>
                <c:pt idx="0">
                  <c:v>2.8141876839666624E-2</c:v>
                </c:pt>
                <c:pt idx="1">
                  <c:v>2.8141876839666624E-2</c:v>
                </c:pt>
                <c:pt idx="2">
                  <c:v>2.8141876839666624E-2</c:v>
                </c:pt>
              </c:numCache>
            </c:numRef>
          </c:xVal>
          <c:yVal>
            <c:numRef>
              <c:f>基于净现值的投资决策模型!$F$22:$F$24</c:f>
              <c:numCache>
                <c:formatCode>0_);[Red]\(0\)</c:formatCode>
                <c:ptCount val="3"/>
                <c:pt idx="0">
                  <c:v>0</c:v>
                </c:pt>
                <c:pt idx="1">
                  <c:v>6150.2214888186718</c:v>
                </c:pt>
                <c:pt idx="2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31-4697-A9FB-441D0DD3ACF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C31-4697-A9FB-441D0DD3ACFC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C31-4697-A9FB-441D0DD3AC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C31-4697-A9FB-441D0DD3ACFC}"/>
                </c:ext>
              </c:extLst>
            </c:dLbl>
            <c:dLbl>
              <c:idx val="1"/>
              <c:layout>
                <c:manualLayout>
                  <c:x val="-1.5625E-2"/>
                  <c:y val="-2.723735408560311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C31-4697-A9FB-441D0DD3AC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31-4697-A9FB-441D0DD3A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基于净现值的投资决策模型!$E$25:$E$27</c:f>
              <c:numCache>
                <c:formatCode>0.00%</c:formatCode>
                <c:ptCount val="3"/>
                <c:pt idx="0">
                  <c:v>3.8235745628448115E-2</c:v>
                </c:pt>
                <c:pt idx="1">
                  <c:v>3.8235745628448115E-2</c:v>
                </c:pt>
                <c:pt idx="2">
                  <c:v>3.8235745628448115E-2</c:v>
                </c:pt>
              </c:numCache>
            </c:numRef>
          </c:xVal>
          <c:yVal>
            <c:numRef>
              <c:f>基于净现值的投资决策模型!$F$25:$F$27</c:f>
              <c:numCache>
                <c:formatCode>0_);[Red]\(0\)</c:formatCode>
                <c:ptCount val="3"/>
                <c:pt idx="0">
                  <c:v>0</c:v>
                </c:pt>
                <c:pt idx="1">
                  <c:v>1460.4185900824959</c:v>
                </c:pt>
                <c:pt idx="2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31-4697-A9FB-441D0DD3ACF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C31-4697-A9FB-441D0DD3ACFC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C31-4697-A9FB-441D0DD3AC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31-4697-A9FB-441D0DD3ACFC}"/>
                </c:ext>
              </c:extLst>
            </c:dLbl>
            <c:dLbl>
              <c:idx val="1"/>
              <c:layout>
                <c:manualLayout>
                  <c:x val="-1.5625E-2"/>
                  <c:y val="-2.33463035019455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31-4697-A9FB-441D0DD3AC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31-4697-A9FB-441D0DD3A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基于净现值的投资决策模型!$E$28:$E$30</c:f>
              <c:numCache>
                <c:formatCode>0.00%</c:formatCode>
                <c:ptCount val="3"/>
                <c:pt idx="0">
                  <c:v>3.1353773094377146E-2</c:v>
                </c:pt>
                <c:pt idx="1">
                  <c:v>3.1353773094377146E-2</c:v>
                </c:pt>
                <c:pt idx="2">
                  <c:v>3.1353773094377146E-2</c:v>
                </c:pt>
              </c:numCache>
            </c:numRef>
          </c:xVal>
          <c:yVal>
            <c:numRef>
              <c:f>基于净现值的投资决策模型!$F$28:$F$30</c:f>
              <c:numCache>
                <c:formatCode>0</c:formatCode>
                <c:ptCount val="3"/>
                <c:pt idx="0" formatCode="General">
                  <c:v>0</c:v>
                </c:pt>
                <c:pt idx="1">
                  <c:v>4507.5914704323222</c:v>
                </c:pt>
                <c:pt idx="2" formatCode="General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31-4697-A9FB-441D0DD3ACFC}"/>
            </c:ext>
          </c:extLst>
        </c:ser>
        <c:ser>
          <c:idx val="6"/>
          <c:order val="6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C31-4697-A9FB-441D0DD3ACFC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C31-4697-A9FB-441D0DD3AC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C31-4697-A9FB-441D0DD3AC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C31-4697-A9FB-441D0DD3A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基于净现值的投资决策模型!$H$27:$H$29</c:f>
              <c:numCache>
                <c:formatCode>0.0%</c:formatCode>
                <c:ptCount val="3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</c:numCache>
            </c:numRef>
          </c:xVal>
          <c:yVal>
            <c:numRef>
              <c:f>基于净现值的投资决策模型!$I$27:$I$29</c:f>
              <c:numCache>
                <c:formatCode>0_ </c:formatCode>
                <c:ptCount val="3"/>
                <c:pt idx="0" formatCode="General">
                  <c:v>0</c:v>
                </c:pt>
                <c:pt idx="1">
                  <c:v>2934.7840440560103</c:v>
                </c:pt>
                <c:pt idx="2" formatCode="General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31-4697-A9FB-441D0DD3A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23039"/>
        <c:axId val="1914228447"/>
      </c:scatterChart>
      <c:valAx>
        <c:axId val="1914223039"/>
        <c:scaling>
          <c:orientation val="minMax"/>
          <c:max val="4.0000000000000008E-2"/>
          <c:min val="2.5000000000000005E-2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28447"/>
        <c:crosses val="autoZero"/>
        <c:crossBetween val="midCat"/>
        <c:majorUnit val="1.0000000000000002E-3"/>
      </c:valAx>
      <c:valAx>
        <c:axId val="1914228447"/>
        <c:scaling>
          <c:orientation val="minMax"/>
          <c:max val="80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23039"/>
        <c:crosses val="autoZero"/>
        <c:crossBetween val="midCat"/>
        <c:majorUnit val="1000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7039668869516309"/>
          <c:y val="0.16780109684732988"/>
          <c:w val="0.16355859814398199"/>
          <c:h val="0.13261834002267225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基于净现值的投资决策模型!$D$21" max="5" min="1" page="10" val="2"/>
</file>

<file path=xl/ctrlProps/ctrlProp2.xml><?xml version="1.0" encoding="utf-8"?>
<formControlPr xmlns="http://schemas.microsoft.com/office/spreadsheetml/2009/9/main" objectType="Spin" dx="31" fmlaLink="基于净现值的投资决策模型!$D$22" max="40" min="25" page="10" val="35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216353</xdr:colOff>
      <xdr:row>0</xdr:row>
      <xdr:rowOff>65314</xdr:rowOff>
    </xdr:from>
    <xdr:to>
      <xdr:col>7</xdr:col>
      <xdr:colOff>359228</xdr:colOff>
      <xdr:row>10</xdr:row>
      <xdr:rowOff>93890</xdr:rowOff>
    </xdr:to>
    <xdr:sp macro="" textlink="">
      <xdr:nvSpPr>
        <xdr:cNvPr id="16385" name="Text Box 1">
          <a:extLst>
            <a:ext uri="{FF2B5EF4-FFF2-40B4-BE49-F238E27FC236}">
              <a16:creationId xmlns:a16="http://schemas.microsoft.com/office/drawing/2014/main" id="{00000000-0008-0000-0000-000001400000}"/>
            </a:ext>
          </a:extLst>
        </xdr:cNvPr>
        <xdr:cNvSpPr txBox="1">
          <a:spLocks noChangeArrowheads="1"/>
        </xdr:cNvSpPr>
      </xdr:nvSpPr>
      <xdr:spPr bwMode="auto">
        <a:xfrm>
          <a:off x="216353" y="65314"/>
          <a:ext cx="4410075" cy="16505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9-5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某投资者现有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万元准备进行债券投资，有三种债券可供选择。债券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年，按固定利率计息，年利率为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每年付息一次，最后按面值还本；债券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元，低于面值出售，售出价格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年不付息，最后按面值还本；债券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年，按变动利率每年付息，各年的利率分别是：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，最后按面值还本。建立一个投资决策分析模型，分析贴现率在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1%-5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％范围内，三种债券中最优的投资品种，帮助投资者进行决策选择。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295276</xdr:colOff>
      <xdr:row>0</xdr:row>
      <xdr:rowOff>85725</xdr:rowOff>
    </xdr:from>
    <xdr:to>
      <xdr:col>7</xdr:col>
      <xdr:colOff>19050</xdr:colOff>
      <xdr:row>21</xdr:row>
      <xdr:rowOff>0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95276" y="85725"/>
          <a:ext cx="5486399" cy="3343275"/>
          <a:chOff x="295276" y="85725"/>
          <a:chExt cx="6046107" cy="4637314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>
            <a:graphicFrameLocks/>
          </xdr:cNvGraphicFramePr>
        </xdr:nvGraphicFramePr>
        <xdr:xfrm>
          <a:off x="295276" y="85725"/>
          <a:ext cx="6046107" cy="46373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基于净现值的投资决策模型!B25:C25">
        <xdr:nvSpPr>
          <xdr:cNvPr id="3" name="Text Box 4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 noTextEdit="1"/>
          </xdr:cNvSpPr>
        </xdr:nvSpPr>
        <xdr:spPr bwMode="auto">
          <a:xfrm>
            <a:off x="1804908" y="740386"/>
            <a:ext cx="1743029" cy="415489"/>
          </a:xfrm>
          <a:prstGeom prst="rect">
            <a:avLst/>
          </a:prstGeom>
          <a:noFill/>
          <a:ln>
            <a:headEnd/>
            <a:tailEnd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fld id="{0F49F642-1E7A-49C6-B00A-54648422DFE3}" type="TxLink">
              <a:rPr lang="zh-CN" altLang="en-US" sz="11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pPr algn="ctr" rtl="0">
                <a:defRPr sz="1000"/>
              </a:pPr>
              <a:t>最优投资品种是债券B</a:t>
            </a:fld>
            <a:endParaRPr lang="zh-CN" altLang="en-US" sz="1100" b="0" i="0" u="none" strike="noStrike" baseline="0">
              <a:solidFill>
                <a:schemeClr val="tx1"/>
              </a:solidFill>
              <a:latin typeface="Arial"/>
              <a:cs typeface="Arial"/>
            </a:endParaRPr>
          </a:p>
        </xdr:txBody>
      </xdr: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>
            <a:grpSpLocks/>
          </xdr:cNvGrpSpPr>
        </xdr:nvGrpSpPr>
        <xdr:grpSpPr bwMode="auto">
          <a:xfrm>
            <a:off x="3738984" y="695971"/>
            <a:ext cx="1370807" cy="400282"/>
            <a:chOff x="515" y="23"/>
            <a:chExt cx="98" cy="27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9457" name="Spinner 1" hidden="1">
                  <a:extLst>
                    <a:ext uri="{63B3BB69-23CF-44E3-9099-C40C66FF867C}">
                      <a14:compatExt spid="_x0000_s19457"/>
                    </a:ext>
                    <a:ext uri="{FF2B5EF4-FFF2-40B4-BE49-F238E27FC236}">
                      <a16:creationId xmlns:a16="http://schemas.microsoft.com/office/drawing/2014/main" id="{00000000-0008-0000-0200-0000014C0000}"/>
                    </a:ext>
                  </a:extLst>
                </xdr:cNvPr>
                <xdr:cNvSpPr/>
              </xdr:nvSpPr>
              <xdr:spPr bwMode="auto">
                <a:xfrm>
                  <a:off x="515" y="23"/>
                  <a:ext cx="22" cy="27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">
          <xdr:nvSpPr>
            <xdr:cNvPr id="6" name="Text Box 3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6" y="23"/>
              <a:ext cx="46" cy="26"/>
            </a:xfrm>
            <a:prstGeom prst="rect">
              <a:avLst/>
            </a:prstGeom>
            <a:noFill/>
            <a:ln>
              <a:headEnd/>
              <a:tailEnd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wrap="square" lIns="27432" tIns="18288" rIns="0" bIns="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chemeClr val="tx1"/>
                  </a:solidFill>
                  <a:latin typeface="宋体"/>
                  <a:ea typeface="宋体"/>
                </a:rPr>
                <a:t>贴现率</a:t>
              </a:r>
              <a:r>
                <a:rPr lang="zh-CN" altLang="en-US" sz="1400" b="0" i="0" u="none" strike="noStrike" baseline="0">
                  <a:solidFill>
                    <a:srgbClr val="000000"/>
                  </a:solidFill>
                  <a:latin typeface="Arial"/>
                  <a:ea typeface="宋体"/>
                  <a:cs typeface="Arial"/>
                </a:rPr>
                <a:t>=</a:t>
              </a:r>
              <a:endParaRPr lang="zh-CN" altLang="en-US" sz="14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基于净现值的投资决策模型!C21">
          <xdr:nvSpPr>
            <xdr:cNvPr id="7" name="Text Box 5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>
              <a:spLocks noChangeArrowheads="1" noTextEdit="1"/>
            </xdr:cNvSpPr>
          </xdr:nvSpPr>
          <xdr:spPr bwMode="auto">
            <a:xfrm>
              <a:off x="582" y="24"/>
              <a:ext cx="31" cy="26"/>
            </a:xfrm>
            <a:prstGeom prst="rect">
              <a:avLst/>
            </a:prstGeom>
            <a:noFill/>
            <a:ln>
              <a:headEnd/>
              <a:tailEnd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wrap="square" lIns="36576" tIns="22860" rIns="0" bIns="0" anchor="ctr" upright="1"/>
            <a:lstStyle/>
            <a:p>
              <a:pPr algn="ctr" rtl="0">
                <a:defRPr sz="1000"/>
              </a:pPr>
              <a:fld id="{BD490074-E262-4BCE-A4D6-8CC5601C782F}" type="TxLink">
                <a:rPr lang="en-US" altLang="en-US" sz="1100" b="0" i="0" u="none" strike="noStrike" baseline="0">
                  <a:solidFill>
                    <a:schemeClr val="tx1"/>
                  </a:solidFill>
                  <a:latin typeface="Arial"/>
                  <a:cs typeface="Arial"/>
                </a:rPr>
                <a:pPr algn="ctr" rtl="0">
                  <a:defRPr sz="1000"/>
                </a:pPr>
                <a:t>2%</a:t>
              </a:fld>
              <a:endParaRPr lang="zh-CN" alt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41275</xdr:rowOff>
    </xdr:from>
    <xdr:to>
      <xdr:col>9</xdr:col>
      <xdr:colOff>114300</xdr:colOff>
      <xdr:row>21</xdr:row>
      <xdr:rowOff>66675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000" y="203200"/>
          <a:ext cx="5689600" cy="3263900"/>
          <a:chOff x="254000" y="203200"/>
          <a:chExt cx="5689600" cy="326390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254000" y="203200"/>
          <a:ext cx="5689600" cy="326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3016247" y="730250"/>
            <a:ext cx="1536702" cy="203200"/>
            <a:chOff x="6318248" y="603250"/>
            <a:chExt cx="1416052" cy="266700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20482" name="Spinner 2" hidden="1">
                  <a:extLst>
                    <a:ext uri="{63B3BB69-23CF-44E3-9099-C40C66FF867C}">
                      <a14:compatExt spid="_x0000_s20482"/>
                    </a:ext>
                    <a:ext uri="{FF2B5EF4-FFF2-40B4-BE49-F238E27FC236}">
                      <a16:creationId xmlns:a16="http://schemas.microsoft.com/office/drawing/2014/main" id="{00000000-0008-0000-0300-000002500000}"/>
                    </a:ext>
                  </a:extLst>
                </xdr:cNvPr>
                <xdr:cNvSpPr/>
              </xdr:nvSpPr>
              <xdr:spPr bwMode="auto">
                <a:xfrm>
                  <a:off x="6318248" y="603250"/>
                  <a:ext cx="222250" cy="26670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6546850" y="603250"/>
              <a:ext cx="622300" cy="266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zh-CN" altLang="en-US" sz="1100"/>
                <a:t>净现值</a:t>
              </a:r>
            </a:p>
          </xdr:txBody>
        </xdr:sp>
        <xdr:sp macro="" textlink="基于净现值的投资决策模型!C22">
          <xdr:nvSpPr>
            <xdr:cNvPr id="4" name="文本框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7162800" y="609600"/>
              <a:ext cx="571500" cy="2603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C0F734A-C790-4FDA-9E2A-B5D509904CE2}" type="TxLink">
                <a:rPr lang="en-US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</a:rPr>
                <a:pPr algn="ctr"/>
                <a:t>3.5%</a:t>
              </a:fld>
              <a:endParaRPr lang="zh-CN" altLang="en-US" sz="1100"/>
            </a:p>
          </xdr:txBody>
        </xdr:sp>
      </xdr:grpSp>
      <xdr:sp macro="" textlink="基于净现值的投资决策模型!B30">
        <xdr:nvSpPr>
          <xdr:cNvPr id="6" name="文本框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3016250" y="939800"/>
            <a:ext cx="1536700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A88133BC-A7D1-4C2F-82DB-4EECA14D58E5}" type="TxLink">
              <a:rPr lang="zh-CN" altLang="en-US" sz="1100" b="0" i="0" u="none" strike="noStrike">
                <a:solidFill>
                  <a:srgbClr val="000000"/>
                </a:solidFill>
                <a:latin typeface="宋体"/>
                <a:ea typeface="宋体"/>
              </a:rPr>
              <a:pPr/>
              <a:t>最优投资品种是债券A</a:t>
            </a:fld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"/>
  <sheetViews>
    <sheetView showGridLines="0" tabSelected="1" zoomScaleNormal="100" workbookViewId="0">
      <selection activeCell="E19" sqref="E19"/>
    </sheetView>
  </sheetViews>
  <sheetFormatPr defaultRowHeight="12.75" x14ac:dyDescent="0.35"/>
  <cols>
    <col min="11" max="11" width="14.73046875" customWidth="1"/>
  </cols>
  <sheetData>
    <row r="10" ht="12" customHeight="1" x14ac:dyDescent="0.35"/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showGridLines="0" zoomScaleNormal="100" workbookViewId="0">
      <selection activeCell="H8" sqref="H8"/>
    </sheetView>
  </sheetViews>
  <sheetFormatPr defaultColWidth="9.19921875" defaultRowHeight="13.5" x14ac:dyDescent="0.35"/>
  <cols>
    <col min="1" max="1" width="3" style="18" customWidth="1"/>
    <col min="2" max="2" width="14.33203125" style="18" customWidth="1"/>
    <col min="3" max="3" width="8" style="19" customWidth="1"/>
    <col min="4" max="4" width="8.46484375" style="19" customWidth="1"/>
    <col min="5" max="5" width="7.59765625" style="19" customWidth="1"/>
    <col min="6" max="6" width="8.19921875" style="19" customWidth="1"/>
    <col min="7" max="7" width="6.265625" style="19" customWidth="1"/>
    <col min="8" max="8" width="8.06640625" style="19" customWidth="1"/>
    <col min="9" max="10" width="7.33203125" style="19" customWidth="1"/>
    <col min="11" max="11" width="6.19921875" style="19" customWidth="1"/>
    <col min="12" max="12" width="20.9296875" style="19" customWidth="1"/>
    <col min="13" max="23" width="9.265625" style="18" customWidth="1"/>
    <col min="24" max="24" width="0.796875" style="18" customWidth="1"/>
    <col min="25" max="25" width="7.73046875" style="18" customWidth="1"/>
    <col min="26" max="26" width="20.796875" style="18" customWidth="1"/>
    <col min="27" max="16384" width="9.19921875" style="18"/>
  </cols>
  <sheetData>
    <row r="1" spans="1:12" x14ac:dyDescent="0.35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7.75" customHeight="1" x14ac:dyDescent="0.35">
      <c r="A2" s="4"/>
      <c r="B2" s="4"/>
      <c r="C2" s="8" t="s">
        <v>4</v>
      </c>
      <c r="D2" s="8" t="s">
        <v>3</v>
      </c>
      <c r="E2" s="8" t="s">
        <v>5</v>
      </c>
      <c r="F2" s="9" t="s">
        <v>0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8" t="s">
        <v>11</v>
      </c>
    </row>
    <row r="3" spans="1:12" ht="14" customHeight="1" x14ac:dyDescent="0.35">
      <c r="A3" s="4"/>
      <c r="B3" s="10" t="s">
        <v>12</v>
      </c>
      <c r="C3" s="11">
        <v>100</v>
      </c>
      <c r="D3" s="11">
        <v>100</v>
      </c>
      <c r="E3" s="11" t="s">
        <v>13</v>
      </c>
      <c r="F3" s="12" t="s">
        <v>1</v>
      </c>
      <c r="G3" s="13">
        <f>4.15/100</f>
        <v>4.1500000000000002E-2</v>
      </c>
      <c r="H3" s="13">
        <f>$G$3</f>
        <v>4.1500000000000002E-2</v>
      </c>
      <c r="I3" s="13">
        <f>$G$3</f>
        <v>4.1500000000000002E-2</v>
      </c>
      <c r="J3" s="13">
        <f>$G$3</f>
        <v>4.1500000000000002E-2</v>
      </c>
      <c r="K3" s="13">
        <f>$G$3</f>
        <v>4.1500000000000002E-2</v>
      </c>
      <c r="L3" s="12" t="s">
        <v>32</v>
      </c>
    </row>
    <row r="4" spans="1:12" ht="14" customHeight="1" x14ac:dyDescent="0.35">
      <c r="A4" s="4"/>
      <c r="B4" s="10" t="s">
        <v>14</v>
      </c>
      <c r="C4" s="11">
        <v>100</v>
      </c>
      <c r="D4" s="11">
        <v>82</v>
      </c>
      <c r="E4" s="11" t="s">
        <v>15</v>
      </c>
      <c r="F4" s="12" t="s">
        <v>2</v>
      </c>
      <c r="G4" s="3"/>
      <c r="H4" s="14"/>
      <c r="I4" s="14"/>
      <c r="J4" s="14"/>
      <c r="K4" s="14"/>
      <c r="L4" s="12" t="s">
        <v>16</v>
      </c>
    </row>
    <row r="5" spans="1:12" ht="14" customHeight="1" x14ac:dyDescent="0.35">
      <c r="A5" s="4"/>
      <c r="B5" s="10" t="s">
        <v>17</v>
      </c>
      <c r="C5" s="11">
        <v>100</v>
      </c>
      <c r="D5" s="11">
        <v>100</v>
      </c>
      <c r="E5" s="11" t="s">
        <v>18</v>
      </c>
      <c r="F5" s="12" t="s">
        <v>19</v>
      </c>
      <c r="G5" s="13">
        <v>0.08</v>
      </c>
      <c r="H5" s="13">
        <f>G5-0.02</f>
        <v>0.06</v>
      </c>
      <c r="I5" s="13">
        <f>H5-0.02</f>
        <v>3.9999999999999994E-2</v>
      </c>
      <c r="J5" s="13">
        <f>I5-0.02</f>
        <v>1.9999999999999993E-2</v>
      </c>
      <c r="K5" s="13">
        <f>J5-0.02</f>
        <v>0</v>
      </c>
      <c r="L5" s="12" t="s">
        <v>32</v>
      </c>
    </row>
    <row r="6" spans="1:12" ht="5" customHeight="1" x14ac:dyDescent="0.3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4" customHeight="1" x14ac:dyDescent="0.35">
      <c r="A7" s="4"/>
      <c r="B7" s="4"/>
      <c r="C7" s="15" t="s">
        <v>20</v>
      </c>
      <c r="D7" s="15" t="s">
        <v>21</v>
      </c>
      <c r="E7" s="15" t="s">
        <v>22</v>
      </c>
      <c r="F7" s="5"/>
      <c r="G7" s="5"/>
      <c r="H7" s="5"/>
      <c r="I7" s="5"/>
      <c r="J7" s="5"/>
      <c r="K7" s="5"/>
      <c r="L7" s="5"/>
    </row>
    <row r="8" spans="1:12" ht="14" customHeight="1" x14ac:dyDescent="0.35">
      <c r="A8" s="4"/>
      <c r="B8" s="10" t="s">
        <v>23</v>
      </c>
      <c r="C8" s="11">
        <v>100000</v>
      </c>
      <c r="D8" s="11">
        <v>100000</v>
      </c>
      <c r="E8" s="11">
        <v>100000</v>
      </c>
      <c r="F8" s="5"/>
      <c r="G8" s="22"/>
      <c r="H8" s="23">
        <f>C19</f>
        <v>2934.7840440560103</v>
      </c>
      <c r="I8" s="23">
        <f t="shared" ref="I8:J8" si="0">D19</f>
        <v>2679.6544949419767</v>
      </c>
      <c r="J8" s="23">
        <f t="shared" si="0"/>
        <v>2878.5047651538916</v>
      </c>
      <c r="K8" s="5"/>
      <c r="L8" s="5"/>
    </row>
    <row r="9" spans="1:12" ht="14" customHeight="1" x14ac:dyDescent="0.35">
      <c r="A9" s="4"/>
      <c r="B9" s="10" t="s">
        <v>33</v>
      </c>
      <c r="C9" s="12">
        <f>D3</f>
        <v>100</v>
      </c>
      <c r="D9" s="12">
        <f>D4</f>
        <v>82</v>
      </c>
      <c r="E9" s="12">
        <f>D5</f>
        <v>100</v>
      </c>
      <c r="F9" s="5"/>
      <c r="G9" s="24">
        <v>2.5000000000000001E-2</v>
      </c>
      <c r="H9" s="33">
        <f t="dataTable" ref="H9:J24" dt2D="0" dtr="0" r1="C22"/>
        <v>7665.6170177719032</v>
      </c>
      <c r="I9" s="33">
        <v>7787.1082450630784</v>
      </c>
      <c r="J9" s="33">
        <v>7427.4921201671532</v>
      </c>
      <c r="K9" s="6"/>
      <c r="L9" s="5"/>
    </row>
    <row r="10" spans="1:12" ht="14" customHeight="1" x14ac:dyDescent="0.35">
      <c r="A10" s="4"/>
      <c r="B10" s="10" t="s">
        <v>24</v>
      </c>
      <c r="C10" s="12">
        <f>C8/C9*100</f>
        <v>100000</v>
      </c>
      <c r="D10" s="26">
        <f>D8/D9*100</f>
        <v>121951.21951219512</v>
      </c>
      <c r="E10" s="12">
        <f>E8/E9*100</f>
        <v>100000</v>
      </c>
      <c r="F10" s="5"/>
      <c r="G10" s="24">
        <v>2.5999999999999999E-2</v>
      </c>
      <c r="H10" s="33">
        <v>7180.3515360962047</v>
      </c>
      <c r="I10" s="33">
        <v>7262.8528765930823</v>
      </c>
      <c r="J10" s="33">
        <v>6960.9648657679063</v>
      </c>
      <c r="K10" s="5"/>
      <c r="L10" s="5"/>
    </row>
    <row r="11" spans="1:12" ht="14" customHeight="1" x14ac:dyDescent="0.35">
      <c r="A11" s="4"/>
      <c r="B11" s="10" t="s">
        <v>25</v>
      </c>
      <c r="C11" s="12">
        <f>-C8</f>
        <v>-100000</v>
      </c>
      <c r="D11" s="12">
        <f>-D8</f>
        <v>-100000</v>
      </c>
      <c r="E11" s="12">
        <f>-E8</f>
        <v>-100000</v>
      </c>
      <c r="F11" s="5"/>
      <c r="G11" s="24">
        <v>2.7E-2</v>
      </c>
      <c r="H11" s="33">
        <v>6697.8418286834785</v>
      </c>
      <c r="I11" s="33">
        <v>6741.6543839821534</v>
      </c>
      <c r="J11" s="33">
        <v>6497.0680606180831</v>
      </c>
      <c r="K11" s="5"/>
      <c r="L11" s="5"/>
    </row>
    <row r="12" spans="1:12" ht="14" customHeight="1" x14ac:dyDescent="0.35">
      <c r="A12" s="4"/>
      <c r="B12" s="10" t="s">
        <v>26</v>
      </c>
      <c r="C12" s="12">
        <f>$C$10*$G$3</f>
        <v>4150</v>
      </c>
      <c r="D12" s="12">
        <v>0</v>
      </c>
      <c r="E12" s="12">
        <f>E10*G5</f>
        <v>8000</v>
      </c>
      <c r="F12" s="5"/>
      <c r="G12" s="24">
        <v>2.8000000000000001E-2</v>
      </c>
      <c r="H12" s="33">
        <v>6218.0694158626575</v>
      </c>
      <c r="I12" s="33">
        <v>6223.491992397976</v>
      </c>
      <c r="J12" s="33">
        <v>6035.7840947815857</v>
      </c>
      <c r="K12" s="5"/>
      <c r="L12" s="5"/>
    </row>
    <row r="13" spans="1:12" ht="14" customHeight="1" x14ac:dyDescent="0.35">
      <c r="A13" s="4"/>
      <c r="B13" s="10" t="s">
        <v>27</v>
      </c>
      <c r="C13" s="12">
        <f>$C$10*$G$3</f>
        <v>4150</v>
      </c>
      <c r="D13" s="12">
        <v>0</v>
      </c>
      <c r="E13" s="12">
        <f>E10*H5</f>
        <v>6000</v>
      </c>
      <c r="F13" s="5"/>
      <c r="G13" s="24">
        <v>2.9000000000000001E-2</v>
      </c>
      <c r="H13" s="33">
        <v>5741.0159602017957</v>
      </c>
      <c r="I13" s="33">
        <v>5708.3450882096222</v>
      </c>
      <c r="J13" s="33">
        <v>5577.0954938418436</v>
      </c>
      <c r="K13" s="5"/>
      <c r="L13" s="5"/>
    </row>
    <row r="14" spans="1:12" ht="14" customHeight="1" x14ac:dyDescent="0.35">
      <c r="A14" s="4"/>
      <c r="B14" s="10" t="s">
        <v>28</v>
      </c>
      <c r="C14" s="12">
        <f>$C$10*$G$3</f>
        <v>4150</v>
      </c>
      <c r="D14" s="12">
        <v>0</v>
      </c>
      <c r="E14" s="12">
        <f>E10*I5</f>
        <v>3999.9999999999995</v>
      </c>
      <c r="F14" s="5"/>
      <c r="G14" s="24">
        <v>0.03</v>
      </c>
      <c r="H14" s="33">
        <v>5266.6632652737026</v>
      </c>
      <c r="I14" s="33">
        <v>5196.1932175809488</v>
      </c>
      <c r="J14" s="33">
        <v>5120.9849177250435</v>
      </c>
      <c r="K14" s="5"/>
      <c r="L14" s="5"/>
    </row>
    <row r="15" spans="1:12" ht="14" customHeight="1" x14ac:dyDescent="0.35">
      <c r="A15" s="4"/>
      <c r="B15" s="10" t="s">
        <v>29</v>
      </c>
      <c r="C15" s="12">
        <f>$C$10*$G$3</f>
        <v>4150</v>
      </c>
      <c r="D15" s="12">
        <v>0</v>
      </c>
      <c r="E15" s="12">
        <f>E10*J5</f>
        <v>1999.9999999999993</v>
      </c>
      <c r="F15" s="5"/>
      <c r="G15" s="24">
        <v>3.1E-2</v>
      </c>
      <c r="H15" s="33">
        <v>4794.9932744345278</v>
      </c>
      <c r="I15" s="33">
        <v>4687.0160850790853</v>
      </c>
      <c r="J15" s="33">
        <v>4667.4351595366024</v>
      </c>
      <c r="K15" s="5"/>
      <c r="L15" s="5"/>
    </row>
    <row r="16" spans="1:12" ht="14" customHeight="1" x14ac:dyDescent="0.35">
      <c r="A16" s="4"/>
      <c r="B16" s="10" t="s">
        <v>30</v>
      </c>
      <c r="C16" s="12">
        <f>$C$10*$G$3+C10</f>
        <v>104150</v>
      </c>
      <c r="D16" s="26">
        <f>D10</f>
        <v>121951.21951219512</v>
      </c>
      <c r="E16" s="12">
        <f>E10+E10*K5</f>
        <v>100000</v>
      </c>
      <c r="F16" s="5"/>
      <c r="G16" s="24">
        <v>3.2000000000000001E-2</v>
      </c>
      <c r="H16" s="33">
        <v>4325.9880696132022</v>
      </c>
      <c r="I16" s="33">
        <v>4180.7935522949556</v>
      </c>
      <c r="J16" s="33">
        <v>4216.4291444069968</v>
      </c>
      <c r="K16" s="5"/>
      <c r="L16" s="5"/>
    </row>
    <row r="17" spans="1:12" ht="14" customHeight="1" x14ac:dyDescent="0.35">
      <c r="A17" s="4"/>
      <c r="B17" s="10" t="s">
        <v>37</v>
      </c>
      <c r="C17" s="25">
        <f>C11+NPV($C$21,C12:C16)</f>
        <v>10133.937943284036</v>
      </c>
      <c r="D17" s="25">
        <f>D11+NPV($C$21,D12:D16)</f>
        <v>10454.976808526335</v>
      </c>
      <c r="E17" s="25">
        <f>E11+NPV($C$21,E12:E16)</f>
        <v>9800.2111155626626</v>
      </c>
      <c r="F17" s="5"/>
      <c r="G17" s="24">
        <v>3.3000000000000002E-2</v>
      </c>
      <c r="H17" s="33">
        <v>3859.6298701135092</v>
      </c>
      <c r="I17" s="33">
        <v>3677.5056364786433</v>
      </c>
      <c r="J17" s="33">
        <v>3767.9499283504992</v>
      </c>
      <c r="K17" s="5"/>
      <c r="L17" s="5"/>
    </row>
    <row r="18" spans="1:12" ht="14" customHeight="1" x14ac:dyDescent="0.35">
      <c r="A18" s="4"/>
      <c r="B18" s="10" t="s">
        <v>31</v>
      </c>
      <c r="C18" s="16">
        <f>IRR(C11:C16)</f>
        <v>4.1500000000157522E-2</v>
      </c>
      <c r="D18" s="16">
        <f>IRR(D11:D16)</f>
        <v>4.0488368204407488E-2</v>
      </c>
      <c r="E18" s="16">
        <f>IRR(E11:E16)</f>
        <v>4.1630308657967019E-2</v>
      </c>
      <c r="F18" s="5"/>
      <c r="G18" s="24">
        <v>3.4000000000000002E-2</v>
      </c>
      <c r="H18" s="33">
        <v>3395.9010314265906</v>
      </c>
      <c r="I18" s="33">
        <v>3177.1325091863109</v>
      </c>
      <c r="J18" s="33">
        <v>3321.9806971332728</v>
      </c>
      <c r="K18" s="5"/>
      <c r="L18" s="5"/>
    </row>
    <row r="19" spans="1:12" ht="14" customHeight="1" x14ac:dyDescent="0.35">
      <c r="A19" s="4"/>
      <c r="B19" s="21" t="s">
        <v>38</v>
      </c>
      <c r="C19" s="25">
        <f>C11+NPV($C$22,C12:C16)</f>
        <v>2934.7840440560103</v>
      </c>
      <c r="D19" s="25">
        <f>D11+NPV($C$22,D12:D16)</f>
        <v>2679.6544949419767</v>
      </c>
      <c r="E19" s="25">
        <f>E11+NPV($C$22,E12:E16)</f>
        <v>2878.5047651538916</v>
      </c>
      <c r="F19" s="5"/>
      <c r="G19" s="24">
        <v>3.5000000000000003E-2</v>
      </c>
      <c r="H19" s="33">
        <v>2934.7840440560103</v>
      </c>
      <c r="I19" s="33">
        <v>2679.6544949419767</v>
      </c>
      <c r="J19" s="33">
        <v>2878.5047651538916</v>
      </c>
      <c r="K19" s="5"/>
      <c r="L19" s="5"/>
    </row>
    <row r="20" spans="1:12" ht="14" customHeight="1" x14ac:dyDescent="0.35">
      <c r="A20" s="4"/>
      <c r="B20" s="4"/>
      <c r="C20" s="5"/>
      <c r="D20" s="5"/>
      <c r="E20" s="5"/>
      <c r="G20" s="24">
        <v>3.5999999999999997E-2</v>
      </c>
      <c r="H20" s="33">
        <v>2476.2615323529171</v>
      </c>
      <c r="I20" s="33">
        <v>2185.0520699100889</v>
      </c>
      <c r="J20" s="33">
        <v>2437.5055743328849</v>
      </c>
      <c r="K20" s="5"/>
      <c r="L20" s="5"/>
    </row>
    <row r="21" spans="1:12" ht="14" customHeight="1" x14ac:dyDescent="0.35">
      <c r="A21" s="4"/>
      <c r="B21" s="10" t="s">
        <v>39</v>
      </c>
      <c r="C21" s="17">
        <f>D21/100</f>
        <v>0.02</v>
      </c>
      <c r="D21" s="20">
        <v>2</v>
      </c>
      <c r="E21" s="28" t="s">
        <v>35</v>
      </c>
      <c r="G21" s="24">
        <v>3.6999999999999998E-2</v>
      </c>
      <c r="H21" s="33">
        <v>2020.3162533635186</v>
      </c>
      <c r="I21" s="33">
        <v>1693.3058605830884</v>
      </c>
      <c r="J21" s="33">
        <v>1998.9666930148669</v>
      </c>
      <c r="K21" s="5"/>
      <c r="L21" s="5"/>
    </row>
    <row r="22" spans="1:12" ht="14" customHeight="1" x14ac:dyDescent="0.35">
      <c r="A22" s="4"/>
      <c r="B22" s="21" t="s">
        <v>40</v>
      </c>
      <c r="C22" s="37">
        <f>D22/1000</f>
        <v>3.5000000000000003E-2</v>
      </c>
      <c r="D22" s="20">
        <v>35</v>
      </c>
      <c r="E22" s="31">
        <f>IRR(C11:C16-D11:D16)</f>
        <v>2.8141876839666624E-2</v>
      </c>
      <c r="F22" s="32">
        <v>0</v>
      </c>
      <c r="G22" s="24">
        <v>3.7999999999999999E-2</v>
      </c>
      <c r="H22" s="33">
        <v>1566.9310956863919</v>
      </c>
      <c r="I22" s="33">
        <v>1204.3966424795653</v>
      </c>
      <c r="J22" s="33">
        <v>1562.8718148791959</v>
      </c>
      <c r="K22" s="5"/>
      <c r="L22" s="5"/>
    </row>
    <row r="23" spans="1:12" ht="14" customHeight="1" x14ac:dyDescent="0.35">
      <c r="A23" s="4"/>
      <c r="B23" s="43" t="s">
        <v>41</v>
      </c>
      <c r="C23" s="43"/>
      <c r="D23" s="27">
        <f>MAX(C17:E17)</f>
        <v>10454.976808526335</v>
      </c>
      <c r="E23" s="31">
        <f>E22</f>
        <v>2.8141876839666624E-2</v>
      </c>
      <c r="F23" s="32">
        <f>C11+NPV(E23,C12:C16)</f>
        <v>6150.2214888186718</v>
      </c>
      <c r="G23" s="24">
        <v>3.9E-2</v>
      </c>
      <c r="H23" s="33">
        <v>1116.0890783421928</v>
      </c>
      <c r="I23" s="33">
        <v>718.30533885663317</v>
      </c>
      <c r="J23" s="33">
        <v>1129.2047578629572</v>
      </c>
      <c r="K23" s="5"/>
      <c r="L23" s="5"/>
    </row>
    <row r="24" spans="1:12" ht="14" customHeight="1" x14ac:dyDescent="0.35">
      <c r="A24" s="4"/>
      <c r="B24" s="43" t="s">
        <v>34</v>
      </c>
      <c r="C24" s="43"/>
      <c r="D24" s="12" t="str">
        <f>INDEX(C7:E7,MATCH(D23,C17:E17,0))</f>
        <v>债券B</v>
      </c>
      <c r="E24" s="31">
        <f>E22</f>
        <v>2.8141876839666624E-2</v>
      </c>
      <c r="F24" s="32">
        <v>8000</v>
      </c>
      <c r="G24" s="24">
        <v>0.04</v>
      </c>
      <c r="H24" s="33">
        <v>667.77334965240152</v>
      </c>
      <c r="I24" s="33">
        <v>235.0130194331141</v>
      </c>
      <c r="J24" s="33">
        <v>697.94946309246006</v>
      </c>
      <c r="K24" s="5"/>
      <c r="L24" s="5"/>
    </row>
    <row r="25" spans="1:12" ht="14" customHeight="1" x14ac:dyDescent="0.35">
      <c r="A25" s="4"/>
      <c r="B25" s="41" t="str">
        <f>IF(D23&gt;0,"最优投资品种是" &amp; D24,"三种债券均不可取")</f>
        <v>最优投资品种是债券B</v>
      </c>
      <c r="C25" s="42"/>
      <c r="D25" s="5"/>
      <c r="E25" s="29">
        <f>IRR(C11:C16-E11:E16)</f>
        <v>3.8235745628448115E-2</v>
      </c>
      <c r="F25" s="30">
        <v>0</v>
      </c>
      <c r="K25" s="5"/>
      <c r="L25" s="5"/>
    </row>
    <row r="26" spans="1:12" ht="14" customHeight="1" x14ac:dyDescent="0.35">
      <c r="D26" s="7"/>
      <c r="E26" s="29">
        <f>E25</f>
        <v>3.8235745628448115E-2</v>
      </c>
      <c r="F26" s="30">
        <f>C11+NPV(E26,C12:C16)</f>
        <v>1460.4185900824959</v>
      </c>
      <c r="H26" s="28" t="s">
        <v>36</v>
      </c>
      <c r="J26" s="5"/>
      <c r="K26" s="5"/>
    </row>
    <row r="27" spans="1:12" ht="14" customHeight="1" x14ac:dyDescent="0.35">
      <c r="B27" s="18" t="s">
        <v>43</v>
      </c>
      <c r="C27" s="5"/>
      <c r="D27" s="7"/>
      <c r="E27" s="29">
        <f>E25</f>
        <v>3.8235745628448115E-2</v>
      </c>
      <c r="F27" s="30">
        <v>8000</v>
      </c>
      <c r="H27" s="38">
        <f>C22</f>
        <v>3.5000000000000003E-2</v>
      </c>
      <c r="I27" s="39">
        <v>0</v>
      </c>
      <c r="J27" s="5"/>
      <c r="K27" s="5"/>
    </row>
    <row r="28" spans="1:12" ht="14" customHeight="1" x14ac:dyDescent="0.35">
      <c r="B28" s="43" t="s">
        <v>42</v>
      </c>
      <c r="C28" s="43"/>
      <c r="D28" s="27">
        <f>MAX(C19:E19)</f>
        <v>2934.7840440560103</v>
      </c>
      <c r="E28" s="34">
        <f>IRR(D11:D16-E11:E16)</f>
        <v>3.1353773094377146E-2</v>
      </c>
      <c r="F28" s="35">
        <v>0</v>
      </c>
      <c r="H28" s="38">
        <f>H27</f>
        <v>3.5000000000000003E-2</v>
      </c>
      <c r="I28" s="40">
        <f>D28</f>
        <v>2934.7840440560103</v>
      </c>
      <c r="J28" s="5"/>
      <c r="K28" s="5"/>
    </row>
    <row r="29" spans="1:12" ht="14" customHeight="1" x14ac:dyDescent="0.35">
      <c r="B29" s="43" t="s">
        <v>34</v>
      </c>
      <c r="C29" s="43"/>
      <c r="D29" s="12" t="str">
        <f>INDEX(C7:E7,MATCH(D28,C19:E19,0))</f>
        <v>债券A</v>
      </c>
      <c r="E29" s="34">
        <f>E28</f>
        <v>3.1353773094377146E-2</v>
      </c>
      <c r="F29" s="36">
        <f>E11+NPV(E29,E12:E16)</f>
        <v>4507.5914704323222</v>
      </c>
      <c r="H29" s="38">
        <f>H28</f>
        <v>3.5000000000000003E-2</v>
      </c>
      <c r="I29" s="39">
        <v>8000</v>
      </c>
      <c r="J29" s="5"/>
      <c r="K29" s="5"/>
    </row>
    <row r="30" spans="1:12" ht="14" customHeight="1" x14ac:dyDescent="0.35">
      <c r="B30" s="41" t="str">
        <f>IF(D28&gt;0,"最优投资品种是" &amp; D29,"三种债券均不可取")</f>
        <v>最优投资品种是债券A</v>
      </c>
      <c r="C30" s="42"/>
      <c r="D30" s="5"/>
      <c r="E30" s="34">
        <f>E28</f>
        <v>3.1353773094377146E-2</v>
      </c>
      <c r="F30" s="35">
        <v>8000</v>
      </c>
      <c r="H30" s="5"/>
      <c r="I30" s="5"/>
      <c r="J30" s="5"/>
      <c r="K30" s="5"/>
    </row>
    <row r="31" spans="1:12" ht="14" customHeight="1" x14ac:dyDescent="0.35">
      <c r="H31" s="5"/>
      <c r="I31" s="5"/>
      <c r="J31" s="5"/>
      <c r="K31" s="5"/>
    </row>
    <row r="32" spans="1:12" ht="14" customHeight="1" x14ac:dyDescent="0.35">
      <c r="H32" s="5"/>
      <c r="I32" s="5"/>
      <c r="J32" s="5"/>
      <c r="K32" s="5"/>
    </row>
    <row r="33" spans="8:9" ht="14" customHeight="1" x14ac:dyDescent="0.35">
      <c r="H33" s="5"/>
      <c r="I33" s="5"/>
    </row>
  </sheetData>
  <mergeCells count="6">
    <mergeCell ref="B30:C30"/>
    <mergeCell ref="B23:C23"/>
    <mergeCell ref="B24:C24"/>
    <mergeCell ref="B25:C25"/>
    <mergeCell ref="B28:C28"/>
    <mergeCell ref="B29:C29"/>
  </mergeCells>
  <phoneticPr fontId="1" type="noConversion"/>
  <printOptions headings="1"/>
  <pageMargins left="0.75" right="0.75" top="1" bottom="1" header="0.5" footer="0.5"/>
  <pageSetup paperSize="9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5"/>
  <sheetViews>
    <sheetView showGridLines="0" zoomScaleNormal="100" workbookViewId="0">
      <selection activeCell="O12" sqref="O12"/>
    </sheetView>
  </sheetViews>
  <sheetFormatPr defaultRowHeight="12.75" x14ac:dyDescent="0.35"/>
  <cols>
    <col min="1" max="1" width="17.73046875" customWidth="1"/>
    <col min="2" max="2" width="15.265625" customWidth="1"/>
    <col min="3" max="3" width="14" customWidth="1"/>
    <col min="4" max="4" width="10" customWidth="1"/>
    <col min="5" max="5" width="10.19921875" customWidth="1"/>
    <col min="6" max="6" width="10.73046875" customWidth="1"/>
    <col min="7" max="7" width="2.73046875" customWidth="1"/>
    <col min="8" max="8" width="7.19921875" customWidth="1"/>
    <col min="9" max="9" width="8.19921875" customWidth="1"/>
    <col min="10" max="10" width="7.73046875" customWidth="1"/>
    <col min="11" max="11" width="2.19921875" customWidth="1"/>
    <col min="12" max="12" width="1.796875" customWidth="1"/>
    <col min="13" max="13" width="1" customWidth="1"/>
    <col min="14" max="14" width="6.46484375" customWidth="1"/>
    <col min="15" max="15" width="5.73046875" bestFit="1" customWidth="1"/>
    <col min="16" max="16" width="5.265625" customWidth="1"/>
    <col min="17" max="17" width="1" customWidth="1"/>
    <col min="18" max="18" width="7.265625" customWidth="1"/>
    <col min="19" max="19" width="21.46484375" customWidth="1"/>
    <col min="20" max="20" width="0.796875" customWidth="1"/>
    <col min="21" max="21" width="7.265625" customWidth="1"/>
    <col min="22" max="22" width="17.73046875" customWidth="1"/>
    <col min="23" max="23" width="0.796875" customWidth="1"/>
    <col min="24" max="24" width="7.73046875" customWidth="1"/>
    <col min="25" max="25" width="20.796875" customWidth="1"/>
  </cols>
  <sheetData>
    <row r="1" s="1" customFormat="1" x14ac:dyDescent="0.35"/>
    <row r="2" s="1" customFormat="1" x14ac:dyDescent="0.35"/>
    <row r="3" s="1" customFormat="1" x14ac:dyDescent="0.35"/>
    <row r="4" s="1" customFormat="1" x14ac:dyDescent="0.35"/>
    <row r="5" s="1" customFormat="1" x14ac:dyDescent="0.35"/>
    <row r="6" s="1" customFormat="1" x14ac:dyDescent="0.35"/>
    <row r="7" s="1" customFormat="1" x14ac:dyDescent="0.35"/>
    <row r="8" s="1" customFormat="1" x14ac:dyDescent="0.35"/>
    <row r="9" s="1" customFormat="1" x14ac:dyDescent="0.35"/>
    <row r="10" s="1" customFormat="1" x14ac:dyDescent="0.35"/>
    <row r="11" s="1" customFormat="1" x14ac:dyDescent="0.35"/>
    <row r="12" s="1" customFormat="1" x14ac:dyDescent="0.35"/>
    <row r="13" s="1" customFormat="1" x14ac:dyDescent="0.35"/>
    <row r="14" s="1" customFormat="1" x14ac:dyDescent="0.35"/>
    <row r="15" s="1" customFormat="1" x14ac:dyDescent="0.35"/>
    <row r="16" s="1" customFormat="1" ht="15" customHeight="1" x14ac:dyDescent="0.35"/>
    <row r="17" spans="2:10" s="1" customFormat="1" x14ac:dyDescent="0.35"/>
    <row r="18" spans="2:10" s="1" customFormat="1" x14ac:dyDescent="0.35"/>
    <row r="19" spans="2:10" s="1" customFormat="1" x14ac:dyDescent="0.35"/>
    <row r="20" spans="2:10" s="1" customFormat="1" x14ac:dyDescent="0.35"/>
    <row r="21" spans="2:10" s="1" customFormat="1" x14ac:dyDescent="0.35"/>
    <row r="22" spans="2:10" s="1" customFormat="1" x14ac:dyDescent="0.35"/>
    <row r="23" spans="2:10" s="1" customFormat="1" x14ac:dyDescent="0.35"/>
    <row r="24" spans="2:10" x14ac:dyDescent="0.35">
      <c r="B24" s="2"/>
      <c r="G24" s="2"/>
      <c r="H24" s="1"/>
      <c r="I24" s="1"/>
      <c r="J24" s="1"/>
    </row>
    <row r="25" spans="2:10" x14ac:dyDescent="0.35">
      <c r="B25" s="1"/>
      <c r="G25" s="1"/>
      <c r="H25" s="1"/>
      <c r="I25" s="1"/>
      <c r="J25" s="1"/>
    </row>
  </sheetData>
  <phoneticPr fontId="1" type="noConversion"/>
  <printOptions headings="1"/>
  <pageMargins left="0.75" right="0.75" top="1" bottom="1" header="0.5" footer="0.5"/>
  <pageSetup paperSize="9" orientation="portrait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Spinner 1">
              <controlPr defaultSize="0" autoPict="0">
                <anchor moveWithCells="1" sizeWithCells="1">
                  <from>
                    <xdr:col>3</xdr:col>
                    <xdr:colOff>285750</xdr:colOff>
                    <xdr:row>3</xdr:row>
                    <xdr:rowOff>38100</xdr:rowOff>
                  </from>
                  <to>
                    <xdr:col>3</xdr:col>
                    <xdr:colOff>566738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L19" sqref="L19"/>
    </sheetView>
  </sheetViews>
  <sheetFormatPr defaultRowHeight="12.75" x14ac:dyDescent="0.35"/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2" r:id="rId3" name="Spinner 2">
              <controlPr defaultSize="0" autoPict="0">
                <anchor moveWithCells="1" sizeWithCells="1">
                  <from>
                    <xdr:col>4</xdr:col>
                    <xdr:colOff>576263</xdr:colOff>
                    <xdr:row>4</xdr:row>
                    <xdr:rowOff>95250</xdr:rowOff>
                  </from>
                  <to>
                    <xdr:col>5</xdr:col>
                    <xdr:colOff>209550</xdr:colOff>
                    <xdr:row>5</xdr:row>
                    <xdr:rowOff>138113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例9-5</vt:lpstr>
      <vt:lpstr>基于净现值的投资决策模型</vt:lpstr>
      <vt:lpstr>基于净现值的投资决策图形</vt:lpstr>
      <vt:lpstr>基于净现值的债券投资决策模型</vt:lpstr>
    </vt:vector>
  </TitlesOfParts>
  <Company>SUFE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zxf</dc:creator>
  <cp:lastModifiedBy>carl lee</cp:lastModifiedBy>
  <dcterms:created xsi:type="dcterms:W3CDTF">2000-08-19T14:41:24Z</dcterms:created>
  <dcterms:modified xsi:type="dcterms:W3CDTF">2024-07-25T07:45:09Z</dcterms:modified>
</cp:coreProperties>
</file>