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000-ThinkPad\教材编写\财经管理中的计算机应用（第四版）\例题\"/>
    </mc:Choice>
  </mc:AlternateContent>
  <bookViews>
    <workbookView xWindow="390" yWindow="1070" windowWidth="5130" windowHeight="5090" tabRatio="331" activeTab="1"/>
  </bookViews>
  <sheets>
    <sheet name="例9-4" sheetId="42151" r:id="rId1"/>
    <sheet name="基于回收期的投资决策模型" sheetId="42149" r:id="rId2"/>
  </sheets>
  <calcPr calcId="162913"/>
</workbook>
</file>

<file path=xl/calcChain.xml><?xml version="1.0" encoding="utf-8"?>
<calcChain xmlns="http://schemas.openxmlformats.org/spreadsheetml/2006/main">
  <c r="F7" i="42149" l="1"/>
  <c r="F6" i="42149"/>
  <c r="F8" i="42149" l="1"/>
  <c r="F2" i="42149" s="1"/>
  <c r="F3" i="42149" s="1"/>
  <c r="C10" i="42149" s="1"/>
</calcChain>
</file>

<file path=xl/sharedStrings.xml><?xml version="1.0" encoding="utf-8"?>
<sst xmlns="http://schemas.openxmlformats.org/spreadsheetml/2006/main" count="10" uniqueCount="10">
  <si>
    <r>
      <rPr>
        <sz val="11"/>
        <rFont val="宋体"/>
        <family val="3"/>
        <charset val="134"/>
      </rPr>
      <t>实现该最小投资回收期的项目</t>
    </r>
    <phoneticPr fontId="2" type="noConversion"/>
  </si>
  <si>
    <r>
      <rPr>
        <sz val="11"/>
        <rFont val="宋体"/>
        <family val="3"/>
        <charset val="134"/>
      </rPr>
      <t>初始投资</t>
    </r>
    <phoneticPr fontId="2" type="noConversion"/>
  </si>
  <si>
    <r>
      <rPr>
        <sz val="11"/>
        <rFont val="宋体"/>
        <family val="3"/>
        <charset val="134"/>
      </rPr>
      <t>每年回报</t>
    </r>
    <phoneticPr fontId="2" type="noConversion"/>
  </si>
  <si>
    <r>
      <rPr>
        <sz val="11"/>
        <rFont val="宋体"/>
        <family val="3"/>
        <charset val="134"/>
      </rPr>
      <t>贴现率</t>
    </r>
    <phoneticPr fontId="2" type="noConversion"/>
  </si>
  <si>
    <r>
      <rPr>
        <sz val="11"/>
        <rFont val="宋体"/>
        <family val="3"/>
        <charset val="134"/>
      </rPr>
      <t>投资回收期</t>
    </r>
    <phoneticPr fontId="2" type="noConversion"/>
  </si>
  <si>
    <r>
      <rPr>
        <sz val="11"/>
        <rFont val="宋体"/>
        <family val="3"/>
        <charset val="134"/>
      </rPr>
      <t>决策结论：</t>
    </r>
    <phoneticPr fontId="2" type="noConversion"/>
  </si>
  <si>
    <r>
      <rPr>
        <sz val="11"/>
        <rFont val="宋体"/>
        <family val="3"/>
        <charset val="134"/>
      </rPr>
      <t>项目</t>
    </r>
    <r>
      <rPr>
        <sz val="11"/>
        <rFont val="Times New Roman"/>
        <family val="1"/>
      </rPr>
      <t>A</t>
    </r>
    <phoneticPr fontId="2" type="noConversion"/>
  </si>
  <si>
    <r>
      <rPr>
        <sz val="11"/>
        <rFont val="宋体"/>
        <family val="3"/>
        <charset val="134"/>
      </rPr>
      <t>项目</t>
    </r>
    <r>
      <rPr>
        <sz val="11"/>
        <rFont val="Times New Roman"/>
        <family val="1"/>
      </rPr>
      <t>B</t>
    </r>
    <phoneticPr fontId="2" type="noConversion"/>
  </si>
  <si>
    <r>
      <rPr>
        <sz val="11"/>
        <rFont val="宋体"/>
        <family val="3"/>
        <charset val="134"/>
      </rPr>
      <t>项目</t>
    </r>
    <r>
      <rPr>
        <sz val="11"/>
        <rFont val="Times New Roman"/>
        <family val="1"/>
      </rPr>
      <t>C</t>
    </r>
    <phoneticPr fontId="2" type="noConversion"/>
  </si>
  <si>
    <t>最短投资回收期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</si>
</sst>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6" x14ac:knownFonts="1">
    <font>
      <sz val="10"/>
      <name val="宋体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5" fillId="2" borderId="0" xfId="0" applyFont="1" applyFill="1"/>
    <xf numFmtId="0" fontId="5" fillId="2" borderId="0" xfId="0" applyFont="1" applyFill="1" applyBorder="1"/>
    <xf numFmtId="176" fontId="5" fillId="2" borderId="0" xfId="0" applyNumberFormat="1" applyFont="1" applyFill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/>
    <xf numFmtId="0" fontId="4" fillId="2" borderId="0" xfId="0" applyFont="1" applyFill="1"/>
    <xf numFmtId="176" fontId="4" fillId="2" borderId="0" xfId="0" applyNumberFormat="1" applyFont="1" applyFill="1" applyAlignment="1">
      <alignment horizontal="center"/>
    </xf>
    <xf numFmtId="176" fontId="5" fillId="0" borderId="0" xfId="0" applyNumberFormat="1" applyFont="1" applyFill="1"/>
    <xf numFmtId="176" fontId="5" fillId="0" borderId="0" xfId="0" applyNumberFormat="1" applyFont="1"/>
    <xf numFmtId="0" fontId="5" fillId="0" borderId="0" xfId="0" applyFont="1" applyBorder="1"/>
    <xf numFmtId="0" fontId="4" fillId="3" borderId="1" xfId="0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76" fontId="4" fillId="6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4" fillId="8" borderId="2" xfId="0" applyFont="1" applyFill="1" applyBorder="1" applyAlignment="1"/>
    <xf numFmtId="0" fontId="4" fillId="8" borderId="3" xfId="0" applyFont="1" applyFill="1" applyBorder="1" applyAlignment="1"/>
    <xf numFmtId="0" fontId="3" fillId="3" borderId="1" xfId="0" applyFont="1" applyFill="1" applyBorder="1" applyAlignment="1">
      <alignment horizontal="left"/>
    </xf>
  </cellXfs>
  <cellStyles count="2">
    <cellStyle name="Normal_模型2 投资项目评价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192313</xdr:colOff>
      <xdr:row>0</xdr:row>
      <xdr:rowOff>116115</xdr:rowOff>
    </xdr:from>
    <xdr:to>
      <xdr:col>5</xdr:col>
      <xdr:colOff>257628</xdr:colOff>
      <xdr:row>7</xdr:row>
      <xdr:rowOff>0</xdr:rowOff>
    </xdr:to>
    <xdr:sp macro="" textlink="">
      <xdr:nvSpPr>
        <xdr:cNvPr id="5" name="Text Box 1025"/>
        <xdr:cNvSpPr txBox="1">
          <a:spLocks noChangeArrowheads="1"/>
        </xdr:cNvSpPr>
      </xdr:nvSpPr>
      <xdr:spPr bwMode="auto">
        <a:xfrm>
          <a:off x="192313" y="116115"/>
          <a:ext cx="3113315" cy="950685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9-4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】某公司用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万元投资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三个项目，项目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的贴现率是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8%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，每年回报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18000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元；项目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的贴现率是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，每年回报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元；项目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的贴现率是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，每年回报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15000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元，该公司希望尽快收回资金，需要建立一个投资决策模型，分析哪个投资项目回收期最短。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>
      <selection activeCell="F11" sqref="F11"/>
    </sheetView>
  </sheetViews>
  <sheetFormatPr defaultRowHeight="13" x14ac:dyDescent="0.25"/>
  <sheetData/>
  <phoneticPr fontId="2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showGridLines="0" tabSelected="1" zoomScaleNormal="100" workbookViewId="0">
      <selection activeCell="B2" sqref="B2:E2"/>
    </sheetView>
  </sheetViews>
  <sheetFormatPr defaultRowHeight="13" x14ac:dyDescent="0.3"/>
  <cols>
    <col min="1" max="1" width="2.69921875" style="6" customWidth="1"/>
    <col min="2" max="2" width="12.69921875" style="6" bestFit="1" customWidth="1"/>
    <col min="3" max="4" width="10.09765625" style="13" bestFit="1" customWidth="1"/>
    <col min="5" max="5" width="8" style="13" bestFit="1" customWidth="1"/>
    <col min="6" max="6" width="12.59765625" style="12" bestFit="1" customWidth="1"/>
    <col min="7" max="7" width="2.3984375" style="6" customWidth="1"/>
    <col min="8" max="8" width="5.09765625" style="6" customWidth="1"/>
    <col min="9" max="9" width="6.8984375" style="6" hidden="1" customWidth="1"/>
    <col min="10" max="10" width="7" style="6" customWidth="1"/>
    <col min="11" max="11" width="5.09765625" style="6" customWidth="1"/>
    <col min="12" max="12" width="8.3984375" style="6" customWidth="1"/>
    <col min="13" max="16384" width="8.796875" style="6"/>
  </cols>
  <sheetData>
    <row r="1" spans="1:11" x14ac:dyDescent="0.3">
      <c r="A1" s="1"/>
      <c r="B1" s="2"/>
      <c r="C1" s="2"/>
      <c r="D1" s="2"/>
      <c r="E1" s="1"/>
      <c r="F1" s="3"/>
      <c r="G1" s="2"/>
      <c r="H1" s="2"/>
      <c r="I1" s="4"/>
      <c r="J1" s="5"/>
      <c r="K1" s="5"/>
    </row>
    <row r="2" spans="1:11" ht="14.5" x14ac:dyDescent="0.3">
      <c r="A2" s="1"/>
      <c r="B2" s="24" t="s">
        <v>9</v>
      </c>
      <c r="C2" s="20"/>
      <c r="D2" s="20"/>
      <c r="E2" s="20"/>
      <c r="F2" s="7">
        <f>MIN(F6:F8)</f>
        <v>8</v>
      </c>
      <c r="G2" s="2"/>
      <c r="H2" s="2"/>
      <c r="I2" s="4"/>
      <c r="J2" s="5"/>
      <c r="K2" s="5"/>
    </row>
    <row r="3" spans="1:11" ht="14.5" x14ac:dyDescent="0.3">
      <c r="A3" s="1"/>
      <c r="B3" s="20" t="s">
        <v>0</v>
      </c>
      <c r="C3" s="20"/>
      <c r="D3" s="20"/>
      <c r="E3" s="20"/>
      <c r="F3" s="19" t="str">
        <f>INDEX(B6:B8,MATCH(F2,F6:F8,0))</f>
        <v>项目A</v>
      </c>
      <c r="G3" s="2"/>
      <c r="H3" s="2"/>
      <c r="I3" s="4"/>
      <c r="J3" s="5"/>
      <c r="K3" s="5"/>
    </row>
    <row r="4" spans="1:11" ht="5.25" customHeight="1" x14ac:dyDescent="0.3">
      <c r="A4" s="1"/>
      <c r="B4" s="8"/>
      <c r="C4" s="8"/>
      <c r="D4" s="8"/>
      <c r="E4" s="9"/>
      <c r="F4" s="10"/>
      <c r="G4" s="2"/>
      <c r="H4" s="2"/>
      <c r="I4" s="4"/>
      <c r="J4" s="5"/>
      <c r="K4" s="5"/>
    </row>
    <row r="5" spans="1:11" ht="14.5" x14ac:dyDescent="0.3">
      <c r="A5" s="1"/>
      <c r="B5" s="7"/>
      <c r="C5" s="14" t="s">
        <v>1</v>
      </c>
      <c r="D5" s="14" t="s">
        <v>2</v>
      </c>
      <c r="E5" s="14" t="s">
        <v>3</v>
      </c>
      <c r="F5" s="15" t="s">
        <v>4</v>
      </c>
      <c r="G5" s="2"/>
      <c r="H5" s="2"/>
      <c r="I5" s="4"/>
      <c r="J5" s="5"/>
      <c r="K5" s="5"/>
    </row>
    <row r="6" spans="1:11" ht="14.5" x14ac:dyDescent="0.3">
      <c r="A6" s="1"/>
      <c r="B6" s="14" t="s">
        <v>6</v>
      </c>
      <c r="C6" s="16">
        <v>100000</v>
      </c>
      <c r="D6" s="16">
        <v>18000</v>
      </c>
      <c r="E6" s="17">
        <v>0.08</v>
      </c>
      <c r="F6" s="18">
        <f>ROUND(NPER(E6,-D6,C6),0)</f>
        <v>8</v>
      </c>
      <c r="G6" s="2"/>
      <c r="H6" s="2"/>
      <c r="I6" s="4"/>
      <c r="J6" s="5"/>
      <c r="K6" s="5"/>
    </row>
    <row r="7" spans="1:11" ht="14.5" x14ac:dyDescent="0.3">
      <c r="A7" s="1"/>
      <c r="B7" s="14" t="s">
        <v>7</v>
      </c>
      <c r="C7" s="16">
        <v>100000</v>
      </c>
      <c r="D7" s="16">
        <v>10000</v>
      </c>
      <c r="E7" s="17">
        <v>0.06</v>
      </c>
      <c r="F7" s="18">
        <f>ROUND(NPER(E7,-D7,C7),0)</f>
        <v>16</v>
      </c>
      <c r="G7" s="2"/>
      <c r="H7" s="2"/>
      <c r="I7" s="4"/>
      <c r="J7" s="5"/>
      <c r="K7" s="5"/>
    </row>
    <row r="8" spans="1:11" ht="14.5" x14ac:dyDescent="0.3">
      <c r="A8" s="1"/>
      <c r="B8" s="14" t="s">
        <v>8</v>
      </c>
      <c r="C8" s="16">
        <v>100000</v>
      </c>
      <c r="D8" s="16">
        <v>15000</v>
      </c>
      <c r="E8" s="17">
        <v>0.1</v>
      </c>
      <c r="F8" s="18">
        <f t="shared" ref="F8" si="0">ROUND(NPER(E8,-D8,C8),0)</f>
        <v>12</v>
      </c>
      <c r="G8" s="2"/>
      <c r="H8" s="2"/>
      <c r="I8" s="4"/>
      <c r="J8" s="5"/>
      <c r="K8" s="5"/>
    </row>
    <row r="9" spans="1:11" ht="5.25" customHeight="1" x14ac:dyDescent="0.3">
      <c r="A9" s="4"/>
      <c r="B9" s="4"/>
      <c r="C9" s="5"/>
      <c r="D9" s="5"/>
      <c r="E9" s="5"/>
      <c r="F9" s="11"/>
      <c r="G9" s="4"/>
      <c r="I9" s="4"/>
      <c r="J9" s="4"/>
    </row>
    <row r="10" spans="1:11" ht="14.5" x14ac:dyDescent="0.3">
      <c r="A10" s="1"/>
      <c r="B10" s="21" t="s">
        <v>5</v>
      </c>
      <c r="C10" s="23" t="str">
        <f>IF(F2&gt;0,"最佳投资是" &amp; F3,"三个项目均不可取")</f>
        <v>最佳投资是项目A</v>
      </c>
      <c r="D10" s="22"/>
      <c r="E10" s="12"/>
      <c r="G10" s="2"/>
      <c r="H10" s="2"/>
      <c r="I10" s="4"/>
      <c r="J10" s="5"/>
      <c r="K10" s="5"/>
    </row>
    <row r="11" spans="1:11" x14ac:dyDescent="0.3">
      <c r="A11" s="1"/>
      <c r="B11" s="1"/>
      <c r="C11" s="2"/>
      <c r="D11" s="2"/>
      <c r="E11" s="2"/>
      <c r="F11" s="3"/>
      <c r="G11" s="1"/>
      <c r="H11" s="1"/>
    </row>
    <row r="12" spans="1:11" x14ac:dyDescent="0.3">
      <c r="A12" s="4"/>
      <c r="B12" s="4"/>
      <c r="C12" s="5"/>
      <c r="D12" s="5"/>
      <c r="E12" s="5"/>
      <c r="F12" s="11"/>
      <c r="G12" s="4"/>
      <c r="I12" s="4"/>
      <c r="J12" s="4"/>
    </row>
    <row r="13" spans="1:11" x14ac:dyDescent="0.3">
      <c r="A13" s="4"/>
      <c r="B13" s="4"/>
      <c r="C13" s="5"/>
      <c r="D13" s="5"/>
      <c r="E13" s="5"/>
      <c r="F13" s="11"/>
      <c r="G13" s="4"/>
      <c r="H13" s="4"/>
      <c r="I13" s="4"/>
      <c r="J13" s="4"/>
      <c r="K13" s="4"/>
    </row>
    <row r="14" spans="1:11" x14ac:dyDescent="0.3">
      <c r="A14" s="4"/>
      <c r="B14" s="4"/>
      <c r="C14" s="5"/>
      <c r="D14" s="5"/>
      <c r="E14" s="5"/>
      <c r="F14" s="11"/>
      <c r="G14" s="4"/>
      <c r="H14" s="4"/>
    </row>
    <row r="15" spans="1:11" x14ac:dyDescent="0.3">
      <c r="A15" s="4"/>
      <c r="B15" s="4"/>
      <c r="C15" s="5"/>
      <c r="D15" s="5"/>
      <c r="E15" s="5"/>
      <c r="F15" s="11"/>
      <c r="G15" s="4"/>
    </row>
    <row r="16" spans="1:11" x14ac:dyDescent="0.3">
      <c r="A16" s="4"/>
      <c r="B16" s="4"/>
      <c r="C16" s="5"/>
      <c r="D16" s="5"/>
      <c r="E16" s="5"/>
      <c r="F16" s="11"/>
      <c r="G16" s="4"/>
      <c r="H16" s="4"/>
    </row>
    <row r="17" spans="1:9" x14ac:dyDescent="0.3">
      <c r="A17" s="4"/>
      <c r="B17" s="4"/>
      <c r="C17" s="5"/>
      <c r="D17" s="5"/>
      <c r="E17" s="5"/>
      <c r="F17" s="11"/>
      <c r="G17" s="4"/>
      <c r="H17" s="4"/>
    </row>
    <row r="18" spans="1:9" x14ac:dyDescent="0.3">
      <c r="A18" s="4"/>
      <c r="B18" s="4"/>
      <c r="C18" s="5"/>
      <c r="D18" s="5"/>
      <c r="E18" s="5"/>
      <c r="F18" s="11"/>
      <c r="G18" s="4"/>
      <c r="H18" s="4"/>
    </row>
    <row r="19" spans="1:9" x14ac:dyDescent="0.3">
      <c r="A19" s="4"/>
      <c r="B19" s="4"/>
      <c r="C19" s="5"/>
      <c r="D19" s="5"/>
      <c r="E19" s="5"/>
      <c r="F19" s="11"/>
      <c r="G19" s="4"/>
      <c r="H19" s="4"/>
      <c r="I19" s="4"/>
    </row>
    <row r="20" spans="1:9" x14ac:dyDescent="0.3">
      <c r="A20" s="4"/>
      <c r="B20" s="4"/>
      <c r="C20" s="5"/>
      <c r="D20" s="5"/>
      <c r="E20" s="5"/>
      <c r="F20" s="11"/>
      <c r="G20" s="4"/>
      <c r="H20" s="4"/>
    </row>
    <row r="21" spans="1:9" x14ac:dyDescent="0.3">
      <c r="A21" s="4"/>
      <c r="B21" s="4"/>
      <c r="C21" s="5"/>
      <c r="D21" s="5"/>
      <c r="E21" s="5"/>
      <c r="F21" s="11"/>
      <c r="G21" s="4"/>
    </row>
    <row r="22" spans="1:9" x14ac:dyDescent="0.3">
      <c r="A22" s="4"/>
      <c r="B22" s="4"/>
      <c r="C22" s="5"/>
      <c r="D22" s="5"/>
      <c r="E22" s="5"/>
      <c r="F22" s="11"/>
      <c r="G22" s="4"/>
      <c r="H22" s="4"/>
    </row>
    <row r="23" spans="1:9" x14ac:dyDescent="0.3">
      <c r="A23" s="4"/>
      <c r="B23" s="4"/>
      <c r="C23" s="5"/>
      <c r="D23" s="5"/>
      <c r="E23" s="5"/>
      <c r="F23" s="11"/>
      <c r="G23" s="4"/>
      <c r="H23" s="4"/>
    </row>
    <row r="24" spans="1:9" x14ac:dyDescent="0.3">
      <c r="A24" s="4"/>
      <c r="B24" s="4"/>
      <c r="C24" s="5"/>
      <c r="D24" s="5"/>
      <c r="E24" s="5"/>
      <c r="F24" s="11"/>
      <c r="G24" s="4"/>
      <c r="H24" s="4"/>
    </row>
    <row r="25" spans="1:9" x14ac:dyDescent="0.3">
      <c r="H25" s="4"/>
    </row>
    <row r="26" spans="1:9" x14ac:dyDescent="0.3">
      <c r="A26" s="4"/>
      <c r="B26" s="4"/>
      <c r="C26" s="5"/>
      <c r="D26" s="5"/>
      <c r="E26" s="5"/>
      <c r="F26" s="11"/>
      <c r="G26" s="4"/>
      <c r="H26" s="4"/>
    </row>
    <row r="27" spans="1:9" x14ac:dyDescent="0.3">
      <c r="H27" s="4"/>
    </row>
    <row r="29" spans="1:9" x14ac:dyDescent="0.3">
      <c r="H29" s="4"/>
    </row>
    <row r="42" spans="10:11" x14ac:dyDescent="0.3">
      <c r="J42" s="4"/>
      <c r="K42" s="4"/>
    </row>
  </sheetData>
  <mergeCells count="2">
    <mergeCell ref="B2:E2"/>
    <mergeCell ref="B3:E3"/>
  </mergeCells>
  <phoneticPr fontId="2" type="noConversion"/>
  <printOptions headings="1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例9-4</vt:lpstr>
      <vt:lpstr>基于回收期的投资决策模型</vt:lpstr>
    </vt:vector>
  </TitlesOfParts>
  <Company>SUFE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张喆</cp:lastModifiedBy>
  <dcterms:created xsi:type="dcterms:W3CDTF">2000-03-25T06:55:57Z</dcterms:created>
  <dcterms:modified xsi:type="dcterms:W3CDTF">2020-07-27T15:23:35Z</dcterms:modified>
</cp:coreProperties>
</file>