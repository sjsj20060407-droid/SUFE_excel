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8\Desktop\经管机作业\"/>
    </mc:Choice>
  </mc:AlternateContent>
  <xr:revisionPtr revIDLastSave="0" documentId="13_ncr:1_{B15CE5DE-5205-4E40-B18E-009C30449A1B}" xr6:coauthVersionLast="47" xr6:coauthVersionMax="47" xr10:uidLastSave="{00000000-0000-0000-0000-000000000000}"/>
  <bookViews>
    <workbookView xWindow="-98" yWindow="-98" windowWidth="21795" windowHeight="12975" activeTab="1" xr2:uid="{5733C729-90B3-4179-AF81-858EF5B46548}"/>
  </bookViews>
  <sheets>
    <sheet name="例5-4" sheetId="1" r:id="rId1"/>
    <sheet name="非线性模型" sheetId="2" r:id="rId2"/>
  </sheets>
  <definedNames>
    <definedName name="solver_adj" localSheetId="1" hidden="1">非线性模型!$G$3:$G$5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非线性模型!$G$6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2" l="1"/>
  <c r="D2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" i="2"/>
  <c r="G6" i="2" l="1"/>
</calcChain>
</file>

<file path=xl/sharedStrings.xml><?xml version="1.0" encoding="utf-8"?>
<sst xmlns="http://schemas.openxmlformats.org/spreadsheetml/2006/main" count="75" uniqueCount="42">
  <si>
    <t>指标</t>
  </si>
  <si>
    <t>地区</t>
  </si>
  <si>
    <t>频度</t>
  </si>
  <si>
    <t>单位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</si>
  <si>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</si>
  <si>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</si>
  <si>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</si>
  <si>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</si>
  <si>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</si>
  <si>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</si>
  <si>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</si>
  <si>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</si>
  <si>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</si>
  <si>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</si>
  <si>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</si>
  <si>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</si>
  <si>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</si>
  <si>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</si>
  <si>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</si>
  <si>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</si>
  <si>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</si>
  <si>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</si>
  <si>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</si>
  <si>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</si>
  <si>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</si>
  <si>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</si>
  <si>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</si>
  <si>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</si>
  <si>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</si>
  <si>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全国</t>
  </si>
  <si>
    <t>年</t>
  </si>
  <si>
    <t>千瓦时/人</t>
  </si>
  <si>
    <t/>
  </si>
  <si>
    <t>人均电力消费量(实物量)_生活消费</t>
    <phoneticPr fontId="1" type="noConversion"/>
  </si>
  <si>
    <t>年份</t>
    <phoneticPr fontId="1" type="noConversion"/>
  </si>
  <si>
    <t>年序号</t>
    <phoneticPr fontId="1" type="noConversion"/>
  </si>
  <si>
    <t>添加趋势线得到的参数</t>
    <phoneticPr fontId="1" type="noConversion"/>
  </si>
  <si>
    <t>a</t>
    <phoneticPr fontId="1" type="noConversion"/>
  </si>
  <si>
    <t>b1</t>
    <phoneticPr fontId="1" type="noConversion"/>
  </si>
  <si>
    <t>b2</t>
    <phoneticPr fontId="1" type="noConversion"/>
  </si>
  <si>
    <t>预测值</t>
    <phoneticPr fontId="1" type="noConversion"/>
  </si>
  <si>
    <t>MSE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</si>
</sst>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80314960629921E-2"/>
          <c:y val="0.18039370078740158"/>
          <c:w val="0.86486351706036746"/>
          <c:h val="0.712206911636045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383416447944007"/>
                  <c:y val="-0.16736329833770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非线性模型!$B$2:$B$24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非线性模型!$C$2:$C$24</c:f>
              <c:numCache>
                <c:formatCode>General</c:formatCode>
                <c:ptCount val="23"/>
                <c:pt idx="0">
                  <c:v>108.62</c:v>
                </c:pt>
                <c:pt idx="1">
                  <c:v>114.99</c:v>
                </c:pt>
                <c:pt idx="2">
                  <c:v>126.53</c:v>
                </c:pt>
                <c:pt idx="3">
                  <c:v>138.35</c:v>
                </c:pt>
                <c:pt idx="4">
                  <c:v>159.74</c:v>
                </c:pt>
                <c:pt idx="5">
                  <c:v>183.98</c:v>
                </c:pt>
                <c:pt idx="6">
                  <c:v>221.28</c:v>
                </c:pt>
                <c:pt idx="7">
                  <c:v>255.65</c:v>
                </c:pt>
                <c:pt idx="8">
                  <c:v>308.27999999999997</c:v>
                </c:pt>
                <c:pt idx="9">
                  <c:v>331.87</c:v>
                </c:pt>
                <c:pt idx="10">
                  <c:v>365.98</c:v>
                </c:pt>
                <c:pt idx="11">
                  <c:v>383.09</c:v>
                </c:pt>
                <c:pt idx="12">
                  <c:v>418</c:v>
                </c:pt>
                <c:pt idx="13">
                  <c:v>459</c:v>
                </c:pt>
                <c:pt idx="14">
                  <c:v>513</c:v>
                </c:pt>
                <c:pt idx="15">
                  <c:v>523</c:v>
                </c:pt>
                <c:pt idx="16">
                  <c:v>548</c:v>
                </c:pt>
                <c:pt idx="17">
                  <c:v>607</c:v>
                </c:pt>
                <c:pt idx="18">
                  <c:v>650</c:v>
                </c:pt>
                <c:pt idx="19">
                  <c:v>717</c:v>
                </c:pt>
                <c:pt idx="20">
                  <c:v>756</c:v>
                </c:pt>
                <c:pt idx="21">
                  <c:v>808</c:v>
                </c:pt>
                <c:pt idx="22">
                  <c:v>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1F-460F-9635-EAB4751A8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128224"/>
        <c:axId val="1797126304"/>
      </c:scatterChart>
      <c:valAx>
        <c:axId val="179712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126304"/>
        <c:crosses val="autoZero"/>
        <c:crossBetween val="midCat"/>
      </c:valAx>
      <c:valAx>
        <c:axId val="17971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12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76200</xdr:rowOff>
    </xdr:from>
    <xdr:to>
      <xdr:col>10</xdr:col>
      <xdr:colOff>647700</xdr:colOff>
      <xdr:row>5</xdr:row>
      <xdr:rowOff>82550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15F7E9D-A162-479A-AF97-B8632C6D774A}"/>
            </a:ext>
          </a:extLst>
        </xdr:cNvPr>
        <xdr:cNvSpPr txBox="1"/>
      </xdr:nvSpPr>
      <xdr:spPr>
        <a:xfrm>
          <a:off x="5670550" y="254000"/>
          <a:ext cx="3949700" cy="71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5-4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 根据中国统计年鉴上获取的人均电力消费量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实物量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)_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生活消费数据，如图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5-24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所示，建立合适的模型，预测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年的数值。</a:t>
          </a:r>
        </a:p>
        <a:p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217418</xdr:colOff>
      <xdr:row>6</xdr:row>
      <xdr:rowOff>146187</xdr:rowOff>
    </xdr:from>
    <xdr:to>
      <xdr:col>12</xdr:col>
      <xdr:colOff>76614</xdr:colOff>
      <xdr:row>22</xdr:row>
      <xdr:rowOff>40170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6933627-0B9F-CA0C-FBD7-5FA1E7AF0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DC4A-E81F-459F-BCF3-1CAF76ECE3C0}">
  <dimension ref="A1:D16"/>
  <sheetViews>
    <sheetView showGridLines="0" topLeftCell="E7" zoomScale="145" zoomScaleNormal="145" workbookViewId="0">
      <selection activeCell="H9" sqref="H9"/>
    </sheetView>
  </sheetViews>
  <sheetFormatPr defaultRowHeight="13.9" x14ac:dyDescent="0.4"/>
  <cols>
    <col min="1" max="1" width="5.3984375" bestFit="1" customWidth="1"/>
    <col min="2" max="2" width="27.59765625" bestFit="1" customWidth="1"/>
    <col min="3" max="3" width="5" bestFit="1" customWidth="1"/>
    <col min="4" max="4" width="27.59765625" bestFit="1" customWidth="1"/>
  </cols>
  <sheetData>
    <row r="1" spans="1:4" x14ac:dyDescent="0.4">
      <c r="A1" s="8" t="s">
        <v>0</v>
      </c>
      <c r="B1" s="8" t="s">
        <v>33</v>
      </c>
      <c r="C1" s="8" t="s">
        <v>0</v>
      </c>
      <c r="D1" s="8" t="s">
        <v>33</v>
      </c>
    </row>
    <row r="2" spans="1:4" x14ac:dyDescent="0.4">
      <c r="A2" s="1" t="s">
        <v>1</v>
      </c>
      <c r="B2" s="1" t="s">
        <v>29</v>
      </c>
      <c r="C2" s="1" t="s">
        <v>1</v>
      </c>
      <c r="D2" s="1" t="s">
        <v>29</v>
      </c>
    </row>
    <row r="3" spans="1:4" x14ac:dyDescent="0.4">
      <c r="A3" s="1" t="s">
        <v>2</v>
      </c>
      <c r="B3" s="1" t="s">
        <v>30</v>
      </c>
      <c r="C3" s="1" t="s">
        <v>2</v>
      </c>
      <c r="D3" s="1" t="s">
        <v>30</v>
      </c>
    </row>
    <row r="4" spans="1:4" x14ac:dyDescent="0.4">
      <c r="A4" s="1" t="s">
        <v>3</v>
      </c>
      <c r="B4" s="1" t="s">
        <v>31</v>
      </c>
      <c r="C4" s="1" t="s">
        <v>3</v>
      </c>
      <c r="D4" s="1" t="s">
        <v>31</v>
      </c>
    </row>
    <row r="5" spans="1:4" x14ac:dyDescent="0.35">
      <c r="A5" s="9" t="s">
        <v>4</v>
      </c>
      <c r="B5" s="3">
        <v>108.62</v>
      </c>
      <c r="C5" s="10" t="s">
        <v>16</v>
      </c>
      <c r="D5" s="5">
        <v>418</v>
      </c>
    </row>
    <row r="6" spans="1:4" x14ac:dyDescent="0.35">
      <c r="A6" s="10" t="s">
        <v>5</v>
      </c>
      <c r="B6" s="5">
        <v>114.99</v>
      </c>
      <c r="C6" s="10" t="s">
        <v>17</v>
      </c>
      <c r="D6" s="5">
        <v>459</v>
      </c>
    </row>
    <row r="7" spans="1:4" x14ac:dyDescent="0.35">
      <c r="A7" s="10" t="s">
        <v>6</v>
      </c>
      <c r="B7" s="5">
        <v>126.53</v>
      </c>
      <c r="C7" s="10" t="s">
        <v>18</v>
      </c>
      <c r="D7" s="5">
        <v>513</v>
      </c>
    </row>
    <row r="8" spans="1:4" x14ac:dyDescent="0.35">
      <c r="A8" s="10" t="s">
        <v>7</v>
      </c>
      <c r="B8" s="5">
        <v>138.35</v>
      </c>
      <c r="C8" s="10" t="s">
        <v>19</v>
      </c>
      <c r="D8" s="5">
        <v>523</v>
      </c>
    </row>
    <row r="9" spans="1:4" x14ac:dyDescent="0.35">
      <c r="A9" s="10" t="s">
        <v>8</v>
      </c>
      <c r="B9" s="5">
        <v>159.74</v>
      </c>
      <c r="C9" s="10" t="s">
        <v>20</v>
      </c>
      <c r="D9" s="5">
        <v>548</v>
      </c>
    </row>
    <row r="10" spans="1:4" x14ac:dyDescent="0.35">
      <c r="A10" s="10" t="s">
        <v>9</v>
      </c>
      <c r="B10" s="5">
        <v>183.98</v>
      </c>
      <c r="C10" s="10" t="s">
        <v>21</v>
      </c>
      <c r="D10" s="5">
        <v>607</v>
      </c>
    </row>
    <row r="11" spans="1:4" x14ac:dyDescent="0.35">
      <c r="A11" s="10" t="s">
        <v>10</v>
      </c>
      <c r="B11" s="5">
        <v>221.28</v>
      </c>
      <c r="C11" s="10" t="s">
        <v>22</v>
      </c>
      <c r="D11" s="5">
        <v>650</v>
      </c>
    </row>
    <row r="12" spans="1:4" x14ac:dyDescent="0.35">
      <c r="A12" s="10" t="s">
        <v>11</v>
      </c>
      <c r="B12" s="5">
        <v>255.65</v>
      </c>
      <c r="C12" s="10" t="s">
        <v>23</v>
      </c>
      <c r="D12" s="5">
        <v>717</v>
      </c>
    </row>
    <row r="13" spans="1:4" x14ac:dyDescent="0.35">
      <c r="A13" s="10" t="s">
        <v>12</v>
      </c>
      <c r="B13" s="5">
        <v>308.27999999999997</v>
      </c>
      <c r="C13" s="10" t="s">
        <v>24</v>
      </c>
      <c r="D13" s="5">
        <v>756</v>
      </c>
    </row>
    <row r="14" spans="1:4" x14ac:dyDescent="0.35">
      <c r="A14" s="10" t="s">
        <v>13</v>
      </c>
      <c r="B14" s="5">
        <v>331.87</v>
      </c>
      <c r="C14" s="10" t="s">
        <v>25</v>
      </c>
      <c r="D14" s="5">
        <v>808</v>
      </c>
    </row>
    <row r="15" spans="1:4" x14ac:dyDescent="0.35">
      <c r="A15" s="10" t="s">
        <v>14</v>
      </c>
      <c r="B15" s="5">
        <v>365.98</v>
      </c>
      <c r="C15" s="11" t="s">
        <v>26</v>
      </c>
      <c r="D15" s="7">
        <v>869</v>
      </c>
    </row>
    <row r="16" spans="1:4" x14ac:dyDescent="0.35">
      <c r="A16" s="11" t="s">
        <v>15</v>
      </c>
      <c r="B16" s="7">
        <v>383.09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52B0-6860-4B0D-AFFB-B31001165ED3}">
  <dimension ref="A1:G26"/>
  <sheetViews>
    <sheetView showGridLines="0" tabSelected="1" zoomScale="115" zoomScaleNormal="115" workbookViewId="0">
      <selection activeCell="G26" sqref="G26"/>
    </sheetView>
  </sheetViews>
  <sheetFormatPr defaultRowHeight="13.9" x14ac:dyDescent="0.4"/>
  <cols>
    <col min="1" max="1" width="5" bestFit="1" customWidth="1"/>
    <col min="2" max="2" width="6.3984375" bestFit="1" customWidth="1"/>
    <col min="3" max="3" width="27.59765625" bestFit="1" customWidth="1"/>
    <col min="4" max="4" width="8.3984375" bestFit="1" customWidth="1"/>
    <col min="5" max="5" width="2.1328125" customWidth="1"/>
    <col min="7" max="7" width="11.73046875" customWidth="1"/>
  </cols>
  <sheetData>
    <row r="1" spans="1:7" x14ac:dyDescent="0.4">
      <c r="A1" s="1" t="s">
        <v>34</v>
      </c>
      <c r="B1" s="1" t="s">
        <v>35</v>
      </c>
      <c r="C1" s="1" t="s">
        <v>33</v>
      </c>
      <c r="D1" s="1" t="s">
        <v>40</v>
      </c>
    </row>
    <row r="2" spans="1:7" x14ac:dyDescent="0.35">
      <c r="A2" s="2" t="s">
        <v>4</v>
      </c>
      <c r="B2" s="2">
        <v>1</v>
      </c>
      <c r="C2" s="3">
        <v>108.62</v>
      </c>
      <c r="D2" s="5">
        <f>$G$3*B2^2+$G$4*B2+$G$5</f>
        <v>92.384452296940665</v>
      </c>
      <c r="F2" s="12" t="s">
        <v>36</v>
      </c>
      <c r="G2" s="13"/>
    </row>
    <row r="3" spans="1:7" x14ac:dyDescent="0.35">
      <c r="A3" s="4" t="s">
        <v>5</v>
      </c>
      <c r="B3" s="4">
        <v>2</v>
      </c>
      <c r="C3" s="5">
        <v>114.99</v>
      </c>
      <c r="D3" s="5">
        <f t="shared" ref="D3:D26" si="0">$G$3*B3^2+$G$4*B3+$G$5</f>
        <v>111.09401189844746</v>
      </c>
      <c r="F3" s="14" t="s">
        <v>37</v>
      </c>
      <c r="G3" s="14">
        <v>0.76453929734743009</v>
      </c>
    </row>
    <row r="4" spans="1:7" x14ac:dyDescent="0.35">
      <c r="A4" s="4" t="s">
        <v>6</v>
      </c>
      <c r="B4" s="4">
        <v>3</v>
      </c>
      <c r="C4" s="5">
        <v>126.53</v>
      </c>
      <c r="D4" s="5">
        <f t="shared" si="0"/>
        <v>131.33265009464913</v>
      </c>
      <c r="F4" s="14" t="s">
        <v>38</v>
      </c>
      <c r="G4" s="14">
        <v>16.415941709464505</v>
      </c>
    </row>
    <row r="5" spans="1:7" x14ac:dyDescent="0.35">
      <c r="A5" s="4" t="s">
        <v>7</v>
      </c>
      <c r="B5" s="4">
        <v>4</v>
      </c>
      <c r="C5" s="5">
        <v>138.35</v>
      </c>
      <c r="D5" s="5">
        <f t="shared" si="0"/>
        <v>153.10036688554564</v>
      </c>
      <c r="F5" s="14" t="s">
        <v>39</v>
      </c>
      <c r="G5" s="14">
        <v>75.203971290128734</v>
      </c>
    </row>
    <row r="6" spans="1:7" x14ac:dyDescent="0.35">
      <c r="A6" s="4" t="s">
        <v>8</v>
      </c>
      <c r="B6" s="4">
        <v>5</v>
      </c>
      <c r="C6" s="5">
        <v>159.74</v>
      </c>
      <c r="D6" s="5">
        <f t="shared" si="0"/>
        <v>176.39716227113701</v>
      </c>
      <c r="F6" s="14" t="s">
        <v>41</v>
      </c>
      <c r="G6" s="14">
        <f>SUMXMY2(D2:D24,C2:C24)</f>
        <v>4008.138148675358</v>
      </c>
    </row>
    <row r="7" spans="1:7" x14ac:dyDescent="0.35">
      <c r="A7" s="4" t="s">
        <v>9</v>
      </c>
      <c r="B7" s="4">
        <v>6</v>
      </c>
      <c r="C7" s="5">
        <v>183.98</v>
      </c>
      <c r="D7" s="5">
        <f t="shared" si="0"/>
        <v>201.22303625142325</v>
      </c>
    </row>
    <row r="8" spans="1:7" x14ac:dyDescent="0.35">
      <c r="A8" s="4" t="s">
        <v>10</v>
      </c>
      <c r="B8" s="4">
        <v>7</v>
      </c>
      <c r="C8" s="5">
        <v>221.28</v>
      </c>
      <c r="D8" s="5">
        <f t="shared" si="0"/>
        <v>227.57798882640435</v>
      </c>
    </row>
    <row r="9" spans="1:7" x14ac:dyDescent="0.35">
      <c r="A9" s="4" t="s">
        <v>11</v>
      </c>
      <c r="B9" s="4">
        <v>8</v>
      </c>
      <c r="C9" s="5">
        <v>255.65</v>
      </c>
      <c r="D9" s="5">
        <f t="shared" si="0"/>
        <v>255.4620199960803</v>
      </c>
    </row>
    <row r="10" spans="1:7" x14ac:dyDescent="0.35">
      <c r="A10" s="4" t="s">
        <v>12</v>
      </c>
      <c r="B10" s="4">
        <v>9</v>
      </c>
      <c r="C10" s="5">
        <v>308.27999999999997</v>
      </c>
      <c r="D10" s="5">
        <f t="shared" si="0"/>
        <v>284.8751297604511</v>
      </c>
    </row>
    <row r="11" spans="1:7" x14ac:dyDescent="0.35">
      <c r="A11" s="4" t="s">
        <v>13</v>
      </c>
      <c r="B11" s="4">
        <v>10</v>
      </c>
      <c r="C11" s="5">
        <v>331.87</v>
      </c>
      <c r="D11" s="5">
        <f t="shared" si="0"/>
        <v>315.81731811951681</v>
      </c>
    </row>
    <row r="12" spans="1:7" x14ac:dyDescent="0.35">
      <c r="A12" s="4" t="s">
        <v>14</v>
      </c>
      <c r="B12" s="4">
        <v>11</v>
      </c>
      <c r="C12" s="5">
        <v>365.98</v>
      </c>
      <c r="D12" s="5">
        <f t="shared" si="0"/>
        <v>348.28858507327732</v>
      </c>
    </row>
    <row r="13" spans="1:7" x14ac:dyDescent="0.35">
      <c r="A13" s="4" t="s">
        <v>15</v>
      </c>
      <c r="B13" s="4">
        <v>12</v>
      </c>
      <c r="C13" s="5">
        <v>383.09</v>
      </c>
      <c r="D13" s="5">
        <f t="shared" si="0"/>
        <v>382.28893062173273</v>
      </c>
    </row>
    <row r="14" spans="1:7" x14ac:dyDescent="0.35">
      <c r="A14" s="4" t="s">
        <v>16</v>
      </c>
      <c r="B14" s="4">
        <v>13</v>
      </c>
      <c r="C14" s="5">
        <v>418</v>
      </c>
      <c r="D14" s="5">
        <f t="shared" si="0"/>
        <v>417.818354764883</v>
      </c>
    </row>
    <row r="15" spans="1:7" x14ac:dyDescent="0.35">
      <c r="A15" s="4" t="s">
        <v>17</v>
      </c>
      <c r="B15" s="4">
        <v>14</v>
      </c>
      <c r="C15" s="5">
        <v>459</v>
      </c>
      <c r="D15" s="5">
        <f t="shared" si="0"/>
        <v>454.87685750272806</v>
      </c>
    </row>
    <row r="16" spans="1:7" x14ac:dyDescent="0.35">
      <c r="A16" s="4" t="s">
        <v>18</v>
      </c>
      <c r="B16" s="4">
        <v>15</v>
      </c>
      <c r="C16" s="5">
        <v>513</v>
      </c>
      <c r="D16" s="5">
        <f t="shared" si="0"/>
        <v>493.46443883526808</v>
      </c>
    </row>
    <row r="17" spans="1:4" x14ac:dyDescent="0.35">
      <c r="A17" s="4" t="s">
        <v>19</v>
      </c>
      <c r="B17" s="4">
        <v>16</v>
      </c>
      <c r="C17" s="5">
        <v>523</v>
      </c>
      <c r="D17" s="5">
        <f t="shared" si="0"/>
        <v>533.58109876250296</v>
      </c>
    </row>
    <row r="18" spans="1:4" x14ac:dyDescent="0.35">
      <c r="A18" s="4" t="s">
        <v>20</v>
      </c>
      <c r="B18" s="4">
        <v>17</v>
      </c>
      <c r="C18" s="5">
        <v>548</v>
      </c>
      <c r="D18" s="5">
        <f t="shared" si="0"/>
        <v>575.22683728443258</v>
      </c>
    </row>
    <row r="19" spans="1:4" x14ac:dyDescent="0.35">
      <c r="A19" s="4" t="s">
        <v>21</v>
      </c>
      <c r="B19" s="4">
        <v>18</v>
      </c>
      <c r="C19" s="5">
        <v>607</v>
      </c>
      <c r="D19" s="5">
        <f t="shared" si="0"/>
        <v>618.40165440105716</v>
      </c>
    </row>
    <row r="20" spans="1:4" x14ac:dyDescent="0.35">
      <c r="A20" s="4" t="s">
        <v>22</v>
      </c>
      <c r="B20" s="4">
        <v>19</v>
      </c>
      <c r="C20" s="5">
        <v>650</v>
      </c>
      <c r="D20" s="5">
        <f t="shared" si="0"/>
        <v>663.10555011237659</v>
      </c>
    </row>
    <row r="21" spans="1:4" x14ac:dyDescent="0.35">
      <c r="A21" s="4" t="s">
        <v>23</v>
      </c>
      <c r="B21" s="4">
        <v>20</v>
      </c>
      <c r="C21" s="5">
        <v>717</v>
      </c>
      <c r="D21" s="5">
        <f t="shared" si="0"/>
        <v>709.33852441839088</v>
      </c>
    </row>
    <row r="22" spans="1:4" x14ac:dyDescent="0.35">
      <c r="A22" s="4" t="s">
        <v>24</v>
      </c>
      <c r="B22" s="4">
        <v>21</v>
      </c>
      <c r="C22" s="5">
        <v>756</v>
      </c>
      <c r="D22" s="5">
        <f t="shared" si="0"/>
        <v>757.10057731910001</v>
      </c>
    </row>
    <row r="23" spans="1:4" x14ac:dyDescent="0.35">
      <c r="A23" s="4" t="s">
        <v>25</v>
      </c>
      <c r="B23" s="4">
        <v>22</v>
      </c>
      <c r="C23" s="5">
        <v>808</v>
      </c>
      <c r="D23" s="5">
        <f t="shared" si="0"/>
        <v>806.391708814504</v>
      </c>
    </row>
    <row r="24" spans="1:4" x14ac:dyDescent="0.35">
      <c r="A24" s="6" t="s">
        <v>26</v>
      </c>
      <c r="B24" s="6">
        <v>23</v>
      </c>
      <c r="C24" s="7">
        <v>869</v>
      </c>
      <c r="D24" s="5">
        <f t="shared" si="0"/>
        <v>857.21191890460284</v>
      </c>
    </row>
    <row r="25" spans="1:4" x14ac:dyDescent="0.35">
      <c r="A25" s="4" t="s">
        <v>27</v>
      </c>
      <c r="B25" s="4">
        <v>24</v>
      </c>
      <c r="C25" s="5" t="s">
        <v>32</v>
      </c>
      <c r="D25" s="5">
        <f>$G$3*B25^2+$G$4*B25+$G$5</f>
        <v>909.56120758939664</v>
      </c>
    </row>
    <row r="26" spans="1:4" x14ac:dyDescent="0.35">
      <c r="A26" s="6" t="s">
        <v>28</v>
      </c>
      <c r="B26" s="6">
        <v>25</v>
      </c>
      <c r="C26" s="7" t="s">
        <v>32</v>
      </c>
      <c r="D26" s="5">
        <f t="shared" si="0"/>
        <v>963.43957486888507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例5-4</vt:lpstr>
      <vt:lpstr>非线性模型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xiemp@126.com</dc:creator>
  <cp:lastModifiedBy>a77111</cp:lastModifiedBy>
  <dcterms:created xsi:type="dcterms:W3CDTF">2024-03-20T15:26:56Z</dcterms:created>
  <dcterms:modified xsi:type="dcterms:W3CDTF">2026-06-20T07:05:17Z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a7497533</vt:lpwstr>
  </property>
</Properties>
</file>