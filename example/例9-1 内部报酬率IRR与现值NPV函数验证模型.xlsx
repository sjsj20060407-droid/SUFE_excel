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08da5265628b68d8/Desktop/2022-2023经管机课件/《经济管理中的计算机应用（第四版）》例题/《经济管理中的计算机应用（第四版）》例题/"/>
    </mc:Choice>
  </mc:AlternateContent>
  <xr:revisionPtr revIDLastSave="0" documentId="11_FCDF04288465203F1EA58D54F46A0143188E7FB3" xr6:coauthVersionLast="47" xr6:coauthVersionMax="47" xr10:uidLastSave="{00000000-0000-0000-0000-000000000000}"/>
  <bookViews>
    <workbookView xWindow="-108" yWindow="-108" windowWidth="23256" windowHeight="12456" tabRatio="853" activeTab="1" xr2:uid="{00000000-000D-0000-FFFF-FFFF00000000}"/>
  </bookViews>
  <sheets>
    <sheet name="例9-1" sheetId="11" r:id="rId1"/>
    <sheet name="内部报酬率计算模型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2" i="13" l="1"/>
  <c r="C20" i="13"/>
  <c r="D19" i="13" s="1"/>
  <c r="E18" i="13"/>
  <c r="D18" i="13"/>
  <c r="C10" i="13"/>
  <c r="D7" i="13" s="1"/>
  <c r="C8" i="13"/>
  <c r="E6" i="13"/>
  <c r="D6" i="13"/>
  <c r="D5" i="13"/>
  <c r="D8" i="13" l="1"/>
  <c r="E7" i="13" s="1"/>
  <c r="E10" i="13"/>
  <c r="D17" i="13"/>
  <c r="D20" i="13" s="1"/>
  <c r="E5" i="13" l="1"/>
  <c r="E19" i="13"/>
  <c r="E17" i="13"/>
  <c r="E8" i="13"/>
  <c r="E20" i="13" l="1"/>
  <c r="E23" i="13" s="1"/>
</calcChain>
</file>

<file path=xl/sharedStrings.xml><?xml version="1.0" encoding="utf-8"?>
<sst xmlns="http://schemas.openxmlformats.org/spreadsheetml/2006/main" count="25" uniqueCount="14">
  <si>
    <t>净现金流入量</t>
  </si>
  <si>
    <t>现金流量</t>
  </si>
  <si>
    <t>回报</t>
  </si>
  <si>
    <t>贷款利息</t>
  </si>
  <si>
    <t>期初贷款余额</t>
  </si>
  <si>
    <t>期末贷款余额</t>
  </si>
  <si>
    <t>项目内部报酬率</t>
    <phoneticPr fontId="1" type="noConversion"/>
  </si>
  <si>
    <t>贷款投资数据</t>
    <phoneticPr fontId="1" type="noConversion"/>
  </si>
  <si>
    <t>银行贷款利率</t>
    <phoneticPr fontId="1" type="noConversion"/>
  </si>
  <si>
    <t>净现值</t>
    <phoneticPr fontId="1" type="noConversion"/>
  </si>
  <si>
    <t>验证：</t>
    <phoneticPr fontId="1" type="noConversion"/>
  </si>
  <si>
    <r>
      <t>第</t>
    </r>
    <r>
      <rPr>
        <sz val="11"/>
        <rFont val="Arial"/>
        <family val="2"/>
      </rPr>
      <t>0</t>
    </r>
    <r>
      <rPr>
        <sz val="11"/>
        <rFont val="宋体"/>
        <family val="3"/>
        <charset val="134"/>
      </rPr>
      <t>年</t>
    </r>
  </si>
  <si>
    <r>
      <t>第</t>
    </r>
    <r>
      <rPr>
        <sz val="11"/>
        <rFont val="Arial"/>
        <family val="2"/>
      </rPr>
      <t>1</t>
    </r>
    <r>
      <rPr>
        <sz val="11"/>
        <rFont val="宋体"/>
        <family val="3"/>
        <charset val="134"/>
      </rPr>
      <t>年</t>
    </r>
  </si>
  <si>
    <r>
      <t>第</t>
    </r>
    <r>
      <rPr>
        <sz val="11"/>
        <rFont val="Arial"/>
        <family val="2"/>
      </rPr>
      <t>2</t>
    </r>
    <r>
      <rPr>
        <sz val="11"/>
        <rFont val="宋体"/>
        <family val="3"/>
        <charset val="134"/>
      </rPr>
      <t>年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</si>
</sst>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¥&quot;#,##0.00;[Red]&quot;¥&quot;\-#,##0.00"/>
    <numFmt numFmtId="165" formatCode="0.0"/>
    <numFmt numFmtId="166" formatCode="0.0%"/>
    <numFmt numFmtId="167" formatCode="0.00_ "/>
  </numFmts>
  <fonts count="5" x14ac:knownFonts="1">
    <font>
      <sz val="10"/>
      <name val="宋体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67" fontId="3" fillId="0" borderId="1" xfId="0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3" fillId="0" borderId="0" xfId="0" applyNumberFormat="1" applyFont="1" applyFill="1" applyAlignment="1">
      <alignment vertical="center"/>
    </xf>
    <xf numFmtId="0" fontId="3" fillId="3" borderId="6" xfId="0" applyFont="1" applyFill="1" applyBorder="1" applyAlignment="1">
      <alignment vertical="center"/>
    </xf>
    <xf numFmtId="9" fontId="3" fillId="3" borderId="2" xfId="0" applyNumberFormat="1" applyFont="1" applyFill="1" applyBorder="1" applyAlignment="1">
      <alignment horizontal="center" vertical="center"/>
    </xf>
    <xf numFmtId="166" fontId="3" fillId="4" borderId="2" xfId="0" applyNumberFormat="1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vertical="center"/>
    </xf>
    <xf numFmtId="165" fontId="3" fillId="5" borderId="2" xfId="0" applyNumberFormat="1" applyFont="1" applyFill="1" applyBorder="1" applyAlignment="1">
      <alignment vertical="center"/>
    </xf>
    <xf numFmtId="165" fontId="3" fillId="5" borderId="10" xfId="0" applyNumberFormat="1" applyFont="1" applyFill="1" applyBorder="1" applyAlignment="1">
      <alignment vertical="center"/>
    </xf>
    <xf numFmtId="165" fontId="3" fillId="5" borderId="8" xfId="0" applyNumberFormat="1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167" fontId="3" fillId="0" borderId="9" xfId="0" applyNumberFormat="1" applyFont="1" applyFill="1" applyBorder="1" applyAlignment="1">
      <alignment vertical="center"/>
    </xf>
    <xf numFmtId="167" fontId="3" fillId="0" borderId="11" xfId="0" applyNumberFormat="1" applyFont="1" applyFill="1" applyBorder="1" applyAlignment="1">
      <alignment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CC"/>
      <rgbColor rgb="0099CCFF"/>
      <rgbColor rgb="00FF99CC"/>
      <rgbColor rgb="00CC99FF"/>
      <rgbColor rgb="00DDDDD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CCFFFF"/>
      <color rgb="FF99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151397</xdr:colOff>
      <xdr:row>0</xdr:row>
      <xdr:rowOff>135020</xdr:rowOff>
    </xdr:from>
    <xdr:to>
      <xdr:col>5</xdr:col>
      <xdr:colOff>381036</xdr:colOff>
      <xdr:row>10</xdr:row>
      <xdr:rowOff>19050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51397" y="135020"/>
          <a:ext cx="3277639" cy="140803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headEnd/>
          <a:tailEnd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wrap="square" lIns="27432" tIns="18288" rIns="0" bIns="0" anchor="ctr" upright="1"/>
        <a:lstStyle/>
        <a:p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【例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9-1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】有一个贷款投资项目，当年投资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21000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元，第一年增加投资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27000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元，第二年可以收回投资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78000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元，那么，（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）该项目的内部报酬率和净现值是多少？（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）请验证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IRR()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函数算出的收益率是净现值为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时的贴现率；（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）如果银行贷款利率为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15%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，求出该贷款投资项目的净现值，以及第二年末的贷款余额，并验证第二年末的贷款余额的现值就是净现值。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>
      <selection activeCell="D18" sqref="D18"/>
    </sheetView>
  </sheetViews>
  <sheetFormatPr defaultRowHeight="12" x14ac:dyDescent="0.15"/>
  <sheetData/>
  <phoneticPr fontId="1" type="noConversion"/>
  <pageMargins left="0.75" right="0.75" top="1" bottom="1" header="0.5" footer="0.5"/>
  <pageSetup paperSize="9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showGridLines="0" tabSelected="1" zoomScaleNormal="100" workbookViewId="0">
      <selection activeCell="E23" sqref="E23"/>
    </sheetView>
  </sheetViews>
  <sheetFormatPr defaultColWidth="8.88671875" defaultRowHeight="13.2" customHeight="1" x14ac:dyDescent="0.15"/>
  <cols>
    <col min="1" max="1" width="3" style="6" customWidth="1"/>
    <col min="2" max="2" width="17.44140625" style="6" bestFit="1" customWidth="1"/>
    <col min="3" max="4" width="10.5546875" style="6" bestFit="1" customWidth="1"/>
    <col min="5" max="5" width="11.5546875" style="6" bestFit="1" customWidth="1"/>
    <col min="6" max="6" width="2.44140625" style="6" customWidth="1"/>
    <col min="7" max="7" width="8.88671875" style="6"/>
    <col min="8" max="8" width="11.44140625" style="6" bestFit="1" customWidth="1"/>
    <col min="9" max="16384" width="8.88671875" style="6"/>
  </cols>
  <sheetData>
    <row r="1" spans="1:8" ht="13.2" customHeight="1" x14ac:dyDescent="0.15">
      <c r="A1" s="8"/>
    </row>
    <row r="2" spans="1:8" ht="13.2" customHeight="1" x14ac:dyDescent="0.15">
      <c r="A2" s="8"/>
      <c r="B2" s="21" t="s">
        <v>7</v>
      </c>
      <c r="C2" s="23" t="s">
        <v>0</v>
      </c>
      <c r="D2" s="24"/>
      <c r="E2" s="25"/>
    </row>
    <row r="3" spans="1:8" ht="13.2" customHeight="1" x14ac:dyDescent="0.15">
      <c r="A3" s="8"/>
      <c r="B3" s="22"/>
      <c r="C3" s="1" t="s">
        <v>11</v>
      </c>
      <c r="D3" s="1" t="s">
        <v>12</v>
      </c>
      <c r="E3" s="1" t="s">
        <v>13</v>
      </c>
    </row>
    <row r="4" spans="1:8" ht="13.2" customHeight="1" thickBot="1" x14ac:dyDescent="0.2">
      <c r="A4" s="8"/>
      <c r="B4" s="2" t="s">
        <v>1</v>
      </c>
      <c r="C4" s="18">
        <v>-21000</v>
      </c>
      <c r="D4" s="10">
        <v>-27000</v>
      </c>
      <c r="E4" s="10">
        <v>78000</v>
      </c>
    </row>
    <row r="5" spans="1:8" ht="13.2" customHeight="1" thickTop="1" x14ac:dyDescent="0.15">
      <c r="A5" s="8"/>
      <c r="B5" s="3" t="s">
        <v>4</v>
      </c>
      <c r="C5" s="19"/>
      <c r="D5" s="16">
        <f>C8</f>
        <v>-21000</v>
      </c>
      <c r="E5" s="14">
        <f>D8</f>
        <v>-56164.38795998368</v>
      </c>
    </row>
    <row r="6" spans="1:8" ht="13.2" customHeight="1" x14ac:dyDescent="0.15">
      <c r="B6" s="5" t="s">
        <v>2</v>
      </c>
      <c r="C6" s="20"/>
      <c r="D6" s="17">
        <f>D4</f>
        <v>-27000</v>
      </c>
      <c r="E6" s="15">
        <f>E4</f>
        <v>78000</v>
      </c>
    </row>
    <row r="7" spans="1:8" ht="13.2" customHeight="1" x14ac:dyDescent="0.15">
      <c r="B7" s="5" t="s">
        <v>3</v>
      </c>
      <c r="C7" s="4"/>
      <c r="D7" s="17">
        <f>C8*$C$10</f>
        <v>-8164.3879599836782</v>
      </c>
      <c r="E7" s="15">
        <f>D8*$C$10</f>
        <v>-21835.612040016335</v>
      </c>
    </row>
    <row r="8" spans="1:8" ht="13.2" customHeight="1" x14ac:dyDescent="0.15">
      <c r="B8" s="3" t="s">
        <v>5</v>
      </c>
      <c r="C8" s="14">
        <f>C4</f>
        <v>-21000</v>
      </c>
      <c r="D8" s="15">
        <f>SUM(D5:D7)</f>
        <v>-56164.38795998368</v>
      </c>
      <c r="E8" s="15">
        <f>SUM(E5:E7)</f>
        <v>0</v>
      </c>
    </row>
    <row r="9" spans="1:8" ht="5.25" customHeight="1" x14ac:dyDescent="0.15"/>
    <row r="10" spans="1:8" ht="13.2" customHeight="1" x14ac:dyDescent="0.15">
      <c r="B10" s="7" t="s">
        <v>6</v>
      </c>
      <c r="C10" s="12">
        <f>IRR(C4:E4)</f>
        <v>0.38878037904684182</v>
      </c>
      <c r="D10" s="1" t="s">
        <v>9</v>
      </c>
      <c r="E10" s="13">
        <f>NPV(C10,D4:E4)+C4</f>
        <v>0</v>
      </c>
    </row>
    <row r="11" spans="1:8" ht="4.5" customHeight="1" x14ac:dyDescent="0.15"/>
    <row r="12" spans="1:8" ht="2.25" customHeight="1" x14ac:dyDescent="0.15"/>
    <row r="13" spans="1:8" ht="4.5" customHeight="1" x14ac:dyDescent="0.15"/>
    <row r="14" spans="1:8" ht="13.2" customHeight="1" x14ac:dyDescent="0.15">
      <c r="B14" s="21" t="s">
        <v>7</v>
      </c>
      <c r="C14" s="23" t="s">
        <v>0</v>
      </c>
      <c r="D14" s="24"/>
      <c r="E14" s="25"/>
    </row>
    <row r="15" spans="1:8" ht="13.2" customHeight="1" x14ac:dyDescent="0.15">
      <c r="B15" s="22"/>
      <c r="C15" s="1" t="s">
        <v>11</v>
      </c>
      <c r="D15" s="1" t="s">
        <v>12</v>
      </c>
      <c r="E15" s="1" t="s">
        <v>13</v>
      </c>
    </row>
    <row r="16" spans="1:8" ht="13.2" customHeight="1" thickBot="1" x14ac:dyDescent="0.2">
      <c r="B16" s="2" t="s">
        <v>1</v>
      </c>
      <c r="C16" s="18">
        <v>-21000</v>
      </c>
      <c r="D16" s="10">
        <v>-27000</v>
      </c>
      <c r="E16" s="10">
        <v>78000</v>
      </c>
      <c r="H16" s="9"/>
    </row>
    <row r="17" spans="2:8" ht="13.2" customHeight="1" thickTop="1" x14ac:dyDescent="0.15">
      <c r="B17" s="3" t="s">
        <v>4</v>
      </c>
      <c r="C17" s="19"/>
      <c r="D17" s="16">
        <f>C20</f>
        <v>-21000</v>
      </c>
      <c r="E17" s="14">
        <f>D20</f>
        <v>-51150</v>
      </c>
      <c r="H17" s="9"/>
    </row>
    <row r="18" spans="2:8" ht="13.2" customHeight="1" x14ac:dyDescent="0.15">
      <c r="B18" s="5" t="s">
        <v>2</v>
      </c>
      <c r="C18" s="20"/>
      <c r="D18" s="17">
        <f>D16</f>
        <v>-27000</v>
      </c>
      <c r="E18" s="15">
        <f>E16</f>
        <v>78000</v>
      </c>
    </row>
    <row r="19" spans="2:8" ht="13.2" customHeight="1" x14ac:dyDescent="0.15">
      <c r="B19" s="5" t="s">
        <v>3</v>
      </c>
      <c r="C19" s="4"/>
      <c r="D19" s="17">
        <f>C20*$C$22</f>
        <v>-3150</v>
      </c>
      <c r="E19" s="15">
        <f>D20*$C$22</f>
        <v>-7672.5</v>
      </c>
    </row>
    <row r="20" spans="2:8" ht="13.2" customHeight="1" x14ac:dyDescent="0.15">
      <c r="B20" s="3" t="s">
        <v>5</v>
      </c>
      <c r="C20" s="14">
        <f>C16</f>
        <v>-21000</v>
      </c>
      <c r="D20" s="15">
        <f>SUM(D17:D19)</f>
        <v>-51150</v>
      </c>
      <c r="E20" s="15">
        <f>SUM(E17:E19)</f>
        <v>19177.5</v>
      </c>
    </row>
    <row r="22" spans="2:8" ht="13.2" customHeight="1" x14ac:dyDescent="0.15">
      <c r="B22" s="7" t="s">
        <v>8</v>
      </c>
      <c r="C22" s="11">
        <v>0.15</v>
      </c>
      <c r="D22" s="1" t="s">
        <v>9</v>
      </c>
      <c r="E22" s="13">
        <f>NPV(C22,D16:E16)+C16</f>
        <v>14500.945179584131</v>
      </c>
    </row>
    <row r="23" spans="2:8" ht="13.2" customHeight="1" x14ac:dyDescent="0.15">
      <c r="D23" s="1" t="s">
        <v>10</v>
      </c>
      <c r="E23" s="13">
        <f>E20/(1+C22)^2</f>
        <v>14500.945179584123</v>
      </c>
    </row>
    <row r="26" spans="2:8" ht="13.2" customHeight="1" x14ac:dyDescent="0.15">
      <c r="D26" s="8"/>
      <c r="E26" s="8"/>
    </row>
  </sheetData>
  <mergeCells count="4">
    <mergeCell ref="B2:B3"/>
    <mergeCell ref="C2:E2"/>
    <mergeCell ref="B14:B15"/>
    <mergeCell ref="C14:E14"/>
  </mergeCells>
  <phoneticPr fontId="2" type="noConversion"/>
  <printOptions headings="1"/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例9-1</vt:lpstr>
      <vt:lpstr>内部报酬率计算模型</vt:lpstr>
    </vt:vector>
  </TitlesOfParts>
  <Company>SUFE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Xingde Wang</dc:creator>
  <cp:lastModifiedBy>yuan chen</cp:lastModifiedBy>
  <cp:lastPrinted>2019-09-11T06:32:53Z</cp:lastPrinted>
  <dcterms:created xsi:type="dcterms:W3CDTF">2000-03-26T02:04:55Z</dcterms:created>
  <dcterms:modified xsi:type="dcterms:W3CDTF">2024-05-12T14:03:50Z</dcterms:modified>
</cp:coreProperties>
</file>