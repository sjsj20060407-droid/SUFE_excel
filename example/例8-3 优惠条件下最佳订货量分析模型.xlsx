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76CFD022-8568-44D6-B6F3-6A1F501E87F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例8-3" sheetId="19756" r:id="rId1"/>
    <sheet name="优惠条件下最佳订货量分析模型" sheetId="19760" r:id="rId2"/>
    <sheet name="优惠条件下最佳订货量分析图形" sheetId="3105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9760" l="1"/>
  <c r="J19" i="19760"/>
  <c r="I19" i="19760"/>
  <c r="J16" i="19760"/>
  <c r="I16" i="19760"/>
  <c r="C10" i="19760"/>
  <c r="C9" i="19760"/>
  <c r="C7" i="19760"/>
  <c r="C11" i="19760" s="1"/>
  <c r="C17" i="19760"/>
  <c r="C16" i="19760"/>
  <c r="C15" i="19760"/>
  <c r="C14" i="19760"/>
  <c r="C12" i="19760" l="1"/>
  <c r="J3" i="19760" s="1"/>
  <c r="F12" i="19760"/>
  <c r="F11" i="19760" s="1"/>
  <c r="G3" i="19760" l="1"/>
  <c r="G16" i="19760"/>
  <c r="G17" i="19760" s="1"/>
  <c r="F2" i="19760"/>
  <c r="G2" i="19760"/>
  <c r="B20" i="19760" l="1"/>
  <c r="B21" i="19760" l="1"/>
</calcChain>
</file>

<file path=xl/sharedStrings.xml><?xml version="1.0" encoding="utf-8"?>
<sst xmlns="http://schemas.openxmlformats.org/spreadsheetml/2006/main" count="20" uniqueCount="20">
  <si>
    <t>订货量</t>
    <phoneticPr fontId="1" type="noConversion"/>
  </si>
  <si>
    <t>年需求量</t>
    <phoneticPr fontId="1" type="noConversion"/>
  </si>
  <si>
    <t>单位年储存成本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</si>
  <si>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</si>
  <si>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</si>
  <si>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</si>
  <si>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折扣阈限值</t>
    <phoneticPr fontId="1" type="noConversion"/>
  </si>
  <si>
    <t>单次订货成本</t>
    <phoneticPr fontId="1" type="noConversion"/>
  </si>
  <si>
    <t>节约的年采购成本</t>
    <phoneticPr fontId="1" type="noConversion"/>
  </si>
  <si>
    <t>最佳选择水平参考线</t>
    <phoneticPr fontId="1" type="noConversion"/>
  </si>
  <si>
    <t xml:space="preserve">折扣点年总成本 </t>
    <phoneticPr fontId="1" type="noConversion"/>
  </si>
  <si>
    <t>经济订货量参考点</t>
    <phoneticPr fontId="1" type="noConversion"/>
  </si>
  <si>
    <t>折扣阈限值参考点</t>
    <phoneticPr fontId="1" type="noConversion"/>
  </si>
  <si>
    <t>决策结论：</t>
    <phoneticPr fontId="1" type="noConversion"/>
  </si>
  <si>
    <r>
      <t>采购单价可以扣减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件</t>
    </r>
    <r>
      <rPr>
        <sz val="11"/>
        <rFont val="Times New Roman"/>
        <family val="1"/>
      </rPr>
      <t>)</t>
    </r>
    <phoneticPr fontId="1" type="noConversion"/>
  </si>
  <si>
    <r>
      <t>采购单价实际扣减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件</t>
    </r>
    <r>
      <rPr>
        <sz val="11"/>
        <rFont val="Times New Roman"/>
        <family val="1"/>
      </rPr>
      <t>)</t>
    </r>
    <phoneticPr fontId="1" type="noConversion"/>
  </si>
  <si>
    <r>
      <t>经济订货量</t>
    </r>
    <r>
      <rPr>
        <sz val="11"/>
        <rFont val="Times New Roman"/>
        <family val="1"/>
      </rPr>
      <t>(EOQ)</t>
    </r>
    <phoneticPr fontId="1" type="noConversion"/>
  </si>
  <si>
    <r>
      <t>EOQ</t>
    </r>
    <r>
      <rPr>
        <sz val="11"/>
        <rFont val="宋体"/>
        <family val="3"/>
        <charset val="134"/>
      </rPr>
      <t>下的年订货成本</t>
    </r>
    <phoneticPr fontId="1" type="noConversion"/>
  </si>
  <si>
    <r>
      <t>EOQ</t>
    </r>
    <r>
      <rPr>
        <sz val="11"/>
        <rFont val="宋体"/>
        <family val="3"/>
        <charset val="134"/>
      </rPr>
      <t>下的年储存成本</t>
    </r>
    <phoneticPr fontId="1" type="noConversion"/>
  </si>
  <si>
    <r>
      <t>EOQ</t>
    </r>
    <r>
      <rPr>
        <sz val="11"/>
        <rFont val="宋体"/>
        <family val="3"/>
        <charset val="134"/>
      </rPr>
      <t>下的年总成本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</si>
</sst>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indexed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177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76" fontId="3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优惠条件下最佳订货量分析模型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755371033166308"/>
          <c:y val="0.20545779816355639"/>
          <c:w val="0.78991580486828772"/>
          <c:h val="0.63507936991245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优惠条件下最佳订货量分析模型!$G$2</c:f>
              <c:strCache>
                <c:ptCount val="1"/>
                <c:pt idx="0">
                  <c:v>年总成本</c:v>
                </c:pt>
              </c:strCache>
            </c:strRef>
          </c:tx>
          <c:marker>
            <c:symbol val="none"/>
          </c:marker>
          <c:xVal>
            <c:numRef>
              <c:f>优惠条件下最佳订货量分析模型!$F$4:$F$13</c:f>
              <c:numCache>
                <c:formatCode>0</c:formatCode>
                <c:ptCount val="1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999.99990000000003</c:v>
                </c:pt>
                <c:pt idx="8">
                  <c:v>1000</c:v>
                </c:pt>
                <c:pt idx="9">
                  <c:v>2000</c:v>
                </c:pt>
              </c:numCache>
            </c:numRef>
          </c:xVal>
          <c:yVal>
            <c:numRef>
              <c:f>优惠条件下最佳订货量分析模型!$G$4:$G$13</c:f>
              <c:numCache>
                <c:formatCode>0</c:formatCode>
                <c:ptCount val="10"/>
                <c:pt idx="0">
                  <c:v>40500</c:v>
                </c:pt>
                <c:pt idx="1">
                  <c:v>29500</c:v>
                </c:pt>
                <c:pt idx="2">
                  <c:v>24750</c:v>
                </c:pt>
                <c:pt idx="3">
                  <c:v>22500</c:v>
                </c:pt>
                <c:pt idx="4">
                  <c:v>21500</c:v>
                </c:pt>
                <c:pt idx="5">
                  <c:v>21214.285714285714</c:v>
                </c:pt>
                <c:pt idx="6">
                  <c:v>21375</c:v>
                </c:pt>
                <c:pt idx="7">
                  <c:v>22499.999250000074</c:v>
                </c:pt>
                <c:pt idx="8">
                  <c:v>19500</c:v>
                </c:pt>
                <c:pt idx="9">
                  <c:v>30750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3-4935-BF77-F9941E72EB85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8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优惠条件下最佳订货量分析模型!$I$4:$I$12</c:f>
              <c:numCache>
                <c:formatCode>General</c:formatCode>
                <c:ptCount val="9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</c:numCache>
            </c:numRef>
          </c:xVal>
          <c:yVal>
            <c:numRef>
              <c:f>优惠条件下最佳订货量分析模型!$J$4:$J$12</c:f>
              <c:numCache>
                <c:formatCode>0</c:formatCode>
                <c:ptCount val="9"/>
                <c:pt idx="0">
                  <c:v>19500</c:v>
                </c:pt>
                <c:pt idx="1">
                  <c:v>19500</c:v>
                </c:pt>
                <c:pt idx="2">
                  <c:v>19500</c:v>
                </c:pt>
                <c:pt idx="3">
                  <c:v>19500</c:v>
                </c:pt>
                <c:pt idx="4">
                  <c:v>19500</c:v>
                </c:pt>
                <c:pt idx="5">
                  <c:v>19500</c:v>
                </c:pt>
                <c:pt idx="6">
                  <c:v>19500</c:v>
                </c:pt>
                <c:pt idx="7">
                  <c:v>19500</c:v>
                </c:pt>
                <c:pt idx="8">
                  <c:v>19500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3-4935-BF77-F9941E72EB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优惠条件下最佳订货量分析模型!$F$16:$F$18</c:f>
              <c:numCache>
                <c:formatCode>0</c:formatCode>
                <c:ptCount val="3"/>
                <c:pt idx="0">
                  <c:v>200</c:v>
                </c:pt>
                <c:pt idx="1">
                  <c:v>2000</c:v>
                </c:pt>
              </c:numCache>
            </c:numRef>
          </c:xVal>
          <c:yVal>
            <c:numRef>
              <c:f>优惠条件下最佳订货量分析模型!$G$16:$G$18</c:f>
              <c:numCache>
                <c:formatCode>0</c:formatCode>
                <c:ptCount val="3"/>
                <c:pt idx="0">
                  <c:v>19500</c:v>
                </c:pt>
                <c:pt idx="1">
                  <c:v>19500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63-4935-BF77-F9941E72EB85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triangle"/>
            <c:size val="10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dPt>
            <c:idx val="0"/>
            <c:marker>
              <c:symbol val="diamond"/>
              <c:size val="10"/>
              <c:spPr>
                <a:solidFill>
                  <a:srgbClr val="C00000"/>
                </a:solidFill>
                <a:ln>
                  <a:solidFill>
                    <a:srgbClr val="C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863-4935-BF77-F9941E72EB85}"/>
              </c:ext>
            </c:extLst>
          </c:dPt>
          <c:xVal>
            <c:numRef>
              <c:f>优惠条件下最佳订货量分析模型!$I$19</c:f>
              <c:numCache>
                <c:formatCode>0</c:formatCode>
                <c:ptCount val="1"/>
                <c:pt idx="0">
                  <c:v>1000</c:v>
                </c:pt>
              </c:numCache>
            </c:numRef>
          </c:xVal>
          <c:yVal>
            <c:numRef>
              <c:f>优惠条件下最佳订货量分析模型!$J$19</c:f>
              <c:numCache>
                <c:formatCode>0</c:formatCode>
                <c:ptCount val="1"/>
                <c:pt idx="0">
                  <c:v>19500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63-4935-BF77-F9941E72EB85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diamond"/>
            <c:size val="10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dPt>
            <c:idx val="0"/>
            <c:marker>
              <c:spPr>
                <a:solidFill>
                  <a:srgbClr val="C00000"/>
                </a:solidFill>
                <a:ln>
                  <a:solidFill>
                    <a:srgbClr val="C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863-4935-BF77-F9941E72EB85}"/>
              </c:ext>
            </c:extLst>
          </c:dPt>
          <c:xVal>
            <c:numRef>
              <c:f>优惠条件下最佳订货量分析模型!$I$16</c:f>
              <c:numCache>
                <c:formatCode>0</c:formatCode>
                <c:ptCount val="1"/>
                <c:pt idx="0">
                  <c:v>707.10678118654755</c:v>
                </c:pt>
              </c:numCache>
            </c:numRef>
          </c:xVal>
          <c:yVal>
            <c:numRef>
              <c:f>优惠条件下最佳订货量分析模型!$J$16</c:f>
              <c:numCache>
                <c:formatCode>0</c:formatCode>
                <c:ptCount val="1"/>
                <c:pt idx="0">
                  <c:v>21213.203435596428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63-4935-BF77-F9941E72EB85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squar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优惠条件下最佳订货量分析模型!$F$17</c:f>
              <c:numCache>
                <c:formatCode>0</c:formatCode>
                <c:ptCount val="1"/>
                <c:pt idx="0">
                  <c:v>2000</c:v>
                </c:pt>
              </c:numCache>
            </c:numRef>
          </c:xVal>
          <c:yVal>
            <c:numRef>
              <c:f>优惠条件下最佳订货量分析模型!$G$17</c:f>
              <c:numCache>
                <c:formatCode>0</c:formatCode>
                <c:ptCount val="1"/>
                <c:pt idx="0">
                  <c:v>19500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63-4935-BF77-F9941E72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52320"/>
        <c:axId val="129552896"/>
      </c:scatterChart>
      <c:valAx>
        <c:axId val="129552320"/>
        <c:scaling>
          <c:orientation val="minMax"/>
          <c:max val="20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zh-CN" altLang="en-US" sz="1100"/>
                  <a:t>订货量</a:t>
                </a:r>
              </a:p>
            </c:rich>
          </c:tx>
          <c:layout>
            <c:manualLayout>
              <c:xMode val="edge"/>
              <c:yMode val="edge"/>
              <c:x val="0.4830055779424921"/>
              <c:y val="0.91653908000875539"/>
            </c:manualLayout>
          </c:layout>
          <c:overlay val="0"/>
        </c:title>
        <c:numFmt formatCode="0" sourceLinked="1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9552896"/>
        <c:crosses val="autoZero"/>
        <c:crossBetween val="midCat"/>
        <c:majorUnit val="200"/>
      </c:valAx>
      <c:valAx>
        <c:axId val="129552896"/>
        <c:scaling>
          <c:orientation val="minMax"/>
          <c:max val="32000"/>
          <c:min val="1800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/>
                </a:pPr>
                <a:r>
                  <a:rPr lang="zh-CN" altLang="en-US" sz="1100"/>
                  <a:t>年总成本</a:t>
                </a:r>
              </a:p>
            </c:rich>
          </c:tx>
          <c:layout>
            <c:manualLayout>
              <c:xMode val="edge"/>
              <c:yMode val="edge"/>
              <c:x val="1.6916423876950623E-2"/>
              <c:y val="0.43285370324942385"/>
            </c:manualLayout>
          </c:layout>
          <c:overlay val="0"/>
        </c:title>
        <c:numFmt formatCode="#,##0_);[Red]\(#,##0\)" sourceLinked="0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9552320"/>
        <c:crosses val="autoZero"/>
        <c:crossBetween val="midCat"/>
        <c:majorUnit val="2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优惠条件下最佳订货量分析模型!$C$3" inc="100" max="1800" min="1000" page="10" val="10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638174</xdr:colOff>
      <xdr:row>0</xdr:row>
      <xdr:rowOff>114301</xdr:rowOff>
    </xdr:from>
    <xdr:to>
      <xdr:col>8</xdr:col>
      <xdr:colOff>571499</xdr:colOff>
      <xdr:row>24</xdr:row>
      <xdr:rowOff>120650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38174" y="114301"/>
          <a:ext cx="5419725" cy="3892549"/>
          <a:chOff x="638174" y="114301"/>
          <a:chExt cx="5419725" cy="3511707"/>
        </a:xfrm>
      </xdr:grpSpPr>
      <xdr:sp macro="" textlink="">
        <xdr:nvSpPr>
          <xdr:cNvPr id="8194" name="Text Box 2">
            <a:extLst>
              <a:ext uri="{FF2B5EF4-FFF2-40B4-BE49-F238E27FC236}">
                <a16:creationId xmlns:a16="http://schemas.microsoft.com/office/drawing/2014/main" id="{00000000-0008-0000-00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174" y="114301"/>
            <a:ext cx="5419725" cy="3511707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【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例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8-3】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某企业全年需耗用一种部件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15000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个，每次订货成本为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500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元，单个部件储存一年的成本为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30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元，目前企业按照经济订货量订货。部件的供应商对超过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1000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个的订货量给予价格优惠，在原采购单价上扣减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0.2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元。那么，库存管理员需要判断：按折扣阈限值订货是否比按经济订货量订货更有利。</a:t>
            </a:r>
          </a:p>
          <a:p>
            <a:pPr algn="l" rtl="0">
              <a:lnSpc>
                <a:spcPts val="1200"/>
              </a:lnSpc>
              <a:defRPr sz="1000"/>
            </a:pPr>
            <a:endParaRPr lang="zh-CN" altLang="en-US" sz="1000" b="0" i="0" strike="noStrike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7550" y="791920"/>
            <a:ext cx="5248275" cy="2752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657412</xdr:colOff>
      <xdr:row>2</xdr:row>
      <xdr:rowOff>37353</xdr:rowOff>
    </xdr:from>
    <xdr:to>
      <xdr:col>9</xdr:col>
      <xdr:colOff>440765</xdr:colOff>
      <xdr:row>20</xdr:row>
      <xdr:rowOff>114300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657412" y="361203"/>
          <a:ext cx="5817441" cy="2991597"/>
          <a:chOff x="685800" y="304800"/>
          <a:chExt cx="5238750" cy="2743200"/>
        </a:xfrm>
      </xdr:grpSpPr>
      <xdr:graphicFrame macro="">
        <xdr:nvGraphicFramePr>
          <xdr:cNvPr id="6" name="图表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aphicFramePr>
            <a:graphicFrameLocks/>
          </xdr:cNvGraphicFramePr>
        </xdr:nvGraphicFramePr>
        <xdr:xfrm>
          <a:off x="685800" y="304800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优惠条件下最佳订货量分析模型!B20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 txBox="1"/>
        </xdr:nvSpPr>
        <xdr:spPr>
          <a:xfrm>
            <a:off x="2168891" y="630573"/>
            <a:ext cx="12477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1D527FE-63A5-4D69-B24D-C4B736969FA1}" type="TxLink">
              <a:rPr lang="zh-CN" altLang="en-US" sz="1100"/>
              <a:pPr algn="ctr"/>
              <a:t>折扣阈限值=1000</a:t>
            </a:fld>
            <a:endParaRPr lang="zh-CN" altLang="en-US" sz="1100"/>
          </a:p>
        </xdr:txBody>
      </xdr:sp>
      <xdr:sp macro="" textlink="优惠条件下最佳订货量分析模型!B21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3565891" y="630571"/>
            <a:ext cx="1310909" cy="238125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9AAE71E-9EA8-431C-BD26-E6E7659FCA5A}" type="TxLink">
              <a:rPr lang="zh-CN" altLang="en-US" sz="1100"/>
              <a:pPr algn="ctr"/>
              <a:t>按折扣阈限值订货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9227" name="Spinner 11" hidden="1">
                <a:extLst>
                  <a:ext uri="{63B3BB69-23CF-44E3-9099-C40C66FF867C}">
                    <a14:compatExt spid="_x0000_s9227"/>
                  </a:ext>
                  <a:ext uri="{FF2B5EF4-FFF2-40B4-BE49-F238E27FC236}">
                    <a16:creationId xmlns:a16="http://schemas.microsoft.com/office/drawing/2014/main" id="{00000000-0008-0000-0200-00000B240000}"/>
                  </a:ext>
                </a:extLst>
              </xdr:cNvPr>
              <xdr:cNvSpPr/>
            </xdr:nvSpPr>
            <xdr:spPr bwMode="auto">
              <a:xfrm>
                <a:off x="1932598" y="626932"/>
                <a:ext cx="238125" cy="20178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1"/>
  <sheetViews>
    <sheetView showGridLines="0" workbookViewId="0"/>
  </sheetViews>
  <sheetFormatPr defaultColWidth="9" defaultRowHeight="12.75" x14ac:dyDescent="0.3"/>
  <cols>
    <col min="1" max="16384" width="9" style="1"/>
  </cols>
  <sheetData>
    <row r="31" spans="10:10" ht="13.5" x14ac:dyDescent="0.3">
      <c r="J31" s="2"/>
    </row>
  </sheetData>
  <phoneticPr fontId="1" type="noConversion"/>
  <pageMargins left="0.75" right="0.75" top="1" bottom="1" header="0.5" footer="0.5"/>
  <pageSetup paperSize="9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showGridLines="0" tabSelected="1" zoomScale="102" zoomScaleNormal="102" workbookViewId="0">
      <selection activeCell="K8" sqref="K8"/>
    </sheetView>
  </sheetViews>
  <sheetFormatPr defaultColWidth="9" defaultRowHeight="13.5" x14ac:dyDescent="0.4"/>
  <cols>
    <col min="1" max="1" width="1.6875" style="4" customWidth="1"/>
    <col min="2" max="2" width="20.75" style="4" customWidth="1"/>
    <col min="3" max="3" width="7.25" style="4" customWidth="1"/>
    <col min="4" max="4" width="1.8125" style="4" customWidth="1"/>
    <col min="5" max="5" width="0.6875" style="4" customWidth="1"/>
    <col min="6" max="6" width="6.9375" style="4" customWidth="1"/>
    <col min="7" max="7" width="8.3125" style="4" customWidth="1"/>
    <col min="8" max="8" width="1.9375" style="4" customWidth="1"/>
    <col min="9" max="9" width="5.5625" style="4" bestFit="1" customWidth="1"/>
    <col min="10" max="10" width="8.6875" style="4" customWidth="1"/>
    <col min="11" max="11" width="7.6875" style="4" customWidth="1"/>
    <col min="12" max="16384" width="9" style="4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3.9" x14ac:dyDescent="0.4">
      <c r="A2" s="3"/>
      <c r="B2" s="18" t="s">
        <v>14</v>
      </c>
      <c r="C2" s="16">
        <v>0.2</v>
      </c>
      <c r="D2" s="3"/>
      <c r="E2" s="3"/>
      <c r="F2" s="6" t="str">
        <f>B8</f>
        <v>订货量</v>
      </c>
      <c r="G2" s="6" t="str">
        <f>B12</f>
        <v>年总成本</v>
      </c>
      <c r="H2" s="3"/>
      <c r="I2" s="7" t="s">
        <v>10</v>
      </c>
      <c r="K2" s="3"/>
      <c r="L2" s="3"/>
    </row>
    <row r="3" spans="1:12" x14ac:dyDescent="0.4">
      <c r="A3" s="3"/>
      <c r="B3" s="18" t="s">
        <v>6</v>
      </c>
      <c r="C3" s="17">
        <v>1000</v>
      </c>
      <c r="D3" s="9"/>
      <c r="E3" s="9"/>
      <c r="F3" s="3"/>
      <c r="G3" s="23">
        <f>C12</f>
        <v>19500</v>
      </c>
      <c r="H3" s="3"/>
      <c r="I3" s="6"/>
      <c r="J3" s="23">
        <f>C12</f>
        <v>19500</v>
      </c>
      <c r="K3" s="3"/>
    </row>
    <row r="4" spans="1:12" x14ac:dyDescent="0.4">
      <c r="A4" s="3"/>
      <c r="B4" s="18" t="s">
        <v>1</v>
      </c>
      <c r="C4" s="17">
        <v>15000</v>
      </c>
      <c r="D4" s="9"/>
      <c r="E4" s="9"/>
      <c r="F4" s="20">
        <v>200</v>
      </c>
      <c r="G4" s="24">
        <f t="dataTable" ref="G4:G13" dt2D="0" dtr="0" r1="C8"/>
        <v>40500</v>
      </c>
      <c r="H4" s="3"/>
      <c r="I4" s="21">
        <v>1000</v>
      </c>
      <c r="J4" s="24">
        <f t="dataTable" ref="J4:J12" dt2D="0" dtr="0" r1="C8"/>
        <v>19500</v>
      </c>
      <c r="K4" s="3"/>
    </row>
    <row r="5" spans="1:12" x14ac:dyDescent="0.4">
      <c r="A5" s="3"/>
      <c r="B5" s="18" t="s">
        <v>7</v>
      </c>
      <c r="C5" s="17">
        <v>500</v>
      </c>
      <c r="D5" s="3"/>
      <c r="E5" s="3"/>
      <c r="F5" s="20">
        <v>300</v>
      </c>
      <c r="G5" s="24">
        <v>29500</v>
      </c>
      <c r="H5" s="3"/>
      <c r="I5" s="21">
        <v>1100</v>
      </c>
      <c r="J5" s="24">
        <v>19500</v>
      </c>
      <c r="K5" s="3"/>
    </row>
    <row r="6" spans="1:12" x14ac:dyDescent="0.4">
      <c r="A6" s="3"/>
      <c r="B6" s="18" t="s">
        <v>2</v>
      </c>
      <c r="C6" s="17">
        <v>30</v>
      </c>
      <c r="D6" s="3"/>
      <c r="E6" s="3"/>
      <c r="F6" s="20">
        <v>400</v>
      </c>
      <c r="G6" s="24">
        <v>24750</v>
      </c>
      <c r="H6" s="3"/>
      <c r="I6" s="21">
        <v>1200</v>
      </c>
      <c r="J6" s="24">
        <v>19500</v>
      </c>
      <c r="K6" s="3"/>
    </row>
    <row r="7" spans="1:12" ht="13.9" x14ac:dyDescent="0.4">
      <c r="A7" s="3"/>
      <c r="B7" s="18" t="s">
        <v>15</v>
      </c>
      <c r="C7" s="14">
        <f>IF(C8&gt;=C3,C2,0)</f>
        <v>0.2</v>
      </c>
      <c r="D7" s="3"/>
      <c r="E7" s="3"/>
      <c r="F7" s="20">
        <v>500</v>
      </c>
      <c r="G7" s="24">
        <v>22500</v>
      </c>
      <c r="H7" s="3"/>
      <c r="I7" s="21">
        <v>1300</v>
      </c>
      <c r="J7" s="24">
        <v>19500</v>
      </c>
      <c r="K7" s="3"/>
    </row>
    <row r="8" spans="1:12" x14ac:dyDescent="0.4">
      <c r="A8" s="3"/>
      <c r="B8" s="18" t="s">
        <v>0</v>
      </c>
      <c r="C8" s="8">
        <f>C3</f>
        <v>1000</v>
      </c>
      <c r="D8" s="3"/>
      <c r="E8" s="3"/>
      <c r="F8" s="20">
        <v>600</v>
      </c>
      <c r="G8" s="24">
        <v>21500</v>
      </c>
      <c r="H8" s="3"/>
      <c r="I8" s="21">
        <v>1400</v>
      </c>
      <c r="J8" s="24">
        <v>19500</v>
      </c>
      <c r="K8" s="3"/>
    </row>
    <row r="9" spans="1:12" x14ac:dyDescent="0.4">
      <c r="A9" s="3"/>
      <c r="B9" s="18" t="s">
        <v>3</v>
      </c>
      <c r="C9" s="15">
        <f>C4/C8*C5</f>
        <v>7500</v>
      </c>
      <c r="D9" s="3"/>
      <c r="E9" s="3"/>
      <c r="F9" s="20">
        <v>700</v>
      </c>
      <c r="G9" s="24">
        <v>21214.285714285714</v>
      </c>
      <c r="H9" s="3"/>
      <c r="I9" s="21">
        <v>1500</v>
      </c>
      <c r="J9" s="24">
        <v>19500</v>
      </c>
      <c r="K9" s="3"/>
    </row>
    <row r="10" spans="1:12" x14ac:dyDescent="0.4">
      <c r="A10" s="3"/>
      <c r="B10" s="18" t="s">
        <v>4</v>
      </c>
      <c r="C10" s="15">
        <f>C8/2*C6</f>
        <v>15000</v>
      </c>
      <c r="D10" s="3"/>
      <c r="E10" s="3"/>
      <c r="F10" s="20">
        <v>800</v>
      </c>
      <c r="G10" s="24">
        <v>21375</v>
      </c>
      <c r="H10" s="3"/>
      <c r="I10" s="21">
        <v>1600</v>
      </c>
      <c r="J10" s="24">
        <v>19500</v>
      </c>
      <c r="K10" s="3"/>
    </row>
    <row r="11" spans="1:12" x14ac:dyDescent="0.4">
      <c r="A11" s="3"/>
      <c r="B11" s="18" t="s">
        <v>8</v>
      </c>
      <c r="C11" s="15">
        <f>C7*C4</f>
        <v>3000</v>
      </c>
      <c r="D11" s="3"/>
      <c r="E11" s="3"/>
      <c r="F11" s="20">
        <f>F12-0.0001</f>
        <v>999.99990000000003</v>
      </c>
      <c r="G11" s="24">
        <v>22499.999250000074</v>
      </c>
      <c r="H11" s="3"/>
      <c r="I11" s="21">
        <v>1700</v>
      </c>
      <c r="J11" s="24">
        <v>19500</v>
      </c>
      <c r="K11" s="3"/>
    </row>
    <row r="12" spans="1:12" x14ac:dyDescent="0.4">
      <c r="A12" s="3"/>
      <c r="B12" s="18" t="s">
        <v>5</v>
      </c>
      <c r="C12" s="22">
        <f>C9+C10-C11</f>
        <v>19500</v>
      </c>
      <c r="D12" s="3"/>
      <c r="E12" s="3"/>
      <c r="F12" s="20">
        <f>C3</f>
        <v>1000</v>
      </c>
      <c r="G12" s="24">
        <v>19500</v>
      </c>
      <c r="H12" s="3"/>
      <c r="I12" s="21">
        <v>1800</v>
      </c>
      <c r="J12" s="24">
        <v>19500</v>
      </c>
      <c r="K12" s="3"/>
      <c r="L12" s="3"/>
    </row>
    <row r="13" spans="1:12" x14ac:dyDescent="0.4">
      <c r="A13" s="3"/>
      <c r="B13" s="3"/>
      <c r="C13" s="10"/>
      <c r="D13" s="3"/>
      <c r="E13" s="3"/>
      <c r="F13" s="20">
        <v>2000</v>
      </c>
      <c r="G13" s="24">
        <v>30750</v>
      </c>
      <c r="H13" s="3"/>
      <c r="I13" s="3"/>
      <c r="J13" s="3"/>
      <c r="K13" s="3"/>
      <c r="L13" s="3"/>
    </row>
    <row r="14" spans="1:12" ht="13.9" x14ac:dyDescent="0.4">
      <c r="A14" s="3"/>
      <c r="B14" s="18" t="s">
        <v>16</v>
      </c>
      <c r="C14" s="22">
        <f>SQRT(2*C4*C5/C6)</f>
        <v>707.10678118654755</v>
      </c>
      <c r="D14" s="3"/>
      <c r="E14" s="3"/>
      <c r="F14" s="11"/>
      <c r="G14" s="11"/>
      <c r="H14" s="3"/>
      <c r="I14" s="3"/>
      <c r="J14" s="3"/>
      <c r="K14" s="3"/>
      <c r="L14" s="3"/>
    </row>
    <row r="15" spans="1:12" ht="13.9" x14ac:dyDescent="0.4">
      <c r="A15" s="3"/>
      <c r="B15" s="19" t="s">
        <v>17</v>
      </c>
      <c r="C15" s="15">
        <f>C4/C14*C5</f>
        <v>10606.601717798214</v>
      </c>
      <c r="D15" s="3"/>
      <c r="E15" s="3"/>
      <c r="F15" s="3" t="s">
        <v>9</v>
      </c>
      <c r="G15" s="12"/>
      <c r="H15" s="3"/>
      <c r="I15" s="3" t="s">
        <v>11</v>
      </c>
      <c r="J15" s="3"/>
      <c r="K15" s="3"/>
      <c r="L15" s="3"/>
    </row>
    <row r="16" spans="1:12" ht="13.9" x14ac:dyDescent="0.4">
      <c r="A16" s="3"/>
      <c r="B16" s="19" t="s">
        <v>18</v>
      </c>
      <c r="C16" s="15">
        <f>(C14/2)*C6</f>
        <v>10606.601717798214</v>
      </c>
      <c r="D16" s="3"/>
      <c r="E16" s="3"/>
      <c r="F16" s="24">
        <v>200</v>
      </c>
      <c r="G16" s="24">
        <f>MIN(C12,C17)</f>
        <v>19500</v>
      </c>
      <c r="H16" s="3"/>
      <c r="I16" s="24">
        <f>C14</f>
        <v>707.10678118654755</v>
      </c>
      <c r="J16" s="24">
        <f>C17</f>
        <v>21213.203435596428</v>
      </c>
      <c r="K16" s="3"/>
      <c r="L16" s="3"/>
    </row>
    <row r="17" spans="1:12" ht="13.9" x14ac:dyDescent="0.4">
      <c r="A17" s="3"/>
      <c r="B17" s="19" t="s">
        <v>19</v>
      </c>
      <c r="C17" s="22">
        <f>C15+C16</f>
        <v>21213.203435596428</v>
      </c>
      <c r="D17" s="3"/>
      <c r="E17" s="3"/>
      <c r="F17" s="24">
        <v>2000</v>
      </c>
      <c r="G17" s="24">
        <f>G16</f>
        <v>19500</v>
      </c>
      <c r="H17" s="3"/>
      <c r="I17" s="3"/>
      <c r="J17" s="3"/>
      <c r="K17" s="3"/>
      <c r="L17" s="3"/>
    </row>
    <row r="18" spans="1:12" x14ac:dyDescent="0.4">
      <c r="A18" s="3"/>
      <c r="B18" s="3"/>
      <c r="C18" s="3"/>
      <c r="D18" s="3"/>
      <c r="E18" s="3"/>
      <c r="F18" s="24"/>
      <c r="G18" s="24"/>
      <c r="H18" s="3"/>
      <c r="I18" s="3" t="s">
        <v>12</v>
      </c>
      <c r="J18" s="3"/>
      <c r="K18" s="3"/>
      <c r="L18" s="3"/>
    </row>
    <row r="19" spans="1:12" x14ac:dyDescent="0.4">
      <c r="A19" s="3"/>
      <c r="B19" s="3" t="s">
        <v>13</v>
      </c>
      <c r="C19" s="3"/>
      <c r="D19" s="3"/>
      <c r="E19" s="3"/>
      <c r="F19" s="13"/>
      <c r="G19" s="13"/>
      <c r="H19" s="3"/>
      <c r="I19" s="24">
        <f>C3</f>
        <v>1000</v>
      </c>
      <c r="J19" s="24">
        <f>MIN(G4:G13)</f>
        <v>19500</v>
      </c>
      <c r="K19" s="3"/>
      <c r="L19" s="3"/>
    </row>
    <row r="20" spans="1:12" x14ac:dyDescent="0.4">
      <c r="A20" s="3"/>
      <c r="B20" s="5" t="str">
        <f>"折扣阈限值="&amp;C3</f>
        <v>折扣阈限值=1000</v>
      </c>
      <c r="C20" s="3"/>
      <c r="D20" s="3"/>
      <c r="E20" s="3"/>
      <c r="H20" s="3"/>
      <c r="I20" s="25"/>
      <c r="J20" s="25"/>
      <c r="K20" s="3"/>
      <c r="L20" s="3"/>
    </row>
    <row r="21" spans="1:12" x14ac:dyDescent="0.4">
      <c r="A21" s="3"/>
      <c r="B21" s="5" t="str">
        <f>IF(C17&lt;C12,"按经济订货量订货",IF(C17&gt;C12,"按折扣阈限值订货","两种订货方案一样"))</f>
        <v>按折扣阈限值订货</v>
      </c>
      <c r="C21" s="3"/>
      <c r="D21" s="3"/>
      <c r="E21" s="3"/>
      <c r="F21" s="13"/>
      <c r="G21" s="13"/>
      <c r="H21" s="3"/>
      <c r="I21" s="3"/>
      <c r="J21" s="3"/>
      <c r="K21" s="3"/>
      <c r="L21" s="3"/>
    </row>
    <row r="22" spans="1:12" x14ac:dyDescent="0.4">
      <c r="A22" s="3"/>
      <c r="B22" s="3"/>
      <c r="C22" s="3"/>
      <c r="D22" s="3"/>
      <c r="E22" s="3"/>
      <c r="H22" s="3"/>
      <c r="I22" s="3"/>
      <c r="J22" s="3"/>
      <c r="K22" s="3"/>
      <c r="L22" s="3"/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4">
      <c r="A25" s="3"/>
      <c r="B25" s="3"/>
      <c r="C25" s="3"/>
      <c r="D25" s="3"/>
      <c r="E25" s="3"/>
      <c r="F25" s="3"/>
      <c r="G25" s="3"/>
      <c r="H25" s="3"/>
      <c r="L25" s="3"/>
    </row>
    <row r="26" spans="1:12" x14ac:dyDescent="0.4">
      <c r="A26" s="3"/>
      <c r="B26" s="3"/>
      <c r="C26" s="3"/>
      <c r="D26" s="3"/>
      <c r="E26" s="3"/>
      <c r="F26" s="3"/>
      <c r="G26" s="3"/>
      <c r="H26" s="3"/>
      <c r="L26" s="3"/>
    </row>
    <row r="27" spans="1:12" x14ac:dyDescent="0.4">
      <c r="A27" s="3"/>
      <c r="D27" s="3"/>
      <c r="E27" s="3"/>
      <c r="F27" s="3"/>
      <c r="G27" s="3"/>
      <c r="H27" s="3"/>
      <c r="L27" s="3"/>
    </row>
  </sheetData>
  <phoneticPr fontId="1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B1" zoomScaleNormal="100" workbookViewId="0">
      <selection activeCell="M18" sqref="M18"/>
    </sheetView>
  </sheetViews>
  <sheetFormatPr defaultColWidth="9" defaultRowHeight="12.75" x14ac:dyDescent="0.3"/>
  <cols>
    <col min="1" max="8" width="9" style="1"/>
    <col min="9" max="9" width="7.1875" style="1" customWidth="1"/>
    <col min="10" max="10" width="6.4375" style="1" customWidth="1"/>
    <col min="11" max="16384" width="9" style="1"/>
  </cols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7" r:id="rId3" name="Spinner 11">
              <controlPr defaultSize="0" autoPict="0">
                <anchor moveWithCells="1" sizeWithCells="1">
                  <from>
                    <xdr:col>2</xdr:col>
                    <xdr:colOff>671513</xdr:colOff>
                    <xdr:row>4</xdr:row>
                    <xdr:rowOff>66675</xdr:rowOff>
                  </from>
                  <to>
                    <xdr:col>3</xdr:col>
                    <xdr:colOff>247650</xdr:colOff>
                    <xdr:row>5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例8-3</vt:lpstr>
      <vt:lpstr>优惠条件下最佳订货量分析模型</vt:lpstr>
      <vt:lpstr>优惠条件下最佳订货量分析图形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a77111</cp:lastModifiedBy>
  <cp:lastPrinted>2004-06-28T23:31:30Z</cp:lastPrinted>
  <dcterms:created xsi:type="dcterms:W3CDTF">1996-12-17T01:32:42Z</dcterms:created>
  <dcterms:modified xsi:type="dcterms:W3CDTF">2026-06-21T12:05:17Z</dcterms:modified>
</cp:coreProperties>
</file>