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000-ThinkPad\教材编写\财经管理中的计算机应用（第四版）\例题\"/>
    </mc:Choice>
  </mc:AlternateContent>
  <bookViews>
    <workbookView xWindow="390" yWindow="1070" windowWidth="5130" windowHeight="5090" tabRatio="331" activeTab="1"/>
  </bookViews>
  <sheets>
    <sheet name="例9-3" sheetId="42151" r:id="rId1"/>
    <sheet name="基于回报率的投资决策模型" sheetId="42149" r:id="rId2"/>
  </sheets>
  <calcPr calcId="162913"/>
</workbook>
</file>

<file path=xl/calcChain.xml><?xml version="1.0" encoding="utf-8"?>
<calcChain xmlns="http://schemas.openxmlformats.org/spreadsheetml/2006/main">
  <c r="G7" i="42149" l="1"/>
  <c r="G8" i="42149"/>
  <c r="G6" i="42149"/>
  <c r="G2" i="42149" s="1"/>
  <c r="G3" i="42149" l="1"/>
  <c r="C10" i="42149" s="1"/>
</calcChain>
</file>

<file path=xl/sharedStrings.xml><?xml version="1.0" encoding="utf-8"?>
<sst xmlns="http://schemas.openxmlformats.org/spreadsheetml/2006/main" count="11" uniqueCount="11">
  <si>
    <t>投资回报率</t>
    <phoneticPr fontId="3" type="noConversion"/>
  </si>
  <si>
    <t>最大投资回报率</t>
    <phoneticPr fontId="3" type="noConversion"/>
  </si>
  <si>
    <t>实现该最大投资回报率的生产线</t>
    <phoneticPr fontId="3" type="noConversion"/>
  </si>
  <si>
    <t>第0年</t>
  </si>
  <si>
    <t>第1年</t>
  </si>
  <si>
    <t>第2年</t>
  </si>
  <si>
    <t>第3年</t>
  </si>
  <si>
    <t>决策结论：</t>
    <phoneticPr fontId="3" type="noConversion"/>
  </si>
  <si>
    <t>生产线A</t>
    <phoneticPr fontId="3" type="noConversion"/>
  </si>
  <si>
    <t>生产线B</t>
    <phoneticPr fontId="3" type="noConversion"/>
  </si>
  <si>
    <t>生产线C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</si>
</sst>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5" x14ac:knownFonts="1">
    <font>
      <sz val="10"/>
      <name val="宋体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sz val="1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9" fontId="4" fillId="2" borderId="1" xfId="2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176" fontId="4" fillId="2" borderId="0" xfId="0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9" fontId="4" fillId="6" borderId="1" xfId="2" applyFont="1" applyFill="1" applyBorder="1" applyAlignment="1">
      <alignment horizontal="center" vertical="center"/>
    </xf>
    <xf numFmtId="176" fontId="4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0" fontId="4" fillId="0" borderId="0" xfId="0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</cellXfs>
  <cellStyles count="3">
    <cellStyle name="Normal_模型2 投资项目评价" xfId="1"/>
    <cellStyle name="百分比" xfId="2" builtinId="5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FF99CC"/>
      <rgbColor rgb="00CC99FF"/>
      <rgbColor rgb="00DDDDD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170542</xdr:colOff>
      <xdr:row>0</xdr:row>
      <xdr:rowOff>130631</xdr:rowOff>
    </xdr:from>
    <xdr:to>
      <xdr:col>6</xdr:col>
      <xdr:colOff>438149</xdr:colOff>
      <xdr:row>10</xdr:row>
      <xdr:rowOff>82551</xdr:rowOff>
    </xdr:to>
    <xdr:sp macro="" textlink="">
      <xdr:nvSpPr>
        <xdr:cNvPr id="5" name="Text Box 1025"/>
        <xdr:cNvSpPr txBox="1">
          <a:spLocks noChangeArrowheads="1"/>
        </xdr:cNvSpPr>
      </xdr:nvSpPr>
      <xdr:spPr bwMode="auto">
        <a:xfrm>
          <a:off x="170542" y="130631"/>
          <a:ext cx="3620407" cy="1602920"/>
        </a:xfrm>
        <a:prstGeom prst="rect">
          <a:avLst/>
        </a:prstGeom>
        <a:ln>
          <a:headEnd/>
          <a:tailEnd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【例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9-3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】某工厂投资建设生产线，现有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A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B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与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C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三条生产线可供选择：假设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A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B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C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三条生产线的初期投资分别为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20000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25000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和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18000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万元。在今后三年（第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1~3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年）中，生产线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A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的预期回报分别为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13000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万元、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9000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万元和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5000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万元；生产线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B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的预期回报分别为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12000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万元、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10000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万元和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8000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万元；生产线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C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的预期回报分别为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10000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万元、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6000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万元和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3000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万元。公司希望有一个投资决策模型能给出每条生产线的投资回报率，以便选出最优的投资生产线方案。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>
      <selection activeCell="A13" sqref="A13"/>
    </sheetView>
  </sheetViews>
  <sheetFormatPr defaultRowHeight="13" x14ac:dyDescent="0.25"/>
  <sheetData/>
  <phoneticPr fontId="3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showGridLines="0" tabSelected="1" zoomScaleNormal="100" workbookViewId="0">
      <selection activeCell="O14" sqref="O14"/>
    </sheetView>
  </sheetViews>
  <sheetFormatPr defaultRowHeight="14" x14ac:dyDescent="0.25"/>
  <cols>
    <col min="1" max="1" width="2.3984375" style="13" customWidth="1"/>
    <col min="2" max="2" width="11.69921875" style="13" customWidth="1"/>
    <col min="3" max="3" width="9" style="17" customWidth="1"/>
    <col min="4" max="4" width="8.3984375" style="17" customWidth="1"/>
    <col min="5" max="5" width="7.796875" style="17" customWidth="1"/>
    <col min="6" max="6" width="7" style="17" bestFit="1" customWidth="1"/>
    <col min="7" max="7" width="11.59765625" style="18" bestFit="1" customWidth="1"/>
    <col min="8" max="8" width="2.3984375" style="13" customWidth="1"/>
    <col min="9" max="9" width="5.09765625" style="13" customWidth="1"/>
    <col min="10" max="10" width="6.8984375" style="13" hidden="1" customWidth="1"/>
    <col min="11" max="11" width="7" style="13" customWidth="1"/>
    <col min="12" max="12" width="5.09765625" style="13" customWidth="1"/>
    <col min="13" max="13" width="8.3984375" style="13" customWidth="1"/>
    <col min="14" max="16384" width="8.796875" style="13"/>
  </cols>
  <sheetData>
    <row r="1" spans="1:12" x14ac:dyDescent="0.25">
      <c r="B1" s="3"/>
      <c r="C1" s="3"/>
      <c r="D1" s="4"/>
      <c r="E1" s="3"/>
      <c r="F1" s="3"/>
      <c r="G1" s="12"/>
      <c r="H1" s="3"/>
      <c r="I1" s="14"/>
      <c r="J1" s="15"/>
      <c r="K1" s="14"/>
      <c r="L1" s="14"/>
    </row>
    <row r="2" spans="1:12" x14ac:dyDescent="0.25">
      <c r="B2" s="19" t="s">
        <v>1</v>
      </c>
      <c r="C2" s="19"/>
      <c r="D2" s="19"/>
      <c r="E2" s="19"/>
      <c r="F2" s="19"/>
      <c r="G2" s="1">
        <f>MAX(G6:G8)</f>
        <v>0.199133239998319</v>
      </c>
      <c r="H2" s="3"/>
      <c r="I2" s="14"/>
      <c r="J2" s="15"/>
      <c r="K2" s="14"/>
      <c r="L2" s="14"/>
    </row>
    <row r="3" spans="1:12" x14ac:dyDescent="0.25">
      <c r="B3" s="19" t="s">
        <v>2</v>
      </c>
      <c r="C3" s="19"/>
      <c r="D3" s="19"/>
      <c r="E3" s="19"/>
      <c r="F3" s="19"/>
      <c r="G3" s="2" t="str">
        <f>INDEX(B6:B8,MATCH(G2,G6:G8,0))</f>
        <v>生产线A</v>
      </c>
      <c r="H3" s="3"/>
      <c r="I3" s="14"/>
      <c r="J3" s="15"/>
      <c r="K3" s="14"/>
      <c r="L3" s="14"/>
    </row>
    <row r="4" spans="1:12" x14ac:dyDescent="0.25">
      <c r="A4" s="15"/>
      <c r="B4" s="3"/>
      <c r="C4" s="3"/>
      <c r="D4" s="4"/>
      <c r="E4" s="3"/>
      <c r="F4" s="3"/>
      <c r="G4" s="5"/>
      <c r="H4" s="3"/>
      <c r="I4" s="14"/>
      <c r="J4" s="15"/>
      <c r="K4" s="14"/>
      <c r="L4" s="14"/>
    </row>
    <row r="5" spans="1:12" x14ac:dyDescent="0.25">
      <c r="A5" s="15"/>
      <c r="B5" s="6"/>
      <c r="C5" s="7" t="s">
        <v>3</v>
      </c>
      <c r="D5" s="7" t="s">
        <v>4</v>
      </c>
      <c r="E5" s="7" t="s">
        <v>5</v>
      </c>
      <c r="F5" s="7" t="s">
        <v>6</v>
      </c>
      <c r="G5" s="8" t="s">
        <v>0</v>
      </c>
      <c r="H5" s="3"/>
      <c r="I5" s="14"/>
      <c r="J5" s="15"/>
      <c r="K5" s="14"/>
      <c r="L5" s="14"/>
    </row>
    <row r="6" spans="1:12" x14ac:dyDescent="0.25">
      <c r="A6" s="15"/>
      <c r="B6" s="9" t="s">
        <v>8</v>
      </c>
      <c r="C6" s="10">
        <v>-20000</v>
      </c>
      <c r="D6" s="10">
        <v>13000</v>
      </c>
      <c r="E6" s="10">
        <v>9000</v>
      </c>
      <c r="F6" s="10">
        <v>5000</v>
      </c>
      <c r="G6" s="11">
        <f>IRR(C6:F6)</f>
        <v>0.199133239998319</v>
      </c>
      <c r="H6" s="3"/>
      <c r="I6" s="14"/>
      <c r="J6" s="15"/>
      <c r="K6" s="14"/>
      <c r="L6" s="14"/>
    </row>
    <row r="7" spans="1:12" x14ac:dyDescent="0.25">
      <c r="B7" s="9" t="s">
        <v>9</v>
      </c>
      <c r="C7" s="10">
        <v>-25000</v>
      </c>
      <c r="D7" s="10">
        <v>12000</v>
      </c>
      <c r="E7" s="10">
        <v>10000</v>
      </c>
      <c r="F7" s="10">
        <v>8000</v>
      </c>
      <c r="G7" s="11">
        <f t="shared" ref="G7:G8" si="0">IRR(C7:F7)</f>
        <v>0.10448172395776645</v>
      </c>
      <c r="H7" s="3"/>
      <c r="I7" s="14"/>
      <c r="J7" s="15"/>
      <c r="K7" s="14"/>
      <c r="L7" s="14"/>
    </row>
    <row r="8" spans="1:12" x14ac:dyDescent="0.25">
      <c r="B8" s="9" t="s">
        <v>10</v>
      </c>
      <c r="C8" s="10">
        <v>-18000</v>
      </c>
      <c r="D8" s="10">
        <v>10000</v>
      </c>
      <c r="E8" s="10">
        <v>6000</v>
      </c>
      <c r="F8" s="10">
        <v>3000</v>
      </c>
      <c r="G8" s="11">
        <f t="shared" si="0"/>
        <v>3.3884973604133561E-2</v>
      </c>
      <c r="H8" s="3"/>
      <c r="I8" s="14"/>
      <c r="J8" s="15"/>
      <c r="K8" s="14"/>
      <c r="L8" s="14"/>
    </row>
    <row r="9" spans="1:12" x14ac:dyDescent="0.25">
      <c r="B9" s="3"/>
      <c r="C9" s="3"/>
      <c r="D9" s="4"/>
      <c r="E9" s="3"/>
      <c r="F9" s="3"/>
      <c r="G9" s="12"/>
      <c r="H9" s="3"/>
      <c r="I9" s="14"/>
      <c r="J9" s="15"/>
      <c r="K9" s="14"/>
      <c r="L9" s="14"/>
    </row>
    <row r="10" spans="1:12" x14ac:dyDescent="0.25">
      <c r="B10" s="20" t="s">
        <v>7</v>
      </c>
      <c r="C10" s="21" t="str">
        <f>IF(G2&gt;0,"最优投资项目是" &amp; G3,"三个项目均不可取")</f>
        <v>最优投资项目是生产线A</v>
      </c>
      <c r="D10" s="22"/>
      <c r="E10" s="22"/>
      <c r="F10" s="15"/>
      <c r="G10" s="15"/>
      <c r="H10" s="3"/>
      <c r="I10" s="14"/>
      <c r="J10" s="15"/>
      <c r="K10" s="14"/>
      <c r="L10" s="14"/>
    </row>
    <row r="11" spans="1:12" x14ac:dyDescent="0.25">
      <c r="B11" s="15"/>
      <c r="C11" s="14"/>
      <c r="D11" s="14"/>
      <c r="E11" s="14"/>
      <c r="F11" s="14"/>
      <c r="G11" s="16"/>
      <c r="H11" s="15"/>
    </row>
    <row r="12" spans="1:12" x14ac:dyDescent="0.25">
      <c r="B12" s="15"/>
      <c r="C12" s="14"/>
      <c r="D12" s="14"/>
      <c r="E12" s="14"/>
      <c r="F12" s="14"/>
      <c r="G12" s="16"/>
      <c r="H12" s="15"/>
      <c r="J12" s="15"/>
      <c r="K12" s="15"/>
    </row>
    <row r="13" spans="1:12" x14ac:dyDescent="0.25">
      <c r="A13" s="15"/>
      <c r="B13" s="15"/>
      <c r="C13" s="14"/>
      <c r="D13" s="14"/>
      <c r="E13" s="14"/>
      <c r="F13" s="14"/>
      <c r="G13" s="16"/>
      <c r="H13" s="15"/>
      <c r="I13" s="15"/>
      <c r="J13" s="15"/>
      <c r="K13" s="15"/>
      <c r="L13" s="15"/>
    </row>
    <row r="14" spans="1:12" x14ac:dyDescent="0.25">
      <c r="A14" s="15"/>
      <c r="B14" s="15"/>
      <c r="C14" s="14"/>
      <c r="D14" s="14"/>
      <c r="E14" s="14"/>
      <c r="F14" s="14"/>
      <c r="G14" s="16"/>
      <c r="H14" s="15"/>
      <c r="I14" s="15"/>
    </row>
    <row r="15" spans="1:12" x14ac:dyDescent="0.25">
      <c r="A15" s="15"/>
      <c r="B15" s="15"/>
      <c r="C15" s="14"/>
      <c r="D15" s="14"/>
      <c r="E15" s="14"/>
      <c r="F15" s="14"/>
      <c r="G15" s="16"/>
      <c r="H15" s="15"/>
    </row>
    <row r="16" spans="1:12" x14ac:dyDescent="0.25">
      <c r="A16" s="15"/>
      <c r="B16" s="15"/>
      <c r="C16" s="14"/>
      <c r="D16" s="14"/>
      <c r="E16" s="14"/>
      <c r="F16" s="14"/>
      <c r="G16" s="16"/>
      <c r="H16" s="15"/>
      <c r="I16" s="15"/>
    </row>
    <row r="17" spans="1:10" x14ac:dyDescent="0.25">
      <c r="A17" s="15"/>
      <c r="B17" s="15"/>
      <c r="C17" s="14"/>
      <c r="D17" s="14"/>
      <c r="E17" s="14"/>
      <c r="F17" s="14"/>
      <c r="G17" s="16"/>
      <c r="H17" s="15"/>
      <c r="I17" s="15"/>
    </row>
    <row r="18" spans="1:10" x14ac:dyDescent="0.25">
      <c r="A18" s="15"/>
      <c r="B18" s="15"/>
      <c r="C18" s="14"/>
      <c r="D18" s="14"/>
      <c r="E18" s="14"/>
      <c r="F18" s="14"/>
      <c r="G18" s="16"/>
      <c r="H18" s="15"/>
      <c r="I18" s="15"/>
    </row>
    <row r="19" spans="1:10" x14ac:dyDescent="0.25">
      <c r="A19" s="15"/>
      <c r="B19" s="15"/>
      <c r="C19" s="14"/>
      <c r="D19" s="14"/>
      <c r="E19" s="14"/>
      <c r="F19" s="14"/>
      <c r="G19" s="16"/>
      <c r="H19" s="15"/>
      <c r="I19" s="15"/>
      <c r="J19" s="15"/>
    </row>
    <row r="20" spans="1:10" x14ac:dyDescent="0.25">
      <c r="A20" s="15"/>
      <c r="B20" s="15"/>
      <c r="C20" s="14"/>
      <c r="D20" s="14"/>
      <c r="E20" s="14"/>
      <c r="F20" s="14"/>
      <c r="G20" s="16"/>
      <c r="H20" s="15"/>
      <c r="I20" s="15"/>
    </row>
    <row r="21" spans="1:10" x14ac:dyDescent="0.25">
      <c r="B21" s="15"/>
      <c r="C21" s="14"/>
      <c r="D21" s="14"/>
      <c r="E21" s="14"/>
      <c r="F21" s="14"/>
      <c r="G21" s="16"/>
      <c r="H21" s="15"/>
    </row>
    <row r="22" spans="1:10" x14ac:dyDescent="0.25">
      <c r="A22" s="15"/>
      <c r="B22" s="15"/>
      <c r="C22" s="14"/>
      <c r="D22" s="14"/>
      <c r="E22" s="14"/>
      <c r="F22" s="14"/>
      <c r="G22" s="16"/>
      <c r="H22" s="15"/>
      <c r="I22" s="15"/>
    </row>
    <row r="23" spans="1:10" x14ac:dyDescent="0.25">
      <c r="A23" s="15"/>
      <c r="B23" s="15"/>
      <c r="C23" s="14"/>
      <c r="D23" s="14"/>
      <c r="E23" s="14"/>
      <c r="F23" s="14"/>
      <c r="G23" s="16"/>
      <c r="H23" s="15"/>
      <c r="I23" s="15"/>
    </row>
    <row r="24" spans="1:10" x14ac:dyDescent="0.25">
      <c r="A24" s="15"/>
      <c r="B24" s="15"/>
      <c r="C24" s="14"/>
      <c r="D24" s="14"/>
      <c r="E24" s="14"/>
      <c r="F24" s="14"/>
      <c r="G24" s="16"/>
      <c r="H24" s="15"/>
      <c r="I24" s="15"/>
    </row>
    <row r="25" spans="1:10" x14ac:dyDescent="0.25">
      <c r="A25" s="15"/>
      <c r="I25" s="15"/>
    </row>
    <row r="26" spans="1:10" x14ac:dyDescent="0.25">
      <c r="A26" s="15"/>
      <c r="B26" s="15"/>
      <c r="C26" s="14"/>
      <c r="D26" s="14"/>
      <c r="E26" s="14"/>
      <c r="F26" s="14"/>
      <c r="G26" s="16"/>
      <c r="H26" s="15"/>
      <c r="I26" s="15"/>
    </row>
    <row r="27" spans="1:10" x14ac:dyDescent="0.25">
      <c r="A27" s="15"/>
      <c r="I27" s="15"/>
    </row>
    <row r="29" spans="1:10" x14ac:dyDescent="0.25">
      <c r="A29" s="15"/>
      <c r="I29" s="15"/>
    </row>
    <row r="42" spans="11:12" x14ac:dyDescent="0.25">
      <c r="K42" s="15"/>
      <c r="L42" s="15"/>
    </row>
  </sheetData>
  <mergeCells count="2">
    <mergeCell ref="B2:F2"/>
    <mergeCell ref="B3:F3"/>
  </mergeCells>
  <phoneticPr fontId="3" type="noConversion"/>
  <printOptions headings="1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例9-3</vt:lpstr>
      <vt:lpstr>基于回报率的投资决策模型</vt:lpstr>
    </vt:vector>
  </TitlesOfParts>
  <Company>SUFE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Xingde Wang</dc:creator>
  <cp:lastModifiedBy>张喆</cp:lastModifiedBy>
  <dcterms:created xsi:type="dcterms:W3CDTF">2000-03-25T06:55:57Z</dcterms:created>
  <dcterms:modified xsi:type="dcterms:W3CDTF">2020-07-27T15:20:26Z</dcterms:modified>
</cp:coreProperties>
</file>