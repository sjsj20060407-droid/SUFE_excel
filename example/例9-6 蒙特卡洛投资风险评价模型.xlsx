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8da5265628b68d8/Desktop/2022-2023经管机课件/《经济管理中的计算机应用（第四版）》例题/《经济管理中的计算机应用（第四版）》例题/"/>
    </mc:Choice>
  </mc:AlternateContent>
  <xr:revisionPtr revIDLastSave="4" documentId="11_9242EC5BCCEEC5FED4D15EAB35E1C203B6174613" xr6:coauthVersionLast="47" xr6:coauthVersionMax="47" xr10:uidLastSave="{F0973967-54AC-431B-8135-CD1096EAA04C}"/>
  <bookViews>
    <workbookView xWindow="12852" yWindow="-108" windowWidth="23256" windowHeight="12456" activeTab="2" xr2:uid="{00000000-000D-0000-FFFF-FFFF00000000}"/>
  </bookViews>
  <sheets>
    <sheet name="例9-6" sheetId="3" r:id="rId1"/>
    <sheet name="蒙特卡洛投资风险评价模型" sheetId="2" r:id="rId2"/>
    <sheet name="投资回报净现值频次分布图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2" l="1"/>
  <c r="D21" i="2" l="1"/>
  <c r="D20" i="2"/>
  <c r="D19" i="2"/>
  <c r="D18" i="2"/>
  <c r="D12" i="2"/>
  <c r="D15" i="2" s="1"/>
  <c r="G4" i="2" s="1"/>
  <c r="D23" i="2" l="1"/>
  <c r="I4" i="2" s="1"/>
  <c r="I5" i="2" l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J4" i="2" l="1" a="1"/>
  <c r="J4" i="2" l="1"/>
  <c r="J7" i="2"/>
  <c r="J10" i="2"/>
  <c r="J13" i="2"/>
  <c r="J20" i="2"/>
  <c r="J19" i="2"/>
  <c r="J22" i="2"/>
  <c r="J6" i="2"/>
  <c r="J9" i="2"/>
  <c r="J16" i="2"/>
  <c r="J15" i="2"/>
  <c r="J18" i="2"/>
  <c r="J21" i="2"/>
  <c r="J5" i="2"/>
  <c r="J12" i="2"/>
  <c r="J11" i="2"/>
  <c r="J14" i="2"/>
  <c r="J17" i="2"/>
  <c r="J23" i="2"/>
  <c r="J8" i="2"/>
</calcChain>
</file>

<file path=xl/sharedStrings.xml><?xml version="1.0" encoding="utf-8"?>
<sst xmlns="http://schemas.openxmlformats.org/spreadsheetml/2006/main" count="30" uniqueCount="29">
  <si>
    <t>贴现率</t>
  </si>
  <si>
    <t>2.生成区</t>
  </si>
  <si>
    <t>1.输入区—初始参数</t>
  </si>
  <si>
    <t>5.统计区</t>
  </si>
  <si>
    <t>4.试验区</t>
  </si>
  <si>
    <t>净现值</t>
  </si>
  <si>
    <t>次数</t>
  </si>
  <si>
    <t>3.输出区</t>
    <phoneticPr fontId="2" type="noConversion"/>
  </si>
  <si>
    <r>
      <t>初始投资额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万元</t>
    </r>
    <r>
      <rPr>
        <sz val="11"/>
        <rFont val="Times New Roman"/>
        <family val="1"/>
      </rPr>
      <t>)</t>
    </r>
    <phoneticPr fontId="2" type="noConversion"/>
  </si>
  <si>
    <r>
      <t>第一年预期回报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万元</t>
    </r>
    <r>
      <rPr>
        <sz val="11"/>
        <rFont val="Times New Roman"/>
        <family val="1"/>
      </rPr>
      <t>)</t>
    </r>
    <phoneticPr fontId="2" type="noConversion"/>
  </si>
  <si>
    <r>
      <t>第二年预期回报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万元</t>
    </r>
    <r>
      <rPr>
        <sz val="11"/>
        <rFont val="Times New Roman"/>
        <family val="1"/>
      </rPr>
      <t>)</t>
    </r>
    <phoneticPr fontId="2" type="noConversion"/>
  </si>
  <si>
    <r>
      <t>第三年预期回报均值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万元</t>
    </r>
    <r>
      <rPr>
        <sz val="11"/>
        <rFont val="Times New Roman"/>
        <family val="1"/>
      </rPr>
      <t>)</t>
    </r>
    <phoneticPr fontId="2" type="noConversion"/>
  </si>
  <si>
    <r>
      <t>第三年预期回报标准差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万元</t>
    </r>
    <r>
      <rPr>
        <sz val="11"/>
        <rFont val="Times New Roman"/>
        <family val="1"/>
      </rPr>
      <t>)</t>
    </r>
    <phoneticPr fontId="2" type="noConversion"/>
  </si>
  <si>
    <r>
      <t>第三年预期回报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万元</t>
    </r>
    <r>
      <rPr>
        <sz val="11"/>
        <rFont val="Times New Roman"/>
        <family val="1"/>
      </rPr>
      <t>)</t>
    </r>
    <phoneticPr fontId="2" type="noConversion"/>
  </si>
  <si>
    <r>
      <t>100</t>
    </r>
    <r>
      <rPr>
        <sz val="11"/>
        <rFont val="宋体"/>
        <family val="3"/>
        <charset val="134"/>
      </rPr>
      <t>次模拟净现值均值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万元</t>
    </r>
    <r>
      <rPr>
        <sz val="11"/>
        <rFont val="Times New Roman"/>
        <family val="1"/>
      </rPr>
      <t>)</t>
    </r>
    <phoneticPr fontId="2" type="noConversion"/>
  </si>
  <si>
    <r>
      <t>100</t>
    </r>
    <r>
      <rPr>
        <sz val="11"/>
        <rFont val="宋体"/>
        <family val="3"/>
        <charset val="134"/>
      </rPr>
      <t>次模拟净现值标准差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万元</t>
    </r>
    <r>
      <rPr>
        <sz val="11"/>
        <rFont val="Times New Roman"/>
        <family val="1"/>
      </rPr>
      <t>)</t>
    </r>
    <phoneticPr fontId="2" type="noConversion"/>
  </si>
  <si>
    <r>
      <t>100</t>
    </r>
    <r>
      <rPr>
        <sz val="11"/>
        <rFont val="宋体"/>
        <family val="3"/>
        <charset val="134"/>
      </rPr>
      <t>次模拟净现值最大值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万元</t>
    </r>
    <r>
      <rPr>
        <sz val="11"/>
        <rFont val="Times New Roman"/>
        <family val="1"/>
      </rPr>
      <t>)</t>
    </r>
    <phoneticPr fontId="2" type="noConversion"/>
  </si>
  <si>
    <r>
      <t>100</t>
    </r>
    <r>
      <rPr>
        <sz val="11"/>
        <rFont val="宋体"/>
        <family val="3"/>
        <charset val="134"/>
      </rPr>
      <t>次模拟净现值最小值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万元</t>
    </r>
    <r>
      <rPr>
        <sz val="11"/>
        <rFont val="Times New Roman"/>
        <family val="1"/>
      </rPr>
      <t>)</t>
    </r>
    <phoneticPr fontId="2" type="noConversion"/>
  </si>
  <si>
    <t>蒙特卡洛投资风险评价模型</t>
    <phoneticPr fontId="2" type="noConversion"/>
  </si>
  <si>
    <t>分段统计点之间间隔(H)</t>
    <phoneticPr fontId="2" type="noConversion"/>
  </si>
  <si>
    <t>最小值和最大值之间的行数(K)</t>
    <phoneticPr fontId="2" type="noConversion"/>
  </si>
  <si>
    <t>刻度</t>
  </si>
  <si>
    <t>频次</t>
    <phoneticPr fontId="2" type="noConversion"/>
  </si>
  <si>
    <t>6.图形区</t>
    <phoneticPr fontId="2" type="noConversion"/>
  </si>
  <si>
    <t>接收</t>
  </si>
  <si>
    <t>其他</t>
  </si>
  <si>
    <t>频率</t>
  </si>
  <si>
    <t>累积 %</t>
  </si>
  <si>
    <t>6.图形区—直方图分析结果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</si>
</sst>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_);[Red]\(0.00\)"/>
  </numFmts>
  <fonts count="9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Times New Roman"/>
      <family val="1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2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1" fillId="0" borderId="5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165" fontId="4" fillId="6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0" fontId="0" fillId="0" borderId="0" xfId="0" applyNumberFormat="1" applyFill="1" applyBorder="1" applyAlignment="1">
      <alignment vertical="center"/>
    </xf>
    <xf numFmtId="1" fontId="4" fillId="3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9" fontId="4" fillId="4" borderId="1" xfId="1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2" fontId="3" fillId="5" borderId="1" xfId="0" applyNumberFormat="1" applyFont="1" applyFill="1" applyBorder="1" applyAlignment="1">
      <alignment vertical="center"/>
    </xf>
    <xf numFmtId="165" fontId="6" fillId="6" borderId="1" xfId="0" applyNumberFormat="1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Fill="1" applyBorder="1" applyAlignment="1">
      <alignment vertical="center"/>
    </xf>
    <xf numFmtId="10" fontId="0" fillId="0" borderId="4" xfId="0" applyNumberFormat="1" applyFill="1" applyBorder="1" applyAlignment="1">
      <alignment vertical="center"/>
    </xf>
    <xf numFmtId="1" fontId="4" fillId="2" borderId="0" xfId="0" applyNumberFormat="1" applyFont="1" applyFill="1" applyBorder="1" applyAlignment="1">
      <alignment horizontal="center" vertical="center"/>
    </xf>
    <xf numFmtId="2" fontId="4" fillId="2" borderId="0" xfId="0" applyNumberFormat="1" applyFont="1" applyFill="1" applyBorder="1" applyAlignment="1">
      <alignment vertical="center"/>
    </xf>
    <xf numFmtId="1" fontId="4" fillId="2" borderId="0" xfId="0" applyNumberFormat="1" applyFont="1" applyFill="1" applyAlignment="1">
      <alignment horizontal="center" vertical="center"/>
    </xf>
    <xf numFmtId="2" fontId="4" fillId="3" borderId="1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165" fontId="7" fillId="0" borderId="1" xfId="0" applyNumberFormat="1" applyFont="1" applyFill="1" applyBorder="1" applyAlignment="1">
      <alignment vertical="center"/>
    </xf>
    <xf numFmtId="16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</cellXfs>
  <cellStyles count="2">
    <cellStyle name="常规" xfId="0" builtinId="0"/>
    <cellStyle name="百分比" xfId="1" builtinId="5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50" b="1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rPr altLang="en-US"/>
              <a:t>投资项目净现值的累计概率分布</a:t>
            </a:r>
          </a:p>
        </c:rich>
      </c:tx>
      <c:layout>
        <c:manualLayout>
          <c:xMode val="edge"/>
          <c:yMode val="edge"/>
          <c:x val="0.24110699601285016"/>
          <c:y val="4.29864253393665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0065940569855187E-2"/>
          <c:y val="0.22624459382577619"/>
          <c:w val="0.81686534613974249"/>
          <c:h val="0.59049838988527592"/>
        </c:manualLayout>
      </c:layout>
      <c:scatterChart>
        <c:scatterStyle val="smoothMarker"/>
        <c:varyColors val="0"/>
        <c:ser>
          <c:idx val="0"/>
          <c:order val="0"/>
          <c:spPr>
            <a:ln w="38100">
              <a:solidFill>
                <a:srgbClr val="333333"/>
              </a:solidFill>
              <a:prstDash val="solid"/>
            </a:ln>
          </c:spPr>
          <c:marker>
            <c:symbol val="none"/>
          </c:marker>
          <c:xVal>
            <c:numRef>
              <c:f>蒙特卡洛投资风险评价模型!#REF!</c:f>
            </c:numRef>
          </c:xVal>
          <c:yVal>
            <c:numRef>
              <c:f>蒙特卡洛投资风险评价模型!$J$14:$J$35</c:f>
              <c:numCache>
                <c:formatCode>General</c:formatCode>
                <c:ptCount val="11"/>
                <c:pt idx="0">
                  <c:v>13</c:v>
                </c:pt>
                <c:pt idx="1">
                  <c:v>8</c:v>
                </c:pt>
                <c:pt idx="2">
                  <c:v>6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E0-47A9-A120-38A932C26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13568"/>
        <c:axId val="156814144"/>
      </c:scatterChart>
      <c:valAx>
        <c:axId val="156813568"/>
        <c:scaling>
          <c:orientation val="minMax"/>
          <c:max val="30"/>
          <c:min val="-20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zh-CN" altLang="en-US" sz="1325" b="1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项目净现值(百万元)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3412388866411461"/>
              <c:y val="0.8778290044061234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156814144"/>
        <c:crossesAt val="-20"/>
        <c:crossBetween val="midCat"/>
        <c:majorUnit val="5"/>
        <c:minorUnit val="1"/>
      </c:valAx>
      <c:valAx>
        <c:axId val="156814144"/>
        <c:scaling>
          <c:orientation val="minMax"/>
          <c:max val="1"/>
          <c:min val="0"/>
        </c:scaling>
        <c:delete val="0"/>
        <c:axPos val="r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 rot="0" vert="wordArtVertRtl"/>
              <a:lstStyle/>
              <a:p>
                <a:pPr algn="ctr">
                  <a:defRPr sz="1325" b="1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altLang="en-US"/>
                  <a:t>累计概率值</a:t>
                </a:r>
              </a:p>
            </c:rich>
          </c:tx>
          <c:layout>
            <c:manualLayout>
              <c:xMode val="edge"/>
              <c:yMode val="edge"/>
              <c:x val="0.93807766124096148"/>
              <c:y val="0.375566085913468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156813568"/>
        <c:crosses val="max"/>
        <c:crossBetween val="midCat"/>
        <c:majorUnit val="0.1"/>
        <c:minorUnit val="0.0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zh-CN" altLang="zh-CN" sz="1400" b="1" i="0" baseline="0">
                <a:effectLst/>
              </a:rPr>
              <a:t>新设备投资回报净现值频</a:t>
            </a:r>
            <a:r>
              <a:rPr lang="zh-CN" altLang="en-US" sz="1400" b="1" i="0" baseline="0">
                <a:effectLst/>
              </a:rPr>
              <a:t>数</a:t>
            </a:r>
            <a:r>
              <a:rPr lang="zh-CN" altLang="zh-CN" sz="1400" b="1" i="0" baseline="0">
                <a:effectLst/>
              </a:rPr>
              <a:t>分布</a:t>
            </a:r>
            <a:endParaRPr lang="zh-CN" altLang="zh-CN" sz="1400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divot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</c:spPr>
          <c:invertIfNegative val="0"/>
          <c:cat>
            <c:numRef>
              <c:f>蒙特卡洛投资风险评价模型!$I$4:$I$23</c:f>
              <c:numCache>
                <c:formatCode>General</c:formatCode>
                <c:ptCount val="20"/>
                <c:pt idx="0">
                  <c:v>1.063830167682368</c:v>
                </c:pt>
                <c:pt idx="1">
                  <c:v>1.1238301676823681</c:v>
                </c:pt>
                <c:pt idx="2">
                  <c:v>1.1838301676823682</c:v>
                </c:pt>
                <c:pt idx="3">
                  <c:v>1.2438301676823682</c:v>
                </c:pt>
                <c:pt idx="4">
                  <c:v>1.3038301676823683</c:v>
                </c:pt>
                <c:pt idx="5">
                  <c:v>1.3638301676823683</c:v>
                </c:pt>
                <c:pt idx="6">
                  <c:v>1.4238301676823684</c:v>
                </c:pt>
                <c:pt idx="7">
                  <c:v>1.4838301676823684</c:v>
                </c:pt>
                <c:pt idx="8">
                  <c:v>1.5438301676823685</c:v>
                </c:pt>
                <c:pt idx="9">
                  <c:v>1.6038301676823685</c:v>
                </c:pt>
                <c:pt idx="10">
                  <c:v>1.6638301676823686</c:v>
                </c:pt>
                <c:pt idx="11">
                  <c:v>1.7238301676823686</c:v>
                </c:pt>
                <c:pt idx="12">
                  <c:v>1.7838301676823687</c:v>
                </c:pt>
                <c:pt idx="13">
                  <c:v>1.8438301676823687</c:v>
                </c:pt>
                <c:pt idx="14">
                  <c:v>1.9038301676823688</c:v>
                </c:pt>
                <c:pt idx="15">
                  <c:v>1.9638301676823688</c:v>
                </c:pt>
                <c:pt idx="16">
                  <c:v>2.0238301676823687</c:v>
                </c:pt>
                <c:pt idx="17">
                  <c:v>2.0838301676823687</c:v>
                </c:pt>
                <c:pt idx="18">
                  <c:v>2.1438301676823688</c:v>
                </c:pt>
                <c:pt idx="19">
                  <c:v>2.2038301676823688</c:v>
                </c:pt>
              </c:numCache>
            </c:numRef>
          </c:cat>
          <c:val>
            <c:numRef>
              <c:f>蒙特卡洛投资风险评价模型!$J$4:$J$23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9</c:v>
                </c:pt>
                <c:pt idx="5">
                  <c:v>7</c:v>
                </c:pt>
                <c:pt idx="6">
                  <c:v>10</c:v>
                </c:pt>
                <c:pt idx="7">
                  <c:v>6</c:v>
                </c:pt>
                <c:pt idx="8">
                  <c:v>16</c:v>
                </c:pt>
                <c:pt idx="9">
                  <c:v>16</c:v>
                </c:pt>
                <c:pt idx="10">
                  <c:v>13</c:v>
                </c:pt>
                <c:pt idx="11">
                  <c:v>8</c:v>
                </c:pt>
                <c:pt idx="12">
                  <c:v>6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5-4271-99C6-3E2F06F46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8442624"/>
        <c:axId val="156815872"/>
      </c:barChart>
      <c:catAx>
        <c:axId val="68442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/>
                </a:pPr>
                <a:r>
                  <a:rPr lang="zh-CN" altLang="en-US" sz="1100" b="0"/>
                  <a:t>净现值</a:t>
                </a:r>
                <a:endParaRPr lang="en-US" altLang="zh-CN" sz="1100" b="0"/>
              </a:p>
            </c:rich>
          </c:tx>
          <c:layout>
            <c:manualLayout>
              <c:xMode val="edge"/>
              <c:yMode val="edge"/>
              <c:x val="0.44328473792261125"/>
              <c:y val="0.90117187499999996"/>
            </c:manualLayout>
          </c:layout>
          <c:overlay val="0"/>
        </c:title>
        <c:numFmt formatCode="#,##0.00_);[Red]\(#,##0.00\)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156815872"/>
        <c:crosses val="autoZero"/>
        <c:auto val="1"/>
        <c:lblAlgn val="ctr"/>
        <c:lblOffset val="100"/>
        <c:noMultiLvlLbl val="0"/>
      </c:catAx>
      <c:valAx>
        <c:axId val="156815872"/>
        <c:scaling>
          <c:orientation val="minMax"/>
        </c:scaling>
        <c:delete val="0"/>
        <c:axPos val="l"/>
        <c:title>
          <c:tx>
            <c:rich>
              <a:bodyPr rot="0" vert="wordArtVertRtl"/>
              <a:lstStyle/>
              <a:p>
                <a:pPr>
                  <a:defRPr sz="1100" b="0"/>
                </a:pPr>
                <a:r>
                  <a:rPr lang="zh-CN" altLang="en-US" sz="1100" b="0"/>
                  <a:t>频数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68442624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zh-CN" altLang="en-US" sz="1400"/>
              <a:t>投资回报净现值风险分析模型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蒙特卡洛投资风险评价模型!$L$4:$L$23</c:f>
              <c:numCache>
                <c:formatCode>General</c:formatCode>
                <c:ptCount val="20"/>
                <c:pt idx="0">
                  <c:v>1.1162344315189183</c:v>
                </c:pt>
                <c:pt idx="1">
                  <c:v>1.12970372316028</c:v>
                </c:pt>
                <c:pt idx="2">
                  <c:v>1.1538691721054946</c:v>
                </c:pt>
                <c:pt idx="3">
                  <c:v>1.2000075145792153</c:v>
                </c:pt>
                <c:pt idx="4">
                  <c:v>1.2375990028817454</c:v>
                </c:pt>
                <c:pt idx="5">
                  <c:v>1.4064402569101391</c:v>
                </c:pt>
                <c:pt idx="6">
                  <c:v>1.4106917261934302</c:v>
                </c:pt>
                <c:pt idx="7">
                  <c:v>1.4232131107238146</c:v>
                </c:pt>
                <c:pt idx="8">
                  <c:v>1.4930231414638591</c:v>
                </c:pt>
                <c:pt idx="9">
                  <c:v>1.544610590175143</c:v>
                </c:pt>
                <c:pt idx="10">
                  <c:v>1.5946331522245509</c:v>
                </c:pt>
                <c:pt idx="11">
                  <c:v>1.6338855416307636</c:v>
                </c:pt>
                <c:pt idx="12">
                  <c:v>1.680675967475985</c:v>
                </c:pt>
                <c:pt idx="13">
                  <c:v>1.6858122281170613</c:v>
                </c:pt>
                <c:pt idx="14">
                  <c:v>1.7715982507021524</c:v>
                </c:pt>
                <c:pt idx="15">
                  <c:v>1.8003898521425499</c:v>
                </c:pt>
                <c:pt idx="16">
                  <c:v>1.9253627708176819</c:v>
                </c:pt>
                <c:pt idx="17">
                  <c:v>1.9538542101486678</c:v>
                </c:pt>
                <c:pt idx="18">
                  <c:v>2.023531430655364</c:v>
                </c:pt>
                <c:pt idx="19">
                  <c:v>2.0307368148316147</c:v>
                </c:pt>
              </c:numCache>
            </c:numRef>
          </c:xVal>
          <c:yVal>
            <c:numRef>
              <c:f>蒙特卡洛投资风险评价模型!$N$4:$N$23</c:f>
              <c:numCache>
                <c:formatCode>0.00%</c:formatCode>
                <c:ptCount val="20"/>
                <c:pt idx="0">
                  <c:v>0.05</c:v>
                </c:pt>
                <c:pt idx="1">
                  <c:v>0.05</c:v>
                </c:pt>
                <c:pt idx="2">
                  <c:v>0.06</c:v>
                </c:pt>
                <c:pt idx="3">
                  <c:v>7.0000000000000007E-2</c:v>
                </c:pt>
                <c:pt idx="4">
                  <c:v>0.08</c:v>
                </c:pt>
                <c:pt idx="5">
                  <c:v>0.25</c:v>
                </c:pt>
                <c:pt idx="6">
                  <c:v>0.26</c:v>
                </c:pt>
                <c:pt idx="7">
                  <c:v>0.27</c:v>
                </c:pt>
                <c:pt idx="8">
                  <c:v>0.47</c:v>
                </c:pt>
                <c:pt idx="9">
                  <c:v>0.63</c:v>
                </c:pt>
                <c:pt idx="10">
                  <c:v>0.72</c:v>
                </c:pt>
                <c:pt idx="11">
                  <c:v>0.79</c:v>
                </c:pt>
                <c:pt idx="12">
                  <c:v>0.85</c:v>
                </c:pt>
                <c:pt idx="13">
                  <c:v>0.85</c:v>
                </c:pt>
                <c:pt idx="14">
                  <c:v>0.95</c:v>
                </c:pt>
                <c:pt idx="15">
                  <c:v>0.96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79-4970-973A-CA4C4CB2B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1392"/>
        <c:axId val="68411968"/>
      </c:scatterChart>
      <c:valAx>
        <c:axId val="68411392"/>
        <c:scaling>
          <c:orientation val="minMax"/>
          <c:min val="1.100000000000000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 b="0"/>
                </a:pPr>
                <a:r>
                  <a:rPr lang="zh-CN" altLang="en-US" sz="1100" b="0"/>
                  <a:t>净现值</a:t>
                </a:r>
              </a:p>
            </c:rich>
          </c:tx>
          <c:layout>
            <c:manualLayout>
              <c:xMode val="edge"/>
              <c:yMode val="edge"/>
              <c:x val="0.48436460343119364"/>
              <c:y val="0.9085106382978723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accent1"/>
            </a:solidFill>
          </a:ln>
        </c:spPr>
        <c:txPr>
          <a:bodyPr/>
          <a:lstStyle/>
          <a:p>
            <a:pPr>
              <a:defRPr sz="1100"/>
            </a:pPr>
            <a:endParaRPr lang="en-US"/>
          </a:p>
        </c:txPr>
        <c:crossAx val="68411968"/>
        <c:crosses val="autoZero"/>
        <c:crossBetween val="midCat"/>
      </c:valAx>
      <c:valAx>
        <c:axId val="68411968"/>
        <c:scaling>
          <c:orientation val="minMax"/>
          <c:max val="1"/>
          <c:min val="0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68411392"/>
        <c:crosses val="autoZero"/>
        <c:crossBetween val="midCat"/>
        <c:majorUnit val="0.2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pct20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</c:spPr>
          <c:invertIfNegative val="0"/>
          <c:cat>
            <c:numRef>
              <c:f>蒙特卡洛投资风险评价模型!$L$4:$L$23</c:f>
              <c:numCache>
                <c:formatCode>General</c:formatCode>
                <c:ptCount val="20"/>
                <c:pt idx="0">
                  <c:v>1.1162344315189183</c:v>
                </c:pt>
                <c:pt idx="1">
                  <c:v>1.12970372316028</c:v>
                </c:pt>
                <c:pt idx="2">
                  <c:v>1.1538691721054946</c:v>
                </c:pt>
                <c:pt idx="3">
                  <c:v>1.2000075145792153</c:v>
                </c:pt>
                <c:pt idx="4">
                  <c:v>1.2375990028817454</c:v>
                </c:pt>
                <c:pt idx="5">
                  <c:v>1.4064402569101391</c:v>
                </c:pt>
                <c:pt idx="6">
                  <c:v>1.4106917261934302</c:v>
                </c:pt>
                <c:pt idx="7">
                  <c:v>1.4232131107238146</c:v>
                </c:pt>
                <c:pt idx="8">
                  <c:v>1.4930231414638591</c:v>
                </c:pt>
                <c:pt idx="9">
                  <c:v>1.544610590175143</c:v>
                </c:pt>
                <c:pt idx="10">
                  <c:v>1.5946331522245509</c:v>
                </c:pt>
                <c:pt idx="11">
                  <c:v>1.6338855416307636</c:v>
                </c:pt>
                <c:pt idx="12">
                  <c:v>1.680675967475985</c:v>
                </c:pt>
                <c:pt idx="13">
                  <c:v>1.6858122281170613</c:v>
                </c:pt>
                <c:pt idx="14">
                  <c:v>1.7715982507021524</c:v>
                </c:pt>
                <c:pt idx="15">
                  <c:v>1.8003898521425499</c:v>
                </c:pt>
                <c:pt idx="16">
                  <c:v>1.9253627708176819</c:v>
                </c:pt>
                <c:pt idx="17">
                  <c:v>1.9538542101486678</c:v>
                </c:pt>
                <c:pt idx="18">
                  <c:v>2.023531430655364</c:v>
                </c:pt>
                <c:pt idx="19">
                  <c:v>2.0307368148316147</c:v>
                </c:pt>
              </c:numCache>
            </c:numRef>
          </c:cat>
          <c:val>
            <c:numRef>
              <c:f>蒙特卡洛投资风险评价模型!$M$4:$M$23</c:f>
              <c:numCache>
                <c:formatCode>General</c:formatCode>
                <c:ptCount val="20"/>
                <c:pt idx="0">
                  <c:v>5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17</c:v>
                </c:pt>
                <c:pt idx="6">
                  <c:v>1</c:v>
                </c:pt>
                <c:pt idx="7">
                  <c:v>1</c:v>
                </c:pt>
                <c:pt idx="8">
                  <c:v>20</c:v>
                </c:pt>
                <c:pt idx="9">
                  <c:v>16</c:v>
                </c:pt>
                <c:pt idx="10">
                  <c:v>9</c:v>
                </c:pt>
                <c:pt idx="11">
                  <c:v>7</c:v>
                </c:pt>
                <c:pt idx="12">
                  <c:v>6</c:v>
                </c:pt>
                <c:pt idx="13">
                  <c:v>0</c:v>
                </c:pt>
                <c:pt idx="14">
                  <c:v>10</c:v>
                </c:pt>
                <c:pt idx="15">
                  <c:v>1</c:v>
                </c:pt>
                <c:pt idx="16">
                  <c:v>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A-4A7C-AE39-EB89EF7D8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2985088"/>
        <c:axId val="71747264"/>
      </c:barChart>
      <c:catAx>
        <c:axId val="72985088"/>
        <c:scaling>
          <c:orientation val="minMax"/>
        </c:scaling>
        <c:delete val="0"/>
        <c:axPos val="b"/>
        <c:numFmt formatCode="#,##0.00_);[Red]\(#,##0.00\)" sourceLinked="0"/>
        <c:majorTickMark val="out"/>
        <c:minorTickMark val="none"/>
        <c:tickLblPos val="nextTo"/>
        <c:crossAx val="71747264"/>
        <c:crosses val="autoZero"/>
        <c:auto val="1"/>
        <c:lblAlgn val="ctr"/>
        <c:lblOffset val="100"/>
        <c:noMultiLvlLbl val="0"/>
      </c:catAx>
      <c:valAx>
        <c:axId val="71747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29850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317500</xdr:colOff>
      <xdr:row>1</xdr:row>
      <xdr:rowOff>69850</xdr:rowOff>
    </xdr:from>
    <xdr:to>
      <xdr:col>5</xdr:col>
      <xdr:colOff>400050</xdr:colOff>
      <xdr:row>8</xdr:row>
      <xdr:rowOff>12700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317500" y="260350"/>
          <a:ext cx="3384550" cy="127635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r>
            <a:rPr lang="zh-CN" altLang="zh-CN" sz="1100">
              <a:effectLst/>
              <a:latin typeface="+mn-lt"/>
              <a:ea typeface="+mn-ea"/>
              <a:cs typeface="+mn-cs"/>
            </a:rPr>
            <a:t>【例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9-6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】某公司准备投资一种新型设备，初始投资额为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5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万元，有效期为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3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年。该新型设备投入运营后，第一年的预期回报是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3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万元，第二年的预期回报是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2.5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万元，第三年的预期回报服从均值为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2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万元、标准差为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0.2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万元的正态分布随机数，如果此投资项目的贴现率为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8%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，公司需要此投资项目的风险进行评估。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0</xdr:rowOff>
    </xdr:from>
    <xdr:to>
      <xdr:col>44</xdr:col>
      <xdr:colOff>371475</xdr:colOff>
      <xdr:row>13</xdr:row>
      <xdr:rowOff>0</xdr:rowOff>
    </xdr:to>
    <xdr:graphicFrame macro="">
      <xdr:nvGraphicFramePr>
        <xdr:cNvPr id="4375" name="Chart 29">
          <a:extLst>
            <a:ext uri="{FF2B5EF4-FFF2-40B4-BE49-F238E27FC236}">
              <a16:creationId xmlns:a16="http://schemas.microsoft.com/office/drawing/2014/main" id="{00000000-0008-0000-0100-00001711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273050</xdr:colOff>
      <xdr:row>0</xdr:row>
      <xdr:rowOff>127000</xdr:rowOff>
    </xdr:from>
    <xdr:to>
      <xdr:col>9</xdr:col>
      <xdr:colOff>431800</xdr:colOff>
      <xdr:row>16</xdr:row>
      <xdr:rowOff>114300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469900</xdr:colOff>
      <xdr:row>17</xdr:row>
      <xdr:rowOff>57150</xdr:rowOff>
    </xdr:from>
    <xdr:to>
      <xdr:col>9</xdr:col>
      <xdr:colOff>279400</xdr:colOff>
      <xdr:row>32</xdr:row>
      <xdr:rowOff>127000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527050</xdr:colOff>
      <xdr:row>0</xdr:row>
      <xdr:rowOff>114300</xdr:rowOff>
    </xdr:from>
    <xdr:to>
      <xdr:col>18</xdr:col>
      <xdr:colOff>406400</xdr:colOff>
      <xdr:row>16</xdr:row>
      <xdr:rowOff>114300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10" sqref="A10"/>
    </sheetView>
  </sheetViews>
  <sheetFormatPr defaultRowHeight="15.6" x14ac:dyDescent="0.25"/>
  <sheetData/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N2303"/>
  <sheetViews>
    <sheetView showFormulas="1" showGridLines="0" topLeftCell="A17" zoomScaleNormal="100" workbookViewId="0">
      <selection activeCell="L112" sqref="L112"/>
    </sheetView>
  </sheetViews>
  <sheetFormatPr defaultColWidth="8.69921875" defaultRowHeight="14.4" x14ac:dyDescent="0.25"/>
  <cols>
    <col min="1" max="1" width="1.59765625" style="2" customWidth="1"/>
    <col min="2" max="2" width="13.3984375" style="2" customWidth="1"/>
    <col min="3" max="3" width="7" style="2" hidden="1" customWidth="1"/>
    <col min="4" max="4" width="16.796875" style="2" customWidth="1"/>
    <col min="5" max="5" width="1.59765625" style="2" customWidth="1"/>
    <col min="6" max="6" width="5.09765625" style="2" customWidth="1"/>
    <col min="7" max="7" width="6.69921875" style="2" bestFit="1" customWidth="1"/>
    <col min="8" max="8" width="1.5" style="2" customWidth="1"/>
    <col min="9" max="9" width="5.09765625" style="2" customWidth="1"/>
    <col min="10" max="10" width="6.09765625" style="2" customWidth="1"/>
    <col min="11" max="11" width="1.69921875" style="2" customWidth="1"/>
    <col min="12" max="12" width="12.296875" style="2" bestFit="1" customWidth="1"/>
    <col min="13" max="13" width="6.69921875" style="2" customWidth="1"/>
    <col min="14" max="14" width="8.59765625" style="2" customWidth="1"/>
    <col min="15" max="16384" width="8.69921875" style="2"/>
  </cols>
  <sheetData>
    <row r="1" spans="2:14" x14ac:dyDescent="0.25">
      <c r="B1" s="1" t="s">
        <v>18</v>
      </c>
    </row>
    <row r="2" spans="2:14" ht="16.2" thickBot="1" x14ac:dyDescent="0.3">
      <c r="F2" s="1" t="s">
        <v>4</v>
      </c>
      <c r="I2" s="3" t="s">
        <v>23</v>
      </c>
      <c r="L2" s="1" t="s">
        <v>28</v>
      </c>
    </row>
    <row r="3" spans="2:14" ht="15.6" x14ac:dyDescent="0.25">
      <c r="B3" s="1" t="s">
        <v>2</v>
      </c>
      <c r="F3" s="4" t="s">
        <v>6</v>
      </c>
      <c r="G3" s="4" t="s">
        <v>5</v>
      </c>
      <c r="I3" s="5" t="s">
        <v>21</v>
      </c>
      <c r="J3" s="5" t="s">
        <v>22</v>
      </c>
      <c r="K3" s="6"/>
      <c r="L3" s="7" t="s">
        <v>24</v>
      </c>
      <c r="M3" s="7" t="s">
        <v>26</v>
      </c>
      <c r="N3" s="7" t="s">
        <v>27</v>
      </c>
    </row>
    <row r="4" spans="2:14" ht="15.6" x14ac:dyDescent="0.25">
      <c r="B4" s="8" t="s">
        <v>8</v>
      </c>
      <c r="C4" s="9"/>
      <c r="D4" s="10">
        <v>5</v>
      </c>
      <c r="F4" s="11"/>
      <c r="G4" s="12">
        <f ca="1">D15</f>
        <v>1.1856787699845128</v>
      </c>
      <c r="I4" s="4">
        <f>D21-D23/2</f>
        <v>1.063830167682368</v>
      </c>
      <c r="J4" s="13">
        <f t="array" ref="J4:J23">FREQUENCY(G5:G104,I4:I23)</f>
        <v>0</v>
      </c>
      <c r="K4" s="6"/>
      <c r="L4" s="14">
        <v>1.1162344315189183</v>
      </c>
      <c r="M4" s="15">
        <v>5</v>
      </c>
      <c r="N4" s="16">
        <v>0.05</v>
      </c>
    </row>
    <row r="5" spans="2:14" ht="15.6" x14ac:dyDescent="0.25">
      <c r="B5" s="8" t="s">
        <v>9</v>
      </c>
      <c r="C5" s="9"/>
      <c r="D5" s="10">
        <v>3</v>
      </c>
      <c r="F5" s="17">
        <v>1</v>
      </c>
      <c r="G5" s="18">
        <f t="dataTable" ref="G5:G104" dt2D="0" dtr="0" r1="F1" ca="1"/>
        <v>1.6758103188263274</v>
      </c>
      <c r="I5" s="4">
        <f t="shared" ref="I5:I23" si="0">I4+$D$23</f>
        <v>1.1238301676823681</v>
      </c>
      <c r="J5" s="13">
        <v>1</v>
      </c>
      <c r="K5" s="6"/>
      <c r="L5" s="14">
        <v>1.12970372316028</v>
      </c>
      <c r="M5" s="15">
        <v>0</v>
      </c>
      <c r="N5" s="16">
        <v>0.05</v>
      </c>
    </row>
    <row r="6" spans="2:14" ht="15.6" x14ac:dyDescent="0.25">
      <c r="B6" s="8" t="s">
        <v>10</v>
      </c>
      <c r="C6" s="9"/>
      <c r="D6" s="10">
        <v>2.5</v>
      </c>
      <c r="F6" s="17">
        <v>2</v>
      </c>
      <c r="G6" s="18">
        <v>1.1818283488101811</v>
      </c>
      <c r="I6" s="4">
        <f t="shared" si="0"/>
        <v>1.1838301676823682</v>
      </c>
      <c r="J6" s="13">
        <v>3</v>
      </c>
      <c r="K6" s="6"/>
      <c r="L6" s="14">
        <v>1.1538691721054946</v>
      </c>
      <c r="M6" s="15">
        <v>1</v>
      </c>
      <c r="N6" s="16">
        <v>0.06</v>
      </c>
    </row>
    <row r="7" spans="2:14" ht="15.6" x14ac:dyDescent="0.25">
      <c r="B7" s="8" t="s">
        <v>11</v>
      </c>
      <c r="C7" s="9"/>
      <c r="D7" s="10">
        <v>2</v>
      </c>
      <c r="F7" s="17">
        <v>3</v>
      </c>
      <c r="G7" s="18">
        <v>1.6095977858384405</v>
      </c>
      <c r="I7" s="4">
        <f t="shared" si="0"/>
        <v>1.2438301676823682</v>
      </c>
      <c r="J7" s="13">
        <v>1</v>
      </c>
      <c r="K7" s="6"/>
      <c r="L7" s="14">
        <v>1.2000075145792153</v>
      </c>
      <c r="M7" s="15">
        <v>1</v>
      </c>
      <c r="N7" s="16">
        <v>7.0000000000000007E-2</v>
      </c>
    </row>
    <row r="8" spans="2:14" ht="15.6" x14ac:dyDescent="0.25">
      <c r="B8" s="8" t="s">
        <v>12</v>
      </c>
      <c r="C8" s="9"/>
      <c r="D8" s="10">
        <v>0.2</v>
      </c>
      <c r="F8" s="17">
        <v>4</v>
      </c>
      <c r="G8" s="18">
        <v>1.4140907713331838</v>
      </c>
      <c r="I8" s="4">
        <f t="shared" si="0"/>
        <v>1.3038301676823683</v>
      </c>
      <c r="J8" s="13">
        <v>9</v>
      </c>
      <c r="K8" s="6"/>
      <c r="L8" s="14">
        <v>1.2375990028817454</v>
      </c>
      <c r="M8" s="15">
        <v>1</v>
      </c>
      <c r="N8" s="16">
        <v>0.08</v>
      </c>
    </row>
    <row r="9" spans="2:14" ht="15.6" x14ac:dyDescent="0.25">
      <c r="B9" s="8" t="s">
        <v>0</v>
      </c>
      <c r="C9" s="9"/>
      <c r="D9" s="19">
        <v>0.08</v>
      </c>
      <c r="F9" s="17">
        <v>5</v>
      </c>
      <c r="G9" s="18">
        <v>2.0599189768840658</v>
      </c>
      <c r="I9" s="4">
        <f t="shared" si="0"/>
        <v>1.3638301676823683</v>
      </c>
      <c r="J9" s="13">
        <v>7</v>
      </c>
      <c r="K9" s="6"/>
      <c r="L9" s="14">
        <v>1.4064402569101391</v>
      </c>
      <c r="M9" s="15">
        <v>17</v>
      </c>
      <c r="N9" s="16">
        <v>0.25</v>
      </c>
    </row>
    <row r="10" spans="2:14" ht="15.6" x14ac:dyDescent="0.25">
      <c r="F10" s="17">
        <v>6</v>
      </c>
      <c r="G10" s="18">
        <v>1.5812294001300922</v>
      </c>
      <c r="I10" s="4">
        <f t="shared" si="0"/>
        <v>1.4238301676823684</v>
      </c>
      <c r="J10" s="13">
        <v>10</v>
      </c>
      <c r="K10" s="6"/>
      <c r="L10" s="14">
        <v>1.4106917261934302</v>
      </c>
      <c r="M10" s="15">
        <v>1</v>
      </c>
      <c r="N10" s="16">
        <v>0.26</v>
      </c>
    </row>
    <row r="11" spans="2:14" ht="15.6" x14ac:dyDescent="0.25">
      <c r="B11" s="20" t="s">
        <v>1</v>
      </c>
      <c r="D11" s="6"/>
      <c r="F11" s="17">
        <v>7</v>
      </c>
      <c r="G11" s="18">
        <v>1.2940943057669045</v>
      </c>
      <c r="I11" s="4">
        <f t="shared" si="0"/>
        <v>1.4838301676823684</v>
      </c>
      <c r="J11" s="13">
        <v>6</v>
      </c>
      <c r="K11" s="6"/>
      <c r="L11" s="14">
        <v>1.4232131107238146</v>
      </c>
      <c r="M11" s="15">
        <v>1</v>
      </c>
      <c r="N11" s="16">
        <v>0.27</v>
      </c>
    </row>
    <row r="12" spans="2:14" ht="15.6" x14ac:dyDescent="0.25">
      <c r="B12" s="8" t="s">
        <v>13</v>
      </c>
      <c r="C12" s="9"/>
      <c r="D12" s="21">
        <f ca="1">NORMINV(RAND(),D7,D8)</f>
        <v>1.5929737746947308</v>
      </c>
      <c r="F12" s="17">
        <v>8</v>
      </c>
      <c r="G12" s="18">
        <v>1.3926406898050834</v>
      </c>
      <c r="I12" s="4">
        <f t="shared" si="0"/>
        <v>1.5438301676823685</v>
      </c>
      <c r="J12" s="13">
        <v>16</v>
      </c>
      <c r="K12" s="6"/>
      <c r="L12" s="14">
        <v>1.4930231414638591</v>
      </c>
      <c r="M12" s="15">
        <v>20</v>
      </c>
      <c r="N12" s="16">
        <v>0.47</v>
      </c>
    </row>
    <row r="13" spans="2:14" ht="15.6" x14ac:dyDescent="0.25">
      <c r="F13" s="17">
        <v>9</v>
      </c>
      <c r="G13" s="18">
        <v>1.5317722425447862</v>
      </c>
      <c r="I13" s="4">
        <f t="shared" si="0"/>
        <v>1.6038301676823685</v>
      </c>
      <c r="J13" s="13">
        <v>16</v>
      </c>
      <c r="K13" s="6"/>
      <c r="L13" s="14">
        <v>1.544610590175143</v>
      </c>
      <c r="M13" s="15">
        <v>16</v>
      </c>
      <c r="N13" s="16">
        <v>0.63</v>
      </c>
    </row>
    <row r="14" spans="2:14" ht="15.6" x14ac:dyDescent="0.25">
      <c r="B14" s="20" t="s">
        <v>7</v>
      </c>
      <c r="F14" s="17">
        <v>10</v>
      </c>
      <c r="G14" s="18">
        <v>1.6497283784458503</v>
      </c>
      <c r="I14" s="4">
        <f t="shared" si="0"/>
        <v>1.6638301676823686</v>
      </c>
      <c r="J14" s="13">
        <v>13</v>
      </c>
      <c r="K14" s="6"/>
      <c r="L14" s="14">
        <v>1.5946331522245509</v>
      </c>
      <c r="M14" s="15">
        <v>9</v>
      </c>
      <c r="N14" s="16">
        <v>0.72</v>
      </c>
    </row>
    <row r="15" spans="2:14" ht="15.6" x14ac:dyDescent="0.25">
      <c r="B15" s="8" t="s">
        <v>5</v>
      </c>
      <c r="C15" s="9"/>
      <c r="D15" s="22">
        <f ca="1">-D4+NPV(D9,D5:D6,D12)</f>
        <v>1.1856787699845128</v>
      </c>
      <c r="F15" s="17">
        <v>11</v>
      </c>
      <c r="G15" s="18">
        <v>1.457825285606269</v>
      </c>
      <c r="I15" s="4">
        <f t="shared" si="0"/>
        <v>1.7238301676823686</v>
      </c>
      <c r="J15" s="13">
        <v>8</v>
      </c>
      <c r="K15" s="6"/>
      <c r="L15" s="14">
        <v>1.6338855416307636</v>
      </c>
      <c r="M15" s="15">
        <v>7</v>
      </c>
      <c r="N15" s="16">
        <v>0.79</v>
      </c>
    </row>
    <row r="16" spans="2:14" ht="15.6" x14ac:dyDescent="0.25">
      <c r="F16" s="17">
        <v>12</v>
      </c>
      <c r="G16" s="18">
        <v>1.7383604268155395</v>
      </c>
      <c r="I16" s="4">
        <f t="shared" si="0"/>
        <v>1.7838301676823687</v>
      </c>
      <c r="J16" s="13">
        <v>6</v>
      </c>
      <c r="K16" s="6"/>
      <c r="L16" s="14">
        <v>1.680675967475985</v>
      </c>
      <c r="M16" s="15">
        <v>6</v>
      </c>
      <c r="N16" s="16">
        <v>0.85</v>
      </c>
    </row>
    <row r="17" spans="2:14" ht="15.6" x14ac:dyDescent="0.25">
      <c r="B17" s="31" t="s">
        <v>3</v>
      </c>
      <c r="C17" s="32"/>
      <c r="D17" s="32"/>
      <c r="F17" s="17">
        <v>13</v>
      </c>
      <c r="G17" s="18">
        <v>1.329752118908142</v>
      </c>
      <c r="I17" s="4">
        <f t="shared" si="0"/>
        <v>1.8438301676823687</v>
      </c>
      <c r="J17" s="13">
        <v>1</v>
      </c>
      <c r="K17" s="6"/>
      <c r="L17" s="14">
        <v>1.6858122281170613</v>
      </c>
      <c r="M17" s="15">
        <v>0</v>
      </c>
      <c r="N17" s="16">
        <v>0.85</v>
      </c>
    </row>
    <row r="18" spans="2:14" ht="15.6" x14ac:dyDescent="0.25">
      <c r="B18" s="23" t="s">
        <v>14</v>
      </c>
      <c r="C18" s="9"/>
      <c r="D18" s="33">
        <f>AVERAGE($G$5:$G$104)</f>
        <v>1.5187526353993248</v>
      </c>
      <c r="F18" s="17">
        <v>14</v>
      </c>
      <c r="G18" s="18">
        <v>1.432775737429858</v>
      </c>
      <c r="I18" s="4">
        <f t="shared" si="0"/>
        <v>1.9038301676823688</v>
      </c>
      <c r="J18" s="13">
        <v>1</v>
      </c>
      <c r="K18" s="6"/>
      <c r="L18" s="14">
        <v>1.7715982507021524</v>
      </c>
      <c r="M18" s="15">
        <v>10</v>
      </c>
      <c r="N18" s="16">
        <v>0.95</v>
      </c>
    </row>
    <row r="19" spans="2:14" ht="15.6" x14ac:dyDescent="0.25">
      <c r="B19" s="23" t="s">
        <v>15</v>
      </c>
      <c r="C19" s="9"/>
      <c r="D19" s="33">
        <f>STDEV($G$5:$G$104)</f>
        <v>0.17740141865854964</v>
      </c>
      <c r="F19" s="17">
        <v>15</v>
      </c>
      <c r="G19" s="18">
        <v>1.5404220416281573</v>
      </c>
      <c r="I19" s="4">
        <f t="shared" si="0"/>
        <v>1.9638301676823688</v>
      </c>
      <c r="J19" s="13">
        <v>0</v>
      </c>
      <c r="K19" s="6"/>
      <c r="L19" s="14">
        <v>1.8003898521425499</v>
      </c>
      <c r="M19" s="15">
        <v>1</v>
      </c>
      <c r="N19" s="16">
        <v>0.96</v>
      </c>
    </row>
    <row r="20" spans="2:14" ht="15.6" x14ac:dyDescent="0.25">
      <c r="B20" s="23" t="s">
        <v>16</v>
      </c>
      <c r="C20" s="9"/>
      <c r="D20" s="33">
        <f>MAX($G$5:$G$104)</f>
        <v>2.0599189768840658</v>
      </c>
      <c r="F20" s="17">
        <v>16</v>
      </c>
      <c r="G20" s="18">
        <v>1.488079784734353</v>
      </c>
      <c r="I20" s="4">
        <f t="shared" si="0"/>
        <v>2.0238301676823687</v>
      </c>
      <c r="J20" s="13">
        <v>0</v>
      </c>
      <c r="K20" s="6"/>
      <c r="L20" s="14">
        <v>1.9253627708176819</v>
      </c>
      <c r="M20" s="15">
        <v>4</v>
      </c>
      <c r="N20" s="16">
        <v>1</v>
      </c>
    </row>
    <row r="21" spans="2:14" ht="15.6" x14ac:dyDescent="0.25">
      <c r="B21" s="23" t="s">
        <v>17</v>
      </c>
      <c r="C21" s="9"/>
      <c r="D21" s="34">
        <f>MIN($G$5:$G$104)</f>
        <v>1.0938301676823681</v>
      </c>
      <c r="F21" s="17">
        <v>17</v>
      </c>
      <c r="G21" s="18">
        <v>1.3767725107139439</v>
      </c>
      <c r="I21" s="4">
        <f t="shared" si="0"/>
        <v>2.0838301676823687</v>
      </c>
      <c r="J21" s="13">
        <v>2</v>
      </c>
      <c r="K21" s="6"/>
      <c r="L21" s="14">
        <v>1.9538542101486678</v>
      </c>
      <c r="M21" s="15">
        <v>0</v>
      </c>
      <c r="N21" s="16">
        <v>1</v>
      </c>
    </row>
    <row r="22" spans="2:14" ht="15.6" x14ac:dyDescent="0.25">
      <c r="B22" s="30" t="s">
        <v>20</v>
      </c>
      <c r="C22" s="30"/>
      <c r="D22" s="35">
        <f>INT(1+3.322*LN(100))</f>
        <v>16</v>
      </c>
      <c r="F22" s="17">
        <v>18</v>
      </c>
      <c r="G22" s="18">
        <v>1.5978216591218306</v>
      </c>
      <c r="I22" s="4">
        <f t="shared" si="0"/>
        <v>2.1438301676823688</v>
      </c>
      <c r="J22" s="13">
        <v>0</v>
      </c>
      <c r="K22" s="6"/>
      <c r="L22" s="14">
        <v>2.023531430655364</v>
      </c>
      <c r="M22" s="15">
        <v>0</v>
      </c>
      <c r="N22" s="16">
        <v>1</v>
      </c>
    </row>
    <row r="23" spans="2:14" ht="15.6" x14ac:dyDescent="0.25">
      <c r="B23" s="30" t="s">
        <v>19</v>
      </c>
      <c r="C23" s="30"/>
      <c r="D23" s="35">
        <f>ROUND((D20-D21)/D22,2)</f>
        <v>0.06</v>
      </c>
      <c r="F23" s="17">
        <v>19</v>
      </c>
      <c r="G23" s="18">
        <v>1.3506951303786021</v>
      </c>
      <c r="I23" s="4">
        <f t="shared" si="0"/>
        <v>2.2038301676823688</v>
      </c>
      <c r="J23" s="13">
        <v>0</v>
      </c>
      <c r="K23" s="6"/>
      <c r="L23" s="14">
        <v>2.0307368148316147</v>
      </c>
      <c r="M23" s="15">
        <v>0</v>
      </c>
      <c r="N23" s="16">
        <v>1</v>
      </c>
    </row>
    <row r="24" spans="2:14" ht="16.2" thickBot="1" x14ac:dyDescent="0.3">
      <c r="B24" s="36"/>
      <c r="C24" s="36"/>
      <c r="D24" s="36"/>
      <c r="F24" s="17">
        <v>20</v>
      </c>
      <c r="G24" s="18">
        <v>1.6718935866823754</v>
      </c>
      <c r="I24" s="24"/>
      <c r="J24" s="24"/>
      <c r="K24" s="24"/>
      <c r="L24" s="25" t="s">
        <v>25</v>
      </c>
      <c r="M24" s="25">
        <v>0</v>
      </c>
      <c r="N24" s="26">
        <v>1</v>
      </c>
    </row>
    <row r="25" spans="2:14" ht="15.6" hidden="1" x14ac:dyDescent="0.25">
      <c r="B25" s="36"/>
      <c r="C25" s="36"/>
      <c r="D25" s="36"/>
      <c r="F25" s="17">
        <v>21</v>
      </c>
      <c r="G25" s="18">
        <v>1.0938301676823681</v>
      </c>
      <c r="I25" s="24"/>
      <c r="J25" s="24"/>
      <c r="K25" s="24"/>
    </row>
    <row r="26" spans="2:14" ht="15.6" hidden="1" x14ac:dyDescent="0.25">
      <c r="B26" s="36"/>
      <c r="C26" s="36"/>
      <c r="D26" s="36"/>
      <c r="F26" s="17">
        <v>22</v>
      </c>
      <c r="G26" s="18">
        <v>1.5298824372394355</v>
      </c>
      <c r="I26" s="24"/>
      <c r="J26" s="24"/>
      <c r="K26" s="24"/>
    </row>
    <row r="27" spans="2:14" ht="15.6" hidden="1" x14ac:dyDescent="0.25">
      <c r="B27" s="36"/>
      <c r="C27" s="36"/>
      <c r="D27" s="36"/>
      <c r="F27" s="17">
        <v>23</v>
      </c>
      <c r="G27" s="18">
        <v>1.7132914805380963</v>
      </c>
      <c r="I27" s="24"/>
      <c r="J27" s="24"/>
      <c r="K27" s="24"/>
    </row>
    <row r="28" spans="2:14" ht="15.6" hidden="1" x14ac:dyDescent="0.25">
      <c r="B28" s="36"/>
      <c r="C28" s="36"/>
      <c r="D28" s="36"/>
      <c r="F28" s="17">
        <v>24</v>
      </c>
      <c r="G28" s="18">
        <v>1.2911079425271277</v>
      </c>
      <c r="I28" s="24"/>
      <c r="J28" s="24"/>
      <c r="K28" s="24"/>
    </row>
    <row r="29" spans="2:14" ht="15.6" hidden="1" x14ac:dyDescent="0.25">
      <c r="B29" s="36"/>
      <c r="C29" s="36"/>
      <c r="D29" s="36"/>
      <c r="F29" s="17">
        <v>25</v>
      </c>
      <c r="G29" s="18">
        <v>1.5347286600508561</v>
      </c>
      <c r="I29" s="24"/>
      <c r="J29" s="24"/>
      <c r="K29" s="24"/>
    </row>
    <row r="30" spans="2:14" ht="15.6" hidden="1" x14ac:dyDescent="0.25">
      <c r="B30" s="36"/>
      <c r="C30" s="36"/>
      <c r="D30" s="36"/>
      <c r="F30" s="17">
        <v>26</v>
      </c>
      <c r="G30" s="18">
        <v>1.7284397874258968</v>
      </c>
      <c r="I30" s="24"/>
      <c r="J30" s="24"/>
      <c r="K30" s="24"/>
    </row>
    <row r="31" spans="2:14" ht="15.6" hidden="1" x14ac:dyDescent="0.25">
      <c r="B31" s="36"/>
      <c r="C31" s="36"/>
      <c r="D31" s="36"/>
      <c r="F31" s="17">
        <v>27</v>
      </c>
      <c r="G31" s="18">
        <v>1.2761679594813522</v>
      </c>
      <c r="I31" s="24"/>
      <c r="J31" s="24"/>
      <c r="K31" s="24"/>
    </row>
    <row r="32" spans="2:14" ht="15.6" hidden="1" x14ac:dyDescent="0.25">
      <c r="B32" s="36"/>
      <c r="C32" s="36"/>
      <c r="D32" s="36"/>
      <c r="F32" s="17">
        <v>28</v>
      </c>
      <c r="G32" s="18">
        <v>1.5394891441122862</v>
      </c>
      <c r="I32" s="24"/>
      <c r="J32" s="24"/>
      <c r="K32" s="24"/>
    </row>
    <row r="33" spans="2:11" ht="15.6" hidden="1" x14ac:dyDescent="0.25">
      <c r="B33" s="36"/>
      <c r="C33" s="36"/>
      <c r="D33" s="36"/>
      <c r="F33" s="17">
        <v>29</v>
      </c>
      <c r="G33" s="18">
        <v>1.5034425363013613</v>
      </c>
      <c r="I33" s="24"/>
      <c r="J33" s="24"/>
      <c r="K33" s="24"/>
    </row>
    <row r="34" spans="2:11" ht="15.6" hidden="1" x14ac:dyDescent="0.25">
      <c r="B34" s="36"/>
      <c r="C34" s="36"/>
      <c r="D34" s="36"/>
      <c r="F34" s="17">
        <v>30</v>
      </c>
      <c r="G34" s="18">
        <v>1.6096289597617091</v>
      </c>
      <c r="I34" s="24"/>
      <c r="J34" s="24"/>
      <c r="K34" s="24"/>
    </row>
    <row r="35" spans="2:11" ht="15.6" hidden="1" x14ac:dyDescent="0.25">
      <c r="B35" s="36"/>
      <c r="C35" s="36"/>
      <c r="D35" s="36"/>
      <c r="F35" s="17">
        <v>31</v>
      </c>
      <c r="G35" s="18">
        <v>1.7519635051943663</v>
      </c>
      <c r="I35" s="24"/>
      <c r="J35" s="24"/>
      <c r="K35" s="24"/>
    </row>
    <row r="36" spans="2:11" ht="15.6" hidden="1" x14ac:dyDescent="0.25">
      <c r="B36" s="36"/>
      <c r="C36" s="36"/>
      <c r="D36" s="36"/>
      <c r="F36" s="17">
        <v>32</v>
      </c>
      <c r="G36" s="18">
        <v>1.4063812350366804</v>
      </c>
      <c r="I36" s="24"/>
      <c r="J36" s="24"/>
      <c r="K36" s="24"/>
    </row>
    <row r="37" spans="2:11" ht="15.6" hidden="1" x14ac:dyDescent="0.25">
      <c r="B37" s="36"/>
      <c r="C37" s="36"/>
      <c r="D37" s="36"/>
      <c r="F37" s="17">
        <v>33</v>
      </c>
      <c r="G37" s="18">
        <v>1.5865205393280508</v>
      </c>
      <c r="I37" s="24"/>
      <c r="J37" s="24"/>
      <c r="K37" s="24"/>
    </row>
    <row r="38" spans="2:11" ht="15.6" hidden="1" x14ac:dyDescent="0.25">
      <c r="B38" s="36"/>
      <c r="C38" s="36"/>
      <c r="D38" s="36"/>
      <c r="F38" s="17">
        <v>34</v>
      </c>
      <c r="G38" s="18">
        <v>1.3560816723432385</v>
      </c>
      <c r="I38" s="24"/>
      <c r="J38" s="24"/>
      <c r="K38" s="24"/>
    </row>
    <row r="39" spans="2:11" ht="15.6" hidden="1" x14ac:dyDescent="0.25">
      <c r="B39" s="36"/>
      <c r="C39" s="36"/>
      <c r="D39" s="36"/>
      <c r="F39" s="17">
        <v>35</v>
      </c>
      <c r="G39" s="18">
        <v>1.5966320684202673</v>
      </c>
      <c r="I39" s="24"/>
      <c r="J39" s="24"/>
      <c r="K39" s="24"/>
    </row>
    <row r="40" spans="2:11" ht="15.6" hidden="1" x14ac:dyDescent="0.25">
      <c r="B40" s="36"/>
      <c r="C40" s="36"/>
      <c r="D40" s="36"/>
      <c r="F40" s="17">
        <v>36</v>
      </c>
      <c r="G40" s="18">
        <v>1.5601753599931891</v>
      </c>
      <c r="I40" s="24"/>
      <c r="J40" s="24"/>
      <c r="K40" s="24"/>
    </row>
    <row r="41" spans="2:11" ht="15.6" hidden="1" x14ac:dyDescent="0.25">
      <c r="B41" s="36"/>
      <c r="C41" s="36"/>
      <c r="D41" s="36"/>
      <c r="F41" s="17">
        <v>37</v>
      </c>
      <c r="G41" s="18">
        <v>1.2890138181358637</v>
      </c>
      <c r="I41" s="24"/>
      <c r="J41" s="24"/>
      <c r="K41" s="24"/>
    </row>
    <row r="42" spans="2:11" ht="15.6" hidden="1" x14ac:dyDescent="0.25">
      <c r="B42" s="36"/>
      <c r="C42" s="36"/>
      <c r="D42" s="36"/>
      <c r="F42" s="17">
        <v>38</v>
      </c>
      <c r="G42" s="18">
        <v>1.4167712933213723</v>
      </c>
      <c r="I42" s="24"/>
      <c r="J42" s="24"/>
      <c r="K42" s="24"/>
    </row>
    <row r="43" spans="2:11" ht="15.6" hidden="1" x14ac:dyDescent="0.25">
      <c r="B43" s="36"/>
      <c r="C43" s="36"/>
      <c r="D43" s="36"/>
      <c r="F43" s="17">
        <v>39</v>
      </c>
      <c r="G43" s="18">
        <v>1.4607366805035173</v>
      </c>
      <c r="I43" s="24"/>
      <c r="J43" s="24"/>
      <c r="K43" s="24"/>
    </row>
    <row r="44" spans="2:11" ht="15.6" hidden="1" x14ac:dyDescent="0.25">
      <c r="B44" s="36"/>
      <c r="C44" s="36"/>
      <c r="D44" s="36"/>
      <c r="F44" s="17">
        <v>40</v>
      </c>
      <c r="G44" s="18">
        <v>1.3348403169633931</v>
      </c>
      <c r="I44" s="24"/>
      <c r="J44" s="24"/>
      <c r="K44" s="24"/>
    </row>
    <row r="45" spans="2:11" ht="15.6" hidden="1" x14ac:dyDescent="0.25">
      <c r="B45" s="36"/>
      <c r="C45" s="36"/>
      <c r="D45" s="36"/>
      <c r="F45" s="17">
        <v>41</v>
      </c>
      <c r="G45" s="18">
        <v>1.6180733337498321</v>
      </c>
      <c r="I45" s="24"/>
      <c r="J45" s="24"/>
      <c r="K45" s="24"/>
    </row>
    <row r="46" spans="2:11" ht="15.6" hidden="1" x14ac:dyDescent="0.25">
      <c r="B46" s="36"/>
      <c r="C46" s="36"/>
      <c r="D46" s="36"/>
      <c r="F46" s="17">
        <v>42</v>
      </c>
      <c r="G46" s="18">
        <v>1.5600643449920897</v>
      </c>
      <c r="I46" s="24"/>
      <c r="J46" s="24"/>
      <c r="K46" s="24"/>
    </row>
    <row r="47" spans="2:11" ht="15.6" hidden="1" x14ac:dyDescent="0.25">
      <c r="B47" s="36"/>
      <c r="C47" s="36"/>
      <c r="D47" s="36"/>
      <c r="F47" s="17">
        <v>43</v>
      </c>
      <c r="G47" s="18">
        <v>1.401315896373867</v>
      </c>
      <c r="I47" s="24"/>
      <c r="J47" s="24"/>
      <c r="K47" s="24"/>
    </row>
    <row r="48" spans="2:11" ht="15.6" hidden="1" x14ac:dyDescent="0.25">
      <c r="B48" s="36"/>
      <c r="C48" s="36"/>
      <c r="D48" s="36"/>
      <c r="F48" s="17">
        <v>44</v>
      </c>
      <c r="G48" s="18">
        <v>1.4435042074124746</v>
      </c>
      <c r="I48" s="24"/>
      <c r="J48" s="24"/>
      <c r="K48" s="24"/>
    </row>
    <row r="49" spans="2:11" ht="15.6" hidden="1" x14ac:dyDescent="0.25">
      <c r="B49" s="36"/>
      <c r="C49" s="36"/>
      <c r="D49" s="36"/>
      <c r="F49" s="17">
        <v>45</v>
      </c>
      <c r="G49" s="18">
        <v>1.6143284726884488</v>
      </c>
      <c r="I49" s="24"/>
      <c r="J49" s="24"/>
      <c r="K49" s="24"/>
    </row>
    <row r="50" spans="2:11" ht="15.6" hidden="1" x14ac:dyDescent="0.25">
      <c r="B50" s="36"/>
      <c r="C50" s="36"/>
      <c r="D50" s="36"/>
      <c r="F50" s="17">
        <v>46</v>
      </c>
      <c r="G50" s="18">
        <v>1.7768289130501715</v>
      </c>
      <c r="I50" s="24"/>
      <c r="J50" s="24"/>
      <c r="K50" s="24"/>
    </row>
    <row r="51" spans="2:11" ht="15.6" hidden="1" x14ac:dyDescent="0.25">
      <c r="B51" s="36"/>
      <c r="C51" s="36"/>
      <c r="D51" s="36"/>
      <c r="F51" s="17">
        <v>47</v>
      </c>
      <c r="G51" s="18">
        <v>1.4664360299476265</v>
      </c>
      <c r="I51" s="24"/>
      <c r="J51" s="24"/>
      <c r="K51" s="24"/>
    </row>
    <row r="52" spans="2:11" ht="15.6" hidden="1" x14ac:dyDescent="0.25">
      <c r="B52" s="36"/>
      <c r="C52" s="36"/>
      <c r="D52" s="36"/>
      <c r="F52" s="17">
        <v>48</v>
      </c>
      <c r="G52" s="18">
        <v>1.493335814991954</v>
      </c>
      <c r="I52" s="24"/>
      <c r="J52" s="24"/>
      <c r="K52" s="24"/>
    </row>
    <row r="53" spans="2:11" ht="15.6" hidden="1" x14ac:dyDescent="0.25">
      <c r="B53" s="36"/>
      <c r="C53" s="36"/>
      <c r="D53" s="36"/>
      <c r="F53" s="17">
        <v>49</v>
      </c>
      <c r="G53" s="18">
        <v>1.6721788275977207</v>
      </c>
      <c r="I53" s="24"/>
      <c r="J53" s="24"/>
      <c r="K53" s="24"/>
    </row>
    <row r="54" spans="2:11" ht="15.6" hidden="1" x14ac:dyDescent="0.25">
      <c r="B54" s="36"/>
      <c r="C54" s="36"/>
      <c r="D54" s="36"/>
      <c r="F54" s="17">
        <v>50</v>
      </c>
      <c r="G54" s="18">
        <v>1.6679824944802517</v>
      </c>
      <c r="I54" s="24"/>
      <c r="J54" s="24"/>
      <c r="K54" s="24"/>
    </row>
    <row r="55" spans="2:11" ht="15.6" hidden="1" x14ac:dyDescent="0.25">
      <c r="B55" s="36"/>
      <c r="C55" s="36"/>
      <c r="D55" s="36"/>
      <c r="F55" s="17">
        <v>51</v>
      </c>
      <c r="G55" s="18">
        <v>1.7036963676915047</v>
      </c>
      <c r="I55" s="24"/>
      <c r="J55" s="24"/>
      <c r="K55" s="24"/>
    </row>
    <row r="56" spans="2:11" ht="15.6" hidden="1" x14ac:dyDescent="0.25">
      <c r="B56" s="36"/>
      <c r="C56" s="36"/>
      <c r="D56" s="36"/>
      <c r="F56" s="17">
        <v>52</v>
      </c>
      <c r="G56" s="18">
        <v>1.1260248552325791</v>
      </c>
      <c r="I56" s="24"/>
      <c r="J56" s="24"/>
      <c r="K56" s="24"/>
    </row>
    <row r="57" spans="2:11" ht="15.6" hidden="1" x14ac:dyDescent="0.25">
      <c r="B57" s="36"/>
      <c r="C57" s="36"/>
      <c r="D57" s="36"/>
      <c r="F57" s="17">
        <v>53</v>
      </c>
      <c r="G57" s="18">
        <v>1.494176922839892</v>
      </c>
      <c r="I57" s="24"/>
      <c r="J57" s="24"/>
      <c r="K57" s="24"/>
    </row>
    <row r="58" spans="2:11" ht="15.6" hidden="1" x14ac:dyDescent="0.25">
      <c r="B58" s="36"/>
      <c r="C58" s="36"/>
      <c r="D58" s="36"/>
      <c r="F58" s="17">
        <v>54</v>
      </c>
      <c r="G58" s="18">
        <v>1.5251464734840896</v>
      </c>
      <c r="I58" s="24"/>
      <c r="J58" s="24"/>
      <c r="K58" s="24"/>
    </row>
    <row r="59" spans="2:11" ht="15.6" hidden="1" x14ac:dyDescent="0.25">
      <c r="B59" s="36"/>
      <c r="C59" s="36"/>
      <c r="D59" s="36"/>
      <c r="F59" s="17">
        <v>55</v>
      </c>
      <c r="G59" s="18">
        <v>1.6589914706433113</v>
      </c>
      <c r="I59" s="24"/>
      <c r="J59" s="24"/>
      <c r="K59" s="24"/>
    </row>
    <row r="60" spans="2:11" ht="15.6" hidden="1" x14ac:dyDescent="0.25">
      <c r="B60" s="36"/>
      <c r="C60" s="36"/>
      <c r="D60" s="36"/>
      <c r="F60" s="17">
        <v>56</v>
      </c>
      <c r="G60" s="18">
        <v>1.6556215947042636</v>
      </c>
      <c r="I60" s="24"/>
      <c r="J60" s="24"/>
      <c r="K60" s="24"/>
    </row>
    <row r="61" spans="2:11" ht="15.6" hidden="1" x14ac:dyDescent="0.25">
      <c r="B61" s="36"/>
      <c r="C61" s="36"/>
      <c r="D61" s="36"/>
      <c r="F61" s="17">
        <v>57</v>
      </c>
      <c r="G61" s="18">
        <v>2.0283870409594478</v>
      </c>
      <c r="I61" s="24"/>
      <c r="J61" s="24"/>
      <c r="K61" s="24"/>
    </row>
    <row r="62" spans="2:11" ht="15.6" hidden="1" x14ac:dyDescent="0.25">
      <c r="B62" s="36"/>
      <c r="C62" s="36"/>
      <c r="D62" s="36"/>
      <c r="F62" s="17">
        <v>58</v>
      </c>
      <c r="G62" s="18">
        <v>1.5843317903117606</v>
      </c>
      <c r="I62" s="24"/>
      <c r="J62" s="24"/>
      <c r="K62" s="24"/>
    </row>
    <row r="63" spans="2:11" ht="15.6" hidden="1" x14ac:dyDescent="0.25">
      <c r="B63" s="36"/>
      <c r="C63" s="36"/>
      <c r="D63" s="36"/>
      <c r="F63" s="17">
        <v>59</v>
      </c>
      <c r="G63" s="18">
        <v>1.2570871263654322</v>
      </c>
      <c r="I63" s="24"/>
      <c r="J63" s="24"/>
      <c r="K63" s="24"/>
    </row>
    <row r="64" spans="2:11" ht="15.6" hidden="1" x14ac:dyDescent="0.25">
      <c r="B64" s="36"/>
      <c r="C64" s="36"/>
      <c r="D64" s="36"/>
      <c r="F64" s="17">
        <v>60</v>
      </c>
      <c r="G64" s="18">
        <v>1.3030212044954732</v>
      </c>
      <c r="I64" s="24"/>
      <c r="J64" s="24"/>
      <c r="K64" s="24"/>
    </row>
    <row r="65" spans="2:11" ht="15.6" hidden="1" x14ac:dyDescent="0.25">
      <c r="B65" s="36"/>
      <c r="C65" s="36"/>
      <c r="D65" s="36"/>
      <c r="F65" s="17">
        <v>61</v>
      </c>
      <c r="G65" s="18">
        <v>1.3369042790160641</v>
      </c>
      <c r="I65" s="24"/>
      <c r="J65" s="24"/>
      <c r="K65" s="24"/>
    </row>
    <row r="66" spans="2:11" ht="15.6" hidden="1" x14ac:dyDescent="0.25">
      <c r="B66" s="36"/>
      <c r="C66" s="36"/>
      <c r="D66" s="36"/>
      <c r="F66" s="17">
        <v>62</v>
      </c>
      <c r="G66" s="18">
        <v>1.5449704864158864</v>
      </c>
      <c r="I66" s="24"/>
      <c r="J66" s="24"/>
      <c r="K66" s="24"/>
    </row>
    <row r="67" spans="2:11" ht="15.6" hidden="1" x14ac:dyDescent="0.25">
      <c r="B67" s="36"/>
      <c r="C67" s="36"/>
      <c r="D67" s="36"/>
      <c r="F67" s="17">
        <v>63</v>
      </c>
      <c r="G67" s="18">
        <v>1.6788392939840886</v>
      </c>
      <c r="I67" s="24"/>
      <c r="J67" s="24"/>
      <c r="K67" s="24"/>
    </row>
    <row r="68" spans="2:11" ht="15.6" hidden="1" x14ac:dyDescent="0.25">
      <c r="B68" s="36"/>
      <c r="C68" s="36"/>
      <c r="D68" s="36"/>
      <c r="F68" s="17">
        <v>64</v>
      </c>
      <c r="G68" s="18">
        <v>1.5106854421952756</v>
      </c>
      <c r="I68" s="24"/>
      <c r="J68" s="24"/>
      <c r="K68" s="24"/>
    </row>
    <row r="69" spans="2:11" ht="15.6" hidden="1" x14ac:dyDescent="0.25">
      <c r="B69" s="36"/>
      <c r="C69" s="36"/>
      <c r="D69" s="36"/>
      <c r="F69" s="17">
        <v>65</v>
      </c>
      <c r="G69" s="18">
        <v>1.2968746557968531</v>
      </c>
      <c r="I69" s="24"/>
      <c r="J69" s="24"/>
      <c r="K69" s="24"/>
    </row>
    <row r="70" spans="2:11" ht="15.6" hidden="1" x14ac:dyDescent="0.25">
      <c r="B70" s="36"/>
      <c r="C70" s="36"/>
      <c r="D70" s="36"/>
      <c r="F70" s="17">
        <v>66</v>
      </c>
      <c r="G70" s="18">
        <v>1.696779184823523</v>
      </c>
      <c r="I70" s="24"/>
      <c r="J70" s="24"/>
      <c r="K70" s="24"/>
    </row>
    <row r="71" spans="2:11" ht="15.6" hidden="1" x14ac:dyDescent="0.25">
      <c r="B71" s="36"/>
      <c r="C71" s="36"/>
      <c r="D71" s="36"/>
      <c r="F71" s="17">
        <v>67</v>
      </c>
      <c r="G71" s="18">
        <v>1.1953539850946715</v>
      </c>
      <c r="I71" s="24"/>
      <c r="J71" s="24"/>
      <c r="K71" s="24"/>
    </row>
    <row r="72" spans="2:11" ht="15.6" hidden="1" x14ac:dyDescent="0.25">
      <c r="B72" s="36"/>
      <c r="C72" s="36"/>
      <c r="D72" s="36"/>
      <c r="F72" s="17">
        <v>68</v>
      </c>
      <c r="G72" s="18">
        <v>1.4180299438240782</v>
      </c>
      <c r="I72" s="24"/>
      <c r="J72" s="24"/>
      <c r="K72" s="24"/>
    </row>
    <row r="73" spans="2:11" ht="15.6" hidden="1" x14ac:dyDescent="0.25">
      <c r="B73" s="36"/>
      <c r="C73" s="36"/>
      <c r="D73" s="36"/>
      <c r="F73" s="17">
        <v>69</v>
      </c>
      <c r="G73" s="18">
        <v>1.5109746212279802</v>
      </c>
      <c r="I73" s="24"/>
      <c r="J73" s="24"/>
      <c r="K73" s="24"/>
    </row>
    <row r="74" spans="2:11" ht="15.6" hidden="1" x14ac:dyDescent="0.25">
      <c r="B74" s="36"/>
      <c r="C74" s="36"/>
      <c r="D74" s="36"/>
      <c r="F74" s="17">
        <v>70</v>
      </c>
      <c r="G74" s="18">
        <v>1.5602392296490368</v>
      </c>
      <c r="I74" s="24"/>
      <c r="J74" s="24"/>
      <c r="K74" s="24"/>
    </row>
    <row r="75" spans="2:11" ht="15.6" hidden="1" x14ac:dyDescent="0.25">
      <c r="B75" s="36"/>
      <c r="C75" s="36"/>
      <c r="D75" s="36"/>
      <c r="F75" s="17">
        <v>71</v>
      </c>
      <c r="G75" s="18">
        <v>1.5926265069117775</v>
      </c>
      <c r="I75" s="24"/>
      <c r="J75" s="24"/>
      <c r="K75" s="24"/>
    </row>
    <row r="76" spans="2:11" ht="15.6" hidden="1" x14ac:dyDescent="0.25">
      <c r="B76" s="36"/>
      <c r="C76" s="36"/>
      <c r="D76" s="36"/>
      <c r="F76" s="17">
        <v>72</v>
      </c>
      <c r="G76" s="18">
        <v>1.5709910315074858</v>
      </c>
      <c r="I76" s="24"/>
      <c r="J76" s="24"/>
      <c r="K76" s="24"/>
    </row>
    <row r="77" spans="2:11" ht="15.6" hidden="1" x14ac:dyDescent="0.25">
      <c r="B77" s="36"/>
      <c r="C77" s="36"/>
      <c r="D77" s="36"/>
      <c r="F77" s="17">
        <v>73</v>
      </c>
      <c r="G77" s="18">
        <v>1.3064206038214516</v>
      </c>
      <c r="I77" s="24"/>
      <c r="J77" s="24"/>
      <c r="K77" s="24"/>
    </row>
    <row r="78" spans="2:11" ht="15.6" hidden="1" x14ac:dyDescent="0.25">
      <c r="B78" s="36"/>
      <c r="C78" s="36"/>
      <c r="D78" s="36"/>
      <c r="F78" s="17">
        <v>74</v>
      </c>
      <c r="G78" s="18">
        <v>1.8743715333655251</v>
      </c>
      <c r="I78" s="24"/>
      <c r="J78" s="24"/>
      <c r="K78" s="24"/>
    </row>
    <row r="79" spans="2:11" ht="15.6" hidden="1" x14ac:dyDescent="0.25">
      <c r="B79" s="36"/>
      <c r="C79" s="36"/>
      <c r="D79" s="36"/>
      <c r="F79" s="17">
        <v>75</v>
      </c>
      <c r="G79" s="18">
        <v>1.5888792173980173</v>
      </c>
      <c r="I79" s="24"/>
      <c r="J79" s="24"/>
      <c r="K79" s="24"/>
    </row>
    <row r="80" spans="2:11" ht="15.6" hidden="1" x14ac:dyDescent="0.25">
      <c r="B80" s="36"/>
      <c r="C80" s="36"/>
      <c r="D80" s="36"/>
      <c r="F80" s="17">
        <v>76</v>
      </c>
      <c r="G80" s="18">
        <v>1.2711467106478009</v>
      </c>
      <c r="I80" s="24"/>
      <c r="J80" s="24"/>
      <c r="K80" s="24"/>
    </row>
    <row r="81" spans="2:11" ht="15.6" hidden="1" x14ac:dyDescent="0.25">
      <c r="B81" s="36"/>
      <c r="C81" s="36"/>
      <c r="D81" s="36"/>
      <c r="F81" s="17">
        <v>77</v>
      </c>
      <c r="G81" s="18">
        <v>1.6538170314669722</v>
      </c>
      <c r="I81" s="24"/>
      <c r="J81" s="24"/>
      <c r="K81" s="24"/>
    </row>
    <row r="82" spans="2:11" ht="15.6" hidden="1" x14ac:dyDescent="0.25">
      <c r="B82" s="36"/>
      <c r="C82" s="36"/>
      <c r="D82" s="36"/>
      <c r="F82" s="17">
        <v>78</v>
      </c>
      <c r="G82" s="18">
        <v>1.5204858227764841</v>
      </c>
      <c r="I82" s="24"/>
      <c r="J82" s="24"/>
      <c r="K82" s="24"/>
    </row>
    <row r="83" spans="2:11" ht="15.6" hidden="1" x14ac:dyDescent="0.25">
      <c r="B83" s="36"/>
      <c r="C83" s="36"/>
      <c r="D83" s="36"/>
      <c r="F83" s="17">
        <v>79</v>
      </c>
      <c r="G83" s="18">
        <v>1.3917003459961794</v>
      </c>
      <c r="I83" s="24"/>
      <c r="J83" s="24"/>
      <c r="K83" s="24"/>
    </row>
    <row r="84" spans="2:11" ht="15.6" hidden="1" x14ac:dyDescent="0.25">
      <c r="B84" s="36"/>
      <c r="C84" s="36"/>
      <c r="D84" s="36"/>
      <c r="F84" s="17">
        <v>80</v>
      </c>
      <c r="G84" s="18">
        <v>1.6228653991775843</v>
      </c>
      <c r="I84" s="24"/>
      <c r="J84" s="24"/>
      <c r="K84" s="24"/>
    </row>
    <row r="85" spans="2:11" ht="15.6" hidden="1" x14ac:dyDescent="0.25">
      <c r="B85" s="36"/>
      <c r="C85" s="36"/>
      <c r="D85" s="36"/>
      <c r="F85" s="17">
        <v>81</v>
      </c>
      <c r="G85" s="18">
        <v>1.4054805775555677</v>
      </c>
      <c r="I85" s="24"/>
      <c r="J85" s="24"/>
      <c r="K85" s="24"/>
    </row>
    <row r="86" spans="2:11" ht="15.6" hidden="1" x14ac:dyDescent="0.25">
      <c r="B86" s="36"/>
      <c r="C86" s="36"/>
      <c r="D86" s="36"/>
      <c r="F86" s="17">
        <v>82</v>
      </c>
      <c r="G86" s="18">
        <v>1.50196740963385</v>
      </c>
      <c r="I86" s="24"/>
      <c r="J86" s="24"/>
      <c r="K86" s="24"/>
    </row>
    <row r="87" spans="2:11" ht="15.6" hidden="1" x14ac:dyDescent="0.25">
      <c r="B87" s="36"/>
      <c r="C87" s="36"/>
      <c r="D87" s="36"/>
      <c r="F87" s="17">
        <v>83</v>
      </c>
      <c r="G87" s="18">
        <v>1.3950744743396015</v>
      </c>
      <c r="I87" s="24"/>
      <c r="J87" s="24"/>
      <c r="K87" s="24"/>
    </row>
    <row r="88" spans="2:11" ht="15.6" hidden="1" x14ac:dyDescent="0.25">
      <c r="B88" s="36"/>
      <c r="C88" s="36"/>
      <c r="D88" s="36"/>
      <c r="F88" s="17">
        <v>84</v>
      </c>
      <c r="G88" s="18">
        <v>1.453153337511905</v>
      </c>
      <c r="I88" s="24"/>
      <c r="J88" s="24"/>
      <c r="K88" s="24"/>
    </row>
    <row r="89" spans="2:11" ht="15.6" hidden="1" x14ac:dyDescent="0.25">
      <c r="B89" s="36"/>
      <c r="C89" s="36"/>
      <c r="D89" s="36"/>
      <c r="F89" s="17">
        <v>85</v>
      </c>
      <c r="G89" s="18">
        <v>1.7874545042640664</v>
      </c>
      <c r="I89" s="24"/>
      <c r="J89" s="24"/>
      <c r="K89" s="24"/>
    </row>
    <row r="90" spans="2:11" ht="15.6" hidden="1" x14ac:dyDescent="0.25">
      <c r="B90" s="36"/>
      <c r="C90" s="36"/>
      <c r="D90" s="36"/>
      <c r="F90" s="17">
        <v>86</v>
      </c>
      <c r="G90" s="18">
        <v>1.5702475870810293</v>
      </c>
      <c r="I90" s="24"/>
      <c r="J90" s="24"/>
      <c r="K90" s="24"/>
    </row>
    <row r="91" spans="2:11" ht="15.6" hidden="1" x14ac:dyDescent="0.25">
      <c r="B91" s="36"/>
      <c r="C91" s="36"/>
      <c r="D91" s="36"/>
      <c r="F91" s="17">
        <v>87</v>
      </c>
      <c r="G91" s="18">
        <v>1.1701968493334789</v>
      </c>
      <c r="I91" s="24"/>
      <c r="J91" s="24"/>
      <c r="K91" s="24"/>
    </row>
    <row r="92" spans="2:11" ht="15.6" hidden="1" x14ac:dyDescent="0.25">
      <c r="B92" s="36"/>
      <c r="C92" s="36"/>
      <c r="D92" s="36"/>
      <c r="F92" s="17">
        <v>88</v>
      </c>
      <c r="G92" s="18">
        <v>1.544121525717701</v>
      </c>
      <c r="I92" s="24"/>
      <c r="J92" s="24"/>
      <c r="K92" s="24"/>
    </row>
    <row r="93" spans="2:11" ht="15.6" hidden="1" x14ac:dyDescent="0.25">
      <c r="B93" s="36"/>
      <c r="C93" s="36"/>
      <c r="D93" s="36"/>
      <c r="F93" s="17">
        <v>89</v>
      </c>
      <c r="G93" s="18">
        <v>1.3484730901973894</v>
      </c>
      <c r="I93" s="24"/>
      <c r="J93" s="24"/>
      <c r="K93" s="24"/>
    </row>
    <row r="94" spans="2:11" ht="15.6" hidden="1" x14ac:dyDescent="0.25">
      <c r="B94" s="36"/>
      <c r="C94" s="36"/>
      <c r="D94" s="36"/>
      <c r="F94" s="17">
        <v>90</v>
      </c>
      <c r="G94" s="18">
        <v>1.6445227770082491</v>
      </c>
      <c r="I94" s="24"/>
      <c r="J94" s="24"/>
      <c r="K94" s="24"/>
    </row>
    <row r="95" spans="2:11" ht="15.6" hidden="1" x14ac:dyDescent="0.25">
      <c r="B95" s="36"/>
      <c r="C95" s="36"/>
      <c r="D95" s="36"/>
      <c r="F95" s="17">
        <v>91</v>
      </c>
      <c r="G95" s="18">
        <v>1.6403796333511256</v>
      </c>
      <c r="I95" s="24"/>
      <c r="J95" s="24"/>
      <c r="K95" s="24"/>
    </row>
    <row r="96" spans="2:11" ht="15.6" hidden="1" x14ac:dyDescent="0.25">
      <c r="B96" s="36"/>
      <c r="C96" s="36"/>
      <c r="D96" s="36"/>
      <c r="F96" s="17">
        <v>92</v>
      </c>
      <c r="G96" s="18">
        <v>1.5915271302816327</v>
      </c>
      <c r="I96" s="24"/>
      <c r="J96" s="24"/>
      <c r="K96" s="24"/>
    </row>
    <row r="97" spans="2:11" ht="15.6" hidden="1" x14ac:dyDescent="0.25">
      <c r="B97" s="36"/>
      <c r="C97" s="36"/>
      <c r="D97" s="36"/>
      <c r="F97" s="17">
        <v>93</v>
      </c>
      <c r="G97" s="18">
        <v>1.2892288058329866</v>
      </c>
      <c r="I97" s="24"/>
      <c r="J97" s="24"/>
      <c r="K97" s="24"/>
    </row>
    <row r="98" spans="2:11" ht="15.6" hidden="1" x14ac:dyDescent="0.25">
      <c r="B98" s="36"/>
      <c r="C98" s="36"/>
      <c r="D98" s="36"/>
      <c r="F98" s="17">
        <v>94</v>
      </c>
      <c r="G98" s="18">
        <v>1.649023416922013</v>
      </c>
      <c r="I98" s="24"/>
      <c r="J98" s="24"/>
      <c r="K98" s="24"/>
    </row>
    <row r="99" spans="2:11" ht="15.6" hidden="1" x14ac:dyDescent="0.25">
      <c r="B99" s="36"/>
      <c r="C99" s="36"/>
      <c r="D99" s="36"/>
      <c r="F99" s="17">
        <v>95</v>
      </c>
      <c r="G99" s="18">
        <v>1.5086905578484098</v>
      </c>
      <c r="I99" s="24"/>
      <c r="J99" s="24"/>
      <c r="K99" s="24"/>
    </row>
    <row r="100" spans="2:11" ht="15.6" hidden="1" x14ac:dyDescent="0.25">
      <c r="B100" s="36"/>
      <c r="C100" s="36"/>
      <c r="D100" s="36"/>
      <c r="F100" s="17">
        <v>96</v>
      </c>
      <c r="G100" s="18">
        <v>1.7633413800318172</v>
      </c>
      <c r="I100" s="24"/>
      <c r="J100" s="24"/>
      <c r="K100" s="24"/>
    </row>
    <row r="101" spans="2:11" ht="15.6" hidden="1" x14ac:dyDescent="0.25">
      <c r="B101" s="36"/>
      <c r="C101" s="36"/>
      <c r="D101" s="36"/>
      <c r="F101" s="17">
        <v>97</v>
      </c>
      <c r="G101" s="18">
        <v>1.6504123713458885</v>
      </c>
      <c r="I101" s="24"/>
      <c r="J101" s="24"/>
      <c r="K101" s="24"/>
    </row>
    <row r="102" spans="2:11" ht="15.6" hidden="1" x14ac:dyDescent="0.25">
      <c r="B102" s="36"/>
      <c r="C102" s="36"/>
      <c r="D102" s="36"/>
      <c r="F102" s="17">
        <v>98</v>
      </c>
      <c r="G102" s="18">
        <v>1.7666860391725487</v>
      </c>
      <c r="I102" s="24"/>
      <c r="J102" s="24"/>
      <c r="K102" s="24"/>
    </row>
    <row r="103" spans="2:11" x14ac:dyDescent="0.25">
      <c r="B103" s="36"/>
      <c r="C103" s="36"/>
      <c r="D103" s="36"/>
      <c r="F103" s="17">
        <v>99</v>
      </c>
      <c r="G103" s="18">
        <v>1.5005381141455203</v>
      </c>
    </row>
    <row r="104" spans="2:11" x14ac:dyDescent="0.25">
      <c r="B104" s="36"/>
      <c r="C104" s="36"/>
      <c r="D104" s="36"/>
      <c r="F104" s="17">
        <v>100</v>
      </c>
      <c r="G104" s="18">
        <v>1.5470203864843111</v>
      </c>
    </row>
    <row r="105" spans="2:11" x14ac:dyDescent="0.25">
      <c r="B105" s="36"/>
      <c r="C105" s="36"/>
      <c r="D105" s="36"/>
      <c r="F105" s="27"/>
      <c r="G105" s="28"/>
      <c r="I105" s="6"/>
      <c r="J105" s="6"/>
      <c r="K105" s="6"/>
    </row>
    <row r="106" spans="2:11" x14ac:dyDescent="0.25">
      <c r="F106" s="27"/>
      <c r="G106" s="28"/>
      <c r="I106" s="6"/>
      <c r="J106" s="6"/>
      <c r="K106" s="6"/>
    </row>
    <row r="107" spans="2:11" x14ac:dyDescent="0.25">
      <c r="F107" s="27"/>
      <c r="G107" s="28"/>
      <c r="I107" s="6"/>
      <c r="J107" s="6"/>
      <c r="K107" s="6"/>
    </row>
    <row r="108" spans="2:11" x14ac:dyDescent="0.25">
      <c r="F108" s="27"/>
      <c r="G108" s="28"/>
      <c r="I108" s="6"/>
      <c r="J108" s="6"/>
      <c r="K108" s="6"/>
    </row>
    <row r="109" spans="2:11" x14ac:dyDescent="0.25">
      <c r="F109" s="27"/>
      <c r="G109" s="28"/>
      <c r="I109" s="6"/>
      <c r="J109" s="6"/>
      <c r="K109" s="6"/>
    </row>
    <row r="110" spans="2:11" x14ac:dyDescent="0.25">
      <c r="F110" s="27"/>
      <c r="G110" s="28"/>
      <c r="I110" s="6"/>
      <c r="J110" s="6"/>
      <c r="K110" s="6"/>
    </row>
    <row r="111" spans="2:11" x14ac:dyDescent="0.25">
      <c r="F111" s="27"/>
      <c r="G111" s="28"/>
      <c r="I111" s="6"/>
      <c r="J111" s="6"/>
      <c r="K111" s="6"/>
    </row>
    <row r="112" spans="2:11" x14ac:dyDescent="0.25">
      <c r="F112" s="27"/>
      <c r="G112" s="28"/>
      <c r="I112" s="6"/>
      <c r="J112" s="6"/>
      <c r="K112" s="6"/>
    </row>
    <row r="113" spans="6:11" x14ac:dyDescent="0.25">
      <c r="F113" s="27"/>
      <c r="G113" s="28"/>
      <c r="I113" s="6"/>
      <c r="J113" s="6"/>
      <c r="K113" s="6"/>
    </row>
    <row r="114" spans="6:11" x14ac:dyDescent="0.25">
      <c r="F114" s="27"/>
      <c r="G114" s="28"/>
      <c r="I114" s="6"/>
      <c r="J114" s="6"/>
      <c r="K114" s="6"/>
    </row>
    <row r="115" spans="6:11" x14ac:dyDescent="0.25">
      <c r="F115" s="27"/>
      <c r="G115" s="28"/>
      <c r="I115" s="6"/>
      <c r="J115" s="6"/>
      <c r="K115" s="6"/>
    </row>
    <row r="116" spans="6:11" x14ac:dyDescent="0.25">
      <c r="F116" s="27"/>
      <c r="G116" s="28"/>
      <c r="I116" s="6"/>
      <c r="J116" s="6"/>
      <c r="K116" s="6"/>
    </row>
    <row r="117" spans="6:11" x14ac:dyDescent="0.25">
      <c r="F117" s="27"/>
      <c r="G117" s="28"/>
      <c r="I117" s="6"/>
      <c r="J117" s="6"/>
      <c r="K117" s="6"/>
    </row>
    <row r="118" spans="6:11" x14ac:dyDescent="0.25">
      <c r="F118" s="27"/>
      <c r="G118" s="28"/>
      <c r="I118" s="6"/>
      <c r="J118" s="6"/>
      <c r="K118" s="6"/>
    </row>
    <row r="119" spans="6:11" x14ac:dyDescent="0.25">
      <c r="F119" s="27"/>
      <c r="G119" s="28"/>
      <c r="I119" s="6"/>
      <c r="J119" s="6"/>
      <c r="K119" s="6"/>
    </row>
    <row r="120" spans="6:11" x14ac:dyDescent="0.25">
      <c r="F120" s="27"/>
      <c r="G120" s="28"/>
      <c r="I120" s="6"/>
      <c r="J120" s="6"/>
      <c r="K120" s="6"/>
    </row>
    <row r="121" spans="6:11" x14ac:dyDescent="0.25">
      <c r="F121" s="27"/>
      <c r="G121" s="28"/>
    </row>
    <row r="122" spans="6:11" x14ac:dyDescent="0.25">
      <c r="F122" s="27"/>
      <c r="G122" s="28"/>
    </row>
    <row r="123" spans="6:11" x14ac:dyDescent="0.25">
      <c r="F123" s="27"/>
      <c r="G123" s="28"/>
    </row>
    <row r="124" spans="6:11" x14ac:dyDescent="0.25">
      <c r="F124" s="27"/>
      <c r="G124" s="28"/>
    </row>
    <row r="125" spans="6:11" x14ac:dyDescent="0.25">
      <c r="F125" s="27"/>
      <c r="G125" s="28"/>
    </row>
    <row r="126" spans="6:11" x14ac:dyDescent="0.25">
      <c r="F126" s="27"/>
      <c r="G126" s="28"/>
    </row>
    <row r="127" spans="6:11" x14ac:dyDescent="0.25">
      <c r="F127" s="27"/>
      <c r="G127" s="28"/>
    </row>
    <row r="128" spans="6:11" x14ac:dyDescent="0.25">
      <c r="F128" s="27"/>
      <c r="G128" s="28"/>
    </row>
    <row r="129" spans="6:7" x14ac:dyDescent="0.25">
      <c r="F129" s="27"/>
      <c r="G129" s="28"/>
    </row>
    <row r="130" spans="6:7" x14ac:dyDescent="0.25">
      <c r="F130" s="27"/>
      <c r="G130" s="28"/>
    </row>
    <row r="131" spans="6:7" x14ac:dyDescent="0.25">
      <c r="F131" s="27"/>
      <c r="G131" s="28"/>
    </row>
    <row r="132" spans="6:7" x14ac:dyDescent="0.25">
      <c r="F132" s="27"/>
      <c r="G132" s="28"/>
    </row>
    <row r="133" spans="6:7" x14ac:dyDescent="0.25">
      <c r="F133" s="27"/>
      <c r="G133" s="28"/>
    </row>
    <row r="134" spans="6:7" x14ac:dyDescent="0.25">
      <c r="F134" s="27"/>
      <c r="G134" s="28"/>
    </row>
    <row r="135" spans="6:7" x14ac:dyDescent="0.25">
      <c r="F135" s="27"/>
      <c r="G135" s="28"/>
    </row>
    <row r="136" spans="6:7" x14ac:dyDescent="0.25">
      <c r="F136" s="27"/>
      <c r="G136" s="28"/>
    </row>
    <row r="137" spans="6:7" x14ac:dyDescent="0.25">
      <c r="F137" s="27"/>
      <c r="G137" s="28"/>
    </row>
    <row r="138" spans="6:7" x14ac:dyDescent="0.25">
      <c r="F138" s="27"/>
      <c r="G138" s="28"/>
    </row>
    <row r="139" spans="6:7" x14ac:dyDescent="0.25">
      <c r="F139" s="27"/>
      <c r="G139" s="28"/>
    </row>
    <row r="140" spans="6:7" x14ac:dyDescent="0.25">
      <c r="F140" s="27"/>
      <c r="G140" s="28"/>
    </row>
    <row r="141" spans="6:7" x14ac:dyDescent="0.25">
      <c r="F141" s="27"/>
      <c r="G141" s="28"/>
    </row>
    <row r="142" spans="6:7" x14ac:dyDescent="0.25">
      <c r="F142" s="27"/>
      <c r="G142" s="28"/>
    </row>
    <row r="143" spans="6:7" x14ac:dyDescent="0.25">
      <c r="F143" s="27"/>
      <c r="G143" s="28"/>
    </row>
    <row r="144" spans="6:7" x14ac:dyDescent="0.25">
      <c r="F144" s="27"/>
      <c r="G144" s="28"/>
    </row>
    <row r="145" spans="6:7" x14ac:dyDescent="0.25">
      <c r="F145" s="27"/>
      <c r="G145" s="28"/>
    </row>
    <row r="146" spans="6:7" x14ac:dyDescent="0.25">
      <c r="F146" s="27"/>
      <c r="G146" s="28"/>
    </row>
    <row r="147" spans="6:7" x14ac:dyDescent="0.25">
      <c r="F147" s="27"/>
      <c r="G147" s="28"/>
    </row>
    <row r="148" spans="6:7" x14ac:dyDescent="0.25">
      <c r="F148" s="27"/>
      <c r="G148" s="28"/>
    </row>
    <row r="149" spans="6:7" x14ac:dyDescent="0.25">
      <c r="F149" s="27"/>
      <c r="G149" s="28"/>
    </row>
    <row r="150" spans="6:7" x14ac:dyDescent="0.25">
      <c r="F150" s="27"/>
      <c r="G150" s="28"/>
    </row>
    <row r="151" spans="6:7" x14ac:dyDescent="0.25">
      <c r="F151" s="27"/>
      <c r="G151" s="28"/>
    </row>
    <row r="152" spans="6:7" x14ac:dyDescent="0.25">
      <c r="F152" s="27"/>
      <c r="G152" s="28"/>
    </row>
    <row r="153" spans="6:7" x14ac:dyDescent="0.25">
      <c r="F153" s="27"/>
      <c r="G153" s="28"/>
    </row>
    <row r="154" spans="6:7" x14ac:dyDescent="0.25">
      <c r="F154" s="27"/>
      <c r="G154" s="28"/>
    </row>
    <row r="155" spans="6:7" x14ac:dyDescent="0.25">
      <c r="F155" s="27"/>
      <c r="G155" s="28"/>
    </row>
    <row r="156" spans="6:7" x14ac:dyDescent="0.25">
      <c r="F156" s="27"/>
      <c r="G156" s="28"/>
    </row>
    <row r="157" spans="6:7" x14ac:dyDescent="0.25">
      <c r="F157" s="27"/>
      <c r="G157" s="28"/>
    </row>
    <row r="158" spans="6:7" x14ac:dyDescent="0.25">
      <c r="F158" s="27"/>
      <c r="G158" s="28"/>
    </row>
    <row r="159" spans="6:7" x14ac:dyDescent="0.25">
      <c r="F159" s="27"/>
      <c r="G159" s="28"/>
    </row>
    <row r="160" spans="6:7" x14ac:dyDescent="0.25">
      <c r="F160" s="27"/>
      <c r="G160" s="28"/>
    </row>
    <row r="161" spans="6:7" x14ac:dyDescent="0.25">
      <c r="F161" s="27"/>
      <c r="G161" s="28"/>
    </row>
    <row r="162" spans="6:7" x14ac:dyDescent="0.25">
      <c r="F162" s="27"/>
      <c r="G162" s="28"/>
    </row>
    <row r="163" spans="6:7" x14ac:dyDescent="0.25">
      <c r="F163" s="27"/>
      <c r="G163" s="28"/>
    </row>
    <row r="164" spans="6:7" x14ac:dyDescent="0.25">
      <c r="F164" s="27"/>
      <c r="G164" s="28"/>
    </row>
    <row r="165" spans="6:7" x14ac:dyDescent="0.25">
      <c r="F165" s="27"/>
      <c r="G165" s="28"/>
    </row>
    <row r="166" spans="6:7" x14ac:dyDescent="0.25">
      <c r="F166" s="27"/>
      <c r="G166" s="28"/>
    </row>
    <row r="167" spans="6:7" x14ac:dyDescent="0.25">
      <c r="F167" s="27"/>
      <c r="G167" s="28"/>
    </row>
    <row r="168" spans="6:7" x14ac:dyDescent="0.25">
      <c r="F168" s="27"/>
      <c r="G168" s="28"/>
    </row>
    <row r="169" spans="6:7" x14ac:dyDescent="0.25">
      <c r="F169" s="27"/>
      <c r="G169" s="28"/>
    </row>
    <row r="170" spans="6:7" x14ac:dyDescent="0.25">
      <c r="F170" s="27"/>
      <c r="G170" s="28"/>
    </row>
    <row r="171" spans="6:7" x14ac:dyDescent="0.25">
      <c r="F171" s="27"/>
      <c r="G171" s="28"/>
    </row>
    <row r="172" spans="6:7" x14ac:dyDescent="0.25">
      <c r="F172" s="27"/>
      <c r="G172" s="28"/>
    </row>
    <row r="173" spans="6:7" x14ac:dyDescent="0.25">
      <c r="F173" s="27"/>
      <c r="G173" s="28"/>
    </row>
    <row r="174" spans="6:7" x14ac:dyDescent="0.25">
      <c r="F174" s="27"/>
      <c r="G174" s="28"/>
    </row>
    <row r="175" spans="6:7" x14ac:dyDescent="0.25">
      <c r="F175" s="27"/>
      <c r="G175" s="28"/>
    </row>
    <row r="176" spans="6:7" x14ac:dyDescent="0.25">
      <c r="F176" s="27"/>
      <c r="G176" s="28"/>
    </row>
    <row r="177" spans="6:7" x14ac:dyDescent="0.25">
      <c r="F177" s="27"/>
      <c r="G177" s="28"/>
    </row>
    <row r="178" spans="6:7" x14ac:dyDescent="0.25">
      <c r="F178" s="27"/>
      <c r="G178" s="28"/>
    </row>
    <row r="179" spans="6:7" x14ac:dyDescent="0.25">
      <c r="F179" s="27"/>
      <c r="G179" s="28"/>
    </row>
    <row r="180" spans="6:7" x14ac:dyDescent="0.25">
      <c r="F180" s="27"/>
      <c r="G180" s="28"/>
    </row>
    <row r="181" spans="6:7" x14ac:dyDescent="0.25">
      <c r="F181" s="27"/>
      <c r="G181" s="28"/>
    </row>
    <row r="182" spans="6:7" x14ac:dyDescent="0.25">
      <c r="F182" s="27"/>
      <c r="G182" s="28"/>
    </row>
    <row r="183" spans="6:7" x14ac:dyDescent="0.25">
      <c r="F183" s="27"/>
      <c r="G183" s="28"/>
    </row>
    <row r="184" spans="6:7" x14ac:dyDescent="0.25">
      <c r="F184" s="27"/>
      <c r="G184" s="28"/>
    </row>
    <row r="185" spans="6:7" x14ac:dyDescent="0.25">
      <c r="F185" s="27"/>
      <c r="G185" s="28"/>
    </row>
    <row r="186" spans="6:7" x14ac:dyDescent="0.25">
      <c r="F186" s="27"/>
      <c r="G186" s="28"/>
    </row>
    <row r="187" spans="6:7" x14ac:dyDescent="0.25">
      <c r="F187" s="27"/>
      <c r="G187" s="28"/>
    </row>
    <row r="188" spans="6:7" x14ac:dyDescent="0.25">
      <c r="F188" s="27"/>
      <c r="G188" s="28"/>
    </row>
    <row r="189" spans="6:7" x14ac:dyDescent="0.25">
      <c r="F189" s="27"/>
      <c r="G189" s="28"/>
    </row>
    <row r="190" spans="6:7" x14ac:dyDescent="0.25">
      <c r="F190" s="27"/>
      <c r="G190" s="28"/>
    </row>
    <row r="191" spans="6:7" x14ac:dyDescent="0.25">
      <c r="F191" s="27"/>
      <c r="G191" s="28"/>
    </row>
    <row r="192" spans="6:7" x14ac:dyDescent="0.25">
      <c r="F192" s="27"/>
      <c r="G192" s="28"/>
    </row>
    <row r="193" spans="6:7" x14ac:dyDescent="0.25">
      <c r="F193" s="27"/>
      <c r="G193" s="28"/>
    </row>
    <row r="194" spans="6:7" x14ac:dyDescent="0.25">
      <c r="F194" s="27"/>
      <c r="G194" s="28"/>
    </row>
    <row r="195" spans="6:7" x14ac:dyDescent="0.25">
      <c r="F195" s="27"/>
      <c r="G195" s="28"/>
    </row>
    <row r="196" spans="6:7" x14ac:dyDescent="0.25">
      <c r="F196" s="27"/>
      <c r="G196" s="28"/>
    </row>
    <row r="197" spans="6:7" x14ac:dyDescent="0.25">
      <c r="F197" s="27"/>
      <c r="G197" s="28"/>
    </row>
    <row r="198" spans="6:7" x14ac:dyDescent="0.25">
      <c r="F198" s="27"/>
      <c r="G198" s="28"/>
    </row>
    <row r="199" spans="6:7" x14ac:dyDescent="0.25">
      <c r="F199" s="27"/>
      <c r="G199" s="28"/>
    </row>
    <row r="200" spans="6:7" x14ac:dyDescent="0.25">
      <c r="F200" s="27"/>
      <c r="G200" s="28"/>
    </row>
    <row r="201" spans="6:7" x14ac:dyDescent="0.25">
      <c r="F201" s="27"/>
      <c r="G201" s="28"/>
    </row>
    <row r="202" spans="6:7" x14ac:dyDescent="0.25">
      <c r="F202" s="27"/>
      <c r="G202" s="28"/>
    </row>
    <row r="203" spans="6:7" x14ac:dyDescent="0.25">
      <c r="F203" s="27"/>
      <c r="G203" s="28"/>
    </row>
    <row r="204" spans="6:7" x14ac:dyDescent="0.25">
      <c r="F204" s="27"/>
      <c r="G204" s="28"/>
    </row>
    <row r="205" spans="6:7" x14ac:dyDescent="0.25">
      <c r="F205" s="27"/>
      <c r="G205" s="28"/>
    </row>
    <row r="206" spans="6:7" x14ac:dyDescent="0.25">
      <c r="F206" s="27"/>
      <c r="G206" s="28"/>
    </row>
    <row r="207" spans="6:7" x14ac:dyDescent="0.25">
      <c r="F207" s="27"/>
      <c r="G207" s="28"/>
    </row>
    <row r="208" spans="6:7" x14ac:dyDescent="0.25">
      <c r="F208" s="27"/>
      <c r="G208" s="28"/>
    </row>
    <row r="209" spans="6:7" x14ac:dyDescent="0.25">
      <c r="F209" s="27"/>
      <c r="G209" s="28"/>
    </row>
    <row r="210" spans="6:7" x14ac:dyDescent="0.25">
      <c r="F210" s="27"/>
      <c r="G210" s="28"/>
    </row>
    <row r="211" spans="6:7" x14ac:dyDescent="0.25">
      <c r="F211" s="27"/>
      <c r="G211" s="28"/>
    </row>
    <row r="212" spans="6:7" x14ac:dyDescent="0.25">
      <c r="F212" s="27"/>
      <c r="G212" s="28"/>
    </row>
    <row r="213" spans="6:7" x14ac:dyDescent="0.25">
      <c r="F213" s="27"/>
      <c r="G213" s="28"/>
    </row>
    <row r="214" spans="6:7" x14ac:dyDescent="0.25">
      <c r="F214" s="27"/>
      <c r="G214" s="28"/>
    </row>
    <row r="215" spans="6:7" x14ac:dyDescent="0.25">
      <c r="F215" s="27"/>
      <c r="G215" s="28"/>
    </row>
    <row r="216" spans="6:7" x14ac:dyDescent="0.25">
      <c r="F216" s="27"/>
      <c r="G216" s="28"/>
    </row>
    <row r="217" spans="6:7" x14ac:dyDescent="0.25">
      <c r="F217" s="27"/>
      <c r="G217" s="28"/>
    </row>
    <row r="218" spans="6:7" x14ac:dyDescent="0.25">
      <c r="F218" s="27"/>
      <c r="G218" s="28"/>
    </row>
    <row r="219" spans="6:7" x14ac:dyDescent="0.25">
      <c r="F219" s="27"/>
      <c r="G219" s="28"/>
    </row>
    <row r="220" spans="6:7" x14ac:dyDescent="0.25">
      <c r="F220" s="27"/>
      <c r="G220" s="28"/>
    </row>
    <row r="221" spans="6:7" x14ac:dyDescent="0.25">
      <c r="F221" s="27"/>
      <c r="G221" s="28"/>
    </row>
    <row r="222" spans="6:7" x14ac:dyDescent="0.25">
      <c r="F222" s="27"/>
      <c r="G222" s="28"/>
    </row>
    <row r="223" spans="6:7" x14ac:dyDescent="0.25">
      <c r="F223" s="27"/>
      <c r="G223" s="28"/>
    </row>
    <row r="224" spans="6:7" x14ac:dyDescent="0.25">
      <c r="F224" s="27"/>
      <c r="G224" s="28"/>
    </row>
    <row r="225" spans="6:7" x14ac:dyDescent="0.25">
      <c r="F225" s="27"/>
      <c r="G225" s="28"/>
    </row>
    <row r="226" spans="6:7" x14ac:dyDescent="0.25">
      <c r="F226" s="27"/>
      <c r="G226" s="28"/>
    </row>
    <row r="227" spans="6:7" x14ac:dyDescent="0.25">
      <c r="F227" s="27"/>
      <c r="G227" s="28"/>
    </row>
    <row r="228" spans="6:7" x14ac:dyDescent="0.25">
      <c r="F228" s="27"/>
      <c r="G228" s="28"/>
    </row>
    <row r="229" spans="6:7" x14ac:dyDescent="0.25">
      <c r="F229" s="27"/>
      <c r="G229" s="28"/>
    </row>
    <row r="230" spans="6:7" x14ac:dyDescent="0.25">
      <c r="F230" s="27"/>
      <c r="G230" s="28"/>
    </row>
    <row r="231" spans="6:7" x14ac:dyDescent="0.25">
      <c r="F231" s="27"/>
      <c r="G231" s="28"/>
    </row>
    <row r="232" spans="6:7" x14ac:dyDescent="0.25">
      <c r="F232" s="27"/>
      <c r="G232" s="28"/>
    </row>
    <row r="233" spans="6:7" x14ac:dyDescent="0.25">
      <c r="F233" s="27"/>
      <c r="G233" s="28"/>
    </row>
    <row r="234" spans="6:7" x14ac:dyDescent="0.25">
      <c r="F234" s="27"/>
      <c r="G234" s="28"/>
    </row>
    <row r="235" spans="6:7" x14ac:dyDescent="0.25">
      <c r="F235" s="27"/>
      <c r="G235" s="28"/>
    </row>
    <row r="236" spans="6:7" x14ac:dyDescent="0.25">
      <c r="F236" s="27"/>
      <c r="G236" s="28"/>
    </row>
    <row r="237" spans="6:7" x14ac:dyDescent="0.25">
      <c r="F237" s="27"/>
      <c r="G237" s="28"/>
    </row>
    <row r="238" spans="6:7" x14ac:dyDescent="0.25">
      <c r="F238" s="27"/>
      <c r="G238" s="28"/>
    </row>
    <row r="239" spans="6:7" x14ac:dyDescent="0.25">
      <c r="F239" s="27"/>
      <c r="G239" s="28"/>
    </row>
    <row r="240" spans="6:7" x14ac:dyDescent="0.25">
      <c r="F240" s="27"/>
      <c r="G240" s="28"/>
    </row>
    <row r="241" spans="6:7" x14ac:dyDescent="0.25">
      <c r="F241" s="27"/>
      <c r="G241" s="28"/>
    </row>
    <row r="242" spans="6:7" x14ac:dyDescent="0.25">
      <c r="F242" s="27"/>
      <c r="G242" s="28"/>
    </row>
    <row r="243" spans="6:7" x14ac:dyDescent="0.25">
      <c r="F243" s="27"/>
      <c r="G243" s="28"/>
    </row>
    <row r="244" spans="6:7" x14ac:dyDescent="0.25">
      <c r="F244" s="27"/>
      <c r="G244" s="28"/>
    </row>
    <row r="245" spans="6:7" x14ac:dyDescent="0.25">
      <c r="F245" s="27"/>
      <c r="G245" s="28"/>
    </row>
    <row r="246" spans="6:7" x14ac:dyDescent="0.25">
      <c r="F246" s="27"/>
      <c r="G246" s="28"/>
    </row>
    <row r="247" spans="6:7" x14ac:dyDescent="0.25">
      <c r="F247" s="27"/>
      <c r="G247" s="28"/>
    </row>
    <row r="248" spans="6:7" x14ac:dyDescent="0.25">
      <c r="F248" s="27"/>
      <c r="G248" s="28"/>
    </row>
    <row r="249" spans="6:7" x14ac:dyDescent="0.25">
      <c r="F249" s="27"/>
      <c r="G249" s="28"/>
    </row>
    <row r="250" spans="6:7" x14ac:dyDescent="0.25">
      <c r="F250" s="27"/>
      <c r="G250" s="28"/>
    </row>
    <row r="251" spans="6:7" x14ac:dyDescent="0.25">
      <c r="F251" s="27"/>
      <c r="G251" s="28"/>
    </row>
    <row r="252" spans="6:7" x14ac:dyDescent="0.25">
      <c r="F252" s="27"/>
      <c r="G252" s="28"/>
    </row>
    <row r="253" spans="6:7" x14ac:dyDescent="0.25">
      <c r="F253" s="27"/>
      <c r="G253" s="28"/>
    </row>
    <row r="254" spans="6:7" x14ac:dyDescent="0.25">
      <c r="F254" s="27"/>
      <c r="G254" s="28"/>
    </row>
    <row r="255" spans="6:7" x14ac:dyDescent="0.25">
      <c r="F255" s="27"/>
      <c r="G255" s="28"/>
    </row>
    <row r="256" spans="6:7" x14ac:dyDescent="0.25">
      <c r="F256" s="27"/>
      <c r="G256" s="28"/>
    </row>
    <row r="257" spans="6:7" x14ac:dyDescent="0.25">
      <c r="F257" s="27"/>
      <c r="G257" s="28"/>
    </row>
    <row r="258" spans="6:7" x14ac:dyDescent="0.25">
      <c r="F258" s="27"/>
      <c r="G258" s="28"/>
    </row>
    <row r="259" spans="6:7" x14ac:dyDescent="0.25">
      <c r="F259" s="27"/>
      <c r="G259" s="28"/>
    </row>
    <row r="260" spans="6:7" x14ac:dyDescent="0.25">
      <c r="F260" s="27"/>
      <c r="G260" s="28"/>
    </row>
    <row r="261" spans="6:7" x14ac:dyDescent="0.25">
      <c r="F261" s="27"/>
      <c r="G261" s="28"/>
    </row>
    <row r="262" spans="6:7" x14ac:dyDescent="0.25">
      <c r="F262" s="27"/>
      <c r="G262" s="28"/>
    </row>
    <row r="263" spans="6:7" x14ac:dyDescent="0.25">
      <c r="F263" s="27"/>
      <c r="G263" s="28"/>
    </row>
    <row r="264" spans="6:7" x14ac:dyDescent="0.25">
      <c r="F264" s="27"/>
      <c r="G264" s="28"/>
    </row>
    <row r="265" spans="6:7" x14ac:dyDescent="0.25">
      <c r="F265" s="27"/>
      <c r="G265" s="28"/>
    </row>
    <row r="266" spans="6:7" x14ac:dyDescent="0.25">
      <c r="F266" s="27"/>
      <c r="G266" s="28"/>
    </row>
    <row r="267" spans="6:7" x14ac:dyDescent="0.25">
      <c r="F267" s="27"/>
      <c r="G267" s="28"/>
    </row>
    <row r="268" spans="6:7" x14ac:dyDescent="0.25">
      <c r="F268" s="27"/>
      <c r="G268" s="28"/>
    </row>
    <row r="269" spans="6:7" x14ac:dyDescent="0.25">
      <c r="F269" s="27"/>
      <c r="G269" s="28"/>
    </row>
    <row r="270" spans="6:7" x14ac:dyDescent="0.25">
      <c r="F270" s="27"/>
      <c r="G270" s="28"/>
    </row>
    <row r="271" spans="6:7" x14ac:dyDescent="0.25">
      <c r="F271" s="27"/>
      <c r="G271" s="28"/>
    </row>
    <row r="272" spans="6:7" x14ac:dyDescent="0.25">
      <c r="F272" s="27"/>
      <c r="G272" s="28"/>
    </row>
    <row r="273" spans="6:7" x14ac:dyDescent="0.25">
      <c r="F273" s="27"/>
      <c r="G273" s="28"/>
    </row>
    <row r="274" spans="6:7" x14ac:dyDescent="0.25">
      <c r="F274" s="27"/>
      <c r="G274" s="28"/>
    </row>
    <row r="275" spans="6:7" x14ac:dyDescent="0.25">
      <c r="F275" s="27"/>
      <c r="G275" s="28"/>
    </row>
    <row r="276" spans="6:7" x14ac:dyDescent="0.25">
      <c r="F276" s="27"/>
      <c r="G276" s="28"/>
    </row>
    <row r="277" spans="6:7" x14ac:dyDescent="0.25">
      <c r="F277" s="27"/>
      <c r="G277" s="28"/>
    </row>
    <row r="278" spans="6:7" x14ac:dyDescent="0.25">
      <c r="F278" s="27"/>
      <c r="G278" s="28"/>
    </row>
    <row r="279" spans="6:7" x14ac:dyDescent="0.25">
      <c r="F279" s="27"/>
      <c r="G279" s="28"/>
    </row>
    <row r="280" spans="6:7" x14ac:dyDescent="0.25">
      <c r="F280" s="27"/>
      <c r="G280" s="28"/>
    </row>
    <row r="281" spans="6:7" x14ac:dyDescent="0.25">
      <c r="F281" s="27"/>
      <c r="G281" s="28"/>
    </row>
    <row r="282" spans="6:7" x14ac:dyDescent="0.25">
      <c r="F282" s="27"/>
      <c r="G282" s="28"/>
    </row>
    <row r="283" spans="6:7" x14ac:dyDescent="0.25">
      <c r="F283" s="27"/>
      <c r="G283" s="28"/>
    </row>
    <row r="284" spans="6:7" x14ac:dyDescent="0.25">
      <c r="F284" s="27"/>
      <c r="G284" s="28"/>
    </row>
    <row r="285" spans="6:7" x14ac:dyDescent="0.25">
      <c r="F285" s="27"/>
      <c r="G285" s="28"/>
    </row>
    <row r="286" spans="6:7" x14ac:dyDescent="0.25">
      <c r="F286" s="27"/>
      <c r="G286" s="28"/>
    </row>
    <row r="287" spans="6:7" x14ac:dyDescent="0.25">
      <c r="F287" s="27"/>
      <c r="G287" s="28"/>
    </row>
    <row r="288" spans="6:7" x14ac:dyDescent="0.25">
      <c r="F288" s="27"/>
      <c r="G288" s="28"/>
    </row>
    <row r="289" spans="6:7" x14ac:dyDescent="0.25">
      <c r="F289" s="27"/>
      <c r="G289" s="28"/>
    </row>
    <row r="290" spans="6:7" x14ac:dyDescent="0.25">
      <c r="F290" s="27"/>
      <c r="G290" s="28"/>
    </row>
    <row r="291" spans="6:7" x14ac:dyDescent="0.25">
      <c r="F291" s="27"/>
      <c r="G291" s="28"/>
    </row>
    <row r="292" spans="6:7" x14ac:dyDescent="0.25">
      <c r="F292" s="27"/>
      <c r="G292" s="28"/>
    </row>
    <row r="293" spans="6:7" x14ac:dyDescent="0.25">
      <c r="F293" s="27"/>
      <c r="G293" s="28"/>
    </row>
    <row r="294" spans="6:7" x14ac:dyDescent="0.25">
      <c r="F294" s="27"/>
      <c r="G294" s="28"/>
    </row>
    <row r="295" spans="6:7" x14ac:dyDescent="0.25">
      <c r="F295" s="27"/>
      <c r="G295" s="28"/>
    </row>
    <row r="296" spans="6:7" x14ac:dyDescent="0.25">
      <c r="F296" s="27"/>
      <c r="G296" s="28"/>
    </row>
    <row r="297" spans="6:7" x14ac:dyDescent="0.25">
      <c r="F297" s="27"/>
      <c r="G297" s="28"/>
    </row>
    <row r="298" spans="6:7" x14ac:dyDescent="0.25">
      <c r="F298" s="27"/>
      <c r="G298" s="28"/>
    </row>
    <row r="299" spans="6:7" x14ac:dyDescent="0.25">
      <c r="F299" s="27"/>
      <c r="G299" s="28"/>
    </row>
    <row r="300" spans="6:7" x14ac:dyDescent="0.25">
      <c r="F300" s="27"/>
      <c r="G300" s="28"/>
    </row>
    <row r="301" spans="6:7" x14ac:dyDescent="0.25">
      <c r="F301" s="27"/>
      <c r="G301" s="28"/>
    </row>
    <row r="302" spans="6:7" x14ac:dyDescent="0.25">
      <c r="F302" s="27"/>
      <c r="G302" s="28"/>
    </row>
    <row r="303" spans="6:7" x14ac:dyDescent="0.25">
      <c r="F303" s="27"/>
      <c r="G303" s="28"/>
    </row>
    <row r="304" spans="6:7" x14ac:dyDescent="0.25">
      <c r="F304" s="27"/>
      <c r="G304" s="28"/>
    </row>
    <row r="305" spans="6:7" x14ac:dyDescent="0.25">
      <c r="F305" s="27"/>
      <c r="G305" s="28"/>
    </row>
    <row r="306" spans="6:7" x14ac:dyDescent="0.25">
      <c r="F306" s="27"/>
      <c r="G306" s="28"/>
    </row>
    <row r="307" spans="6:7" x14ac:dyDescent="0.25">
      <c r="F307" s="27"/>
      <c r="G307" s="28"/>
    </row>
    <row r="308" spans="6:7" x14ac:dyDescent="0.25">
      <c r="F308" s="27"/>
      <c r="G308" s="28"/>
    </row>
    <row r="309" spans="6:7" x14ac:dyDescent="0.25">
      <c r="F309" s="27"/>
      <c r="G309" s="28"/>
    </row>
    <row r="310" spans="6:7" x14ac:dyDescent="0.25">
      <c r="F310" s="27"/>
      <c r="G310" s="28"/>
    </row>
    <row r="311" spans="6:7" x14ac:dyDescent="0.25">
      <c r="F311" s="27"/>
      <c r="G311" s="28"/>
    </row>
    <row r="312" spans="6:7" x14ac:dyDescent="0.25">
      <c r="F312" s="27"/>
      <c r="G312" s="28"/>
    </row>
    <row r="313" spans="6:7" x14ac:dyDescent="0.25">
      <c r="F313" s="27"/>
      <c r="G313" s="28"/>
    </row>
    <row r="314" spans="6:7" x14ac:dyDescent="0.25">
      <c r="F314" s="27"/>
      <c r="G314" s="28"/>
    </row>
    <row r="315" spans="6:7" x14ac:dyDescent="0.25">
      <c r="F315" s="27"/>
      <c r="G315" s="28"/>
    </row>
    <row r="316" spans="6:7" x14ac:dyDescent="0.25">
      <c r="F316" s="27"/>
      <c r="G316" s="28"/>
    </row>
    <row r="317" spans="6:7" x14ac:dyDescent="0.25">
      <c r="F317" s="27"/>
      <c r="G317" s="28"/>
    </row>
    <row r="318" spans="6:7" x14ac:dyDescent="0.25">
      <c r="F318" s="27"/>
      <c r="G318" s="28"/>
    </row>
    <row r="319" spans="6:7" x14ac:dyDescent="0.25">
      <c r="F319" s="27"/>
      <c r="G319" s="28"/>
    </row>
    <row r="320" spans="6:7" x14ac:dyDescent="0.25">
      <c r="F320" s="27"/>
      <c r="G320" s="28"/>
    </row>
    <row r="321" spans="6:7" x14ac:dyDescent="0.25">
      <c r="F321" s="27"/>
      <c r="G321" s="28"/>
    </row>
    <row r="322" spans="6:7" x14ac:dyDescent="0.25">
      <c r="F322" s="27"/>
      <c r="G322" s="28"/>
    </row>
    <row r="323" spans="6:7" x14ac:dyDescent="0.25">
      <c r="F323" s="27"/>
      <c r="G323" s="28"/>
    </row>
    <row r="324" spans="6:7" x14ac:dyDescent="0.25">
      <c r="F324" s="27"/>
      <c r="G324" s="28"/>
    </row>
    <row r="325" spans="6:7" x14ac:dyDescent="0.25">
      <c r="F325" s="27"/>
      <c r="G325" s="28"/>
    </row>
    <row r="326" spans="6:7" x14ac:dyDescent="0.25">
      <c r="F326" s="27"/>
      <c r="G326" s="28"/>
    </row>
    <row r="327" spans="6:7" x14ac:dyDescent="0.25">
      <c r="F327" s="27"/>
      <c r="G327" s="28"/>
    </row>
    <row r="328" spans="6:7" x14ac:dyDescent="0.25">
      <c r="F328" s="27"/>
      <c r="G328" s="28"/>
    </row>
    <row r="329" spans="6:7" x14ac:dyDescent="0.25">
      <c r="F329" s="27"/>
      <c r="G329" s="28"/>
    </row>
    <row r="330" spans="6:7" x14ac:dyDescent="0.25">
      <c r="F330" s="27"/>
      <c r="G330" s="28"/>
    </row>
    <row r="331" spans="6:7" x14ac:dyDescent="0.25">
      <c r="F331" s="27"/>
      <c r="G331" s="28"/>
    </row>
    <row r="332" spans="6:7" x14ac:dyDescent="0.25">
      <c r="F332" s="27"/>
      <c r="G332" s="28"/>
    </row>
    <row r="333" spans="6:7" x14ac:dyDescent="0.25">
      <c r="F333" s="27"/>
      <c r="G333" s="28"/>
    </row>
    <row r="334" spans="6:7" x14ac:dyDescent="0.25">
      <c r="F334" s="27"/>
      <c r="G334" s="28"/>
    </row>
    <row r="335" spans="6:7" x14ac:dyDescent="0.25">
      <c r="F335" s="27"/>
      <c r="G335" s="28"/>
    </row>
    <row r="336" spans="6:7" x14ac:dyDescent="0.25">
      <c r="F336" s="27"/>
      <c r="G336" s="28"/>
    </row>
    <row r="337" spans="6:7" x14ac:dyDescent="0.25">
      <c r="F337" s="27"/>
      <c r="G337" s="28"/>
    </row>
    <row r="338" spans="6:7" x14ac:dyDescent="0.25">
      <c r="F338" s="27"/>
      <c r="G338" s="28"/>
    </row>
    <row r="339" spans="6:7" x14ac:dyDescent="0.25">
      <c r="F339" s="27"/>
      <c r="G339" s="28"/>
    </row>
    <row r="340" spans="6:7" x14ac:dyDescent="0.25">
      <c r="F340" s="27"/>
      <c r="G340" s="28"/>
    </row>
    <row r="341" spans="6:7" x14ac:dyDescent="0.25">
      <c r="F341" s="27"/>
      <c r="G341" s="28"/>
    </row>
    <row r="342" spans="6:7" x14ac:dyDescent="0.25">
      <c r="F342" s="27"/>
      <c r="G342" s="28"/>
    </row>
    <row r="343" spans="6:7" x14ac:dyDescent="0.25">
      <c r="F343" s="27"/>
      <c r="G343" s="28"/>
    </row>
    <row r="344" spans="6:7" x14ac:dyDescent="0.25">
      <c r="F344" s="27"/>
      <c r="G344" s="28"/>
    </row>
    <row r="345" spans="6:7" x14ac:dyDescent="0.25">
      <c r="F345" s="27"/>
      <c r="G345" s="28"/>
    </row>
    <row r="346" spans="6:7" x14ac:dyDescent="0.25">
      <c r="F346" s="27"/>
      <c r="G346" s="28"/>
    </row>
    <row r="347" spans="6:7" x14ac:dyDescent="0.25">
      <c r="F347" s="27"/>
      <c r="G347" s="28"/>
    </row>
    <row r="348" spans="6:7" x14ac:dyDescent="0.25">
      <c r="F348" s="27"/>
      <c r="G348" s="28"/>
    </row>
    <row r="349" spans="6:7" x14ac:dyDescent="0.25">
      <c r="F349" s="27"/>
      <c r="G349" s="28"/>
    </row>
    <row r="350" spans="6:7" x14ac:dyDescent="0.25">
      <c r="F350" s="27"/>
      <c r="G350" s="28"/>
    </row>
    <row r="351" spans="6:7" x14ac:dyDescent="0.25">
      <c r="F351" s="27"/>
      <c r="G351" s="28"/>
    </row>
    <row r="352" spans="6:7" x14ac:dyDescent="0.25">
      <c r="F352" s="27"/>
      <c r="G352" s="28"/>
    </row>
    <row r="353" spans="6:7" x14ac:dyDescent="0.25">
      <c r="F353" s="27"/>
      <c r="G353" s="28"/>
    </row>
    <row r="354" spans="6:7" x14ac:dyDescent="0.25">
      <c r="F354" s="27"/>
      <c r="G354" s="28"/>
    </row>
    <row r="355" spans="6:7" x14ac:dyDescent="0.25">
      <c r="F355" s="27"/>
      <c r="G355" s="28"/>
    </row>
    <row r="356" spans="6:7" x14ac:dyDescent="0.25">
      <c r="F356" s="27"/>
      <c r="G356" s="28"/>
    </row>
    <row r="357" spans="6:7" x14ac:dyDescent="0.25">
      <c r="F357" s="27"/>
      <c r="G357" s="28"/>
    </row>
    <row r="358" spans="6:7" x14ac:dyDescent="0.25">
      <c r="F358" s="27"/>
      <c r="G358" s="28"/>
    </row>
    <row r="359" spans="6:7" x14ac:dyDescent="0.25">
      <c r="F359" s="27"/>
      <c r="G359" s="28"/>
    </row>
    <row r="360" spans="6:7" x14ac:dyDescent="0.25">
      <c r="F360" s="27"/>
      <c r="G360" s="28"/>
    </row>
    <row r="361" spans="6:7" x14ac:dyDescent="0.25">
      <c r="F361" s="27"/>
      <c r="G361" s="28"/>
    </row>
    <row r="362" spans="6:7" x14ac:dyDescent="0.25">
      <c r="F362" s="27"/>
      <c r="G362" s="28"/>
    </row>
    <row r="363" spans="6:7" x14ac:dyDescent="0.25">
      <c r="F363" s="27"/>
      <c r="G363" s="28"/>
    </row>
    <row r="364" spans="6:7" x14ac:dyDescent="0.25">
      <c r="F364" s="27"/>
      <c r="G364" s="28"/>
    </row>
    <row r="365" spans="6:7" x14ac:dyDescent="0.25">
      <c r="F365" s="27"/>
      <c r="G365" s="28"/>
    </row>
    <row r="366" spans="6:7" x14ac:dyDescent="0.25">
      <c r="F366" s="27"/>
      <c r="G366" s="28"/>
    </row>
    <row r="367" spans="6:7" x14ac:dyDescent="0.25">
      <c r="F367" s="27"/>
      <c r="G367" s="28"/>
    </row>
    <row r="368" spans="6:7" x14ac:dyDescent="0.25">
      <c r="F368" s="27"/>
      <c r="G368" s="28"/>
    </row>
    <row r="369" spans="6:7" x14ac:dyDescent="0.25">
      <c r="F369" s="27"/>
      <c r="G369" s="28"/>
    </row>
    <row r="370" spans="6:7" x14ac:dyDescent="0.25">
      <c r="F370" s="27"/>
      <c r="G370" s="28"/>
    </row>
    <row r="371" spans="6:7" x14ac:dyDescent="0.25">
      <c r="F371" s="27"/>
      <c r="G371" s="28"/>
    </row>
    <row r="372" spans="6:7" x14ac:dyDescent="0.25">
      <c r="F372" s="27"/>
      <c r="G372" s="28"/>
    </row>
    <row r="373" spans="6:7" x14ac:dyDescent="0.25">
      <c r="F373" s="27"/>
      <c r="G373" s="28"/>
    </row>
    <row r="374" spans="6:7" x14ac:dyDescent="0.25">
      <c r="F374" s="27"/>
      <c r="G374" s="28"/>
    </row>
    <row r="375" spans="6:7" x14ac:dyDescent="0.25">
      <c r="F375" s="27"/>
      <c r="G375" s="28"/>
    </row>
    <row r="376" spans="6:7" x14ac:dyDescent="0.25">
      <c r="F376" s="27"/>
      <c r="G376" s="28"/>
    </row>
    <row r="377" spans="6:7" x14ac:dyDescent="0.25">
      <c r="F377" s="27"/>
      <c r="G377" s="28"/>
    </row>
    <row r="378" spans="6:7" x14ac:dyDescent="0.25">
      <c r="F378" s="27"/>
      <c r="G378" s="28"/>
    </row>
    <row r="379" spans="6:7" x14ac:dyDescent="0.25">
      <c r="F379" s="27"/>
      <c r="G379" s="28"/>
    </row>
    <row r="380" spans="6:7" x14ac:dyDescent="0.25">
      <c r="F380" s="27"/>
      <c r="G380" s="28"/>
    </row>
    <row r="381" spans="6:7" x14ac:dyDescent="0.25">
      <c r="F381" s="27"/>
      <c r="G381" s="28"/>
    </row>
    <row r="382" spans="6:7" x14ac:dyDescent="0.25">
      <c r="F382" s="27"/>
      <c r="G382" s="28"/>
    </row>
    <row r="383" spans="6:7" x14ac:dyDescent="0.25">
      <c r="F383" s="27"/>
      <c r="G383" s="28"/>
    </row>
    <row r="384" spans="6:7" x14ac:dyDescent="0.25">
      <c r="F384" s="27"/>
      <c r="G384" s="28"/>
    </row>
    <row r="385" spans="6:7" x14ac:dyDescent="0.25">
      <c r="F385" s="27"/>
      <c r="G385" s="28"/>
    </row>
    <row r="386" spans="6:7" x14ac:dyDescent="0.25">
      <c r="F386" s="27"/>
      <c r="G386" s="28"/>
    </row>
    <row r="387" spans="6:7" x14ac:dyDescent="0.25">
      <c r="F387" s="27"/>
      <c r="G387" s="28"/>
    </row>
    <row r="388" spans="6:7" x14ac:dyDescent="0.25">
      <c r="F388" s="27"/>
      <c r="G388" s="28"/>
    </row>
    <row r="389" spans="6:7" x14ac:dyDescent="0.25">
      <c r="F389" s="27"/>
      <c r="G389" s="28"/>
    </row>
    <row r="390" spans="6:7" x14ac:dyDescent="0.25">
      <c r="F390" s="27"/>
      <c r="G390" s="28"/>
    </row>
    <row r="391" spans="6:7" x14ac:dyDescent="0.25">
      <c r="F391" s="27"/>
      <c r="G391" s="28"/>
    </row>
    <row r="392" spans="6:7" x14ac:dyDescent="0.25">
      <c r="F392" s="27"/>
      <c r="G392" s="28"/>
    </row>
    <row r="393" spans="6:7" x14ac:dyDescent="0.25">
      <c r="F393" s="27"/>
      <c r="G393" s="28"/>
    </row>
    <row r="394" spans="6:7" x14ac:dyDescent="0.25">
      <c r="F394" s="27"/>
      <c r="G394" s="28"/>
    </row>
    <row r="395" spans="6:7" x14ac:dyDescent="0.25">
      <c r="F395" s="27"/>
      <c r="G395" s="28"/>
    </row>
    <row r="396" spans="6:7" x14ac:dyDescent="0.25">
      <c r="F396" s="27"/>
      <c r="G396" s="28"/>
    </row>
    <row r="397" spans="6:7" x14ac:dyDescent="0.25">
      <c r="F397" s="27"/>
      <c r="G397" s="28"/>
    </row>
    <row r="398" spans="6:7" x14ac:dyDescent="0.25">
      <c r="F398" s="27"/>
      <c r="G398" s="28"/>
    </row>
    <row r="399" spans="6:7" x14ac:dyDescent="0.25">
      <c r="F399" s="27"/>
      <c r="G399" s="28"/>
    </row>
    <row r="400" spans="6:7" x14ac:dyDescent="0.25">
      <c r="F400" s="27"/>
      <c r="G400" s="28"/>
    </row>
    <row r="401" spans="6:7" x14ac:dyDescent="0.25">
      <c r="F401" s="27"/>
      <c r="G401" s="28"/>
    </row>
    <row r="402" spans="6:7" x14ac:dyDescent="0.25">
      <c r="F402" s="27"/>
      <c r="G402" s="28"/>
    </row>
    <row r="403" spans="6:7" x14ac:dyDescent="0.25">
      <c r="F403" s="27"/>
      <c r="G403" s="28"/>
    </row>
    <row r="404" spans="6:7" x14ac:dyDescent="0.25">
      <c r="F404" s="27"/>
      <c r="G404" s="28"/>
    </row>
    <row r="405" spans="6:7" x14ac:dyDescent="0.25">
      <c r="F405" s="27"/>
      <c r="G405" s="28"/>
    </row>
    <row r="406" spans="6:7" x14ac:dyDescent="0.25">
      <c r="F406" s="27"/>
      <c r="G406" s="28"/>
    </row>
    <row r="407" spans="6:7" x14ac:dyDescent="0.25">
      <c r="F407" s="27"/>
      <c r="G407" s="28"/>
    </row>
    <row r="408" spans="6:7" x14ac:dyDescent="0.25">
      <c r="F408" s="27"/>
      <c r="G408" s="28"/>
    </row>
    <row r="409" spans="6:7" x14ac:dyDescent="0.25">
      <c r="F409" s="27"/>
      <c r="G409" s="28"/>
    </row>
    <row r="410" spans="6:7" x14ac:dyDescent="0.25">
      <c r="F410" s="27"/>
      <c r="G410" s="28"/>
    </row>
    <row r="411" spans="6:7" x14ac:dyDescent="0.25">
      <c r="F411" s="27"/>
      <c r="G411" s="28"/>
    </row>
    <row r="412" spans="6:7" x14ac:dyDescent="0.25">
      <c r="F412" s="27"/>
      <c r="G412" s="28"/>
    </row>
    <row r="413" spans="6:7" x14ac:dyDescent="0.25">
      <c r="F413" s="27"/>
      <c r="G413" s="28"/>
    </row>
    <row r="414" spans="6:7" x14ac:dyDescent="0.25">
      <c r="F414" s="27"/>
      <c r="G414" s="28"/>
    </row>
    <row r="415" spans="6:7" x14ac:dyDescent="0.25">
      <c r="F415" s="27"/>
      <c r="G415" s="28"/>
    </row>
    <row r="416" spans="6:7" x14ac:dyDescent="0.25">
      <c r="F416" s="27"/>
      <c r="G416" s="28"/>
    </row>
    <row r="417" spans="6:7" x14ac:dyDescent="0.25">
      <c r="F417" s="27"/>
      <c r="G417" s="28"/>
    </row>
    <row r="418" spans="6:7" x14ac:dyDescent="0.25">
      <c r="F418" s="27"/>
      <c r="G418" s="28"/>
    </row>
    <row r="419" spans="6:7" x14ac:dyDescent="0.25">
      <c r="F419" s="27"/>
      <c r="G419" s="28"/>
    </row>
    <row r="420" spans="6:7" x14ac:dyDescent="0.25">
      <c r="F420" s="27"/>
      <c r="G420" s="28"/>
    </row>
    <row r="421" spans="6:7" x14ac:dyDescent="0.25">
      <c r="F421" s="27"/>
      <c r="G421" s="28"/>
    </row>
    <row r="422" spans="6:7" x14ac:dyDescent="0.25">
      <c r="F422" s="27"/>
      <c r="G422" s="28"/>
    </row>
    <row r="423" spans="6:7" x14ac:dyDescent="0.25">
      <c r="F423" s="27"/>
      <c r="G423" s="28"/>
    </row>
    <row r="424" spans="6:7" x14ac:dyDescent="0.25">
      <c r="F424" s="27"/>
      <c r="G424" s="28"/>
    </row>
    <row r="425" spans="6:7" x14ac:dyDescent="0.25">
      <c r="F425" s="27"/>
      <c r="G425" s="28"/>
    </row>
    <row r="426" spans="6:7" x14ac:dyDescent="0.25">
      <c r="F426" s="27"/>
      <c r="G426" s="28"/>
    </row>
    <row r="427" spans="6:7" x14ac:dyDescent="0.25">
      <c r="F427" s="27"/>
      <c r="G427" s="28"/>
    </row>
    <row r="428" spans="6:7" x14ac:dyDescent="0.25">
      <c r="F428" s="27"/>
      <c r="G428" s="28"/>
    </row>
    <row r="429" spans="6:7" x14ac:dyDescent="0.25">
      <c r="F429" s="27"/>
      <c r="G429" s="28"/>
    </row>
    <row r="430" spans="6:7" x14ac:dyDescent="0.25">
      <c r="F430" s="27"/>
      <c r="G430" s="28"/>
    </row>
    <row r="431" spans="6:7" x14ac:dyDescent="0.25">
      <c r="F431" s="27"/>
      <c r="G431" s="28"/>
    </row>
    <row r="432" spans="6:7" x14ac:dyDescent="0.25">
      <c r="F432" s="27"/>
      <c r="G432" s="28"/>
    </row>
    <row r="433" spans="6:7" x14ac:dyDescent="0.25">
      <c r="F433" s="27"/>
      <c r="G433" s="28"/>
    </row>
    <row r="434" spans="6:7" x14ac:dyDescent="0.25">
      <c r="F434" s="27"/>
      <c r="G434" s="28"/>
    </row>
    <row r="435" spans="6:7" x14ac:dyDescent="0.25">
      <c r="F435" s="27"/>
      <c r="G435" s="28"/>
    </row>
    <row r="436" spans="6:7" x14ac:dyDescent="0.25">
      <c r="F436" s="27"/>
      <c r="G436" s="28"/>
    </row>
    <row r="437" spans="6:7" x14ac:dyDescent="0.25">
      <c r="F437" s="27"/>
      <c r="G437" s="28"/>
    </row>
    <row r="438" spans="6:7" x14ac:dyDescent="0.25">
      <c r="F438" s="27"/>
      <c r="G438" s="28"/>
    </row>
    <row r="439" spans="6:7" x14ac:dyDescent="0.25">
      <c r="F439" s="27"/>
      <c r="G439" s="28"/>
    </row>
    <row r="440" spans="6:7" x14ac:dyDescent="0.25">
      <c r="F440" s="27"/>
      <c r="G440" s="28"/>
    </row>
    <row r="441" spans="6:7" x14ac:dyDescent="0.25">
      <c r="F441" s="27"/>
      <c r="G441" s="28"/>
    </row>
    <row r="442" spans="6:7" x14ac:dyDescent="0.25">
      <c r="F442" s="27"/>
      <c r="G442" s="28"/>
    </row>
    <row r="443" spans="6:7" x14ac:dyDescent="0.25">
      <c r="F443" s="27"/>
      <c r="G443" s="28"/>
    </row>
    <row r="444" spans="6:7" x14ac:dyDescent="0.25">
      <c r="F444" s="27"/>
      <c r="G444" s="28"/>
    </row>
    <row r="445" spans="6:7" x14ac:dyDescent="0.25">
      <c r="F445" s="27"/>
      <c r="G445" s="28"/>
    </row>
    <row r="446" spans="6:7" x14ac:dyDescent="0.25">
      <c r="F446" s="27"/>
      <c r="G446" s="28"/>
    </row>
    <row r="447" spans="6:7" x14ac:dyDescent="0.25">
      <c r="F447" s="27"/>
      <c r="G447" s="28"/>
    </row>
    <row r="448" spans="6:7" x14ac:dyDescent="0.25">
      <c r="F448" s="27"/>
      <c r="G448" s="28"/>
    </row>
    <row r="449" spans="6:7" x14ac:dyDescent="0.25">
      <c r="F449" s="27"/>
      <c r="G449" s="28"/>
    </row>
    <row r="450" spans="6:7" x14ac:dyDescent="0.25">
      <c r="F450" s="27"/>
      <c r="G450" s="28"/>
    </row>
    <row r="451" spans="6:7" x14ac:dyDescent="0.25">
      <c r="F451" s="27"/>
      <c r="G451" s="28"/>
    </row>
    <row r="452" spans="6:7" x14ac:dyDescent="0.25">
      <c r="F452" s="27"/>
      <c r="G452" s="28"/>
    </row>
    <row r="453" spans="6:7" x14ac:dyDescent="0.25">
      <c r="F453" s="27"/>
      <c r="G453" s="28"/>
    </row>
    <row r="454" spans="6:7" x14ac:dyDescent="0.25">
      <c r="F454" s="27"/>
      <c r="G454" s="28"/>
    </row>
    <row r="455" spans="6:7" x14ac:dyDescent="0.25">
      <c r="F455" s="27"/>
      <c r="G455" s="28"/>
    </row>
    <row r="456" spans="6:7" x14ac:dyDescent="0.25">
      <c r="F456" s="27"/>
      <c r="G456" s="28"/>
    </row>
    <row r="457" spans="6:7" x14ac:dyDescent="0.25">
      <c r="F457" s="27"/>
      <c r="G457" s="28"/>
    </row>
    <row r="458" spans="6:7" x14ac:dyDescent="0.25">
      <c r="F458" s="27"/>
      <c r="G458" s="28"/>
    </row>
    <row r="459" spans="6:7" x14ac:dyDescent="0.25">
      <c r="F459" s="27"/>
      <c r="G459" s="28"/>
    </row>
    <row r="460" spans="6:7" x14ac:dyDescent="0.25">
      <c r="F460" s="27"/>
      <c r="G460" s="28"/>
    </row>
    <row r="461" spans="6:7" x14ac:dyDescent="0.25">
      <c r="F461" s="27"/>
      <c r="G461" s="28"/>
    </row>
    <row r="462" spans="6:7" x14ac:dyDescent="0.25">
      <c r="F462" s="27"/>
      <c r="G462" s="28"/>
    </row>
    <row r="463" spans="6:7" x14ac:dyDescent="0.25">
      <c r="F463" s="27"/>
      <c r="G463" s="28"/>
    </row>
    <row r="464" spans="6:7" x14ac:dyDescent="0.25">
      <c r="F464" s="27"/>
      <c r="G464" s="28"/>
    </row>
    <row r="465" spans="6:7" x14ac:dyDescent="0.25">
      <c r="F465" s="27"/>
      <c r="G465" s="28"/>
    </row>
    <row r="466" spans="6:7" x14ac:dyDescent="0.25">
      <c r="F466" s="27"/>
      <c r="G466" s="28"/>
    </row>
    <row r="467" spans="6:7" x14ac:dyDescent="0.25">
      <c r="F467" s="27"/>
      <c r="G467" s="28"/>
    </row>
    <row r="468" spans="6:7" x14ac:dyDescent="0.25">
      <c r="F468" s="27"/>
      <c r="G468" s="28"/>
    </row>
    <row r="469" spans="6:7" x14ac:dyDescent="0.25">
      <c r="F469" s="27"/>
      <c r="G469" s="28"/>
    </row>
    <row r="470" spans="6:7" x14ac:dyDescent="0.25">
      <c r="F470" s="27"/>
      <c r="G470" s="28"/>
    </row>
    <row r="471" spans="6:7" x14ac:dyDescent="0.25">
      <c r="F471" s="27"/>
      <c r="G471" s="28"/>
    </row>
    <row r="472" spans="6:7" x14ac:dyDescent="0.25">
      <c r="F472" s="27"/>
      <c r="G472" s="28"/>
    </row>
    <row r="473" spans="6:7" x14ac:dyDescent="0.25">
      <c r="F473" s="27"/>
      <c r="G473" s="28"/>
    </row>
    <row r="474" spans="6:7" x14ac:dyDescent="0.25">
      <c r="F474" s="27"/>
      <c r="G474" s="28"/>
    </row>
    <row r="475" spans="6:7" x14ac:dyDescent="0.25">
      <c r="F475" s="27"/>
      <c r="G475" s="28"/>
    </row>
    <row r="476" spans="6:7" x14ac:dyDescent="0.25">
      <c r="F476" s="27"/>
      <c r="G476" s="28"/>
    </row>
    <row r="477" spans="6:7" x14ac:dyDescent="0.25">
      <c r="F477" s="27"/>
      <c r="G477" s="28"/>
    </row>
    <row r="478" spans="6:7" x14ac:dyDescent="0.25">
      <c r="F478" s="27"/>
      <c r="G478" s="28"/>
    </row>
    <row r="479" spans="6:7" x14ac:dyDescent="0.25">
      <c r="F479" s="27"/>
      <c r="G479" s="28"/>
    </row>
    <row r="480" spans="6:7" x14ac:dyDescent="0.25">
      <c r="F480" s="27"/>
      <c r="G480" s="28"/>
    </row>
    <row r="481" spans="6:7" x14ac:dyDescent="0.25">
      <c r="F481" s="27"/>
      <c r="G481" s="28"/>
    </row>
    <row r="482" spans="6:7" x14ac:dyDescent="0.25">
      <c r="F482" s="27"/>
      <c r="G482" s="28"/>
    </row>
    <row r="483" spans="6:7" x14ac:dyDescent="0.25">
      <c r="F483" s="27"/>
      <c r="G483" s="28"/>
    </row>
    <row r="484" spans="6:7" x14ac:dyDescent="0.25">
      <c r="F484" s="27"/>
      <c r="G484" s="28"/>
    </row>
    <row r="485" spans="6:7" x14ac:dyDescent="0.25">
      <c r="F485" s="27"/>
      <c r="G485" s="28"/>
    </row>
    <row r="486" spans="6:7" x14ac:dyDescent="0.25">
      <c r="F486" s="27"/>
      <c r="G486" s="28"/>
    </row>
    <row r="487" spans="6:7" x14ac:dyDescent="0.25">
      <c r="F487" s="27"/>
      <c r="G487" s="28"/>
    </row>
    <row r="488" spans="6:7" x14ac:dyDescent="0.25">
      <c r="F488" s="27"/>
      <c r="G488" s="28"/>
    </row>
    <row r="489" spans="6:7" x14ac:dyDescent="0.25">
      <c r="F489" s="27"/>
      <c r="G489" s="28"/>
    </row>
    <row r="490" spans="6:7" x14ac:dyDescent="0.25">
      <c r="F490" s="27"/>
      <c r="G490" s="28"/>
    </row>
    <row r="491" spans="6:7" x14ac:dyDescent="0.25">
      <c r="F491" s="27"/>
      <c r="G491" s="28"/>
    </row>
    <row r="492" spans="6:7" x14ac:dyDescent="0.25">
      <c r="F492" s="27"/>
      <c r="G492" s="28"/>
    </row>
    <row r="493" spans="6:7" x14ac:dyDescent="0.25">
      <c r="F493" s="27"/>
      <c r="G493" s="28"/>
    </row>
    <row r="494" spans="6:7" x14ac:dyDescent="0.25">
      <c r="F494" s="27"/>
      <c r="G494" s="28"/>
    </row>
    <row r="495" spans="6:7" x14ac:dyDescent="0.25">
      <c r="F495" s="27"/>
      <c r="G495" s="28"/>
    </row>
    <row r="496" spans="6:7" x14ac:dyDescent="0.25">
      <c r="F496" s="27"/>
      <c r="G496" s="28"/>
    </row>
    <row r="497" spans="6:7" x14ac:dyDescent="0.25">
      <c r="F497" s="27"/>
      <c r="G497" s="28"/>
    </row>
    <row r="498" spans="6:7" x14ac:dyDescent="0.25">
      <c r="F498" s="27"/>
      <c r="G498" s="28"/>
    </row>
    <row r="499" spans="6:7" x14ac:dyDescent="0.25">
      <c r="F499" s="27"/>
      <c r="G499" s="28"/>
    </row>
    <row r="500" spans="6:7" x14ac:dyDescent="0.25">
      <c r="F500" s="27"/>
      <c r="G500" s="28"/>
    </row>
    <row r="501" spans="6:7" x14ac:dyDescent="0.25">
      <c r="F501" s="27"/>
      <c r="G501" s="28"/>
    </row>
    <row r="502" spans="6:7" x14ac:dyDescent="0.25">
      <c r="F502" s="27"/>
      <c r="G502" s="28"/>
    </row>
    <row r="503" spans="6:7" x14ac:dyDescent="0.25">
      <c r="F503" s="27"/>
      <c r="G503" s="28"/>
    </row>
    <row r="504" spans="6:7" x14ac:dyDescent="0.25">
      <c r="F504" s="27"/>
      <c r="G504" s="28"/>
    </row>
    <row r="505" spans="6:7" x14ac:dyDescent="0.25">
      <c r="F505" s="27"/>
      <c r="G505" s="28"/>
    </row>
    <row r="506" spans="6:7" x14ac:dyDescent="0.25">
      <c r="F506" s="27"/>
      <c r="G506" s="28"/>
    </row>
    <row r="507" spans="6:7" x14ac:dyDescent="0.25">
      <c r="F507" s="27"/>
      <c r="G507" s="28"/>
    </row>
    <row r="508" spans="6:7" x14ac:dyDescent="0.25">
      <c r="F508" s="27"/>
      <c r="G508" s="28"/>
    </row>
    <row r="509" spans="6:7" x14ac:dyDescent="0.25">
      <c r="F509" s="27"/>
      <c r="G509" s="28"/>
    </row>
    <row r="510" spans="6:7" x14ac:dyDescent="0.25">
      <c r="F510" s="27"/>
      <c r="G510" s="28"/>
    </row>
    <row r="511" spans="6:7" x14ac:dyDescent="0.25">
      <c r="F511" s="27"/>
      <c r="G511" s="28"/>
    </row>
    <row r="512" spans="6:7" x14ac:dyDescent="0.25">
      <c r="F512" s="27"/>
      <c r="G512" s="28"/>
    </row>
    <row r="513" spans="6:7" x14ac:dyDescent="0.25">
      <c r="F513" s="27"/>
      <c r="G513" s="28"/>
    </row>
    <row r="514" spans="6:7" x14ac:dyDescent="0.25">
      <c r="F514" s="27"/>
      <c r="G514" s="28"/>
    </row>
    <row r="515" spans="6:7" x14ac:dyDescent="0.25">
      <c r="F515" s="27"/>
      <c r="G515" s="28"/>
    </row>
    <row r="516" spans="6:7" x14ac:dyDescent="0.25">
      <c r="F516" s="27"/>
      <c r="G516" s="28"/>
    </row>
    <row r="517" spans="6:7" x14ac:dyDescent="0.25">
      <c r="F517" s="27"/>
      <c r="G517" s="28"/>
    </row>
    <row r="518" spans="6:7" x14ac:dyDescent="0.25">
      <c r="F518" s="27"/>
      <c r="G518" s="28"/>
    </row>
    <row r="519" spans="6:7" x14ac:dyDescent="0.25">
      <c r="F519" s="27"/>
      <c r="G519" s="28"/>
    </row>
    <row r="520" spans="6:7" x14ac:dyDescent="0.25">
      <c r="F520" s="27"/>
      <c r="G520" s="28"/>
    </row>
    <row r="521" spans="6:7" x14ac:dyDescent="0.25">
      <c r="F521" s="27"/>
      <c r="G521" s="28"/>
    </row>
    <row r="522" spans="6:7" x14ac:dyDescent="0.25">
      <c r="F522" s="27"/>
      <c r="G522" s="28"/>
    </row>
    <row r="523" spans="6:7" x14ac:dyDescent="0.25">
      <c r="F523" s="27"/>
      <c r="G523" s="28"/>
    </row>
    <row r="524" spans="6:7" x14ac:dyDescent="0.25">
      <c r="F524" s="27"/>
      <c r="G524" s="28"/>
    </row>
    <row r="525" spans="6:7" x14ac:dyDescent="0.25">
      <c r="F525" s="27"/>
      <c r="G525" s="28"/>
    </row>
    <row r="526" spans="6:7" x14ac:dyDescent="0.25">
      <c r="F526" s="27"/>
      <c r="G526" s="28"/>
    </row>
    <row r="527" spans="6:7" x14ac:dyDescent="0.25">
      <c r="F527" s="27"/>
      <c r="G527" s="28"/>
    </row>
    <row r="528" spans="6:7" x14ac:dyDescent="0.25">
      <c r="F528" s="27"/>
      <c r="G528" s="28"/>
    </row>
    <row r="529" spans="6:7" x14ac:dyDescent="0.25">
      <c r="F529" s="27"/>
      <c r="G529" s="28"/>
    </row>
    <row r="530" spans="6:7" x14ac:dyDescent="0.25">
      <c r="F530" s="27"/>
      <c r="G530" s="28"/>
    </row>
    <row r="531" spans="6:7" x14ac:dyDescent="0.25">
      <c r="F531" s="27"/>
      <c r="G531" s="28"/>
    </row>
    <row r="532" spans="6:7" x14ac:dyDescent="0.25">
      <c r="F532" s="27"/>
      <c r="G532" s="28"/>
    </row>
    <row r="533" spans="6:7" x14ac:dyDescent="0.25">
      <c r="F533" s="27"/>
      <c r="G533" s="28"/>
    </row>
    <row r="534" spans="6:7" x14ac:dyDescent="0.25">
      <c r="F534" s="27"/>
      <c r="G534" s="28"/>
    </row>
    <row r="535" spans="6:7" x14ac:dyDescent="0.25">
      <c r="F535" s="27"/>
      <c r="G535" s="28"/>
    </row>
    <row r="536" spans="6:7" x14ac:dyDescent="0.25">
      <c r="F536" s="27"/>
      <c r="G536" s="28"/>
    </row>
    <row r="537" spans="6:7" x14ac:dyDescent="0.25">
      <c r="F537" s="27"/>
      <c r="G537" s="28"/>
    </row>
    <row r="538" spans="6:7" x14ac:dyDescent="0.25">
      <c r="F538" s="27"/>
      <c r="G538" s="28"/>
    </row>
    <row r="539" spans="6:7" x14ac:dyDescent="0.25">
      <c r="F539" s="27"/>
      <c r="G539" s="28"/>
    </row>
    <row r="540" spans="6:7" x14ac:dyDescent="0.25">
      <c r="F540" s="27"/>
      <c r="G540" s="28"/>
    </row>
    <row r="541" spans="6:7" x14ac:dyDescent="0.25">
      <c r="F541" s="27"/>
      <c r="G541" s="28"/>
    </row>
    <row r="542" spans="6:7" x14ac:dyDescent="0.25">
      <c r="F542" s="27"/>
      <c r="G542" s="28"/>
    </row>
    <row r="543" spans="6:7" x14ac:dyDescent="0.25">
      <c r="F543" s="27"/>
      <c r="G543" s="28"/>
    </row>
    <row r="544" spans="6:7" x14ac:dyDescent="0.25">
      <c r="F544" s="27"/>
      <c r="G544" s="28"/>
    </row>
    <row r="545" spans="6:7" x14ac:dyDescent="0.25">
      <c r="F545" s="27"/>
      <c r="G545" s="28"/>
    </row>
    <row r="546" spans="6:7" x14ac:dyDescent="0.25">
      <c r="F546" s="27"/>
      <c r="G546" s="28"/>
    </row>
    <row r="547" spans="6:7" x14ac:dyDescent="0.25">
      <c r="F547" s="27"/>
      <c r="G547" s="28"/>
    </row>
    <row r="548" spans="6:7" x14ac:dyDescent="0.25">
      <c r="F548" s="27"/>
      <c r="G548" s="28"/>
    </row>
    <row r="549" spans="6:7" x14ac:dyDescent="0.25">
      <c r="F549" s="27"/>
      <c r="G549" s="28"/>
    </row>
    <row r="550" spans="6:7" x14ac:dyDescent="0.25">
      <c r="F550" s="27"/>
      <c r="G550" s="28"/>
    </row>
    <row r="551" spans="6:7" x14ac:dyDescent="0.25">
      <c r="F551" s="27"/>
      <c r="G551" s="28"/>
    </row>
    <row r="552" spans="6:7" x14ac:dyDescent="0.25">
      <c r="F552" s="27"/>
      <c r="G552" s="28"/>
    </row>
    <row r="553" spans="6:7" x14ac:dyDescent="0.25">
      <c r="F553" s="27"/>
      <c r="G553" s="28"/>
    </row>
    <row r="554" spans="6:7" x14ac:dyDescent="0.25">
      <c r="F554" s="27"/>
      <c r="G554" s="28"/>
    </row>
    <row r="555" spans="6:7" x14ac:dyDescent="0.25">
      <c r="F555" s="27"/>
      <c r="G555" s="28"/>
    </row>
    <row r="556" spans="6:7" x14ac:dyDescent="0.25">
      <c r="F556" s="27"/>
      <c r="G556" s="28"/>
    </row>
    <row r="557" spans="6:7" x14ac:dyDescent="0.25">
      <c r="F557" s="27"/>
      <c r="G557" s="28"/>
    </row>
    <row r="558" spans="6:7" x14ac:dyDescent="0.25">
      <c r="F558" s="27"/>
      <c r="G558" s="28"/>
    </row>
    <row r="559" spans="6:7" x14ac:dyDescent="0.25">
      <c r="F559" s="27"/>
      <c r="G559" s="28"/>
    </row>
    <row r="560" spans="6:7" x14ac:dyDescent="0.25">
      <c r="F560" s="27"/>
      <c r="G560" s="28"/>
    </row>
    <row r="561" spans="6:7" x14ac:dyDescent="0.25">
      <c r="F561" s="27"/>
      <c r="G561" s="28"/>
    </row>
    <row r="562" spans="6:7" x14ac:dyDescent="0.25">
      <c r="F562" s="27"/>
      <c r="G562" s="28"/>
    </row>
    <row r="563" spans="6:7" x14ac:dyDescent="0.25">
      <c r="F563" s="27"/>
      <c r="G563" s="28"/>
    </row>
    <row r="564" spans="6:7" x14ac:dyDescent="0.25">
      <c r="F564" s="27"/>
      <c r="G564" s="28"/>
    </row>
    <row r="565" spans="6:7" x14ac:dyDescent="0.25">
      <c r="F565" s="27"/>
      <c r="G565" s="28"/>
    </row>
    <row r="566" spans="6:7" x14ac:dyDescent="0.25">
      <c r="F566" s="27"/>
      <c r="G566" s="28"/>
    </row>
    <row r="567" spans="6:7" x14ac:dyDescent="0.25">
      <c r="F567" s="27"/>
      <c r="G567" s="28"/>
    </row>
    <row r="568" spans="6:7" x14ac:dyDescent="0.25">
      <c r="F568" s="27"/>
      <c r="G568" s="28"/>
    </row>
    <row r="569" spans="6:7" x14ac:dyDescent="0.25">
      <c r="F569" s="27"/>
      <c r="G569" s="28"/>
    </row>
    <row r="570" spans="6:7" x14ac:dyDescent="0.25">
      <c r="F570" s="27"/>
      <c r="G570" s="28"/>
    </row>
    <row r="571" spans="6:7" x14ac:dyDescent="0.25">
      <c r="F571" s="27"/>
      <c r="G571" s="28"/>
    </row>
    <row r="572" spans="6:7" x14ac:dyDescent="0.25">
      <c r="F572" s="27"/>
      <c r="G572" s="28"/>
    </row>
    <row r="573" spans="6:7" x14ac:dyDescent="0.25">
      <c r="F573" s="27"/>
      <c r="G573" s="28"/>
    </row>
    <row r="574" spans="6:7" x14ac:dyDescent="0.25">
      <c r="F574" s="27"/>
      <c r="G574" s="28"/>
    </row>
    <row r="575" spans="6:7" x14ac:dyDescent="0.25">
      <c r="F575" s="27"/>
      <c r="G575" s="28"/>
    </row>
    <row r="576" spans="6:7" x14ac:dyDescent="0.25">
      <c r="F576" s="27"/>
      <c r="G576" s="28"/>
    </row>
    <row r="577" spans="6:7" x14ac:dyDescent="0.25">
      <c r="F577" s="27"/>
      <c r="G577" s="28"/>
    </row>
    <row r="578" spans="6:7" x14ac:dyDescent="0.25">
      <c r="F578" s="27"/>
      <c r="G578" s="28"/>
    </row>
    <row r="579" spans="6:7" x14ac:dyDescent="0.25">
      <c r="F579" s="27"/>
      <c r="G579" s="28"/>
    </row>
    <row r="580" spans="6:7" x14ac:dyDescent="0.25">
      <c r="F580" s="27"/>
      <c r="G580" s="28"/>
    </row>
    <row r="581" spans="6:7" x14ac:dyDescent="0.25">
      <c r="F581" s="27"/>
      <c r="G581" s="28"/>
    </row>
    <row r="582" spans="6:7" x14ac:dyDescent="0.25">
      <c r="F582" s="27"/>
      <c r="G582" s="28"/>
    </row>
    <row r="583" spans="6:7" x14ac:dyDescent="0.25">
      <c r="F583" s="27"/>
      <c r="G583" s="28"/>
    </row>
    <row r="584" spans="6:7" x14ac:dyDescent="0.25">
      <c r="F584" s="27"/>
      <c r="G584" s="28"/>
    </row>
    <row r="585" spans="6:7" x14ac:dyDescent="0.25">
      <c r="F585" s="27"/>
      <c r="G585" s="28"/>
    </row>
    <row r="586" spans="6:7" x14ac:dyDescent="0.25">
      <c r="F586" s="27"/>
      <c r="G586" s="28"/>
    </row>
    <row r="587" spans="6:7" x14ac:dyDescent="0.25">
      <c r="F587" s="27"/>
      <c r="G587" s="28"/>
    </row>
    <row r="588" spans="6:7" x14ac:dyDescent="0.25">
      <c r="F588" s="27"/>
      <c r="G588" s="28"/>
    </row>
    <row r="589" spans="6:7" x14ac:dyDescent="0.25">
      <c r="F589" s="27"/>
      <c r="G589" s="28"/>
    </row>
    <row r="590" spans="6:7" x14ac:dyDescent="0.25">
      <c r="F590" s="27"/>
      <c r="G590" s="28"/>
    </row>
    <row r="591" spans="6:7" x14ac:dyDescent="0.25">
      <c r="F591" s="27"/>
      <c r="G591" s="28"/>
    </row>
    <row r="592" spans="6:7" x14ac:dyDescent="0.25">
      <c r="F592" s="27"/>
      <c r="G592" s="28"/>
    </row>
    <row r="593" spans="6:7" x14ac:dyDescent="0.25">
      <c r="F593" s="27"/>
      <c r="G593" s="28"/>
    </row>
    <row r="594" spans="6:7" x14ac:dyDescent="0.25">
      <c r="F594" s="27"/>
      <c r="G594" s="28"/>
    </row>
    <row r="595" spans="6:7" x14ac:dyDescent="0.25">
      <c r="F595" s="27"/>
      <c r="G595" s="28"/>
    </row>
    <row r="596" spans="6:7" x14ac:dyDescent="0.25">
      <c r="F596" s="27"/>
      <c r="G596" s="28"/>
    </row>
    <row r="597" spans="6:7" x14ac:dyDescent="0.25">
      <c r="F597" s="27"/>
      <c r="G597" s="28"/>
    </row>
    <row r="598" spans="6:7" x14ac:dyDescent="0.25">
      <c r="F598" s="27"/>
      <c r="G598" s="28"/>
    </row>
    <row r="599" spans="6:7" x14ac:dyDescent="0.25">
      <c r="F599" s="27"/>
      <c r="G599" s="28"/>
    </row>
    <row r="600" spans="6:7" x14ac:dyDescent="0.25">
      <c r="F600" s="27"/>
      <c r="G600" s="28"/>
    </row>
    <row r="601" spans="6:7" x14ac:dyDescent="0.25">
      <c r="F601" s="27"/>
      <c r="G601" s="28"/>
    </row>
    <row r="602" spans="6:7" x14ac:dyDescent="0.25">
      <c r="F602" s="27"/>
      <c r="G602" s="28"/>
    </row>
    <row r="603" spans="6:7" x14ac:dyDescent="0.25">
      <c r="F603" s="27"/>
      <c r="G603" s="28"/>
    </row>
    <row r="604" spans="6:7" x14ac:dyDescent="0.25">
      <c r="F604" s="27"/>
      <c r="G604" s="28"/>
    </row>
    <row r="605" spans="6:7" x14ac:dyDescent="0.25">
      <c r="F605" s="27"/>
      <c r="G605" s="28"/>
    </row>
    <row r="606" spans="6:7" x14ac:dyDescent="0.25">
      <c r="F606" s="27"/>
      <c r="G606" s="28"/>
    </row>
    <row r="607" spans="6:7" x14ac:dyDescent="0.25">
      <c r="F607" s="27"/>
      <c r="G607" s="28"/>
    </row>
    <row r="608" spans="6:7" x14ac:dyDescent="0.25">
      <c r="F608" s="27"/>
      <c r="G608" s="28"/>
    </row>
    <row r="609" spans="6:7" x14ac:dyDescent="0.25">
      <c r="F609" s="27"/>
      <c r="G609" s="28"/>
    </row>
    <row r="610" spans="6:7" x14ac:dyDescent="0.25">
      <c r="F610" s="27"/>
      <c r="G610" s="28"/>
    </row>
    <row r="611" spans="6:7" x14ac:dyDescent="0.25">
      <c r="F611" s="27"/>
      <c r="G611" s="28"/>
    </row>
    <row r="612" spans="6:7" x14ac:dyDescent="0.25">
      <c r="F612" s="27"/>
      <c r="G612" s="28"/>
    </row>
    <row r="613" spans="6:7" x14ac:dyDescent="0.25">
      <c r="F613" s="27"/>
      <c r="G613" s="28"/>
    </row>
    <row r="614" spans="6:7" x14ac:dyDescent="0.25">
      <c r="F614" s="27"/>
      <c r="G614" s="28"/>
    </row>
    <row r="615" spans="6:7" x14ac:dyDescent="0.25">
      <c r="F615" s="27"/>
      <c r="G615" s="28"/>
    </row>
    <row r="616" spans="6:7" x14ac:dyDescent="0.25">
      <c r="F616" s="27"/>
      <c r="G616" s="28"/>
    </row>
    <row r="617" spans="6:7" x14ac:dyDescent="0.25">
      <c r="F617" s="27"/>
      <c r="G617" s="28"/>
    </row>
    <row r="618" spans="6:7" x14ac:dyDescent="0.25">
      <c r="F618" s="27"/>
      <c r="G618" s="28"/>
    </row>
    <row r="619" spans="6:7" x14ac:dyDescent="0.25">
      <c r="F619" s="27"/>
      <c r="G619" s="28"/>
    </row>
    <row r="620" spans="6:7" x14ac:dyDescent="0.25">
      <c r="F620" s="27"/>
      <c r="G620" s="28"/>
    </row>
    <row r="621" spans="6:7" x14ac:dyDescent="0.25">
      <c r="F621" s="27"/>
      <c r="G621" s="28"/>
    </row>
    <row r="622" spans="6:7" x14ac:dyDescent="0.25">
      <c r="F622" s="27"/>
      <c r="G622" s="28"/>
    </row>
    <row r="623" spans="6:7" x14ac:dyDescent="0.25">
      <c r="F623" s="27"/>
      <c r="G623" s="28"/>
    </row>
    <row r="624" spans="6:7" x14ac:dyDescent="0.25">
      <c r="F624" s="27"/>
      <c r="G624" s="28"/>
    </row>
    <row r="625" spans="6:7" x14ac:dyDescent="0.25">
      <c r="F625" s="27"/>
      <c r="G625" s="28"/>
    </row>
    <row r="626" spans="6:7" x14ac:dyDescent="0.25">
      <c r="F626" s="27"/>
      <c r="G626" s="28"/>
    </row>
    <row r="627" spans="6:7" x14ac:dyDescent="0.25">
      <c r="F627" s="27"/>
      <c r="G627" s="28"/>
    </row>
    <row r="628" spans="6:7" x14ac:dyDescent="0.25">
      <c r="F628" s="27"/>
      <c r="G628" s="28"/>
    </row>
    <row r="629" spans="6:7" x14ac:dyDescent="0.25">
      <c r="F629" s="27"/>
      <c r="G629" s="28"/>
    </row>
    <row r="630" spans="6:7" x14ac:dyDescent="0.25">
      <c r="F630" s="27"/>
      <c r="G630" s="28"/>
    </row>
    <row r="631" spans="6:7" x14ac:dyDescent="0.25">
      <c r="F631" s="27"/>
      <c r="G631" s="28"/>
    </row>
    <row r="632" spans="6:7" x14ac:dyDescent="0.25">
      <c r="F632" s="27"/>
      <c r="G632" s="28"/>
    </row>
    <row r="633" spans="6:7" x14ac:dyDescent="0.25">
      <c r="F633" s="27"/>
      <c r="G633" s="28"/>
    </row>
    <row r="634" spans="6:7" x14ac:dyDescent="0.25">
      <c r="F634" s="27"/>
      <c r="G634" s="28"/>
    </row>
    <row r="635" spans="6:7" x14ac:dyDescent="0.25">
      <c r="F635" s="27"/>
      <c r="G635" s="28"/>
    </row>
    <row r="636" spans="6:7" x14ac:dyDescent="0.25">
      <c r="F636" s="27"/>
      <c r="G636" s="28"/>
    </row>
    <row r="637" spans="6:7" x14ac:dyDescent="0.25">
      <c r="F637" s="27"/>
      <c r="G637" s="28"/>
    </row>
    <row r="638" spans="6:7" x14ac:dyDescent="0.25">
      <c r="F638" s="27"/>
      <c r="G638" s="28"/>
    </row>
    <row r="639" spans="6:7" x14ac:dyDescent="0.25">
      <c r="F639" s="27"/>
      <c r="G639" s="28"/>
    </row>
    <row r="640" spans="6:7" x14ac:dyDescent="0.25">
      <c r="F640" s="27"/>
      <c r="G640" s="28"/>
    </row>
    <row r="641" spans="6:7" x14ac:dyDescent="0.25">
      <c r="F641" s="27"/>
      <c r="G641" s="28"/>
    </row>
    <row r="642" spans="6:7" x14ac:dyDescent="0.25">
      <c r="F642" s="27"/>
      <c r="G642" s="28"/>
    </row>
    <row r="643" spans="6:7" x14ac:dyDescent="0.25">
      <c r="F643" s="27"/>
      <c r="G643" s="28"/>
    </row>
    <row r="644" spans="6:7" x14ac:dyDescent="0.25">
      <c r="F644" s="27"/>
      <c r="G644" s="28"/>
    </row>
    <row r="645" spans="6:7" x14ac:dyDescent="0.25">
      <c r="F645" s="27"/>
      <c r="G645" s="28"/>
    </row>
    <row r="646" spans="6:7" x14ac:dyDescent="0.25">
      <c r="F646" s="27"/>
      <c r="G646" s="28"/>
    </row>
    <row r="647" spans="6:7" x14ac:dyDescent="0.25">
      <c r="F647" s="27"/>
      <c r="G647" s="28"/>
    </row>
    <row r="648" spans="6:7" x14ac:dyDescent="0.25">
      <c r="F648" s="27"/>
      <c r="G648" s="28"/>
    </row>
    <row r="649" spans="6:7" x14ac:dyDescent="0.25">
      <c r="F649" s="27"/>
      <c r="G649" s="28"/>
    </row>
    <row r="650" spans="6:7" x14ac:dyDescent="0.25">
      <c r="F650" s="27"/>
      <c r="G650" s="28"/>
    </row>
    <row r="651" spans="6:7" x14ac:dyDescent="0.25">
      <c r="F651" s="27"/>
      <c r="G651" s="28"/>
    </row>
    <row r="652" spans="6:7" x14ac:dyDescent="0.25">
      <c r="F652" s="27"/>
      <c r="G652" s="28"/>
    </row>
    <row r="653" spans="6:7" x14ac:dyDescent="0.25">
      <c r="F653" s="27"/>
      <c r="G653" s="28"/>
    </row>
    <row r="654" spans="6:7" x14ac:dyDescent="0.25">
      <c r="F654" s="27"/>
      <c r="G654" s="28"/>
    </row>
    <row r="655" spans="6:7" x14ac:dyDescent="0.25">
      <c r="F655" s="27"/>
      <c r="G655" s="28"/>
    </row>
    <row r="656" spans="6:7" x14ac:dyDescent="0.25">
      <c r="F656" s="27"/>
      <c r="G656" s="28"/>
    </row>
    <row r="657" spans="6:7" x14ac:dyDescent="0.25">
      <c r="F657" s="27"/>
      <c r="G657" s="28"/>
    </row>
    <row r="658" spans="6:7" x14ac:dyDescent="0.25">
      <c r="F658" s="27"/>
      <c r="G658" s="28"/>
    </row>
    <row r="659" spans="6:7" x14ac:dyDescent="0.25">
      <c r="F659" s="27"/>
      <c r="G659" s="28"/>
    </row>
    <row r="660" spans="6:7" x14ac:dyDescent="0.25">
      <c r="F660" s="27"/>
      <c r="G660" s="28"/>
    </row>
    <row r="661" spans="6:7" x14ac:dyDescent="0.25">
      <c r="F661" s="27"/>
      <c r="G661" s="28"/>
    </row>
    <row r="662" spans="6:7" x14ac:dyDescent="0.25">
      <c r="F662" s="27"/>
      <c r="G662" s="28"/>
    </row>
    <row r="663" spans="6:7" x14ac:dyDescent="0.25">
      <c r="F663" s="27"/>
      <c r="G663" s="28"/>
    </row>
    <row r="664" spans="6:7" x14ac:dyDescent="0.25">
      <c r="F664" s="27"/>
      <c r="G664" s="28"/>
    </row>
    <row r="665" spans="6:7" x14ac:dyDescent="0.25">
      <c r="F665" s="27"/>
      <c r="G665" s="28"/>
    </row>
    <row r="666" spans="6:7" x14ac:dyDescent="0.25">
      <c r="F666" s="27"/>
      <c r="G666" s="28"/>
    </row>
    <row r="667" spans="6:7" x14ac:dyDescent="0.25">
      <c r="F667" s="27"/>
      <c r="G667" s="28"/>
    </row>
    <row r="668" spans="6:7" x14ac:dyDescent="0.25">
      <c r="F668" s="27"/>
      <c r="G668" s="28"/>
    </row>
    <row r="669" spans="6:7" x14ac:dyDescent="0.25">
      <c r="F669" s="27"/>
      <c r="G669" s="28"/>
    </row>
    <row r="670" spans="6:7" x14ac:dyDescent="0.25">
      <c r="F670" s="27"/>
      <c r="G670" s="28"/>
    </row>
    <row r="671" spans="6:7" x14ac:dyDescent="0.25">
      <c r="F671" s="27"/>
      <c r="G671" s="28"/>
    </row>
    <row r="672" spans="6:7" x14ac:dyDescent="0.25">
      <c r="F672" s="27"/>
      <c r="G672" s="28"/>
    </row>
    <row r="673" spans="6:7" x14ac:dyDescent="0.25">
      <c r="F673" s="27"/>
      <c r="G673" s="28"/>
    </row>
    <row r="674" spans="6:7" x14ac:dyDescent="0.25">
      <c r="F674" s="27"/>
      <c r="G674" s="28"/>
    </row>
    <row r="675" spans="6:7" x14ac:dyDescent="0.25">
      <c r="F675" s="27"/>
      <c r="G675" s="28"/>
    </row>
    <row r="676" spans="6:7" x14ac:dyDescent="0.25">
      <c r="F676" s="27"/>
      <c r="G676" s="28"/>
    </row>
    <row r="677" spans="6:7" x14ac:dyDescent="0.25">
      <c r="F677" s="27"/>
      <c r="G677" s="28"/>
    </row>
    <row r="678" spans="6:7" x14ac:dyDescent="0.25">
      <c r="F678" s="27"/>
      <c r="G678" s="28"/>
    </row>
    <row r="679" spans="6:7" x14ac:dyDescent="0.25">
      <c r="F679" s="27"/>
      <c r="G679" s="28"/>
    </row>
    <row r="680" spans="6:7" x14ac:dyDescent="0.25">
      <c r="F680" s="27"/>
      <c r="G680" s="28"/>
    </row>
    <row r="681" spans="6:7" x14ac:dyDescent="0.25">
      <c r="F681" s="27"/>
      <c r="G681" s="28"/>
    </row>
    <row r="682" spans="6:7" x14ac:dyDescent="0.25">
      <c r="F682" s="27"/>
      <c r="G682" s="28"/>
    </row>
    <row r="683" spans="6:7" x14ac:dyDescent="0.25">
      <c r="F683" s="27"/>
      <c r="G683" s="28"/>
    </row>
    <row r="684" spans="6:7" x14ac:dyDescent="0.25">
      <c r="F684" s="27"/>
      <c r="G684" s="28"/>
    </row>
    <row r="685" spans="6:7" x14ac:dyDescent="0.25">
      <c r="F685" s="27"/>
      <c r="G685" s="28"/>
    </row>
    <row r="686" spans="6:7" x14ac:dyDescent="0.25">
      <c r="F686" s="27"/>
      <c r="G686" s="28"/>
    </row>
    <row r="687" spans="6:7" x14ac:dyDescent="0.25">
      <c r="F687" s="27"/>
      <c r="G687" s="28"/>
    </row>
    <row r="688" spans="6:7" x14ac:dyDescent="0.25">
      <c r="F688" s="27"/>
      <c r="G688" s="28"/>
    </row>
    <row r="689" spans="6:7" x14ac:dyDescent="0.25">
      <c r="F689" s="27"/>
      <c r="G689" s="28"/>
    </row>
    <row r="690" spans="6:7" x14ac:dyDescent="0.25">
      <c r="F690" s="27"/>
      <c r="G690" s="28"/>
    </row>
    <row r="691" spans="6:7" x14ac:dyDescent="0.25">
      <c r="F691" s="27"/>
      <c r="G691" s="28"/>
    </row>
    <row r="692" spans="6:7" x14ac:dyDescent="0.25">
      <c r="F692" s="27"/>
      <c r="G692" s="28"/>
    </row>
    <row r="693" spans="6:7" x14ac:dyDescent="0.25">
      <c r="F693" s="27"/>
      <c r="G693" s="28"/>
    </row>
    <row r="694" spans="6:7" x14ac:dyDescent="0.25">
      <c r="F694" s="27"/>
      <c r="G694" s="28"/>
    </row>
    <row r="695" spans="6:7" x14ac:dyDescent="0.25">
      <c r="F695" s="27"/>
      <c r="G695" s="28"/>
    </row>
    <row r="696" spans="6:7" x14ac:dyDescent="0.25">
      <c r="F696" s="27"/>
      <c r="G696" s="28"/>
    </row>
    <row r="697" spans="6:7" x14ac:dyDescent="0.25">
      <c r="F697" s="27"/>
      <c r="G697" s="28"/>
    </row>
    <row r="698" spans="6:7" x14ac:dyDescent="0.25">
      <c r="F698" s="27"/>
      <c r="G698" s="28"/>
    </row>
    <row r="699" spans="6:7" x14ac:dyDescent="0.25">
      <c r="F699" s="27"/>
      <c r="G699" s="28"/>
    </row>
    <row r="700" spans="6:7" x14ac:dyDescent="0.25">
      <c r="F700" s="27"/>
      <c r="G700" s="28"/>
    </row>
    <row r="701" spans="6:7" x14ac:dyDescent="0.25">
      <c r="F701" s="27"/>
      <c r="G701" s="28"/>
    </row>
    <row r="702" spans="6:7" x14ac:dyDescent="0.25">
      <c r="F702" s="27"/>
      <c r="G702" s="28"/>
    </row>
    <row r="703" spans="6:7" x14ac:dyDescent="0.25">
      <c r="F703" s="27"/>
      <c r="G703" s="28"/>
    </row>
    <row r="704" spans="6:7" x14ac:dyDescent="0.25">
      <c r="F704" s="27"/>
      <c r="G704" s="28"/>
    </row>
    <row r="705" spans="6:7" x14ac:dyDescent="0.25">
      <c r="F705" s="27"/>
      <c r="G705" s="28"/>
    </row>
    <row r="706" spans="6:7" x14ac:dyDescent="0.25">
      <c r="F706" s="27"/>
      <c r="G706" s="28"/>
    </row>
    <row r="707" spans="6:7" x14ac:dyDescent="0.25">
      <c r="F707" s="27"/>
      <c r="G707" s="28"/>
    </row>
    <row r="708" spans="6:7" x14ac:dyDescent="0.25">
      <c r="F708" s="27"/>
      <c r="G708" s="28"/>
    </row>
    <row r="709" spans="6:7" x14ac:dyDescent="0.25">
      <c r="F709" s="27"/>
      <c r="G709" s="28"/>
    </row>
    <row r="710" spans="6:7" x14ac:dyDescent="0.25">
      <c r="F710" s="27"/>
      <c r="G710" s="28"/>
    </row>
    <row r="711" spans="6:7" x14ac:dyDescent="0.25">
      <c r="F711" s="27"/>
      <c r="G711" s="28"/>
    </row>
    <row r="712" spans="6:7" x14ac:dyDescent="0.25">
      <c r="F712" s="27"/>
      <c r="G712" s="28"/>
    </row>
    <row r="713" spans="6:7" x14ac:dyDescent="0.25">
      <c r="F713" s="27"/>
      <c r="G713" s="28"/>
    </row>
    <row r="714" spans="6:7" x14ac:dyDescent="0.25">
      <c r="F714" s="27"/>
      <c r="G714" s="28"/>
    </row>
    <row r="715" spans="6:7" x14ac:dyDescent="0.25">
      <c r="F715" s="27"/>
      <c r="G715" s="28"/>
    </row>
    <row r="716" spans="6:7" x14ac:dyDescent="0.25">
      <c r="F716" s="27"/>
      <c r="G716" s="28"/>
    </row>
    <row r="717" spans="6:7" x14ac:dyDescent="0.25">
      <c r="F717" s="27"/>
      <c r="G717" s="28"/>
    </row>
    <row r="718" spans="6:7" x14ac:dyDescent="0.25">
      <c r="F718" s="27"/>
      <c r="G718" s="28"/>
    </row>
    <row r="719" spans="6:7" x14ac:dyDescent="0.25">
      <c r="F719" s="27"/>
      <c r="G719" s="28"/>
    </row>
    <row r="720" spans="6:7" x14ac:dyDescent="0.25">
      <c r="F720" s="27"/>
      <c r="G720" s="28"/>
    </row>
    <row r="721" spans="6:7" x14ac:dyDescent="0.25">
      <c r="F721" s="27"/>
      <c r="G721" s="28"/>
    </row>
    <row r="722" spans="6:7" x14ac:dyDescent="0.25">
      <c r="F722" s="27"/>
      <c r="G722" s="28"/>
    </row>
    <row r="723" spans="6:7" x14ac:dyDescent="0.25">
      <c r="F723" s="27"/>
      <c r="G723" s="28"/>
    </row>
    <row r="724" spans="6:7" x14ac:dyDescent="0.25">
      <c r="F724" s="27"/>
      <c r="G724" s="28"/>
    </row>
    <row r="725" spans="6:7" x14ac:dyDescent="0.25">
      <c r="F725" s="27"/>
      <c r="G725" s="28"/>
    </row>
    <row r="726" spans="6:7" x14ac:dyDescent="0.25">
      <c r="F726" s="27"/>
      <c r="G726" s="28"/>
    </row>
    <row r="727" spans="6:7" x14ac:dyDescent="0.25">
      <c r="F727" s="27"/>
      <c r="G727" s="28"/>
    </row>
    <row r="728" spans="6:7" x14ac:dyDescent="0.25">
      <c r="F728" s="27"/>
      <c r="G728" s="28"/>
    </row>
    <row r="729" spans="6:7" x14ac:dyDescent="0.25">
      <c r="F729" s="27"/>
      <c r="G729" s="28"/>
    </row>
    <row r="730" spans="6:7" x14ac:dyDescent="0.25">
      <c r="F730" s="27"/>
      <c r="G730" s="28"/>
    </row>
    <row r="731" spans="6:7" x14ac:dyDescent="0.25">
      <c r="F731" s="27"/>
      <c r="G731" s="28"/>
    </row>
    <row r="732" spans="6:7" x14ac:dyDescent="0.25">
      <c r="F732" s="27"/>
      <c r="G732" s="28"/>
    </row>
    <row r="733" spans="6:7" x14ac:dyDescent="0.25">
      <c r="F733" s="27"/>
      <c r="G733" s="28"/>
    </row>
    <row r="734" spans="6:7" x14ac:dyDescent="0.25">
      <c r="F734" s="27"/>
      <c r="G734" s="28"/>
    </row>
    <row r="735" spans="6:7" x14ac:dyDescent="0.25">
      <c r="F735" s="27"/>
      <c r="G735" s="28"/>
    </row>
    <row r="736" spans="6:7" x14ac:dyDescent="0.25">
      <c r="F736" s="27"/>
      <c r="G736" s="28"/>
    </row>
    <row r="737" spans="6:7" x14ac:dyDescent="0.25">
      <c r="F737" s="27"/>
      <c r="G737" s="28"/>
    </row>
    <row r="738" spans="6:7" x14ac:dyDescent="0.25">
      <c r="F738" s="27"/>
      <c r="G738" s="28"/>
    </row>
    <row r="739" spans="6:7" x14ac:dyDescent="0.25">
      <c r="F739" s="27"/>
      <c r="G739" s="28"/>
    </row>
    <row r="740" spans="6:7" x14ac:dyDescent="0.25">
      <c r="F740" s="27"/>
      <c r="G740" s="28"/>
    </row>
    <row r="741" spans="6:7" x14ac:dyDescent="0.25">
      <c r="F741" s="27"/>
      <c r="G741" s="28"/>
    </row>
    <row r="742" spans="6:7" x14ac:dyDescent="0.25">
      <c r="F742" s="27"/>
      <c r="G742" s="28"/>
    </row>
    <row r="743" spans="6:7" x14ac:dyDescent="0.25">
      <c r="F743" s="27"/>
      <c r="G743" s="28"/>
    </row>
    <row r="744" spans="6:7" x14ac:dyDescent="0.25">
      <c r="F744" s="27"/>
      <c r="G744" s="28"/>
    </row>
    <row r="745" spans="6:7" x14ac:dyDescent="0.25">
      <c r="F745" s="27"/>
      <c r="G745" s="28"/>
    </row>
    <row r="746" spans="6:7" x14ac:dyDescent="0.25">
      <c r="F746" s="27"/>
      <c r="G746" s="28"/>
    </row>
    <row r="747" spans="6:7" x14ac:dyDescent="0.25">
      <c r="F747" s="27"/>
      <c r="G747" s="28"/>
    </row>
    <row r="748" spans="6:7" x14ac:dyDescent="0.25">
      <c r="F748" s="27"/>
      <c r="G748" s="28"/>
    </row>
    <row r="749" spans="6:7" x14ac:dyDescent="0.25">
      <c r="F749" s="27"/>
      <c r="G749" s="28"/>
    </row>
    <row r="750" spans="6:7" x14ac:dyDescent="0.25">
      <c r="F750" s="27"/>
      <c r="G750" s="28"/>
    </row>
    <row r="751" spans="6:7" x14ac:dyDescent="0.25">
      <c r="F751" s="27"/>
      <c r="G751" s="28"/>
    </row>
    <row r="752" spans="6:7" x14ac:dyDescent="0.25">
      <c r="F752" s="27"/>
      <c r="G752" s="28"/>
    </row>
    <row r="753" spans="6:7" x14ac:dyDescent="0.25">
      <c r="F753" s="27"/>
      <c r="G753" s="28"/>
    </row>
    <row r="754" spans="6:7" x14ac:dyDescent="0.25">
      <c r="F754" s="27"/>
      <c r="G754" s="28"/>
    </row>
    <row r="755" spans="6:7" x14ac:dyDescent="0.25">
      <c r="F755" s="27"/>
      <c r="G755" s="28"/>
    </row>
    <row r="756" spans="6:7" x14ac:dyDescent="0.25">
      <c r="F756" s="27"/>
      <c r="G756" s="28"/>
    </row>
    <row r="757" spans="6:7" x14ac:dyDescent="0.25">
      <c r="F757" s="27"/>
      <c r="G757" s="28"/>
    </row>
    <row r="758" spans="6:7" x14ac:dyDescent="0.25">
      <c r="F758" s="27"/>
      <c r="G758" s="28"/>
    </row>
    <row r="759" spans="6:7" x14ac:dyDescent="0.25">
      <c r="F759" s="27"/>
      <c r="G759" s="28"/>
    </row>
    <row r="760" spans="6:7" x14ac:dyDescent="0.25">
      <c r="F760" s="27"/>
      <c r="G760" s="28"/>
    </row>
    <row r="761" spans="6:7" x14ac:dyDescent="0.25">
      <c r="F761" s="27"/>
      <c r="G761" s="28"/>
    </row>
    <row r="762" spans="6:7" x14ac:dyDescent="0.25">
      <c r="F762" s="27"/>
      <c r="G762" s="28"/>
    </row>
    <row r="763" spans="6:7" x14ac:dyDescent="0.25">
      <c r="F763" s="27"/>
      <c r="G763" s="28"/>
    </row>
    <row r="764" spans="6:7" x14ac:dyDescent="0.25">
      <c r="F764" s="27"/>
      <c r="G764" s="28"/>
    </row>
    <row r="765" spans="6:7" x14ac:dyDescent="0.25">
      <c r="F765" s="27"/>
      <c r="G765" s="28"/>
    </row>
    <row r="766" spans="6:7" x14ac:dyDescent="0.25">
      <c r="F766" s="27"/>
      <c r="G766" s="28"/>
    </row>
    <row r="767" spans="6:7" x14ac:dyDescent="0.25">
      <c r="F767" s="27"/>
      <c r="G767" s="28"/>
    </row>
    <row r="768" spans="6:7" x14ac:dyDescent="0.25">
      <c r="F768" s="27"/>
      <c r="G768" s="28"/>
    </row>
    <row r="769" spans="6:7" x14ac:dyDescent="0.25">
      <c r="F769" s="27"/>
      <c r="G769" s="28"/>
    </row>
    <row r="770" spans="6:7" x14ac:dyDescent="0.25">
      <c r="F770" s="27"/>
      <c r="G770" s="28"/>
    </row>
    <row r="771" spans="6:7" x14ac:dyDescent="0.25">
      <c r="F771" s="27"/>
      <c r="G771" s="28"/>
    </row>
    <row r="772" spans="6:7" x14ac:dyDescent="0.25">
      <c r="F772" s="27"/>
      <c r="G772" s="28"/>
    </row>
    <row r="773" spans="6:7" x14ac:dyDescent="0.25">
      <c r="F773" s="27"/>
      <c r="G773" s="28"/>
    </row>
    <row r="774" spans="6:7" x14ac:dyDescent="0.25">
      <c r="F774" s="27"/>
      <c r="G774" s="28"/>
    </row>
    <row r="775" spans="6:7" x14ac:dyDescent="0.25">
      <c r="F775" s="27"/>
      <c r="G775" s="28"/>
    </row>
    <row r="776" spans="6:7" x14ac:dyDescent="0.25">
      <c r="F776" s="27"/>
      <c r="G776" s="28"/>
    </row>
    <row r="777" spans="6:7" x14ac:dyDescent="0.25">
      <c r="F777" s="27"/>
      <c r="G777" s="28"/>
    </row>
    <row r="778" spans="6:7" x14ac:dyDescent="0.25">
      <c r="F778" s="27"/>
      <c r="G778" s="28"/>
    </row>
    <row r="779" spans="6:7" x14ac:dyDescent="0.25">
      <c r="F779" s="27"/>
      <c r="G779" s="28"/>
    </row>
    <row r="780" spans="6:7" x14ac:dyDescent="0.25">
      <c r="F780" s="27"/>
      <c r="G780" s="28"/>
    </row>
    <row r="781" spans="6:7" x14ac:dyDescent="0.25">
      <c r="F781" s="27"/>
      <c r="G781" s="28"/>
    </row>
    <row r="782" spans="6:7" x14ac:dyDescent="0.25">
      <c r="F782" s="27"/>
      <c r="G782" s="28"/>
    </row>
    <row r="783" spans="6:7" x14ac:dyDescent="0.25">
      <c r="F783" s="27"/>
      <c r="G783" s="28"/>
    </row>
    <row r="784" spans="6:7" x14ac:dyDescent="0.25">
      <c r="F784" s="27"/>
      <c r="G784" s="28"/>
    </row>
    <row r="785" spans="6:7" x14ac:dyDescent="0.25">
      <c r="F785" s="27"/>
      <c r="G785" s="28"/>
    </row>
    <row r="786" spans="6:7" x14ac:dyDescent="0.25">
      <c r="F786" s="27"/>
      <c r="G786" s="28"/>
    </row>
    <row r="787" spans="6:7" x14ac:dyDescent="0.25">
      <c r="F787" s="27"/>
      <c r="G787" s="28"/>
    </row>
    <row r="788" spans="6:7" x14ac:dyDescent="0.25">
      <c r="F788" s="27"/>
      <c r="G788" s="28"/>
    </row>
    <row r="789" spans="6:7" x14ac:dyDescent="0.25">
      <c r="F789" s="27"/>
      <c r="G789" s="28"/>
    </row>
    <row r="790" spans="6:7" x14ac:dyDescent="0.25">
      <c r="F790" s="27"/>
      <c r="G790" s="28"/>
    </row>
    <row r="791" spans="6:7" x14ac:dyDescent="0.25">
      <c r="F791" s="27"/>
      <c r="G791" s="28"/>
    </row>
    <row r="792" spans="6:7" x14ac:dyDescent="0.25">
      <c r="F792" s="27"/>
      <c r="G792" s="28"/>
    </row>
    <row r="793" spans="6:7" x14ac:dyDescent="0.25">
      <c r="F793" s="27"/>
      <c r="G793" s="28"/>
    </row>
    <row r="794" spans="6:7" x14ac:dyDescent="0.25">
      <c r="F794" s="27"/>
      <c r="G794" s="28"/>
    </row>
    <row r="795" spans="6:7" x14ac:dyDescent="0.25">
      <c r="F795" s="27"/>
      <c r="G795" s="28"/>
    </row>
    <row r="796" spans="6:7" x14ac:dyDescent="0.25">
      <c r="F796" s="27"/>
      <c r="G796" s="28"/>
    </row>
    <row r="797" spans="6:7" x14ac:dyDescent="0.25">
      <c r="F797" s="27"/>
      <c r="G797" s="28"/>
    </row>
    <row r="798" spans="6:7" x14ac:dyDescent="0.25">
      <c r="F798" s="27"/>
      <c r="G798" s="28"/>
    </row>
    <row r="799" spans="6:7" x14ac:dyDescent="0.25">
      <c r="F799" s="27"/>
      <c r="G799" s="28"/>
    </row>
    <row r="800" spans="6:7" x14ac:dyDescent="0.25">
      <c r="F800" s="27"/>
      <c r="G800" s="28"/>
    </row>
    <row r="801" spans="6:7" x14ac:dyDescent="0.25">
      <c r="F801" s="27"/>
      <c r="G801" s="28"/>
    </row>
    <row r="802" spans="6:7" x14ac:dyDescent="0.25">
      <c r="F802" s="27"/>
      <c r="G802" s="28"/>
    </row>
    <row r="803" spans="6:7" x14ac:dyDescent="0.25">
      <c r="F803" s="27"/>
      <c r="G803" s="28"/>
    </row>
    <row r="804" spans="6:7" x14ac:dyDescent="0.25">
      <c r="F804" s="27"/>
      <c r="G804" s="28"/>
    </row>
    <row r="805" spans="6:7" x14ac:dyDescent="0.25">
      <c r="F805" s="27"/>
      <c r="G805" s="28"/>
    </row>
    <row r="806" spans="6:7" x14ac:dyDescent="0.25">
      <c r="F806" s="27"/>
      <c r="G806" s="28"/>
    </row>
    <row r="807" spans="6:7" x14ac:dyDescent="0.25">
      <c r="F807" s="27"/>
      <c r="G807" s="28"/>
    </row>
    <row r="808" spans="6:7" x14ac:dyDescent="0.25">
      <c r="F808" s="27"/>
      <c r="G808" s="28"/>
    </row>
    <row r="809" spans="6:7" x14ac:dyDescent="0.25">
      <c r="F809" s="27"/>
      <c r="G809" s="28"/>
    </row>
    <row r="810" spans="6:7" x14ac:dyDescent="0.25">
      <c r="F810" s="27"/>
      <c r="G810" s="28"/>
    </row>
    <row r="811" spans="6:7" x14ac:dyDescent="0.25">
      <c r="F811" s="27"/>
      <c r="G811" s="28"/>
    </row>
    <row r="812" spans="6:7" x14ac:dyDescent="0.25">
      <c r="F812" s="27"/>
      <c r="G812" s="28"/>
    </row>
    <row r="813" spans="6:7" x14ac:dyDescent="0.25">
      <c r="F813" s="27"/>
      <c r="G813" s="28"/>
    </row>
    <row r="814" spans="6:7" x14ac:dyDescent="0.25">
      <c r="F814" s="27"/>
      <c r="G814" s="28"/>
    </row>
    <row r="815" spans="6:7" x14ac:dyDescent="0.25">
      <c r="F815" s="27"/>
      <c r="G815" s="28"/>
    </row>
    <row r="816" spans="6:7" x14ac:dyDescent="0.25">
      <c r="F816" s="27"/>
      <c r="G816" s="28"/>
    </row>
    <row r="817" spans="6:7" x14ac:dyDescent="0.25">
      <c r="F817" s="27"/>
      <c r="G817" s="28"/>
    </row>
    <row r="818" spans="6:7" x14ac:dyDescent="0.25">
      <c r="F818" s="27"/>
      <c r="G818" s="28"/>
    </row>
    <row r="819" spans="6:7" x14ac:dyDescent="0.25">
      <c r="F819" s="27"/>
      <c r="G819" s="28"/>
    </row>
    <row r="820" spans="6:7" x14ac:dyDescent="0.25">
      <c r="F820" s="27"/>
      <c r="G820" s="28"/>
    </row>
    <row r="821" spans="6:7" x14ac:dyDescent="0.25">
      <c r="F821" s="27"/>
      <c r="G821" s="28"/>
    </row>
    <row r="822" spans="6:7" x14ac:dyDescent="0.25">
      <c r="F822" s="27"/>
      <c r="G822" s="28"/>
    </row>
    <row r="823" spans="6:7" x14ac:dyDescent="0.25">
      <c r="F823" s="27"/>
      <c r="G823" s="28"/>
    </row>
    <row r="824" spans="6:7" x14ac:dyDescent="0.25">
      <c r="F824" s="27"/>
      <c r="G824" s="28"/>
    </row>
    <row r="825" spans="6:7" x14ac:dyDescent="0.25">
      <c r="F825" s="27"/>
      <c r="G825" s="28"/>
    </row>
    <row r="826" spans="6:7" x14ac:dyDescent="0.25">
      <c r="F826" s="27"/>
      <c r="G826" s="28"/>
    </row>
    <row r="827" spans="6:7" x14ac:dyDescent="0.25">
      <c r="F827" s="27"/>
      <c r="G827" s="28"/>
    </row>
    <row r="828" spans="6:7" x14ac:dyDescent="0.25">
      <c r="F828" s="27"/>
      <c r="G828" s="28"/>
    </row>
    <row r="829" spans="6:7" x14ac:dyDescent="0.25">
      <c r="F829" s="27"/>
      <c r="G829" s="28"/>
    </row>
    <row r="830" spans="6:7" x14ac:dyDescent="0.25">
      <c r="F830" s="27"/>
      <c r="G830" s="28"/>
    </row>
    <row r="831" spans="6:7" x14ac:dyDescent="0.25">
      <c r="F831" s="27"/>
      <c r="G831" s="28"/>
    </row>
    <row r="832" spans="6:7" x14ac:dyDescent="0.25">
      <c r="F832" s="27"/>
      <c r="G832" s="28"/>
    </row>
    <row r="833" spans="6:7" x14ac:dyDescent="0.25">
      <c r="F833" s="27"/>
      <c r="G833" s="28"/>
    </row>
    <row r="834" spans="6:7" x14ac:dyDescent="0.25">
      <c r="F834" s="27"/>
      <c r="G834" s="28"/>
    </row>
    <row r="835" spans="6:7" x14ac:dyDescent="0.25">
      <c r="F835" s="27"/>
      <c r="G835" s="28"/>
    </row>
    <row r="836" spans="6:7" x14ac:dyDescent="0.25">
      <c r="F836" s="27"/>
      <c r="G836" s="28"/>
    </row>
    <row r="837" spans="6:7" x14ac:dyDescent="0.25">
      <c r="F837" s="27"/>
      <c r="G837" s="28"/>
    </row>
    <row r="838" spans="6:7" x14ac:dyDescent="0.25">
      <c r="F838" s="27"/>
      <c r="G838" s="28"/>
    </row>
    <row r="839" spans="6:7" x14ac:dyDescent="0.25">
      <c r="F839" s="27"/>
      <c r="G839" s="28"/>
    </row>
    <row r="840" spans="6:7" x14ac:dyDescent="0.25">
      <c r="F840" s="27"/>
      <c r="G840" s="28"/>
    </row>
    <row r="841" spans="6:7" x14ac:dyDescent="0.25">
      <c r="F841" s="27"/>
      <c r="G841" s="28"/>
    </row>
    <row r="842" spans="6:7" x14ac:dyDescent="0.25">
      <c r="F842" s="27"/>
      <c r="G842" s="28"/>
    </row>
    <row r="843" spans="6:7" x14ac:dyDescent="0.25">
      <c r="F843" s="27"/>
      <c r="G843" s="28"/>
    </row>
    <row r="844" spans="6:7" x14ac:dyDescent="0.25">
      <c r="F844" s="27"/>
      <c r="G844" s="28"/>
    </row>
    <row r="845" spans="6:7" x14ac:dyDescent="0.25">
      <c r="F845" s="27"/>
      <c r="G845" s="28"/>
    </row>
    <row r="846" spans="6:7" x14ac:dyDescent="0.25">
      <c r="F846" s="27"/>
      <c r="G846" s="28"/>
    </row>
    <row r="847" spans="6:7" x14ac:dyDescent="0.25">
      <c r="F847" s="27"/>
      <c r="G847" s="28"/>
    </row>
    <row r="848" spans="6:7" x14ac:dyDescent="0.25">
      <c r="F848" s="27"/>
      <c r="G848" s="28"/>
    </row>
    <row r="849" spans="6:7" x14ac:dyDescent="0.25">
      <c r="F849" s="27"/>
      <c r="G849" s="28"/>
    </row>
    <row r="850" spans="6:7" x14ac:dyDescent="0.25">
      <c r="F850" s="27"/>
      <c r="G850" s="28"/>
    </row>
    <row r="851" spans="6:7" x14ac:dyDescent="0.25">
      <c r="F851" s="27"/>
      <c r="G851" s="28"/>
    </row>
    <row r="852" spans="6:7" x14ac:dyDescent="0.25">
      <c r="F852" s="27"/>
      <c r="G852" s="28"/>
    </row>
    <row r="853" spans="6:7" x14ac:dyDescent="0.25">
      <c r="F853" s="27"/>
      <c r="G853" s="28"/>
    </row>
    <row r="854" spans="6:7" x14ac:dyDescent="0.25">
      <c r="F854" s="27"/>
      <c r="G854" s="28"/>
    </row>
    <row r="855" spans="6:7" x14ac:dyDescent="0.25">
      <c r="F855" s="27"/>
      <c r="G855" s="28"/>
    </row>
    <row r="856" spans="6:7" x14ac:dyDescent="0.25">
      <c r="F856" s="27"/>
      <c r="G856" s="28"/>
    </row>
    <row r="857" spans="6:7" x14ac:dyDescent="0.25">
      <c r="F857" s="27"/>
      <c r="G857" s="28"/>
    </row>
    <row r="858" spans="6:7" x14ac:dyDescent="0.25">
      <c r="F858" s="27"/>
      <c r="G858" s="28"/>
    </row>
    <row r="859" spans="6:7" x14ac:dyDescent="0.25">
      <c r="F859" s="27"/>
      <c r="G859" s="28"/>
    </row>
    <row r="860" spans="6:7" x14ac:dyDescent="0.25">
      <c r="F860" s="27"/>
      <c r="G860" s="28"/>
    </row>
    <row r="861" spans="6:7" x14ac:dyDescent="0.25">
      <c r="F861" s="27"/>
      <c r="G861" s="28"/>
    </row>
    <row r="862" spans="6:7" x14ac:dyDescent="0.25">
      <c r="F862" s="27"/>
      <c r="G862" s="28"/>
    </row>
    <row r="863" spans="6:7" x14ac:dyDescent="0.25">
      <c r="F863" s="27"/>
      <c r="G863" s="28"/>
    </row>
    <row r="864" spans="6:7" x14ac:dyDescent="0.25">
      <c r="F864" s="27"/>
      <c r="G864" s="28"/>
    </row>
    <row r="865" spans="6:7" x14ac:dyDescent="0.25">
      <c r="F865" s="27"/>
      <c r="G865" s="28"/>
    </row>
    <row r="866" spans="6:7" x14ac:dyDescent="0.25">
      <c r="F866" s="27"/>
      <c r="G866" s="28"/>
    </row>
    <row r="867" spans="6:7" x14ac:dyDescent="0.25">
      <c r="F867" s="27"/>
      <c r="G867" s="28"/>
    </row>
    <row r="868" spans="6:7" x14ac:dyDescent="0.25">
      <c r="F868" s="27"/>
      <c r="G868" s="28"/>
    </row>
    <row r="869" spans="6:7" x14ac:dyDescent="0.25">
      <c r="F869" s="27"/>
      <c r="G869" s="28"/>
    </row>
    <row r="870" spans="6:7" x14ac:dyDescent="0.25">
      <c r="F870" s="27"/>
      <c r="G870" s="28"/>
    </row>
    <row r="871" spans="6:7" x14ac:dyDescent="0.25">
      <c r="F871" s="27"/>
      <c r="G871" s="28"/>
    </row>
    <row r="872" spans="6:7" x14ac:dyDescent="0.25">
      <c r="F872" s="27"/>
      <c r="G872" s="28"/>
    </row>
    <row r="873" spans="6:7" x14ac:dyDescent="0.25">
      <c r="F873" s="27"/>
      <c r="G873" s="28"/>
    </row>
    <row r="874" spans="6:7" x14ac:dyDescent="0.25">
      <c r="F874" s="27"/>
      <c r="G874" s="28"/>
    </row>
    <row r="875" spans="6:7" x14ac:dyDescent="0.25">
      <c r="F875" s="27"/>
      <c r="G875" s="28"/>
    </row>
    <row r="876" spans="6:7" x14ac:dyDescent="0.25">
      <c r="F876" s="27"/>
      <c r="G876" s="28"/>
    </row>
    <row r="877" spans="6:7" x14ac:dyDescent="0.25">
      <c r="F877" s="27"/>
      <c r="G877" s="28"/>
    </row>
    <row r="878" spans="6:7" x14ac:dyDescent="0.25">
      <c r="F878" s="27"/>
      <c r="G878" s="28"/>
    </row>
    <row r="879" spans="6:7" x14ac:dyDescent="0.25">
      <c r="F879" s="27"/>
      <c r="G879" s="28"/>
    </row>
    <row r="880" spans="6:7" x14ac:dyDescent="0.25">
      <c r="F880" s="27"/>
      <c r="G880" s="28"/>
    </row>
    <row r="881" spans="6:7" x14ac:dyDescent="0.25">
      <c r="F881" s="27"/>
      <c r="G881" s="28"/>
    </row>
    <row r="882" spans="6:7" x14ac:dyDescent="0.25">
      <c r="F882" s="27"/>
      <c r="G882" s="28"/>
    </row>
    <row r="883" spans="6:7" x14ac:dyDescent="0.25">
      <c r="F883" s="27"/>
      <c r="G883" s="28"/>
    </row>
    <row r="884" spans="6:7" x14ac:dyDescent="0.25">
      <c r="F884" s="27"/>
      <c r="G884" s="28"/>
    </row>
    <row r="885" spans="6:7" x14ac:dyDescent="0.25">
      <c r="F885" s="27"/>
      <c r="G885" s="28"/>
    </row>
    <row r="886" spans="6:7" x14ac:dyDescent="0.25">
      <c r="F886" s="27"/>
      <c r="G886" s="28"/>
    </row>
    <row r="887" spans="6:7" x14ac:dyDescent="0.25">
      <c r="F887" s="27"/>
      <c r="G887" s="28"/>
    </row>
    <row r="888" spans="6:7" x14ac:dyDescent="0.25">
      <c r="F888" s="27"/>
      <c r="G888" s="28"/>
    </row>
    <row r="889" spans="6:7" x14ac:dyDescent="0.25">
      <c r="F889" s="27"/>
      <c r="G889" s="28"/>
    </row>
    <row r="890" spans="6:7" x14ac:dyDescent="0.25">
      <c r="F890" s="27"/>
      <c r="G890" s="28"/>
    </row>
    <row r="891" spans="6:7" x14ac:dyDescent="0.25">
      <c r="F891" s="27"/>
      <c r="G891" s="28"/>
    </row>
    <row r="892" spans="6:7" x14ac:dyDescent="0.25">
      <c r="F892" s="27"/>
      <c r="G892" s="28"/>
    </row>
    <row r="893" spans="6:7" x14ac:dyDescent="0.25">
      <c r="F893" s="27"/>
      <c r="G893" s="28"/>
    </row>
    <row r="894" spans="6:7" x14ac:dyDescent="0.25">
      <c r="F894" s="27"/>
      <c r="G894" s="28"/>
    </row>
    <row r="895" spans="6:7" x14ac:dyDescent="0.25">
      <c r="F895" s="27"/>
      <c r="G895" s="28"/>
    </row>
    <row r="896" spans="6:7" x14ac:dyDescent="0.25">
      <c r="F896" s="27"/>
      <c r="G896" s="28"/>
    </row>
    <row r="897" spans="6:7" x14ac:dyDescent="0.25">
      <c r="F897" s="27"/>
      <c r="G897" s="28"/>
    </row>
    <row r="898" spans="6:7" x14ac:dyDescent="0.25">
      <c r="F898" s="27"/>
      <c r="G898" s="28"/>
    </row>
    <row r="899" spans="6:7" x14ac:dyDescent="0.25">
      <c r="F899" s="27"/>
      <c r="G899" s="28"/>
    </row>
    <row r="900" spans="6:7" x14ac:dyDescent="0.25">
      <c r="F900" s="27"/>
      <c r="G900" s="28"/>
    </row>
    <row r="901" spans="6:7" x14ac:dyDescent="0.25">
      <c r="F901" s="27"/>
      <c r="G901" s="28"/>
    </row>
    <row r="902" spans="6:7" x14ac:dyDescent="0.25">
      <c r="F902" s="27"/>
      <c r="G902" s="28"/>
    </row>
    <row r="903" spans="6:7" x14ac:dyDescent="0.25">
      <c r="F903" s="27"/>
      <c r="G903" s="28"/>
    </row>
    <row r="904" spans="6:7" x14ac:dyDescent="0.25">
      <c r="F904" s="27"/>
      <c r="G904" s="28"/>
    </row>
    <row r="905" spans="6:7" x14ac:dyDescent="0.25">
      <c r="F905" s="27"/>
      <c r="G905" s="28"/>
    </row>
    <row r="906" spans="6:7" x14ac:dyDescent="0.25">
      <c r="F906" s="27"/>
      <c r="G906" s="28"/>
    </row>
    <row r="907" spans="6:7" x14ac:dyDescent="0.25">
      <c r="F907" s="27"/>
      <c r="G907" s="28"/>
    </row>
    <row r="908" spans="6:7" x14ac:dyDescent="0.25">
      <c r="F908" s="27"/>
      <c r="G908" s="28"/>
    </row>
    <row r="909" spans="6:7" x14ac:dyDescent="0.25">
      <c r="F909" s="27"/>
      <c r="G909" s="28"/>
    </row>
    <row r="910" spans="6:7" x14ac:dyDescent="0.25">
      <c r="F910" s="27"/>
      <c r="G910" s="28"/>
    </row>
    <row r="911" spans="6:7" x14ac:dyDescent="0.25">
      <c r="F911" s="27"/>
      <c r="G911" s="28"/>
    </row>
    <row r="912" spans="6:7" x14ac:dyDescent="0.25">
      <c r="F912" s="27"/>
      <c r="G912" s="28"/>
    </row>
    <row r="913" spans="6:7" x14ac:dyDescent="0.25">
      <c r="F913" s="27"/>
      <c r="G913" s="28"/>
    </row>
    <row r="914" spans="6:7" x14ac:dyDescent="0.25">
      <c r="F914" s="27"/>
      <c r="G914" s="28"/>
    </row>
    <row r="915" spans="6:7" x14ac:dyDescent="0.25">
      <c r="F915" s="27"/>
      <c r="G915" s="28"/>
    </row>
    <row r="916" spans="6:7" x14ac:dyDescent="0.25">
      <c r="F916" s="27"/>
      <c r="G916" s="28"/>
    </row>
    <row r="917" spans="6:7" x14ac:dyDescent="0.25">
      <c r="F917" s="27"/>
      <c r="G917" s="28"/>
    </row>
    <row r="918" spans="6:7" x14ac:dyDescent="0.25">
      <c r="F918" s="27"/>
      <c r="G918" s="28"/>
    </row>
    <row r="919" spans="6:7" x14ac:dyDescent="0.25">
      <c r="F919" s="27"/>
      <c r="G919" s="28"/>
    </row>
    <row r="920" spans="6:7" x14ac:dyDescent="0.25">
      <c r="F920" s="27"/>
      <c r="G920" s="28"/>
    </row>
    <row r="921" spans="6:7" x14ac:dyDescent="0.25">
      <c r="F921" s="27"/>
      <c r="G921" s="28"/>
    </row>
    <row r="922" spans="6:7" x14ac:dyDescent="0.25">
      <c r="F922" s="27"/>
      <c r="G922" s="28"/>
    </row>
    <row r="923" spans="6:7" x14ac:dyDescent="0.25">
      <c r="F923" s="27"/>
      <c r="G923" s="28"/>
    </row>
    <row r="924" spans="6:7" x14ac:dyDescent="0.25">
      <c r="F924" s="27"/>
      <c r="G924" s="28"/>
    </row>
    <row r="925" spans="6:7" x14ac:dyDescent="0.25">
      <c r="F925" s="27"/>
      <c r="G925" s="28"/>
    </row>
    <row r="926" spans="6:7" x14ac:dyDescent="0.25">
      <c r="F926" s="27"/>
      <c r="G926" s="28"/>
    </row>
    <row r="927" spans="6:7" x14ac:dyDescent="0.25">
      <c r="F927" s="27"/>
      <c r="G927" s="28"/>
    </row>
    <row r="928" spans="6:7" x14ac:dyDescent="0.25">
      <c r="F928" s="27"/>
      <c r="G928" s="28"/>
    </row>
    <row r="929" spans="6:7" x14ac:dyDescent="0.25">
      <c r="F929" s="27"/>
      <c r="G929" s="28"/>
    </row>
    <row r="930" spans="6:7" x14ac:dyDescent="0.25">
      <c r="F930" s="27"/>
      <c r="G930" s="28"/>
    </row>
    <row r="931" spans="6:7" x14ac:dyDescent="0.25">
      <c r="F931" s="27"/>
      <c r="G931" s="28"/>
    </row>
    <row r="932" spans="6:7" x14ac:dyDescent="0.25">
      <c r="F932" s="27"/>
      <c r="G932" s="28"/>
    </row>
    <row r="933" spans="6:7" x14ac:dyDescent="0.25">
      <c r="F933" s="27"/>
      <c r="G933" s="28"/>
    </row>
    <row r="934" spans="6:7" x14ac:dyDescent="0.25">
      <c r="F934" s="27"/>
      <c r="G934" s="28"/>
    </row>
    <row r="935" spans="6:7" x14ac:dyDescent="0.25">
      <c r="F935" s="27"/>
      <c r="G935" s="28"/>
    </row>
    <row r="936" spans="6:7" x14ac:dyDescent="0.25">
      <c r="F936" s="27"/>
      <c r="G936" s="28"/>
    </row>
    <row r="937" spans="6:7" x14ac:dyDescent="0.25">
      <c r="F937" s="27"/>
      <c r="G937" s="28"/>
    </row>
    <row r="938" spans="6:7" x14ac:dyDescent="0.25">
      <c r="F938" s="27"/>
      <c r="G938" s="28"/>
    </row>
    <row r="939" spans="6:7" x14ac:dyDescent="0.25">
      <c r="F939" s="27"/>
      <c r="G939" s="28"/>
    </row>
    <row r="940" spans="6:7" x14ac:dyDescent="0.25">
      <c r="F940" s="27"/>
      <c r="G940" s="28"/>
    </row>
    <row r="941" spans="6:7" x14ac:dyDescent="0.25">
      <c r="F941" s="27"/>
      <c r="G941" s="28"/>
    </row>
    <row r="942" spans="6:7" x14ac:dyDescent="0.25">
      <c r="F942" s="27"/>
      <c r="G942" s="28"/>
    </row>
    <row r="943" spans="6:7" x14ac:dyDescent="0.25">
      <c r="F943" s="27"/>
      <c r="G943" s="28"/>
    </row>
    <row r="944" spans="6:7" x14ac:dyDescent="0.25">
      <c r="F944" s="27"/>
      <c r="G944" s="28"/>
    </row>
    <row r="945" spans="6:7" x14ac:dyDescent="0.25">
      <c r="F945" s="27"/>
      <c r="G945" s="28"/>
    </row>
    <row r="946" spans="6:7" x14ac:dyDescent="0.25">
      <c r="F946" s="27"/>
      <c r="G946" s="28"/>
    </row>
    <row r="947" spans="6:7" x14ac:dyDescent="0.25">
      <c r="F947" s="27"/>
      <c r="G947" s="28"/>
    </row>
    <row r="948" spans="6:7" x14ac:dyDescent="0.25">
      <c r="F948" s="27"/>
      <c r="G948" s="28"/>
    </row>
    <row r="949" spans="6:7" x14ac:dyDescent="0.25">
      <c r="F949" s="27"/>
      <c r="G949" s="28"/>
    </row>
    <row r="950" spans="6:7" x14ac:dyDescent="0.25">
      <c r="F950" s="27"/>
      <c r="G950" s="28"/>
    </row>
    <row r="951" spans="6:7" x14ac:dyDescent="0.25">
      <c r="F951" s="27"/>
      <c r="G951" s="28"/>
    </row>
    <row r="952" spans="6:7" x14ac:dyDescent="0.25">
      <c r="F952" s="27"/>
      <c r="G952" s="28"/>
    </row>
    <row r="953" spans="6:7" x14ac:dyDescent="0.25">
      <c r="F953" s="27"/>
      <c r="G953" s="28"/>
    </row>
    <row r="954" spans="6:7" x14ac:dyDescent="0.25">
      <c r="F954" s="27"/>
      <c r="G954" s="28"/>
    </row>
    <row r="955" spans="6:7" x14ac:dyDescent="0.25">
      <c r="F955" s="27"/>
      <c r="G955" s="28"/>
    </row>
    <row r="956" spans="6:7" x14ac:dyDescent="0.25">
      <c r="F956" s="27"/>
      <c r="G956" s="28"/>
    </row>
    <row r="957" spans="6:7" x14ac:dyDescent="0.25">
      <c r="F957" s="27"/>
      <c r="G957" s="28"/>
    </row>
    <row r="958" spans="6:7" x14ac:dyDescent="0.25">
      <c r="F958" s="27"/>
      <c r="G958" s="28"/>
    </row>
    <row r="959" spans="6:7" x14ac:dyDescent="0.25">
      <c r="F959" s="27"/>
      <c r="G959" s="28"/>
    </row>
    <row r="960" spans="6:7" x14ac:dyDescent="0.25">
      <c r="F960" s="27"/>
      <c r="G960" s="28"/>
    </row>
    <row r="961" spans="6:7" x14ac:dyDescent="0.25">
      <c r="F961" s="27"/>
      <c r="G961" s="28"/>
    </row>
    <row r="962" spans="6:7" x14ac:dyDescent="0.25">
      <c r="F962" s="27"/>
      <c r="G962" s="28"/>
    </row>
    <row r="963" spans="6:7" x14ac:dyDescent="0.25">
      <c r="F963" s="27"/>
      <c r="G963" s="28"/>
    </row>
    <row r="964" spans="6:7" x14ac:dyDescent="0.25">
      <c r="F964" s="27"/>
      <c r="G964" s="28"/>
    </row>
    <row r="965" spans="6:7" x14ac:dyDescent="0.25">
      <c r="F965" s="27"/>
      <c r="G965" s="28"/>
    </row>
    <row r="966" spans="6:7" x14ac:dyDescent="0.25">
      <c r="F966" s="27"/>
      <c r="G966" s="28"/>
    </row>
    <row r="967" spans="6:7" x14ac:dyDescent="0.25">
      <c r="F967" s="27"/>
      <c r="G967" s="28"/>
    </row>
    <row r="968" spans="6:7" x14ac:dyDescent="0.25">
      <c r="F968" s="27"/>
      <c r="G968" s="28"/>
    </row>
    <row r="969" spans="6:7" x14ac:dyDescent="0.25">
      <c r="F969" s="27"/>
      <c r="G969" s="28"/>
    </row>
    <row r="970" spans="6:7" x14ac:dyDescent="0.25">
      <c r="F970" s="27"/>
      <c r="G970" s="28"/>
    </row>
    <row r="971" spans="6:7" x14ac:dyDescent="0.25">
      <c r="F971" s="27"/>
      <c r="G971" s="28"/>
    </row>
    <row r="972" spans="6:7" x14ac:dyDescent="0.25">
      <c r="F972" s="27"/>
      <c r="G972" s="28"/>
    </row>
    <row r="973" spans="6:7" x14ac:dyDescent="0.25">
      <c r="F973" s="27"/>
      <c r="G973" s="28"/>
    </row>
    <row r="974" spans="6:7" x14ac:dyDescent="0.25">
      <c r="F974" s="27"/>
      <c r="G974" s="28"/>
    </row>
    <row r="975" spans="6:7" x14ac:dyDescent="0.25">
      <c r="F975" s="27"/>
      <c r="G975" s="28"/>
    </row>
    <row r="976" spans="6:7" x14ac:dyDescent="0.25">
      <c r="F976" s="27"/>
      <c r="G976" s="28"/>
    </row>
    <row r="977" spans="6:7" x14ac:dyDescent="0.25">
      <c r="F977" s="27"/>
      <c r="G977" s="28"/>
    </row>
    <row r="978" spans="6:7" x14ac:dyDescent="0.25">
      <c r="F978" s="27"/>
      <c r="G978" s="28"/>
    </row>
    <row r="979" spans="6:7" x14ac:dyDescent="0.25">
      <c r="F979" s="27"/>
      <c r="G979" s="28"/>
    </row>
    <row r="980" spans="6:7" x14ac:dyDescent="0.25">
      <c r="F980" s="27"/>
      <c r="G980" s="28"/>
    </row>
    <row r="981" spans="6:7" x14ac:dyDescent="0.25">
      <c r="F981" s="27"/>
      <c r="G981" s="28"/>
    </row>
    <row r="982" spans="6:7" x14ac:dyDescent="0.25">
      <c r="F982" s="27"/>
      <c r="G982" s="28"/>
    </row>
    <row r="983" spans="6:7" x14ac:dyDescent="0.25">
      <c r="F983" s="27"/>
      <c r="G983" s="28"/>
    </row>
    <row r="984" spans="6:7" x14ac:dyDescent="0.25">
      <c r="F984" s="27"/>
      <c r="G984" s="28"/>
    </row>
    <row r="985" spans="6:7" x14ac:dyDescent="0.25">
      <c r="F985" s="27"/>
      <c r="G985" s="28"/>
    </row>
    <row r="986" spans="6:7" x14ac:dyDescent="0.25">
      <c r="F986" s="27"/>
      <c r="G986" s="28"/>
    </row>
    <row r="987" spans="6:7" x14ac:dyDescent="0.25">
      <c r="F987" s="27"/>
      <c r="G987" s="28"/>
    </row>
    <row r="988" spans="6:7" x14ac:dyDescent="0.25">
      <c r="F988" s="27"/>
      <c r="G988" s="28"/>
    </row>
    <row r="989" spans="6:7" x14ac:dyDescent="0.25">
      <c r="F989" s="27"/>
      <c r="G989" s="28"/>
    </row>
    <row r="990" spans="6:7" x14ac:dyDescent="0.25">
      <c r="F990" s="27"/>
      <c r="G990" s="28"/>
    </row>
    <row r="991" spans="6:7" x14ac:dyDescent="0.25">
      <c r="F991" s="27"/>
      <c r="G991" s="28"/>
    </row>
    <row r="992" spans="6:7" x14ac:dyDescent="0.25">
      <c r="F992" s="27"/>
      <c r="G992" s="28"/>
    </row>
    <row r="993" spans="6:6" x14ac:dyDescent="0.25">
      <c r="F993" s="29"/>
    </row>
    <row r="994" spans="6:6" x14ac:dyDescent="0.25">
      <c r="F994" s="29"/>
    </row>
    <row r="995" spans="6:6" x14ac:dyDescent="0.25">
      <c r="F995" s="29"/>
    </row>
    <row r="996" spans="6:6" x14ac:dyDescent="0.25">
      <c r="F996" s="29"/>
    </row>
    <row r="997" spans="6:6" x14ac:dyDescent="0.25">
      <c r="F997" s="29"/>
    </row>
    <row r="998" spans="6:6" x14ac:dyDescent="0.25">
      <c r="F998" s="29"/>
    </row>
    <row r="999" spans="6:6" x14ac:dyDescent="0.25">
      <c r="F999" s="29"/>
    </row>
    <row r="1000" spans="6:6" x14ac:dyDescent="0.25">
      <c r="F1000" s="29"/>
    </row>
    <row r="1001" spans="6:6" x14ac:dyDescent="0.25">
      <c r="F1001" s="29"/>
    </row>
    <row r="1002" spans="6:6" x14ac:dyDescent="0.25">
      <c r="F1002" s="29"/>
    </row>
    <row r="1003" spans="6:6" x14ac:dyDescent="0.25">
      <c r="F1003" s="29"/>
    </row>
    <row r="1004" spans="6:6" x14ac:dyDescent="0.25">
      <c r="F1004" s="29"/>
    </row>
    <row r="1005" spans="6:6" x14ac:dyDescent="0.25">
      <c r="F1005" s="29"/>
    </row>
    <row r="1006" spans="6:6" x14ac:dyDescent="0.25">
      <c r="F1006" s="29"/>
    </row>
    <row r="1007" spans="6:6" x14ac:dyDescent="0.25">
      <c r="F1007" s="29"/>
    </row>
    <row r="1008" spans="6:6" x14ac:dyDescent="0.25">
      <c r="F1008" s="29"/>
    </row>
    <row r="1009" spans="6:6" x14ac:dyDescent="0.25">
      <c r="F1009" s="29"/>
    </row>
    <row r="1010" spans="6:6" x14ac:dyDescent="0.25">
      <c r="F1010" s="29"/>
    </row>
    <row r="1011" spans="6:6" x14ac:dyDescent="0.25">
      <c r="F1011" s="29"/>
    </row>
    <row r="1012" spans="6:6" x14ac:dyDescent="0.25">
      <c r="F1012" s="29"/>
    </row>
    <row r="1013" spans="6:6" x14ac:dyDescent="0.25">
      <c r="F1013" s="29"/>
    </row>
    <row r="1014" spans="6:6" x14ac:dyDescent="0.25">
      <c r="F1014" s="29"/>
    </row>
    <row r="1015" spans="6:6" x14ac:dyDescent="0.25">
      <c r="F1015" s="29"/>
    </row>
    <row r="1016" spans="6:6" x14ac:dyDescent="0.25">
      <c r="F1016" s="29"/>
    </row>
    <row r="1017" spans="6:6" x14ac:dyDescent="0.25">
      <c r="F1017" s="29"/>
    </row>
    <row r="1018" spans="6:6" x14ac:dyDescent="0.25">
      <c r="F1018" s="29"/>
    </row>
    <row r="1019" spans="6:6" x14ac:dyDescent="0.25">
      <c r="F1019" s="29"/>
    </row>
    <row r="1020" spans="6:6" x14ac:dyDescent="0.25">
      <c r="F1020" s="29"/>
    </row>
    <row r="1021" spans="6:6" x14ac:dyDescent="0.25">
      <c r="F1021" s="29"/>
    </row>
    <row r="1022" spans="6:6" x14ac:dyDescent="0.25">
      <c r="F1022" s="29"/>
    </row>
    <row r="1023" spans="6:6" x14ac:dyDescent="0.25">
      <c r="F1023" s="29"/>
    </row>
    <row r="1024" spans="6:6" x14ac:dyDescent="0.25">
      <c r="F1024" s="29"/>
    </row>
    <row r="1025" spans="6:6" x14ac:dyDescent="0.25">
      <c r="F1025" s="29"/>
    </row>
    <row r="1026" spans="6:6" x14ac:dyDescent="0.25">
      <c r="F1026" s="29"/>
    </row>
    <row r="1027" spans="6:6" x14ac:dyDescent="0.25">
      <c r="F1027" s="29"/>
    </row>
    <row r="1028" spans="6:6" x14ac:dyDescent="0.25">
      <c r="F1028" s="29"/>
    </row>
    <row r="1029" spans="6:6" x14ac:dyDescent="0.25">
      <c r="F1029" s="29"/>
    </row>
    <row r="1030" spans="6:6" x14ac:dyDescent="0.25">
      <c r="F1030" s="29"/>
    </row>
    <row r="1031" spans="6:6" x14ac:dyDescent="0.25">
      <c r="F1031" s="29"/>
    </row>
    <row r="1032" spans="6:6" x14ac:dyDescent="0.25">
      <c r="F1032" s="29"/>
    </row>
    <row r="1033" spans="6:6" x14ac:dyDescent="0.25">
      <c r="F1033" s="29"/>
    </row>
    <row r="1034" spans="6:6" x14ac:dyDescent="0.25">
      <c r="F1034" s="29"/>
    </row>
    <row r="1035" spans="6:6" x14ac:dyDescent="0.25">
      <c r="F1035" s="29"/>
    </row>
    <row r="1036" spans="6:6" x14ac:dyDescent="0.25">
      <c r="F1036" s="29"/>
    </row>
    <row r="1037" spans="6:6" x14ac:dyDescent="0.25">
      <c r="F1037" s="29"/>
    </row>
    <row r="1038" spans="6:6" x14ac:dyDescent="0.25">
      <c r="F1038" s="29"/>
    </row>
    <row r="1039" spans="6:6" x14ac:dyDescent="0.25">
      <c r="F1039" s="29"/>
    </row>
    <row r="1040" spans="6:6" x14ac:dyDescent="0.25">
      <c r="F1040" s="29"/>
    </row>
    <row r="1041" spans="6:6" x14ac:dyDescent="0.25">
      <c r="F1041" s="29"/>
    </row>
    <row r="1042" spans="6:6" x14ac:dyDescent="0.25">
      <c r="F1042" s="29"/>
    </row>
    <row r="1043" spans="6:6" x14ac:dyDescent="0.25">
      <c r="F1043" s="29"/>
    </row>
    <row r="1044" spans="6:6" x14ac:dyDescent="0.25">
      <c r="F1044" s="29"/>
    </row>
    <row r="1045" spans="6:6" x14ac:dyDescent="0.25">
      <c r="F1045" s="29"/>
    </row>
    <row r="1046" spans="6:6" x14ac:dyDescent="0.25">
      <c r="F1046" s="29"/>
    </row>
    <row r="1047" spans="6:6" x14ac:dyDescent="0.25">
      <c r="F1047" s="29"/>
    </row>
    <row r="1048" spans="6:6" x14ac:dyDescent="0.25">
      <c r="F1048" s="29"/>
    </row>
    <row r="1049" spans="6:6" x14ac:dyDescent="0.25">
      <c r="F1049" s="29"/>
    </row>
    <row r="1050" spans="6:6" x14ac:dyDescent="0.25">
      <c r="F1050" s="29"/>
    </row>
    <row r="1051" spans="6:6" x14ac:dyDescent="0.25">
      <c r="F1051" s="29"/>
    </row>
    <row r="1052" spans="6:6" x14ac:dyDescent="0.25">
      <c r="F1052" s="29"/>
    </row>
    <row r="1053" spans="6:6" x14ac:dyDescent="0.25">
      <c r="F1053" s="29"/>
    </row>
    <row r="1054" spans="6:6" x14ac:dyDescent="0.25">
      <c r="F1054" s="29"/>
    </row>
    <row r="1055" spans="6:6" x14ac:dyDescent="0.25">
      <c r="F1055" s="29"/>
    </row>
    <row r="1056" spans="6:6" x14ac:dyDescent="0.25">
      <c r="F1056" s="29"/>
    </row>
    <row r="1057" spans="6:6" x14ac:dyDescent="0.25">
      <c r="F1057" s="29"/>
    </row>
    <row r="1058" spans="6:6" x14ac:dyDescent="0.25">
      <c r="F1058" s="29"/>
    </row>
    <row r="1059" spans="6:6" x14ac:dyDescent="0.25">
      <c r="F1059" s="29"/>
    </row>
    <row r="1060" spans="6:6" x14ac:dyDescent="0.25">
      <c r="F1060" s="29"/>
    </row>
    <row r="1061" spans="6:6" x14ac:dyDescent="0.25">
      <c r="F1061" s="29"/>
    </row>
    <row r="1062" spans="6:6" x14ac:dyDescent="0.25">
      <c r="F1062" s="29"/>
    </row>
    <row r="1063" spans="6:6" x14ac:dyDescent="0.25">
      <c r="F1063" s="29"/>
    </row>
    <row r="1064" spans="6:6" x14ac:dyDescent="0.25">
      <c r="F1064" s="29"/>
    </row>
    <row r="1065" spans="6:6" x14ac:dyDescent="0.25">
      <c r="F1065" s="29"/>
    </row>
    <row r="1066" spans="6:6" x14ac:dyDescent="0.25">
      <c r="F1066" s="29"/>
    </row>
    <row r="1067" spans="6:6" x14ac:dyDescent="0.25">
      <c r="F1067" s="29"/>
    </row>
    <row r="1068" spans="6:6" x14ac:dyDescent="0.25">
      <c r="F1068" s="29"/>
    </row>
    <row r="1069" spans="6:6" x14ac:dyDescent="0.25">
      <c r="F1069" s="29"/>
    </row>
    <row r="1070" spans="6:6" x14ac:dyDescent="0.25">
      <c r="F1070" s="29"/>
    </row>
    <row r="1071" spans="6:6" x14ac:dyDescent="0.25">
      <c r="F1071" s="29"/>
    </row>
    <row r="1072" spans="6:6" x14ac:dyDescent="0.25">
      <c r="F1072" s="29"/>
    </row>
    <row r="1073" spans="6:6" x14ac:dyDescent="0.25">
      <c r="F1073" s="29"/>
    </row>
    <row r="1074" spans="6:6" x14ac:dyDescent="0.25">
      <c r="F1074" s="29"/>
    </row>
    <row r="1075" spans="6:6" x14ac:dyDescent="0.25">
      <c r="F1075" s="29"/>
    </row>
    <row r="1076" spans="6:6" x14ac:dyDescent="0.25">
      <c r="F1076" s="29"/>
    </row>
    <row r="1077" spans="6:6" x14ac:dyDescent="0.25">
      <c r="F1077" s="29"/>
    </row>
    <row r="1078" spans="6:6" x14ac:dyDescent="0.25">
      <c r="F1078" s="29"/>
    </row>
    <row r="1079" spans="6:6" x14ac:dyDescent="0.25">
      <c r="F1079" s="29"/>
    </row>
    <row r="1080" spans="6:6" x14ac:dyDescent="0.25">
      <c r="F1080" s="29"/>
    </row>
    <row r="1081" spans="6:6" x14ac:dyDescent="0.25">
      <c r="F1081" s="29"/>
    </row>
    <row r="1082" spans="6:6" x14ac:dyDescent="0.25">
      <c r="F1082" s="29"/>
    </row>
    <row r="1083" spans="6:6" x14ac:dyDescent="0.25">
      <c r="F1083" s="29"/>
    </row>
    <row r="1084" spans="6:6" x14ac:dyDescent="0.25">
      <c r="F1084" s="29"/>
    </row>
    <row r="1085" spans="6:6" x14ac:dyDescent="0.25">
      <c r="F1085" s="29"/>
    </row>
    <row r="1086" spans="6:6" x14ac:dyDescent="0.25">
      <c r="F1086" s="29"/>
    </row>
    <row r="1087" spans="6:6" x14ac:dyDescent="0.25">
      <c r="F1087" s="29"/>
    </row>
    <row r="1088" spans="6:6" x14ac:dyDescent="0.25">
      <c r="F1088" s="29"/>
    </row>
    <row r="1089" spans="6:6" x14ac:dyDescent="0.25">
      <c r="F1089" s="29"/>
    </row>
    <row r="1090" spans="6:6" x14ac:dyDescent="0.25">
      <c r="F1090" s="29"/>
    </row>
    <row r="1091" spans="6:6" x14ac:dyDescent="0.25">
      <c r="F1091" s="29"/>
    </row>
    <row r="1092" spans="6:6" x14ac:dyDescent="0.25">
      <c r="F1092" s="29"/>
    </row>
    <row r="1093" spans="6:6" x14ac:dyDescent="0.25">
      <c r="F1093" s="29"/>
    </row>
    <row r="1094" spans="6:6" x14ac:dyDescent="0.25">
      <c r="F1094" s="29"/>
    </row>
    <row r="1095" spans="6:6" x14ac:dyDescent="0.25">
      <c r="F1095" s="29"/>
    </row>
    <row r="1096" spans="6:6" x14ac:dyDescent="0.25">
      <c r="F1096" s="29"/>
    </row>
    <row r="1097" spans="6:6" x14ac:dyDescent="0.25">
      <c r="F1097" s="29"/>
    </row>
    <row r="1098" spans="6:6" x14ac:dyDescent="0.25">
      <c r="F1098" s="29"/>
    </row>
    <row r="1099" spans="6:6" x14ac:dyDescent="0.25">
      <c r="F1099" s="29"/>
    </row>
    <row r="1100" spans="6:6" x14ac:dyDescent="0.25">
      <c r="F1100" s="29"/>
    </row>
    <row r="1101" spans="6:6" x14ac:dyDescent="0.25">
      <c r="F1101" s="29"/>
    </row>
    <row r="1102" spans="6:6" x14ac:dyDescent="0.25">
      <c r="F1102" s="29"/>
    </row>
    <row r="1103" spans="6:6" x14ac:dyDescent="0.25">
      <c r="F1103" s="29"/>
    </row>
    <row r="1104" spans="6:6" x14ac:dyDescent="0.25">
      <c r="F1104" s="29"/>
    </row>
    <row r="1105" spans="6:6" x14ac:dyDescent="0.25">
      <c r="F1105" s="29"/>
    </row>
    <row r="1106" spans="6:6" x14ac:dyDescent="0.25">
      <c r="F1106" s="29"/>
    </row>
    <row r="1107" spans="6:6" x14ac:dyDescent="0.25">
      <c r="F1107" s="29"/>
    </row>
    <row r="1108" spans="6:6" x14ac:dyDescent="0.25">
      <c r="F1108" s="29"/>
    </row>
    <row r="1109" spans="6:6" x14ac:dyDescent="0.25">
      <c r="F1109" s="29"/>
    </row>
    <row r="1110" spans="6:6" x14ac:dyDescent="0.25">
      <c r="F1110" s="29"/>
    </row>
    <row r="1111" spans="6:6" x14ac:dyDescent="0.25">
      <c r="F1111" s="29"/>
    </row>
    <row r="1112" spans="6:6" x14ac:dyDescent="0.25">
      <c r="F1112" s="29"/>
    </row>
    <row r="1113" spans="6:6" x14ac:dyDescent="0.25">
      <c r="F1113" s="29"/>
    </row>
    <row r="1114" spans="6:6" x14ac:dyDescent="0.25">
      <c r="F1114" s="29"/>
    </row>
    <row r="1115" spans="6:6" x14ac:dyDescent="0.25">
      <c r="F1115" s="29"/>
    </row>
    <row r="1116" spans="6:6" x14ac:dyDescent="0.25">
      <c r="F1116" s="29"/>
    </row>
    <row r="1117" spans="6:6" x14ac:dyDescent="0.25">
      <c r="F1117" s="29"/>
    </row>
    <row r="1118" spans="6:6" x14ac:dyDescent="0.25">
      <c r="F1118" s="29"/>
    </row>
    <row r="1119" spans="6:6" x14ac:dyDescent="0.25">
      <c r="F1119" s="29"/>
    </row>
    <row r="1120" spans="6:6" x14ac:dyDescent="0.25">
      <c r="F1120" s="29"/>
    </row>
    <row r="1121" spans="6:6" x14ac:dyDescent="0.25">
      <c r="F1121" s="29"/>
    </row>
    <row r="1122" spans="6:6" x14ac:dyDescent="0.25">
      <c r="F1122" s="29"/>
    </row>
    <row r="1123" spans="6:6" x14ac:dyDescent="0.25">
      <c r="F1123" s="29"/>
    </row>
    <row r="1124" spans="6:6" x14ac:dyDescent="0.25">
      <c r="F1124" s="29"/>
    </row>
    <row r="1125" spans="6:6" x14ac:dyDescent="0.25">
      <c r="F1125" s="29"/>
    </row>
    <row r="1126" spans="6:6" x14ac:dyDescent="0.25">
      <c r="F1126" s="29"/>
    </row>
    <row r="1127" spans="6:6" x14ac:dyDescent="0.25">
      <c r="F1127" s="29"/>
    </row>
    <row r="1128" spans="6:6" x14ac:dyDescent="0.25">
      <c r="F1128" s="29"/>
    </row>
    <row r="1129" spans="6:6" x14ac:dyDescent="0.25">
      <c r="F1129" s="29"/>
    </row>
    <row r="1130" spans="6:6" x14ac:dyDescent="0.25">
      <c r="F1130" s="29"/>
    </row>
    <row r="1131" spans="6:6" x14ac:dyDescent="0.25">
      <c r="F1131" s="29"/>
    </row>
    <row r="1132" spans="6:6" x14ac:dyDescent="0.25">
      <c r="F1132" s="29"/>
    </row>
    <row r="1133" spans="6:6" x14ac:dyDescent="0.25">
      <c r="F1133" s="29"/>
    </row>
    <row r="1134" spans="6:6" x14ac:dyDescent="0.25">
      <c r="F1134" s="29"/>
    </row>
    <row r="1135" spans="6:6" x14ac:dyDescent="0.25">
      <c r="F1135" s="29"/>
    </row>
    <row r="1136" spans="6:6" x14ac:dyDescent="0.25">
      <c r="F1136" s="29"/>
    </row>
    <row r="1137" spans="6:6" x14ac:dyDescent="0.25">
      <c r="F1137" s="29"/>
    </row>
    <row r="1138" spans="6:6" x14ac:dyDescent="0.25">
      <c r="F1138" s="29"/>
    </row>
    <row r="1139" spans="6:6" x14ac:dyDescent="0.25">
      <c r="F1139" s="29"/>
    </row>
    <row r="1140" spans="6:6" x14ac:dyDescent="0.25">
      <c r="F1140" s="29"/>
    </row>
    <row r="1141" spans="6:6" x14ac:dyDescent="0.25">
      <c r="F1141" s="29"/>
    </row>
    <row r="1142" spans="6:6" x14ac:dyDescent="0.25">
      <c r="F1142" s="29"/>
    </row>
    <row r="1143" spans="6:6" x14ac:dyDescent="0.25">
      <c r="F1143" s="29"/>
    </row>
    <row r="1144" spans="6:6" x14ac:dyDescent="0.25">
      <c r="F1144" s="29"/>
    </row>
    <row r="1145" spans="6:6" x14ac:dyDescent="0.25">
      <c r="F1145" s="29"/>
    </row>
    <row r="1146" spans="6:6" x14ac:dyDescent="0.25">
      <c r="F1146" s="29"/>
    </row>
    <row r="1147" spans="6:6" x14ac:dyDescent="0.25">
      <c r="F1147" s="29"/>
    </row>
    <row r="1148" spans="6:6" x14ac:dyDescent="0.25">
      <c r="F1148" s="29"/>
    </row>
    <row r="1149" spans="6:6" x14ac:dyDescent="0.25">
      <c r="F1149" s="29"/>
    </row>
    <row r="1150" spans="6:6" x14ac:dyDescent="0.25">
      <c r="F1150" s="29"/>
    </row>
    <row r="1151" spans="6:6" x14ac:dyDescent="0.25">
      <c r="F1151" s="29"/>
    </row>
    <row r="1152" spans="6:6" x14ac:dyDescent="0.25">
      <c r="F1152" s="29"/>
    </row>
    <row r="1153" spans="6:6" x14ac:dyDescent="0.25">
      <c r="F1153" s="29"/>
    </row>
    <row r="1154" spans="6:6" x14ac:dyDescent="0.25">
      <c r="F1154" s="29"/>
    </row>
    <row r="1155" spans="6:6" x14ac:dyDescent="0.25">
      <c r="F1155" s="29"/>
    </row>
    <row r="1156" spans="6:6" x14ac:dyDescent="0.25">
      <c r="F1156" s="29"/>
    </row>
    <row r="1157" spans="6:6" x14ac:dyDescent="0.25">
      <c r="F1157" s="29"/>
    </row>
    <row r="1158" spans="6:6" x14ac:dyDescent="0.25">
      <c r="F1158" s="29"/>
    </row>
    <row r="1159" spans="6:6" x14ac:dyDescent="0.25">
      <c r="F1159" s="29"/>
    </row>
    <row r="1160" spans="6:6" x14ac:dyDescent="0.25">
      <c r="F1160" s="29"/>
    </row>
    <row r="1161" spans="6:6" x14ac:dyDescent="0.25">
      <c r="F1161" s="29"/>
    </row>
    <row r="1162" spans="6:6" x14ac:dyDescent="0.25">
      <c r="F1162" s="29"/>
    </row>
    <row r="1163" spans="6:6" x14ac:dyDescent="0.25">
      <c r="F1163" s="29"/>
    </row>
    <row r="1164" spans="6:6" x14ac:dyDescent="0.25">
      <c r="F1164" s="29"/>
    </row>
    <row r="1165" spans="6:6" x14ac:dyDescent="0.25">
      <c r="F1165" s="29"/>
    </row>
    <row r="1166" spans="6:6" x14ac:dyDescent="0.25">
      <c r="F1166" s="29"/>
    </row>
    <row r="1167" spans="6:6" x14ac:dyDescent="0.25">
      <c r="F1167" s="29"/>
    </row>
    <row r="1168" spans="6:6" x14ac:dyDescent="0.25">
      <c r="F1168" s="29"/>
    </row>
    <row r="1169" spans="6:6" x14ac:dyDescent="0.25">
      <c r="F1169" s="29"/>
    </row>
    <row r="1170" spans="6:6" x14ac:dyDescent="0.25">
      <c r="F1170" s="29"/>
    </row>
    <row r="1171" spans="6:6" x14ac:dyDescent="0.25">
      <c r="F1171" s="29"/>
    </row>
    <row r="1172" spans="6:6" x14ac:dyDescent="0.25">
      <c r="F1172" s="29"/>
    </row>
    <row r="1173" spans="6:6" x14ac:dyDescent="0.25">
      <c r="F1173" s="29"/>
    </row>
    <row r="1174" spans="6:6" x14ac:dyDescent="0.25">
      <c r="F1174" s="29"/>
    </row>
    <row r="1175" spans="6:6" x14ac:dyDescent="0.25">
      <c r="F1175" s="29"/>
    </row>
    <row r="1176" spans="6:6" x14ac:dyDescent="0.25">
      <c r="F1176" s="29"/>
    </row>
    <row r="1177" spans="6:6" x14ac:dyDescent="0.25">
      <c r="F1177" s="29"/>
    </row>
    <row r="1178" spans="6:6" x14ac:dyDescent="0.25">
      <c r="F1178" s="29"/>
    </row>
    <row r="1179" spans="6:6" x14ac:dyDescent="0.25">
      <c r="F1179" s="29"/>
    </row>
    <row r="1180" spans="6:6" x14ac:dyDescent="0.25">
      <c r="F1180" s="29"/>
    </row>
    <row r="1181" spans="6:6" x14ac:dyDescent="0.25">
      <c r="F1181" s="29"/>
    </row>
    <row r="1182" spans="6:6" x14ac:dyDescent="0.25">
      <c r="F1182" s="29"/>
    </row>
    <row r="1183" spans="6:6" x14ac:dyDescent="0.25">
      <c r="F1183" s="29"/>
    </row>
    <row r="1184" spans="6:6" x14ac:dyDescent="0.25">
      <c r="F1184" s="29"/>
    </row>
    <row r="1185" spans="6:6" x14ac:dyDescent="0.25">
      <c r="F1185" s="29"/>
    </row>
    <row r="1186" spans="6:6" x14ac:dyDescent="0.25">
      <c r="F1186" s="29"/>
    </row>
    <row r="1187" spans="6:6" x14ac:dyDescent="0.25">
      <c r="F1187" s="29"/>
    </row>
    <row r="1188" spans="6:6" x14ac:dyDescent="0.25">
      <c r="F1188" s="29"/>
    </row>
    <row r="1189" spans="6:6" x14ac:dyDescent="0.25">
      <c r="F1189" s="29"/>
    </row>
    <row r="1190" spans="6:6" x14ac:dyDescent="0.25">
      <c r="F1190" s="29"/>
    </row>
    <row r="1191" spans="6:6" x14ac:dyDescent="0.25">
      <c r="F1191" s="29"/>
    </row>
    <row r="1192" spans="6:6" x14ac:dyDescent="0.25">
      <c r="F1192" s="29"/>
    </row>
    <row r="1193" spans="6:6" x14ac:dyDescent="0.25">
      <c r="F1193" s="29"/>
    </row>
    <row r="1194" spans="6:6" x14ac:dyDescent="0.25">
      <c r="F1194" s="29"/>
    </row>
    <row r="1195" spans="6:6" x14ac:dyDescent="0.25">
      <c r="F1195" s="29"/>
    </row>
    <row r="1196" spans="6:6" x14ac:dyDescent="0.25">
      <c r="F1196" s="29"/>
    </row>
    <row r="1197" spans="6:6" x14ac:dyDescent="0.25">
      <c r="F1197" s="29"/>
    </row>
    <row r="1198" spans="6:6" x14ac:dyDescent="0.25">
      <c r="F1198" s="29"/>
    </row>
    <row r="1199" spans="6:6" x14ac:dyDescent="0.25">
      <c r="F1199" s="29"/>
    </row>
    <row r="1200" spans="6:6" x14ac:dyDescent="0.25">
      <c r="F1200" s="29"/>
    </row>
    <row r="1201" spans="6:6" x14ac:dyDescent="0.25">
      <c r="F1201" s="29"/>
    </row>
    <row r="1202" spans="6:6" x14ac:dyDescent="0.25">
      <c r="F1202" s="29"/>
    </row>
    <row r="1203" spans="6:6" x14ac:dyDescent="0.25">
      <c r="F1203" s="29"/>
    </row>
    <row r="1204" spans="6:6" x14ac:dyDescent="0.25">
      <c r="F1204" s="29"/>
    </row>
    <row r="1205" spans="6:6" x14ac:dyDescent="0.25">
      <c r="F1205" s="29"/>
    </row>
    <row r="1206" spans="6:6" x14ac:dyDescent="0.25">
      <c r="F1206" s="29"/>
    </row>
    <row r="1207" spans="6:6" x14ac:dyDescent="0.25">
      <c r="F1207" s="29"/>
    </row>
    <row r="1208" spans="6:6" x14ac:dyDescent="0.25">
      <c r="F1208" s="29"/>
    </row>
    <row r="1209" spans="6:6" x14ac:dyDescent="0.25">
      <c r="F1209" s="29"/>
    </row>
    <row r="1210" spans="6:6" x14ac:dyDescent="0.25">
      <c r="F1210" s="29"/>
    </row>
    <row r="1211" spans="6:6" x14ac:dyDescent="0.25">
      <c r="F1211" s="29"/>
    </row>
    <row r="1212" spans="6:6" x14ac:dyDescent="0.25">
      <c r="F1212" s="29"/>
    </row>
    <row r="1213" spans="6:6" x14ac:dyDescent="0.25">
      <c r="F1213" s="29"/>
    </row>
    <row r="1214" spans="6:6" x14ac:dyDescent="0.25">
      <c r="F1214" s="29"/>
    </row>
    <row r="1215" spans="6:6" x14ac:dyDescent="0.25">
      <c r="F1215" s="29"/>
    </row>
    <row r="1216" spans="6:6" x14ac:dyDescent="0.25">
      <c r="F1216" s="29"/>
    </row>
    <row r="1217" spans="6:6" x14ac:dyDescent="0.25">
      <c r="F1217" s="29"/>
    </row>
    <row r="1218" spans="6:6" x14ac:dyDescent="0.25">
      <c r="F1218" s="29"/>
    </row>
    <row r="1219" spans="6:6" x14ac:dyDescent="0.25">
      <c r="F1219" s="29"/>
    </row>
    <row r="1220" spans="6:6" x14ac:dyDescent="0.25">
      <c r="F1220" s="29"/>
    </row>
    <row r="1221" spans="6:6" x14ac:dyDescent="0.25">
      <c r="F1221" s="29"/>
    </row>
    <row r="1222" spans="6:6" x14ac:dyDescent="0.25">
      <c r="F1222" s="29"/>
    </row>
    <row r="1223" spans="6:6" x14ac:dyDescent="0.25">
      <c r="F1223" s="29"/>
    </row>
    <row r="1224" spans="6:6" x14ac:dyDescent="0.25">
      <c r="F1224" s="29"/>
    </row>
    <row r="1225" spans="6:6" x14ac:dyDescent="0.25">
      <c r="F1225" s="29"/>
    </row>
    <row r="1226" spans="6:6" x14ac:dyDescent="0.25">
      <c r="F1226" s="29"/>
    </row>
    <row r="1227" spans="6:6" x14ac:dyDescent="0.25">
      <c r="F1227" s="29"/>
    </row>
    <row r="1228" spans="6:6" x14ac:dyDescent="0.25">
      <c r="F1228" s="29"/>
    </row>
    <row r="1229" spans="6:6" x14ac:dyDescent="0.25">
      <c r="F1229" s="29"/>
    </row>
    <row r="1230" spans="6:6" x14ac:dyDescent="0.25">
      <c r="F1230" s="29"/>
    </row>
    <row r="1231" spans="6:6" x14ac:dyDescent="0.25">
      <c r="F1231" s="29"/>
    </row>
    <row r="1232" spans="6:6" x14ac:dyDescent="0.25">
      <c r="F1232" s="29"/>
    </row>
    <row r="1233" spans="6:6" x14ac:dyDescent="0.25">
      <c r="F1233" s="29"/>
    </row>
    <row r="1234" spans="6:6" x14ac:dyDescent="0.25">
      <c r="F1234" s="29"/>
    </row>
    <row r="1235" spans="6:6" x14ac:dyDescent="0.25">
      <c r="F1235" s="29"/>
    </row>
    <row r="1236" spans="6:6" x14ac:dyDescent="0.25">
      <c r="F1236" s="29"/>
    </row>
    <row r="1237" spans="6:6" x14ac:dyDescent="0.25">
      <c r="F1237" s="29"/>
    </row>
    <row r="1238" spans="6:6" x14ac:dyDescent="0.25">
      <c r="F1238" s="29"/>
    </row>
    <row r="1239" spans="6:6" x14ac:dyDescent="0.25">
      <c r="F1239" s="29"/>
    </row>
    <row r="1240" spans="6:6" x14ac:dyDescent="0.25">
      <c r="F1240" s="29"/>
    </row>
    <row r="1241" spans="6:6" x14ac:dyDescent="0.25">
      <c r="F1241" s="29"/>
    </row>
    <row r="1242" spans="6:6" x14ac:dyDescent="0.25">
      <c r="F1242" s="29"/>
    </row>
    <row r="1243" spans="6:6" x14ac:dyDescent="0.25">
      <c r="F1243" s="29"/>
    </row>
    <row r="1244" spans="6:6" x14ac:dyDescent="0.25">
      <c r="F1244" s="29"/>
    </row>
    <row r="1245" spans="6:6" x14ac:dyDescent="0.25">
      <c r="F1245" s="29"/>
    </row>
    <row r="1246" spans="6:6" x14ac:dyDescent="0.25">
      <c r="F1246" s="29"/>
    </row>
    <row r="1247" spans="6:6" x14ac:dyDescent="0.25">
      <c r="F1247" s="29"/>
    </row>
    <row r="1248" spans="6:6" x14ac:dyDescent="0.25">
      <c r="F1248" s="29"/>
    </row>
    <row r="1249" spans="6:6" x14ac:dyDescent="0.25">
      <c r="F1249" s="29"/>
    </row>
    <row r="1250" spans="6:6" x14ac:dyDescent="0.25">
      <c r="F1250" s="29"/>
    </row>
    <row r="1251" spans="6:6" x14ac:dyDescent="0.25">
      <c r="F1251" s="29"/>
    </row>
    <row r="1252" spans="6:6" x14ac:dyDescent="0.25">
      <c r="F1252" s="29"/>
    </row>
    <row r="1253" spans="6:6" x14ac:dyDescent="0.25">
      <c r="F1253" s="29"/>
    </row>
    <row r="1254" spans="6:6" x14ac:dyDescent="0.25">
      <c r="F1254" s="29"/>
    </row>
    <row r="1255" spans="6:6" x14ac:dyDescent="0.25">
      <c r="F1255" s="29"/>
    </row>
    <row r="1256" spans="6:6" x14ac:dyDescent="0.25">
      <c r="F1256" s="29"/>
    </row>
    <row r="1257" spans="6:6" x14ac:dyDescent="0.25">
      <c r="F1257" s="29"/>
    </row>
    <row r="1258" spans="6:6" x14ac:dyDescent="0.25">
      <c r="F1258" s="29"/>
    </row>
    <row r="1259" spans="6:6" x14ac:dyDescent="0.25">
      <c r="F1259" s="29"/>
    </row>
    <row r="1260" spans="6:6" x14ac:dyDescent="0.25">
      <c r="F1260" s="29"/>
    </row>
    <row r="1261" spans="6:6" x14ac:dyDescent="0.25">
      <c r="F1261" s="29"/>
    </row>
    <row r="1262" spans="6:6" x14ac:dyDescent="0.25">
      <c r="F1262" s="29"/>
    </row>
    <row r="1263" spans="6:6" x14ac:dyDescent="0.25">
      <c r="F1263" s="29"/>
    </row>
    <row r="1264" spans="6:6" x14ac:dyDescent="0.25">
      <c r="F1264" s="29"/>
    </row>
    <row r="1265" spans="6:6" x14ac:dyDescent="0.25">
      <c r="F1265" s="29"/>
    </row>
    <row r="1266" spans="6:6" x14ac:dyDescent="0.25">
      <c r="F1266" s="29"/>
    </row>
    <row r="1267" spans="6:6" x14ac:dyDescent="0.25">
      <c r="F1267" s="29"/>
    </row>
    <row r="1268" spans="6:6" x14ac:dyDescent="0.25">
      <c r="F1268" s="29"/>
    </row>
    <row r="1269" spans="6:6" x14ac:dyDescent="0.25">
      <c r="F1269" s="29"/>
    </row>
    <row r="1270" spans="6:6" x14ac:dyDescent="0.25">
      <c r="F1270" s="29"/>
    </row>
    <row r="1271" spans="6:6" x14ac:dyDescent="0.25">
      <c r="F1271" s="29"/>
    </row>
    <row r="1272" spans="6:6" x14ac:dyDescent="0.25">
      <c r="F1272" s="29"/>
    </row>
    <row r="1273" spans="6:6" x14ac:dyDescent="0.25">
      <c r="F1273" s="29"/>
    </row>
    <row r="1274" spans="6:6" x14ac:dyDescent="0.25">
      <c r="F1274" s="29"/>
    </row>
    <row r="1275" spans="6:6" x14ac:dyDescent="0.25">
      <c r="F1275" s="29"/>
    </row>
    <row r="1276" spans="6:6" x14ac:dyDescent="0.25">
      <c r="F1276" s="29"/>
    </row>
    <row r="1277" spans="6:6" x14ac:dyDescent="0.25">
      <c r="F1277" s="29"/>
    </row>
    <row r="1278" spans="6:6" x14ac:dyDescent="0.25">
      <c r="F1278" s="29"/>
    </row>
    <row r="1279" spans="6:6" x14ac:dyDescent="0.25">
      <c r="F1279" s="29"/>
    </row>
    <row r="1280" spans="6:6" x14ac:dyDescent="0.25">
      <c r="F1280" s="29"/>
    </row>
    <row r="1281" spans="6:6" x14ac:dyDescent="0.25">
      <c r="F1281" s="29"/>
    </row>
    <row r="1282" spans="6:6" x14ac:dyDescent="0.25">
      <c r="F1282" s="29"/>
    </row>
    <row r="1283" spans="6:6" x14ac:dyDescent="0.25">
      <c r="F1283" s="29"/>
    </row>
    <row r="1284" spans="6:6" x14ac:dyDescent="0.25">
      <c r="F1284" s="29"/>
    </row>
    <row r="1285" spans="6:6" x14ac:dyDescent="0.25">
      <c r="F1285" s="29"/>
    </row>
    <row r="1286" spans="6:6" x14ac:dyDescent="0.25">
      <c r="F1286" s="29"/>
    </row>
    <row r="1287" spans="6:6" x14ac:dyDescent="0.25">
      <c r="F1287" s="29"/>
    </row>
    <row r="1288" spans="6:6" x14ac:dyDescent="0.25">
      <c r="F1288" s="29"/>
    </row>
    <row r="1289" spans="6:6" x14ac:dyDescent="0.25">
      <c r="F1289" s="29"/>
    </row>
    <row r="1290" spans="6:6" x14ac:dyDescent="0.25">
      <c r="F1290" s="29"/>
    </row>
    <row r="1291" spans="6:6" x14ac:dyDescent="0.25">
      <c r="F1291" s="29"/>
    </row>
    <row r="1292" spans="6:6" x14ac:dyDescent="0.25">
      <c r="F1292" s="29"/>
    </row>
    <row r="1293" spans="6:6" x14ac:dyDescent="0.25">
      <c r="F1293" s="29"/>
    </row>
    <row r="1294" spans="6:6" x14ac:dyDescent="0.25">
      <c r="F1294" s="29"/>
    </row>
    <row r="1295" spans="6:6" x14ac:dyDescent="0.25">
      <c r="F1295" s="29"/>
    </row>
    <row r="1296" spans="6:6" x14ac:dyDescent="0.25">
      <c r="F1296" s="29"/>
    </row>
    <row r="1297" spans="6:6" x14ac:dyDescent="0.25">
      <c r="F1297" s="29"/>
    </row>
    <row r="1298" spans="6:6" x14ac:dyDescent="0.25">
      <c r="F1298" s="29"/>
    </row>
    <row r="1299" spans="6:6" x14ac:dyDescent="0.25">
      <c r="F1299" s="29"/>
    </row>
    <row r="1300" spans="6:6" x14ac:dyDescent="0.25">
      <c r="F1300" s="29"/>
    </row>
    <row r="1301" spans="6:6" x14ac:dyDescent="0.25">
      <c r="F1301" s="29"/>
    </row>
    <row r="1302" spans="6:6" x14ac:dyDescent="0.25">
      <c r="F1302" s="29"/>
    </row>
    <row r="1303" spans="6:6" x14ac:dyDescent="0.25">
      <c r="F1303" s="29"/>
    </row>
    <row r="1304" spans="6:6" x14ac:dyDescent="0.25">
      <c r="F1304" s="29"/>
    </row>
    <row r="1305" spans="6:6" x14ac:dyDescent="0.25">
      <c r="F1305" s="29"/>
    </row>
    <row r="1306" spans="6:6" x14ac:dyDescent="0.25">
      <c r="F1306" s="29"/>
    </row>
    <row r="1307" spans="6:6" x14ac:dyDescent="0.25">
      <c r="F1307" s="29"/>
    </row>
    <row r="1308" spans="6:6" x14ac:dyDescent="0.25">
      <c r="F1308" s="29"/>
    </row>
    <row r="1309" spans="6:6" x14ac:dyDescent="0.25">
      <c r="F1309" s="29"/>
    </row>
    <row r="1310" spans="6:6" x14ac:dyDescent="0.25">
      <c r="F1310" s="29"/>
    </row>
    <row r="1311" spans="6:6" x14ac:dyDescent="0.25">
      <c r="F1311" s="29"/>
    </row>
    <row r="1312" spans="6:6" x14ac:dyDescent="0.25">
      <c r="F1312" s="29"/>
    </row>
    <row r="1313" spans="6:6" x14ac:dyDescent="0.25">
      <c r="F1313" s="29"/>
    </row>
    <row r="1314" spans="6:6" x14ac:dyDescent="0.25">
      <c r="F1314" s="29"/>
    </row>
    <row r="1315" spans="6:6" x14ac:dyDescent="0.25">
      <c r="F1315" s="29"/>
    </row>
    <row r="1316" spans="6:6" x14ac:dyDescent="0.25">
      <c r="F1316" s="29"/>
    </row>
    <row r="1317" spans="6:6" x14ac:dyDescent="0.25">
      <c r="F1317" s="29"/>
    </row>
    <row r="1318" spans="6:6" x14ac:dyDescent="0.25">
      <c r="F1318" s="29"/>
    </row>
    <row r="1319" spans="6:6" x14ac:dyDescent="0.25">
      <c r="F1319" s="29"/>
    </row>
    <row r="1320" spans="6:6" x14ac:dyDescent="0.25">
      <c r="F1320" s="29"/>
    </row>
    <row r="1321" spans="6:6" x14ac:dyDescent="0.25">
      <c r="F1321" s="29"/>
    </row>
    <row r="1322" spans="6:6" x14ac:dyDescent="0.25">
      <c r="F1322" s="29"/>
    </row>
    <row r="1323" spans="6:6" x14ac:dyDescent="0.25">
      <c r="F1323" s="29"/>
    </row>
    <row r="1324" spans="6:6" x14ac:dyDescent="0.25">
      <c r="F1324" s="29"/>
    </row>
    <row r="1325" spans="6:6" x14ac:dyDescent="0.25">
      <c r="F1325" s="29"/>
    </row>
    <row r="1326" spans="6:6" x14ac:dyDescent="0.25">
      <c r="F1326" s="29"/>
    </row>
    <row r="1327" spans="6:6" x14ac:dyDescent="0.25">
      <c r="F1327" s="29"/>
    </row>
    <row r="1328" spans="6:6" x14ac:dyDescent="0.25">
      <c r="F1328" s="29"/>
    </row>
    <row r="1329" spans="6:6" x14ac:dyDescent="0.25">
      <c r="F1329" s="29"/>
    </row>
    <row r="1330" spans="6:6" x14ac:dyDescent="0.25">
      <c r="F1330" s="29"/>
    </row>
    <row r="1331" spans="6:6" x14ac:dyDescent="0.25">
      <c r="F1331" s="29"/>
    </row>
    <row r="1332" spans="6:6" x14ac:dyDescent="0.25">
      <c r="F1332" s="29"/>
    </row>
    <row r="1333" spans="6:6" x14ac:dyDescent="0.25">
      <c r="F1333" s="29"/>
    </row>
    <row r="1334" spans="6:6" x14ac:dyDescent="0.25">
      <c r="F1334" s="29"/>
    </row>
    <row r="1335" spans="6:6" x14ac:dyDescent="0.25">
      <c r="F1335" s="29"/>
    </row>
    <row r="1336" spans="6:6" x14ac:dyDescent="0.25">
      <c r="F1336" s="29"/>
    </row>
    <row r="1337" spans="6:6" x14ac:dyDescent="0.25">
      <c r="F1337" s="29"/>
    </row>
    <row r="1338" spans="6:6" x14ac:dyDescent="0.25">
      <c r="F1338" s="29"/>
    </row>
    <row r="1339" spans="6:6" x14ac:dyDescent="0.25">
      <c r="F1339" s="29"/>
    </row>
    <row r="1340" spans="6:6" x14ac:dyDescent="0.25">
      <c r="F1340" s="29"/>
    </row>
    <row r="1341" spans="6:6" x14ac:dyDescent="0.25">
      <c r="F1341" s="29"/>
    </row>
    <row r="1342" spans="6:6" x14ac:dyDescent="0.25">
      <c r="F1342" s="29"/>
    </row>
    <row r="1343" spans="6:6" x14ac:dyDescent="0.25">
      <c r="F1343" s="29"/>
    </row>
    <row r="1344" spans="6:6" x14ac:dyDescent="0.25">
      <c r="F1344" s="29"/>
    </row>
    <row r="1345" spans="6:6" x14ac:dyDescent="0.25">
      <c r="F1345" s="29"/>
    </row>
    <row r="1346" spans="6:6" x14ac:dyDescent="0.25">
      <c r="F1346" s="29"/>
    </row>
    <row r="1347" spans="6:6" x14ac:dyDescent="0.25">
      <c r="F1347" s="29"/>
    </row>
    <row r="1348" spans="6:6" x14ac:dyDescent="0.25">
      <c r="F1348" s="29"/>
    </row>
    <row r="1349" spans="6:6" x14ac:dyDescent="0.25">
      <c r="F1349" s="29"/>
    </row>
    <row r="1350" spans="6:6" x14ac:dyDescent="0.25">
      <c r="F1350" s="29"/>
    </row>
    <row r="1351" spans="6:6" x14ac:dyDescent="0.25">
      <c r="F1351" s="29"/>
    </row>
    <row r="1352" spans="6:6" x14ac:dyDescent="0.25">
      <c r="F1352" s="29"/>
    </row>
    <row r="1353" spans="6:6" x14ac:dyDescent="0.25">
      <c r="F1353" s="29"/>
    </row>
    <row r="1354" spans="6:6" x14ac:dyDescent="0.25">
      <c r="F1354" s="29"/>
    </row>
    <row r="1355" spans="6:6" x14ac:dyDescent="0.25">
      <c r="F1355" s="29"/>
    </row>
    <row r="1356" spans="6:6" x14ac:dyDescent="0.25">
      <c r="F1356" s="29"/>
    </row>
    <row r="1357" spans="6:6" x14ac:dyDescent="0.25">
      <c r="F1357" s="29"/>
    </row>
    <row r="1358" spans="6:6" x14ac:dyDescent="0.25">
      <c r="F1358" s="29"/>
    </row>
    <row r="1359" spans="6:6" x14ac:dyDescent="0.25">
      <c r="F1359" s="29"/>
    </row>
    <row r="1360" spans="6:6" x14ac:dyDescent="0.25">
      <c r="F1360" s="29"/>
    </row>
    <row r="1361" spans="6:6" x14ac:dyDescent="0.25">
      <c r="F1361" s="29"/>
    </row>
    <row r="1362" spans="6:6" x14ac:dyDescent="0.25">
      <c r="F1362" s="29"/>
    </row>
    <row r="1363" spans="6:6" x14ac:dyDescent="0.25">
      <c r="F1363" s="29"/>
    </row>
    <row r="1364" spans="6:6" x14ac:dyDescent="0.25">
      <c r="F1364" s="29"/>
    </row>
    <row r="1365" spans="6:6" x14ac:dyDescent="0.25">
      <c r="F1365" s="29"/>
    </row>
    <row r="1366" spans="6:6" x14ac:dyDescent="0.25">
      <c r="F1366" s="29"/>
    </row>
    <row r="1367" spans="6:6" x14ac:dyDescent="0.25">
      <c r="F1367" s="29"/>
    </row>
    <row r="1368" spans="6:6" x14ac:dyDescent="0.25">
      <c r="F1368" s="29"/>
    </row>
    <row r="1369" spans="6:6" x14ac:dyDescent="0.25">
      <c r="F1369" s="29"/>
    </row>
    <row r="1370" spans="6:6" x14ac:dyDescent="0.25">
      <c r="F1370" s="29"/>
    </row>
    <row r="1371" spans="6:6" x14ac:dyDescent="0.25">
      <c r="F1371" s="29"/>
    </row>
    <row r="1372" spans="6:6" x14ac:dyDescent="0.25">
      <c r="F1372" s="29"/>
    </row>
    <row r="1373" spans="6:6" x14ac:dyDescent="0.25">
      <c r="F1373" s="29"/>
    </row>
    <row r="1374" spans="6:6" x14ac:dyDescent="0.25">
      <c r="F1374" s="29"/>
    </row>
    <row r="1375" spans="6:6" x14ac:dyDescent="0.25">
      <c r="F1375" s="29"/>
    </row>
    <row r="1376" spans="6:6" x14ac:dyDescent="0.25">
      <c r="F1376" s="29"/>
    </row>
    <row r="1377" spans="6:6" x14ac:dyDescent="0.25">
      <c r="F1377" s="29"/>
    </row>
    <row r="1378" spans="6:6" x14ac:dyDescent="0.25">
      <c r="F1378" s="29"/>
    </row>
    <row r="1379" spans="6:6" x14ac:dyDescent="0.25">
      <c r="F1379" s="29"/>
    </row>
    <row r="1380" spans="6:6" x14ac:dyDescent="0.25">
      <c r="F1380" s="29"/>
    </row>
    <row r="1381" spans="6:6" x14ac:dyDescent="0.25">
      <c r="F1381" s="29"/>
    </row>
    <row r="1382" spans="6:6" x14ac:dyDescent="0.25">
      <c r="F1382" s="29"/>
    </row>
    <row r="1383" spans="6:6" x14ac:dyDescent="0.25">
      <c r="F1383" s="29"/>
    </row>
    <row r="1384" spans="6:6" x14ac:dyDescent="0.25">
      <c r="F1384" s="29"/>
    </row>
    <row r="1385" spans="6:6" x14ac:dyDescent="0.25">
      <c r="F1385" s="29"/>
    </row>
    <row r="1386" spans="6:6" x14ac:dyDescent="0.25">
      <c r="F1386" s="29"/>
    </row>
    <row r="1387" spans="6:6" x14ac:dyDescent="0.25">
      <c r="F1387" s="29"/>
    </row>
    <row r="1388" spans="6:6" x14ac:dyDescent="0.25">
      <c r="F1388" s="29"/>
    </row>
    <row r="1389" spans="6:6" x14ac:dyDescent="0.25">
      <c r="F1389" s="29"/>
    </row>
    <row r="1390" spans="6:6" x14ac:dyDescent="0.25">
      <c r="F1390" s="29"/>
    </row>
    <row r="1391" spans="6:6" x14ac:dyDescent="0.25">
      <c r="F1391" s="29"/>
    </row>
    <row r="1392" spans="6:6" x14ac:dyDescent="0.25">
      <c r="F1392" s="29"/>
    </row>
    <row r="1393" spans="6:6" x14ac:dyDescent="0.25">
      <c r="F1393" s="29"/>
    </row>
    <row r="1394" spans="6:6" x14ac:dyDescent="0.25">
      <c r="F1394" s="29"/>
    </row>
    <row r="1395" spans="6:6" x14ac:dyDescent="0.25">
      <c r="F1395" s="29"/>
    </row>
    <row r="1396" spans="6:6" x14ac:dyDescent="0.25">
      <c r="F1396" s="29"/>
    </row>
    <row r="1397" spans="6:6" x14ac:dyDescent="0.25">
      <c r="F1397" s="29"/>
    </row>
    <row r="1398" spans="6:6" x14ac:dyDescent="0.25">
      <c r="F1398" s="29"/>
    </row>
    <row r="1399" spans="6:6" x14ac:dyDescent="0.25">
      <c r="F1399" s="29"/>
    </row>
    <row r="1400" spans="6:6" x14ac:dyDescent="0.25">
      <c r="F1400" s="29"/>
    </row>
    <row r="1401" spans="6:6" x14ac:dyDescent="0.25">
      <c r="F1401" s="29"/>
    </row>
    <row r="1402" spans="6:6" x14ac:dyDescent="0.25">
      <c r="F1402" s="29"/>
    </row>
    <row r="1403" spans="6:6" x14ac:dyDescent="0.25">
      <c r="F1403" s="29"/>
    </row>
    <row r="1404" spans="6:6" x14ac:dyDescent="0.25">
      <c r="F1404" s="29"/>
    </row>
    <row r="1405" spans="6:6" x14ac:dyDescent="0.25">
      <c r="F1405" s="29"/>
    </row>
    <row r="1406" spans="6:6" x14ac:dyDescent="0.25">
      <c r="F1406" s="29"/>
    </row>
    <row r="1407" spans="6:6" x14ac:dyDescent="0.25">
      <c r="F1407" s="29"/>
    </row>
    <row r="1408" spans="6:6" x14ac:dyDescent="0.25">
      <c r="F1408" s="29"/>
    </row>
    <row r="1409" spans="6:6" x14ac:dyDescent="0.25">
      <c r="F1409" s="29"/>
    </row>
    <row r="1410" spans="6:6" x14ac:dyDescent="0.25">
      <c r="F1410" s="29"/>
    </row>
    <row r="1411" spans="6:6" x14ac:dyDescent="0.25">
      <c r="F1411" s="29"/>
    </row>
    <row r="1412" spans="6:6" x14ac:dyDescent="0.25">
      <c r="F1412" s="29"/>
    </row>
    <row r="1413" spans="6:6" x14ac:dyDescent="0.25">
      <c r="F1413" s="29"/>
    </row>
    <row r="1414" spans="6:6" x14ac:dyDescent="0.25">
      <c r="F1414" s="29"/>
    </row>
    <row r="1415" spans="6:6" x14ac:dyDescent="0.25">
      <c r="F1415" s="29"/>
    </row>
    <row r="1416" spans="6:6" x14ac:dyDescent="0.25">
      <c r="F1416" s="29"/>
    </row>
    <row r="1417" spans="6:6" x14ac:dyDescent="0.25">
      <c r="F1417" s="29"/>
    </row>
    <row r="1418" spans="6:6" x14ac:dyDescent="0.25">
      <c r="F1418" s="29"/>
    </row>
    <row r="1419" spans="6:6" x14ac:dyDescent="0.25">
      <c r="F1419" s="29"/>
    </row>
    <row r="1420" spans="6:6" x14ac:dyDescent="0.25">
      <c r="F1420" s="29"/>
    </row>
    <row r="1421" spans="6:6" x14ac:dyDescent="0.25">
      <c r="F1421" s="29"/>
    </row>
    <row r="1422" spans="6:6" x14ac:dyDescent="0.25">
      <c r="F1422" s="29"/>
    </row>
    <row r="1423" spans="6:6" x14ac:dyDescent="0.25">
      <c r="F1423" s="29"/>
    </row>
    <row r="1424" spans="6:6" x14ac:dyDescent="0.25">
      <c r="F1424" s="29"/>
    </row>
    <row r="1425" spans="6:6" x14ac:dyDescent="0.25">
      <c r="F1425" s="29"/>
    </row>
    <row r="1426" spans="6:6" x14ac:dyDescent="0.25">
      <c r="F1426" s="29"/>
    </row>
    <row r="1427" spans="6:6" x14ac:dyDescent="0.25">
      <c r="F1427" s="29"/>
    </row>
    <row r="1428" spans="6:6" x14ac:dyDescent="0.25">
      <c r="F1428" s="29"/>
    </row>
    <row r="1429" spans="6:6" x14ac:dyDescent="0.25">
      <c r="F1429" s="29"/>
    </row>
    <row r="1430" spans="6:6" x14ac:dyDescent="0.25">
      <c r="F1430" s="29"/>
    </row>
    <row r="1431" spans="6:6" x14ac:dyDescent="0.25">
      <c r="F1431" s="29"/>
    </row>
    <row r="1432" spans="6:6" x14ac:dyDescent="0.25">
      <c r="F1432" s="29"/>
    </row>
    <row r="1433" spans="6:6" x14ac:dyDescent="0.25">
      <c r="F1433" s="29"/>
    </row>
    <row r="1434" spans="6:6" x14ac:dyDescent="0.25">
      <c r="F1434" s="29"/>
    </row>
    <row r="1435" spans="6:6" x14ac:dyDescent="0.25">
      <c r="F1435" s="29"/>
    </row>
    <row r="1436" spans="6:6" x14ac:dyDescent="0.25">
      <c r="F1436" s="29"/>
    </row>
    <row r="1437" spans="6:6" x14ac:dyDescent="0.25">
      <c r="F1437" s="29"/>
    </row>
    <row r="1438" spans="6:6" x14ac:dyDescent="0.25">
      <c r="F1438" s="29"/>
    </row>
    <row r="1439" spans="6:6" x14ac:dyDescent="0.25">
      <c r="F1439" s="29"/>
    </row>
    <row r="1440" spans="6:6" x14ac:dyDescent="0.25">
      <c r="F1440" s="29"/>
    </row>
    <row r="1441" spans="6:6" x14ac:dyDescent="0.25">
      <c r="F1441" s="29"/>
    </row>
    <row r="1442" spans="6:6" x14ac:dyDescent="0.25">
      <c r="F1442" s="29"/>
    </row>
    <row r="1443" spans="6:6" x14ac:dyDescent="0.25">
      <c r="F1443" s="29"/>
    </row>
    <row r="1444" spans="6:6" x14ac:dyDescent="0.25">
      <c r="F1444" s="29"/>
    </row>
    <row r="1445" spans="6:6" x14ac:dyDescent="0.25">
      <c r="F1445" s="29"/>
    </row>
    <row r="1446" spans="6:6" x14ac:dyDescent="0.25">
      <c r="F1446" s="29"/>
    </row>
    <row r="1447" spans="6:6" x14ac:dyDescent="0.25">
      <c r="F1447" s="29"/>
    </row>
    <row r="1448" spans="6:6" x14ac:dyDescent="0.25">
      <c r="F1448" s="29"/>
    </row>
    <row r="1449" spans="6:6" x14ac:dyDescent="0.25">
      <c r="F1449" s="29"/>
    </row>
    <row r="1450" spans="6:6" x14ac:dyDescent="0.25">
      <c r="F1450" s="29"/>
    </row>
    <row r="1451" spans="6:6" x14ac:dyDescent="0.25">
      <c r="F1451" s="29"/>
    </row>
    <row r="1452" spans="6:6" x14ac:dyDescent="0.25">
      <c r="F1452" s="29"/>
    </row>
    <row r="1453" spans="6:6" x14ac:dyDescent="0.25">
      <c r="F1453" s="29"/>
    </row>
    <row r="1454" spans="6:6" x14ac:dyDescent="0.25">
      <c r="F1454" s="29"/>
    </row>
    <row r="1455" spans="6:6" x14ac:dyDescent="0.25">
      <c r="F1455" s="29"/>
    </row>
    <row r="1456" spans="6:6" x14ac:dyDescent="0.25">
      <c r="F1456" s="29"/>
    </row>
    <row r="1457" spans="6:6" x14ac:dyDescent="0.25">
      <c r="F1457" s="29"/>
    </row>
    <row r="1458" spans="6:6" x14ac:dyDescent="0.25">
      <c r="F1458" s="29"/>
    </row>
    <row r="1459" spans="6:6" x14ac:dyDescent="0.25">
      <c r="F1459" s="29"/>
    </row>
    <row r="1460" spans="6:6" x14ac:dyDescent="0.25">
      <c r="F1460" s="29"/>
    </row>
    <row r="1461" spans="6:6" x14ac:dyDescent="0.25">
      <c r="F1461" s="29"/>
    </row>
    <row r="1462" spans="6:6" x14ac:dyDescent="0.25">
      <c r="F1462" s="29"/>
    </row>
    <row r="1463" spans="6:6" x14ac:dyDescent="0.25">
      <c r="F1463" s="29"/>
    </row>
    <row r="1464" spans="6:6" x14ac:dyDescent="0.25">
      <c r="F1464" s="29"/>
    </row>
    <row r="1465" spans="6:6" x14ac:dyDescent="0.25">
      <c r="F1465" s="29"/>
    </row>
    <row r="1466" spans="6:6" x14ac:dyDescent="0.25">
      <c r="F1466" s="29"/>
    </row>
    <row r="1467" spans="6:6" x14ac:dyDescent="0.25">
      <c r="F1467" s="29"/>
    </row>
    <row r="1468" spans="6:6" x14ac:dyDescent="0.25">
      <c r="F1468" s="29"/>
    </row>
    <row r="1469" spans="6:6" x14ac:dyDescent="0.25">
      <c r="F1469" s="29"/>
    </row>
    <row r="1470" spans="6:6" x14ac:dyDescent="0.25">
      <c r="F1470" s="29"/>
    </row>
    <row r="1471" spans="6:6" x14ac:dyDescent="0.25">
      <c r="F1471" s="29"/>
    </row>
    <row r="1472" spans="6:6" x14ac:dyDescent="0.25">
      <c r="F1472" s="29"/>
    </row>
    <row r="1473" spans="6:6" x14ac:dyDescent="0.25">
      <c r="F1473" s="29"/>
    </row>
    <row r="1474" spans="6:6" x14ac:dyDescent="0.25">
      <c r="F1474" s="29"/>
    </row>
    <row r="1475" spans="6:6" x14ac:dyDescent="0.25">
      <c r="F1475" s="29"/>
    </row>
    <row r="1476" spans="6:6" x14ac:dyDescent="0.25">
      <c r="F1476" s="29"/>
    </row>
    <row r="1477" spans="6:6" x14ac:dyDescent="0.25">
      <c r="F1477" s="29"/>
    </row>
    <row r="1478" spans="6:6" x14ac:dyDescent="0.25">
      <c r="F1478" s="29"/>
    </row>
    <row r="1479" spans="6:6" x14ac:dyDescent="0.25">
      <c r="F1479" s="29"/>
    </row>
    <row r="1480" spans="6:6" x14ac:dyDescent="0.25">
      <c r="F1480" s="29"/>
    </row>
    <row r="1481" spans="6:6" x14ac:dyDescent="0.25">
      <c r="F1481" s="29"/>
    </row>
    <row r="1482" spans="6:6" x14ac:dyDescent="0.25">
      <c r="F1482" s="29"/>
    </row>
    <row r="1483" spans="6:6" x14ac:dyDescent="0.25">
      <c r="F1483" s="29"/>
    </row>
    <row r="1484" spans="6:6" x14ac:dyDescent="0.25">
      <c r="F1484" s="29"/>
    </row>
    <row r="1485" spans="6:6" x14ac:dyDescent="0.25">
      <c r="F1485" s="29"/>
    </row>
    <row r="1486" spans="6:6" x14ac:dyDescent="0.25">
      <c r="F1486" s="29"/>
    </row>
    <row r="1487" spans="6:6" x14ac:dyDescent="0.25">
      <c r="F1487" s="29"/>
    </row>
    <row r="1488" spans="6:6" x14ac:dyDescent="0.25">
      <c r="F1488" s="29"/>
    </row>
    <row r="1489" spans="6:6" x14ac:dyDescent="0.25">
      <c r="F1489" s="29"/>
    </row>
    <row r="1490" spans="6:6" x14ac:dyDescent="0.25">
      <c r="F1490" s="29"/>
    </row>
    <row r="1491" spans="6:6" x14ac:dyDescent="0.25">
      <c r="F1491" s="29"/>
    </row>
    <row r="1492" spans="6:6" x14ac:dyDescent="0.25">
      <c r="F1492" s="29"/>
    </row>
    <row r="1493" spans="6:6" x14ac:dyDescent="0.25">
      <c r="F1493" s="29"/>
    </row>
    <row r="1494" spans="6:6" x14ac:dyDescent="0.25">
      <c r="F1494" s="29"/>
    </row>
    <row r="1495" spans="6:6" x14ac:dyDescent="0.25">
      <c r="F1495" s="29"/>
    </row>
    <row r="1496" spans="6:6" x14ac:dyDescent="0.25">
      <c r="F1496" s="29"/>
    </row>
    <row r="1497" spans="6:6" x14ac:dyDescent="0.25">
      <c r="F1497" s="29"/>
    </row>
    <row r="1498" spans="6:6" x14ac:dyDescent="0.25">
      <c r="F1498" s="29"/>
    </row>
    <row r="1499" spans="6:6" x14ac:dyDescent="0.25">
      <c r="F1499" s="29"/>
    </row>
    <row r="1500" spans="6:6" x14ac:dyDescent="0.25">
      <c r="F1500" s="29"/>
    </row>
    <row r="1501" spans="6:6" x14ac:dyDescent="0.25">
      <c r="F1501" s="29"/>
    </row>
    <row r="1502" spans="6:6" x14ac:dyDescent="0.25">
      <c r="F1502" s="29"/>
    </row>
    <row r="1503" spans="6:6" x14ac:dyDescent="0.25">
      <c r="F1503" s="29"/>
    </row>
    <row r="1504" spans="6:6" x14ac:dyDescent="0.25">
      <c r="F1504" s="29"/>
    </row>
    <row r="1505" spans="6:6" x14ac:dyDescent="0.25">
      <c r="F1505" s="29"/>
    </row>
    <row r="1506" spans="6:6" x14ac:dyDescent="0.25">
      <c r="F1506" s="29"/>
    </row>
    <row r="1507" spans="6:6" x14ac:dyDescent="0.25">
      <c r="F1507" s="29"/>
    </row>
    <row r="1508" spans="6:6" x14ac:dyDescent="0.25">
      <c r="F1508" s="29"/>
    </row>
    <row r="1509" spans="6:6" x14ac:dyDescent="0.25">
      <c r="F1509" s="29"/>
    </row>
    <row r="1510" spans="6:6" x14ac:dyDescent="0.25">
      <c r="F1510" s="29"/>
    </row>
    <row r="1511" spans="6:6" x14ac:dyDescent="0.25">
      <c r="F1511" s="29"/>
    </row>
    <row r="1512" spans="6:6" x14ac:dyDescent="0.25">
      <c r="F1512" s="29"/>
    </row>
    <row r="1513" spans="6:6" x14ac:dyDescent="0.25">
      <c r="F1513" s="29"/>
    </row>
    <row r="1514" spans="6:6" x14ac:dyDescent="0.25">
      <c r="F1514" s="29"/>
    </row>
    <row r="1515" spans="6:6" x14ac:dyDescent="0.25">
      <c r="F1515" s="29"/>
    </row>
    <row r="1516" spans="6:6" x14ac:dyDescent="0.25">
      <c r="F1516" s="29"/>
    </row>
    <row r="1517" spans="6:6" x14ac:dyDescent="0.25">
      <c r="F1517" s="29"/>
    </row>
    <row r="1518" spans="6:6" x14ac:dyDescent="0.25">
      <c r="F1518" s="29"/>
    </row>
    <row r="1519" spans="6:6" x14ac:dyDescent="0.25">
      <c r="F1519" s="29"/>
    </row>
    <row r="1520" spans="6:6" x14ac:dyDescent="0.25">
      <c r="F1520" s="29"/>
    </row>
    <row r="1521" spans="6:6" x14ac:dyDescent="0.25">
      <c r="F1521" s="29"/>
    </row>
    <row r="1522" spans="6:6" x14ac:dyDescent="0.25">
      <c r="F1522" s="29"/>
    </row>
    <row r="1523" spans="6:6" x14ac:dyDescent="0.25">
      <c r="F1523" s="29"/>
    </row>
    <row r="1524" spans="6:6" x14ac:dyDescent="0.25">
      <c r="F1524" s="29"/>
    </row>
    <row r="1525" spans="6:6" x14ac:dyDescent="0.25">
      <c r="F1525" s="29"/>
    </row>
    <row r="1526" spans="6:6" x14ac:dyDescent="0.25">
      <c r="F1526" s="29"/>
    </row>
    <row r="1527" spans="6:6" x14ac:dyDescent="0.25">
      <c r="F1527" s="29"/>
    </row>
    <row r="1528" spans="6:6" x14ac:dyDescent="0.25">
      <c r="F1528" s="29"/>
    </row>
    <row r="1529" spans="6:6" x14ac:dyDescent="0.25">
      <c r="F1529" s="29"/>
    </row>
    <row r="1530" spans="6:6" x14ac:dyDescent="0.25">
      <c r="F1530" s="29"/>
    </row>
    <row r="1531" spans="6:6" x14ac:dyDescent="0.25">
      <c r="F1531" s="29"/>
    </row>
    <row r="1532" spans="6:6" x14ac:dyDescent="0.25">
      <c r="F1532" s="29"/>
    </row>
    <row r="1533" spans="6:6" x14ac:dyDescent="0.25">
      <c r="F1533" s="29"/>
    </row>
    <row r="1534" spans="6:6" x14ac:dyDescent="0.25">
      <c r="F1534" s="29"/>
    </row>
    <row r="1535" spans="6:6" x14ac:dyDescent="0.25">
      <c r="F1535" s="29"/>
    </row>
    <row r="1536" spans="6:6" x14ac:dyDescent="0.25">
      <c r="F1536" s="29"/>
    </row>
    <row r="1537" spans="6:6" x14ac:dyDescent="0.25">
      <c r="F1537" s="29"/>
    </row>
    <row r="1538" spans="6:6" x14ac:dyDescent="0.25">
      <c r="F1538" s="29"/>
    </row>
    <row r="1539" spans="6:6" x14ac:dyDescent="0.25">
      <c r="F1539" s="29"/>
    </row>
    <row r="1540" spans="6:6" x14ac:dyDescent="0.25">
      <c r="F1540" s="29"/>
    </row>
    <row r="1541" spans="6:6" x14ac:dyDescent="0.25">
      <c r="F1541" s="29"/>
    </row>
    <row r="1542" spans="6:6" x14ac:dyDescent="0.25">
      <c r="F1542" s="29"/>
    </row>
    <row r="1543" spans="6:6" x14ac:dyDescent="0.25">
      <c r="F1543" s="29"/>
    </row>
    <row r="1544" spans="6:6" x14ac:dyDescent="0.25">
      <c r="F1544" s="29"/>
    </row>
    <row r="1545" spans="6:6" x14ac:dyDescent="0.25">
      <c r="F1545" s="29"/>
    </row>
    <row r="1546" spans="6:6" x14ac:dyDescent="0.25">
      <c r="F1546" s="29"/>
    </row>
    <row r="1547" spans="6:6" x14ac:dyDescent="0.25">
      <c r="F1547" s="29"/>
    </row>
    <row r="1548" spans="6:6" x14ac:dyDescent="0.25">
      <c r="F1548" s="29"/>
    </row>
    <row r="1549" spans="6:6" x14ac:dyDescent="0.25">
      <c r="F1549" s="29"/>
    </row>
    <row r="1550" spans="6:6" x14ac:dyDescent="0.25">
      <c r="F1550" s="29"/>
    </row>
    <row r="1551" spans="6:6" x14ac:dyDescent="0.25">
      <c r="F1551" s="29"/>
    </row>
    <row r="1552" spans="6:6" x14ac:dyDescent="0.25">
      <c r="F1552" s="29"/>
    </row>
    <row r="1553" spans="6:6" x14ac:dyDescent="0.25">
      <c r="F1553" s="29"/>
    </row>
    <row r="1554" spans="6:6" x14ac:dyDescent="0.25">
      <c r="F1554" s="29"/>
    </row>
    <row r="1555" spans="6:6" x14ac:dyDescent="0.25">
      <c r="F1555" s="29"/>
    </row>
    <row r="1556" spans="6:6" x14ac:dyDescent="0.25">
      <c r="F1556" s="29"/>
    </row>
    <row r="1557" spans="6:6" x14ac:dyDescent="0.25">
      <c r="F1557" s="29"/>
    </row>
    <row r="1558" spans="6:6" x14ac:dyDescent="0.25">
      <c r="F1558" s="29"/>
    </row>
    <row r="1559" spans="6:6" x14ac:dyDescent="0.25">
      <c r="F1559" s="29"/>
    </row>
    <row r="1560" spans="6:6" x14ac:dyDescent="0.25">
      <c r="F1560" s="29"/>
    </row>
    <row r="1561" spans="6:6" x14ac:dyDescent="0.25">
      <c r="F1561" s="29"/>
    </row>
    <row r="1562" spans="6:6" x14ac:dyDescent="0.25">
      <c r="F1562" s="29"/>
    </row>
    <row r="1563" spans="6:6" x14ac:dyDescent="0.25">
      <c r="F1563" s="29"/>
    </row>
    <row r="1564" spans="6:6" x14ac:dyDescent="0.25">
      <c r="F1564" s="29"/>
    </row>
    <row r="1565" spans="6:6" x14ac:dyDescent="0.25">
      <c r="F1565" s="29"/>
    </row>
    <row r="1566" spans="6:6" x14ac:dyDescent="0.25">
      <c r="F1566" s="29"/>
    </row>
    <row r="1567" spans="6:6" x14ac:dyDescent="0.25">
      <c r="F1567" s="29"/>
    </row>
    <row r="1568" spans="6:6" x14ac:dyDescent="0.25">
      <c r="F1568" s="29"/>
    </row>
    <row r="1569" spans="6:6" x14ac:dyDescent="0.25">
      <c r="F1569" s="29"/>
    </row>
    <row r="1570" spans="6:6" x14ac:dyDescent="0.25">
      <c r="F1570" s="29"/>
    </row>
    <row r="1571" spans="6:6" x14ac:dyDescent="0.25">
      <c r="F1571" s="29"/>
    </row>
    <row r="1572" spans="6:6" x14ac:dyDescent="0.25">
      <c r="F1572" s="29"/>
    </row>
    <row r="1573" spans="6:6" x14ac:dyDescent="0.25">
      <c r="F1573" s="29"/>
    </row>
    <row r="1574" spans="6:6" x14ac:dyDescent="0.25">
      <c r="F1574" s="29"/>
    </row>
    <row r="1575" spans="6:6" x14ac:dyDescent="0.25">
      <c r="F1575" s="29"/>
    </row>
    <row r="1576" spans="6:6" x14ac:dyDescent="0.25">
      <c r="F1576" s="29"/>
    </row>
    <row r="1577" spans="6:6" x14ac:dyDescent="0.25">
      <c r="F1577" s="29"/>
    </row>
    <row r="1578" spans="6:6" x14ac:dyDescent="0.25">
      <c r="F1578" s="29"/>
    </row>
    <row r="1579" spans="6:6" x14ac:dyDescent="0.25">
      <c r="F1579" s="29"/>
    </row>
    <row r="1580" spans="6:6" x14ac:dyDescent="0.25">
      <c r="F1580" s="29"/>
    </row>
    <row r="1581" spans="6:6" x14ac:dyDescent="0.25">
      <c r="F1581" s="29"/>
    </row>
    <row r="1582" spans="6:6" x14ac:dyDescent="0.25">
      <c r="F1582" s="29"/>
    </row>
    <row r="1583" spans="6:6" x14ac:dyDescent="0.25">
      <c r="F1583" s="29"/>
    </row>
    <row r="1584" spans="6:6" x14ac:dyDescent="0.25">
      <c r="F1584" s="29"/>
    </row>
    <row r="1585" spans="6:6" x14ac:dyDescent="0.25">
      <c r="F1585" s="29"/>
    </row>
    <row r="1586" spans="6:6" x14ac:dyDescent="0.25">
      <c r="F1586" s="29"/>
    </row>
    <row r="1587" spans="6:6" x14ac:dyDescent="0.25">
      <c r="F1587" s="29"/>
    </row>
    <row r="1588" spans="6:6" x14ac:dyDescent="0.25">
      <c r="F1588" s="29"/>
    </row>
    <row r="1589" spans="6:6" x14ac:dyDescent="0.25">
      <c r="F1589" s="29"/>
    </row>
    <row r="1590" spans="6:6" x14ac:dyDescent="0.25">
      <c r="F1590" s="29"/>
    </row>
    <row r="1591" spans="6:6" x14ac:dyDescent="0.25">
      <c r="F1591" s="29"/>
    </row>
    <row r="1592" spans="6:6" x14ac:dyDescent="0.25">
      <c r="F1592" s="29"/>
    </row>
    <row r="1593" spans="6:6" x14ac:dyDescent="0.25">
      <c r="F1593" s="29"/>
    </row>
    <row r="1594" spans="6:6" x14ac:dyDescent="0.25">
      <c r="F1594" s="29"/>
    </row>
    <row r="1595" spans="6:6" x14ac:dyDescent="0.25">
      <c r="F1595" s="29"/>
    </row>
    <row r="1596" spans="6:6" x14ac:dyDescent="0.25">
      <c r="F1596" s="29"/>
    </row>
    <row r="1597" spans="6:6" x14ac:dyDescent="0.25">
      <c r="F1597" s="29"/>
    </row>
    <row r="1598" spans="6:6" x14ac:dyDescent="0.25">
      <c r="F1598" s="29"/>
    </row>
    <row r="1599" spans="6:6" x14ac:dyDescent="0.25">
      <c r="F1599" s="29"/>
    </row>
    <row r="1600" spans="6:6" x14ac:dyDescent="0.25">
      <c r="F1600" s="29"/>
    </row>
    <row r="1601" spans="6:6" x14ac:dyDescent="0.25">
      <c r="F1601" s="29"/>
    </row>
    <row r="1602" spans="6:6" x14ac:dyDescent="0.25">
      <c r="F1602" s="29"/>
    </row>
    <row r="1603" spans="6:6" x14ac:dyDescent="0.25">
      <c r="F1603" s="29"/>
    </row>
    <row r="1604" spans="6:6" x14ac:dyDescent="0.25">
      <c r="F1604" s="29"/>
    </row>
    <row r="1605" spans="6:6" x14ac:dyDescent="0.25">
      <c r="F1605" s="29"/>
    </row>
    <row r="1606" spans="6:6" x14ac:dyDescent="0.25">
      <c r="F1606" s="29"/>
    </row>
    <row r="1607" spans="6:6" x14ac:dyDescent="0.25">
      <c r="F1607" s="29"/>
    </row>
    <row r="1608" spans="6:6" x14ac:dyDescent="0.25">
      <c r="F1608" s="29"/>
    </row>
    <row r="1609" spans="6:6" x14ac:dyDescent="0.25">
      <c r="F1609" s="29"/>
    </row>
    <row r="1610" spans="6:6" x14ac:dyDescent="0.25">
      <c r="F1610" s="29"/>
    </row>
    <row r="1611" spans="6:6" x14ac:dyDescent="0.25">
      <c r="F1611" s="29"/>
    </row>
    <row r="1612" spans="6:6" x14ac:dyDescent="0.25">
      <c r="F1612" s="29"/>
    </row>
    <row r="1613" spans="6:6" x14ac:dyDescent="0.25">
      <c r="F1613" s="29"/>
    </row>
    <row r="1614" spans="6:6" x14ac:dyDescent="0.25">
      <c r="F1614" s="29"/>
    </row>
    <row r="1615" spans="6:6" x14ac:dyDescent="0.25">
      <c r="F1615" s="29"/>
    </row>
    <row r="1616" spans="6:6" x14ac:dyDescent="0.25">
      <c r="F1616" s="29"/>
    </row>
    <row r="1617" spans="6:6" x14ac:dyDescent="0.25">
      <c r="F1617" s="29"/>
    </row>
    <row r="1618" spans="6:6" x14ac:dyDescent="0.25">
      <c r="F1618" s="29"/>
    </row>
    <row r="1619" spans="6:6" x14ac:dyDescent="0.25">
      <c r="F1619" s="29"/>
    </row>
    <row r="1620" spans="6:6" x14ac:dyDescent="0.25">
      <c r="F1620" s="29"/>
    </row>
    <row r="1621" spans="6:6" x14ac:dyDescent="0.25">
      <c r="F1621" s="29"/>
    </row>
    <row r="1622" spans="6:6" x14ac:dyDescent="0.25">
      <c r="F1622" s="29"/>
    </row>
    <row r="1623" spans="6:6" x14ac:dyDescent="0.25">
      <c r="F1623" s="29"/>
    </row>
    <row r="1624" spans="6:6" x14ac:dyDescent="0.25">
      <c r="F1624" s="29"/>
    </row>
    <row r="1625" spans="6:6" x14ac:dyDescent="0.25">
      <c r="F1625" s="29"/>
    </row>
    <row r="1626" spans="6:6" x14ac:dyDescent="0.25">
      <c r="F1626" s="29"/>
    </row>
    <row r="1627" spans="6:6" x14ac:dyDescent="0.25">
      <c r="F1627" s="29"/>
    </row>
    <row r="1628" spans="6:6" x14ac:dyDescent="0.25">
      <c r="F1628" s="29"/>
    </row>
    <row r="1629" spans="6:6" x14ac:dyDescent="0.25">
      <c r="F1629" s="29"/>
    </row>
    <row r="1630" spans="6:6" x14ac:dyDescent="0.25">
      <c r="F1630" s="29"/>
    </row>
    <row r="1631" spans="6:6" x14ac:dyDescent="0.25">
      <c r="F1631" s="29"/>
    </row>
    <row r="1632" spans="6:6" x14ac:dyDescent="0.25">
      <c r="F1632" s="29"/>
    </row>
    <row r="1633" spans="6:6" x14ac:dyDescent="0.25">
      <c r="F1633" s="29"/>
    </row>
    <row r="1634" spans="6:6" x14ac:dyDescent="0.25">
      <c r="F1634" s="29"/>
    </row>
    <row r="1635" spans="6:6" x14ac:dyDescent="0.25">
      <c r="F1635" s="29"/>
    </row>
    <row r="1636" spans="6:6" x14ac:dyDescent="0.25">
      <c r="F1636" s="29"/>
    </row>
    <row r="1637" spans="6:6" x14ac:dyDescent="0.25">
      <c r="F1637" s="29"/>
    </row>
    <row r="1638" spans="6:6" x14ac:dyDescent="0.25">
      <c r="F1638" s="29"/>
    </row>
    <row r="1639" spans="6:6" x14ac:dyDescent="0.25">
      <c r="F1639" s="29"/>
    </row>
    <row r="1640" spans="6:6" x14ac:dyDescent="0.25">
      <c r="F1640" s="29"/>
    </row>
    <row r="1641" spans="6:6" x14ac:dyDescent="0.25">
      <c r="F1641" s="29"/>
    </row>
    <row r="1642" spans="6:6" x14ac:dyDescent="0.25">
      <c r="F1642" s="29"/>
    </row>
    <row r="1643" spans="6:6" x14ac:dyDescent="0.25">
      <c r="F1643" s="29"/>
    </row>
    <row r="1644" spans="6:6" x14ac:dyDescent="0.25">
      <c r="F1644" s="29"/>
    </row>
    <row r="1645" spans="6:6" x14ac:dyDescent="0.25">
      <c r="F1645" s="29"/>
    </row>
    <row r="1646" spans="6:6" x14ac:dyDescent="0.25">
      <c r="F1646" s="29"/>
    </row>
    <row r="1647" spans="6:6" x14ac:dyDescent="0.25">
      <c r="F1647" s="29"/>
    </row>
    <row r="1648" spans="6:6" x14ac:dyDescent="0.25">
      <c r="F1648" s="29"/>
    </row>
    <row r="1649" spans="6:6" x14ac:dyDescent="0.25">
      <c r="F1649" s="29"/>
    </row>
    <row r="1650" spans="6:6" x14ac:dyDescent="0.25">
      <c r="F1650" s="29"/>
    </row>
    <row r="1651" spans="6:6" x14ac:dyDescent="0.25">
      <c r="F1651" s="29"/>
    </row>
    <row r="1652" spans="6:6" x14ac:dyDescent="0.25">
      <c r="F1652" s="29"/>
    </row>
    <row r="1653" spans="6:6" x14ac:dyDescent="0.25">
      <c r="F1653" s="29"/>
    </row>
    <row r="1654" spans="6:6" x14ac:dyDescent="0.25">
      <c r="F1654" s="29"/>
    </row>
    <row r="1655" spans="6:6" x14ac:dyDescent="0.25">
      <c r="F1655" s="29"/>
    </row>
    <row r="1656" spans="6:6" x14ac:dyDescent="0.25">
      <c r="F1656" s="29"/>
    </row>
    <row r="1657" spans="6:6" x14ac:dyDescent="0.25">
      <c r="F1657" s="29"/>
    </row>
    <row r="1658" spans="6:6" x14ac:dyDescent="0.25">
      <c r="F1658" s="29"/>
    </row>
    <row r="1659" spans="6:6" x14ac:dyDescent="0.25">
      <c r="F1659" s="29"/>
    </row>
    <row r="1660" spans="6:6" x14ac:dyDescent="0.25">
      <c r="F1660" s="29"/>
    </row>
    <row r="1661" spans="6:6" x14ac:dyDescent="0.25">
      <c r="F1661" s="29"/>
    </row>
    <row r="1662" spans="6:6" x14ac:dyDescent="0.25">
      <c r="F1662" s="29"/>
    </row>
    <row r="1663" spans="6:6" x14ac:dyDescent="0.25">
      <c r="F1663" s="29"/>
    </row>
    <row r="1664" spans="6:6" x14ac:dyDescent="0.25">
      <c r="F1664" s="29"/>
    </row>
    <row r="1665" spans="6:6" x14ac:dyDescent="0.25">
      <c r="F1665" s="29"/>
    </row>
    <row r="1666" spans="6:6" x14ac:dyDescent="0.25">
      <c r="F1666" s="29"/>
    </row>
    <row r="1667" spans="6:6" x14ac:dyDescent="0.25">
      <c r="F1667" s="29"/>
    </row>
    <row r="1668" spans="6:6" x14ac:dyDescent="0.25">
      <c r="F1668" s="29"/>
    </row>
    <row r="1669" spans="6:6" x14ac:dyDescent="0.25">
      <c r="F1669" s="29"/>
    </row>
    <row r="1670" spans="6:6" x14ac:dyDescent="0.25">
      <c r="F1670" s="29"/>
    </row>
    <row r="1671" spans="6:6" x14ac:dyDescent="0.25">
      <c r="F1671" s="29"/>
    </row>
    <row r="1672" spans="6:6" x14ac:dyDescent="0.25">
      <c r="F1672" s="29"/>
    </row>
    <row r="1673" spans="6:6" x14ac:dyDescent="0.25">
      <c r="F1673" s="29"/>
    </row>
    <row r="1674" spans="6:6" x14ac:dyDescent="0.25">
      <c r="F1674" s="29"/>
    </row>
    <row r="1675" spans="6:6" x14ac:dyDescent="0.25">
      <c r="F1675" s="29"/>
    </row>
    <row r="1676" spans="6:6" x14ac:dyDescent="0.25">
      <c r="F1676" s="29"/>
    </row>
    <row r="1677" spans="6:6" x14ac:dyDescent="0.25">
      <c r="F1677" s="29"/>
    </row>
    <row r="1678" spans="6:6" x14ac:dyDescent="0.25">
      <c r="F1678" s="29"/>
    </row>
    <row r="1679" spans="6:6" x14ac:dyDescent="0.25">
      <c r="F1679" s="29"/>
    </row>
    <row r="1680" spans="6:6" x14ac:dyDescent="0.25">
      <c r="F1680" s="29"/>
    </row>
    <row r="1681" spans="6:6" x14ac:dyDescent="0.25">
      <c r="F1681" s="29"/>
    </row>
    <row r="1682" spans="6:6" x14ac:dyDescent="0.25">
      <c r="F1682" s="29"/>
    </row>
    <row r="1683" spans="6:6" x14ac:dyDescent="0.25">
      <c r="F1683" s="29"/>
    </row>
    <row r="1684" spans="6:6" x14ac:dyDescent="0.25">
      <c r="F1684" s="29"/>
    </row>
    <row r="1685" spans="6:6" x14ac:dyDescent="0.25">
      <c r="F1685" s="29"/>
    </row>
    <row r="1686" spans="6:6" x14ac:dyDescent="0.25">
      <c r="F1686" s="29"/>
    </row>
    <row r="1687" spans="6:6" x14ac:dyDescent="0.25">
      <c r="F1687" s="29"/>
    </row>
    <row r="1688" spans="6:6" x14ac:dyDescent="0.25">
      <c r="F1688" s="29"/>
    </row>
    <row r="1689" spans="6:6" x14ac:dyDescent="0.25">
      <c r="F1689" s="29"/>
    </row>
    <row r="1690" spans="6:6" x14ac:dyDescent="0.25">
      <c r="F1690" s="29"/>
    </row>
    <row r="1691" spans="6:6" x14ac:dyDescent="0.25">
      <c r="F1691" s="29"/>
    </row>
    <row r="1692" spans="6:6" x14ac:dyDescent="0.25">
      <c r="F1692" s="29"/>
    </row>
    <row r="1693" spans="6:6" x14ac:dyDescent="0.25">
      <c r="F1693" s="29"/>
    </row>
    <row r="1694" spans="6:6" x14ac:dyDescent="0.25">
      <c r="F1694" s="29"/>
    </row>
    <row r="1695" spans="6:6" x14ac:dyDescent="0.25">
      <c r="F1695" s="29"/>
    </row>
    <row r="1696" spans="6:6" x14ac:dyDescent="0.25">
      <c r="F1696" s="29"/>
    </row>
    <row r="1697" spans="6:6" x14ac:dyDescent="0.25">
      <c r="F1697" s="29"/>
    </row>
    <row r="1698" spans="6:6" x14ac:dyDescent="0.25">
      <c r="F1698" s="29"/>
    </row>
    <row r="1699" spans="6:6" x14ac:dyDescent="0.25">
      <c r="F1699" s="29"/>
    </row>
    <row r="1700" spans="6:6" x14ac:dyDescent="0.25">
      <c r="F1700" s="29"/>
    </row>
    <row r="1701" spans="6:6" x14ac:dyDescent="0.25">
      <c r="F1701" s="29"/>
    </row>
    <row r="1702" spans="6:6" x14ac:dyDescent="0.25">
      <c r="F1702" s="29"/>
    </row>
    <row r="1703" spans="6:6" x14ac:dyDescent="0.25">
      <c r="F1703" s="29"/>
    </row>
    <row r="1704" spans="6:6" x14ac:dyDescent="0.25">
      <c r="F1704" s="29"/>
    </row>
    <row r="1705" spans="6:6" x14ac:dyDescent="0.25">
      <c r="F1705" s="29"/>
    </row>
    <row r="1706" spans="6:6" x14ac:dyDescent="0.25">
      <c r="F1706" s="29"/>
    </row>
    <row r="1707" spans="6:6" x14ac:dyDescent="0.25">
      <c r="F1707" s="29"/>
    </row>
    <row r="1708" spans="6:6" x14ac:dyDescent="0.25">
      <c r="F1708" s="29"/>
    </row>
    <row r="1709" spans="6:6" x14ac:dyDescent="0.25">
      <c r="F1709" s="29"/>
    </row>
    <row r="1710" spans="6:6" x14ac:dyDescent="0.25">
      <c r="F1710" s="29"/>
    </row>
    <row r="1711" spans="6:6" x14ac:dyDescent="0.25">
      <c r="F1711" s="29"/>
    </row>
    <row r="1712" spans="6:6" x14ac:dyDescent="0.25">
      <c r="F1712" s="29"/>
    </row>
    <row r="1713" spans="6:6" x14ac:dyDescent="0.25">
      <c r="F1713" s="29"/>
    </row>
    <row r="1714" spans="6:6" x14ac:dyDescent="0.25">
      <c r="F1714" s="29"/>
    </row>
    <row r="1715" spans="6:6" x14ac:dyDescent="0.25">
      <c r="F1715" s="29"/>
    </row>
    <row r="1716" spans="6:6" x14ac:dyDescent="0.25">
      <c r="F1716" s="29"/>
    </row>
    <row r="1717" spans="6:6" x14ac:dyDescent="0.25">
      <c r="F1717" s="29"/>
    </row>
    <row r="1718" spans="6:6" x14ac:dyDescent="0.25">
      <c r="F1718" s="29"/>
    </row>
    <row r="1719" spans="6:6" x14ac:dyDescent="0.25">
      <c r="F1719" s="29"/>
    </row>
    <row r="1720" spans="6:6" x14ac:dyDescent="0.25">
      <c r="F1720" s="29"/>
    </row>
    <row r="1721" spans="6:6" x14ac:dyDescent="0.25">
      <c r="F1721" s="29"/>
    </row>
    <row r="1722" spans="6:6" x14ac:dyDescent="0.25">
      <c r="F1722" s="29"/>
    </row>
    <row r="1723" spans="6:6" x14ac:dyDescent="0.25">
      <c r="F1723" s="29"/>
    </row>
    <row r="1724" spans="6:6" x14ac:dyDescent="0.25">
      <c r="F1724" s="29"/>
    </row>
    <row r="1725" spans="6:6" x14ac:dyDescent="0.25">
      <c r="F1725" s="29"/>
    </row>
    <row r="1726" spans="6:6" x14ac:dyDescent="0.25">
      <c r="F1726" s="29"/>
    </row>
    <row r="1727" spans="6:6" x14ac:dyDescent="0.25">
      <c r="F1727" s="29"/>
    </row>
    <row r="1728" spans="6:6" x14ac:dyDescent="0.25">
      <c r="F1728" s="29"/>
    </row>
    <row r="1729" spans="6:6" x14ac:dyDescent="0.25">
      <c r="F1729" s="29"/>
    </row>
    <row r="1730" spans="6:6" x14ac:dyDescent="0.25">
      <c r="F1730" s="29"/>
    </row>
    <row r="1731" spans="6:6" x14ac:dyDescent="0.25">
      <c r="F1731" s="29"/>
    </row>
    <row r="1732" spans="6:6" x14ac:dyDescent="0.25">
      <c r="F1732" s="29"/>
    </row>
    <row r="1733" spans="6:6" x14ac:dyDescent="0.25">
      <c r="F1733" s="29"/>
    </row>
    <row r="1734" spans="6:6" x14ac:dyDescent="0.25">
      <c r="F1734" s="29"/>
    </row>
    <row r="1735" spans="6:6" x14ac:dyDescent="0.25">
      <c r="F1735" s="29"/>
    </row>
    <row r="1736" spans="6:6" x14ac:dyDescent="0.25">
      <c r="F1736" s="29"/>
    </row>
    <row r="1737" spans="6:6" x14ac:dyDescent="0.25">
      <c r="F1737" s="29"/>
    </row>
    <row r="1738" spans="6:6" x14ac:dyDescent="0.25">
      <c r="F1738" s="29"/>
    </row>
    <row r="1739" spans="6:6" x14ac:dyDescent="0.25">
      <c r="F1739" s="29"/>
    </row>
    <row r="1740" spans="6:6" x14ac:dyDescent="0.25">
      <c r="F1740" s="29"/>
    </row>
    <row r="1741" spans="6:6" x14ac:dyDescent="0.25">
      <c r="F1741" s="29"/>
    </row>
    <row r="1742" spans="6:6" x14ac:dyDescent="0.25">
      <c r="F1742" s="29"/>
    </row>
    <row r="1743" spans="6:6" x14ac:dyDescent="0.25">
      <c r="F1743" s="29"/>
    </row>
    <row r="1744" spans="6:6" x14ac:dyDescent="0.25">
      <c r="F1744" s="29"/>
    </row>
    <row r="1745" spans="6:6" x14ac:dyDescent="0.25">
      <c r="F1745" s="29"/>
    </row>
    <row r="1746" spans="6:6" x14ac:dyDescent="0.25">
      <c r="F1746" s="29"/>
    </row>
    <row r="1747" spans="6:6" x14ac:dyDescent="0.25">
      <c r="F1747" s="29"/>
    </row>
    <row r="1748" spans="6:6" x14ac:dyDescent="0.25">
      <c r="F1748" s="29"/>
    </row>
    <row r="1749" spans="6:6" x14ac:dyDescent="0.25">
      <c r="F1749" s="29"/>
    </row>
    <row r="1750" spans="6:6" x14ac:dyDescent="0.25">
      <c r="F1750" s="29"/>
    </row>
    <row r="1751" spans="6:6" x14ac:dyDescent="0.25">
      <c r="F1751" s="29"/>
    </row>
    <row r="1752" spans="6:6" x14ac:dyDescent="0.25">
      <c r="F1752" s="29"/>
    </row>
    <row r="1753" spans="6:6" x14ac:dyDescent="0.25">
      <c r="F1753" s="29"/>
    </row>
    <row r="1754" spans="6:6" x14ac:dyDescent="0.25">
      <c r="F1754" s="29"/>
    </row>
    <row r="1755" spans="6:6" x14ac:dyDescent="0.25">
      <c r="F1755" s="29"/>
    </row>
    <row r="1756" spans="6:6" x14ac:dyDescent="0.25">
      <c r="F1756" s="29"/>
    </row>
    <row r="1757" spans="6:6" x14ac:dyDescent="0.25">
      <c r="F1757" s="29"/>
    </row>
    <row r="1758" spans="6:6" x14ac:dyDescent="0.25">
      <c r="F1758" s="29"/>
    </row>
    <row r="1759" spans="6:6" x14ac:dyDescent="0.25">
      <c r="F1759" s="29"/>
    </row>
    <row r="1760" spans="6:6" x14ac:dyDescent="0.25">
      <c r="F1760" s="29"/>
    </row>
    <row r="1761" spans="6:6" x14ac:dyDescent="0.25">
      <c r="F1761" s="29"/>
    </row>
    <row r="1762" spans="6:6" x14ac:dyDescent="0.25">
      <c r="F1762" s="29"/>
    </row>
    <row r="1763" spans="6:6" x14ac:dyDescent="0.25">
      <c r="F1763" s="29"/>
    </row>
    <row r="1764" spans="6:6" x14ac:dyDescent="0.25">
      <c r="F1764" s="29"/>
    </row>
    <row r="1765" spans="6:6" x14ac:dyDescent="0.25">
      <c r="F1765" s="29"/>
    </row>
    <row r="1766" spans="6:6" x14ac:dyDescent="0.25">
      <c r="F1766" s="29"/>
    </row>
    <row r="1767" spans="6:6" x14ac:dyDescent="0.25">
      <c r="F1767" s="29"/>
    </row>
    <row r="1768" spans="6:6" x14ac:dyDescent="0.25">
      <c r="F1768" s="29"/>
    </row>
    <row r="1769" spans="6:6" x14ac:dyDescent="0.25">
      <c r="F1769" s="29"/>
    </row>
    <row r="1770" spans="6:6" x14ac:dyDescent="0.25">
      <c r="F1770" s="29"/>
    </row>
    <row r="1771" spans="6:6" x14ac:dyDescent="0.25">
      <c r="F1771" s="29"/>
    </row>
    <row r="1772" spans="6:6" x14ac:dyDescent="0.25">
      <c r="F1772" s="29"/>
    </row>
    <row r="1773" spans="6:6" x14ac:dyDescent="0.25">
      <c r="F1773" s="29"/>
    </row>
    <row r="1774" spans="6:6" x14ac:dyDescent="0.25">
      <c r="F1774" s="29"/>
    </row>
    <row r="1775" spans="6:6" x14ac:dyDescent="0.25">
      <c r="F1775" s="29"/>
    </row>
    <row r="1776" spans="6:6" x14ac:dyDescent="0.25">
      <c r="F1776" s="29"/>
    </row>
    <row r="1777" spans="6:6" x14ac:dyDescent="0.25">
      <c r="F1777" s="29"/>
    </row>
    <row r="1778" spans="6:6" x14ac:dyDescent="0.25">
      <c r="F1778" s="29"/>
    </row>
    <row r="1779" spans="6:6" x14ac:dyDescent="0.25">
      <c r="F1779" s="29"/>
    </row>
    <row r="1780" spans="6:6" x14ac:dyDescent="0.25">
      <c r="F1780" s="29"/>
    </row>
    <row r="1781" spans="6:6" x14ac:dyDescent="0.25">
      <c r="F1781" s="29"/>
    </row>
    <row r="1782" spans="6:6" x14ac:dyDescent="0.25">
      <c r="F1782" s="29"/>
    </row>
    <row r="1783" spans="6:6" x14ac:dyDescent="0.25">
      <c r="F1783" s="29"/>
    </row>
    <row r="1784" spans="6:6" x14ac:dyDescent="0.25">
      <c r="F1784" s="29"/>
    </row>
    <row r="1785" spans="6:6" x14ac:dyDescent="0.25">
      <c r="F1785" s="29"/>
    </row>
    <row r="1786" spans="6:6" x14ac:dyDescent="0.25">
      <c r="F1786" s="29"/>
    </row>
    <row r="1787" spans="6:6" x14ac:dyDescent="0.25">
      <c r="F1787" s="29"/>
    </row>
    <row r="1788" spans="6:6" x14ac:dyDescent="0.25">
      <c r="F1788" s="29"/>
    </row>
    <row r="1789" spans="6:6" x14ac:dyDescent="0.25">
      <c r="F1789" s="29"/>
    </row>
    <row r="1790" spans="6:6" x14ac:dyDescent="0.25">
      <c r="F1790" s="29"/>
    </row>
    <row r="1791" spans="6:6" x14ac:dyDescent="0.25">
      <c r="F1791" s="29"/>
    </row>
    <row r="1792" spans="6:6" x14ac:dyDescent="0.25">
      <c r="F1792" s="29"/>
    </row>
    <row r="1793" spans="6:6" x14ac:dyDescent="0.25">
      <c r="F1793" s="29"/>
    </row>
    <row r="1794" spans="6:6" x14ac:dyDescent="0.25">
      <c r="F1794" s="29"/>
    </row>
    <row r="1795" spans="6:6" x14ac:dyDescent="0.25">
      <c r="F1795" s="29"/>
    </row>
    <row r="1796" spans="6:6" x14ac:dyDescent="0.25">
      <c r="F1796" s="29"/>
    </row>
    <row r="1797" spans="6:6" x14ac:dyDescent="0.25">
      <c r="F1797" s="29"/>
    </row>
    <row r="1798" spans="6:6" x14ac:dyDescent="0.25">
      <c r="F1798" s="29"/>
    </row>
    <row r="1799" spans="6:6" x14ac:dyDescent="0.25">
      <c r="F1799" s="29"/>
    </row>
    <row r="1800" spans="6:6" x14ac:dyDescent="0.25">
      <c r="F1800" s="29"/>
    </row>
    <row r="1801" spans="6:6" x14ac:dyDescent="0.25">
      <c r="F1801" s="29"/>
    </row>
    <row r="1802" spans="6:6" x14ac:dyDescent="0.25">
      <c r="F1802" s="29"/>
    </row>
    <row r="1803" spans="6:6" x14ac:dyDescent="0.25">
      <c r="F1803" s="29"/>
    </row>
    <row r="1804" spans="6:6" x14ac:dyDescent="0.25">
      <c r="F1804" s="29"/>
    </row>
    <row r="1805" spans="6:6" x14ac:dyDescent="0.25">
      <c r="F1805" s="29"/>
    </row>
    <row r="1806" spans="6:6" x14ac:dyDescent="0.25">
      <c r="F1806" s="29"/>
    </row>
    <row r="1807" spans="6:6" x14ac:dyDescent="0.25">
      <c r="F1807" s="29"/>
    </row>
    <row r="1808" spans="6:6" x14ac:dyDescent="0.25">
      <c r="F1808" s="29"/>
    </row>
    <row r="1809" spans="6:6" x14ac:dyDescent="0.25">
      <c r="F1809" s="29"/>
    </row>
    <row r="1810" spans="6:6" x14ac:dyDescent="0.25">
      <c r="F1810" s="29"/>
    </row>
    <row r="1811" spans="6:6" x14ac:dyDescent="0.25">
      <c r="F1811" s="29"/>
    </row>
    <row r="1812" spans="6:6" x14ac:dyDescent="0.25">
      <c r="F1812" s="29"/>
    </row>
    <row r="1813" spans="6:6" x14ac:dyDescent="0.25">
      <c r="F1813" s="29"/>
    </row>
    <row r="1814" spans="6:6" x14ac:dyDescent="0.25">
      <c r="F1814" s="29"/>
    </row>
    <row r="1815" spans="6:6" x14ac:dyDescent="0.25">
      <c r="F1815" s="29"/>
    </row>
    <row r="1816" spans="6:6" x14ac:dyDescent="0.25">
      <c r="F1816" s="29"/>
    </row>
    <row r="1817" spans="6:6" x14ac:dyDescent="0.25">
      <c r="F1817" s="29"/>
    </row>
    <row r="1818" spans="6:6" x14ac:dyDescent="0.25">
      <c r="F1818" s="29"/>
    </row>
    <row r="1819" spans="6:6" x14ac:dyDescent="0.25">
      <c r="F1819" s="29"/>
    </row>
    <row r="1820" spans="6:6" x14ac:dyDescent="0.25">
      <c r="F1820" s="29"/>
    </row>
    <row r="1821" spans="6:6" x14ac:dyDescent="0.25">
      <c r="F1821" s="29"/>
    </row>
    <row r="1822" spans="6:6" x14ac:dyDescent="0.25">
      <c r="F1822" s="29"/>
    </row>
    <row r="1823" spans="6:6" x14ac:dyDescent="0.25">
      <c r="F1823" s="29"/>
    </row>
    <row r="1824" spans="6:6" x14ac:dyDescent="0.25">
      <c r="F1824" s="29"/>
    </row>
    <row r="1825" spans="6:6" x14ac:dyDescent="0.25">
      <c r="F1825" s="29"/>
    </row>
    <row r="1826" spans="6:6" x14ac:dyDescent="0.25">
      <c r="F1826" s="29"/>
    </row>
    <row r="1827" spans="6:6" x14ac:dyDescent="0.25">
      <c r="F1827" s="29"/>
    </row>
    <row r="1828" spans="6:6" x14ac:dyDescent="0.25">
      <c r="F1828" s="29"/>
    </row>
    <row r="1829" spans="6:6" x14ac:dyDescent="0.25">
      <c r="F1829" s="29"/>
    </row>
    <row r="1830" spans="6:6" x14ac:dyDescent="0.25">
      <c r="F1830" s="29"/>
    </row>
    <row r="1831" spans="6:6" x14ac:dyDescent="0.25">
      <c r="F1831" s="29"/>
    </row>
    <row r="1832" spans="6:6" x14ac:dyDescent="0.25">
      <c r="F1832" s="29"/>
    </row>
    <row r="1833" spans="6:6" x14ac:dyDescent="0.25">
      <c r="F1833" s="29"/>
    </row>
    <row r="1834" spans="6:6" x14ac:dyDescent="0.25">
      <c r="F1834" s="29"/>
    </row>
    <row r="1835" spans="6:6" x14ac:dyDescent="0.25">
      <c r="F1835" s="29"/>
    </row>
    <row r="1836" spans="6:6" x14ac:dyDescent="0.25">
      <c r="F1836" s="29"/>
    </row>
    <row r="1837" spans="6:6" x14ac:dyDescent="0.25">
      <c r="F1837" s="29"/>
    </row>
    <row r="1838" spans="6:6" x14ac:dyDescent="0.25">
      <c r="F1838" s="29"/>
    </row>
    <row r="1839" spans="6:6" x14ac:dyDescent="0.25">
      <c r="F1839" s="29"/>
    </row>
    <row r="1840" spans="6:6" x14ac:dyDescent="0.25">
      <c r="F1840" s="29"/>
    </row>
    <row r="1841" spans="6:6" x14ac:dyDescent="0.25">
      <c r="F1841" s="29"/>
    </row>
    <row r="1842" spans="6:6" x14ac:dyDescent="0.25">
      <c r="F1842" s="29"/>
    </row>
    <row r="1843" spans="6:6" x14ac:dyDescent="0.25">
      <c r="F1843" s="29"/>
    </row>
    <row r="1844" spans="6:6" x14ac:dyDescent="0.25">
      <c r="F1844" s="29"/>
    </row>
    <row r="1845" spans="6:6" x14ac:dyDescent="0.25">
      <c r="F1845" s="29"/>
    </row>
    <row r="1846" spans="6:6" x14ac:dyDescent="0.25">
      <c r="F1846" s="29"/>
    </row>
    <row r="1847" spans="6:6" x14ac:dyDescent="0.25">
      <c r="F1847" s="29"/>
    </row>
    <row r="1848" spans="6:6" x14ac:dyDescent="0.25">
      <c r="F1848" s="29"/>
    </row>
    <row r="1849" spans="6:6" x14ac:dyDescent="0.25">
      <c r="F1849" s="29"/>
    </row>
    <row r="1850" spans="6:6" x14ac:dyDescent="0.25">
      <c r="F1850" s="29"/>
    </row>
    <row r="1851" spans="6:6" x14ac:dyDescent="0.25">
      <c r="F1851" s="29"/>
    </row>
    <row r="1852" spans="6:6" x14ac:dyDescent="0.25">
      <c r="F1852" s="29"/>
    </row>
    <row r="1853" spans="6:6" x14ac:dyDescent="0.25">
      <c r="F1853" s="29"/>
    </row>
    <row r="1854" spans="6:6" x14ac:dyDescent="0.25">
      <c r="F1854" s="29"/>
    </row>
    <row r="1855" spans="6:6" x14ac:dyDescent="0.25">
      <c r="F1855" s="29"/>
    </row>
    <row r="1856" spans="6:6" x14ac:dyDescent="0.25">
      <c r="F1856" s="29"/>
    </row>
    <row r="1857" spans="6:6" x14ac:dyDescent="0.25">
      <c r="F1857" s="29"/>
    </row>
    <row r="1858" spans="6:6" x14ac:dyDescent="0.25">
      <c r="F1858" s="29"/>
    </row>
    <row r="1859" spans="6:6" x14ac:dyDescent="0.25">
      <c r="F1859" s="29"/>
    </row>
    <row r="1860" spans="6:6" x14ac:dyDescent="0.25">
      <c r="F1860" s="29"/>
    </row>
    <row r="1861" spans="6:6" x14ac:dyDescent="0.25">
      <c r="F1861" s="29"/>
    </row>
    <row r="1862" spans="6:6" x14ac:dyDescent="0.25">
      <c r="F1862" s="29"/>
    </row>
    <row r="1863" spans="6:6" x14ac:dyDescent="0.25">
      <c r="F1863" s="29"/>
    </row>
    <row r="1864" spans="6:6" x14ac:dyDescent="0.25">
      <c r="F1864" s="29"/>
    </row>
    <row r="1865" spans="6:6" x14ac:dyDescent="0.25">
      <c r="F1865" s="29"/>
    </row>
    <row r="1866" spans="6:6" x14ac:dyDescent="0.25">
      <c r="F1866" s="29"/>
    </row>
    <row r="1867" spans="6:6" x14ac:dyDescent="0.25">
      <c r="F1867" s="29"/>
    </row>
    <row r="1868" spans="6:6" x14ac:dyDescent="0.25">
      <c r="F1868" s="29"/>
    </row>
    <row r="1869" spans="6:6" x14ac:dyDescent="0.25">
      <c r="F1869" s="29"/>
    </row>
    <row r="1870" spans="6:6" x14ac:dyDescent="0.25">
      <c r="F1870" s="29"/>
    </row>
    <row r="1871" spans="6:6" x14ac:dyDescent="0.25">
      <c r="F1871" s="29"/>
    </row>
    <row r="1872" spans="6:6" x14ac:dyDescent="0.25">
      <c r="F1872" s="29"/>
    </row>
    <row r="1873" spans="6:6" x14ac:dyDescent="0.25">
      <c r="F1873" s="29"/>
    </row>
    <row r="1874" spans="6:6" x14ac:dyDescent="0.25">
      <c r="F1874" s="29"/>
    </row>
    <row r="1875" spans="6:6" x14ac:dyDescent="0.25">
      <c r="F1875" s="29"/>
    </row>
    <row r="1876" spans="6:6" x14ac:dyDescent="0.25">
      <c r="F1876" s="29"/>
    </row>
    <row r="1877" spans="6:6" x14ac:dyDescent="0.25">
      <c r="F1877" s="29"/>
    </row>
    <row r="1878" spans="6:6" x14ac:dyDescent="0.25">
      <c r="F1878" s="29"/>
    </row>
    <row r="1879" spans="6:6" x14ac:dyDescent="0.25">
      <c r="F1879" s="29"/>
    </row>
    <row r="1880" spans="6:6" x14ac:dyDescent="0.25">
      <c r="F1880" s="29"/>
    </row>
    <row r="1881" spans="6:6" x14ac:dyDescent="0.25">
      <c r="F1881" s="29"/>
    </row>
    <row r="1882" spans="6:6" x14ac:dyDescent="0.25">
      <c r="F1882" s="29"/>
    </row>
    <row r="1883" spans="6:6" x14ac:dyDescent="0.25">
      <c r="F1883" s="29"/>
    </row>
    <row r="1884" spans="6:6" x14ac:dyDescent="0.25">
      <c r="F1884" s="29"/>
    </row>
    <row r="1885" spans="6:6" x14ac:dyDescent="0.25">
      <c r="F1885" s="29"/>
    </row>
    <row r="1886" spans="6:6" x14ac:dyDescent="0.25">
      <c r="F1886" s="29"/>
    </row>
    <row r="1887" spans="6:6" x14ac:dyDescent="0.25">
      <c r="F1887" s="29"/>
    </row>
    <row r="1888" spans="6:6" x14ac:dyDescent="0.25">
      <c r="F1888" s="29"/>
    </row>
    <row r="1889" spans="6:6" x14ac:dyDescent="0.25">
      <c r="F1889" s="29"/>
    </row>
    <row r="1890" spans="6:6" x14ac:dyDescent="0.25">
      <c r="F1890" s="29"/>
    </row>
    <row r="1891" spans="6:6" x14ac:dyDescent="0.25">
      <c r="F1891" s="29"/>
    </row>
    <row r="1892" spans="6:6" x14ac:dyDescent="0.25">
      <c r="F1892" s="29"/>
    </row>
    <row r="1893" spans="6:6" x14ac:dyDescent="0.25">
      <c r="F1893" s="29"/>
    </row>
    <row r="1894" spans="6:6" x14ac:dyDescent="0.25">
      <c r="F1894" s="29"/>
    </row>
    <row r="1895" spans="6:6" x14ac:dyDescent="0.25">
      <c r="F1895" s="29"/>
    </row>
    <row r="1896" spans="6:6" x14ac:dyDescent="0.25">
      <c r="F1896" s="29"/>
    </row>
    <row r="1897" spans="6:6" x14ac:dyDescent="0.25">
      <c r="F1897" s="29"/>
    </row>
    <row r="1898" spans="6:6" x14ac:dyDescent="0.25">
      <c r="F1898" s="29"/>
    </row>
    <row r="1899" spans="6:6" x14ac:dyDescent="0.25">
      <c r="F1899" s="29"/>
    </row>
    <row r="1900" spans="6:6" x14ac:dyDescent="0.25">
      <c r="F1900" s="29"/>
    </row>
    <row r="1901" spans="6:6" x14ac:dyDescent="0.25">
      <c r="F1901" s="29"/>
    </row>
    <row r="1902" spans="6:6" x14ac:dyDescent="0.25">
      <c r="F1902" s="29"/>
    </row>
    <row r="1903" spans="6:6" x14ac:dyDescent="0.25">
      <c r="F1903" s="29"/>
    </row>
    <row r="1904" spans="6:6" x14ac:dyDescent="0.25">
      <c r="F1904" s="29"/>
    </row>
    <row r="1905" spans="6:6" x14ac:dyDescent="0.25">
      <c r="F1905" s="29"/>
    </row>
    <row r="1906" spans="6:6" x14ac:dyDescent="0.25">
      <c r="F1906" s="29"/>
    </row>
    <row r="1907" spans="6:6" x14ac:dyDescent="0.25">
      <c r="F1907" s="29"/>
    </row>
    <row r="1908" spans="6:6" x14ac:dyDescent="0.25">
      <c r="F1908" s="29"/>
    </row>
    <row r="1909" spans="6:6" x14ac:dyDescent="0.25">
      <c r="F1909" s="29"/>
    </row>
    <row r="1910" spans="6:6" x14ac:dyDescent="0.25">
      <c r="F1910" s="29"/>
    </row>
    <row r="1911" spans="6:6" x14ac:dyDescent="0.25">
      <c r="F1911" s="29"/>
    </row>
    <row r="1912" spans="6:6" x14ac:dyDescent="0.25">
      <c r="F1912" s="29"/>
    </row>
    <row r="1913" spans="6:6" x14ac:dyDescent="0.25">
      <c r="F1913" s="29"/>
    </row>
    <row r="1914" spans="6:6" x14ac:dyDescent="0.25">
      <c r="F1914" s="29"/>
    </row>
    <row r="1915" spans="6:6" x14ac:dyDescent="0.25">
      <c r="F1915" s="29"/>
    </row>
    <row r="1916" spans="6:6" x14ac:dyDescent="0.25">
      <c r="F1916" s="29"/>
    </row>
    <row r="1917" spans="6:6" x14ac:dyDescent="0.25">
      <c r="F1917" s="29"/>
    </row>
    <row r="1918" spans="6:6" x14ac:dyDescent="0.25">
      <c r="F1918" s="29"/>
    </row>
    <row r="1919" spans="6:6" x14ac:dyDescent="0.25">
      <c r="F1919" s="29"/>
    </row>
    <row r="1920" spans="6:6" x14ac:dyDescent="0.25">
      <c r="F1920" s="29"/>
    </row>
    <row r="1921" spans="6:6" x14ac:dyDescent="0.25">
      <c r="F1921" s="29"/>
    </row>
    <row r="1922" spans="6:6" x14ac:dyDescent="0.25">
      <c r="F1922" s="29"/>
    </row>
    <row r="1923" spans="6:6" x14ac:dyDescent="0.25">
      <c r="F1923" s="29"/>
    </row>
    <row r="1924" spans="6:6" x14ac:dyDescent="0.25">
      <c r="F1924" s="29"/>
    </row>
    <row r="1925" spans="6:6" x14ac:dyDescent="0.25">
      <c r="F1925" s="29"/>
    </row>
    <row r="1926" spans="6:6" x14ac:dyDescent="0.25">
      <c r="F1926" s="29"/>
    </row>
    <row r="1927" spans="6:6" x14ac:dyDescent="0.25">
      <c r="F1927" s="29"/>
    </row>
    <row r="1928" spans="6:6" x14ac:dyDescent="0.25">
      <c r="F1928" s="29"/>
    </row>
    <row r="1929" spans="6:6" x14ac:dyDescent="0.25">
      <c r="F1929" s="29"/>
    </row>
    <row r="1930" spans="6:6" x14ac:dyDescent="0.25">
      <c r="F1930" s="29"/>
    </row>
    <row r="1931" spans="6:6" x14ac:dyDescent="0.25">
      <c r="F1931" s="29"/>
    </row>
    <row r="1932" spans="6:6" x14ac:dyDescent="0.25">
      <c r="F1932" s="29"/>
    </row>
    <row r="1933" spans="6:6" x14ac:dyDescent="0.25">
      <c r="F1933" s="29"/>
    </row>
    <row r="1934" spans="6:6" x14ac:dyDescent="0.25">
      <c r="F1934" s="29"/>
    </row>
    <row r="1935" spans="6:6" x14ac:dyDescent="0.25">
      <c r="F1935" s="29"/>
    </row>
    <row r="1936" spans="6:6" x14ac:dyDescent="0.25">
      <c r="F1936" s="29"/>
    </row>
    <row r="1937" spans="6:6" x14ac:dyDescent="0.25">
      <c r="F1937" s="29"/>
    </row>
    <row r="1938" spans="6:6" x14ac:dyDescent="0.25">
      <c r="F1938" s="29"/>
    </row>
    <row r="1939" spans="6:6" x14ac:dyDescent="0.25">
      <c r="F1939" s="29"/>
    </row>
    <row r="1940" spans="6:6" x14ac:dyDescent="0.25">
      <c r="F1940" s="29"/>
    </row>
    <row r="1941" spans="6:6" x14ac:dyDescent="0.25">
      <c r="F1941" s="29"/>
    </row>
    <row r="1942" spans="6:6" x14ac:dyDescent="0.25">
      <c r="F1942" s="29"/>
    </row>
    <row r="1943" spans="6:6" x14ac:dyDescent="0.25">
      <c r="F1943" s="29"/>
    </row>
    <row r="1944" spans="6:6" x14ac:dyDescent="0.25">
      <c r="F1944" s="29"/>
    </row>
    <row r="1945" spans="6:6" x14ac:dyDescent="0.25">
      <c r="F1945" s="29"/>
    </row>
    <row r="1946" spans="6:6" x14ac:dyDescent="0.25">
      <c r="F1946" s="29"/>
    </row>
    <row r="1947" spans="6:6" x14ac:dyDescent="0.25">
      <c r="F1947" s="29"/>
    </row>
    <row r="1948" spans="6:6" x14ac:dyDescent="0.25">
      <c r="F1948" s="29"/>
    </row>
    <row r="1949" spans="6:6" x14ac:dyDescent="0.25">
      <c r="F1949" s="29"/>
    </row>
    <row r="1950" spans="6:6" x14ac:dyDescent="0.25">
      <c r="F1950" s="29"/>
    </row>
    <row r="1951" spans="6:6" x14ac:dyDescent="0.25">
      <c r="F1951" s="29"/>
    </row>
    <row r="1952" spans="6:6" x14ac:dyDescent="0.25">
      <c r="F1952" s="29"/>
    </row>
    <row r="1953" spans="6:6" x14ac:dyDescent="0.25">
      <c r="F1953" s="29"/>
    </row>
    <row r="1954" spans="6:6" x14ac:dyDescent="0.25">
      <c r="F1954" s="29"/>
    </row>
    <row r="1955" spans="6:6" x14ac:dyDescent="0.25">
      <c r="F1955" s="29"/>
    </row>
    <row r="1956" spans="6:6" x14ac:dyDescent="0.25">
      <c r="F1956" s="29"/>
    </row>
    <row r="1957" spans="6:6" x14ac:dyDescent="0.25">
      <c r="F1957" s="29"/>
    </row>
    <row r="1958" spans="6:6" x14ac:dyDescent="0.25">
      <c r="F1958" s="29"/>
    </row>
    <row r="1959" spans="6:6" x14ac:dyDescent="0.25">
      <c r="F1959" s="29"/>
    </row>
    <row r="1960" spans="6:6" x14ac:dyDescent="0.25">
      <c r="F1960" s="29"/>
    </row>
    <row r="1961" spans="6:6" x14ac:dyDescent="0.25">
      <c r="F1961" s="29"/>
    </row>
    <row r="1962" spans="6:6" x14ac:dyDescent="0.25">
      <c r="F1962" s="29"/>
    </row>
    <row r="1963" spans="6:6" x14ac:dyDescent="0.25">
      <c r="F1963" s="29"/>
    </row>
    <row r="1964" spans="6:6" x14ac:dyDescent="0.25">
      <c r="F1964" s="29"/>
    </row>
    <row r="1965" spans="6:6" x14ac:dyDescent="0.25">
      <c r="F1965" s="29"/>
    </row>
    <row r="1966" spans="6:6" x14ac:dyDescent="0.25">
      <c r="F1966" s="29"/>
    </row>
    <row r="1967" spans="6:6" x14ac:dyDescent="0.25">
      <c r="F1967" s="29"/>
    </row>
    <row r="1968" spans="6:6" x14ac:dyDescent="0.25">
      <c r="F1968" s="29"/>
    </row>
    <row r="1969" spans="6:6" x14ac:dyDescent="0.25">
      <c r="F1969" s="29"/>
    </row>
    <row r="1970" spans="6:6" x14ac:dyDescent="0.25">
      <c r="F1970" s="29"/>
    </row>
    <row r="1971" spans="6:6" x14ac:dyDescent="0.25">
      <c r="F1971" s="29"/>
    </row>
    <row r="1972" spans="6:6" x14ac:dyDescent="0.25">
      <c r="F1972" s="29"/>
    </row>
    <row r="1973" spans="6:6" x14ac:dyDescent="0.25">
      <c r="F1973" s="29"/>
    </row>
    <row r="1974" spans="6:6" x14ac:dyDescent="0.25">
      <c r="F1974" s="29"/>
    </row>
    <row r="1975" spans="6:6" x14ac:dyDescent="0.25">
      <c r="F1975" s="29"/>
    </row>
    <row r="1976" spans="6:6" x14ac:dyDescent="0.25">
      <c r="F1976" s="29"/>
    </row>
    <row r="1977" spans="6:6" x14ac:dyDescent="0.25">
      <c r="F1977" s="29"/>
    </row>
    <row r="1978" spans="6:6" x14ac:dyDescent="0.25">
      <c r="F1978" s="29"/>
    </row>
    <row r="1979" spans="6:6" x14ac:dyDescent="0.25">
      <c r="F1979" s="29"/>
    </row>
    <row r="1980" spans="6:6" x14ac:dyDescent="0.25">
      <c r="F1980" s="29"/>
    </row>
    <row r="1981" spans="6:6" x14ac:dyDescent="0.25">
      <c r="F1981" s="29"/>
    </row>
    <row r="1982" spans="6:6" x14ac:dyDescent="0.25">
      <c r="F1982" s="29"/>
    </row>
    <row r="1983" spans="6:6" x14ac:dyDescent="0.25">
      <c r="F1983" s="29"/>
    </row>
    <row r="1984" spans="6:6" x14ac:dyDescent="0.25">
      <c r="F1984" s="29"/>
    </row>
    <row r="1985" spans="6:6" x14ac:dyDescent="0.25">
      <c r="F1985" s="29"/>
    </row>
    <row r="1986" spans="6:6" x14ac:dyDescent="0.25">
      <c r="F1986" s="29"/>
    </row>
    <row r="1987" spans="6:6" x14ac:dyDescent="0.25">
      <c r="F1987" s="29"/>
    </row>
    <row r="1988" spans="6:6" x14ac:dyDescent="0.25">
      <c r="F1988" s="29"/>
    </row>
    <row r="1989" spans="6:6" x14ac:dyDescent="0.25">
      <c r="F1989" s="29"/>
    </row>
    <row r="1990" spans="6:6" x14ac:dyDescent="0.25">
      <c r="F1990" s="29"/>
    </row>
    <row r="1991" spans="6:6" x14ac:dyDescent="0.25">
      <c r="F1991" s="29"/>
    </row>
    <row r="1992" spans="6:6" x14ac:dyDescent="0.25">
      <c r="F1992" s="29"/>
    </row>
    <row r="1993" spans="6:6" x14ac:dyDescent="0.25">
      <c r="F1993" s="29"/>
    </row>
    <row r="1994" spans="6:6" x14ac:dyDescent="0.25">
      <c r="F1994" s="29"/>
    </row>
    <row r="1995" spans="6:6" x14ac:dyDescent="0.25">
      <c r="F1995" s="29"/>
    </row>
    <row r="1996" spans="6:6" x14ac:dyDescent="0.25">
      <c r="F1996" s="29"/>
    </row>
    <row r="1997" spans="6:6" x14ac:dyDescent="0.25">
      <c r="F1997" s="29"/>
    </row>
    <row r="1998" spans="6:6" x14ac:dyDescent="0.25">
      <c r="F1998" s="29"/>
    </row>
    <row r="1999" spans="6:6" x14ac:dyDescent="0.25">
      <c r="F1999" s="29"/>
    </row>
    <row r="2000" spans="6:6" x14ac:dyDescent="0.25">
      <c r="F2000" s="29"/>
    </row>
    <row r="2001" spans="6:6" x14ac:dyDescent="0.25">
      <c r="F2001" s="29"/>
    </row>
    <row r="2002" spans="6:6" x14ac:dyDescent="0.25">
      <c r="F2002" s="29"/>
    </row>
    <row r="2003" spans="6:6" x14ac:dyDescent="0.25">
      <c r="F2003" s="29"/>
    </row>
    <row r="2004" spans="6:6" x14ac:dyDescent="0.25">
      <c r="F2004" s="29"/>
    </row>
    <row r="2005" spans="6:6" x14ac:dyDescent="0.25">
      <c r="F2005" s="29"/>
    </row>
    <row r="2006" spans="6:6" x14ac:dyDescent="0.25">
      <c r="F2006" s="29"/>
    </row>
    <row r="2007" spans="6:6" x14ac:dyDescent="0.25">
      <c r="F2007" s="29"/>
    </row>
    <row r="2008" spans="6:6" x14ac:dyDescent="0.25">
      <c r="F2008" s="29"/>
    </row>
    <row r="2009" spans="6:6" x14ac:dyDescent="0.25">
      <c r="F2009" s="29"/>
    </row>
    <row r="2010" spans="6:6" x14ac:dyDescent="0.25">
      <c r="F2010" s="29"/>
    </row>
    <row r="2011" spans="6:6" x14ac:dyDescent="0.25">
      <c r="F2011" s="29"/>
    </row>
    <row r="2012" spans="6:6" x14ac:dyDescent="0.25">
      <c r="F2012" s="29"/>
    </row>
    <row r="2013" spans="6:6" x14ac:dyDescent="0.25">
      <c r="F2013" s="29"/>
    </row>
    <row r="2014" spans="6:6" x14ac:dyDescent="0.25">
      <c r="F2014" s="29"/>
    </row>
    <row r="2015" spans="6:6" x14ac:dyDescent="0.25">
      <c r="F2015" s="29"/>
    </row>
    <row r="2016" spans="6:6" x14ac:dyDescent="0.25">
      <c r="F2016" s="29"/>
    </row>
    <row r="2017" spans="6:6" x14ac:dyDescent="0.25">
      <c r="F2017" s="29"/>
    </row>
    <row r="2018" spans="6:6" x14ac:dyDescent="0.25">
      <c r="F2018" s="29"/>
    </row>
    <row r="2019" spans="6:6" x14ac:dyDescent="0.25">
      <c r="F2019" s="29"/>
    </row>
    <row r="2020" spans="6:6" x14ac:dyDescent="0.25">
      <c r="F2020" s="29"/>
    </row>
    <row r="2021" spans="6:6" x14ac:dyDescent="0.25">
      <c r="F2021" s="29"/>
    </row>
    <row r="2022" spans="6:6" x14ac:dyDescent="0.25">
      <c r="F2022" s="29"/>
    </row>
    <row r="2023" spans="6:6" x14ac:dyDescent="0.25">
      <c r="F2023" s="29"/>
    </row>
    <row r="2024" spans="6:6" x14ac:dyDescent="0.25">
      <c r="F2024" s="29"/>
    </row>
    <row r="2025" spans="6:6" x14ac:dyDescent="0.25">
      <c r="F2025" s="29"/>
    </row>
    <row r="2026" spans="6:6" x14ac:dyDescent="0.25">
      <c r="F2026" s="29"/>
    </row>
    <row r="2027" spans="6:6" x14ac:dyDescent="0.25">
      <c r="F2027" s="29"/>
    </row>
    <row r="2028" spans="6:6" x14ac:dyDescent="0.25">
      <c r="F2028" s="29"/>
    </row>
    <row r="2029" spans="6:6" x14ac:dyDescent="0.25">
      <c r="F2029" s="29"/>
    </row>
    <row r="2030" spans="6:6" x14ac:dyDescent="0.25">
      <c r="F2030" s="29"/>
    </row>
    <row r="2031" spans="6:6" x14ac:dyDescent="0.25">
      <c r="F2031" s="29"/>
    </row>
    <row r="2032" spans="6:6" x14ac:dyDescent="0.25">
      <c r="F2032" s="29"/>
    </row>
    <row r="2033" spans="6:6" x14ac:dyDescent="0.25">
      <c r="F2033" s="29"/>
    </row>
    <row r="2034" spans="6:6" x14ac:dyDescent="0.25">
      <c r="F2034" s="29"/>
    </row>
    <row r="2035" spans="6:6" x14ac:dyDescent="0.25">
      <c r="F2035" s="29"/>
    </row>
    <row r="2036" spans="6:6" x14ac:dyDescent="0.25">
      <c r="F2036" s="29"/>
    </row>
    <row r="2037" spans="6:6" x14ac:dyDescent="0.25">
      <c r="F2037" s="29"/>
    </row>
    <row r="2038" spans="6:6" x14ac:dyDescent="0.25">
      <c r="F2038" s="29"/>
    </row>
    <row r="2039" spans="6:6" x14ac:dyDescent="0.25">
      <c r="F2039" s="29"/>
    </row>
    <row r="2040" spans="6:6" x14ac:dyDescent="0.25">
      <c r="F2040" s="29"/>
    </row>
    <row r="2041" spans="6:6" x14ac:dyDescent="0.25">
      <c r="F2041" s="29"/>
    </row>
    <row r="2042" spans="6:6" x14ac:dyDescent="0.25">
      <c r="F2042" s="29"/>
    </row>
    <row r="2043" spans="6:6" x14ac:dyDescent="0.25">
      <c r="F2043" s="29"/>
    </row>
    <row r="2044" spans="6:6" x14ac:dyDescent="0.25">
      <c r="F2044" s="29"/>
    </row>
    <row r="2045" spans="6:6" x14ac:dyDescent="0.25">
      <c r="F2045" s="29"/>
    </row>
    <row r="2046" spans="6:6" x14ac:dyDescent="0.25">
      <c r="F2046" s="29"/>
    </row>
    <row r="2047" spans="6:6" x14ac:dyDescent="0.25">
      <c r="F2047" s="29"/>
    </row>
    <row r="2048" spans="6:6" x14ac:dyDescent="0.25">
      <c r="F2048" s="29"/>
    </row>
    <row r="2049" spans="6:6" x14ac:dyDescent="0.25">
      <c r="F2049" s="29"/>
    </row>
    <row r="2050" spans="6:6" x14ac:dyDescent="0.25">
      <c r="F2050" s="29"/>
    </row>
    <row r="2051" spans="6:6" x14ac:dyDescent="0.25">
      <c r="F2051" s="29"/>
    </row>
    <row r="2052" spans="6:6" x14ac:dyDescent="0.25">
      <c r="F2052" s="29"/>
    </row>
    <row r="2053" spans="6:6" x14ac:dyDescent="0.25">
      <c r="F2053" s="29"/>
    </row>
    <row r="2054" spans="6:6" x14ac:dyDescent="0.25">
      <c r="F2054" s="29"/>
    </row>
    <row r="2055" spans="6:6" x14ac:dyDescent="0.25">
      <c r="F2055" s="29"/>
    </row>
    <row r="2056" spans="6:6" x14ac:dyDescent="0.25">
      <c r="F2056" s="29"/>
    </row>
    <row r="2057" spans="6:6" x14ac:dyDescent="0.25">
      <c r="F2057" s="29"/>
    </row>
    <row r="2058" spans="6:6" x14ac:dyDescent="0.25">
      <c r="F2058" s="29"/>
    </row>
    <row r="2059" spans="6:6" x14ac:dyDescent="0.25">
      <c r="F2059" s="29"/>
    </row>
    <row r="2060" spans="6:6" x14ac:dyDescent="0.25">
      <c r="F2060" s="29"/>
    </row>
    <row r="2061" spans="6:6" x14ac:dyDescent="0.25">
      <c r="F2061" s="29"/>
    </row>
    <row r="2062" spans="6:6" x14ac:dyDescent="0.25">
      <c r="F2062" s="29"/>
    </row>
    <row r="2063" spans="6:6" x14ac:dyDescent="0.25">
      <c r="F2063" s="29"/>
    </row>
    <row r="2064" spans="6:6" x14ac:dyDescent="0.25">
      <c r="F2064" s="29"/>
    </row>
    <row r="2065" spans="6:6" x14ac:dyDescent="0.25">
      <c r="F2065" s="29"/>
    </row>
    <row r="2066" spans="6:6" x14ac:dyDescent="0.25">
      <c r="F2066" s="29"/>
    </row>
    <row r="2067" spans="6:6" x14ac:dyDescent="0.25">
      <c r="F2067" s="29"/>
    </row>
    <row r="2068" spans="6:6" x14ac:dyDescent="0.25">
      <c r="F2068" s="29"/>
    </row>
    <row r="2069" spans="6:6" x14ac:dyDescent="0.25">
      <c r="F2069" s="29"/>
    </row>
    <row r="2070" spans="6:6" x14ac:dyDescent="0.25">
      <c r="F2070" s="29"/>
    </row>
    <row r="2071" spans="6:6" x14ac:dyDescent="0.25">
      <c r="F2071" s="29"/>
    </row>
    <row r="2072" spans="6:6" x14ac:dyDescent="0.25">
      <c r="F2072" s="29"/>
    </row>
    <row r="2073" spans="6:6" x14ac:dyDescent="0.25">
      <c r="F2073" s="29"/>
    </row>
    <row r="2074" spans="6:6" x14ac:dyDescent="0.25">
      <c r="F2074" s="29"/>
    </row>
    <row r="2075" spans="6:6" x14ac:dyDescent="0.25">
      <c r="F2075" s="29"/>
    </row>
    <row r="2076" spans="6:6" x14ac:dyDescent="0.25">
      <c r="F2076" s="29"/>
    </row>
    <row r="2077" spans="6:6" x14ac:dyDescent="0.25">
      <c r="F2077" s="29"/>
    </row>
    <row r="2078" spans="6:6" x14ac:dyDescent="0.25">
      <c r="F2078" s="29"/>
    </row>
    <row r="2079" spans="6:6" x14ac:dyDescent="0.25">
      <c r="F2079" s="29"/>
    </row>
    <row r="2080" spans="6:6" x14ac:dyDescent="0.25">
      <c r="F2080" s="29"/>
    </row>
    <row r="2081" spans="6:6" x14ac:dyDescent="0.25">
      <c r="F2081" s="29"/>
    </row>
    <row r="2082" spans="6:6" x14ac:dyDescent="0.25">
      <c r="F2082" s="29"/>
    </row>
    <row r="2083" spans="6:6" x14ac:dyDescent="0.25">
      <c r="F2083" s="29"/>
    </row>
    <row r="2084" spans="6:6" x14ac:dyDescent="0.25">
      <c r="F2084" s="29"/>
    </row>
    <row r="2085" spans="6:6" x14ac:dyDescent="0.25">
      <c r="F2085" s="29"/>
    </row>
    <row r="2086" spans="6:6" x14ac:dyDescent="0.25">
      <c r="F2086" s="29"/>
    </row>
    <row r="2087" spans="6:6" x14ac:dyDescent="0.25">
      <c r="F2087" s="29"/>
    </row>
    <row r="2088" spans="6:6" x14ac:dyDescent="0.25">
      <c r="F2088" s="29"/>
    </row>
    <row r="2089" spans="6:6" x14ac:dyDescent="0.25">
      <c r="F2089" s="29"/>
    </row>
    <row r="2090" spans="6:6" x14ac:dyDescent="0.25">
      <c r="F2090" s="29"/>
    </row>
    <row r="2091" spans="6:6" x14ac:dyDescent="0.25">
      <c r="F2091" s="29"/>
    </row>
    <row r="2092" spans="6:6" x14ac:dyDescent="0.25">
      <c r="F2092" s="29"/>
    </row>
    <row r="2093" spans="6:6" x14ac:dyDescent="0.25">
      <c r="F2093" s="29"/>
    </row>
    <row r="2094" spans="6:6" x14ac:dyDescent="0.25">
      <c r="F2094" s="29"/>
    </row>
    <row r="2095" spans="6:6" x14ac:dyDescent="0.25">
      <c r="F2095" s="29"/>
    </row>
    <row r="2096" spans="6:6" x14ac:dyDescent="0.25">
      <c r="F2096" s="29"/>
    </row>
    <row r="2097" spans="6:6" x14ac:dyDescent="0.25">
      <c r="F2097" s="29"/>
    </row>
    <row r="2098" spans="6:6" x14ac:dyDescent="0.25">
      <c r="F2098" s="29"/>
    </row>
    <row r="2099" spans="6:6" x14ac:dyDescent="0.25">
      <c r="F2099" s="29"/>
    </row>
    <row r="2100" spans="6:6" x14ac:dyDescent="0.25">
      <c r="F2100" s="29"/>
    </row>
    <row r="2101" spans="6:6" x14ac:dyDescent="0.25">
      <c r="F2101" s="29"/>
    </row>
    <row r="2102" spans="6:6" x14ac:dyDescent="0.25">
      <c r="F2102" s="29"/>
    </row>
    <row r="2103" spans="6:6" x14ac:dyDescent="0.25">
      <c r="F2103" s="29"/>
    </row>
    <row r="2104" spans="6:6" x14ac:dyDescent="0.25">
      <c r="F2104" s="29"/>
    </row>
    <row r="2105" spans="6:6" x14ac:dyDescent="0.25">
      <c r="F2105" s="29"/>
    </row>
    <row r="2106" spans="6:6" x14ac:dyDescent="0.25">
      <c r="F2106" s="29"/>
    </row>
    <row r="2107" spans="6:6" x14ac:dyDescent="0.25">
      <c r="F2107" s="29"/>
    </row>
    <row r="2108" spans="6:6" x14ac:dyDescent="0.25">
      <c r="F2108" s="29"/>
    </row>
    <row r="2109" spans="6:6" x14ac:dyDescent="0.25">
      <c r="F2109" s="29"/>
    </row>
    <row r="2110" spans="6:6" x14ac:dyDescent="0.25">
      <c r="F2110" s="29"/>
    </row>
    <row r="2111" spans="6:6" x14ac:dyDescent="0.25">
      <c r="F2111" s="29"/>
    </row>
    <row r="2112" spans="6:6" x14ac:dyDescent="0.25">
      <c r="F2112" s="29"/>
    </row>
    <row r="2113" spans="6:6" x14ac:dyDescent="0.25">
      <c r="F2113" s="29"/>
    </row>
    <row r="2114" spans="6:6" x14ac:dyDescent="0.25">
      <c r="F2114" s="29"/>
    </row>
    <row r="2115" spans="6:6" x14ac:dyDescent="0.25">
      <c r="F2115" s="29"/>
    </row>
    <row r="2116" spans="6:6" x14ac:dyDescent="0.25">
      <c r="F2116" s="29"/>
    </row>
    <row r="2117" spans="6:6" x14ac:dyDescent="0.25">
      <c r="F2117" s="29"/>
    </row>
    <row r="2118" spans="6:6" x14ac:dyDescent="0.25">
      <c r="F2118" s="29"/>
    </row>
    <row r="2119" spans="6:6" x14ac:dyDescent="0.25">
      <c r="F2119" s="29"/>
    </row>
    <row r="2120" spans="6:6" x14ac:dyDescent="0.25">
      <c r="F2120" s="29"/>
    </row>
    <row r="2121" spans="6:6" x14ac:dyDescent="0.25">
      <c r="F2121" s="29"/>
    </row>
    <row r="2122" spans="6:6" x14ac:dyDescent="0.25">
      <c r="F2122" s="29"/>
    </row>
    <row r="2123" spans="6:6" x14ac:dyDescent="0.25">
      <c r="F2123" s="29"/>
    </row>
    <row r="2124" spans="6:6" x14ac:dyDescent="0.25">
      <c r="F2124" s="29"/>
    </row>
    <row r="2125" spans="6:6" x14ac:dyDescent="0.25">
      <c r="F2125" s="29"/>
    </row>
    <row r="2126" spans="6:6" x14ac:dyDescent="0.25">
      <c r="F2126" s="29"/>
    </row>
    <row r="2127" spans="6:6" x14ac:dyDescent="0.25">
      <c r="F2127" s="29"/>
    </row>
    <row r="2128" spans="6:6" x14ac:dyDescent="0.25">
      <c r="F2128" s="29"/>
    </row>
    <row r="2129" spans="6:6" x14ac:dyDescent="0.25">
      <c r="F2129" s="29"/>
    </row>
    <row r="2130" spans="6:6" x14ac:dyDescent="0.25">
      <c r="F2130" s="29"/>
    </row>
    <row r="2131" spans="6:6" x14ac:dyDescent="0.25">
      <c r="F2131" s="29"/>
    </row>
    <row r="2132" spans="6:6" x14ac:dyDescent="0.25">
      <c r="F2132" s="29"/>
    </row>
    <row r="2133" spans="6:6" x14ac:dyDescent="0.25">
      <c r="F2133" s="29"/>
    </row>
    <row r="2134" spans="6:6" x14ac:dyDescent="0.25">
      <c r="F2134" s="29"/>
    </row>
    <row r="2135" spans="6:6" x14ac:dyDescent="0.25">
      <c r="F2135" s="29"/>
    </row>
    <row r="2136" spans="6:6" x14ac:dyDescent="0.25">
      <c r="F2136" s="29"/>
    </row>
    <row r="2137" spans="6:6" x14ac:dyDescent="0.25">
      <c r="F2137" s="29"/>
    </row>
    <row r="2138" spans="6:6" x14ac:dyDescent="0.25">
      <c r="F2138" s="29"/>
    </row>
    <row r="2139" spans="6:6" x14ac:dyDescent="0.25">
      <c r="F2139" s="29"/>
    </row>
    <row r="2140" spans="6:6" x14ac:dyDescent="0.25">
      <c r="F2140" s="29"/>
    </row>
    <row r="2141" spans="6:6" x14ac:dyDescent="0.25">
      <c r="F2141" s="29"/>
    </row>
    <row r="2142" spans="6:6" x14ac:dyDescent="0.25">
      <c r="F2142" s="29"/>
    </row>
    <row r="2143" spans="6:6" x14ac:dyDescent="0.25">
      <c r="F2143" s="29"/>
    </row>
    <row r="2144" spans="6:6" x14ac:dyDescent="0.25">
      <c r="F2144" s="29"/>
    </row>
    <row r="2145" spans="6:6" x14ac:dyDescent="0.25">
      <c r="F2145" s="29"/>
    </row>
    <row r="2146" spans="6:6" x14ac:dyDescent="0.25">
      <c r="F2146" s="29"/>
    </row>
    <row r="2147" spans="6:6" x14ac:dyDescent="0.25">
      <c r="F2147" s="29"/>
    </row>
    <row r="2148" spans="6:6" x14ac:dyDescent="0.25">
      <c r="F2148" s="29"/>
    </row>
    <row r="2149" spans="6:6" x14ac:dyDescent="0.25">
      <c r="F2149" s="29"/>
    </row>
    <row r="2150" spans="6:6" x14ac:dyDescent="0.25">
      <c r="F2150" s="29"/>
    </row>
    <row r="2151" spans="6:6" x14ac:dyDescent="0.25">
      <c r="F2151" s="29"/>
    </row>
    <row r="2152" spans="6:6" x14ac:dyDescent="0.25">
      <c r="F2152" s="29"/>
    </row>
    <row r="2153" spans="6:6" x14ac:dyDescent="0.25">
      <c r="F2153" s="29"/>
    </row>
    <row r="2154" spans="6:6" x14ac:dyDescent="0.25">
      <c r="F2154" s="29"/>
    </row>
    <row r="2155" spans="6:6" x14ac:dyDescent="0.25">
      <c r="F2155" s="29"/>
    </row>
    <row r="2156" spans="6:6" x14ac:dyDescent="0.25">
      <c r="F2156" s="29"/>
    </row>
    <row r="2157" spans="6:6" x14ac:dyDescent="0.25">
      <c r="F2157" s="29"/>
    </row>
    <row r="2158" spans="6:6" x14ac:dyDescent="0.25">
      <c r="F2158" s="29"/>
    </row>
    <row r="2159" spans="6:6" x14ac:dyDescent="0.25">
      <c r="F2159" s="29"/>
    </row>
    <row r="2160" spans="6:6" x14ac:dyDescent="0.25">
      <c r="F2160" s="29"/>
    </row>
    <row r="2161" spans="6:6" x14ac:dyDescent="0.25">
      <c r="F2161" s="29"/>
    </row>
    <row r="2162" spans="6:6" x14ac:dyDescent="0.25">
      <c r="F2162" s="29"/>
    </row>
    <row r="2163" spans="6:6" x14ac:dyDescent="0.25">
      <c r="F2163" s="29"/>
    </row>
    <row r="2164" spans="6:6" x14ac:dyDescent="0.25">
      <c r="F2164" s="29"/>
    </row>
    <row r="2165" spans="6:6" x14ac:dyDescent="0.25">
      <c r="F2165" s="29"/>
    </row>
    <row r="2166" spans="6:6" x14ac:dyDescent="0.25">
      <c r="F2166" s="29"/>
    </row>
    <row r="2167" spans="6:6" x14ac:dyDescent="0.25">
      <c r="F2167" s="29"/>
    </row>
    <row r="2168" spans="6:6" x14ac:dyDescent="0.25">
      <c r="F2168" s="29"/>
    </row>
    <row r="2169" spans="6:6" x14ac:dyDescent="0.25">
      <c r="F2169" s="29"/>
    </row>
    <row r="2170" spans="6:6" x14ac:dyDescent="0.25">
      <c r="F2170" s="29"/>
    </row>
    <row r="2171" spans="6:6" x14ac:dyDescent="0.25">
      <c r="F2171" s="29"/>
    </row>
    <row r="2172" spans="6:6" x14ac:dyDescent="0.25">
      <c r="F2172" s="29"/>
    </row>
    <row r="2173" spans="6:6" x14ac:dyDescent="0.25">
      <c r="F2173" s="29"/>
    </row>
    <row r="2174" spans="6:6" x14ac:dyDescent="0.25">
      <c r="F2174" s="29"/>
    </row>
    <row r="2175" spans="6:6" x14ac:dyDescent="0.25">
      <c r="F2175" s="29"/>
    </row>
    <row r="2176" spans="6:6" x14ac:dyDescent="0.25">
      <c r="F2176" s="29"/>
    </row>
    <row r="2177" spans="6:6" x14ac:dyDescent="0.25">
      <c r="F2177" s="29"/>
    </row>
    <row r="2178" spans="6:6" x14ac:dyDescent="0.25">
      <c r="F2178" s="29"/>
    </row>
    <row r="2179" spans="6:6" x14ac:dyDescent="0.25">
      <c r="F2179" s="29"/>
    </row>
    <row r="2180" spans="6:6" x14ac:dyDescent="0.25">
      <c r="F2180" s="29"/>
    </row>
    <row r="2181" spans="6:6" x14ac:dyDescent="0.25">
      <c r="F2181" s="29"/>
    </row>
    <row r="2182" spans="6:6" x14ac:dyDescent="0.25">
      <c r="F2182" s="29"/>
    </row>
    <row r="2183" spans="6:6" x14ac:dyDescent="0.25">
      <c r="F2183" s="29"/>
    </row>
    <row r="2184" spans="6:6" x14ac:dyDescent="0.25">
      <c r="F2184" s="29"/>
    </row>
    <row r="2185" spans="6:6" x14ac:dyDescent="0.25">
      <c r="F2185" s="29"/>
    </row>
    <row r="2186" spans="6:6" x14ac:dyDescent="0.25">
      <c r="F2186" s="29"/>
    </row>
    <row r="2187" spans="6:6" x14ac:dyDescent="0.25">
      <c r="F2187" s="29"/>
    </row>
    <row r="2188" spans="6:6" x14ac:dyDescent="0.25">
      <c r="F2188" s="29"/>
    </row>
    <row r="2189" spans="6:6" x14ac:dyDescent="0.25">
      <c r="F2189" s="29"/>
    </row>
    <row r="2190" spans="6:6" x14ac:dyDescent="0.25">
      <c r="F2190" s="29"/>
    </row>
    <row r="2191" spans="6:6" x14ac:dyDescent="0.25">
      <c r="F2191" s="29"/>
    </row>
    <row r="2192" spans="6:6" x14ac:dyDescent="0.25">
      <c r="F2192" s="29"/>
    </row>
    <row r="2193" spans="6:6" x14ac:dyDescent="0.25">
      <c r="F2193" s="29"/>
    </row>
    <row r="2194" spans="6:6" x14ac:dyDescent="0.25">
      <c r="F2194" s="29"/>
    </row>
    <row r="2195" spans="6:6" x14ac:dyDescent="0.25">
      <c r="F2195" s="29"/>
    </row>
    <row r="2196" spans="6:6" x14ac:dyDescent="0.25">
      <c r="F2196" s="29"/>
    </row>
    <row r="2197" spans="6:6" x14ac:dyDescent="0.25">
      <c r="F2197" s="29"/>
    </row>
    <row r="2198" spans="6:6" x14ac:dyDescent="0.25">
      <c r="F2198" s="29"/>
    </row>
    <row r="2199" spans="6:6" x14ac:dyDescent="0.25">
      <c r="F2199" s="29"/>
    </row>
    <row r="2200" spans="6:6" x14ac:dyDescent="0.25">
      <c r="F2200" s="29"/>
    </row>
    <row r="2201" spans="6:6" x14ac:dyDescent="0.25">
      <c r="F2201" s="29"/>
    </row>
    <row r="2202" spans="6:6" x14ac:dyDescent="0.25">
      <c r="F2202" s="29"/>
    </row>
    <row r="2203" spans="6:6" x14ac:dyDescent="0.25">
      <c r="F2203" s="29"/>
    </row>
    <row r="2204" spans="6:6" x14ac:dyDescent="0.25">
      <c r="F2204" s="29"/>
    </row>
    <row r="2205" spans="6:6" x14ac:dyDescent="0.25">
      <c r="F2205" s="29"/>
    </row>
    <row r="2206" spans="6:6" x14ac:dyDescent="0.25">
      <c r="F2206" s="29"/>
    </row>
    <row r="2207" spans="6:6" x14ac:dyDescent="0.25">
      <c r="F2207" s="29"/>
    </row>
    <row r="2208" spans="6:6" x14ac:dyDescent="0.25">
      <c r="F2208" s="29"/>
    </row>
    <row r="2209" spans="6:6" x14ac:dyDescent="0.25">
      <c r="F2209" s="29"/>
    </row>
    <row r="2210" spans="6:6" x14ac:dyDescent="0.25">
      <c r="F2210" s="29"/>
    </row>
    <row r="2211" spans="6:6" x14ac:dyDescent="0.25">
      <c r="F2211" s="29"/>
    </row>
    <row r="2212" spans="6:6" x14ac:dyDescent="0.25">
      <c r="F2212" s="29"/>
    </row>
    <row r="2213" spans="6:6" x14ac:dyDescent="0.25">
      <c r="F2213" s="29"/>
    </row>
    <row r="2214" spans="6:6" x14ac:dyDescent="0.25">
      <c r="F2214" s="29"/>
    </row>
    <row r="2215" spans="6:6" x14ac:dyDescent="0.25">
      <c r="F2215" s="29"/>
    </row>
    <row r="2216" spans="6:6" x14ac:dyDescent="0.25">
      <c r="F2216" s="29"/>
    </row>
    <row r="2217" spans="6:6" x14ac:dyDescent="0.25">
      <c r="F2217" s="29"/>
    </row>
    <row r="2218" spans="6:6" x14ac:dyDescent="0.25">
      <c r="F2218" s="29"/>
    </row>
    <row r="2219" spans="6:6" x14ac:dyDescent="0.25">
      <c r="F2219" s="29"/>
    </row>
    <row r="2220" spans="6:6" x14ac:dyDescent="0.25">
      <c r="F2220" s="29"/>
    </row>
    <row r="2221" spans="6:6" x14ac:dyDescent="0.25">
      <c r="F2221" s="29"/>
    </row>
    <row r="2222" spans="6:6" x14ac:dyDescent="0.25">
      <c r="F2222" s="29"/>
    </row>
    <row r="2223" spans="6:6" x14ac:dyDescent="0.25">
      <c r="F2223" s="29"/>
    </row>
    <row r="2224" spans="6:6" x14ac:dyDescent="0.25">
      <c r="F2224" s="29"/>
    </row>
    <row r="2225" spans="6:6" x14ac:dyDescent="0.25">
      <c r="F2225" s="29"/>
    </row>
    <row r="2226" spans="6:6" x14ac:dyDescent="0.25">
      <c r="F2226" s="29"/>
    </row>
    <row r="2227" spans="6:6" x14ac:dyDescent="0.25">
      <c r="F2227" s="29"/>
    </row>
    <row r="2228" spans="6:6" x14ac:dyDescent="0.25">
      <c r="F2228" s="29"/>
    </row>
    <row r="2229" spans="6:6" x14ac:dyDescent="0.25">
      <c r="F2229" s="29"/>
    </row>
    <row r="2230" spans="6:6" x14ac:dyDescent="0.25">
      <c r="F2230" s="29"/>
    </row>
    <row r="2231" spans="6:6" x14ac:dyDescent="0.25">
      <c r="F2231" s="29"/>
    </row>
    <row r="2232" spans="6:6" x14ac:dyDescent="0.25">
      <c r="F2232" s="29"/>
    </row>
    <row r="2233" spans="6:6" x14ac:dyDescent="0.25">
      <c r="F2233" s="29"/>
    </row>
    <row r="2234" spans="6:6" x14ac:dyDescent="0.25">
      <c r="F2234" s="29"/>
    </row>
    <row r="2235" spans="6:6" x14ac:dyDescent="0.25">
      <c r="F2235" s="29"/>
    </row>
    <row r="2236" spans="6:6" x14ac:dyDescent="0.25">
      <c r="F2236" s="29"/>
    </row>
    <row r="2237" spans="6:6" x14ac:dyDescent="0.25">
      <c r="F2237" s="29"/>
    </row>
    <row r="2238" spans="6:6" x14ac:dyDescent="0.25">
      <c r="F2238" s="29"/>
    </row>
    <row r="2239" spans="6:6" x14ac:dyDescent="0.25">
      <c r="F2239" s="29"/>
    </row>
    <row r="2240" spans="6:6" x14ac:dyDescent="0.25">
      <c r="F2240" s="29"/>
    </row>
    <row r="2241" spans="6:6" x14ac:dyDescent="0.25">
      <c r="F2241" s="29"/>
    </row>
    <row r="2242" spans="6:6" x14ac:dyDescent="0.25">
      <c r="F2242" s="29"/>
    </row>
    <row r="2243" spans="6:6" x14ac:dyDescent="0.25">
      <c r="F2243" s="29"/>
    </row>
    <row r="2244" spans="6:6" x14ac:dyDescent="0.25">
      <c r="F2244" s="29"/>
    </row>
    <row r="2245" spans="6:6" x14ac:dyDescent="0.25">
      <c r="F2245" s="29"/>
    </row>
    <row r="2246" spans="6:6" x14ac:dyDescent="0.25">
      <c r="F2246" s="29"/>
    </row>
    <row r="2247" spans="6:6" x14ac:dyDescent="0.25">
      <c r="F2247" s="29"/>
    </row>
    <row r="2248" spans="6:6" x14ac:dyDescent="0.25">
      <c r="F2248" s="29"/>
    </row>
    <row r="2249" spans="6:6" x14ac:dyDescent="0.25">
      <c r="F2249" s="29"/>
    </row>
    <row r="2250" spans="6:6" x14ac:dyDescent="0.25">
      <c r="F2250" s="29"/>
    </row>
    <row r="2251" spans="6:6" x14ac:dyDescent="0.25">
      <c r="F2251" s="29"/>
    </row>
    <row r="2252" spans="6:6" x14ac:dyDescent="0.25">
      <c r="F2252" s="29"/>
    </row>
    <row r="2253" spans="6:6" x14ac:dyDescent="0.25">
      <c r="F2253" s="29"/>
    </row>
    <row r="2254" spans="6:6" x14ac:dyDescent="0.25">
      <c r="F2254" s="29"/>
    </row>
    <row r="2255" spans="6:6" x14ac:dyDescent="0.25">
      <c r="F2255" s="29"/>
    </row>
    <row r="2256" spans="6:6" x14ac:dyDescent="0.25">
      <c r="F2256" s="29"/>
    </row>
    <row r="2257" spans="6:6" x14ac:dyDescent="0.25">
      <c r="F2257" s="29"/>
    </row>
    <row r="2258" spans="6:6" x14ac:dyDescent="0.25">
      <c r="F2258" s="29"/>
    </row>
    <row r="2259" spans="6:6" x14ac:dyDescent="0.25">
      <c r="F2259" s="29"/>
    </row>
    <row r="2260" spans="6:6" x14ac:dyDescent="0.25">
      <c r="F2260" s="29"/>
    </row>
    <row r="2261" spans="6:6" x14ac:dyDescent="0.25">
      <c r="F2261" s="29"/>
    </row>
    <row r="2262" spans="6:6" x14ac:dyDescent="0.25">
      <c r="F2262" s="29"/>
    </row>
    <row r="2263" spans="6:6" x14ac:dyDescent="0.25">
      <c r="F2263" s="29"/>
    </row>
    <row r="2264" spans="6:6" x14ac:dyDescent="0.25">
      <c r="F2264" s="29"/>
    </row>
    <row r="2265" spans="6:6" x14ac:dyDescent="0.25">
      <c r="F2265" s="29"/>
    </row>
    <row r="2266" spans="6:6" x14ac:dyDescent="0.25">
      <c r="F2266" s="29"/>
    </row>
    <row r="2267" spans="6:6" x14ac:dyDescent="0.25">
      <c r="F2267" s="29"/>
    </row>
    <row r="2268" spans="6:6" x14ac:dyDescent="0.25">
      <c r="F2268" s="29"/>
    </row>
    <row r="2269" spans="6:6" x14ac:dyDescent="0.25">
      <c r="F2269" s="29"/>
    </row>
    <row r="2270" spans="6:6" x14ac:dyDescent="0.25">
      <c r="F2270" s="29"/>
    </row>
    <row r="2271" spans="6:6" x14ac:dyDescent="0.25">
      <c r="F2271" s="29"/>
    </row>
    <row r="2272" spans="6:6" x14ac:dyDescent="0.25">
      <c r="F2272" s="29"/>
    </row>
    <row r="2273" spans="6:6" x14ac:dyDescent="0.25">
      <c r="F2273" s="29"/>
    </row>
    <row r="2274" spans="6:6" x14ac:dyDescent="0.25">
      <c r="F2274" s="29"/>
    </row>
    <row r="2275" spans="6:6" x14ac:dyDescent="0.25">
      <c r="F2275" s="29"/>
    </row>
    <row r="2276" spans="6:6" x14ac:dyDescent="0.25">
      <c r="F2276" s="29"/>
    </row>
    <row r="2277" spans="6:6" x14ac:dyDescent="0.25">
      <c r="F2277" s="29"/>
    </row>
    <row r="2278" spans="6:6" x14ac:dyDescent="0.25">
      <c r="F2278" s="29"/>
    </row>
    <row r="2279" spans="6:6" x14ac:dyDescent="0.25">
      <c r="F2279" s="29"/>
    </row>
    <row r="2280" spans="6:6" x14ac:dyDescent="0.25">
      <c r="F2280" s="29"/>
    </row>
    <row r="2281" spans="6:6" x14ac:dyDescent="0.25">
      <c r="F2281" s="29"/>
    </row>
    <row r="2282" spans="6:6" x14ac:dyDescent="0.25">
      <c r="F2282" s="29"/>
    </row>
    <row r="2283" spans="6:6" x14ac:dyDescent="0.25">
      <c r="F2283" s="29"/>
    </row>
    <row r="2284" spans="6:6" x14ac:dyDescent="0.25">
      <c r="F2284" s="29"/>
    </row>
    <row r="2285" spans="6:6" x14ac:dyDescent="0.25">
      <c r="F2285" s="29"/>
    </row>
    <row r="2286" spans="6:6" x14ac:dyDescent="0.25">
      <c r="F2286" s="29"/>
    </row>
    <row r="2287" spans="6:6" x14ac:dyDescent="0.25">
      <c r="F2287" s="29"/>
    </row>
    <row r="2288" spans="6:6" x14ac:dyDescent="0.25">
      <c r="F2288" s="29"/>
    </row>
    <row r="2289" spans="6:6" x14ac:dyDescent="0.25">
      <c r="F2289" s="29"/>
    </row>
    <row r="2290" spans="6:6" x14ac:dyDescent="0.25">
      <c r="F2290" s="29"/>
    </row>
    <row r="2291" spans="6:6" x14ac:dyDescent="0.25">
      <c r="F2291" s="29"/>
    </row>
    <row r="2292" spans="6:6" x14ac:dyDescent="0.25">
      <c r="F2292" s="29"/>
    </row>
    <row r="2293" spans="6:6" x14ac:dyDescent="0.25">
      <c r="F2293" s="29"/>
    </row>
    <row r="2294" spans="6:6" x14ac:dyDescent="0.25">
      <c r="F2294" s="29"/>
    </row>
    <row r="2295" spans="6:6" x14ac:dyDescent="0.25">
      <c r="F2295" s="29"/>
    </row>
    <row r="2296" spans="6:6" x14ac:dyDescent="0.25">
      <c r="F2296" s="29"/>
    </row>
    <row r="2297" spans="6:6" x14ac:dyDescent="0.25">
      <c r="F2297" s="29"/>
    </row>
    <row r="2298" spans="6:6" x14ac:dyDescent="0.25">
      <c r="F2298" s="29"/>
    </row>
    <row r="2299" spans="6:6" x14ac:dyDescent="0.25">
      <c r="F2299" s="29"/>
    </row>
    <row r="2300" spans="6:6" x14ac:dyDescent="0.25">
      <c r="F2300" s="29"/>
    </row>
    <row r="2301" spans="6:6" x14ac:dyDescent="0.25">
      <c r="F2301" s="29"/>
    </row>
    <row r="2302" spans="6:6" x14ac:dyDescent="0.25">
      <c r="F2302" s="29"/>
    </row>
    <row r="2303" spans="6:6" x14ac:dyDescent="0.25">
      <c r="F2303" s="29"/>
    </row>
  </sheetData>
  <sortState xmlns:xlrd2="http://schemas.microsoft.com/office/spreadsheetml/2017/richdata2" ref="L4:L23">
    <sortCondition ref="L4"/>
  </sortState>
  <mergeCells count="2">
    <mergeCell ref="B22:C22"/>
    <mergeCell ref="B23:C23"/>
  </mergeCells>
  <phoneticPr fontId="2" type="noConversion"/>
  <printOptions headings="1"/>
  <pageMargins left="0.74803149606299213" right="0.74803149606299213" top="0.98425196850393704" bottom="0.98425196850393704" header="0.51181102362204722" footer="0.51181102362204722"/>
  <pageSetup paperSize="9" orientation="portrait" blackAndWhite="1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topLeftCell="A13" zoomScaleNormal="100" workbookViewId="0">
      <selection activeCell="L27" sqref="L27"/>
    </sheetView>
  </sheetViews>
  <sheetFormatPr defaultRowHeight="15.6" x14ac:dyDescent="0.25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例9-6</vt:lpstr>
      <vt:lpstr>蒙特卡洛投资风险评价模型</vt:lpstr>
      <vt:lpstr>投资回报净现值频次分布图</vt:lpstr>
    </vt:vector>
  </TitlesOfParts>
  <Company>SHUFE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ZXDENG</dc:creator>
  <cp:lastModifiedBy>yuan chen</cp:lastModifiedBy>
  <cp:lastPrinted>2012-03-03T04:42:24Z</cp:lastPrinted>
  <dcterms:created xsi:type="dcterms:W3CDTF">2003-11-17T09:37:32Z</dcterms:created>
  <dcterms:modified xsi:type="dcterms:W3CDTF">2024-05-19T03:31:14Z</dcterms:modified>
</cp:coreProperties>
</file>