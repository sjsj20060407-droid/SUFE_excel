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00" yWindow="80" windowWidth="12120" windowHeight="8780"/>
  </bookViews>
  <sheets>
    <sheet name="例8-5" sheetId="4" r:id="rId1"/>
    <sheet name="生成均匀分布的随机数模型" sheetId="1" r:id="rId2"/>
    <sheet name="均匀分布图形" sheetId="6" r:id="rId3"/>
    <sheet name="生成正态分布随机数模型" sheetId="11" r:id="rId4"/>
    <sheet name="正态分布图形" sheetId="8" r:id="rId5"/>
    <sheet name="生成离散型特定分布随机数模型" sheetId="13" r:id="rId6"/>
    <sheet name="离散分布图" sheetId="10" r:id="rId7"/>
  </sheets>
  <externalReferences>
    <externalReference r:id="rId8"/>
  </externalReferences>
  <definedNames>
    <definedName name="dataA">[1]function!$G$3:$P$12</definedName>
    <definedName name="dataB">[1]function!$G$14:$P$23</definedName>
  </definedNames>
  <calcPr calcId="144525"/>
</workbook>
</file>

<file path=xl/calcChain.xml><?xml version="1.0" encoding="utf-8"?>
<calcChain xmlns="http://schemas.openxmlformats.org/spreadsheetml/2006/main">
  <c r="M16" i="13" l="1"/>
  <c r="L16" i="13"/>
  <c r="I16" i="13"/>
  <c r="H16" i="13"/>
  <c r="O15" i="13"/>
  <c r="N15" i="13"/>
  <c r="K15" i="13"/>
  <c r="J15" i="13"/>
  <c r="G15" i="13"/>
  <c r="F15" i="13"/>
  <c r="M14" i="13"/>
  <c r="L14" i="13"/>
  <c r="I14" i="13"/>
  <c r="H14" i="13"/>
  <c r="O13" i="13"/>
  <c r="N13" i="13"/>
  <c r="K13" i="13"/>
  <c r="J13" i="13"/>
  <c r="G13" i="13"/>
  <c r="F13" i="13"/>
  <c r="M12" i="13"/>
  <c r="L12" i="13"/>
  <c r="I12" i="13"/>
  <c r="H12" i="13"/>
  <c r="O11" i="13"/>
  <c r="N11" i="13"/>
  <c r="K11" i="13"/>
  <c r="J11" i="13"/>
  <c r="G11" i="13"/>
  <c r="F11" i="13"/>
  <c r="M10" i="13"/>
  <c r="L10" i="13"/>
  <c r="I10" i="13"/>
  <c r="H10" i="13"/>
  <c r="O9" i="13"/>
  <c r="N9" i="13"/>
  <c r="K9" i="13"/>
  <c r="J9" i="13"/>
  <c r="G9" i="13"/>
  <c r="F9" i="13"/>
  <c r="M8" i="13"/>
  <c r="L8" i="13"/>
  <c r="I8" i="13"/>
  <c r="H8" i="13"/>
  <c r="O7" i="13"/>
  <c r="N7" i="13"/>
  <c r="K7" i="13"/>
  <c r="J7" i="13"/>
  <c r="G7" i="13"/>
  <c r="F7" i="13"/>
  <c r="F7" i="13" a="1"/>
  <c r="O16" i="13" s="1"/>
  <c r="H3" i="13"/>
  <c r="H4" i="13" s="1"/>
  <c r="B5" i="13"/>
  <c r="B6" i="13" s="1"/>
  <c r="B7" i="13" s="1"/>
  <c r="B8" i="13" s="1"/>
  <c r="H7" i="13" l="1"/>
  <c r="L7" i="13"/>
  <c r="F8" i="13"/>
  <c r="J8" i="13"/>
  <c r="N8" i="13"/>
  <c r="H9" i="13"/>
  <c r="L9" i="13"/>
  <c r="F10" i="13"/>
  <c r="J10" i="13"/>
  <c r="N10" i="13"/>
  <c r="H11" i="13"/>
  <c r="L11" i="13"/>
  <c r="F12" i="13"/>
  <c r="J12" i="13"/>
  <c r="N12" i="13"/>
  <c r="H13" i="13"/>
  <c r="L13" i="13"/>
  <c r="F14" i="13"/>
  <c r="J14" i="13"/>
  <c r="N14" i="13"/>
  <c r="H15" i="13"/>
  <c r="L15" i="13"/>
  <c r="F16" i="13"/>
  <c r="J16" i="13"/>
  <c r="N16" i="13"/>
  <c r="I7" i="13"/>
  <c r="M7" i="13"/>
  <c r="G8" i="13"/>
  <c r="K8" i="13"/>
  <c r="O8" i="13"/>
  <c r="I9" i="13"/>
  <c r="M9" i="13"/>
  <c r="G10" i="13"/>
  <c r="K10" i="13"/>
  <c r="O10" i="13"/>
  <c r="I11" i="13"/>
  <c r="M11" i="13"/>
  <c r="G12" i="13"/>
  <c r="K12" i="13"/>
  <c r="O12" i="13"/>
  <c r="I13" i="13"/>
  <c r="M13" i="13"/>
  <c r="G14" i="13"/>
  <c r="K14" i="13"/>
  <c r="O14" i="13"/>
  <c r="I15" i="13"/>
  <c r="M15" i="13"/>
  <c r="G16" i="13"/>
  <c r="K16" i="13"/>
  <c r="E8" i="11" a="1"/>
  <c r="E8" i="11" s="1"/>
  <c r="G8" i="11"/>
  <c r="H8" i="11"/>
  <c r="K8" i="11"/>
  <c r="L8" i="11"/>
  <c r="E9" i="11"/>
  <c r="F9" i="11"/>
  <c r="I9" i="11"/>
  <c r="J9" i="11"/>
  <c r="M9" i="11"/>
  <c r="N9" i="11"/>
  <c r="G10" i="11"/>
  <c r="H10" i="11"/>
  <c r="K10" i="11"/>
  <c r="L10" i="11"/>
  <c r="E11" i="11"/>
  <c r="F11" i="11"/>
  <c r="I11" i="11"/>
  <c r="J11" i="11"/>
  <c r="M11" i="11"/>
  <c r="N11" i="11"/>
  <c r="G12" i="11"/>
  <c r="H12" i="11"/>
  <c r="K12" i="11"/>
  <c r="L12" i="11"/>
  <c r="E13" i="11"/>
  <c r="F13" i="11"/>
  <c r="I13" i="11"/>
  <c r="J13" i="11"/>
  <c r="M13" i="11"/>
  <c r="N13" i="11"/>
  <c r="G14" i="11"/>
  <c r="H14" i="11"/>
  <c r="K14" i="11"/>
  <c r="L14" i="11"/>
  <c r="E15" i="11"/>
  <c r="F15" i="11"/>
  <c r="I15" i="11"/>
  <c r="J15" i="11"/>
  <c r="M15" i="11"/>
  <c r="N15" i="11"/>
  <c r="G16" i="11"/>
  <c r="H16" i="11"/>
  <c r="K16" i="11"/>
  <c r="L16" i="11"/>
  <c r="E17" i="11"/>
  <c r="F17" i="11"/>
  <c r="I17" i="11"/>
  <c r="J17" i="11"/>
  <c r="M17" i="11"/>
  <c r="N17" i="11"/>
  <c r="C5" i="11"/>
  <c r="E8" i="1"/>
  <c r="F8" i="1"/>
  <c r="G8" i="1"/>
  <c r="H8" i="1"/>
  <c r="I8" i="1"/>
  <c r="J8" i="1"/>
  <c r="K8" i="1"/>
  <c r="L8" i="1"/>
  <c r="M8" i="1"/>
  <c r="N8" i="1"/>
  <c r="E9" i="1"/>
  <c r="F9" i="1"/>
  <c r="G9" i="1"/>
  <c r="H9" i="1"/>
  <c r="I9" i="1"/>
  <c r="J9" i="1"/>
  <c r="K9" i="1"/>
  <c r="L9" i="1"/>
  <c r="M9" i="1"/>
  <c r="N9" i="1"/>
  <c r="E10" i="1"/>
  <c r="F10" i="1"/>
  <c r="G10" i="1"/>
  <c r="H10" i="1"/>
  <c r="I10" i="1"/>
  <c r="J10" i="1"/>
  <c r="K10" i="1"/>
  <c r="L10" i="1"/>
  <c r="M10" i="1"/>
  <c r="N10" i="1"/>
  <c r="E11" i="1"/>
  <c r="F11" i="1"/>
  <c r="G11" i="1"/>
  <c r="H11" i="1"/>
  <c r="I11" i="1"/>
  <c r="J11" i="1"/>
  <c r="K11" i="1"/>
  <c r="L11" i="1"/>
  <c r="M11" i="1"/>
  <c r="N11" i="1"/>
  <c r="E12" i="1"/>
  <c r="F12" i="1"/>
  <c r="G12" i="1"/>
  <c r="H12" i="1"/>
  <c r="I12" i="1"/>
  <c r="J12" i="1"/>
  <c r="K12" i="1"/>
  <c r="L12" i="1"/>
  <c r="M12" i="1"/>
  <c r="N12" i="1"/>
  <c r="E13" i="1"/>
  <c r="F13" i="1"/>
  <c r="G13" i="1"/>
  <c r="H13" i="1"/>
  <c r="I13" i="1"/>
  <c r="J13" i="1"/>
  <c r="K13" i="1"/>
  <c r="L13" i="1"/>
  <c r="M13" i="1"/>
  <c r="N13" i="1"/>
  <c r="E14" i="1"/>
  <c r="F14" i="1"/>
  <c r="G14" i="1"/>
  <c r="H14" i="1"/>
  <c r="I14" i="1"/>
  <c r="J14" i="1"/>
  <c r="K14" i="1"/>
  <c r="L14" i="1"/>
  <c r="M14" i="1"/>
  <c r="N14" i="1"/>
  <c r="E15" i="1"/>
  <c r="F15" i="1"/>
  <c r="G15" i="1"/>
  <c r="H15" i="1"/>
  <c r="I15" i="1"/>
  <c r="J15" i="1"/>
  <c r="K15" i="1"/>
  <c r="L15" i="1"/>
  <c r="M15" i="1"/>
  <c r="N15" i="1"/>
  <c r="E16" i="1"/>
  <c r="F16" i="1"/>
  <c r="G16" i="1"/>
  <c r="H16" i="1"/>
  <c r="I16" i="1"/>
  <c r="J16" i="1"/>
  <c r="K16" i="1"/>
  <c r="L16" i="1"/>
  <c r="M16" i="1"/>
  <c r="N16" i="1"/>
  <c r="E17" i="1"/>
  <c r="F17" i="1"/>
  <c r="G17" i="1"/>
  <c r="H17" i="1"/>
  <c r="I17" i="1"/>
  <c r="J17" i="1"/>
  <c r="K17" i="1"/>
  <c r="L17" i="1"/>
  <c r="M17" i="1"/>
  <c r="N17" i="1"/>
  <c r="C11" i="13" l="1" a="1"/>
  <c r="C13" i="13" s="1"/>
  <c r="L17" i="11"/>
  <c r="H17" i="11"/>
  <c r="N16" i="11"/>
  <c r="J16" i="11"/>
  <c r="F16" i="11"/>
  <c r="L15" i="11"/>
  <c r="H15" i="11"/>
  <c r="N14" i="11"/>
  <c r="J14" i="11"/>
  <c r="F14" i="11"/>
  <c r="L13" i="11"/>
  <c r="H13" i="11"/>
  <c r="N12" i="11"/>
  <c r="J12" i="11"/>
  <c r="F12" i="11"/>
  <c r="L11" i="11"/>
  <c r="H11" i="11"/>
  <c r="N10" i="11"/>
  <c r="J10" i="11"/>
  <c r="F10" i="11"/>
  <c r="L9" i="11"/>
  <c r="H9" i="11"/>
  <c r="N8" i="11"/>
  <c r="J8" i="11"/>
  <c r="F8" i="11"/>
  <c r="K17" i="11"/>
  <c r="G17" i="11"/>
  <c r="M16" i="11"/>
  <c r="I16" i="11"/>
  <c r="E16" i="11"/>
  <c r="K15" i="11"/>
  <c r="G15" i="11"/>
  <c r="M14" i="11"/>
  <c r="I14" i="11"/>
  <c r="E14" i="11"/>
  <c r="K13" i="11"/>
  <c r="G13" i="11"/>
  <c r="M12" i="11"/>
  <c r="I12" i="11"/>
  <c r="E12" i="11"/>
  <c r="K11" i="11"/>
  <c r="G11" i="11"/>
  <c r="M10" i="11"/>
  <c r="I10" i="11"/>
  <c r="E10" i="11"/>
  <c r="K9" i="11"/>
  <c r="G9" i="11"/>
  <c r="M8" i="11"/>
  <c r="I8" i="11"/>
  <c r="C5" i="1"/>
  <c r="C15" i="13" l="1"/>
  <c r="C11" i="13"/>
  <c r="C12" i="13"/>
  <c r="C14" i="13"/>
  <c r="C8" i="11" a="1"/>
  <c r="C14" i="11" s="1"/>
  <c r="C16" i="13" l="1"/>
  <c r="C9" i="11"/>
  <c r="C15" i="11"/>
  <c r="C16" i="11"/>
  <c r="C13" i="11"/>
  <c r="C8" i="11"/>
  <c r="C10" i="11"/>
  <c r="C11" i="11"/>
  <c r="C12" i="11"/>
  <c r="C17" i="11" l="1"/>
  <c r="C8" i="1" l="1" a="1"/>
  <c r="C8" i="1" s="1"/>
  <c r="C13" i="1" l="1"/>
  <c r="C15" i="1"/>
  <c r="C10" i="1"/>
  <c r="C9" i="1"/>
  <c r="C14" i="1"/>
  <c r="C12" i="1"/>
  <c r="C16" i="1"/>
  <c r="C11" i="1"/>
  <c r="C17" i="1" l="1"/>
</calcChain>
</file>

<file path=xl/sharedStrings.xml><?xml version="1.0" encoding="utf-8"?>
<sst xmlns="http://schemas.openxmlformats.org/spreadsheetml/2006/main" count="26" uniqueCount="17">
  <si>
    <t>均匀分布</t>
  </si>
  <si>
    <t>最小值a</t>
  </si>
  <si>
    <t>最大值b</t>
  </si>
  <si>
    <t>随机数X</t>
  </si>
  <si>
    <t>分段点</t>
  </si>
  <si>
    <t>频率分布</t>
  </si>
  <si>
    <t>100个符合要求的随机数</t>
  </si>
  <si>
    <t>累计</t>
  </si>
  <si>
    <t>离散型随机数的生成</t>
  </si>
  <si>
    <t>累积分布F</t>
  </si>
  <si>
    <t>概率分布P</t>
  </si>
  <si>
    <t>随机变量X</t>
  </si>
  <si>
    <t>掷骰子</t>
  </si>
  <si>
    <t>随机数</t>
  </si>
  <si>
    <t>正态分布</t>
    <phoneticPr fontId="4" type="noConversion"/>
  </si>
  <si>
    <t>均值</t>
    <phoneticPr fontId="4" type="noConversion"/>
  </si>
  <si>
    <t>标准差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</si>
</sst>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2" fillId="0" borderId="0" xfId="2"/>
    <xf numFmtId="0" fontId="2" fillId="0" borderId="0" xfId="0" applyFont="1"/>
    <xf numFmtId="0" fontId="6" fillId="2" borderId="0" xfId="2" applyFont="1" applyFill="1"/>
    <xf numFmtId="0" fontId="6" fillId="2" borderId="0" xfId="2" applyFont="1" applyFill="1" applyBorder="1"/>
    <xf numFmtId="0" fontId="5" fillId="2" borderId="0" xfId="2" applyFont="1" applyFill="1"/>
    <xf numFmtId="0" fontId="5" fillId="2" borderId="0" xfId="2" applyFont="1" applyFill="1" applyAlignment="1">
      <alignment horizontal="center"/>
    </xf>
    <xf numFmtId="0" fontId="5" fillId="2" borderId="2" xfId="2" applyFont="1" applyFill="1" applyBorder="1" applyAlignment="1"/>
    <xf numFmtId="2" fontId="6" fillId="2" borderId="1" xfId="2" applyNumberFormat="1" applyFont="1" applyFill="1" applyBorder="1" applyAlignment="1">
      <alignment horizontal="center"/>
    </xf>
    <xf numFmtId="0" fontId="5" fillId="2" borderId="2" xfId="2" applyFont="1" applyFill="1" applyBorder="1" applyAlignment="1"/>
    <xf numFmtId="0" fontId="6" fillId="3" borderId="1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2" fontId="6" fillId="5" borderId="1" xfId="2" applyNumberFormat="1" applyFont="1" applyFill="1" applyBorder="1" applyAlignment="1">
      <alignment horizontal="center"/>
    </xf>
    <xf numFmtId="9" fontId="6" fillId="5" borderId="1" xfId="1" applyFont="1" applyFill="1" applyBorder="1" applyAlignment="1">
      <alignment horizontal="center"/>
    </xf>
    <xf numFmtId="9" fontId="6" fillId="5" borderId="1" xfId="1" applyNumberFormat="1" applyFont="1" applyFill="1" applyBorder="1" applyAlignment="1">
      <alignment horizontal="center"/>
    </xf>
    <xf numFmtId="0" fontId="6" fillId="5" borderId="1" xfId="2" applyFont="1" applyFill="1" applyBorder="1" applyAlignment="1">
      <alignment horizontal="center"/>
    </xf>
    <xf numFmtId="0" fontId="6" fillId="6" borderId="1" xfId="2" applyFont="1" applyFill="1" applyBorder="1" applyAlignment="1">
      <alignment horizontal="center"/>
    </xf>
    <xf numFmtId="0" fontId="6" fillId="3" borderId="1" xfId="2" applyFont="1" applyFill="1" applyBorder="1"/>
  </cellXfs>
  <cellStyles count="3">
    <cellStyle name="百分比" xfId="1" builtinId="5"/>
    <cellStyle name="常规" xfId="0" builtinId="0"/>
    <cellStyle name="常规_概率函数" xfId="2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0003840"/>
        <c:axId val="130603200"/>
      </c:barChart>
      <c:catAx>
        <c:axId val="10000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30603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603200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0000384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100</a:t>
            </a:r>
            <a:r>
              <a:rPr lang="zh-CN" sz="1400" b="1"/>
              <a:t>个均匀分布随机数的频率分布</a:t>
            </a:r>
          </a:p>
        </c:rich>
      </c:tx>
      <c:layout>
        <c:manualLayout>
          <c:xMode val="edge"/>
          <c:yMode val="edge"/>
          <c:x val="0.2049335863377609"/>
          <c:y val="3.71621621621621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62239089184061"/>
          <c:y val="0.16692125984251971"/>
          <c:w val="0.75142314990512338"/>
          <c:h val="0.63719137281752825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Ref>
              <c:f>生成均匀分布的随机数模型!$B$8:$B$16</c:f>
              <c:numCache>
                <c:formatCode>General</c:formatCode>
                <c:ptCount val="9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cat>
          <c:val>
            <c:numRef>
              <c:f>生成均匀分布的随机数模型!$C$8:$C$16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0.21</c:v>
                </c:pt>
                <c:pt idx="3">
                  <c:v>0.23</c:v>
                </c:pt>
                <c:pt idx="4">
                  <c:v>0.14000000000000001</c:v>
                </c:pt>
                <c:pt idx="5">
                  <c:v>0.19</c:v>
                </c:pt>
                <c:pt idx="6">
                  <c:v>0.13</c:v>
                </c:pt>
                <c:pt idx="7">
                  <c:v>0.1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0005888"/>
        <c:axId val="55263232"/>
      </c:barChart>
      <c:catAx>
        <c:axId val="10000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48956356736243"/>
              <c:y val="0.8933902773022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6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3232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7710309930423784E-2"/>
              <c:y val="0.4155405682985279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00005888"/>
        <c:crosses val="autoZero"/>
        <c:crossBetween val="between"/>
      </c:valAx>
      <c:spPr>
        <a:solidFill>
          <a:srgbClr val="FFFFFF"/>
        </a:solidFill>
        <a:ln w="12700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891840607210628"/>
          <c:y val="0.23066963368709345"/>
          <c:w val="7.5901328273244806E-2"/>
          <c:h val="0.637543991783635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4160"/>
        <c:axId val="55264960"/>
      </c:barChart>
      <c:catAx>
        <c:axId val="761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5264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4960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12416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100个正态分布随机数的频率分布</a:t>
            </a:r>
          </a:p>
        </c:rich>
      </c:tx>
      <c:layout>
        <c:manualLayout>
          <c:xMode val="edge"/>
          <c:yMode val="edge"/>
          <c:x val="0.25744326617666663"/>
          <c:y val="3.1521484342759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921278229013"/>
          <c:y val="0.15126330906749866"/>
          <c:w val="0.77057848504488613"/>
          <c:h val="0.651760180920781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Ref>
              <c:f>生成正态分布随机数模型!$B$8:$B$16</c:f>
              <c:numCache>
                <c:formatCode>General</c:formatCode>
                <c:ptCount val="9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cat>
          <c:val>
            <c:numRef>
              <c:f>生成正态分布随机数模型!$C$8:$C$16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0.13</c:v>
                </c:pt>
                <c:pt idx="4">
                  <c:v>0.46</c:v>
                </c:pt>
                <c:pt idx="5">
                  <c:v>0.25</c:v>
                </c:pt>
                <c:pt idx="6">
                  <c:v>0.11</c:v>
                </c:pt>
                <c:pt idx="7">
                  <c:v>0.03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5696"/>
        <c:axId val="55266688"/>
      </c:barChart>
      <c:catAx>
        <c:axId val="7612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059581431480434"/>
              <c:y val="0.8933947407517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66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6688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284296555750146E-2"/>
              <c:y val="0.3940824378084815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6125696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chemeClr val="bg1">
              <a:lumMod val="8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85129004233489"/>
          <c:y val="0.17409960547384404"/>
          <c:w val="7.005253940455336E-2"/>
          <c:h val="0.61688311688311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en-US" altLang="zh-CN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85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个正态分布随机数的频率分布</a:t>
            </a:r>
          </a:p>
        </c:rich>
      </c:tx>
      <c:layout>
        <c:manualLayout>
          <c:xMode val="edge"/>
          <c:yMode val="edge"/>
          <c:x val="0.21470588235294116"/>
          <c:y val="3.4055727554179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5294117647059"/>
          <c:y val="0.26625386996904027"/>
          <c:w val="0.77794117647058825"/>
          <c:h val="0.4767801857585139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invertIfNegative val="1"/>
            <c:bubble3D val="0"/>
            <c:spPr>
              <a:pattFill prst="lgCheck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invertIfNegative val="1"/>
            <c:bubble3D val="0"/>
            <c:spPr>
              <a:pattFill prst="dkVert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invertIfNegative val="1"/>
            <c:bubble3D val="0"/>
            <c:spPr>
              <a:pattFill prst="shingle">
                <a:fgClr>
                  <a:srgbClr val="969696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Lit>
              <c:formatCode>General</c:formatCode>
              <c:ptCount val="9"/>
              <c:pt idx="0">
                <c:v>55</c:v>
              </c:pt>
              <c:pt idx="1">
                <c:v>60</c:v>
              </c:pt>
              <c:pt idx="2">
                <c:v>65</c:v>
              </c:pt>
              <c:pt idx="3">
                <c:v>70</c:v>
              </c:pt>
              <c:pt idx="4">
                <c:v>75</c:v>
              </c:pt>
              <c:pt idx="5">
                <c:v>80</c:v>
              </c:pt>
              <c:pt idx="6">
                <c:v>85</c:v>
              </c:pt>
              <c:pt idx="7">
                <c:v>90</c:v>
              </c:pt>
              <c:pt idx="8">
                <c:v>95</c:v>
              </c:pt>
            </c:num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0.03</c:v>
              </c:pt>
              <c:pt idx="3">
                <c:v>0.2</c:v>
              </c:pt>
              <c:pt idx="4">
                <c:v>0.38</c:v>
              </c:pt>
              <c:pt idx="5">
                <c:v>0.28999999999999998</c:v>
              </c:pt>
              <c:pt idx="6">
                <c:v>0.08</c:v>
              </c:pt>
              <c:pt idx="7">
                <c:v>0.02</c:v>
              </c:pt>
              <c:pt idx="8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127744"/>
        <c:axId val="55268416"/>
      </c:barChart>
      <c:catAx>
        <c:axId val="7612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5268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68416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12774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4117647058827"/>
          <c:y val="0.15789473684210525"/>
          <c:w val="5.8823529411764719E-2"/>
          <c:h val="0.588235294117646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zh-CN" sz="1400" b="1"/>
              <a:t>100个</a:t>
            </a:r>
            <a:r>
              <a:rPr lang="zh-CN" altLang="en-US" sz="1400" b="1"/>
              <a:t>特定离散</a:t>
            </a:r>
            <a:r>
              <a:rPr lang="zh-CN" sz="1400" b="1"/>
              <a:t>分布随机数的频率分布</a:t>
            </a:r>
          </a:p>
        </c:rich>
      </c:tx>
      <c:layout>
        <c:manualLayout>
          <c:xMode val="edge"/>
          <c:yMode val="edge"/>
          <c:x val="0.19916504145591071"/>
          <c:y val="3.1521484342759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921278229013"/>
          <c:y val="0.15126330906749866"/>
          <c:w val="0.77057848504488613"/>
          <c:h val="0.651760180920781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smGrid">
              <a:fgClr>
                <a:srgbClr val="9999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pattFill prst="wdDn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invertIfNegative val="1"/>
            <c:bubble3D val="0"/>
            <c:spPr>
              <a:pattFill prst="wdUpDiag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invertIfNegative val="1"/>
            <c:bubble3D val="0"/>
            <c:spPr>
              <a:pattFill prst="openDmnd">
                <a:fgClr>
                  <a:srgbClr val="9999FF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</c:dPt>
          <c:cat>
            <c:numRef>
              <c:f>生成离散型特定分布随机数模型!$B$11:$B$15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生成离散型特定分布随机数模型!$C$11:$C$15</c:f>
              <c:numCache>
                <c:formatCode>0%</c:formatCode>
                <c:ptCount val="5"/>
                <c:pt idx="0">
                  <c:v>0.11</c:v>
                </c:pt>
                <c:pt idx="1">
                  <c:v>0.33</c:v>
                </c:pt>
                <c:pt idx="2">
                  <c:v>0.33</c:v>
                </c:pt>
                <c:pt idx="3">
                  <c:v>0.17</c:v>
                </c:pt>
                <c:pt idx="4">
                  <c:v>0.06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521472"/>
        <c:axId val="55270144"/>
      </c:barChart>
      <c:catAx>
        <c:axId val="7652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分段点</a:t>
                </a:r>
              </a:p>
            </c:rich>
          </c:tx>
          <c:layout>
            <c:manualLayout>
              <c:xMode val="edge"/>
              <c:yMode val="edge"/>
              <c:x val="0.46059581431480434"/>
              <c:y val="0.8933947407517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55270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270144"/>
        <c:scaling>
          <c:orientation val="minMax"/>
        </c:scaling>
        <c:delete val="0"/>
        <c:axPos val="l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频率</a:t>
                </a:r>
              </a:p>
            </c:rich>
          </c:tx>
          <c:layout>
            <c:manualLayout>
              <c:xMode val="edge"/>
              <c:yMode val="edge"/>
              <c:x val="1.284296555750146E-2"/>
              <c:y val="0.3940824378084815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76521472"/>
        <c:crosses val="autoZero"/>
        <c:crossBetween val="between"/>
        <c:majorUnit val="0.1"/>
      </c:valAx>
      <c:spPr>
        <a:solidFill>
          <a:srgbClr val="FFFFFF"/>
        </a:solidFill>
        <a:ln w="12700">
          <a:solidFill>
            <a:schemeClr val="bg1">
              <a:lumMod val="8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85129004233489"/>
          <c:y val="0.17409960547384404"/>
          <c:w val="7.005253940455336E-2"/>
          <c:h val="0.61688311688311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</xdr:row>
      <xdr:rowOff>38100</xdr:rowOff>
    </xdr:from>
    <xdr:to>
      <xdr:col>6</xdr:col>
      <xdr:colOff>146050</xdr:colOff>
      <xdr:row>14</xdr:row>
      <xdr:rowOff>177800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371475" y="234950"/>
          <a:ext cx="4346575" cy="26987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8-5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】生成均匀分布、正态分布和特定离散分布三种随机数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）模拟产生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个需求量是服从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[60,90]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均匀分布的随机数（保留整数），统计这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）模拟产生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个需求量是服从均值为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75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分和标准差为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分的正态分布的随机数（保留整数），统计这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）有一种需求量是离散型随机数，它的概率分布如</a:t>
          </a:r>
          <a:r>
            <a:rPr lang="zh-CN" altLang="en-US" sz="1100">
              <a:effectLst/>
              <a:latin typeface="+mn-lt"/>
              <a:ea typeface="+mn-ea"/>
              <a:cs typeface="+mn-cs"/>
            </a:rPr>
            <a:t>下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表所示。模拟产生服从该特定离散分布的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个需求量，统计这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100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个模拟随机数在各分段的频率分布，并用直方图显示分布。</a:t>
          </a:r>
        </a:p>
      </xdr:txBody>
    </xdr:sp>
    <xdr:clientData/>
  </xdr:twoCellAnchor>
  <xdr:twoCellAnchor editAs="oneCell">
    <xdr:from>
      <xdr:col>0</xdr:col>
      <xdr:colOff>0</xdr:colOff>
      <xdr:row>11</xdr:row>
      <xdr:rowOff>6350</xdr:rowOff>
    </xdr:from>
    <xdr:to>
      <xdr:col>6</xdr:col>
      <xdr:colOff>520700</xdr:colOff>
      <xdr:row>15</xdr:row>
      <xdr:rowOff>38100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"/>
          <a:ext cx="50927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59</xdr:row>
      <xdr:rowOff>0</xdr:rowOff>
    </xdr:from>
    <xdr:to>
      <xdr:col>24</xdr:col>
      <xdr:colOff>304800</xdr:colOff>
      <xdr:row>76</xdr:row>
      <xdr:rowOff>0</xdr:rowOff>
    </xdr:to>
    <xdr:graphicFrame macro="">
      <xdr:nvGraphicFramePr>
        <xdr:cNvPr id="104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114300</xdr:rowOff>
    </xdr:from>
    <xdr:to>
      <xdr:col>7</xdr:col>
      <xdr:colOff>9525</xdr:colOff>
      <xdr:row>16</xdr:row>
      <xdr:rowOff>76200</xdr:rowOff>
    </xdr:to>
    <xdr:graphicFrame macro="">
      <xdr:nvGraphicFramePr>
        <xdr:cNvPr id="30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59</xdr:row>
      <xdr:rowOff>0</xdr:rowOff>
    </xdr:from>
    <xdr:to>
      <xdr:col>24</xdr:col>
      <xdr:colOff>304800</xdr:colOff>
      <xdr:row>76</xdr:row>
      <xdr:rowOff>0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</xdr:row>
      <xdr:rowOff>25400</xdr:rowOff>
    </xdr:from>
    <xdr:to>
      <xdr:col>7</xdr:col>
      <xdr:colOff>320675</xdr:colOff>
      <xdr:row>16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62</xdr:row>
      <xdr:rowOff>0</xdr:rowOff>
    </xdr:from>
    <xdr:to>
      <xdr:col>24</xdr:col>
      <xdr:colOff>304800</xdr:colOff>
      <xdr:row>79</xdr:row>
      <xdr:rowOff>0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7</xdr:col>
      <xdr:colOff>222251</xdr:colOff>
      <xdr:row>16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X2016/&#35745;&#31639;&#26426;&#24212;&#29992;/&#35838;&#20214;&#25945;&#23398;&#36164;&#26009;/&#31532;8&#35762;/ch9%20&#21171;&#24124;&#40836;/ch9/&#31532;&#20061;&#31456;%20&#27169;&#25311;&#27169;&#22411;/&#27010;&#29575;&#20989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form"/>
      <sheetName val="normal"/>
      <sheetName val="vlookup"/>
      <sheetName val="Sheet1"/>
      <sheetName val="picture"/>
      <sheetName val="function"/>
      <sheetName val="frame"/>
      <sheetName val="frame (2)"/>
      <sheetName val="frame (3)"/>
    </sheetNames>
    <sheetDataSet>
      <sheetData sheetId="0"/>
      <sheetData sheetId="1"/>
      <sheetData sheetId="2"/>
      <sheetData sheetId="3"/>
      <sheetData sheetId="4"/>
      <sheetData sheetId="5">
        <row r="3">
          <cell r="G3">
            <v>85</v>
          </cell>
          <cell r="H3">
            <v>68</v>
          </cell>
          <cell r="I3">
            <v>73</v>
          </cell>
          <cell r="J3">
            <v>69</v>
          </cell>
          <cell r="K3">
            <v>68</v>
          </cell>
          <cell r="L3">
            <v>58</v>
          </cell>
          <cell r="M3">
            <v>73</v>
          </cell>
          <cell r="N3">
            <v>72</v>
          </cell>
          <cell r="O3">
            <v>83</v>
          </cell>
          <cell r="P3">
            <v>71</v>
          </cell>
        </row>
        <row r="4">
          <cell r="G4">
            <v>52</v>
          </cell>
          <cell r="H4">
            <v>75</v>
          </cell>
          <cell r="I4">
            <v>65</v>
          </cell>
          <cell r="J4">
            <v>74</v>
          </cell>
          <cell r="K4">
            <v>74</v>
          </cell>
          <cell r="L4">
            <v>69</v>
          </cell>
          <cell r="M4">
            <v>58</v>
          </cell>
          <cell r="N4">
            <v>75</v>
          </cell>
          <cell r="O4">
            <v>71</v>
          </cell>
          <cell r="P4">
            <v>67</v>
          </cell>
        </row>
        <row r="5">
          <cell r="G5">
            <v>64</v>
          </cell>
          <cell r="H5">
            <v>70</v>
          </cell>
          <cell r="I5">
            <v>68</v>
          </cell>
          <cell r="J5">
            <v>62</v>
          </cell>
          <cell r="K5">
            <v>69</v>
          </cell>
          <cell r="L5">
            <v>67</v>
          </cell>
          <cell r="M5">
            <v>82</v>
          </cell>
          <cell r="N5">
            <v>75</v>
          </cell>
          <cell r="O5">
            <v>74</v>
          </cell>
          <cell r="P5">
            <v>64</v>
          </cell>
        </row>
        <row r="6">
          <cell r="G6">
            <v>70</v>
          </cell>
          <cell r="H6">
            <v>77</v>
          </cell>
          <cell r="I6">
            <v>68</v>
          </cell>
          <cell r="J6">
            <v>67</v>
          </cell>
          <cell r="K6">
            <v>72</v>
          </cell>
          <cell r="L6">
            <v>61</v>
          </cell>
          <cell r="M6">
            <v>69</v>
          </cell>
          <cell r="N6">
            <v>72</v>
          </cell>
          <cell r="O6">
            <v>70</v>
          </cell>
          <cell r="P6">
            <v>70</v>
          </cell>
        </row>
        <row r="7">
          <cell r="G7">
            <v>88</v>
          </cell>
          <cell r="H7">
            <v>77</v>
          </cell>
          <cell r="I7">
            <v>71</v>
          </cell>
          <cell r="J7">
            <v>69</v>
          </cell>
          <cell r="K7">
            <v>57</v>
          </cell>
          <cell r="L7">
            <v>77</v>
          </cell>
          <cell r="M7">
            <v>68</v>
          </cell>
          <cell r="N7">
            <v>81</v>
          </cell>
          <cell r="O7">
            <v>74</v>
          </cell>
          <cell r="P7">
            <v>78</v>
          </cell>
        </row>
        <row r="8">
          <cell r="G8">
            <v>75</v>
          </cell>
          <cell r="H8">
            <v>75</v>
          </cell>
          <cell r="I8">
            <v>69</v>
          </cell>
          <cell r="J8">
            <v>66</v>
          </cell>
          <cell r="K8">
            <v>57</v>
          </cell>
          <cell r="L8">
            <v>67</v>
          </cell>
          <cell r="M8">
            <v>64</v>
          </cell>
          <cell r="N8">
            <v>59</v>
          </cell>
          <cell r="O8">
            <v>71</v>
          </cell>
          <cell r="P8">
            <v>70</v>
          </cell>
        </row>
        <row r="9">
          <cell r="G9">
            <v>89</v>
          </cell>
          <cell r="H9">
            <v>71</v>
          </cell>
          <cell r="I9">
            <v>64</v>
          </cell>
          <cell r="J9">
            <v>74</v>
          </cell>
          <cell r="K9">
            <v>75</v>
          </cell>
          <cell r="L9">
            <v>64</v>
          </cell>
          <cell r="M9">
            <v>69</v>
          </cell>
          <cell r="N9">
            <v>66</v>
          </cell>
          <cell r="O9">
            <v>65</v>
          </cell>
          <cell r="P9">
            <v>75</v>
          </cell>
        </row>
        <row r="10">
          <cell r="G10">
            <v>45</v>
          </cell>
          <cell r="H10">
            <v>74</v>
          </cell>
          <cell r="I10">
            <v>51</v>
          </cell>
          <cell r="J10">
            <v>67</v>
          </cell>
          <cell r="K10">
            <v>77</v>
          </cell>
          <cell r="L10">
            <v>70</v>
          </cell>
          <cell r="M10">
            <v>82</v>
          </cell>
          <cell r="N10">
            <v>51</v>
          </cell>
          <cell r="O10">
            <v>81</v>
          </cell>
          <cell r="P10">
            <v>65</v>
          </cell>
        </row>
        <row r="11">
          <cell r="G11">
            <v>72</v>
          </cell>
          <cell r="H11">
            <v>63</v>
          </cell>
          <cell r="I11">
            <v>68</v>
          </cell>
          <cell r="J11">
            <v>69</v>
          </cell>
          <cell r="K11">
            <v>61</v>
          </cell>
          <cell r="L11">
            <v>73</v>
          </cell>
          <cell r="M11">
            <v>78</v>
          </cell>
          <cell r="N11">
            <v>73</v>
          </cell>
          <cell r="O11">
            <v>75</v>
          </cell>
          <cell r="P11">
            <v>64</v>
          </cell>
        </row>
        <row r="12">
          <cell r="G12">
            <v>65</v>
          </cell>
          <cell r="H12">
            <v>72</v>
          </cell>
          <cell r="I12">
            <v>75</v>
          </cell>
          <cell r="J12">
            <v>79</v>
          </cell>
          <cell r="K12">
            <v>73</v>
          </cell>
          <cell r="L12">
            <v>60</v>
          </cell>
          <cell r="M12">
            <v>72</v>
          </cell>
          <cell r="N12">
            <v>85</v>
          </cell>
          <cell r="O12">
            <v>63</v>
          </cell>
          <cell r="P12">
            <v>65</v>
          </cell>
        </row>
        <row r="14">
          <cell r="G14">
            <v>60</v>
          </cell>
          <cell r="H14">
            <v>60</v>
          </cell>
          <cell r="I14">
            <v>52</v>
          </cell>
          <cell r="J14">
            <v>50</v>
          </cell>
          <cell r="K14">
            <v>66</v>
          </cell>
          <cell r="L14">
            <v>52</v>
          </cell>
          <cell r="M14">
            <v>65</v>
          </cell>
          <cell r="N14">
            <v>88</v>
          </cell>
          <cell r="O14">
            <v>51</v>
          </cell>
          <cell r="P14">
            <v>70</v>
          </cell>
        </row>
        <row r="15">
          <cell r="G15">
            <v>58</v>
          </cell>
          <cell r="H15">
            <v>76</v>
          </cell>
          <cell r="I15">
            <v>83</v>
          </cell>
          <cell r="J15">
            <v>66</v>
          </cell>
          <cell r="K15">
            <v>72</v>
          </cell>
          <cell r="L15">
            <v>88</v>
          </cell>
          <cell r="M15">
            <v>62</v>
          </cell>
          <cell r="N15">
            <v>62</v>
          </cell>
          <cell r="O15">
            <v>73</v>
          </cell>
          <cell r="P15">
            <v>53</v>
          </cell>
        </row>
        <row r="16">
          <cell r="G16">
            <v>88</v>
          </cell>
          <cell r="H16">
            <v>50</v>
          </cell>
          <cell r="I16">
            <v>77</v>
          </cell>
          <cell r="J16">
            <v>85</v>
          </cell>
          <cell r="K16">
            <v>78</v>
          </cell>
          <cell r="L16">
            <v>86</v>
          </cell>
          <cell r="M16">
            <v>59</v>
          </cell>
          <cell r="N16">
            <v>73</v>
          </cell>
          <cell r="O16">
            <v>76</v>
          </cell>
          <cell r="P16">
            <v>54</v>
          </cell>
        </row>
        <row r="17">
          <cell r="G17">
            <v>58</v>
          </cell>
          <cell r="H17">
            <v>83</v>
          </cell>
          <cell r="I17">
            <v>89</v>
          </cell>
          <cell r="J17">
            <v>77</v>
          </cell>
          <cell r="K17">
            <v>65</v>
          </cell>
          <cell r="L17">
            <v>65</v>
          </cell>
          <cell r="M17">
            <v>79</v>
          </cell>
          <cell r="N17">
            <v>69</v>
          </cell>
          <cell r="O17">
            <v>59</v>
          </cell>
          <cell r="P17">
            <v>52</v>
          </cell>
        </row>
        <row r="18">
          <cell r="G18">
            <v>76</v>
          </cell>
          <cell r="H18">
            <v>72</v>
          </cell>
          <cell r="I18">
            <v>85</v>
          </cell>
          <cell r="J18">
            <v>85</v>
          </cell>
          <cell r="K18">
            <v>75</v>
          </cell>
          <cell r="L18">
            <v>70</v>
          </cell>
          <cell r="M18">
            <v>61</v>
          </cell>
          <cell r="N18">
            <v>74</v>
          </cell>
          <cell r="O18">
            <v>75</v>
          </cell>
          <cell r="P18">
            <v>60</v>
          </cell>
        </row>
        <row r="19">
          <cell r="G19">
            <v>68</v>
          </cell>
          <cell r="H19">
            <v>79</v>
          </cell>
          <cell r="I19">
            <v>50</v>
          </cell>
          <cell r="J19">
            <v>76</v>
          </cell>
          <cell r="K19">
            <v>80</v>
          </cell>
          <cell r="L19">
            <v>54</v>
          </cell>
          <cell r="M19">
            <v>85</v>
          </cell>
          <cell r="N19">
            <v>83</v>
          </cell>
          <cell r="O19">
            <v>88</v>
          </cell>
          <cell r="P19">
            <v>82</v>
          </cell>
        </row>
        <row r="20">
          <cell r="G20">
            <v>50</v>
          </cell>
          <cell r="H20">
            <v>53</v>
          </cell>
          <cell r="I20">
            <v>89</v>
          </cell>
          <cell r="J20">
            <v>86</v>
          </cell>
          <cell r="K20">
            <v>50</v>
          </cell>
          <cell r="L20">
            <v>85</v>
          </cell>
          <cell r="M20">
            <v>68</v>
          </cell>
          <cell r="N20">
            <v>89</v>
          </cell>
          <cell r="O20">
            <v>53</v>
          </cell>
          <cell r="P20">
            <v>56</v>
          </cell>
        </row>
        <row r="21">
          <cell r="G21">
            <v>71</v>
          </cell>
          <cell r="H21">
            <v>64</v>
          </cell>
          <cell r="I21">
            <v>58</v>
          </cell>
          <cell r="J21">
            <v>64</v>
          </cell>
          <cell r="K21">
            <v>53</v>
          </cell>
          <cell r="L21">
            <v>70</v>
          </cell>
          <cell r="M21">
            <v>61</v>
          </cell>
          <cell r="N21">
            <v>54</v>
          </cell>
          <cell r="O21">
            <v>86</v>
          </cell>
          <cell r="P21">
            <v>63</v>
          </cell>
        </row>
        <row r="22">
          <cell r="G22">
            <v>86</v>
          </cell>
          <cell r="H22">
            <v>70</v>
          </cell>
          <cell r="I22">
            <v>87</v>
          </cell>
          <cell r="J22">
            <v>79</v>
          </cell>
          <cell r="K22">
            <v>60</v>
          </cell>
          <cell r="L22">
            <v>86</v>
          </cell>
          <cell r="M22">
            <v>80</v>
          </cell>
          <cell r="N22">
            <v>55</v>
          </cell>
          <cell r="O22">
            <v>66</v>
          </cell>
          <cell r="P22">
            <v>71</v>
          </cell>
        </row>
        <row r="23">
          <cell r="G23">
            <v>77</v>
          </cell>
          <cell r="H23">
            <v>72</v>
          </cell>
          <cell r="I23">
            <v>76</v>
          </cell>
          <cell r="J23">
            <v>79</v>
          </cell>
          <cell r="K23">
            <v>79</v>
          </cell>
          <cell r="L23">
            <v>60</v>
          </cell>
          <cell r="M23">
            <v>78</v>
          </cell>
          <cell r="N23">
            <v>54</v>
          </cell>
          <cell r="O23">
            <v>54</v>
          </cell>
          <cell r="P23">
            <v>57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5.5"/>
  <sheetData/>
  <phoneticPr fontId="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8"/>
  <sheetViews>
    <sheetView showGridLines="0" workbookViewId="0">
      <selection activeCell="B21" sqref="B21"/>
    </sheetView>
  </sheetViews>
  <sheetFormatPr defaultColWidth="8" defaultRowHeight="15"/>
  <cols>
    <col min="1" max="1" width="2.07421875" style="1" customWidth="1"/>
    <col min="2" max="2" width="6.921875" style="1" customWidth="1"/>
    <col min="3" max="3" width="7" style="1" customWidth="1"/>
    <col min="4" max="4" width="1.84375" style="1" customWidth="1"/>
    <col min="5" max="5" width="4.4609375" style="1" customWidth="1"/>
    <col min="6" max="14" width="4.53515625" style="1" customWidth="1"/>
    <col min="15" max="15" width="2" style="1" customWidth="1"/>
    <col min="16" max="16384" width="8" style="1"/>
  </cols>
  <sheetData>
    <row r="1" spans="2:22" ht="12" customHeight="1"/>
    <row r="2" spans="2:22">
      <c r="B2" s="9" t="s">
        <v>0</v>
      </c>
      <c r="C2" s="9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>
      <c r="B3" s="18" t="s">
        <v>1</v>
      </c>
      <c r="C3" s="12">
        <v>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22">
      <c r="B4" s="18" t="s">
        <v>2</v>
      </c>
      <c r="C4" s="12">
        <v>90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22">
      <c r="B5" s="18" t="s">
        <v>3</v>
      </c>
      <c r="C5" s="17">
        <f ca="1">ROUND($C$3+($C$4-$C$3)*RAND(),0)</f>
        <v>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22">
      <c r="B7" s="6" t="s">
        <v>4</v>
      </c>
      <c r="C7" s="5" t="s">
        <v>5</v>
      </c>
      <c r="D7" s="3"/>
      <c r="E7" s="5" t="s">
        <v>6</v>
      </c>
      <c r="F7" s="3"/>
      <c r="G7" s="3"/>
      <c r="H7" s="3"/>
      <c r="I7" s="3"/>
      <c r="J7" s="3"/>
      <c r="K7" s="3"/>
      <c r="L7" s="3"/>
      <c r="M7" s="3"/>
      <c r="N7" s="3"/>
    </row>
    <row r="8" spans="2:22" ht="16">
      <c r="B8" s="12">
        <v>55</v>
      </c>
      <c r="C8" s="15">
        <f t="array" aca="1" ref="C8:C16" ca="1">FREQUENCY(E8:N17,B8:B16)/COUNT(E8:N17)</f>
        <v>0</v>
      </c>
      <c r="D8" s="3"/>
      <c r="E8" s="16">
        <f t="shared" ref="E8:N17" ca="1" si="0">ROUND($C$3+($C$4-$C$3)*RAND(),0)</f>
        <v>79</v>
      </c>
      <c r="F8" s="16">
        <f t="shared" ca="1" si="0"/>
        <v>70</v>
      </c>
      <c r="G8" s="16">
        <f t="shared" ca="1" si="0"/>
        <v>65</v>
      </c>
      <c r="H8" s="16">
        <f t="shared" ca="1" si="0"/>
        <v>82</v>
      </c>
      <c r="I8" s="16">
        <f t="shared" ca="1" si="0"/>
        <v>65</v>
      </c>
      <c r="J8" s="16">
        <f t="shared" ca="1" si="0"/>
        <v>67</v>
      </c>
      <c r="K8" s="16">
        <f t="shared" ca="1" si="0"/>
        <v>61</v>
      </c>
      <c r="L8" s="16">
        <f t="shared" ca="1" si="0"/>
        <v>79</v>
      </c>
      <c r="M8" s="16">
        <f t="shared" ca="1" si="0"/>
        <v>81</v>
      </c>
      <c r="N8" s="16">
        <f t="shared" ca="1" si="0"/>
        <v>80</v>
      </c>
      <c r="Q8"/>
      <c r="R8"/>
      <c r="S8"/>
      <c r="T8"/>
      <c r="U8"/>
      <c r="V8"/>
    </row>
    <row r="9" spans="2:22" ht="16">
      <c r="B9" s="12">
        <v>60</v>
      </c>
      <c r="C9" s="15">
        <f ca="1"/>
        <v>0</v>
      </c>
      <c r="D9" s="3"/>
      <c r="E9" s="16">
        <f t="shared" ca="1" si="0"/>
        <v>76</v>
      </c>
      <c r="F9" s="16">
        <f t="shared" ca="1" si="0"/>
        <v>71</v>
      </c>
      <c r="G9" s="16">
        <f t="shared" ca="1" si="0"/>
        <v>73</v>
      </c>
      <c r="H9" s="16">
        <f t="shared" ca="1" si="0"/>
        <v>63</v>
      </c>
      <c r="I9" s="16">
        <f t="shared" ca="1" si="0"/>
        <v>67</v>
      </c>
      <c r="J9" s="16">
        <f t="shared" ca="1" si="0"/>
        <v>61</v>
      </c>
      <c r="K9" s="16">
        <f t="shared" ca="1" si="0"/>
        <v>84</v>
      </c>
      <c r="L9" s="16">
        <f t="shared" ca="1" si="0"/>
        <v>61</v>
      </c>
      <c r="M9" s="16">
        <f t="shared" ca="1" si="0"/>
        <v>67</v>
      </c>
      <c r="N9" s="16">
        <f t="shared" ca="1" si="0"/>
        <v>65</v>
      </c>
      <c r="Q9"/>
      <c r="R9"/>
      <c r="S9"/>
      <c r="T9"/>
      <c r="U9"/>
      <c r="V9"/>
    </row>
    <row r="10" spans="2:22" ht="16">
      <c r="B10" s="12">
        <v>65</v>
      </c>
      <c r="C10" s="15">
        <f ca="1"/>
        <v>0.21</v>
      </c>
      <c r="D10" s="3"/>
      <c r="E10" s="16">
        <f t="shared" ca="1" si="0"/>
        <v>72</v>
      </c>
      <c r="F10" s="16">
        <f t="shared" ca="1" si="0"/>
        <v>75</v>
      </c>
      <c r="G10" s="16">
        <f t="shared" ca="1" si="0"/>
        <v>84</v>
      </c>
      <c r="H10" s="16">
        <f t="shared" ca="1" si="0"/>
        <v>78</v>
      </c>
      <c r="I10" s="16">
        <f t="shared" ca="1" si="0"/>
        <v>80</v>
      </c>
      <c r="J10" s="16">
        <f t="shared" ca="1" si="0"/>
        <v>69</v>
      </c>
      <c r="K10" s="16">
        <f t="shared" ca="1" si="0"/>
        <v>67</v>
      </c>
      <c r="L10" s="16">
        <f t="shared" ca="1" si="0"/>
        <v>72</v>
      </c>
      <c r="M10" s="16">
        <f t="shared" ca="1" si="0"/>
        <v>70</v>
      </c>
      <c r="N10" s="16">
        <f t="shared" ca="1" si="0"/>
        <v>62</v>
      </c>
      <c r="Q10"/>
      <c r="R10"/>
      <c r="S10"/>
      <c r="T10"/>
      <c r="U10"/>
      <c r="V10"/>
    </row>
    <row r="11" spans="2:22" ht="16">
      <c r="B11" s="12">
        <v>70</v>
      </c>
      <c r="C11" s="15">
        <f ca="1"/>
        <v>0.23</v>
      </c>
      <c r="D11" s="3"/>
      <c r="E11" s="16">
        <f t="shared" ca="1" si="0"/>
        <v>69</v>
      </c>
      <c r="F11" s="16">
        <f t="shared" ca="1" si="0"/>
        <v>63</v>
      </c>
      <c r="G11" s="16">
        <f t="shared" ca="1" si="0"/>
        <v>74</v>
      </c>
      <c r="H11" s="16">
        <f t="shared" ca="1" si="0"/>
        <v>65</v>
      </c>
      <c r="I11" s="16">
        <f t="shared" ca="1" si="0"/>
        <v>68</v>
      </c>
      <c r="J11" s="16">
        <f t="shared" ca="1" si="0"/>
        <v>78</v>
      </c>
      <c r="K11" s="16">
        <f t="shared" ca="1" si="0"/>
        <v>79</v>
      </c>
      <c r="L11" s="16">
        <f t="shared" ca="1" si="0"/>
        <v>72</v>
      </c>
      <c r="M11" s="16">
        <f t="shared" ca="1" si="0"/>
        <v>84</v>
      </c>
      <c r="N11" s="16">
        <f t="shared" ca="1" si="0"/>
        <v>66</v>
      </c>
      <c r="Q11"/>
      <c r="R11"/>
      <c r="S11"/>
      <c r="T11"/>
      <c r="U11"/>
      <c r="V11"/>
    </row>
    <row r="12" spans="2:22">
      <c r="B12" s="12">
        <v>75</v>
      </c>
      <c r="C12" s="15">
        <f ca="1"/>
        <v>0.14000000000000001</v>
      </c>
      <c r="D12" s="3"/>
      <c r="E12" s="16">
        <f t="shared" ca="1" si="0"/>
        <v>72</v>
      </c>
      <c r="F12" s="16">
        <f t="shared" ca="1" si="0"/>
        <v>77</v>
      </c>
      <c r="G12" s="16">
        <f t="shared" ca="1" si="0"/>
        <v>83</v>
      </c>
      <c r="H12" s="16">
        <f t="shared" ca="1" si="0"/>
        <v>70</v>
      </c>
      <c r="I12" s="16">
        <f t="shared" ca="1" si="0"/>
        <v>88</v>
      </c>
      <c r="J12" s="16">
        <f t="shared" ca="1" si="0"/>
        <v>66</v>
      </c>
      <c r="K12" s="16">
        <f t="shared" ca="1" si="0"/>
        <v>76</v>
      </c>
      <c r="L12" s="16">
        <f t="shared" ca="1" si="0"/>
        <v>62</v>
      </c>
      <c r="M12" s="16">
        <f t="shared" ca="1" si="0"/>
        <v>71</v>
      </c>
      <c r="N12" s="16">
        <f t="shared" ca="1" si="0"/>
        <v>81</v>
      </c>
    </row>
    <row r="13" spans="2:22">
      <c r="B13" s="12">
        <v>80</v>
      </c>
      <c r="C13" s="15">
        <f ca="1"/>
        <v>0.19</v>
      </c>
      <c r="D13" s="3"/>
      <c r="E13" s="16">
        <f t="shared" ca="1" si="0"/>
        <v>69</v>
      </c>
      <c r="F13" s="16">
        <f t="shared" ca="1" si="0"/>
        <v>75</v>
      </c>
      <c r="G13" s="16">
        <f t="shared" ca="1" si="0"/>
        <v>88</v>
      </c>
      <c r="H13" s="16">
        <f t="shared" ca="1" si="0"/>
        <v>66</v>
      </c>
      <c r="I13" s="16">
        <f t="shared" ca="1" si="0"/>
        <v>79</v>
      </c>
      <c r="J13" s="16">
        <f t="shared" ca="1" si="0"/>
        <v>76</v>
      </c>
      <c r="K13" s="16">
        <f t="shared" ca="1" si="0"/>
        <v>79</v>
      </c>
      <c r="L13" s="16">
        <f t="shared" ca="1" si="0"/>
        <v>80</v>
      </c>
      <c r="M13" s="16">
        <f t="shared" ca="1" si="0"/>
        <v>80</v>
      </c>
      <c r="N13" s="16">
        <f t="shared" ca="1" si="0"/>
        <v>82</v>
      </c>
    </row>
    <row r="14" spans="2:22">
      <c r="B14" s="12">
        <v>85</v>
      </c>
      <c r="C14" s="15">
        <f ca="1"/>
        <v>0.13</v>
      </c>
      <c r="D14" s="3"/>
      <c r="E14" s="16">
        <f t="shared" ca="1" si="0"/>
        <v>67</v>
      </c>
      <c r="F14" s="16">
        <f t="shared" ca="1" si="0"/>
        <v>70</v>
      </c>
      <c r="G14" s="16">
        <f t="shared" ca="1" si="0"/>
        <v>62</v>
      </c>
      <c r="H14" s="16">
        <f t="shared" ca="1" si="0"/>
        <v>73</v>
      </c>
      <c r="I14" s="16">
        <f t="shared" ca="1" si="0"/>
        <v>90</v>
      </c>
      <c r="J14" s="16">
        <f t="shared" ca="1" si="0"/>
        <v>62</v>
      </c>
      <c r="K14" s="16">
        <f t="shared" ca="1" si="0"/>
        <v>82</v>
      </c>
      <c r="L14" s="16">
        <f t="shared" ca="1" si="0"/>
        <v>61</v>
      </c>
      <c r="M14" s="16">
        <f t="shared" ca="1" si="0"/>
        <v>88</v>
      </c>
      <c r="N14" s="16">
        <f t="shared" ca="1" si="0"/>
        <v>87</v>
      </c>
    </row>
    <row r="15" spans="2:22">
      <c r="B15" s="12">
        <v>90</v>
      </c>
      <c r="C15" s="15">
        <f ca="1"/>
        <v>0.1</v>
      </c>
      <c r="D15" s="3"/>
      <c r="E15" s="16">
        <f t="shared" ca="1" si="0"/>
        <v>65</v>
      </c>
      <c r="F15" s="16">
        <f t="shared" ca="1" si="0"/>
        <v>69</v>
      </c>
      <c r="G15" s="16">
        <f t="shared" ca="1" si="0"/>
        <v>75</v>
      </c>
      <c r="H15" s="16">
        <f t="shared" ca="1" si="0"/>
        <v>86</v>
      </c>
      <c r="I15" s="16">
        <f t="shared" ca="1" si="0"/>
        <v>81</v>
      </c>
      <c r="J15" s="16">
        <f t="shared" ca="1" si="0"/>
        <v>73</v>
      </c>
      <c r="K15" s="16">
        <f t="shared" ca="1" si="0"/>
        <v>77</v>
      </c>
      <c r="L15" s="16">
        <f t="shared" ca="1" si="0"/>
        <v>68</v>
      </c>
      <c r="M15" s="16">
        <f t="shared" ca="1" si="0"/>
        <v>64</v>
      </c>
      <c r="N15" s="16">
        <f t="shared" ca="1" si="0"/>
        <v>87</v>
      </c>
    </row>
    <row r="16" spans="2:22">
      <c r="B16" s="12">
        <v>95</v>
      </c>
      <c r="C16" s="15">
        <f ca="1"/>
        <v>0</v>
      </c>
      <c r="D16" s="3"/>
      <c r="E16" s="16">
        <f t="shared" ca="1" si="0"/>
        <v>79</v>
      </c>
      <c r="F16" s="16">
        <f t="shared" ca="1" si="0"/>
        <v>83</v>
      </c>
      <c r="G16" s="16">
        <f t="shared" ca="1" si="0"/>
        <v>70</v>
      </c>
      <c r="H16" s="16">
        <f t="shared" ca="1" si="0"/>
        <v>63</v>
      </c>
      <c r="I16" s="16">
        <f t="shared" ca="1" si="0"/>
        <v>78</v>
      </c>
      <c r="J16" s="16">
        <f t="shared" ca="1" si="0"/>
        <v>66</v>
      </c>
      <c r="K16" s="16">
        <f t="shared" ca="1" si="0"/>
        <v>66</v>
      </c>
      <c r="L16" s="16">
        <f t="shared" ca="1" si="0"/>
        <v>88</v>
      </c>
      <c r="M16" s="16">
        <f t="shared" ca="1" si="0"/>
        <v>88</v>
      </c>
      <c r="N16" s="16">
        <f t="shared" ca="1" si="0"/>
        <v>61</v>
      </c>
    </row>
    <row r="17" spans="2:14">
      <c r="B17" s="10" t="s">
        <v>7</v>
      </c>
      <c r="C17" s="14">
        <f ca="1">SUM(C10:C15)</f>
        <v>1</v>
      </c>
      <c r="D17" s="3"/>
      <c r="E17" s="16">
        <f t="shared" ca="1" si="0"/>
        <v>89</v>
      </c>
      <c r="F17" s="16">
        <f t="shared" ca="1" si="0"/>
        <v>84</v>
      </c>
      <c r="G17" s="16">
        <f t="shared" ca="1" si="0"/>
        <v>61</v>
      </c>
      <c r="H17" s="16">
        <f t="shared" ca="1" si="0"/>
        <v>83</v>
      </c>
      <c r="I17" s="16">
        <f t="shared" ca="1" si="0"/>
        <v>74</v>
      </c>
      <c r="J17" s="16">
        <f t="shared" ca="1" si="0"/>
        <v>79</v>
      </c>
      <c r="K17" s="16">
        <f t="shared" ca="1" si="0"/>
        <v>69</v>
      </c>
      <c r="L17" s="16">
        <f t="shared" ca="1" si="0"/>
        <v>64</v>
      </c>
      <c r="M17" s="16">
        <f t="shared" ca="1" si="0"/>
        <v>64</v>
      </c>
      <c r="N17" s="16">
        <f t="shared" ca="1" si="0"/>
        <v>68</v>
      </c>
    </row>
    <row r="18" spans="2:14" ht="8.25" customHeight="1"/>
  </sheetData>
  <mergeCells count="1">
    <mergeCell ref="B2:C2"/>
  </mergeCells>
  <phoneticPr fontId="3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I18"/>
  <sheetViews>
    <sheetView showGridLines="0" workbookViewId="0">
      <selection activeCell="P17" sqref="P17"/>
    </sheetView>
  </sheetViews>
  <sheetFormatPr defaultRowHeight="15.5"/>
  <sheetData>
    <row r="3" spans="9:9" ht="16">
      <c r="I3" s="2"/>
    </row>
    <row r="18" spans="9:9" ht="16">
      <c r="I18" s="2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8"/>
  <sheetViews>
    <sheetView showGridLines="0" workbookViewId="0">
      <selection activeCell="B20" sqref="B20"/>
    </sheetView>
  </sheetViews>
  <sheetFormatPr defaultColWidth="8" defaultRowHeight="15"/>
  <cols>
    <col min="1" max="1" width="2.07421875" style="1" customWidth="1"/>
    <col min="2" max="2" width="6.921875" style="1" customWidth="1"/>
    <col min="3" max="3" width="7" style="1" customWidth="1"/>
    <col min="4" max="4" width="1.84375" style="1" customWidth="1"/>
    <col min="5" max="5" width="4.4609375" style="1" customWidth="1"/>
    <col min="6" max="14" width="4.53515625" style="1" customWidth="1"/>
    <col min="15" max="15" width="2" style="1" customWidth="1"/>
    <col min="16" max="16384" width="8" style="1"/>
  </cols>
  <sheetData>
    <row r="1" spans="2:22" ht="12" customHeight="1"/>
    <row r="2" spans="2:22">
      <c r="B2" s="9" t="s">
        <v>14</v>
      </c>
      <c r="C2" s="9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>
      <c r="B3" s="18" t="s">
        <v>15</v>
      </c>
      <c r="C3" s="12">
        <v>75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22">
      <c r="B4" s="18" t="s">
        <v>16</v>
      </c>
      <c r="C4" s="12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22">
      <c r="B5" s="18" t="s">
        <v>3</v>
      </c>
      <c r="C5" s="17">
        <f ca="1">ROUND(_xlfn.NORM.INV(RAND(),C3,C4),0)</f>
        <v>78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22">
      <c r="B7" s="6" t="s">
        <v>4</v>
      </c>
      <c r="C7" s="5" t="s">
        <v>5</v>
      </c>
      <c r="D7" s="3"/>
      <c r="E7" s="5" t="s">
        <v>6</v>
      </c>
      <c r="F7" s="3"/>
      <c r="G7" s="3"/>
      <c r="H7" s="3"/>
      <c r="I7" s="3"/>
      <c r="J7" s="3"/>
      <c r="K7" s="3"/>
      <c r="L7" s="3"/>
      <c r="M7" s="3"/>
      <c r="N7" s="3"/>
    </row>
    <row r="8" spans="2:22" ht="16">
      <c r="B8" s="12">
        <v>55</v>
      </c>
      <c r="C8" s="15">
        <f t="array" aca="1" ref="C8:C16" ca="1">FREQUENCY(E8:N17,B8:B16)/COUNT(E8:N17)</f>
        <v>0</v>
      </c>
      <c r="D8" s="3"/>
      <c r="E8" s="16">
        <f t="array" ref="E8:N17" ca="1">ROUND(_xlfn.NORM.INV(RAND(),C3,C4),0)</f>
        <v>86</v>
      </c>
      <c r="F8" s="16">
        <f ca="1"/>
        <v>68</v>
      </c>
      <c r="G8" s="16">
        <f ca="1"/>
        <v>82</v>
      </c>
      <c r="H8" s="16">
        <f ca="1"/>
        <v>73</v>
      </c>
      <c r="I8" s="16">
        <f ca="1"/>
        <v>77</v>
      </c>
      <c r="J8" s="16">
        <f ca="1"/>
        <v>73</v>
      </c>
      <c r="K8" s="16">
        <f ca="1"/>
        <v>71</v>
      </c>
      <c r="L8" s="16">
        <f ca="1"/>
        <v>75</v>
      </c>
      <c r="M8" s="16">
        <f ca="1"/>
        <v>73</v>
      </c>
      <c r="N8" s="16">
        <f ca="1"/>
        <v>74</v>
      </c>
      <c r="Q8"/>
      <c r="R8"/>
      <c r="S8"/>
      <c r="T8"/>
      <c r="U8"/>
      <c r="V8"/>
    </row>
    <row r="9" spans="2:22" ht="16">
      <c r="B9" s="12">
        <v>60</v>
      </c>
      <c r="C9" s="15">
        <f ca="1"/>
        <v>0</v>
      </c>
      <c r="D9" s="3"/>
      <c r="E9" s="16">
        <f ca="1"/>
        <v>74</v>
      </c>
      <c r="F9" s="16">
        <f ca="1"/>
        <v>65</v>
      </c>
      <c r="G9" s="16">
        <f ca="1"/>
        <v>72</v>
      </c>
      <c r="H9" s="16">
        <f ca="1"/>
        <v>76</v>
      </c>
      <c r="I9" s="16">
        <f ca="1"/>
        <v>81</v>
      </c>
      <c r="J9" s="16">
        <f ca="1"/>
        <v>74</v>
      </c>
      <c r="K9" s="16">
        <f ca="1"/>
        <v>72</v>
      </c>
      <c r="L9" s="16">
        <f ca="1"/>
        <v>78</v>
      </c>
      <c r="M9" s="16">
        <f ca="1"/>
        <v>86</v>
      </c>
      <c r="N9" s="16">
        <f ca="1"/>
        <v>72</v>
      </c>
      <c r="Q9"/>
      <c r="R9"/>
      <c r="S9"/>
      <c r="T9"/>
      <c r="U9"/>
      <c r="V9"/>
    </row>
    <row r="10" spans="2:22" ht="16">
      <c r="B10" s="12">
        <v>65</v>
      </c>
      <c r="C10" s="15">
        <f ca="1"/>
        <v>0.02</v>
      </c>
      <c r="D10" s="3"/>
      <c r="E10" s="16">
        <f ca="1"/>
        <v>73</v>
      </c>
      <c r="F10" s="16">
        <f ca="1"/>
        <v>77</v>
      </c>
      <c r="G10" s="16">
        <f ca="1"/>
        <v>73</v>
      </c>
      <c r="H10" s="16">
        <f ca="1"/>
        <v>82</v>
      </c>
      <c r="I10" s="16">
        <f ca="1"/>
        <v>68</v>
      </c>
      <c r="J10" s="16">
        <f ca="1"/>
        <v>75</v>
      </c>
      <c r="K10" s="16">
        <f ca="1"/>
        <v>75</v>
      </c>
      <c r="L10" s="16">
        <f ca="1"/>
        <v>70</v>
      </c>
      <c r="M10" s="16">
        <f ca="1"/>
        <v>73</v>
      </c>
      <c r="N10" s="16">
        <f ca="1"/>
        <v>73</v>
      </c>
      <c r="Q10"/>
      <c r="R10"/>
      <c r="S10"/>
      <c r="T10"/>
      <c r="U10"/>
      <c r="V10"/>
    </row>
    <row r="11" spans="2:22" ht="16">
      <c r="B11" s="12">
        <v>70</v>
      </c>
      <c r="C11" s="15">
        <f ca="1"/>
        <v>0.13</v>
      </c>
      <c r="D11" s="3"/>
      <c r="E11" s="16">
        <f ca="1"/>
        <v>73</v>
      </c>
      <c r="F11" s="16">
        <f ca="1"/>
        <v>75</v>
      </c>
      <c r="G11" s="16">
        <f ca="1"/>
        <v>70</v>
      </c>
      <c r="H11" s="16">
        <f ca="1"/>
        <v>71</v>
      </c>
      <c r="I11" s="16">
        <f ca="1"/>
        <v>73</v>
      </c>
      <c r="J11" s="16">
        <f ca="1"/>
        <v>80</v>
      </c>
      <c r="K11" s="16">
        <f ca="1"/>
        <v>73</v>
      </c>
      <c r="L11" s="16">
        <f ca="1"/>
        <v>74</v>
      </c>
      <c r="M11" s="16">
        <f ca="1"/>
        <v>69</v>
      </c>
      <c r="N11" s="16">
        <f ca="1"/>
        <v>86</v>
      </c>
      <c r="Q11"/>
      <c r="R11"/>
      <c r="S11"/>
      <c r="T11"/>
      <c r="U11"/>
      <c r="V11"/>
    </row>
    <row r="12" spans="2:22">
      <c r="B12" s="12">
        <v>75</v>
      </c>
      <c r="C12" s="15">
        <f ca="1"/>
        <v>0.46</v>
      </c>
      <c r="D12" s="3"/>
      <c r="E12" s="16">
        <f ca="1"/>
        <v>75</v>
      </c>
      <c r="F12" s="16">
        <f ca="1"/>
        <v>70</v>
      </c>
      <c r="G12" s="16">
        <f ca="1"/>
        <v>77</v>
      </c>
      <c r="H12" s="16">
        <f ca="1"/>
        <v>78</v>
      </c>
      <c r="I12" s="16">
        <f ca="1"/>
        <v>67</v>
      </c>
      <c r="J12" s="16">
        <f ca="1"/>
        <v>70</v>
      </c>
      <c r="K12" s="16">
        <f ca="1"/>
        <v>76</v>
      </c>
      <c r="L12" s="16">
        <f ca="1"/>
        <v>71</v>
      </c>
      <c r="M12" s="16">
        <f ca="1"/>
        <v>72</v>
      </c>
      <c r="N12" s="16">
        <f ca="1"/>
        <v>84</v>
      </c>
    </row>
    <row r="13" spans="2:22">
      <c r="B13" s="12">
        <v>80</v>
      </c>
      <c r="C13" s="15">
        <f ca="1"/>
        <v>0.25</v>
      </c>
      <c r="D13" s="3"/>
      <c r="E13" s="16">
        <f ca="1"/>
        <v>81</v>
      </c>
      <c r="F13" s="16">
        <f ca="1"/>
        <v>81</v>
      </c>
      <c r="G13" s="16">
        <f ca="1"/>
        <v>71</v>
      </c>
      <c r="H13" s="16">
        <f ca="1"/>
        <v>77</v>
      </c>
      <c r="I13" s="16">
        <f ca="1"/>
        <v>84</v>
      </c>
      <c r="J13" s="16">
        <f ca="1"/>
        <v>74</v>
      </c>
      <c r="K13" s="16">
        <f ca="1"/>
        <v>77</v>
      </c>
      <c r="L13" s="16">
        <f ca="1"/>
        <v>77</v>
      </c>
      <c r="M13" s="16">
        <f ca="1"/>
        <v>72</v>
      </c>
      <c r="N13" s="16">
        <f ca="1"/>
        <v>78</v>
      </c>
    </row>
    <row r="14" spans="2:22">
      <c r="B14" s="12">
        <v>85</v>
      </c>
      <c r="C14" s="15">
        <f ca="1"/>
        <v>0.11</v>
      </c>
      <c r="D14" s="3"/>
      <c r="E14" s="16">
        <f ca="1"/>
        <v>71</v>
      </c>
      <c r="F14" s="16">
        <f ca="1"/>
        <v>78</v>
      </c>
      <c r="G14" s="16">
        <f ca="1"/>
        <v>83</v>
      </c>
      <c r="H14" s="16">
        <f ca="1"/>
        <v>74</v>
      </c>
      <c r="I14" s="16">
        <f ca="1"/>
        <v>70</v>
      </c>
      <c r="J14" s="16">
        <f ca="1"/>
        <v>73</v>
      </c>
      <c r="K14" s="16">
        <f ca="1"/>
        <v>64</v>
      </c>
      <c r="L14" s="16">
        <f ca="1"/>
        <v>79</v>
      </c>
      <c r="M14" s="16">
        <f ca="1"/>
        <v>80</v>
      </c>
      <c r="N14" s="16">
        <f ca="1"/>
        <v>79</v>
      </c>
    </row>
    <row r="15" spans="2:22">
      <c r="B15" s="12">
        <v>90</v>
      </c>
      <c r="C15" s="15">
        <f ca="1"/>
        <v>0.03</v>
      </c>
      <c r="D15" s="3"/>
      <c r="E15" s="16">
        <f ca="1"/>
        <v>70</v>
      </c>
      <c r="F15" s="16">
        <f ca="1"/>
        <v>72</v>
      </c>
      <c r="G15" s="16">
        <f ca="1"/>
        <v>79</v>
      </c>
      <c r="H15" s="16">
        <f ca="1"/>
        <v>82</v>
      </c>
      <c r="I15" s="16">
        <f ca="1"/>
        <v>78</v>
      </c>
      <c r="J15" s="16">
        <f ca="1"/>
        <v>69</v>
      </c>
      <c r="K15" s="16">
        <f ca="1"/>
        <v>79</v>
      </c>
      <c r="L15" s="16">
        <f ca="1"/>
        <v>70</v>
      </c>
      <c r="M15" s="16">
        <f ca="1"/>
        <v>70</v>
      </c>
      <c r="N15" s="16">
        <f ca="1"/>
        <v>71</v>
      </c>
    </row>
    <row r="16" spans="2:22">
      <c r="B16" s="12">
        <v>95</v>
      </c>
      <c r="C16" s="15">
        <f ca="1"/>
        <v>0</v>
      </c>
      <c r="D16" s="3"/>
      <c r="E16" s="16">
        <f ca="1"/>
        <v>71</v>
      </c>
      <c r="F16" s="16">
        <f ca="1"/>
        <v>76</v>
      </c>
      <c r="G16" s="16">
        <f ca="1"/>
        <v>71</v>
      </c>
      <c r="H16" s="16">
        <f ca="1"/>
        <v>78</v>
      </c>
      <c r="I16" s="16">
        <f ca="1"/>
        <v>80</v>
      </c>
      <c r="J16" s="16">
        <f ca="1"/>
        <v>74</v>
      </c>
      <c r="K16" s="16">
        <f ca="1"/>
        <v>75</v>
      </c>
      <c r="L16" s="16">
        <f ca="1"/>
        <v>73</v>
      </c>
      <c r="M16" s="16">
        <f ca="1"/>
        <v>78</v>
      </c>
      <c r="N16" s="16">
        <f ca="1"/>
        <v>85</v>
      </c>
    </row>
    <row r="17" spans="2:14">
      <c r="B17" s="10" t="s">
        <v>7</v>
      </c>
      <c r="C17" s="14">
        <f ca="1">SUM(C10:C15)</f>
        <v>1</v>
      </c>
      <c r="D17" s="3"/>
      <c r="E17" s="16">
        <f ca="1"/>
        <v>74</v>
      </c>
      <c r="F17" s="16">
        <f ca="1"/>
        <v>80</v>
      </c>
      <c r="G17" s="16">
        <f ca="1"/>
        <v>73</v>
      </c>
      <c r="H17" s="16">
        <f ca="1"/>
        <v>72</v>
      </c>
      <c r="I17" s="16">
        <f ca="1"/>
        <v>73</v>
      </c>
      <c r="J17" s="16">
        <f ca="1"/>
        <v>74</v>
      </c>
      <c r="K17" s="16">
        <f ca="1"/>
        <v>77</v>
      </c>
      <c r="L17" s="16">
        <f ca="1"/>
        <v>72</v>
      </c>
      <c r="M17" s="16">
        <f ca="1"/>
        <v>72</v>
      </c>
      <c r="N17" s="16">
        <f ca="1"/>
        <v>81</v>
      </c>
    </row>
    <row r="18" spans="2:14" ht="8.25" customHeight="1"/>
  </sheetData>
  <mergeCells count="1">
    <mergeCell ref="B2:C2"/>
  </mergeCells>
  <phoneticPr fontId="4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7" sqref="L17"/>
    </sheetView>
  </sheetViews>
  <sheetFormatPr defaultRowHeight="15.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"/>
  <sheetViews>
    <sheetView showGridLines="0" workbookViewId="0">
      <selection activeCell="D18" sqref="D18"/>
    </sheetView>
  </sheetViews>
  <sheetFormatPr defaultColWidth="8" defaultRowHeight="15"/>
  <cols>
    <col min="1" max="1" width="2.07421875" style="1" customWidth="1"/>
    <col min="2" max="2" width="8.15234375" style="1" customWidth="1"/>
    <col min="3" max="3" width="8.07421875" style="1" customWidth="1"/>
    <col min="4" max="4" width="8.84375" style="1" customWidth="1"/>
    <col min="5" max="5" width="1.84375" style="1" customWidth="1"/>
    <col min="6" max="14" width="4.53515625" style="1" customWidth="1"/>
    <col min="15" max="15" width="4.921875" style="1" customWidth="1"/>
    <col min="16" max="16384" width="8" style="1"/>
  </cols>
  <sheetData>
    <row r="1" spans="2:22" ht="12" customHeight="1"/>
    <row r="2" spans="2:22">
      <c r="B2" s="7" t="s">
        <v>8</v>
      </c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</row>
    <row r="3" spans="2:22">
      <c r="B3" s="10" t="s">
        <v>9</v>
      </c>
      <c r="C3" s="10" t="s">
        <v>10</v>
      </c>
      <c r="D3" s="10" t="s">
        <v>11</v>
      </c>
      <c r="E3" s="3"/>
      <c r="F3" s="11" t="s">
        <v>12</v>
      </c>
      <c r="G3" s="11"/>
      <c r="H3" s="8">
        <f ca="1">RAND()</f>
        <v>0.68683477518392066</v>
      </c>
      <c r="I3" s="3"/>
      <c r="J3" s="3"/>
      <c r="K3" s="3"/>
      <c r="L3" s="3"/>
      <c r="M3" s="3"/>
      <c r="N3" s="3"/>
    </row>
    <row r="4" spans="2:22">
      <c r="B4" s="13">
        <v>0</v>
      </c>
      <c r="C4" s="14">
        <v>0.1</v>
      </c>
      <c r="D4" s="12">
        <v>50</v>
      </c>
      <c r="E4" s="3"/>
      <c r="F4" s="11" t="s">
        <v>13</v>
      </c>
      <c r="G4" s="11"/>
      <c r="H4" s="17">
        <f ca="1">VLOOKUP(H3,B4:D8,3)</f>
        <v>70</v>
      </c>
      <c r="I4" s="3"/>
      <c r="J4" s="3"/>
      <c r="K4" s="3"/>
      <c r="L4" s="3"/>
      <c r="M4" s="3"/>
      <c r="N4" s="3"/>
    </row>
    <row r="5" spans="2:22">
      <c r="B5" s="13">
        <f>B4+C4</f>
        <v>0.1</v>
      </c>
      <c r="C5" s="14">
        <v>0.25</v>
      </c>
      <c r="D5" s="12">
        <v>60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2:22">
      <c r="B6" s="13">
        <f>B5+C5</f>
        <v>0.35</v>
      </c>
      <c r="C6" s="14">
        <v>0.35</v>
      </c>
      <c r="D6" s="12">
        <v>70</v>
      </c>
      <c r="E6" s="3"/>
      <c r="F6" s="5" t="s">
        <v>6</v>
      </c>
      <c r="G6" s="3"/>
      <c r="H6" s="3"/>
      <c r="I6" s="3"/>
      <c r="J6" s="3"/>
      <c r="K6" s="3"/>
      <c r="L6" s="3"/>
      <c r="M6" s="3"/>
      <c r="N6" s="3"/>
      <c r="O6" s="3"/>
    </row>
    <row r="7" spans="2:22">
      <c r="B7" s="13">
        <f>B6+C6</f>
        <v>0.7</v>
      </c>
      <c r="C7" s="14">
        <v>0.2</v>
      </c>
      <c r="D7" s="12">
        <v>80</v>
      </c>
      <c r="E7" s="3"/>
      <c r="F7" s="16">
        <f t="array" ref="F7:O16" ca="1">VLOOKUP(RAND(),B4:D8,3)</f>
        <v>60</v>
      </c>
      <c r="G7" s="16">
        <f ca="1"/>
        <v>70</v>
      </c>
      <c r="H7" s="16">
        <f ca="1"/>
        <v>70</v>
      </c>
      <c r="I7" s="16">
        <f ca="1"/>
        <v>80</v>
      </c>
      <c r="J7" s="16">
        <f ca="1"/>
        <v>80</v>
      </c>
      <c r="K7" s="16">
        <f ca="1"/>
        <v>50</v>
      </c>
      <c r="L7" s="16">
        <f ca="1"/>
        <v>70</v>
      </c>
      <c r="M7" s="16">
        <f ca="1"/>
        <v>70</v>
      </c>
      <c r="N7" s="16">
        <f ca="1"/>
        <v>60</v>
      </c>
      <c r="O7" s="16">
        <f ca="1"/>
        <v>80</v>
      </c>
    </row>
    <row r="8" spans="2:22">
      <c r="B8" s="13">
        <f>B7+C7</f>
        <v>0.89999999999999991</v>
      </c>
      <c r="C8" s="14">
        <v>0.1</v>
      </c>
      <c r="D8" s="12">
        <v>90</v>
      </c>
      <c r="E8" s="3"/>
      <c r="F8" s="16">
        <f ca="1"/>
        <v>60</v>
      </c>
      <c r="G8" s="16">
        <f ca="1"/>
        <v>90</v>
      </c>
      <c r="H8" s="16">
        <f ca="1"/>
        <v>60</v>
      </c>
      <c r="I8" s="16">
        <f ca="1"/>
        <v>60</v>
      </c>
      <c r="J8" s="16">
        <f ca="1"/>
        <v>60</v>
      </c>
      <c r="K8" s="16">
        <f ca="1"/>
        <v>60</v>
      </c>
      <c r="L8" s="16">
        <f ca="1"/>
        <v>70</v>
      </c>
      <c r="M8" s="16">
        <f ca="1"/>
        <v>70</v>
      </c>
      <c r="N8" s="16">
        <f ca="1"/>
        <v>90</v>
      </c>
      <c r="O8" s="16">
        <f ca="1"/>
        <v>80</v>
      </c>
    </row>
    <row r="9" spans="2:22">
      <c r="B9" s="4"/>
      <c r="C9" s="4"/>
      <c r="D9" s="3"/>
      <c r="E9" s="3"/>
      <c r="F9" s="16">
        <f ca="1"/>
        <v>70</v>
      </c>
      <c r="G9" s="16">
        <f ca="1"/>
        <v>50</v>
      </c>
      <c r="H9" s="16">
        <f ca="1"/>
        <v>90</v>
      </c>
      <c r="I9" s="16">
        <f ca="1"/>
        <v>50</v>
      </c>
      <c r="J9" s="16">
        <f ca="1"/>
        <v>70</v>
      </c>
      <c r="K9" s="16">
        <f ca="1"/>
        <v>80</v>
      </c>
      <c r="L9" s="16">
        <f ca="1"/>
        <v>70</v>
      </c>
      <c r="M9" s="16">
        <f ca="1"/>
        <v>60</v>
      </c>
      <c r="N9" s="16">
        <f ca="1"/>
        <v>90</v>
      </c>
      <c r="O9" s="16">
        <f ca="1"/>
        <v>50</v>
      </c>
    </row>
    <row r="10" spans="2:22" ht="16">
      <c r="B10" s="6" t="s">
        <v>4</v>
      </c>
      <c r="C10" s="5" t="s">
        <v>5</v>
      </c>
      <c r="D10" s="3"/>
      <c r="E10"/>
      <c r="F10" s="16">
        <f ca="1"/>
        <v>60</v>
      </c>
      <c r="G10" s="16">
        <f ca="1"/>
        <v>80</v>
      </c>
      <c r="H10" s="16">
        <f ca="1"/>
        <v>80</v>
      </c>
      <c r="I10" s="16">
        <f ca="1"/>
        <v>90</v>
      </c>
      <c r="J10" s="16">
        <f ca="1"/>
        <v>60</v>
      </c>
      <c r="K10" s="16">
        <f ca="1"/>
        <v>60</v>
      </c>
      <c r="L10" s="16">
        <f ca="1"/>
        <v>80</v>
      </c>
      <c r="M10" s="16">
        <f ca="1"/>
        <v>60</v>
      </c>
      <c r="N10" s="16">
        <f ca="1"/>
        <v>70</v>
      </c>
      <c r="O10" s="16">
        <f ca="1"/>
        <v>70</v>
      </c>
      <c r="P10"/>
    </row>
    <row r="11" spans="2:22" ht="16">
      <c r="B11" s="12">
        <v>50</v>
      </c>
      <c r="C11" s="15">
        <f t="array" aca="1" ref="C11:C15" ca="1">FREQUENCY(F7:O16,B11:B15)/COUNT(F7:O16)</f>
        <v>0.11</v>
      </c>
      <c r="D11" s="3"/>
      <c r="E11"/>
      <c r="F11" s="16">
        <f ca="1"/>
        <v>60</v>
      </c>
      <c r="G11" s="16">
        <f ca="1"/>
        <v>80</v>
      </c>
      <c r="H11" s="16">
        <f ca="1"/>
        <v>70</v>
      </c>
      <c r="I11" s="16">
        <f ca="1"/>
        <v>70</v>
      </c>
      <c r="J11" s="16">
        <f ca="1"/>
        <v>70</v>
      </c>
      <c r="K11" s="16">
        <f ca="1"/>
        <v>70</v>
      </c>
      <c r="L11" s="16">
        <f ca="1"/>
        <v>60</v>
      </c>
      <c r="M11" s="16">
        <f ca="1"/>
        <v>70</v>
      </c>
      <c r="N11" s="16">
        <f ca="1"/>
        <v>60</v>
      </c>
      <c r="O11" s="16">
        <f ca="1"/>
        <v>60</v>
      </c>
      <c r="P11"/>
      <c r="Q11"/>
      <c r="R11"/>
      <c r="S11"/>
      <c r="T11"/>
      <c r="U11"/>
      <c r="V11"/>
    </row>
    <row r="12" spans="2:22" ht="16">
      <c r="B12" s="12">
        <v>60</v>
      </c>
      <c r="C12" s="15">
        <f ca="1"/>
        <v>0.33</v>
      </c>
      <c r="D12" s="3"/>
      <c r="E12"/>
      <c r="F12" s="16">
        <f ca="1"/>
        <v>70</v>
      </c>
      <c r="G12" s="16">
        <f ca="1"/>
        <v>60</v>
      </c>
      <c r="H12" s="16">
        <f ca="1"/>
        <v>70</v>
      </c>
      <c r="I12" s="16">
        <f ca="1"/>
        <v>50</v>
      </c>
      <c r="J12" s="16">
        <f ca="1"/>
        <v>60</v>
      </c>
      <c r="K12" s="16">
        <f ca="1"/>
        <v>70</v>
      </c>
      <c r="L12" s="16">
        <f ca="1"/>
        <v>70</v>
      </c>
      <c r="M12" s="16">
        <f ca="1"/>
        <v>60</v>
      </c>
      <c r="N12" s="16">
        <f ca="1"/>
        <v>90</v>
      </c>
      <c r="O12" s="16">
        <f ca="1"/>
        <v>70</v>
      </c>
      <c r="P12"/>
      <c r="Q12"/>
      <c r="R12"/>
      <c r="S12"/>
      <c r="T12"/>
      <c r="U12"/>
      <c r="V12"/>
    </row>
    <row r="13" spans="2:22" ht="16">
      <c r="B13" s="12">
        <v>70</v>
      </c>
      <c r="C13" s="15">
        <f ca="1"/>
        <v>0.33</v>
      </c>
      <c r="D13" s="3"/>
      <c r="E13"/>
      <c r="F13" s="16">
        <f ca="1"/>
        <v>70</v>
      </c>
      <c r="G13" s="16">
        <f ca="1"/>
        <v>50</v>
      </c>
      <c r="H13" s="16">
        <f ca="1"/>
        <v>50</v>
      </c>
      <c r="I13" s="16">
        <f ca="1"/>
        <v>80</v>
      </c>
      <c r="J13" s="16">
        <f ca="1"/>
        <v>50</v>
      </c>
      <c r="K13" s="16">
        <f ca="1"/>
        <v>70</v>
      </c>
      <c r="L13" s="16">
        <f ca="1"/>
        <v>60</v>
      </c>
      <c r="M13" s="16">
        <f ca="1"/>
        <v>70</v>
      </c>
      <c r="N13" s="16">
        <f ca="1"/>
        <v>50</v>
      </c>
      <c r="O13" s="16">
        <f ca="1"/>
        <v>70</v>
      </c>
      <c r="P13"/>
      <c r="Q13"/>
      <c r="R13"/>
      <c r="S13"/>
      <c r="T13"/>
      <c r="U13"/>
      <c r="V13"/>
    </row>
    <row r="14" spans="2:22" ht="16">
      <c r="B14" s="12">
        <v>80</v>
      </c>
      <c r="C14" s="15">
        <f ca="1"/>
        <v>0.17</v>
      </c>
      <c r="D14" s="3"/>
      <c r="E14"/>
      <c r="F14" s="16">
        <f ca="1"/>
        <v>50</v>
      </c>
      <c r="G14" s="16">
        <f ca="1"/>
        <v>70</v>
      </c>
      <c r="H14" s="16">
        <f ca="1"/>
        <v>60</v>
      </c>
      <c r="I14" s="16">
        <f ca="1"/>
        <v>60</v>
      </c>
      <c r="J14" s="16">
        <f ca="1"/>
        <v>60</v>
      </c>
      <c r="K14" s="16">
        <f ca="1"/>
        <v>60</v>
      </c>
      <c r="L14" s="16">
        <f ca="1"/>
        <v>70</v>
      </c>
      <c r="M14" s="16">
        <f ca="1"/>
        <v>80</v>
      </c>
      <c r="N14" s="16">
        <f ca="1"/>
        <v>70</v>
      </c>
      <c r="O14" s="16">
        <f ca="1"/>
        <v>70</v>
      </c>
      <c r="P14"/>
      <c r="Q14"/>
      <c r="R14"/>
      <c r="S14"/>
      <c r="T14"/>
      <c r="U14"/>
      <c r="V14"/>
    </row>
    <row r="15" spans="2:22" ht="16">
      <c r="B15" s="12">
        <v>90</v>
      </c>
      <c r="C15" s="15">
        <f ca="1"/>
        <v>0.06</v>
      </c>
      <c r="D15" s="3"/>
      <c r="E15"/>
      <c r="F15" s="16">
        <f ca="1"/>
        <v>80</v>
      </c>
      <c r="G15" s="16">
        <f ca="1"/>
        <v>80</v>
      </c>
      <c r="H15" s="16">
        <f ca="1"/>
        <v>80</v>
      </c>
      <c r="I15" s="16">
        <f ca="1"/>
        <v>60</v>
      </c>
      <c r="J15" s="16">
        <f ca="1"/>
        <v>70</v>
      </c>
      <c r="K15" s="16">
        <f ca="1"/>
        <v>60</v>
      </c>
      <c r="L15" s="16">
        <f ca="1"/>
        <v>70</v>
      </c>
      <c r="M15" s="16">
        <f ca="1"/>
        <v>70</v>
      </c>
      <c r="N15" s="16">
        <f ca="1"/>
        <v>60</v>
      </c>
      <c r="O15" s="16">
        <f ca="1"/>
        <v>60</v>
      </c>
      <c r="P15"/>
    </row>
    <row r="16" spans="2:22" ht="16">
      <c r="B16" s="10" t="s">
        <v>7</v>
      </c>
      <c r="C16" s="14">
        <f ca="1">SUM(C11:C15)</f>
        <v>1</v>
      </c>
      <c r="D16" s="3"/>
      <c r="E16"/>
      <c r="F16" s="16">
        <f ca="1"/>
        <v>60</v>
      </c>
      <c r="G16" s="16">
        <f ca="1"/>
        <v>70</v>
      </c>
      <c r="H16" s="16">
        <f ca="1"/>
        <v>80</v>
      </c>
      <c r="I16" s="16">
        <f ca="1"/>
        <v>60</v>
      </c>
      <c r="J16" s="16">
        <f ca="1"/>
        <v>50</v>
      </c>
      <c r="K16" s="16">
        <f ca="1"/>
        <v>80</v>
      </c>
      <c r="L16" s="16">
        <f ca="1"/>
        <v>60</v>
      </c>
      <c r="M16" s="16">
        <f ca="1"/>
        <v>80</v>
      </c>
      <c r="N16" s="16">
        <f ca="1"/>
        <v>60</v>
      </c>
      <c r="O16" s="16">
        <f ca="1"/>
        <v>60</v>
      </c>
      <c r="P16"/>
    </row>
    <row r="17" spans="4:16" ht="16">
      <c r="D17" s="3"/>
      <c r="E17"/>
      <c r="F17"/>
      <c r="G17"/>
      <c r="H17"/>
      <c r="I17"/>
      <c r="J17"/>
      <c r="K17"/>
      <c r="L17"/>
      <c r="M17"/>
      <c r="N17"/>
      <c r="O17"/>
      <c r="P17"/>
    </row>
    <row r="18" spans="4:16" ht="16">
      <c r="D18" s="3"/>
      <c r="E18"/>
      <c r="F18"/>
      <c r="G18"/>
      <c r="H18"/>
      <c r="I18"/>
      <c r="J18"/>
      <c r="K18"/>
      <c r="L18"/>
      <c r="M18"/>
      <c r="N18"/>
      <c r="O18"/>
      <c r="P18"/>
    </row>
    <row r="19" spans="4:16" ht="16">
      <c r="D19" s="3"/>
      <c r="E19"/>
      <c r="F19"/>
      <c r="G19"/>
      <c r="H19"/>
      <c r="I19"/>
      <c r="J19"/>
      <c r="K19"/>
      <c r="L19"/>
      <c r="M19"/>
      <c r="N19"/>
      <c r="O19"/>
      <c r="P19"/>
    </row>
    <row r="20" spans="4:16" ht="16">
      <c r="D20" s="3"/>
      <c r="E20"/>
      <c r="F20"/>
      <c r="G20"/>
      <c r="H20"/>
      <c r="I20"/>
      <c r="J20"/>
      <c r="K20"/>
      <c r="L20"/>
      <c r="M20"/>
      <c r="N20"/>
      <c r="O20"/>
      <c r="P20"/>
    </row>
    <row r="21" spans="4:16" ht="8.25" customHeight="1">
      <c r="E21"/>
      <c r="F21"/>
      <c r="G21"/>
      <c r="H21"/>
      <c r="I21"/>
      <c r="J21"/>
      <c r="K21"/>
      <c r="L21"/>
      <c r="M21"/>
      <c r="N21"/>
      <c r="O21"/>
      <c r="P21"/>
    </row>
    <row r="22" spans="4:16" ht="16">
      <c r="E22"/>
      <c r="F22"/>
      <c r="G22"/>
      <c r="H22"/>
      <c r="I22"/>
      <c r="J22"/>
      <c r="K22"/>
      <c r="L22"/>
      <c r="M22"/>
      <c r="N22"/>
      <c r="O22"/>
      <c r="P22"/>
    </row>
  </sheetData>
  <mergeCells count="2">
    <mergeCell ref="F3:G3"/>
    <mergeCell ref="F4:G4"/>
  </mergeCells>
  <phoneticPr fontId="4" type="noConversion"/>
  <printOptions headings="1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8" sqref="K8"/>
    </sheetView>
  </sheetViews>
  <sheetFormatPr defaultRowHeight="15.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例8-5</vt:lpstr>
      <vt:lpstr>生成均匀分布的随机数模型</vt:lpstr>
      <vt:lpstr>均匀分布图形</vt:lpstr>
      <vt:lpstr>生成正态分布随机数模型</vt:lpstr>
      <vt:lpstr>正态分布图形</vt:lpstr>
      <vt:lpstr>生成离散型特定分布随机数模型</vt:lpstr>
      <vt:lpstr>离散分布图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laomaden</dc:creator>
  <cp:lastModifiedBy>张喆</cp:lastModifiedBy>
  <dcterms:created xsi:type="dcterms:W3CDTF">2004-08-12T00:54:38Z</dcterms:created>
  <dcterms:modified xsi:type="dcterms:W3CDTF">2020-05-29T05:08:49Z</dcterms:modified>
</cp:coreProperties>
</file>