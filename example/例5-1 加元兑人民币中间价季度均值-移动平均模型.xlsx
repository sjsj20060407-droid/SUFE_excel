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E39882F3-2C7F-44D2-BAF6-AA570311CD66}" xr6:coauthVersionLast="47" xr6:coauthVersionMax="47" xr10:uidLastSave="{00000000-0000-0000-0000-000000000000}"/>
  <bookViews>
    <workbookView xWindow="-98" yWindow="-98" windowWidth="21795" windowHeight="12975" activeTab="2" xr2:uid="{BDFE2DC4-0A6E-46CE-B8A6-77EEBCD63AA3}"/>
  </bookViews>
  <sheets>
    <sheet name="例5-1" sheetId="4" r:id="rId1"/>
    <sheet name="数据分析工具" sheetId="3" r:id="rId2"/>
    <sheet name="移动平均模型" sheetId="1" r:id="rId3"/>
    <sheet name="Sheet2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E2" i="1"/>
  <c r="E3" i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5" i="1"/>
  <c r="H5" i="1" l="1"/>
  <c r="H6" i="1" s="1"/>
  <c r="E30" i="1" l="1"/>
  <c r="E7" i="3" l="1"/>
  <c r="G9" i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S3" i="2" l="1"/>
  <c r="S4" i="2" s="1"/>
  <c r="M88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2" i="2"/>
  <c r="Q2" i="2" l="1"/>
  <c r="Q5" i="2" s="1"/>
  <c r="H2" i="1" l="1"/>
  <c r="G10" i="1" l="1"/>
  <c r="K2" i="1"/>
</calcChain>
</file>

<file path=xl/sharedStrings.xml><?xml version="1.0" encoding="utf-8"?>
<sst xmlns="http://schemas.openxmlformats.org/spreadsheetml/2006/main" count="290" uniqueCount="40">
  <si>
    <t>2017年</t>
  </si>
  <si>
    <t>第一季</t>
  </si>
  <si>
    <t>第二季</t>
  </si>
  <si>
    <t>第三季</t>
  </si>
  <si>
    <t>第四季</t>
  </si>
  <si>
    <t>2018年</t>
  </si>
  <si>
    <t>2019年</t>
  </si>
  <si>
    <t>2020年</t>
  </si>
  <si>
    <t>2021年</t>
  </si>
  <si>
    <t>2022年</t>
  </si>
  <si>
    <t>2023年</t>
  </si>
  <si>
    <t>2024年</t>
  </si>
  <si>
    <t>年份</t>
    <phoneticPr fontId="2" type="noConversion"/>
  </si>
  <si>
    <t>季度</t>
    <phoneticPr fontId="2" type="noConversion"/>
  </si>
  <si>
    <t>平均值项:中间价:加元兑人民币</t>
  </si>
  <si>
    <t>序号</t>
    <phoneticPr fontId="2" type="noConversion"/>
  </si>
  <si>
    <t>加元兑人民币中间价季度均值</t>
    <phoneticPr fontId="2" type="noConversion"/>
  </si>
  <si>
    <t>日期</t>
    <phoneticPr fontId="3" type="noConversion"/>
  </si>
  <si>
    <t>中间价:加元兑人民币</t>
  </si>
  <si>
    <t>求和项:中间价:加元兑人民币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</si>
  <si>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</si>
  <si>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</si>
  <si>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</si>
  <si>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</si>
  <si>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</si>
  <si>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</si>
  <si>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</si>
  <si>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</si>
  <si>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</si>
  <si>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</si>
  <si>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</si>
  <si>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</si>
  <si>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年(日期)</t>
  </si>
  <si>
    <t>月(日期)</t>
  </si>
  <si>
    <t>预测值</t>
    <phoneticPr fontId="2" type="noConversion"/>
  </si>
  <si>
    <t>移动平均跨度</t>
    <phoneticPr fontId="2" type="noConversion"/>
  </si>
  <si>
    <t>MSE</t>
    <phoneticPr fontId="2" type="noConversion"/>
  </si>
  <si>
    <t>MSE最小值</t>
    <phoneticPr fontId="2" type="noConversion"/>
  </si>
  <si>
    <t>最优的移动平均跨度</t>
    <phoneticPr fontId="2" type="noConversion"/>
  </si>
  <si>
    <t>2024年1季度的最优预测值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</si>
</sst>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_ "/>
    <numFmt numFmtId="178" formatCode="0.00000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0" fontId="0" fillId="0" borderId="0" xfId="0" pivotButton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0" xfId="0" applyFont="1" applyFill="1">
      <alignment vertical="center"/>
    </xf>
    <xf numFmtId="0" fontId="6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178" fontId="6" fillId="0" borderId="8" xfId="0" applyNumberFormat="1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6" fillId="0" borderId="11" xfId="0" applyNumberFormat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0" fillId="0" borderId="1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加元兑人民币中间价的季度均值与预测值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观测值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数据分析工具!$C$2:$C$30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数据分析工具!$D$2:$D$29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3-453C-958A-A78805A3C424}"/>
            </c:ext>
          </c:extLst>
        </c:ser>
        <c:ser>
          <c:idx val="1"/>
          <c:order val="1"/>
          <c:tx>
            <c:v>预测值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8"/>
              <c:layout>
                <c:manualLayout>
                  <c:x val="-1.8677485854658841E-16"/>
                  <c:y val="6.2992115569534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7C-4985-82FA-A62C94FF1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数据分析工具!$C$2:$C$30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数据分析工具!$E$2:$E$30</c:f>
              <c:numCache>
                <c:formatCode>General</c:formatCode>
                <c:ptCount val="29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 formatCode="0.00000">
                  <c:v>5.1679738465884402</c:v>
                </c:pt>
                <c:pt idx="6" formatCode="0.00000">
                  <c:v>5.116685123424598</c:v>
                </c:pt>
                <c:pt idx="7" formatCode="0.00000">
                  <c:v>5.1367276650912652</c:v>
                </c:pt>
                <c:pt idx="8" formatCode="0.00000">
                  <c:v>5.1199424343220334</c:v>
                </c:pt>
                <c:pt idx="9" formatCode="0.00000">
                  <c:v>5.0950447906438736</c:v>
                </c:pt>
                <c:pt idx="10" formatCode="0.00000">
                  <c:v>5.1080462313218389</c:v>
                </c:pt>
                <c:pt idx="11" formatCode="0.00000">
                  <c:v>5.1795927954244032</c:v>
                </c:pt>
                <c:pt idx="12" formatCode="0.00000">
                  <c:v>5.205704363047353</c:v>
                </c:pt>
                <c:pt idx="13" formatCode="0.00000">
                  <c:v>5.1972276044266632</c:v>
                </c:pt>
                <c:pt idx="14" formatCode="0.00000">
                  <c:v>5.2059870842630165</c:v>
                </c:pt>
                <c:pt idx="15" formatCode="0.00000">
                  <c:v>5.225550266081199</c:v>
                </c:pt>
                <c:pt idx="16" formatCode="0.00000">
                  <c:v>5.1817173686453017</c:v>
                </c:pt>
                <c:pt idx="17" formatCode="0.00000">
                  <c:v>5.1401659949878695</c:v>
                </c:pt>
                <c:pt idx="18" formatCode="0.00000">
                  <c:v>5.1541250869418915</c:v>
                </c:pt>
                <c:pt idx="19" formatCode="0.00000">
                  <c:v>5.1594696049503668</c:v>
                </c:pt>
                <c:pt idx="20" formatCode="0.00000">
                  <c:v>5.1350763411649716</c:v>
                </c:pt>
                <c:pt idx="21" formatCode="0.00000">
                  <c:v>5.1214549043833619</c:v>
                </c:pt>
                <c:pt idx="22" formatCode="0.00000">
                  <c:v>5.1330745303330989</c:v>
                </c:pt>
                <c:pt idx="23" formatCode="0.00000">
                  <c:v>5.1295872739228425</c:v>
                </c:pt>
                <c:pt idx="24" formatCode="0.00000">
                  <c:v>5.1474739197561759</c:v>
                </c:pt>
                <c:pt idx="25" formatCode="0.00000">
                  <c:v>5.1451130695199989</c:v>
                </c:pt>
                <c:pt idx="26" formatCode="0.00000">
                  <c:v>5.186718715341156</c:v>
                </c:pt>
                <c:pt idx="27" formatCode="0.00000">
                  <c:v>5.2291292079259009</c:v>
                </c:pt>
                <c:pt idx="28" formatCode="0.00000">
                  <c:v>5.2341934643361583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D3-453C-958A-A78805A3C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63680"/>
        <c:axId val="26659840"/>
      </c:lineChart>
      <c:catAx>
        <c:axId val="26663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59840"/>
        <c:crosses val="autoZero"/>
        <c:auto val="1"/>
        <c:lblAlgn val="ctr"/>
        <c:lblOffset val="100"/>
        <c:noMultiLvlLbl val="0"/>
      </c:catAx>
      <c:valAx>
        <c:axId val="2665984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63680"/>
        <c:crosses val="autoZero"/>
        <c:crossBetween val="between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/>
              <a:t>加元兑人民币的中间价季度均值时间序列</a:t>
            </a:r>
          </a:p>
        </c:rich>
      </c:tx>
      <c:layout>
        <c:manualLayout>
          <c:xMode val="edge"/>
          <c:yMode val="edge"/>
          <c:x val="0.18298807281858129"/>
          <c:y val="0.137362637362637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2357607841392705E-2"/>
          <c:y val="0.28800366300366298"/>
          <c:w val="0.88311634068340328"/>
          <c:h val="0.6057771624700757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392607174103238E-2"/>
                  <c:y val="-0.178346092155147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val>
            <c:numRef>
              <c:f>移动平均模型!$D$2:$D$29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F-4C29-89EA-B76FF0DB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6947216"/>
        <c:axId val="1946950576"/>
      </c:lineChart>
      <c:catAx>
        <c:axId val="1946947216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6950576"/>
        <c:crosses val="autoZero"/>
        <c:auto val="1"/>
        <c:lblAlgn val="ctr"/>
        <c:lblOffset val="100"/>
        <c:noMultiLvlLbl val="0"/>
      </c:catAx>
      <c:valAx>
        <c:axId val="194695057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694721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加元兑人民币的中间价季度均值及移动平均预测值图形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25925925925925924"/>
          <c:w val="0.89655796150481193"/>
          <c:h val="0.63334135316418771"/>
        </c:manualLayout>
      </c:layout>
      <c:lineChart>
        <c:grouping val="standard"/>
        <c:varyColors val="0"/>
        <c:ser>
          <c:idx val="0"/>
          <c:order val="0"/>
          <c:tx>
            <c:v>观测值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移动平均模型!$C$2:$C$30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移动平均模型!$D$2:$D$29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C-4D38-9006-EB9687FA2790}"/>
            </c:ext>
          </c:extLst>
        </c:ser>
        <c:ser>
          <c:idx val="1"/>
          <c:order val="1"/>
          <c:tx>
            <c:v>预测值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移动平均模型!$C$2:$C$30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移动平均模型!$E$2:$E$30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5.2046865898884542</c:v>
                </c:pt>
                <c:pt idx="4">
                  <c:v>5.2034948290598289</c:v>
                </c:pt>
                <c:pt idx="5">
                  <c:v>5.1804518723743298</c:v>
                </c:pt>
                <c:pt idx="6">
                  <c:v>5.0560942655367223</c:v>
                </c:pt>
                <c:pt idx="7">
                  <c:v>5.0575835016478345</c:v>
                </c:pt>
                <c:pt idx="8">
                  <c:v>5.1246342361111106</c:v>
                </c:pt>
                <c:pt idx="9">
                  <c:v>5.1674276077586212</c:v>
                </c:pt>
                <c:pt idx="10">
                  <c:v>5.1326494827586204</c:v>
                </c:pt>
                <c:pt idx="11">
                  <c:v>5.155511534040671</c:v>
                </c:pt>
                <c:pt idx="12">
                  <c:v>5.242016122320301</c:v>
                </c:pt>
                <c:pt idx="13">
                  <c:v>5.273269857952485</c:v>
                </c:pt>
                <c:pt idx="14">
                  <c:v>5.21141808915631</c:v>
                </c:pt>
                <c:pt idx="15">
                  <c:v>5.1657259878150299</c:v>
                </c:pt>
                <c:pt idx="16">
                  <c:v>5.1296611410717361</c:v>
                </c:pt>
                <c:pt idx="17">
                  <c:v>5.1323143068617219</c:v>
                </c:pt>
                <c:pt idx="18">
                  <c:v>5.1542278927203062</c:v>
                </c:pt>
                <c:pt idx="19">
                  <c:v>5.1743384829980847</c:v>
                </c:pt>
                <c:pt idx="20">
                  <c:v>5.1572432314435339</c:v>
                </c:pt>
                <c:pt idx="21">
                  <c:v>5.0752108368075186</c:v>
                </c:pt>
                <c:pt idx="22">
                  <c:v>5.0883225158329433</c:v>
                </c:pt>
                <c:pt idx="23">
                  <c:v>5.1450794473167596</c:v>
                </c:pt>
                <c:pt idx="24">
                  <c:v>5.217703508619441</c:v>
                </c:pt>
                <c:pt idx="25">
                  <c:v>5.1773074634217009</c:v>
                </c:pt>
                <c:pt idx="26">
                  <c:v>5.1704299058380414</c:v>
                </c:pt>
                <c:pt idx="27">
                  <c:v>5.2244146627824852</c:v>
                </c:pt>
                <c:pt idx="28">
                  <c:v>5.1833788085657719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C-4D38-9006-EB9687FA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312784"/>
        <c:axId val="232037024"/>
      </c:lineChart>
      <c:catAx>
        <c:axId val="19363127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2037024"/>
        <c:crosses val="autoZero"/>
        <c:auto val="1"/>
        <c:lblAlgn val="ctr"/>
        <c:lblOffset val="100"/>
        <c:noMultiLvlLbl val="0"/>
      </c:catAx>
      <c:valAx>
        <c:axId val="232037024"/>
        <c:scaling>
          <c:orientation val="minMax"/>
          <c:max val="6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6312784"/>
        <c:crosses val="autoZero"/>
        <c:crossBetween val="between"/>
      </c:valAx>
      <c:spPr>
        <a:noFill/>
        <a:ln>
          <a:solidFill>
            <a:schemeClr val="lt1">
              <a:shade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4666666666666668"/>
          <c:y val="0.28298556430446198"/>
          <c:w val="0.3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24458071133968784"/>
          <c:w val="0.89100240594925639"/>
          <c:h val="0.666716946320899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移动平均模型!$D$2:$D$29</c:f>
              <c:numCache>
                <c:formatCode>General</c:formatCode>
                <c:ptCount val="28"/>
                <c:pt idx="0">
                  <c:v>5.1989169491525429</c:v>
                </c:pt>
                <c:pt idx="1">
                  <c:v>5.0995966666666668</c:v>
                </c:pt>
                <c:pt idx="2">
                  <c:v>5.315546153846153</c:v>
                </c:pt>
                <c:pt idx="3">
                  <c:v>5.1953416666666667</c:v>
                </c:pt>
                <c:pt idx="4">
                  <c:v>5.0304677966101696</c:v>
                </c:pt>
                <c:pt idx="5">
                  <c:v>4.9424733333333331</c:v>
                </c:pt>
                <c:pt idx="6">
                  <c:v>5.199809375000001</c:v>
                </c:pt>
                <c:pt idx="7">
                  <c:v>5.2316200000000004</c:v>
                </c:pt>
                <c:pt idx="8">
                  <c:v>5.0708534482758623</c:v>
                </c:pt>
                <c:pt idx="9">
                  <c:v>5.0954749999999995</c:v>
                </c:pt>
                <c:pt idx="10">
                  <c:v>5.300206153846152</c:v>
                </c:pt>
                <c:pt idx="11">
                  <c:v>5.3303672131147524</c:v>
                </c:pt>
                <c:pt idx="12">
                  <c:v>5.1892362068965499</c:v>
                </c:pt>
                <c:pt idx="13">
                  <c:v>5.1146508474576287</c:v>
                </c:pt>
                <c:pt idx="14">
                  <c:v>5.1932909090909112</c:v>
                </c:pt>
                <c:pt idx="15">
                  <c:v>5.0810416666666667</c:v>
                </c:pt>
                <c:pt idx="16">
                  <c:v>5.1226103448275868</c:v>
                </c:pt>
                <c:pt idx="17">
                  <c:v>5.259031666666667</c:v>
                </c:pt>
                <c:pt idx="18">
                  <c:v>5.1413734375000004</c:v>
                </c:pt>
                <c:pt idx="19">
                  <c:v>5.0713245901639352</c:v>
                </c:pt>
                <c:pt idx="20">
                  <c:v>5.0129344827586211</c:v>
                </c:pt>
                <c:pt idx="21">
                  <c:v>5.1807084745762726</c:v>
                </c:pt>
                <c:pt idx="22">
                  <c:v>5.2415953846153842</c:v>
                </c:pt>
                <c:pt idx="23">
                  <c:v>5.2308066666666662</c:v>
                </c:pt>
                <c:pt idx="24">
                  <c:v>5.0595203389830514</c:v>
                </c:pt>
                <c:pt idx="25">
                  <c:v>5.2209627118644066</c:v>
                </c:pt>
                <c:pt idx="26">
                  <c:v>5.3927609374999985</c:v>
                </c:pt>
                <c:pt idx="27">
                  <c:v>5.2669166666666651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4-4F64-A03B-84B1508DB5E9}"/>
            </c:ext>
          </c:extLst>
        </c:ser>
        <c:ser>
          <c:idx val="1"/>
          <c:order val="1"/>
          <c:tx>
            <c:strRef>
              <c:f>移动平均模型!$E$2:$E$29</c:f>
              <c:strCache>
                <c:ptCount val="28"/>
                <c:pt idx="0">
                  <c:v>5.198916949</c:v>
                </c:pt>
                <c:pt idx="1">
                  <c:v>5.099596667</c:v>
                </c:pt>
                <c:pt idx="2">
                  <c:v>5.315546154</c:v>
                </c:pt>
                <c:pt idx="3">
                  <c:v>5.20468659</c:v>
                </c:pt>
                <c:pt idx="4">
                  <c:v>5.203494829</c:v>
                </c:pt>
                <c:pt idx="5">
                  <c:v>5.180451872</c:v>
                </c:pt>
                <c:pt idx="6">
                  <c:v>5.056094266</c:v>
                </c:pt>
                <c:pt idx="7">
                  <c:v>5.057583502</c:v>
                </c:pt>
                <c:pt idx="8">
                  <c:v>5.124634236</c:v>
                </c:pt>
                <c:pt idx="9">
                  <c:v>5.167427608</c:v>
                </c:pt>
                <c:pt idx="10">
                  <c:v>5.132649483</c:v>
                </c:pt>
                <c:pt idx="11">
                  <c:v>5.155511534</c:v>
                </c:pt>
                <c:pt idx="12">
                  <c:v>5.242016122</c:v>
                </c:pt>
                <c:pt idx="13">
                  <c:v>5.273269858</c:v>
                </c:pt>
                <c:pt idx="14">
                  <c:v>5.211418089</c:v>
                </c:pt>
                <c:pt idx="15">
                  <c:v>5.165725988</c:v>
                </c:pt>
                <c:pt idx="16">
                  <c:v>5.129661141</c:v>
                </c:pt>
                <c:pt idx="17">
                  <c:v>5.132314307</c:v>
                </c:pt>
                <c:pt idx="18">
                  <c:v>5.154227893</c:v>
                </c:pt>
                <c:pt idx="19">
                  <c:v>5.174338483</c:v>
                </c:pt>
                <c:pt idx="20">
                  <c:v>5.157243231</c:v>
                </c:pt>
                <c:pt idx="21">
                  <c:v>5.075210837</c:v>
                </c:pt>
                <c:pt idx="22">
                  <c:v>5.088322516</c:v>
                </c:pt>
                <c:pt idx="23">
                  <c:v>5.145079447</c:v>
                </c:pt>
                <c:pt idx="24">
                  <c:v>5.217703509</c:v>
                </c:pt>
                <c:pt idx="25">
                  <c:v>5.177307463</c:v>
                </c:pt>
                <c:pt idx="26">
                  <c:v>5.170429906</c:v>
                </c:pt>
                <c:pt idx="27">
                  <c:v>5.224414663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移动平均模型!$E$2:$E$29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5.2046865898884542</c:v>
                </c:pt>
                <c:pt idx="4">
                  <c:v>5.2034948290598289</c:v>
                </c:pt>
                <c:pt idx="5">
                  <c:v>5.1804518723743298</c:v>
                </c:pt>
                <c:pt idx="6">
                  <c:v>5.0560942655367223</c:v>
                </c:pt>
                <c:pt idx="7">
                  <c:v>5.0575835016478345</c:v>
                </c:pt>
                <c:pt idx="8">
                  <c:v>5.1246342361111106</c:v>
                </c:pt>
                <c:pt idx="9">
                  <c:v>5.1674276077586212</c:v>
                </c:pt>
                <c:pt idx="10">
                  <c:v>5.1326494827586204</c:v>
                </c:pt>
                <c:pt idx="11">
                  <c:v>5.155511534040671</c:v>
                </c:pt>
                <c:pt idx="12">
                  <c:v>5.242016122320301</c:v>
                </c:pt>
                <c:pt idx="13">
                  <c:v>5.273269857952485</c:v>
                </c:pt>
                <c:pt idx="14">
                  <c:v>5.21141808915631</c:v>
                </c:pt>
                <c:pt idx="15">
                  <c:v>5.1657259878150299</c:v>
                </c:pt>
                <c:pt idx="16">
                  <c:v>5.1296611410717361</c:v>
                </c:pt>
                <c:pt idx="17">
                  <c:v>5.1323143068617219</c:v>
                </c:pt>
                <c:pt idx="18">
                  <c:v>5.1542278927203062</c:v>
                </c:pt>
                <c:pt idx="19">
                  <c:v>5.1743384829980847</c:v>
                </c:pt>
                <c:pt idx="20">
                  <c:v>5.1572432314435339</c:v>
                </c:pt>
                <c:pt idx="21">
                  <c:v>5.0752108368075186</c:v>
                </c:pt>
                <c:pt idx="22">
                  <c:v>5.0883225158329433</c:v>
                </c:pt>
                <c:pt idx="23">
                  <c:v>5.1450794473167596</c:v>
                </c:pt>
                <c:pt idx="24">
                  <c:v>5.217703508619441</c:v>
                </c:pt>
                <c:pt idx="25">
                  <c:v>5.1773074634217009</c:v>
                </c:pt>
                <c:pt idx="26">
                  <c:v>5.1704299058380414</c:v>
                </c:pt>
                <c:pt idx="27">
                  <c:v>5.2244146627824852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4-4F64-A03B-84B1508DB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368"/>
        <c:axId val="11572208"/>
      </c:lineChart>
      <c:catAx>
        <c:axId val="1156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72208"/>
        <c:crosses val="autoZero"/>
        <c:auto val="1"/>
        <c:lblAlgn val="ctr"/>
        <c:lblOffset val="100"/>
        <c:noMultiLvlLbl val="0"/>
      </c:catAx>
      <c:valAx>
        <c:axId val="1157220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6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661198600174975E-2"/>
                  <c:y val="-0.228592884222805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val>
            <c:numRef>
              <c:f>Sheet2!$L$2:$L$87</c:f>
              <c:numCache>
                <c:formatCode>General</c:formatCode>
                <c:ptCount val="86"/>
                <c:pt idx="0">
                  <c:v>5.2123888888888894</c:v>
                </c:pt>
                <c:pt idx="1">
                  <c:v>5.2436555555555566</c:v>
                </c:pt>
                <c:pt idx="2">
                  <c:v>5.1533608695652164</c:v>
                </c:pt>
                <c:pt idx="3">
                  <c:v>5.1315666666666671</c:v>
                </c:pt>
                <c:pt idx="4">
                  <c:v>5.060109999999999</c:v>
                </c:pt>
                <c:pt idx="5">
                  <c:v>5.1093363636363645</c:v>
                </c:pt>
                <c:pt idx="6">
                  <c:v>5.3185190476190467</c:v>
                </c:pt>
                <c:pt idx="7">
                  <c:v>5.2927434782608698</c:v>
                </c:pt>
                <c:pt idx="8">
                  <c:v>5.3375476190476192</c:v>
                </c:pt>
                <c:pt idx="9">
                  <c:v>5.2518470588235298</c:v>
                </c:pt>
                <c:pt idx="10">
                  <c:v>5.1850818181818186</c:v>
                </c:pt>
                <c:pt idx="11">
                  <c:v>5.1603476190476201</c:v>
                </c:pt>
                <c:pt idx="12">
                  <c:v>5.173513636363638</c:v>
                </c:pt>
                <c:pt idx="13">
                  <c:v>5.0253133333333331</c:v>
                </c:pt>
                <c:pt idx="14">
                  <c:v>4.8909363636363636</c:v>
                </c:pt>
                <c:pt idx="15">
                  <c:v>4.9488055555555555</c:v>
                </c:pt>
                <c:pt idx="16">
                  <c:v>4.9548681818181821</c:v>
                </c:pt>
                <c:pt idx="17">
                  <c:v>4.9231399999999992</c:v>
                </c:pt>
                <c:pt idx="18">
                  <c:v>5.1036136363636357</c:v>
                </c:pt>
                <c:pt idx="19">
                  <c:v>5.2526913043478256</c:v>
                </c:pt>
                <c:pt idx="20">
                  <c:v>5.2471789473684209</c:v>
                </c:pt>
                <c:pt idx="21">
                  <c:v>5.3129388888888895</c:v>
                </c:pt>
                <c:pt idx="22">
                  <c:v>5.2572363636363626</c:v>
                </c:pt>
                <c:pt idx="23">
                  <c:v>5.130255</c:v>
                </c:pt>
                <c:pt idx="24">
                  <c:v>5.0982999999999992</c:v>
                </c:pt>
                <c:pt idx="25">
                  <c:v>5.0977066666666673</c:v>
                </c:pt>
                <c:pt idx="26">
                  <c:v>5.0229190476190482</c:v>
                </c:pt>
                <c:pt idx="27">
                  <c:v>5.0206</c:v>
                </c:pt>
                <c:pt idx="28">
                  <c:v>5.0933950000000001</c:v>
                </c:pt>
                <c:pt idx="29">
                  <c:v>5.1804210526315773</c:v>
                </c:pt>
                <c:pt idx="30">
                  <c:v>5.2497782608695651</c:v>
                </c:pt>
                <c:pt idx="31">
                  <c:v>5.2998227272727281</c:v>
                </c:pt>
                <c:pt idx="32">
                  <c:v>5.3586199999999993</c:v>
                </c:pt>
                <c:pt idx="33">
                  <c:v>5.3727999999999998</c:v>
                </c:pt>
                <c:pt idx="34">
                  <c:v>5.3033238095238104</c:v>
                </c:pt>
                <c:pt idx="35">
                  <c:v>5.3214636363636361</c:v>
                </c:pt>
                <c:pt idx="36">
                  <c:v>5.305593749999999</c:v>
                </c:pt>
                <c:pt idx="37">
                  <c:v>5.2659849999999997</c:v>
                </c:pt>
                <c:pt idx="38">
                  <c:v>5.0348409090909092</c:v>
                </c:pt>
                <c:pt idx="39">
                  <c:v>5.0324619047619032</c:v>
                </c:pt>
                <c:pt idx="40">
                  <c:v>5.0818500000000011</c:v>
                </c:pt>
                <c:pt idx="41">
                  <c:v>5.2304699999999995</c:v>
                </c:pt>
                <c:pt idx="42">
                  <c:v>5.1881043478260871</c:v>
                </c:pt>
                <c:pt idx="43">
                  <c:v>5.2348190476190473</c:v>
                </c:pt>
                <c:pt idx="44">
                  <c:v>5.1590727272727266</c:v>
                </c:pt>
                <c:pt idx="45">
                  <c:v>5.0897687500000011</c:v>
                </c:pt>
                <c:pt idx="46">
                  <c:v>5.0508666666666659</c:v>
                </c:pt>
                <c:pt idx="47">
                  <c:v>5.1025217391304345</c:v>
                </c:pt>
                <c:pt idx="48">
                  <c:v>5.0925349999999998</c:v>
                </c:pt>
                <c:pt idx="49">
                  <c:v>5.08514</c:v>
                </c:pt>
                <c:pt idx="50">
                  <c:v>5.1732000000000014</c:v>
                </c:pt>
                <c:pt idx="51">
                  <c:v>5.2145047619047613</c:v>
                </c:pt>
                <c:pt idx="52">
                  <c:v>5.3115944444444452</c:v>
                </c:pt>
                <c:pt idx="53">
                  <c:v>5.2585047619047618</c:v>
                </c:pt>
                <c:pt idx="54">
                  <c:v>5.17265</c:v>
                </c:pt>
                <c:pt idx="55">
                  <c:v>5.1446227272727265</c:v>
                </c:pt>
                <c:pt idx="56">
                  <c:v>5.1033950000000017</c:v>
                </c:pt>
                <c:pt idx="57">
                  <c:v>5.1745812499999992</c:v>
                </c:pt>
                <c:pt idx="58">
                  <c:v>5.0963227272727272</c:v>
                </c:pt>
                <c:pt idx="59">
                  <c:v>4.9755826086956523</c:v>
                </c:pt>
                <c:pt idx="60">
                  <c:v>5.0406105263157892</c:v>
                </c:pt>
                <c:pt idx="61">
                  <c:v>4.9847687499999997</c:v>
                </c:pt>
                <c:pt idx="62">
                  <c:v>5.0096652173913041</c:v>
                </c:pt>
                <c:pt idx="63">
                  <c:v>5.0894473684210526</c:v>
                </c:pt>
                <c:pt idx="64">
                  <c:v>5.2195105263157879</c:v>
                </c:pt>
                <c:pt idx="65">
                  <c:v>5.2281714285714278</c:v>
                </c:pt>
                <c:pt idx="66">
                  <c:v>5.2048999999999994</c:v>
                </c:pt>
                <c:pt idx="67">
                  <c:v>5.2651565217391303</c:v>
                </c:pt>
                <c:pt idx="68">
                  <c:v>5.2524857142857151</c:v>
                </c:pt>
                <c:pt idx="69">
                  <c:v>5.2191374999999995</c:v>
                </c:pt>
                <c:pt idx="70">
                  <c:v>5.3289136363636356</c:v>
                </c:pt>
                <c:pt idx="71">
                  <c:v>5.1411863636363648</c:v>
                </c:pt>
                <c:pt idx="72">
                  <c:v>5.0550687499999993</c:v>
                </c:pt>
                <c:pt idx="73">
                  <c:v>5.0838900000000011</c:v>
                </c:pt>
                <c:pt idx="74">
                  <c:v>5.0414260869565215</c:v>
                </c:pt>
                <c:pt idx="75">
                  <c:v>5.1069105263157892</c:v>
                </c:pt>
                <c:pt idx="76">
                  <c:v>5.1760400000000004</c:v>
                </c:pt>
                <c:pt idx="77">
                  <c:v>5.3742350000000005</c:v>
                </c:pt>
                <c:pt idx="78">
                  <c:v>5.4389238095238097</c:v>
                </c:pt>
                <c:pt idx="79">
                  <c:v>5.3803782608695645</c:v>
                </c:pt>
                <c:pt idx="80">
                  <c:v>5.35853</c:v>
                </c:pt>
                <c:pt idx="81">
                  <c:v>5.2704176470588227</c:v>
                </c:pt>
                <c:pt idx="82">
                  <c:v>5.2330499999999995</c:v>
                </c:pt>
                <c:pt idx="83">
                  <c:v>5.2995619047619051</c:v>
                </c:pt>
                <c:pt idx="84">
                  <c:v>5.3132909090909104</c:v>
                </c:pt>
                <c:pt idx="85">
                  <c:v>5.2874749999999997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5-4627-AE33-FFD1EE8C1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161136"/>
        <c:axId val="2002160176"/>
      </c:lineChart>
      <c:catAx>
        <c:axId val="200216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160176"/>
        <c:crosses val="autoZero"/>
        <c:auto val="1"/>
        <c:lblAlgn val="ctr"/>
        <c:lblOffset val="100"/>
        <c:noMultiLvlLbl val="0"/>
      </c:catAx>
      <c:valAx>
        <c:axId val="20021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16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H$1" max="27" min="12" page="10" val="12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12701</xdr:colOff>
      <xdr:row>1</xdr:row>
      <xdr:rowOff>9526</xdr:rowOff>
    </xdr:from>
    <xdr:to>
      <xdr:col>9</xdr:col>
      <xdr:colOff>654051</xdr:colOff>
      <xdr:row>6</xdr:row>
      <xdr:rowOff>120650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67051" y="187326"/>
          <a:ext cx="4603750" cy="1000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】从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数据库获取了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2017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日至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日的加元兑人民币的中间价，共计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1741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条数据。数据如图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5-6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所示。根据图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5-6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中的数据建立移动平均模型预测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季度的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元兑人民币的中间价的均值。</a:t>
          </a:r>
        </a:p>
        <a:p>
          <a:endParaRPr lang="zh-CN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1</xdr:row>
      <xdr:rowOff>42862</xdr:rowOff>
    </xdr:from>
    <xdr:to>
      <xdr:col>14</xdr:col>
      <xdr:colOff>200025</xdr:colOff>
      <xdr:row>32</xdr:row>
      <xdr:rowOff>167640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115887</xdr:colOff>
      <xdr:row>3</xdr:row>
      <xdr:rowOff>53340</xdr:rowOff>
    </xdr:from>
    <xdr:to>
      <xdr:col>19</xdr:col>
      <xdr:colOff>555307</xdr:colOff>
      <xdr:row>16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95250</xdr:colOff>
      <xdr:row>17</xdr:row>
      <xdr:rowOff>100012</xdr:rowOff>
    </xdr:from>
    <xdr:to>
      <xdr:col>19</xdr:col>
      <xdr:colOff>552450</xdr:colOff>
      <xdr:row>32</xdr:row>
      <xdr:rowOff>128587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8057030" y="3052763"/>
          <a:ext cx="4356847" cy="2633942"/>
          <a:chOff x="8572500" y="3176587"/>
          <a:chExt cx="4572000" cy="27432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8572500" y="317658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pinner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200-000001040000}"/>
                  </a:ext>
                </a:extLst>
              </xdr:cNvPr>
              <xdr:cNvSpPr/>
            </xdr:nvSpPr>
            <xdr:spPr bwMode="auto">
              <a:xfrm>
                <a:off x="9001126" y="3552825"/>
                <a:ext cx="314326" cy="2476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$G$9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9372600" y="3552825"/>
            <a:ext cx="1343025" cy="2667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CFE76ED-536C-427E-B94B-24DEF218E55C}" type="TxLink">
              <a:rPr lang="zh-CN" altLang="en-US" sz="1000" b="0" i="0" u="none" strike="noStrike">
                <a:solidFill>
                  <a:srgbClr val="000000"/>
                </a:solidFill>
                <a:latin typeface="等线"/>
                <a:ea typeface="等线"/>
              </a:rPr>
              <a:pPr/>
              <a:t>移动平均跨度=3</a:t>
            </a:fld>
            <a:endParaRPr lang="zh-CN" altLang="en-US" sz="1100"/>
          </a:p>
        </xdr:txBody>
      </xdr:sp>
      <xdr:sp macro="" textlink="$G$10">
        <xdr:nvSpPr>
          <xdr:cNvPr id="5" name="文本框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10848975" y="3552825"/>
            <a:ext cx="1257300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6D6BEE9-4039-497B-A474-F913CDEDA471}" type="TxLink">
              <a:rPr lang="en-US" altLang="en-US" sz="1000" b="0" i="0" u="none" strike="noStrike">
                <a:solidFill>
                  <a:srgbClr val="000000"/>
                </a:solidFill>
                <a:latin typeface="等线"/>
                <a:ea typeface="等线"/>
              </a:rPr>
              <a:pPr/>
              <a:t>MSE=0.02</a:t>
            </a:fld>
            <a:endParaRPr lang="zh-CN" altLang="en-US" sz="1100"/>
          </a:p>
        </xdr:txBody>
      </xdr:sp>
    </xdr:grpSp>
    <xdr:clientData/>
  </xdr:twoCellAnchor>
  <xdr:twoCellAnchor>
    <xdr:from>
      <xdr:col>4</xdr:col>
      <xdr:colOff>420219</xdr:colOff>
      <xdr:row>31</xdr:row>
      <xdr:rowOff>128867</xdr:rowOff>
    </xdr:from>
    <xdr:to>
      <xdr:col>12</xdr:col>
      <xdr:colOff>582704</xdr:colOff>
      <xdr:row>50</xdr:row>
      <xdr:rowOff>150158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979C2FE-5772-5AFE-6D08-1E261E2CD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681037</xdr:colOff>
      <xdr:row>7</xdr:row>
      <xdr:rowOff>66675</xdr:rowOff>
    </xdr:from>
    <xdr:to>
      <xdr:col>11</xdr:col>
      <xdr:colOff>319087</xdr:colOff>
      <xdr:row>22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e" refreshedDate="45371.905367708336" createdVersion="8" refreshedVersion="8" minRefreshableVersion="3" recordCount="1741" xr:uid="{FA7F5AA9-B745-47A2-B14A-0A46392EEC9D}">
  <cacheSource type="worksheet">
    <worksheetSource ref="A1:B1742" sheet="Sheet2"/>
  </cacheSource>
  <cacheFields count="5">
    <cacheField name="日期" numFmtId="176">
      <sharedItems containsSemiMixedTypes="0" containsNonDate="0" containsDate="1" containsString="0" minDate="2017-01-03T00:00:00" maxDate="2024-03-05T00:00:00" count="1741"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5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3-30T00:00:00"/>
        <d v="2018-04-02T00:00:00"/>
        <d v="2018-04-03T00:00:00"/>
        <d v="2018-04-04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5T00:00:00"/>
        <d v="2018-09-26T00:00:00"/>
        <d v="2018-09-27T00:00:00"/>
        <d v="2018-09-28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5T00:00:00"/>
        <d v="2018-12-26T00:00:00"/>
        <d v="2018-12-27T00:00:00"/>
        <d v="2018-12-28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19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5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5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5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6T00:00:00"/>
        <d v="2023-04-07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5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</sharedItems>
      <fieldGroup par="4"/>
    </cacheField>
    <cacheField name="中间价:加元兑人民币" numFmtId="177">
      <sharedItems containsSemiMixedTypes="0" containsString="0" containsNumber="1" minValue="4.8339999999999996" maxValue="5.4912000000000001"/>
    </cacheField>
    <cacheField name="月(日期)" numFmtId="0" databaseField="0">
      <fieldGroup base="0">
        <rangePr groupBy="months" startDate="2017-01-03T00:00:00" endDate="2024-03-05T00:00:00"/>
        <groupItems count="14">
          <s v="&lt;2017/1/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4/3/5"/>
        </groupItems>
      </fieldGroup>
    </cacheField>
    <cacheField name="季度(日期)" numFmtId="0" databaseField="0">
      <fieldGroup base="0">
        <rangePr groupBy="quarters" startDate="2017-01-03T00:00:00" endDate="2024-03-05T00:00:00"/>
        <groupItems count="6">
          <s v="&lt;2017/1/3"/>
          <s v="第一季"/>
          <s v="第二季"/>
          <s v="第三季"/>
          <s v="第四季"/>
          <s v="&gt;2024/3/5"/>
        </groupItems>
      </fieldGroup>
    </cacheField>
    <cacheField name="年(日期)" numFmtId="0" databaseField="0">
      <fieldGroup base="0">
        <rangePr groupBy="years" startDate="2017-01-03T00:00:00" endDate="2024-03-05T00:00:00"/>
        <groupItems count="10">
          <s v="&lt;2017/1/3"/>
          <s v="2017年"/>
          <s v="2018年"/>
          <s v="2019年"/>
          <s v="2020年"/>
          <s v="2021年"/>
          <s v="2022年"/>
          <s v="2023年"/>
          <s v="2024年"/>
          <s v="&gt;2024/3/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1">
  <r>
    <x v="0"/>
    <n v="5.1791"/>
  </r>
  <r>
    <x v="1"/>
    <n v="5.1893000000000002"/>
  </r>
  <r>
    <x v="2"/>
    <n v="5.2127999999999997"/>
  </r>
  <r>
    <x v="3"/>
    <n v="5.1829000000000001"/>
  </r>
  <r>
    <x v="4"/>
    <n v="5.2404999999999999"/>
  </r>
  <r>
    <x v="5"/>
    <n v="5.2397"/>
  </r>
  <r>
    <x v="6"/>
    <n v="5.2309000000000001"/>
  </r>
  <r>
    <x v="7"/>
    <n v="5.2491000000000003"/>
  </r>
  <r>
    <x v="8"/>
    <n v="5.2351999999999999"/>
  </r>
  <r>
    <x v="9"/>
    <n v="5.2493999999999996"/>
  </r>
  <r>
    <x v="10"/>
    <n v="5.2446999999999999"/>
  </r>
  <r>
    <x v="11"/>
    <n v="5.2442000000000002"/>
  </r>
  <r>
    <x v="12"/>
    <n v="5.1700999999999997"/>
  </r>
  <r>
    <x v="13"/>
    <n v="5.1596000000000002"/>
  </r>
  <r>
    <x v="14"/>
    <n v="5.1520000000000001"/>
  </r>
  <r>
    <x v="15"/>
    <n v="5.1673"/>
  </r>
  <r>
    <x v="16"/>
    <n v="5.2218"/>
  </r>
  <r>
    <x v="17"/>
    <n v="5.2544000000000004"/>
  </r>
  <r>
    <x v="18"/>
    <n v="5.2643000000000004"/>
  </r>
  <r>
    <x v="19"/>
    <n v="5.2735000000000003"/>
  </r>
  <r>
    <x v="20"/>
    <n v="5.2443"/>
  </r>
  <r>
    <x v="21"/>
    <n v="5.2268999999999997"/>
  </r>
  <r>
    <x v="22"/>
    <n v="5.2281000000000004"/>
  </r>
  <r>
    <x v="23"/>
    <n v="5.2347000000000001"/>
  </r>
  <r>
    <x v="24"/>
    <n v="5.2516999999999996"/>
  </r>
  <r>
    <x v="25"/>
    <n v="5.2657999999999996"/>
  </r>
  <r>
    <x v="26"/>
    <n v="5.2470999999999997"/>
  </r>
  <r>
    <x v="27"/>
    <n v="5.2503000000000002"/>
  </r>
  <r>
    <x v="28"/>
    <n v="5.2355999999999998"/>
  </r>
  <r>
    <x v="29"/>
    <n v="5.2542"/>
  </r>
  <r>
    <x v="30"/>
    <n v="5.2496999999999998"/>
  </r>
  <r>
    <x v="31"/>
    <n v="5.2359"/>
  </r>
  <r>
    <x v="32"/>
    <n v="5.2210000000000001"/>
  </r>
  <r>
    <x v="33"/>
    <n v="5.242"/>
  </r>
  <r>
    <x v="34"/>
    <n v="5.2483000000000004"/>
  </r>
  <r>
    <x v="35"/>
    <n v="5.2123999999999997"/>
  </r>
  <r>
    <x v="36"/>
    <n v="5.1691000000000003"/>
  </r>
  <r>
    <x v="37"/>
    <n v="5.1581999999999999"/>
  </r>
  <r>
    <x v="38"/>
    <n v="5.1463999999999999"/>
  </r>
  <r>
    <x v="39"/>
    <n v="5.1412000000000004"/>
  </r>
  <r>
    <x v="40"/>
    <n v="5.1513"/>
  </r>
  <r>
    <x v="41"/>
    <n v="5.1462000000000003"/>
  </r>
  <r>
    <x v="42"/>
    <n v="5.1280000000000001"/>
  </r>
  <r>
    <x v="43"/>
    <n v="5.1176000000000004"/>
  </r>
  <r>
    <x v="44"/>
    <n v="5.1245000000000003"/>
  </r>
  <r>
    <x v="45"/>
    <n v="5.1397000000000004"/>
  </r>
  <r>
    <x v="46"/>
    <n v="5.1296999999999997"/>
  </r>
  <r>
    <x v="47"/>
    <n v="5.1792999999999996"/>
  </r>
  <r>
    <x v="48"/>
    <n v="5.1694000000000004"/>
  </r>
  <r>
    <x v="49"/>
    <n v="5.1764000000000001"/>
  </r>
  <r>
    <x v="50"/>
    <n v="5.1764000000000001"/>
  </r>
  <r>
    <x v="51"/>
    <n v="5.1574999999999998"/>
  </r>
  <r>
    <x v="52"/>
    <n v="5.1642000000000001"/>
  </r>
  <r>
    <x v="53"/>
    <n v="5.1574999999999998"/>
  </r>
  <r>
    <x v="54"/>
    <n v="5.1528"/>
  </r>
  <r>
    <x v="55"/>
    <n v="5.1440999999999999"/>
  </r>
  <r>
    <x v="56"/>
    <n v="5.1543000000000001"/>
  </r>
  <r>
    <x v="57"/>
    <n v="5.1673"/>
  </r>
  <r>
    <x v="58"/>
    <n v="5.1761999999999997"/>
  </r>
  <r>
    <x v="59"/>
    <n v="5.1462000000000003"/>
  </r>
  <r>
    <x v="60"/>
    <n v="5.1361999999999997"/>
  </r>
  <r>
    <x v="61"/>
    <n v="5.1451000000000002"/>
  </r>
  <r>
    <x v="62"/>
    <n v="5.1558000000000002"/>
  </r>
  <r>
    <x v="63"/>
    <n v="5.1765999999999996"/>
  </r>
  <r>
    <x v="64"/>
    <n v="5.1726999999999999"/>
  </r>
  <r>
    <x v="65"/>
    <n v="5.1913"/>
  </r>
  <r>
    <x v="66"/>
    <n v="5.1681999999999997"/>
  </r>
  <r>
    <x v="67"/>
    <n v="5.1715"/>
  </r>
  <r>
    <x v="68"/>
    <n v="5.1706000000000003"/>
  </r>
  <r>
    <x v="69"/>
    <n v="5.1315"/>
  </r>
  <r>
    <x v="70"/>
    <n v="5.1104000000000003"/>
  </r>
  <r>
    <x v="71"/>
    <n v="5.1151"/>
  </r>
  <r>
    <x v="72"/>
    <n v="5.0938999999999997"/>
  </r>
  <r>
    <x v="73"/>
    <n v="5.0839999999999996"/>
  </r>
  <r>
    <x v="74"/>
    <n v="5.0726000000000004"/>
  </r>
  <r>
    <x v="75"/>
    <n v="5.0636999999999999"/>
  </r>
  <r>
    <x v="76"/>
    <n v="5.0628000000000002"/>
  </r>
  <r>
    <x v="77"/>
    <n v="5.0434999999999999"/>
  </r>
  <r>
    <x v="78"/>
    <n v="5.0289000000000001"/>
  </r>
  <r>
    <x v="79"/>
    <n v="5.0278"/>
  </r>
  <r>
    <x v="80"/>
    <n v="5.0095000000000001"/>
  </r>
  <r>
    <x v="81"/>
    <n v="5.0445000000000002"/>
  </r>
  <r>
    <x v="82"/>
    <n v="5.0509000000000004"/>
  </r>
  <r>
    <x v="83"/>
    <n v="5.0412999999999997"/>
  </r>
  <r>
    <x v="84"/>
    <n v="5.0388000000000002"/>
  </r>
  <r>
    <x v="85"/>
    <n v="5.0385"/>
  </r>
  <r>
    <x v="86"/>
    <n v="5.0225999999999997"/>
  </r>
  <r>
    <x v="87"/>
    <n v="5.0542999999999996"/>
  </r>
  <r>
    <x v="88"/>
    <n v="5.0517000000000003"/>
  </r>
  <r>
    <x v="89"/>
    <n v="5.0566000000000004"/>
  </r>
  <r>
    <x v="90"/>
    <n v="5.0696000000000003"/>
  </r>
  <r>
    <x v="91"/>
    <n v="5.0898000000000003"/>
  </r>
  <r>
    <x v="92"/>
    <n v="5.0987"/>
  </r>
  <r>
    <x v="93"/>
    <n v="5.1050000000000004"/>
  </r>
  <r>
    <x v="94"/>
    <n v="5.1288"/>
  </r>
  <r>
    <x v="95"/>
    <n v="5.1001000000000003"/>
  </r>
  <r>
    <x v="96"/>
    <n v="5.1013000000000002"/>
  </r>
  <r>
    <x v="97"/>
    <n v="5.0486000000000004"/>
  </r>
  <r>
    <x v="98"/>
    <n v="5.0380000000000003"/>
  </r>
  <r>
    <x v="99"/>
    <n v="5.0338000000000003"/>
  </r>
  <r>
    <x v="100"/>
    <n v="5.0416999999999996"/>
  </r>
  <r>
    <x v="101"/>
    <n v="5.0458999999999996"/>
  </r>
  <r>
    <x v="102"/>
    <n v="5.0301"/>
  </r>
  <r>
    <x v="103"/>
    <n v="5.0294999999999996"/>
  </r>
  <r>
    <x v="104"/>
    <n v="5.0503"/>
  </r>
  <r>
    <x v="105"/>
    <n v="5.1044999999999998"/>
  </r>
  <r>
    <x v="106"/>
    <n v="5.1318999999999999"/>
  </r>
  <r>
    <x v="107"/>
    <n v="5.1238999999999999"/>
  </r>
  <r>
    <x v="108"/>
    <n v="5.1298000000000004"/>
  </r>
  <r>
    <x v="109"/>
    <n v="5.1433999999999997"/>
  </r>
  <r>
    <x v="110"/>
    <n v="5.1520000000000001"/>
  </r>
  <r>
    <x v="111"/>
    <n v="5.1405000000000003"/>
  </r>
  <r>
    <x v="112"/>
    <n v="5.1162000000000001"/>
  </r>
  <r>
    <x v="113"/>
    <n v="5.1567999999999996"/>
  </r>
  <r>
    <x v="114"/>
    <n v="5.1436999999999999"/>
  </r>
  <r>
    <x v="115"/>
    <n v="5.1536"/>
  </r>
  <r>
    <x v="116"/>
    <n v="5.1654"/>
  </r>
  <r>
    <x v="117"/>
    <n v="5.2114000000000003"/>
  </r>
  <r>
    <x v="118"/>
    <n v="5.2144000000000004"/>
  </r>
  <r>
    <x v="119"/>
    <n v="5.2239000000000004"/>
  </r>
  <r>
    <x v="120"/>
    <n v="5.2255000000000003"/>
  </r>
  <r>
    <x v="121"/>
    <n v="5.2534000000000001"/>
  </r>
  <r>
    <x v="122"/>
    <n v="5.2449000000000003"/>
  </r>
  <r>
    <x v="123"/>
    <n v="5.2327000000000004"/>
  </r>
  <r>
    <x v="124"/>
    <n v="5.2774999999999999"/>
  </r>
  <r>
    <x v="125"/>
    <n v="5.2727000000000004"/>
  </r>
  <r>
    <x v="126"/>
    <n v="5.2569999999999997"/>
  </r>
  <r>
    <x v="127"/>
    <n v="5.3150000000000004"/>
  </r>
  <r>
    <x v="128"/>
    <n v="5.3234000000000004"/>
  </r>
  <r>
    <x v="129"/>
    <n v="5.3438999999999997"/>
  </r>
  <r>
    <x v="130"/>
    <n v="5.3278999999999996"/>
  </r>
  <r>
    <x v="131"/>
    <n v="5.3394000000000004"/>
  </r>
  <r>
    <x v="132"/>
    <n v="5.3544"/>
  </r>
  <r>
    <x v="133"/>
    <n v="5.3520000000000003"/>
  </r>
  <r>
    <x v="134"/>
    <n v="5.3764000000000003"/>
  </r>
  <r>
    <x v="135"/>
    <n v="5.3937999999999997"/>
  </r>
  <r>
    <x v="136"/>
    <n v="5.3978999999999999"/>
  </r>
  <r>
    <x v="137"/>
    <n v="5.4053000000000004"/>
  </r>
  <r>
    <x v="138"/>
    <n v="5.3696000000000002"/>
  </r>
  <r>
    <x v="139"/>
    <n v="5.4023000000000003"/>
  </r>
  <r>
    <x v="140"/>
    <n v="5.3696000000000002"/>
  </r>
  <r>
    <x v="141"/>
    <n v="5.3571999999999997"/>
  </r>
  <r>
    <x v="142"/>
    <n v="5.3452999999999999"/>
  </r>
  <r>
    <x v="143"/>
    <n v="5.3400999999999996"/>
  </r>
  <r>
    <x v="144"/>
    <n v="5.3198999999999996"/>
  </r>
  <r>
    <x v="145"/>
    <n v="5.2991999999999999"/>
  </r>
  <r>
    <x v="146"/>
    <n v="5.2939999999999996"/>
  </r>
  <r>
    <x v="147"/>
    <n v="5.2595000000000001"/>
  </r>
  <r>
    <x v="148"/>
    <n v="5.2233999999999998"/>
  </r>
  <r>
    <x v="149"/>
    <n v="5.2491000000000003"/>
  </r>
  <r>
    <x v="150"/>
    <n v="5.2393999999999998"/>
  </r>
  <r>
    <x v="151"/>
    <n v="5.2355"/>
  </r>
  <r>
    <x v="152"/>
    <n v="5.2830000000000004"/>
  </r>
  <r>
    <x v="153"/>
    <n v="5.2637"/>
  </r>
  <r>
    <x v="154"/>
    <n v="5.2972999999999999"/>
  </r>
  <r>
    <x v="155"/>
    <n v="5.3021000000000003"/>
  </r>
  <r>
    <x v="156"/>
    <n v="5.3005000000000004"/>
  </r>
  <r>
    <x v="157"/>
    <n v="5.3037000000000001"/>
  </r>
  <r>
    <x v="158"/>
    <n v="5.3216999999999999"/>
  </r>
  <r>
    <x v="159"/>
    <n v="5.3197000000000001"/>
  </r>
  <r>
    <x v="160"/>
    <n v="5.2969999999999997"/>
  </r>
  <r>
    <x v="161"/>
    <n v="5.2824999999999998"/>
  </r>
  <r>
    <x v="162"/>
    <n v="5.2297000000000002"/>
  </r>
  <r>
    <x v="163"/>
    <n v="5.2821999999999996"/>
  </r>
  <r>
    <x v="164"/>
    <n v="5.3030999999999997"/>
  </r>
  <r>
    <x v="165"/>
    <n v="5.2554999999999996"/>
  </r>
  <r>
    <x v="166"/>
    <n v="5.2812000000000001"/>
  </r>
  <r>
    <x v="167"/>
    <n v="5.3337000000000003"/>
  </r>
  <r>
    <x v="168"/>
    <n v="5.3550000000000004"/>
  </r>
  <r>
    <x v="169"/>
    <n v="5.3273999999999999"/>
  </r>
  <r>
    <x v="170"/>
    <n v="5.3890000000000002"/>
  </r>
  <r>
    <x v="171"/>
    <n v="5.3680000000000003"/>
  </r>
  <r>
    <x v="172"/>
    <n v="5.3794000000000004"/>
  </r>
  <r>
    <x v="173"/>
    <n v="5.3769"/>
  </r>
  <r>
    <x v="174"/>
    <n v="5.367"/>
  </r>
  <r>
    <x v="175"/>
    <n v="5.3391000000000002"/>
  </r>
  <r>
    <x v="176"/>
    <n v="5.3441999999999998"/>
  </r>
  <r>
    <x v="177"/>
    <n v="5.3368000000000002"/>
  </r>
  <r>
    <x v="178"/>
    <n v="5.3433999999999999"/>
  </r>
  <r>
    <x v="179"/>
    <n v="5.3402000000000003"/>
  </r>
  <r>
    <x v="180"/>
    <n v="5.3449999999999998"/>
  </r>
  <r>
    <x v="181"/>
    <n v="5.3635000000000002"/>
  </r>
  <r>
    <x v="182"/>
    <n v="5.3159999999999998"/>
  </r>
  <r>
    <x v="183"/>
    <n v="5.3418999999999999"/>
  </r>
  <r>
    <x v="184"/>
    <n v="5.3090999999999999"/>
  </r>
  <r>
    <x v="185"/>
    <n v="5.2809999999999997"/>
  </r>
  <r>
    <x v="186"/>
    <n v="5.2617000000000003"/>
  </r>
  <r>
    <x v="187"/>
    <n v="5.2858000000000001"/>
  </r>
  <r>
    <x v="188"/>
    <n v="5.2812000000000001"/>
  </r>
  <r>
    <x v="189"/>
    <n v="5.2742000000000004"/>
  </r>
  <r>
    <x v="190"/>
    <n v="5.2645"/>
  </r>
  <r>
    <x v="191"/>
    <n v="5.2843999999999998"/>
  </r>
  <r>
    <x v="192"/>
    <n v="5.3047000000000004"/>
  </r>
  <r>
    <x v="193"/>
    <n v="5.2968000000000002"/>
  </r>
  <r>
    <x v="194"/>
    <n v="5.2469000000000001"/>
  </r>
  <r>
    <x v="195"/>
    <n v="5.2436999999999996"/>
  </r>
  <r>
    <x v="196"/>
    <n v="5.2356999999999996"/>
  </r>
  <r>
    <x v="197"/>
    <n v="5.1786000000000003"/>
  </r>
  <r>
    <x v="198"/>
    <n v="5.1756000000000002"/>
  </r>
  <r>
    <x v="199"/>
    <n v="5.1821000000000002"/>
  </r>
  <r>
    <x v="200"/>
    <n v="5.1753999999999998"/>
  </r>
  <r>
    <x v="201"/>
    <n v="5.1425999999999998"/>
  </r>
  <r>
    <x v="202"/>
    <n v="5.1435000000000004"/>
  </r>
  <r>
    <x v="203"/>
    <n v="5.1576000000000004"/>
  </r>
  <r>
    <x v="204"/>
    <n v="5.1921999999999997"/>
  </r>
  <r>
    <x v="205"/>
    <n v="5.2081999999999997"/>
  </r>
  <r>
    <x v="206"/>
    <n v="5.1943999999999999"/>
  </r>
  <r>
    <x v="207"/>
    <n v="5.2115"/>
  </r>
  <r>
    <x v="208"/>
    <n v="5.2275"/>
  </r>
  <r>
    <x v="209"/>
    <n v="5.2279999999999998"/>
  </r>
  <r>
    <x v="210"/>
    <n v="5.2129000000000003"/>
  </r>
  <r>
    <x v="211"/>
    <n v="5.2050999999999998"/>
  </r>
  <r>
    <x v="212"/>
    <n v="5.1936"/>
  </r>
  <r>
    <x v="213"/>
    <n v="5.1966000000000001"/>
  </r>
  <r>
    <x v="214"/>
    <n v="5.1843000000000004"/>
  </r>
  <r>
    <x v="215"/>
    <n v="5.1786000000000003"/>
  </r>
  <r>
    <x v="216"/>
    <n v="5.1872999999999996"/>
  </r>
  <r>
    <x v="217"/>
    <n v="5.1967999999999996"/>
  </r>
  <r>
    <x v="218"/>
    <n v="5.1760999999999999"/>
  </r>
  <r>
    <x v="219"/>
    <n v="5.1824000000000003"/>
  </r>
  <r>
    <x v="220"/>
    <n v="5.1683000000000003"/>
  </r>
  <r>
    <x v="221"/>
    <n v="5.1516999999999999"/>
  </r>
  <r>
    <x v="222"/>
    <n v="5.1326000000000001"/>
  </r>
  <r>
    <x v="223"/>
    <n v="5.1234999999999999"/>
  </r>
  <r>
    <x v="224"/>
    <n v="5.2020999999999997"/>
  </r>
  <r>
    <x v="225"/>
    <n v="5.2144000000000004"/>
  </r>
  <r>
    <x v="226"/>
    <n v="5.2122000000000002"/>
  </r>
  <r>
    <x v="227"/>
    <n v="5.1759000000000004"/>
  </r>
  <r>
    <x v="228"/>
    <n v="5.1498999999999997"/>
  </r>
  <r>
    <x v="229"/>
    <n v="5.1436000000000002"/>
  </r>
  <r>
    <x v="230"/>
    <n v="5.1467000000000001"/>
  </r>
  <r>
    <x v="231"/>
    <n v="5.1470000000000002"/>
  </r>
  <r>
    <x v="232"/>
    <n v="5.1513999999999998"/>
  </r>
  <r>
    <x v="233"/>
    <n v="5.1661999999999999"/>
  </r>
  <r>
    <x v="234"/>
    <n v="5.1402999999999999"/>
  </r>
  <r>
    <x v="235"/>
    <n v="5.1368999999999998"/>
  </r>
  <r>
    <x v="236"/>
    <n v="5.1323999999999996"/>
  </r>
  <r>
    <x v="237"/>
    <n v="5.1283000000000003"/>
  </r>
  <r>
    <x v="238"/>
    <n v="5.1666999999999996"/>
  </r>
  <r>
    <x v="239"/>
    <n v="5.1627000000000001"/>
  </r>
  <r>
    <x v="240"/>
    <n v="5.1397000000000004"/>
  </r>
  <r>
    <x v="241"/>
    <n v="5.1563999999999997"/>
  </r>
  <r>
    <x v="242"/>
    <n v="5.1700999999999997"/>
  </r>
  <r>
    <x v="243"/>
    <n v="5.2008999999999999"/>
  </r>
  <r>
    <x v="244"/>
    <n v="5.1841999999999997"/>
  </r>
  <r>
    <x v="245"/>
    <n v="5.1909000000000001"/>
  </r>
  <r>
    <x v="246"/>
    <n v="5.1864999999999997"/>
  </r>
  <r>
    <x v="247"/>
    <n v="5.1993"/>
  </r>
  <r>
    <x v="248"/>
    <n v="5.2297000000000002"/>
  </r>
  <r>
    <x v="249"/>
    <n v="5.2297000000000002"/>
  </r>
  <r>
    <x v="250"/>
    <n v="5.2286000000000001"/>
  </r>
  <r>
    <x v="251"/>
    <n v="5.1965000000000003"/>
  </r>
  <r>
    <x v="252"/>
    <n v="5.1856"/>
  </r>
  <r>
    <x v="253"/>
    <n v="5.1814999999999998"/>
  </r>
  <r>
    <x v="254"/>
    <n v="5.1795999999999998"/>
  </r>
  <r>
    <x v="255"/>
    <n v="5.1753999999999998"/>
  </r>
  <r>
    <x v="256"/>
    <n v="5.1746999999999996"/>
  </r>
  <r>
    <x v="257"/>
    <n v="5.1741999999999999"/>
  </r>
  <r>
    <x v="258"/>
    <n v="5.1321000000000003"/>
  </r>
  <r>
    <x v="259"/>
    <n v="5.1401000000000003"/>
  </r>
  <r>
    <x v="260"/>
    <n v="5.1460999999999997"/>
  </r>
  <r>
    <x v="261"/>
    <n v="5.1589999999999998"/>
  </r>
  <r>
    <x v="262"/>
    <n v="5.1238000000000001"/>
  </r>
  <r>
    <x v="263"/>
    <n v="5.1353999999999997"/>
  </r>
  <r>
    <x v="264"/>
    <n v="5.1311999999999998"/>
  </r>
  <r>
    <x v="265"/>
    <n v="5.1332000000000004"/>
  </r>
  <r>
    <x v="266"/>
    <n v="5.1174999999999997"/>
  </r>
  <r>
    <x v="267"/>
    <n v="5.1247999999999996"/>
  </r>
  <r>
    <x v="268"/>
    <n v="5.0636000000000001"/>
  </r>
  <r>
    <x v="269"/>
    <n v="5.0316999999999998"/>
  </r>
  <r>
    <x v="270"/>
    <n v="5.0228000000000002"/>
  </r>
  <r>
    <x v="271"/>
    <n v="4.9943999999999997"/>
  </r>
  <r>
    <x v="272"/>
    <n v="5.0204000000000004"/>
  </r>
  <r>
    <x v="273"/>
    <n v="5.0003000000000002"/>
  </r>
  <r>
    <x v="274"/>
    <n v="5.0274000000000001"/>
  </r>
  <r>
    <x v="275"/>
    <n v="5.0381"/>
  </r>
  <r>
    <x v="276"/>
    <n v="5.0033000000000003"/>
  </r>
  <r>
    <x v="277"/>
    <n v="4.9961000000000002"/>
  </r>
  <r>
    <x v="278"/>
    <n v="5.0118999999999998"/>
  </r>
  <r>
    <x v="279"/>
    <n v="4.9757999999999996"/>
  </r>
  <r>
    <x v="280"/>
    <n v="4.9516"/>
  </r>
  <r>
    <x v="281"/>
    <n v="4.9363000000000001"/>
  </r>
  <r>
    <x v="282"/>
    <n v="4.9355000000000002"/>
  </r>
  <r>
    <x v="283"/>
    <n v="4.9195000000000002"/>
  </r>
  <r>
    <x v="284"/>
    <n v="4.8849"/>
  </r>
  <r>
    <x v="285"/>
    <n v="4.8977000000000004"/>
  </r>
  <r>
    <x v="286"/>
    <n v="4.8993000000000002"/>
  </r>
  <r>
    <x v="287"/>
    <n v="4.9202000000000004"/>
  </r>
  <r>
    <x v="288"/>
    <n v="4.9416000000000002"/>
  </r>
  <r>
    <x v="289"/>
    <n v="4.9221000000000004"/>
  </r>
  <r>
    <x v="290"/>
    <n v="4.8766999999999996"/>
  </r>
  <r>
    <x v="291"/>
    <n v="4.8737000000000004"/>
  </r>
  <r>
    <x v="292"/>
    <n v="4.8529"/>
  </r>
  <r>
    <x v="293"/>
    <n v="4.8356000000000003"/>
  </r>
  <r>
    <x v="294"/>
    <n v="4.8339999999999996"/>
  </r>
  <r>
    <x v="295"/>
    <n v="4.8497000000000003"/>
  </r>
  <r>
    <x v="296"/>
    <n v="4.8978999999999999"/>
  </r>
  <r>
    <x v="297"/>
    <n v="4.8935000000000004"/>
  </r>
  <r>
    <x v="298"/>
    <n v="4.9077000000000002"/>
  </r>
  <r>
    <x v="299"/>
    <n v="4.8884999999999996"/>
  </r>
  <r>
    <x v="300"/>
    <n v="4.8745000000000003"/>
  </r>
  <r>
    <x v="301"/>
    <n v="4.88"/>
  </r>
  <r>
    <x v="302"/>
    <n v="4.8788"/>
  </r>
  <r>
    <x v="303"/>
    <n v="4.8677000000000001"/>
  </r>
  <r>
    <x v="304"/>
    <n v="4.8650000000000002"/>
  </r>
  <r>
    <x v="305"/>
    <n v="4.9151999999999996"/>
  </r>
  <r>
    <x v="306"/>
    <n v="4.9397000000000002"/>
  </r>
  <r>
    <x v="307"/>
    <n v="4.9650999999999996"/>
  </r>
  <r>
    <x v="308"/>
    <n v="4.9943"/>
  </r>
  <r>
    <x v="309"/>
    <n v="4.9965000000000002"/>
  </r>
  <r>
    <x v="310"/>
    <n v="4.9939"/>
  </r>
  <r>
    <x v="311"/>
    <n v="4.9877000000000002"/>
  </r>
  <r>
    <x v="312"/>
    <n v="4.9924999999999997"/>
  </r>
  <r>
    <x v="313"/>
    <n v="5.0007000000000001"/>
  </r>
  <r>
    <x v="314"/>
    <n v="4.9741999999999997"/>
  </r>
  <r>
    <x v="315"/>
    <n v="4.9644000000000004"/>
  </r>
  <r>
    <x v="316"/>
    <n v="4.9362000000000004"/>
  </r>
  <r>
    <x v="317"/>
    <n v="4.9180999999999999"/>
  </r>
  <r>
    <x v="318"/>
    <n v="4.9160000000000004"/>
  </r>
  <r>
    <x v="319"/>
    <n v="4.9284999999999997"/>
  </r>
  <r>
    <x v="320"/>
    <n v="4.9227999999999996"/>
  </r>
  <r>
    <x v="321"/>
    <n v="4.9516"/>
  </r>
  <r>
    <x v="322"/>
    <n v="4.9463999999999997"/>
  </r>
  <r>
    <x v="323"/>
    <n v="4.9417999999999997"/>
  </r>
  <r>
    <x v="324"/>
    <n v="4.9471999999999996"/>
  </r>
  <r>
    <x v="325"/>
    <n v="4.9400000000000004"/>
  </r>
  <r>
    <x v="326"/>
    <n v="4.9208999999999996"/>
  </r>
  <r>
    <x v="327"/>
    <n v="4.9619999999999997"/>
  </r>
  <r>
    <x v="328"/>
    <n v="4.9737"/>
  </r>
  <r>
    <x v="329"/>
    <n v="4.9549000000000003"/>
  </r>
  <r>
    <x v="330"/>
    <n v="4.9581"/>
  </r>
  <r>
    <x v="331"/>
    <n v="4.9494999999999996"/>
  </r>
  <r>
    <x v="332"/>
    <n v="4.9806999999999997"/>
  </r>
  <r>
    <x v="333"/>
    <n v="4.9668000000000001"/>
  </r>
  <r>
    <x v="334"/>
    <n v="4.9553000000000003"/>
  </r>
  <r>
    <x v="335"/>
    <n v="4.9913999999999996"/>
  </r>
  <r>
    <x v="336"/>
    <n v="4.9743000000000004"/>
  </r>
  <r>
    <x v="337"/>
    <n v="4.9722"/>
  </r>
  <r>
    <x v="338"/>
    <n v="4.9565000000000001"/>
  </r>
  <r>
    <x v="339"/>
    <n v="4.9290000000000003"/>
  </r>
  <r>
    <x v="340"/>
    <n v="4.9275000000000002"/>
  </r>
  <r>
    <x v="341"/>
    <n v="4.9290000000000003"/>
  </r>
  <r>
    <x v="342"/>
    <n v="4.9782999999999999"/>
  </r>
  <r>
    <x v="343"/>
    <n v="4.9511000000000003"/>
  </r>
  <r>
    <x v="344"/>
    <n v="4.9535999999999998"/>
  </r>
  <r>
    <x v="345"/>
    <n v="4.9630000000000001"/>
  </r>
  <r>
    <x v="346"/>
    <n v="4.9471999999999996"/>
  </r>
  <r>
    <x v="347"/>
    <n v="4.9372999999999996"/>
  </r>
  <r>
    <x v="348"/>
    <n v="4.9328000000000003"/>
  </r>
  <r>
    <x v="349"/>
    <n v="4.9367999999999999"/>
  </r>
  <r>
    <x v="350"/>
    <n v="4.9358000000000004"/>
  </r>
  <r>
    <x v="351"/>
    <n v="4.9287999999999998"/>
  </r>
  <r>
    <x v="352"/>
    <n v="4.9276"/>
  </r>
  <r>
    <x v="353"/>
    <n v="4.9044999999999996"/>
  </r>
  <r>
    <x v="354"/>
    <n v="4.8639000000000001"/>
  </r>
  <r>
    <x v="355"/>
    <n v="4.8734000000000002"/>
  </r>
  <r>
    <x v="356"/>
    <n v="4.8621999999999996"/>
  </r>
  <r>
    <x v="357"/>
    <n v="4.8665000000000003"/>
  </r>
  <r>
    <x v="358"/>
    <n v="4.8868"/>
  </r>
  <r>
    <x v="359"/>
    <n v="4.9065000000000003"/>
  </r>
  <r>
    <x v="360"/>
    <n v="4.9333"/>
  </r>
  <r>
    <x v="361"/>
    <n v="4.9569999999999999"/>
  </r>
  <r>
    <x v="362"/>
    <n v="4.9946999999999999"/>
  </r>
  <r>
    <x v="363"/>
    <n v="5.0340999999999996"/>
  </r>
  <r>
    <x v="364"/>
    <n v="5.0439999999999996"/>
  </r>
  <r>
    <x v="365"/>
    <n v="5.0690999999999997"/>
  </r>
  <r>
    <x v="366"/>
    <n v="5.0366999999999997"/>
  </r>
  <r>
    <x v="367"/>
    <n v="5.0510999999999999"/>
  </r>
  <r>
    <x v="368"/>
    <n v="5.0697000000000001"/>
  </r>
  <r>
    <x v="369"/>
    <n v="5.0532000000000004"/>
  </r>
  <r>
    <x v="370"/>
    <n v="5.0393999999999997"/>
  </r>
  <r>
    <x v="371"/>
    <n v="5.0595999999999997"/>
  </r>
  <r>
    <x v="372"/>
    <n v="5.0683999999999996"/>
  </r>
  <r>
    <x v="373"/>
    <n v="5.0773999999999999"/>
  </r>
  <r>
    <x v="374"/>
    <n v="5.0865"/>
  </r>
  <r>
    <x v="375"/>
    <n v="5.0702999999999996"/>
  </r>
  <r>
    <x v="376"/>
    <n v="5.0940000000000003"/>
  </r>
  <r>
    <x v="377"/>
    <n v="5.1024000000000003"/>
  </r>
  <r>
    <x v="378"/>
    <n v="5.1515000000000004"/>
  </r>
  <r>
    <x v="379"/>
    <n v="5.1553000000000004"/>
  </r>
  <r>
    <x v="380"/>
    <n v="5.1753999999999998"/>
  </r>
  <r>
    <x v="381"/>
    <n v="5.1898999999999997"/>
  </r>
  <r>
    <x v="382"/>
    <n v="5.1994999999999996"/>
  </r>
  <r>
    <x v="383"/>
    <n v="5.2191000000000001"/>
  </r>
  <r>
    <x v="384"/>
    <n v="5.2328999999999999"/>
  </r>
  <r>
    <x v="385"/>
    <n v="5.2491000000000003"/>
  </r>
  <r>
    <x v="386"/>
    <n v="5.2275"/>
  </r>
  <r>
    <x v="387"/>
    <n v="5.2530000000000001"/>
  </r>
  <r>
    <x v="388"/>
    <n v="5.2697000000000003"/>
  </r>
  <r>
    <x v="389"/>
    <n v="5.2653999999999996"/>
  </r>
  <r>
    <x v="390"/>
    <n v="5.2328000000000001"/>
  </r>
  <r>
    <x v="391"/>
    <n v="5.2480000000000002"/>
  </r>
  <r>
    <x v="392"/>
    <n v="5.2439999999999998"/>
  </r>
  <r>
    <x v="393"/>
    <n v="5.2256999999999998"/>
  </r>
  <r>
    <x v="394"/>
    <n v="5.2371999999999996"/>
  </r>
  <r>
    <x v="395"/>
    <n v="5.2781000000000002"/>
  </r>
  <r>
    <x v="396"/>
    <n v="5.2534000000000001"/>
  </r>
  <r>
    <x v="397"/>
    <n v="5.2424999999999997"/>
  </r>
  <r>
    <x v="398"/>
    <n v="5.2648000000000001"/>
  </r>
  <r>
    <x v="399"/>
    <n v="5.2439"/>
  </r>
  <r>
    <x v="400"/>
    <n v="5.2389000000000001"/>
  </r>
  <r>
    <x v="401"/>
    <n v="5.26"/>
  </r>
  <r>
    <x v="402"/>
    <n v="5.2533000000000003"/>
  </r>
  <r>
    <x v="403"/>
    <n v="5.2687999999999997"/>
  </r>
  <r>
    <x v="404"/>
    <n v="5.2514000000000003"/>
  </r>
  <r>
    <x v="405"/>
    <n v="5.2655000000000003"/>
  </r>
  <r>
    <x v="406"/>
    <n v="5.2792000000000003"/>
  </r>
  <r>
    <x v="407"/>
    <n v="5.2596999999999996"/>
  </r>
  <r>
    <x v="408"/>
    <n v="5.2363999999999997"/>
  </r>
  <r>
    <x v="409"/>
    <n v="5.2076000000000002"/>
  </r>
  <r>
    <x v="410"/>
    <n v="5.1821999999999999"/>
  </r>
  <r>
    <x v="411"/>
    <n v="5.1792999999999996"/>
  </r>
  <r>
    <x v="412"/>
    <n v="5.1886000000000001"/>
  </r>
  <r>
    <x v="413"/>
    <n v="5.1947000000000001"/>
  </r>
  <r>
    <x v="414"/>
    <n v="5.2042999999999999"/>
  </r>
  <r>
    <x v="415"/>
    <n v="5.2507999999999999"/>
  </r>
  <r>
    <x v="416"/>
    <n v="5.2705000000000002"/>
  </r>
  <r>
    <x v="417"/>
    <n v="5.2592999999999996"/>
  </r>
  <r>
    <x v="418"/>
    <n v="5.2560000000000002"/>
  </r>
  <r>
    <x v="419"/>
    <n v="5.2496"/>
  </r>
  <r>
    <x v="420"/>
    <n v="5.2862"/>
  </r>
  <r>
    <x v="421"/>
    <n v="5.3049999999999997"/>
  </r>
  <r>
    <x v="422"/>
    <n v="5.2976000000000001"/>
  </r>
  <r>
    <x v="423"/>
    <n v="5.2873000000000001"/>
  </r>
  <r>
    <x v="424"/>
    <n v="5.2933000000000003"/>
  </r>
  <r>
    <x v="425"/>
    <n v="5.2664999999999997"/>
  </r>
  <r>
    <x v="426"/>
    <n v="5.2812000000000001"/>
  </r>
  <r>
    <x v="427"/>
    <n v="5.3331999999999997"/>
  </r>
  <r>
    <x v="428"/>
    <n v="5.3261000000000003"/>
  </r>
  <r>
    <x v="429"/>
    <n v="5.3361000000000001"/>
  </r>
  <r>
    <x v="430"/>
    <n v="5.2930999999999999"/>
  </r>
  <r>
    <x v="431"/>
    <n v="5.3015999999999996"/>
  </r>
  <r>
    <x v="432"/>
    <n v="5.3125999999999998"/>
  </r>
  <r>
    <x v="433"/>
    <n v="5.3224"/>
  </r>
  <r>
    <x v="434"/>
    <n v="5.3434999999999997"/>
  </r>
  <r>
    <x v="435"/>
    <n v="5.3209"/>
  </r>
  <r>
    <x v="436"/>
    <n v="5.3098999999999998"/>
  </r>
  <r>
    <x v="437"/>
    <n v="5.2824"/>
  </r>
  <r>
    <x v="438"/>
    <n v="5.298"/>
  </r>
  <r>
    <x v="439"/>
    <n v="5.3017000000000003"/>
  </r>
  <r>
    <x v="440"/>
    <n v="5.3242000000000003"/>
  </r>
  <r>
    <x v="441"/>
    <n v="5.3175999999999997"/>
  </r>
  <r>
    <x v="442"/>
    <n v="5.2987000000000002"/>
  </r>
  <r>
    <x v="443"/>
    <n v="5.3003"/>
  </r>
  <r>
    <x v="444"/>
    <n v="5.3106"/>
  </r>
  <r>
    <x v="445"/>
    <n v="5.2998000000000003"/>
  </r>
  <r>
    <x v="446"/>
    <n v="5.3009000000000004"/>
  </r>
  <r>
    <x v="447"/>
    <n v="5.2659000000000002"/>
  </r>
  <r>
    <x v="448"/>
    <n v="5.2686000000000002"/>
  </r>
  <r>
    <x v="449"/>
    <n v="5.2641999999999998"/>
  </r>
  <r>
    <x v="450"/>
    <n v="5.2729999999999997"/>
  </r>
  <r>
    <x v="451"/>
    <n v="5.2765000000000004"/>
  </r>
  <r>
    <x v="452"/>
    <n v="5.266"/>
  </r>
  <r>
    <x v="453"/>
    <n v="5.2619999999999996"/>
  </r>
  <r>
    <x v="454"/>
    <n v="5.2478999999999996"/>
  </r>
  <r>
    <x v="455"/>
    <n v="5.2411000000000003"/>
  </r>
  <r>
    <x v="456"/>
    <n v="5.2652999999999999"/>
  </r>
  <r>
    <x v="457"/>
    <n v="5.2686999999999999"/>
  </r>
  <r>
    <x v="458"/>
    <n v="5.2594000000000003"/>
  </r>
  <r>
    <x v="459"/>
    <n v="5.2240000000000002"/>
  </r>
  <r>
    <x v="460"/>
    <n v="5.2465999999999999"/>
  </r>
  <r>
    <x v="461"/>
    <n v="5.2563000000000004"/>
  </r>
  <r>
    <x v="462"/>
    <n v="5.2541000000000002"/>
  </r>
  <r>
    <x v="463"/>
    <n v="5.2427000000000001"/>
  </r>
  <r>
    <x v="464"/>
    <n v="5.2291999999999996"/>
  </r>
  <r>
    <x v="465"/>
    <n v="5.2249999999999996"/>
  </r>
  <r>
    <x v="466"/>
    <n v="5.2220000000000004"/>
  </r>
  <r>
    <x v="467"/>
    <n v="5.2397999999999998"/>
  </r>
  <r>
    <x v="468"/>
    <n v="5.2233000000000001"/>
  </r>
  <r>
    <x v="469"/>
    <n v="5.1647999999999996"/>
  </r>
  <r>
    <x v="470"/>
    <n v="5.1337000000000002"/>
  </r>
  <r>
    <x v="471"/>
    <n v="5.1269"/>
  </r>
  <r>
    <x v="472"/>
    <n v="5.157"/>
  </r>
  <r>
    <x v="473"/>
    <n v="5.1555999999999997"/>
  </r>
  <r>
    <x v="474"/>
    <n v="5.1612"/>
  </r>
  <r>
    <x v="475"/>
    <n v="5.1517999999999997"/>
  </r>
  <r>
    <x v="476"/>
    <n v="5.1498999999999997"/>
  </r>
  <r>
    <x v="477"/>
    <n v="5.1509"/>
  </r>
  <r>
    <x v="478"/>
    <n v="5.1336000000000004"/>
  </r>
  <r>
    <x v="479"/>
    <n v="5.1186999999999996"/>
  </r>
  <r>
    <x v="480"/>
    <n v="5.1154999999999999"/>
  </r>
  <r>
    <x v="481"/>
    <n v="5.0991"/>
  </r>
  <r>
    <x v="482"/>
    <n v="5.08"/>
  </r>
  <r>
    <x v="483"/>
    <n v="5.0658000000000003"/>
  </r>
  <r>
    <x v="484"/>
    <n v="5.0632999999999999"/>
  </r>
  <r>
    <x v="485"/>
    <n v="5.0761000000000003"/>
  </r>
  <r>
    <x v="486"/>
    <n v="5.0381"/>
  </r>
  <r>
    <x v="487"/>
    <n v="5.0256999999999996"/>
  </r>
  <r>
    <x v="488"/>
    <n v="5.0305"/>
  </r>
  <r>
    <x v="489"/>
    <n v="5.0896999999999997"/>
  </r>
  <r>
    <x v="490"/>
    <n v="5.1238000000000001"/>
  </r>
  <r>
    <x v="491"/>
    <n v="5.1455000000000002"/>
  </r>
  <r>
    <x v="492"/>
    <n v="5.1649000000000003"/>
  </r>
  <r>
    <x v="493"/>
    <n v="5.1592000000000002"/>
  </r>
  <r>
    <x v="494"/>
    <n v="5.1284000000000001"/>
  </r>
  <r>
    <x v="495"/>
    <n v="5.0918000000000001"/>
  </r>
  <r>
    <x v="496"/>
    <n v="5.0869"/>
  </r>
  <r>
    <x v="497"/>
    <n v="5.0971000000000002"/>
  </r>
  <r>
    <x v="498"/>
    <n v="5.0991999999999997"/>
  </r>
  <r>
    <x v="499"/>
    <n v="5.0953999999999997"/>
  </r>
  <r>
    <x v="500"/>
    <n v="5.1073000000000004"/>
  </r>
  <r>
    <x v="501"/>
    <n v="5.1032000000000002"/>
  </r>
  <r>
    <x v="502"/>
    <n v="5.0895000000000001"/>
  </r>
  <r>
    <x v="503"/>
    <n v="5.0819999999999999"/>
  </r>
  <r>
    <x v="504"/>
    <n v="5.0865999999999998"/>
  </r>
  <r>
    <x v="505"/>
    <n v="5.1054000000000004"/>
  </r>
  <r>
    <x v="506"/>
    <n v="5.0789999999999997"/>
  </r>
  <r>
    <x v="507"/>
    <n v="5.0743"/>
  </r>
  <r>
    <x v="508"/>
    <n v="5.0972"/>
  </r>
  <r>
    <x v="509"/>
    <n v="5.1093999999999999"/>
  </r>
  <r>
    <x v="510"/>
    <n v="5.0838999999999999"/>
  </r>
  <r>
    <x v="511"/>
    <n v="5.0946999999999996"/>
  </r>
  <r>
    <x v="512"/>
    <n v="5.1166999999999998"/>
  </r>
  <r>
    <x v="513"/>
    <n v="5.1086"/>
  </r>
  <r>
    <x v="514"/>
    <n v="5.0869"/>
  </r>
  <r>
    <x v="515"/>
    <n v="5.1082999999999998"/>
  </r>
  <r>
    <x v="516"/>
    <n v="5.1100000000000003"/>
  </r>
  <r>
    <x v="517"/>
    <n v="5.1146000000000003"/>
  </r>
  <r>
    <x v="518"/>
    <n v="5.1029999999999998"/>
  </r>
  <r>
    <x v="519"/>
    <n v="5.0744999999999996"/>
  </r>
  <r>
    <x v="520"/>
    <n v="5.1116999999999999"/>
  </r>
  <r>
    <x v="521"/>
    <n v="5.077"/>
  </r>
  <r>
    <x v="522"/>
    <n v="5.0781000000000001"/>
  </r>
  <r>
    <x v="523"/>
    <n v="5.0881999999999996"/>
  </r>
  <r>
    <x v="524"/>
    <n v="5.0853000000000002"/>
  </r>
  <r>
    <x v="525"/>
    <n v="5.0480999999999998"/>
  </r>
  <r>
    <x v="526"/>
    <n v="5.0332999999999997"/>
  </r>
  <r>
    <x v="527"/>
    <n v="5.0209999999999999"/>
  </r>
  <r>
    <x v="528"/>
    <n v="4.9927000000000001"/>
  </r>
  <r>
    <x v="529"/>
    <n v="5.0007999999999999"/>
  </r>
  <r>
    <x v="530"/>
    <n v="5.0084"/>
  </r>
  <r>
    <x v="531"/>
    <n v="5.0122999999999998"/>
  </r>
  <r>
    <x v="532"/>
    <n v="5.0248999999999997"/>
  </r>
  <r>
    <x v="533"/>
    <n v="5.0399000000000003"/>
  </r>
  <r>
    <x v="534"/>
    <n v="5.0407999999999999"/>
  </r>
  <r>
    <x v="535"/>
    <n v="5.0282999999999998"/>
  </r>
  <r>
    <x v="536"/>
    <n v="5.0269000000000004"/>
  </r>
  <r>
    <x v="537"/>
    <n v="5.0362999999999998"/>
  </r>
  <r>
    <x v="538"/>
    <n v="5.0273000000000003"/>
  </r>
  <r>
    <x v="539"/>
    <n v="5.0091000000000001"/>
  </r>
  <r>
    <x v="540"/>
    <n v="4.9969999999999999"/>
  </r>
  <r>
    <x v="541"/>
    <n v="5.0035999999999996"/>
  </r>
  <r>
    <x v="542"/>
    <n v="5.0183"/>
  </r>
  <r>
    <x v="543"/>
    <n v="5.0143000000000004"/>
  </r>
  <r>
    <x v="544"/>
    <n v="5.0126999999999997"/>
  </r>
  <r>
    <x v="545"/>
    <n v="5.0327000000000002"/>
  </r>
  <r>
    <x v="546"/>
    <n v="5.0449999999999999"/>
  </r>
  <r>
    <x v="547"/>
    <n v="5.0362999999999998"/>
  </r>
  <r>
    <x v="548"/>
    <n v="5.0262000000000002"/>
  </r>
  <r>
    <x v="549"/>
    <n v="5.0246000000000004"/>
  </r>
  <r>
    <x v="550"/>
    <n v="5.0438000000000001"/>
  </r>
  <r>
    <x v="551"/>
    <n v="5.0350000000000001"/>
  </r>
  <r>
    <x v="552"/>
    <n v="5.0354999999999999"/>
  </r>
  <r>
    <x v="553"/>
    <n v="5.0263999999999998"/>
  </r>
  <r>
    <x v="554"/>
    <n v="5.0343999999999998"/>
  </r>
  <r>
    <x v="555"/>
    <n v="5.0175999999999998"/>
  </r>
  <r>
    <x v="556"/>
    <n v="5.0236000000000001"/>
  </r>
  <r>
    <x v="557"/>
    <n v="5.0119999999999996"/>
  </r>
  <r>
    <x v="558"/>
    <n v="5.0111999999999997"/>
  </r>
  <r>
    <x v="559"/>
    <n v="5.0103999999999997"/>
  </r>
  <r>
    <x v="560"/>
    <n v="5.0266000000000002"/>
  </r>
  <r>
    <x v="561"/>
    <n v="5.0046999999999997"/>
  </r>
  <r>
    <x v="562"/>
    <n v="4.9871999999999996"/>
  </r>
  <r>
    <x v="563"/>
    <n v="4.9969999999999999"/>
  </r>
  <r>
    <x v="564"/>
    <n v="5.0011000000000001"/>
  </r>
  <r>
    <x v="565"/>
    <n v="5.0012999999999996"/>
  </r>
  <r>
    <x v="566"/>
    <n v="5.0019"/>
  </r>
  <r>
    <x v="567"/>
    <n v="5.0199999999999996"/>
  </r>
  <r>
    <x v="568"/>
    <n v="5.0179"/>
  </r>
  <r>
    <x v="569"/>
    <n v="5.0231000000000003"/>
  </r>
  <r>
    <x v="570"/>
    <n v="5.0437000000000003"/>
  </r>
  <r>
    <x v="571"/>
    <n v="5.0583"/>
  </r>
  <r>
    <x v="572"/>
    <n v="5.0721999999999996"/>
  </r>
  <r>
    <x v="573"/>
    <n v="5.1005000000000003"/>
  </r>
  <r>
    <x v="574"/>
    <n v="5.1109"/>
  </r>
  <r>
    <x v="575"/>
    <n v="5.1154000000000002"/>
  </r>
  <r>
    <x v="576"/>
    <n v="5.1351000000000004"/>
  </r>
  <r>
    <x v="577"/>
    <n v="5.1429999999999998"/>
  </r>
  <r>
    <x v="578"/>
    <n v="5.1555999999999997"/>
  </r>
  <r>
    <x v="579"/>
    <n v="5.1379999999999999"/>
  </r>
  <r>
    <x v="580"/>
    <n v="5.1200999999999999"/>
  </r>
  <r>
    <x v="581"/>
    <n v="5.1306000000000003"/>
  </r>
  <r>
    <x v="582"/>
    <n v="5.1319999999999997"/>
  </r>
  <r>
    <x v="583"/>
    <n v="5.1223999999999998"/>
  </r>
  <r>
    <x v="584"/>
    <n v="5.1135000000000002"/>
  </r>
  <r>
    <x v="585"/>
    <n v="5.1136999999999997"/>
  </r>
  <r>
    <x v="586"/>
    <n v="5.0957999999999997"/>
  </r>
  <r>
    <x v="587"/>
    <n v="5.1199000000000003"/>
  </r>
  <r>
    <x v="588"/>
    <n v="5.1490999999999998"/>
  </r>
  <r>
    <x v="589"/>
    <n v="5.1448"/>
  </r>
  <r>
    <x v="590"/>
    <n v="5.194"/>
  </r>
  <r>
    <x v="591"/>
    <n v="5.2102000000000004"/>
  </r>
  <r>
    <x v="592"/>
    <n v="5.1943999999999999"/>
  </r>
  <r>
    <x v="593"/>
    <n v="5.1839000000000004"/>
  </r>
  <r>
    <x v="594"/>
    <n v="5.1840999999999999"/>
  </r>
  <r>
    <x v="595"/>
    <n v="5.1593"/>
  </r>
  <r>
    <x v="596"/>
    <n v="5.1532999999999998"/>
  </r>
  <r>
    <x v="597"/>
    <n v="5.1638999999999999"/>
  </r>
  <r>
    <x v="598"/>
    <n v="5.1858000000000004"/>
  </r>
  <r>
    <x v="599"/>
    <n v="5.1929999999999996"/>
  </r>
  <r>
    <x v="600"/>
    <n v="5.1868999999999996"/>
  </r>
  <r>
    <x v="601"/>
    <n v="5.2037000000000004"/>
  </r>
  <r>
    <x v="602"/>
    <n v="5.2164999999999999"/>
  </r>
  <r>
    <x v="603"/>
    <n v="5.2404000000000002"/>
  </r>
  <r>
    <x v="604"/>
    <n v="5.2489999999999997"/>
  </r>
  <r>
    <x v="605"/>
    <n v="5.2511000000000001"/>
  </r>
  <r>
    <x v="606"/>
    <n v="5.2168999999999999"/>
  </r>
  <r>
    <x v="607"/>
    <n v="5.2389999999999999"/>
  </r>
  <r>
    <x v="608"/>
    <n v="5.2615999999999996"/>
  </r>
  <r>
    <x v="609"/>
    <n v="5.2648000000000001"/>
  </r>
  <r>
    <x v="610"/>
    <n v="5.2691999999999997"/>
  </r>
  <r>
    <x v="611"/>
    <n v="5.2556000000000003"/>
  </r>
  <r>
    <x v="612"/>
    <n v="5.2454999999999998"/>
  </r>
  <r>
    <x v="613"/>
    <n v="5.2522000000000002"/>
  </r>
  <r>
    <x v="614"/>
    <n v="5.2561999999999998"/>
  </r>
  <r>
    <x v="615"/>
    <n v="5.2690999999999999"/>
  </r>
  <r>
    <x v="616"/>
    <n v="5.2668999999999997"/>
  </r>
  <r>
    <x v="617"/>
    <n v="5.2601000000000004"/>
  </r>
  <r>
    <x v="618"/>
    <n v="5.2664999999999997"/>
  </r>
  <r>
    <x v="619"/>
    <n v="5.2643000000000004"/>
  </r>
  <r>
    <x v="620"/>
    <n v="5.2675000000000001"/>
  </r>
  <r>
    <x v="621"/>
    <n v="5.2439"/>
  </r>
  <r>
    <x v="622"/>
    <n v="5.2417999999999996"/>
  </r>
  <r>
    <x v="623"/>
    <n v="5.2305000000000001"/>
  </r>
  <r>
    <x v="624"/>
    <n v="5.2282000000000002"/>
  </r>
  <r>
    <x v="625"/>
    <n v="5.2262000000000004"/>
  </r>
  <r>
    <x v="626"/>
    <n v="5.2328000000000001"/>
  </r>
  <r>
    <x v="627"/>
    <n v="5.2350000000000003"/>
  </r>
  <r>
    <x v="628"/>
    <n v="5.2290999999999999"/>
  </r>
  <r>
    <x v="629"/>
    <n v="5.2153999999999998"/>
  </r>
  <r>
    <x v="630"/>
    <n v="5.2403000000000004"/>
  </r>
  <r>
    <x v="631"/>
    <n v="5.2728000000000002"/>
  </r>
  <r>
    <x v="632"/>
    <n v="5.2723000000000004"/>
  </r>
  <r>
    <x v="633"/>
    <n v="5.2760999999999996"/>
  </r>
  <r>
    <x v="634"/>
    <n v="5.3056999999999999"/>
  </r>
  <r>
    <x v="635"/>
    <n v="5.32"/>
  </r>
  <r>
    <x v="636"/>
    <n v="5.3196000000000003"/>
  </r>
  <r>
    <x v="637"/>
    <n v="5.3371000000000004"/>
  </r>
  <r>
    <x v="638"/>
    <n v="5.2762000000000002"/>
  </r>
  <r>
    <x v="639"/>
    <n v="5.2805"/>
  </r>
  <r>
    <x v="640"/>
    <n v="5.3053999999999997"/>
  </r>
  <r>
    <x v="641"/>
    <n v="5.2876000000000003"/>
  </r>
  <r>
    <x v="642"/>
    <n v="5.29"/>
  </r>
  <r>
    <x v="643"/>
    <n v="5.3074000000000003"/>
  </r>
  <r>
    <x v="644"/>
    <n v="5.3160999999999996"/>
  </r>
  <r>
    <x v="645"/>
    <n v="5.3007999999999997"/>
  </r>
  <r>
    <x v="646"/>
    <n v="5.3655999999999997"/>
  </r>
  <r>
    <x v="647"/>
    <n v="5.3601999999999999"/>
  </r>
  <r>
    <x v="648"/>
    <n v="5.3563999999999998"/>
  </r>
  <r>
    <x v="649"/>
    <n v="5.3615000000000004"/>
  </r>
  <r>
    <x v="650"/>
    <n v="5.3456999999999999"/>
  </r>
  <r>
    <x v="651"/>
    <n v="5.3506"/>
  </r>
  <r>
    <x v="652"/>
    <n v="5.3409000000000004"/>
  </r>
  <r>
    <x v="653"/>
    <n v="5.3701999999999996"/>
  </r>
  <r>
    <x v="654"/>
    <n v="5.3789999999999996"/>
  </r>
  <r>
    <x v="655"/>
    <n v="5.3922999999999996"/>
  </r>
  <r>
    <x v="656"/>
    <n v="5.3933999999999997"/>
  </r>
  <r>
    <x v="657"/>
    <n v="5.3966000000000003"/>
  </r>
  <r>
    <x v="658"/>
    <n v="5.3855000000000004"/>
  </r>
  <r>
    <x v="659"/>
    <n v="5.3464"/>
  </r>
  <r>
    <x v="660"/>
    <n v="5.3419999999999996"/>
  </r>
  <r>
    <x v="661"/>
    <n v="5.3415999999999997"/>
  </r>
  <r>
    <x v="662"/>
    <n v="5.3296999999999999"/>
  </r>
  <r>
    <x v="663"/>
    <n v="5.3428000000000004"/>
  </r>
  <r>
    <x v="664"/>
    <n v="5.3383000000000003"/>
  </r>
  <r>
    <x v="665"/>
    <n v="5.3547000000000002"/>
  </r>
  <r>
    <x v="666"/>
    <n v="5.3476999999999997"/>
  </r>
  <r>
    <x v="667"/>
    <n v="5.3620999999999999"/>
  </r>
  <r>
    <x v="668"/>
    <n v="5.3543000000000003"/>
  </r>
  <r>
    <x v="669"/>
    <n v="5.3586"/>
  </r>
  <r>
    <x v="670"/>
    <n v="5.3341000000000003"/>
  </r>
  <r>
    <x v="671"/>
    <n v="5.3303000000000003"/>
  </r>
  <r>
    <x v="672"/>
    <n v="5.3224999999999998"/>
  </r>
  <r>
    <x v="673"/>
    <n v="5.3339999999999996"/>
  </r>
  <r>
    <x v="674"/>
    <n v="5.3605999999999998"/>
  </r>
  <r>
    <x v="675"/>
    <n v="5.3414999999999999"/>
  </r>
  <r>
    <x v="676"/>
    <n v="5.3586999999999998"/>
  </r>
  <r>
    <x v="677"/>
    <n v="5.3621999999999996"/>
  </r>
  <r>
    <x v="678"/>
    <n v="5.3803000000000001"/>
  </r>
  <r>
    <x v="679"/>
    <n v="5.3815999999999997"/>
  </r>
  <r>
    <x v="680"/>
    <n v="5.4006999999999996"/>
  </r>
  <r>
    <x v="681"/>
    <n v="5.4039000000000001"/>
  </r>
  <r>
    <x v="682"/>
    <n v="5.4100999999999999"/>
  </r>
  <r>
    <x v="683"/>
    <n v="5.4130000000000003"/>
  </r>
  <r>
    <x v="684"/>
    <n v="5.4175000000000004"/>
  </r>
  <r>
    <x v="685"/>
    <n v="5.4084000000000003"/>
  </r>
  <r>
    <x v="686"/>
    <n v="5.3922999999999996"/>
  </r>
  <r>
    <x v="687"/>
    <n v="5.3586999999999998"/>
  </r>
  <r>
    <x v="688"/>
    <n v="5.3438999999999997"/>
  </r>
  <r>
    <x v="689"/>
    <n v="5.3533999999999997"/>
  </r>
  <r>
    <x v="690"/>
    <n v="5.3517999999999999"/>
  </r>
  <r>
    <x v="691"/>
    <n v="5.3288000000000002"/>
  </r>
  <r>
    <x v="692"/>
    <n v="5.3101000000000003"/>
  </r>
  <r>
    <x v="693"/>
    <n v="5.3085000000000004"/>
  </r>
  <r>
    <x v="694"/>
    <n v="5.2876000000000003"/>
  </r>
  <r>
    <x v="695"/>
    <n v="5.2872000000000003"/>
  </r>
  <r>
    <x v="696"/>
    <n v="5.2914000000000003"/>
  </r>
  <r>
    <x v="697"/>
    <n v="5.2884000000000002"/>
  </r>
  <r>
    <x v="698"/>
    <n v="5.2908999999999997"/>
  </r>
  <r>
    <x v="699"/>
    <n v="5.2968999999999999"/>
  </r>
  <r>
    <x v="700"/>
    <n v="5.3047000000000004"/>
  </r>
  <r>
    <x v="701"/>
    <n v="5.2839"/>
  </r>
  <r>
    <x v="702"/>
    <n v="5.2788000000000004"/>
  </r>
  <r>
    <x v="703"/>
    <n v="5.2957000000000001"/>
  </r>
  <r>
    <x v="704"/>
    <n v="5.2957000000000001"/>
  </r>
  <r>
    <x v="705"/>
    <n v="5.2896000000000001"/>
  </r>
  <r>
    <x v="706"/>
    <n v="5.3005000000000004"/>
  </r>
  <r>
    <x v="707"/>
    <n v="5.2887000000000004"/>
  </r>
  <r>
    <x v="708"/>
    <n v="5.2933000000000003"/>
  </r>
  <r>
    <x v="709"/>
    <n v="5.2881"/>
  </r>
  <r>
    <x v="710"/>
    <n v="5.2771999999999997"/>
  </r>
  <r>
    <x v="711"/>
    <n v="5.2884000000000002"/>
  </r>
  <r>
    <x v="712"/>
    <n v="5.3448000000000002"/>
  </r>
  <r>
    <x v="713"/>
    <n v="5.3402000000000003"/>
  </r>
  <r>
    <x v="714"/>
    <n v="5.3108000000000004"/>
  </r>
  <r>
    <x v="715"/>
    <n v="5.3179999999999996"/>
  </r>
  <r>
    <x v="716"/>
    <n v="5.3185000000000002"/>
  </r>
  <r>
    <x v="717"/>
    <n v="5.3326000000000002"/>
  </r>
  <r>
    <x v="718"/>
    <n v="5.3329000000000004"/>
  </r>
  <r>
    <x v="719"/>
    <n v="5.3040000000000003"/>
  </r>
  <r>
    <x v="720"/>
    <n v="5.3151999999999999"/>
  </r>
  <r>
    <x v="721"/>
    <n v="5.3188000000000004"/>
  </r>
  <r>
    <x v="722"/>
    <n v="5.3395000000000001"/>
  </r>
  <r>
    <x v="723"/>
    <n v="5.3352000000000004"/>
  </r>
  <r>
    <x v="724"/>
    <n v="5.3335999999999997"/>
  </r>
  <r>
    <x v="725"/>
    <n v="5.3338000000000001"/>
  </r>
  <r>
    <x v="726"/>
    <n v="5.3231999999999999"/>
  </r>
  <r>
    <x v="727"/>
    <n v="5.3068999999999997"/>
  </r>
  <r>
    <x v="728"/>
    <n v="5.33"/>
  </r>
  <r>
    <x v="729"/>
    <n v="5.3384"/>
  </r>
  <r>
    <x v="730"/>
    <n v="5.3421000000000003"/>
  </r>
  <r>
    <x v="731"/>
    <n v="5.3647"/>
  </r>
  <r>
    <x v="732"/>
    <n v="5.3670999999999998"/>
  </r>
  <r>
    <x v="733"/>
    <n v="5.3677999999999999"/>
  </r>
  <r>
    <x v="734"/>
    <n v="5.3760000000000003"/>
  </r>
  <r>
    <x v="735"/>
    <n v="5.3413000000000004"/>
  </r>
  <r>
    <x v="736"/>
    <n v="5.3285999999999998"/>
  </r>
  <r>
    <x v="737"/>
    <n v="5.3108000000000004"/>
  </r>
  <r>
    <x v="738"/>
    <n v="5.3017000000000003"/>
  </r>
  <r>
    <x v="739"/>
    <n v="5.2816999999999998"/>
  </r>
  <r>
    <x v="740"/>
    <n v="5.27"/>
  </r>
  <r>
    <x v="741"/>
    <n v="5.2759999999999998"/>
  </r>
  <r>
    <x v="742"/>
    <n v="5.2812999999999999"/>
  </r>
  <r>
    <x v="743"/>
    <n v="5.2556000000000003"/>
  </r>
  <r>
    <x v="744"/>
    <n v="5.2591000000000001"/>
  </r>
  <r>
    <x v="745"/>
    <n v="5.2660999999999998"/>
  </r>
  <r>
    <x v="746"/>
    <n v="5.2416999999999998"/>
  </r>
  <r>
    <x v="747"/>
    <n v="5.2298999999999998"/>
  </r>
  <r>
    <x v="748"/>
    <n v="5.2496999999999998"/>
  </r>
  <r>
    <x v="749"/>
    <n v="5.2582000000000004"/>
  </r>
  <r>
    <x v="750"/>
    <n v="5.2683999999999997"/>
  </r>
  <r>
    <x v="751"/>
    <n v="5.2515999999999998"/>
  </r>
  <r>
    <x v="752"/>
    <n v="5.2542"/>
  </r>
  <r>
    <x v="753"/>
    <n v="5.2481999999999998"/>
  </r>
  <r>
    <x v="754"/>
    <n v="5.2466999999999997"/>
  </r>
  <r>
    <x v="755"/>
    <n v="5.2652999999999999"/>
  </r>
  <r>
    <x v="756"/>
    <n v="5.2659000000000002"/>
  </r>
  <r>
    <x v="757"/>
    <n v="5.2693000000000003"/>
  </r>
  <r>
    <x v="758"/>
    <n v="5.2754000000000003"/>
  </r>
  <r>
    <x v="759"/>
    <n v="5.2821999999999996"/>
  </r>
  <r>
    <x v="760"/>
    <n v="5.2979000000000003"/>
  </r>
  <r>
    <x v="761"/>
    <n v="5.2961999999999998"/>
  </r>
  <r>
    <x v="762"/>
    <n v="5.3005000000000004"/>
  </r>
  <r>
    <x v="763"/>
    <n v="5.2831999999999999"/>
  </r>
  <r>
    <x v="764"/>
    <n v="5.2774999999999999"/>
  </r>
  <r>
    <x v="765"/>
    <n v="5.2633999999999999"/>
  </r>
  <r>
    <x v="766"/>
    <n v="5.2359999999999998"/>
  </r>
  <r>
    <x v="767"/>
    <n v="5.2038000000000002"/>
  </r>
  <r>
    <x v="768"/>
    <n v="5.2163000000000004"/>
  </r>
  <r>
    <x v="769"/>
    <n v="5.1948999999999996"/>
  </r>
  <r>
    <x v="770"/>
    <n v="5.1822999999999997"/>
  </r>
  <r>
    <x v="771"/>
    <n v="5.1704999999999997"/>
  </r>
  <r>
    <x v="772"/>
    <n v="5.0884"/>
  </r>
  <r>
    <x v="773"/>
    <n v="5.0823"/>
  </r>
  <r>
    <x v="774"/>
    <n v="5.0724999999999998"/>
  </r>
  <r>
    <x v="775"/>
    <n v="5.0561999999999996"/>
  </r>
  <r>
    <x v="776"/>
    <n v="5.0251000000000001"/>
  </r>
  <r>
    <x v="777"/>
    <n v="5.0594999999999999"/>
  </r>
  <r>
    <x v="778"/>
    <n v="5.0079000000000002"/>
  </r>
  <r>
    <x v="779"/>
    <n v="4.9413999999999998"/>
  </r>
  <r>
    <x v="780"/>
    <n v="4.8760000000000003"/>
  </r>
  <r>
    <x v="781"/>
    <n v="4.9005000000000001"/>
  </r>
  <r>
    <x v="782"/>
    <n v="4.9043000000000001"/>
  </r>
  <r>
    <x v="783"/>
    <n v="4.9024999999999999"/>
  </r>
  <r>
    <x v="784"/>
    <n v="4.8967999999999998"/>
  </r>
  <r>
    <x v="785"/>
    <n v="4.9706999999999999"/>
  </r>
  <r>
    <x v="786"/>
    <n v="5.0125999999999999"/>
  </r>
  <r>
    <x v="787"/>
    <n v="5.0068000000000001"/>
  </r>
  <r>
    <x v="788"/>
    <n v="4.9951999999999996"/>
  </r>
  <r>
    <x v="789"/>
    <n v="5.0278999999999998"/>
  </r>
  <r>
    <x v="790"/>
    <n v="5.0119999999999996"/>
  </r>
  <r>
    <x v="791"/>
    <n v="5.0309999999999997"/>
  </r>
  <r>
    <x v="792"/>
    <n v="5.0228000000000002"/>
  </r>
  <r>
    <x v="793"/>
    <n v="5.0336999999999996"/>
  </r>
  <r>
    <x v="794"/>
    <n v="5.0353000000000003"/>
  </r>
  <r>
    <x v="795"/>
    <n v="5.0305999999999997"/>
  </r>
  <r>
    <x v="796"/>
    <n v="5.0345000000000004"/>
  </r>
  <r>
    <x v="797"/>
    <n v="5.0717999999999996"/>
  </r>
  <r>
    <x v="798"/>
    <n v="5.0675999999999997"/>
  </r>
  <r>
    <x v="799"/>
    <n v="5.0075000000000003"/>
  </r>
  <r>
    <x v="800"/>
    <n v="5.0404999999999998"/>
  </r>
  <r>
    <x v="801"/>
    <n v="5.0305999999999997"/>
  </r>
  <r>
    <x v="802"/>
    <n v="5.0091999999999999"/>
  </r>
  <r>
    <x v="803"/>
    <n v="4.9954999999999998"/>
  </r>
  <r>
    <x v="804"/>
    <n v="5.0027999999999997"/>
  </r>
  <r>
    <x v="805"/>
    <n v="5.0340999999999996"/>
  </r>
  <r>
    <x v="806"/>
    <n v="5.0106999999999999"/>
  </r>
  <r>
    <x v="807"/>
    <n v="5.0406000000000004"/>
  </r>
  <r>
    <x v="808"/>
    <n v="5.0571000000000002"/>
  </r>
  <r>
    <x v="809"/>
    <n v="5.0858999999999996"/>
  </r>
  <r>
    <x v="810"/>
    <n v="5.0323000000000002"/>
  </r>
  <r>
    <x v="811"/>
    <n v="5.0060000000000002"/>
  </r>
  <r>
    <x v="812"/>
    <n v="5.0652999999999997"/>
  </r>
  <r>
    <x v="813"/>
    <n v="5.0772000000000004"/>
  </r>
  <r>
    <x v="814"/>
    <n v="5.0580999999999996"/>
  </r>
  <r>
    <x v="815"/>
    <n v="5.0373000000000001"/>
  </r>
  <r>
    <x v="816"/>
    <n v="5.0345000000000004"/>
  </r>
  <r>
    <x v="817"/>
    <n v="5.0542999999999996"/>
  </r>
  <r>
    <x v="818"/>
    <n v="5.0404"/>
  </r>
  <r>
    <x v="819"/>
    <n v="5.0858999999999996"/>
  </r>
  <r>
    <x v="820"/>
    <n v="5.0928000000000004"/>
  </r>
  <r>
    <x v="821"/>
    <n v="5.0952000000000002"/>
  </r>
  <r>
    <x v="822"/>
    <n v="5.0860000000000003"/>
  </r>
  <r>
    <x v="823"/>
    <n v="5.0913000000000004"/>
  </r>
  <r>
    <x v="824"/>
    <n v="5.1002999999999998"/>
  </r>
  <r>
    <x v="825"/>
    <n v="5.1577000000000002"/>
  </r>
  <r>
    <x v="826"/>
    <n v="5.1820000000000004"/>
  </r>
  <r>
    <x v="827"/>
    <n v="5.1767000000000003"/>
  </r>
  <r>
    <x v="828"/>
    <n v="5.1792999999999996"/>
  </r>
  <r>
    <x v="829"/>
    <n v="5.2446000000000002"/>
  </r>
  <r>
    <x v="830"/>
    <n v="5.2590000000000003"/>
  </r>
  <r>
    <x v="831"/>
    <n v="5.2611999999999997"/>
  </r>
  <r>
    <x v="832"/>
    <n v="5.2588999999999997"/>
  </r>
  <r>
    <x v="833"/>
    <n v="5.2874999999999996"/>
  </r>
  <r>
    <x v="834"/>
    <n v="5.2835999999999999"/>
  </r>
  <r>
    <x v="835"/>
    <n v="5.2693000000000003"/>
  </r>
  <r>
    <x v="836"/>
    <n v="5.2622999999999998"/>
  </r>
  <r>
    <x v="837"/>
    <n v="5.1986999999999997"/>
  </r>
  <r>
    <x v="838"/>
    <n v="5.2020999999999997"/>
  </r>
  <r>
    <x v="839"/>
    <n v="5.2252000000000001"/>
  </r>
  <r>
    <x v="840"/>
    <n v="5.2335000000000003"/>
  </r>
  <r>
    <x v="841"/>
    <n v="5.2228000000000003"/>
  </r>
  <r>
    <x v="842"/>
    <n v="5.2168999999999999"/>
  </r>
  <r>
    <x v="843"/>
    <n v="5.2034000000000002"/>
  </r>
  <r>
    <x v="844"/>
    <n v="5.2302"/>
  </r>
  <r>
    <x v="845"/>
    <n v="5.21"/>
  </r>
  <r>
    <x v="846"/>
    <n v="5.1765999999999996"/>
  </r>
  <r>
    <x v="847"/>
    <n v="5.1843000000000004"/>
  </r>
  <r>
    <x v="848"/>
    <n v="5.2088999999999999"/>
  </r>
  <r>
    <x v="849"/>
    <n v="5.1938000000000004"/>
  </r>
  <r>
    <x v="850"/>
    <n v="5.2073999999999998"/>
  </r>
  <r>
    <x v="851"/>
    <n v="5.2140000000000004"/>
  </r>
  <r>
    <x v="852"/>
    <n v="5.1916000000000002"/>
  </r>
  <r>
    <x v="853"/>
    <n v="5.1604000000000001"/>
  </r>
  <r>
    <x v="854"/>
    <n v="5.1837999999999997"/>
  </r>
  <r>
    <x v="855"/>
    <n v="5.1502999999999997"/>
  </r>
  <r>
    <x v="856"/>
    <n v="5.1470000000000002"/>
  </r>
  <r>
    <x v="857"/>
    <n v="5.1448"/>
  </r>
  <r>
    <x v="858"/>
    <n v="5.1460999999999997"/>
  </r>
  <r>
    <x v="859"/>
    <n v="5.1767000000000003"/>
  </r>
  <r>
    <x v="860"/>
    <n v="5.1588000000000003"/>
  </r>
  <r>
    <x v="861"/>
    <n v="5.1502999999999997"/>
  </r>
  <r>
    <x v="862"/>
    <n v="5.1642000000000001"/>
  </r>
  <r>
    <x v="863"/>
    <n v="5.1821000000000002"/>
  </r>
  <r>
    <x v="864"/>
    <n v="5.2054"/>
  </r>
  <r>
    <x v="865"/>
    <n v="5.2183000000000002"/>
  </r>
  <r>
    <x v="866"/>
    <n v="5.2131999999999996"/>
  </r>
  <r>
    <x v="867"/>
    <n v="5.2331000000000003"/>
  </r>
  <r>
    <x v="868"/>
    <n v="5.23"/>
  </r>
  <r>
    <x v="869"/>
    <n v="5.2408000000000001"/>
  </r>
  <r>
    <x v="870"/>
    <n v="5.2054"/>
  </r>
  <r>
    <x v="871"/>
    <n v="5.2211999999999996"/>
  </r>
  <r>
    <x v="872"/>
    <n v="5.2100999999999997"/>
  </r>
  <r>
    <x v="873"/>
    <n v="5.2396000000000003"/>
  </r>
  <r>
    <x v="874"/>
    <n v="5.2339000000000002"/>
  </r>
  <r>
    <x v="875"/>
    <n v="5.2137000000000002"/>
  </r>
  <r>
    <x v="876"/>
    <n v="5.2019000000000002"/>
  </r>
  <r>
    <x v="877"/>
    <n v="5.2191999999999998"/>
  </r>
  <r>
    <x v="878"/>
    <n v="5.23"/>
  </r>
  <r>
    <x v="879"/>
    <n v="5.2420999999999998"/>
  </r>
  <r>
    <x v="880"/>
    <n v="5.2495000000000003"/>
  </r>
  <r>
    <x v="881"/>
    <n v="5.2324000000000002"/>
  </r>
  <r>
    <x v="882"/>
    <n v="5.2413999999999996"/>
  </r>
  <r>
    <x v="883"/>
    <n v="5.2549000000000001"/>
  </r>
  <r>
    <x v="884"/>
    <n v="5.2428999999999997"/>
  </r>
  <r>
    <x v="885"/>
    <n v="5.2427999999999999"/>
  </r>
  <r>
    <x v="886"/>
    <n v="5.2523"/>
  </r>
  <r>
    <x v="887"/>
    <n v="5.2327000000000004"/>
  </r>
  <r>
    <x v="888"/>
    <n v="5.2460000000000004"/>
  </r>
  <r>
    <x v="889"/>
    <n v="5.2382999999999997"/>
  </r>
  <r>
    <x v="890"/>
    <n v="5.2469999999999999"/>
  </r>
  <r>
    <x v="891"/>
    <n v="5.2393000000000001"/>
  </r>
  <r>
    <x v="892"/>
    <n v="5.2511999999999999"/>
  </r>
  <r>
    <x v="893"/>
    <n v="5.2346000000000004"/>
  </r>
  <r>
    <x v="894"/>
    <n v="5.2365000000000004"/>
  </r>
  <r>
    <x v="895"/>
    <n v="5.2041000000000004"/>
  </r>
  <r>
    <x v="896"/>
    <n v="5.2304000000000004"/>
  </r>
  <r>
    <x v="897"/>
    <n v="5.2211999999999996"/>
  </r>
  <r>
    <x v="898"/>
    <n v="5.1684000000000001"/>
  </r>
  <r>
    <x v="899"/>
    <n v="5.1948999999999996"/>
  </r>
  <r>
    <x v="900"/>
    <n v="5.1859000000000002"/>
  </r>
  <r>
    <x v="901"/>
    <n v="5.1832000000000003"/>
  </r>
  <r>
    <x v="902"/>
    <n v="5.1768999999999998"/>
  </r>
  <r>
    <x v="903"/>
    <n v="5.1388999999999996"/>
  </r>
  <r>
    <x v="904"/>
    <n v="5.1344000000000003"/>
  </r>
  <r>
    <x v="905"/>
    <n v="5.1393000000000004"/>
  </r>
  <r>
    <x v="906"/>
    <n v="5.1235999999999997"/>
  </r>
  <r>
    <x v="907"/>
    <n v="5.0975999999999999"/>
  </r>
  <r>
    <x v="908"/>
    <n v="5.1093999999999999"/>
  </r>
  <r>
    <x v="909"/>
    <n v="5.0808"/>
  </r>
  <r>
    <x v="910"/>
    <n v="5.1018999999999997"/>
  </r>
  <r>
    <x v="911"/>
    <n v="5.1009000000000002"/>
  </r>
  <r>
    <x v="912"/>
    <n v="5.0991"/>
  </r>
  <r>
    <x v="913"/>
    <n v="5.0864000000000003"/>
  </r>
  <r>
    <x v="914"/>
    <n v="5.1463000000000001"/>
  </r>
  <r>
    <x v="915"/>
    <n v="5.1056999999999997"/>
  </r>
  <r>
    <x v="916"/>
    <n v="5.1262999999999996"/>
  </r>
  <r>
    <x v="917"/>
    <n v="5.1334"/>
  </r>
  <r>
    <x v="918"/>
    <n v="5.1228999999999996"/>
  </r>
  <r>
    <x v="919"/>
    <n v="5.0914999999999999"/>
  </r>
  <r>
    <x v="920"/>
    <n v="5.0815999999999999"/>
  </r>
  <r>
    <x v="921"/>
    <n v="5.0735000000000001"/>
  </r>
  <r>
    <x v="922"/>
    <n v="5.0868000000000002"/>
  </r>
  <r>
    <x v="923"/>
    <n v="5.0587"/>
  </r>
  <r>
    <x v="924"/>
    <n v="5.0759999999999996"/>
  </r>
  <r>
    <x v="925"/>
    <n v="5.0724999999999998"/>
  </r>
  <r>
    <x v="926"/>
    <n v="5.0720999999999998"/>
  </r>
  <r>
    <x v="927"/>
    <n v="5.0926"/>
  </r>
  <r>
    <x v="928"/>
    <n v="5.0502000000000002"/>
  </r>
  <r>
    <x v="929"/>
    <n v="5.0461999999999998"/>
  </r>
  <r>
    <x v="930"/>
    <n v="5.0220000000000002"/>
  </r>
  <r>
    <x v="931"/>
    <n v="5.0632999999999999"/>
  </r>
  <r>
    <x v="932"/>
    <n v="5.0918999999999999"/>
  </r>
  <r>
    <x v="933"/>
    <n v="5.1002999999999998"/>
  </r>
  <r>
    <x v="934"/>
    <n v="5.0670000000000002"/>
  </r>
  <r>
    <x v="935"/>
    <n v="5.0778999999999996"/>
  </r>
  <r>
    <x v="936"/>
    <n v="5.0663999999999998"/>
  </r>
  <r>
    <x v="937"/>
    <n v="5.0697000000000001"/>
  </r>
  <r>
    <x v="938"/>
    <n v="5.0705999999999998"/>
  </r>
  <r>
    <x v="939"/>
    <n v="5.0439999999999996"/>
  </r>
  <r>
    <x v="940"/>
    <n v="5.0338000000000003"/>
  </r>
  <r>
    <x v="941"/>
    <n v="5.0301"/>
  </r>
  <r>
    <x v="942"/>
    <n v="5.0034999999999998"/>
  </r>
  <r>
    <x v="943"/>
    <n v="5.0072999999999999"/>
  </r>
  <r>
    <x v="944"/>
    <n v="5.0298999999999996"/>
  </r>
  <r>
    <x v="945"/>
    <n v="5.0210999999999997"/>
  </r>
  <r>
    <x v="946"/>
    <n v="5.0340999999999996"/>
  </r>
  <r>
    <x v="947"/>
    <n v="5.0591999999999997"/>
  </r>
  <r>
    <x v="948"/>
    <n v="5.0583"/>
  </r>
  <r>
    <x v="949"/>
    <n v="5.0492999999999997"/>
  </r>
  <r>
    <x v="950"/>
    <n v="5.0685000000000002"/>
  </r>
  <r>
    <x v="951"/>
    <n v="5.0717999999999996"/>
  </r>
  <r>
    <x v="952"/>
    <n v="5.0705"/>
  </r>
  <r>
    <x v="953"/>
    <n v="5.0768000000000004"/>
  </r>
  <r>
    <x v="954"/>
    <n v="5.0915999999999997"/>
  </r>
  <r>
    <x v="955"/>
    <n v="5.1132999999999997"/>
  </r>
  <r>
    <x v="956"/>
    <n v="5.1006999999999998"/>
  </r>
  <r>
    <x v="957"/>
    <n v="5.0964"/>
  </r>
  <r>
    <x v="958"/>
    <n v="5.1040000000000001"/>
  </r>
  <r>
    <x v="959"/>
    <n v="5.1326000000000001"/>
  </r>
  <r>
    <x v="960"/>
    <n v="5.1258999999999997"/>
  </r>
  <r>
    <x v="961"/>
    <n v="5.1280000000000001"/>
  </r>
  <r>
    <x v="962"/>
    <n v="5.1467000000000001"/>
  </r>
  <r>
    <x v="963"/>
    <n v="5.1288999999999998"/>
  </r>
  <r>
    <x v="964"/>
    <n v="5.1315"/>
  </r>
  <r>
    <x v="965"/>
    <n v="5.1166999999999998"/>
  </r>
  <r>
    <x v="966"/>
    <n v="5.0858999999999996"/>
  </r>
  <r>
    <x v="967"/>
    <n v="5.0820999999999996"/>
  </r>
  <r>
    <x v="968"/>
    <n v="5.0854999999999997"/>
  </r>
  <r>
    <x v="969"/>
    <n v="5.0807000000000002"/>
  </r>
  <r>
    <x v="970"/>
    <n v="5.0811999999999999"/>
  </r>
  <r>
    <x v="971"/>
    <n v="5.0952000000000002"/>
  </r>
  <r>
    <x v="972"/>
    <n v="5.0959000000000003"/>
  </r>
  <r>
    <x v="973"/>
    <n v="5.1161000000000003"/>
  </r>
  <r>
    <x v="974"/>
    <n v="5.1417999999999999"/>
  </r>
  <r>
    <x v="975"/>
    <n v="5.0647000000000002"/>
  </r>
  <r>
    <x v="976"/>
    <n v="5.0949999999999998"/>
  </r>
  <r>
    <x v="977"/>
    <n v="5.1002999999999998"/>
  </r>
  <r>
    <x v="978"/>
    <n v="5.1012000000000004"/>
  </r>
  <r>
    <x v="979"/>
    <n v="5.0926999999999998"/>
  </r>
  <r>
    <x v="980"/>
    <n v="5.0743999999999998"/>
  </r>
  <r>
    <x v="981"/>
    <n v="5.0776000000000003"/>
  </r>
  <r>
    <x v="982"/>
    <n v="5.0978000000000003"/>
  </r>
  <r>
    <x v="983"/>
    <n v="5.1111000000000004"/>
  </r>
  <r>
    <x v="984"/>
    <n v="5.0933000000000002"/>
  </r>
  <r>
    <x v="985"/>
    <n v="5.0887000000000002"/>
  </r>
  <r>
    <x v="986"/>
    <n v="5.0956999999999999"/>
  </r>
  <r>
    <x v="987"/>
    <n v="5.1242000000000001"/>
  </r>
  <r>
    <x v="988"/>
    <n v="5.1105999999999998"/>
  </r>
  <r>
    <x v="989"/>
    <n v="5.0933000000000002"/>
  </r>
  <r>
    <x v="990"/>
    <n v="5.0885999999999996"/>
  </r>
  <r>
    <x v="991"/>
    <n v="5.0937999999999999"/>
  </r>
  <r>
    <x v="992"/>
    <n v="5.0597000000000003"/>
  </r>
  <r>
    <x v="993"/>
    <n v="5.0461999999999998"/>
  </r>
  <r>
    <x v="994"/>
    <n v="5.0419999999999998"/>
  </r>
  <r>
    <x v="995"/>
    <n v="5.0388999999999999"/>
  </r>
  <r>
    <x v="996"/>
    <n v="5.0582000000000003"/>
  </r>
  <r>
    <x v="997"/>
    <n v="5.0541999999999998"/>
  </r>
  <r>
    <x v="998"/>
    <n v="5.0461999999999998"/>
  </r>
  <r>
    <x v="999"/>
    <n v="5.0698999999999996"/>
  </r>
  <r>
    <x v="1000"/>
    <n v="5.0643000000000002"/>
  </r>
  <r>
    <x v="1001"/>
    <n v="5.0711000000000004"/>
  </r>
  <r>
    <x v="1002"/>
    <n v="5.0796000000000001"/>
  </r>
  <r>
    <x v="1003"/>
    <n v="5.0987"/>
  </r>
  <r>
    <x v="1004"/>
    <n v="5.1184000000000003"/>
  </r>
  <r>
    <x v="1005"/>
    <n v="5.117"/>
  </r>
  <r>
    <x v="1006"/>
    <n v="5.1303999999999998"/>
  </r>
  <r>
    <x v="1007"/>
    <n v="5.1563999999999997"/>
  </r>
  <r>
    <x v="1008"/>
    <n v="5.1318000000000001"/>
  </r>
  <r>
    <x v="1009"/>
    <n v="5.0986000000000002"/>
  </r>
  <r>
    <x v="1010"/>
    <n v="5.1105"/>
  </r>
  <r>
    <x v="1011"/>
    <n v="5.1081000000000003"/>
  </r>
  <r>
    <x v="1012"/>
    <n v="5.1101000000000001"/>
  </r>
  <r>
    <x v="1013"/>
    <n v="5.1193999999999997"/>
  </r>
  <r>
    <x v="1014"/>
    <n v="5.1284000000000001"/>
  </r>
  <r>
    <x v="1015"/>
    <n v="5.1623000000000001"/>
  </r>
  <r>
    <x v="1016"/>
    <n v="5.1520000000000001"/>
  </r>
  <r>
    <x v="1017"/>
    <n v="5.1498999999999997"/>
  </r>
  <r>
    <x v="1018"/>
    <n v="5.1767000000000003"/>
  </r>
  <r>
    <x v="1019"/>
    <n v="5.2108999999999996"/>
  </r>
  <r>
    <x v="1020"/>
    <n v="5.2118000000000002"/>
  </r>
  <r>
    <x v="1021"/>
    <n v="5.2226999999999997"/>
  </r>
  <r>
    <x v="1022"/>
    <n v="5.2346000000000004"/>
  </r>
  <r>
    <x v="1023"/>
    <n v="5.2115999999999998"/>
  </r>
  <r>
    <x v="1024"/>
    <n v="5.2070999999999996"/>
  </r>
  <r>
    <x v="1025"/>
    <n v="5.1925999999999997"/>
  </r>
  <r>
    <x v="1026"/>
    <n v="5.1805000000000003"/>
  </r>
  <r>
    <x v="1027"/>
    <n v="5.1890000000000001"/>
  </r>
  <r>
    <x v="1028"/>
    <n v="5.1886999999999999"/>
  </r>
  <r>
    <x v="1029"/>
    <n v="5.1988000000000003"/>
  </r>
  <r>
    <x v="1030"/>
    <n v="5.2141000000000002"/>
  </r>
  <r>
    <x v="1031"/>
    <n v="5.2051999999999996"/>
  </r>
  <r>
    <x v="1032"/>
    <n v="5.2201000000000004"/>
  </r>
  <r>
    <x v="1033"/>
    <n v="5.2328000000000001"/>
  </r>
  <r>
    <x v="1034"/>
    <n v="5.2348999999999997"/>
  </r>
  <r>
    <x v="1035"/>
    <n v="5.2001999999999997"/>
  </r>
  <r>
    <x v="1036"/>
    <n v="5.1894"/>
  </r>
  <r>
    <x v="1037"/>
    <n v="5.2062999999999997"/>
  </r>
  <r>
    <x v="1038"/>
    <n v="5.2336"/>
  </r>
  <r>
    <x v="1039"/>
    <n v="5.2099000000000002"/>
  </r>
  <r>
    <x v="1040"/>
    <n v="5.2142999999999997"/>
  </r>
  <r>
    <x v="1041"/>
    <n v="5.2171000000000003"/>
  </r>
  <r>
    <x v="1042"/>
    <n v="5.2050000000000001"/>
  </r>
  <r>
    <x v="1043"/>
    <n v="5.2123999999999997"/>
  </r>
  <r>
    <x v="1044"/>
    <n v="5.1962000000000002"/>
  </r>
  <r>
    <x v="1045"/>
    <n v="5.1577000000000002"/>
  </r>
  <r>
    <x v="1046"/>
    <n v="5.1902999999999997"/>
  </r>
  <r>
    <x v="1047"/>
    <n v="5.1947999999999999"/>
  </r>
  <r>
    <x v="1048"/>
    <n v="5.1976000000000004"/>
  </r>
  <r>
    <x v="1049"/>
    <n v="5.2369000000000003"/>
  </r>
  <r>
    <x v="1050"/>
    <n v="5.2282000000000002"/>
  </r>
  <r>
    <x v="1051"/>
    <n v="5.2592999999999996"/>
  </r>
  <r>
    <x v="1052"/>
    <n v="5.2675999999999998"/>
  </r>
  <r>
    <x v="1053"/>
    <n v="5.2885999999999997"/>
  </r>
  <r>
    <x v="1054"/>
    <n v="5.319"/>
  </r>
  <r>
    <x v="1055"/>
    <n v="5.3131000000000004"/>
  </r>
  <r>
    <x v="1056"/>
    <n v="5.3090999999999999"/>
  </r>
  <r>
    <x v="1057"/>
    <n v="5.3117000000000001"/>
  </r>
  <r>
    <x v="1058"/>
    <n v="5.3293999999999997"/>
  </r>
  <r>
    <x v="1059"/>
    <n v="5.3028000000000004"/>
  </r>
  <r>
    <x v="1060"/>
    <n v="5.3089000000000004"/>
  </r>
  <r>
    <x v="1061"/>
    <n v="5.3343999999999996"/>
  </r>
  <r>
    <x v="1062"/>
    <n v="5.3249000000000004"/>
  </r>
  <r>
    <x v="1063"/>
    <n v="5.3140000000000001"/>
  </r>
  <r>
    <x v="1064"/>
    <n v="5.3299000000000003"/>
  </r>
  <r>
    <x v="1065"/>
    <n v="5.3369"/>
  </r>
  <r>
    <x v="1066"/>
    <n v="5.3342999999999998"/>
  </r>
  <r>
    <x v="1067"/>
    <n v="5.3129999999999997"/>
  </r>
  <r>
    <x v="1068"/>
    <n v="5.2797000000000001"/>
  </r>
  <r>
    <x v="1069"/>
    <n v="5.2881"/>
  </r>
  <r>
    <x v="1070"/>
    <n v="5.2709000000000001"/>
  </r>
  <r>
    <x v="1071"/>
    <n v="5.2693000000000003"/>
  </r>
  <r>
    <x v="1072"/>
    <n v="5.2812999999999999"/>
  </r>
  <r>
    <x v="1073"/>
    <n v="5.2998000000000003"/>
  </r>
  <r>
    <x v="1074"/>
    <n v="5.2911000000000001"/>
  </r>
  <r>
    <x v="1075"/>
    <n v="5.2944000000000004"/>
  </r>
  <r>
    <x v="1076"/>
    <n v="5.2885"/>
  </r>
  <r>
    <x v="1077"/>
    <n v="5.2798999999999996"/>
  </r>
  <r>
    <x v="1078"/>
    <n v="5.28"/>
  </r>
  <r>
    <x v="1079"/>
    <n v="5.2797000000000001"/>
  </r>
  <r>
    <x v="1080"/>
    <n v="5.2766000000000002"/>
  </r>
  <r>
    <x v="1081"/>
    <n v="5.2586000000000004"/>
  </r>
  <r>
    <x v="1082"/>
    <n v="5.2333999999999996"/>
  </r>
  <r>
    <x v="1083"/>
    <n v="5.2134999999999998"/>
  </r>
  <r>
    <x v="1084"/>
    <n v="5.1871999999999998"/>
  </r>
  <r>
    <x v="1085"/>
    <n v="5.2248999999999999"/>
  </r>
  <r>
    <x v="1086"/>
    <n v="5.2504999999999997"/>
  </r>
  <r>
    <x v="1087"/>
    <n v="5.2691999999999997"/>
  </r>
  <r>
    <x v="1088"/>
    <n v="5.2548000000000004"/>
  </r>
  <r>
    <x v="1089"/>
    <n v="5.2525000000000004"/>
  </r>
  <r>
    <x v="1090"/>
    <n v="5.2336999999999998"/>
  </r>
  <r>
    <x v="1091"/>
    <n v="5.2096999999999998"/>
  </r>
  <r>
    <x v="1092"/>
    <n v="5.2202000000000002"/>
  </r>
  <r>
    <x v="1093"/>
    <n v="5.2004000000000001"/>
  </r>
  <r>
    <x v="1094"/>
    <n v="5.2473999999999998"/>
  </r>
  <r>
    <x v="1095"/>
    <n v="5.2367999999999997"/>
  </r>
  <r>
    <x v="1096"/>
    <n v="5.1970000000000001"/>
  </r>
  <r>
    <x v="1097"/>
    <n v="5.1845999999999997"/>
  </r>
  <r>
    <x v="1098"/>
    <n v="5.1657999999999999"/>
  </r>
  <r>
    <x v="1099"/>
    <n v="5.2004000000000001"/>
  </r>
  <r>
    <x v="1100"/>
    <n v="5.1993999999999998"/>
  </r>
  <r>
    <x v="1101"/>
    <n v="5.1765999999999996"/>
  </r>
  <r>
    <x v="1102"/>
    <n v="5.1641000000000004"/>
  </r>
  <r>
    <x v="1103"/>
    <n v="5.1361999999999997"/>
  </r>
  <r>
    <x v="1104"/>
    <n v="5.1276000000000002"/>
  </r>
  <r>
    <x v="1105"/>
    <n v="5.0875000000000004"/>
  </r>
  <r>
    <x v="1106"/>
    <n v="5.1139999999999999"/>
  </r>
  <r>
    <x v="1107"/>
    <n v="5.1444999999999999"/>
  </r>
  <r>
    <x v="1108"/>
    <n v="5.1459000000000001"/>
  </r>
  <r>
    <x v="1109"/>
    <n v="5.1539999999999999"/>
  </r>
  <r>
    <x v="1110"/>
    <n v="5.1619000000000002"/>
  </r>
  <r>
    <x v="1111"/>
    <n v="5.1566000000000001"/>
  </r>
  <r>
    <x v="1112"/>
    <n v="5.1879999999999997"/>
  </r>
  <r>
    <x v="1113"/>
    <n v="5.1894"/>
  </r>
  <r>
    <x v="1114"/>
    <n v="5.1852"/>
  </r>
  <r>
    <x v="1115"/>
    <n v="5.1685999999999996"/>
  </r>
  <r>
    <x v="1116"/>
    <n v="5.1580000000000004"/>
  </r>
  <r>
    <x v="1117"/>
    <n v="5.1574999999999998"/>
  </r>
  <r>
    <x v="1118"/>
    <n v="5.1711"/>
  </r>
  <r>
    <x v="1119"/>
    <n v="5.1573000000000002"/>
  </r>
  <r>
    <x v="1120"/>
    <n v="5.1558999999999999"/>
  </r>
  <r>
    <x v="1121"/>
    <n v="5.1783999999999999"/>
  </r>
  <r>
    <x v="1122"/>
    <n v="5.1787999999999998"/>
  </r>
  <r>
    <x v="1123"/>
    <n v="5.1761999999999997"/>
  </r>
  <r>
    <x v="1124"/>
    <n v="5.1680999999999999"/>
  </r>
  <r>
    <x v="1125"/>
    <n v="5.1519000000000004"/>
  </r>
  <r>
    <x v="1126"/>
    <n v="5.1436999999999999"/>
  </r>
  <r>
    <x v="1127"/>
    <n v="5.1228999999999996"/>
  </r>
  <r>
    <x v="1128"/>
    <n v="5.0662000000000003"/>
  </r>
  <r>
    <x v="1129"/>
    <n v="5.0674000000000001"/>
  </r>
  <r>
    <x v="1130"/>
    <n v="5.1226000000000003"/>
  </r>
  <r>
    <x v="1131"/>
    <n v="5.1387999999999998"/>
  </r>
  <r>
    <x v="1132"/>
    <n v="5.1406999999999998"/>
  </r>
  <r>
    <x v="1133"/>
    <n v="5.1140999999999996"/>
  </r>
  <r>
    <x v="1134"/>
    <n v="5.1279000000000003"/>
  </r>
  <r>
    <x v="1135"/>
    <n v="5.1303999999999998"/>
  </r>
  <r>
    <x v="1136"/>
    <n v="5.1272000000000002"/>
  </r>
  <r>
    <x v="1137"/>
    <n v="5.1158000000000001"/>
  </r>
  <r>
    <x v="1138"/>
    <n v="5.1441999999999997"/>
  </r>
  <r>
    <x v="1139"/>
    <n v="5.1502999999999997"/>
  </r>
  <r>
    <x v="1140"/>
    <n v="5.1494999999999997"/>
  </r>
  <r>
    <x v="1141"/>
    <n v="5.1132999999999997"/>
  </r>
  <r>
    <x v="1142"/>
    <n v="5.0915999999999997"/>
  </r>
  <r>
    <x v="1143"/>
    <n v="5.0991"/>
  </r>
  <r>
    <x v="1144"/>
    <n v="5.0858999999999996"/>
  </r>
  <r>
    <x v="1145"/>
    <n v="5.1010999999999997"/>
  </r>
  <r>
    <x v="1146"/>
    <n v="5.0808"/>
  </r>
  <r>
    <x v="1147"/>
    <n v="5.0959000000000003"/>
  </r>
  <r>
    <x v="1148"/>
    <n v="5.0873999999999997"/>
  </r>
  <r>
    <x v="1149"/>
    <n v="5.0434000000000001"/>
  </r>
  <r>
    <x v="1150"/>
    <n v="5.0667999999999997"/>
  </r>
  <r>
    <x v="1151"/>
    <n v="5.1029"/>
  </r>
  <r>
    <x v="1152"/>
    <n v="5.1132"/>
  </r>
  <r>
    <x v="1153"/>
    <n v="5.1161000000000003"/>
  </r>
  <r>
    <x v="1154"/>
    <n v="5.0982000000000003"/>
  </r>
  <r>
    <x v="1155"/>
    <n v="5.0852000000000004"/>
  </r>
  <r>
    <x v="1156"/>
    <n v="5.1448999999999998"/>
  </r>
  <r>
    <x v="1157"/>
    <n v="5.1670999999999996"/>
  </r>
  <r>
    <x v="1158"/>
    <n v="5.1611000000000002"/>
  </r>
  <r>
    <x v="1159"/>
    <n v="5.1807999999999996"/>
  </r>
  <r>
    <x v="1160"/>
    <n v="5.1741999999999999"/>
  </r>
  <r>
    <x v="1161"/>
    <n v="5.2035"/>
  </r>
  <r>
    <x v="1162"/>
    <n v="5.1992000000000003"/>
  </r>
  <r>
    <x v="1163"/>
    <n v="5.1952999999999996"/>
  </r>
  <r>
    <x v="1164"/>
    <n v="5.1806000000000001"/>
  </r>
  <r>
    <x v="1165"/>
    <n v="5.1840000000000002"/>
  </r>
  <r>
    <x v="1166"/>
    <n v="5.1772999999999998"/>
  </r>
  <r>
    <x v="1167"/>
    <n v="5.1670999999999996"/>
  </r>
  <r>
    <x v="1168"/>
    <n v="5.1590999999999996"/>
  </r>
  <r>
    <x v="1169"/>
    <n v="5.1532"/>
  </r>
  <r>
    <x v="1170"/>
    <n v="5.1715999999999998"/>
  </r>
  <r>
    <x v="1171"/>
    <n v="5.1742999999999997"/>
  </r>
  <r>
    <x v="1172"/>
    <n v="5.1839000000000004"/>
  </r>
  <r>
    <x v="1173"/>
    <n v="5.1715"/>
  </r>
  <r>
    <x v="1174"/>
    <n v="5.1627999999999998"/>
  </r>
  <r>
    <x v="1175"/>
    <n v="5.1630000000000003"/>
  </r>
  <r>
    <x v="1176"/>
    <n v="5.1375000000000002"/>
  </r>
  <r>
    <x v="1177"/>
    <n v="5.1345999999999998"/>
  </r>
  <r>
    <x v="1178"/>
    <n v="5.1341999999999999"/>
  </r>
  <r>
    <x v="1179"/>
    <n v="5.1410999999999998"/>
  </r>
  <r>
    <x v="1180"/>
    <n v="5.1356999999999999"/>
  </r>
  <r>
    <x v="1181"/>
    <n v="5.0894000000000004"/>
  </r>
  <r>
    <x v="1182"/>
    <n v="5.0922999999999998"/>
  </r>
  <r>
    <x v="1183"/>
    <n v="5.1094999999999997"/>
  </r>
  <r>
    <x v="1184"/>
    <n v="5.0890000000000004"/>
  </r>
  <r>
    <x v="1185"/>
    <n v="5.0579999999999998"/>
  </r>
  <r>
    <x v="1186"/>
    <n v="5.0646000000000004"/>
  </r>
  <r>
    <x v="1187"/>
    <n v="5.0549999999999997"/>
  </r>
  <r>
    <x v="1188"/>
    <n v="5.0311000000000003"/>
  </r>
  <r>
    <x v="1189"/>
    <n v="5.0411999999999999"/>
  </r>
  <r>
    <x v="1190"/>
    <n v="5.0522999999999998"/>
  </r>
  <r>
    <x v="1191"/>
    <n v="5.0526999999999997"/>
  </r>
  <r>
    <x v="1192"/>
    <n v="5.0117000000000003"/>
  </r>
  <r>
    <x v="1193"/>
    <n v="5.008"/>
  </r>
  <r>
    <x v="1194"/>
    <n v="4.9839000000000002"/>
  </r>
  <r>
    <x v="1195"/>
    <n v="4.9710999999999999"/>
  </r>
  <r>
    <x v="1196"/>
    <n v="4.9726999999999997"/>
  </r>
  <r>
    <x v="1197"/>
    <n v="4.9669999999999996"/>
  </r>
  <r>
    <x v="1198"/>
    <n v="4.9935999999999998"/>
  </r>
  <r>
    <x v="1199"/>
    <n v="5.0357000000000003"/>
  </r>
  <r>
    <x v="1200"/>
    <n v="5.0152000000000001"/>
  </r>
  <r>
    <x v="1201"/>
    <n v="4.9968000000000004"/>
  </r>
  <r>
    <x v="1202"/>
    <n v="5.0030999999999999"/>
  </r>
  <r>
    <x v="1203"/>
    <n v="4.9701000000000004"/>
  </r>
  <r>
    <x v="1204"/>
    <n v="4.9524999999999997"/>
  </r>
  <r>
    <x v="1205"/>
    <n v="4.9572000000000003"/>
  </r>
  <r>
    <x v="1206"/>
    <n v="4.9794"/>
  </r>
  <r>
    <x v="1207"/>
    <n v="4.9562999999999997"/>
  </r>
  <r>
    <x v="1208"/>
    <n v="4.9225000000000003"/>
  </r>
  <r>
    <x v="1209"/>
    <n v="4.9310999999999998"/>
  </r>
  <r>
    <x v="1210"/>
    <n v="4.9512999999999998"/>
  </r>
  <r>
    <x v="1211"/>
    <n v="4.9714999999999998"/>
  </r>
  <r>
    <x v="1212"/>
    <n v="4.9703999999999997"/>
  </r>
  <r>
    <x v="1213"/>
    <n v="4.9824999999999999"/>
  </r>
  <r>
    <x v="1214"/>
    <n v="4.9730999999999996"/>
  </r>
  <r>
    <x v="1215"/>
    <n v="4.9767999999999999"/>
  </r>
  <r>
    <x v="1216"/>
    <n v="5.0045999999999999"/>
  </r>
  <r>
    <x v="1217"/>
    <n v="5.0048000000000004"/>
  </r>
  <r>
    <x v="1218"/>
    <n v="5.0209000000000001"/>
  </r>
  <r>
    <x v="1219"/>
    <n v="4.9958999999999998"/>
  </r>
  <r>
    <x v="1220"/>
    <n v="5.0088999999999997"/>
  </r>
  <r>
    <x v="1221"/>
    <n v="5.0305999999999997"/>
  </r>
  <r>
    <x v="1222"/>
    <n v="5.0259999999999998"/>
  </r>
  <r>
    <x v="1223"/>
    <n v="5.0636000000000001"/>
  </r>
  <r>
    <x v="1224"/>
    <n v="5.0762"/>
  </r>
  <r>
    <x v="1225"/>
    <n v="5.0891999999999999"/>
  </r>
  <r>
    <x v="1226"/>
    <n v="5.0660999999999996"/>
  </r>
  <r>
    <x v="1227"/>
    <n v="5.0743999999999998"/>
  </r>
  <r>
    <x v="1228"/>
    <n v="5.0879000000000003"/>
  </r>
  <r>
    <x v="1229"/>
    <n v="5.0721999999999996"/>
  </r>
  <r>
    <x v="1230"/>
    <n v="5.0742000000000003"/>
  </r>
  <r>
    <x v="1231"/>
    <n v="5.0435999999999996"/>
  </r>
  <r>
    <x v="1232"/>
    <n v="5.0187999999999997"/>
  </r>
  <r>
    <x v="1233"/>
    <n v="5.0102000000000002"/>
  </r>
  <r>
    <x v="1234"/>
    <n v="5.0030999999999999"/>
  </r>
  <r>
    <x v="1235"/>
    <n v="5.0049999999999999"/>
  </r>
  <r>
    <x v="1236"/>
    <n v="4.9629000000000003"/>
  </r>
  <r>
    <x v="1237"/>
    <n v="5.0171000000000001"/>
  </r>
  <r>
    <x v="1238"/>
    <n v="5.0105000000000004"/>
  </r>
  <r>
    <x v="1239"/>
    <n v="5.0194999999999999"/>
  </r>
  <r>
    <x v="1240"/>
    <n v="5.0030000000000001"/>
  </r>
  <r>
    <x v="1241"/>
    <n v="5.0019999999999998"/>
  </r>
  <r>
    <x v="1242"/>
    <n v="4.9981999999999998"/>
  </r>
  <r>
    <x v="1243"/>
    <n v="4.9897999999999998"/>
  </r>
  <r>
    <x v="1244"/>
    <n v="4.9923000000000002"/>
  </r>
  <r>
    <x v="1245"/>
    <n v="4.9862000000000002"/>
  </r>
  <r>
    <x v="1246"/>
    <n v="4.9695999999999998"/>
  </r>
  <r>
    <x v="1247"/>
    <n v="4.9752000000000001"/>
  </r>
  <r>
    <x v="1248"/>
    <n v="4.9602000000000004"/>
  </r>
  <r>
    <x v="1249"/>
    <n v="4.9695999999999998"/>
  </r>
  <r>
    <x v="1250"/>
    <n v="4.9447999999999999"/>
  </r>
  <r>
    <x v="1251"/>
    <n v="4.9554"/>
  </r>
  <r>
    <x v="1252"/>
    <n v="4.9668999999999999"/>
  </r>
  <r>
    <x v="1253"/>
    <n v="4.9739000000000004"/>
  </r>
  <r>
    <x v="1254"/>
    <n v="4.9823000000000004"/>
  </r>
  <r>
    <x v="1255"/>
    <n v="4.9869000000000003"/>
  </r>
  <r>
    <x v="1256"/>
    <n v="4.9821999999999997"/>
  </r>
  <r>
    <x v="1257"/>
    <n v="4.9332000000000003"/>
  </r>
  <r>
    <x v="1258"/>
    <n v="4.9004000000000003"/>
  </r>
  <r>
    <x v="1259"/>
    <n v="4.9203000000000001"/>
  </r>
  <r>
    <x v="1260"/>
    <n v="4.9591000000000003"/>
  </r>
  <r>
    <x v="1261"/>
    <n v="4.9751000000000003"/>
  </r>
  <r>
    <x v="1262"/>
    <n v="4.9646999999999997"/>
  </r>
  <r>
    <x v="1263"/>
    <n v="4.9945000000000004"/>
  </r>
  <r>
    <x v="1264"/>
    <n v="4.9936999999999996"/>
  </r>
  <r>
    <x v="1265"/>
    <n v="5.0199999999999996"/>
  </r>
  <r>
    <x v="1266"/>
    <n v="5.0514000000000001"/>
  </r>
  <r>
    <x v="1267"/>
    <n v="5.0556000000000001"/>
  </r>
  <r>
    <x v="1268"/>
    <n v="5.0525000000000002"/>
  </r>
  <r>
    <x v="1269"/>
    <n v="5.0651999999999999"/>
  </r>
  <r>
    <x v="1270"/>
    <n v="5.0884999999999998"/>
  </r>
  <r>
    <x v="1271"/>
    <n v="5.1059000000000001"/>
  </r>
  <r>
    <x v="1272"/>
    <n v="5.0834999999999999"/>
  </r>
  <r>
    <x v="1273"/>
    <n v="5.0815999999999999"/>
  </r>
  <r>
    <x v="1274"/>
    <n v="5.0849000000000002"/>
  </r>
  <r>
    <x v="1275"/>
    <n v="5.0784000000000002"/>
  </r>
  <r>
    <x v="1276"/>
    <n v="5.1100000000000003"/>
  </r>
  <r>
    <x v="1277"/>
    <n v="5.0681000000000003"/>
  </r>
  <r>
    <x v="1278"/>
    <n v="5.0568"/>
  </r>
  <r>
    <x v="1279"/>
    <n v="5.0618999999999996"/>
  </r>
  <r>
    <x v="1280"/>
    <n v="5.0469999999999997"/>
  </r>
  <r>
    <x v="1281"/>
    <n v="5.0450999999999997"/>
  </r>
  <r>
    <x v="1282"/>
    <n v="5.0568"/>
  </r>
  <r>
    <x v="1283"/>
    <n v="5.0639000000000003"/>
  </r>
  <r>
    <x v="1284"/>
    <n v="5.0537999999999998"/>
  </r>
  <r>
    <x v="1285"/>
    <n v="5.0548999999999999"/>
  </r>
  <r>
    <x v="1286"/>
    <n v="5.0671999999999997"/>
  </r>
  <r>
    <x v="1287"/>
    <n v="5.1300999999999997"/>
  </r>
  <r>
    <x v="1288"/>
    <n v="5.1357999999999997"/>
  </r>
  <r>
    <x v="1289"/>
    <n v="5.1024000000000003"/>
  </r>
  <r>
    <x v="1290"/>
    <n v="5.1513999999999998"/>
  </r>
  <r>
    <x v="1291"/>
    <n v="5.1220999999999997"/>
  </r>
  <r>
    <x v="1292"/>
    <n v="5.1231"/>
  </r>
  <r>
    <x v="1293"/>
    <n v="5.1707000000000001"/>
  </r>
  <r>
    <x v="1294"/>
    <n v="5.1561000000000003"/>
  </r>
  <r>
    <x v="1295"/>
    <n v="5.1757"/>
  </r>
  <r>
    <x v="1296"/>
    <n v="5.1821999999999999"/>
  </r>
  <r>
    <x v="1297"/>
    <n v="5.1585000000000001"/>
  </r>
  <r>
    <x v="1298"/>
    <n v="5.1649000000000003"/>
  </r>
  <r>
    <x v="1299"/>
    <n v="5.1795999999999998"/>
  </r>
  <r>
    <x v="1300"/>
    <n v="5.2161999999999997"/>
  </r>
  <r>
    <x v="1301"/>
    <n v="5.2573999999999996"/>
  </r>
  <r>
    <x v="1302"/>
    <n v="5.2809999999999997"/>
  </r>
  <r>
    <x v="1303"/>
    <n v="5.2636000000000003"/>
  </r>
  <r>
    <x v="1304"/>
    <n v="5.2439999999999998"/>
  </r>
  <r>
    <x v="1305"/>
    <n v="5.2644000000000002"/>
  </r>
  <r>
    <x v="1306"/>
    <n v="5.2108999999999996"/>
  </r>
  <r>
    <x v="1307"/>
    <n v="5.2041000000000004"/>
  </r>
  <r>
    <x v="1308"/>
    <n v="5.1932999999999998"/>
  </r>
  <r>
    <x v="1309"/>
    <n v="5.2112999999999996"/>
  </r>
  <r>
    <x v="1310"/>
    <n v="5.2755000000000001"/>
  </r>
  <r>
    <x v="1311"/>
    <n v="5.2702"/>
  </r>
  <r>
    <x v="1312"/>
    <n v="5.2618"/>
  </r>
  <r>
    <x v="1313"/>
    <n v="5.2740999999999998"/>
  </r>
  <r>
    <x v="1314"/>
    <n v="5.2991999999999999"/>
  </r>
  <r>
    <x v="1315"/>
    <n v="5.3033000000000001"/>
  </r>
  <r>
    <x v="1316"/>
    <n v="5.2953000000000001"/>
  </r>
  <r>
    <x v="1317"/>
    <n v="5.3152999999999997"/>
  </r>
  <r>
    <x v="1318"/>
    <n v="5.3236999999999997"/>
  </r>
  <r>
    <x v="1319"/>
    <n v="5.2756999999999996"/>
  </r>
  <r>
    <x v="1320"/>
    <n v="5.2511000000000001"/>
  </r>
  <r>
    <x v="1321"/>
    <n v="5.2350000000000003"/>
  </r>
  <r>
    <x v="1322"/>
    <n v="5.2133000000000003"/>
  </r>
  <r>
    <x v="1323"/>
    <n v="5.2077999999999998"/>
  </r>
  <r>
    <x v="1324"/>
    <n v="5.1668000000000003"/>
  </r>
  <r>
    <x v="1325"/>
    <n v="5.1590999999999996"/>
  </r>
  <r>
    <x v="1326"/>
    <n v="5.1487999999999996"/>
  </r>
  <r>
    <x v="1327"/>
    <n v="5.1862000000000004"/>
  </r>
  <r>
    <x v="1328"/>
    <n v="5.1768000000000001"/>
  </r>
  <r>
    <x v="1329"/>
    <n v="5.1612"/>
  </r>
  <r>
    <x v="1330"/>
    <n v="5.1853999999999996"/>
  </r>
  <r>
    <x v="1331"/>
    <n v="5.2000999999999999"/>
  </r>
  <r>
    <x v="1332"/>
    <n v="5.2076000000000002"/>
  </r>
  <r>
    <x v="1333"/>
    <n v="5.2058"/>
  </r>
  <r>
    <x v="1334"/>
    <n v="5.1948999999999996"/>
  </r>
  <r>
    <x v="1335"/>
    <n v="5.2050999999999998"/>
  </r>
  <r>
    <x v="1336"/>
    <n v="5.2119999999999997"/>
  </r>
  <r>
    <x v="1337"/>
    <n v="5.1604999999999999"/>
  </r>
  <r>
    <x v="1338"/>
    <n v="5.1490999999999998"/>
  </r>
  <r>
    <x v="1339"/>
    <n v="5.1729000000000003"/>
  </r>
  <r>
    <x v="1340"/>
    <n v="5.1722000000000001"/>
  </r>
  <r>
    <x v="1341"/>
    <n v="5.1755000000000004"/>
  </r>
  <r>
    <x v="1342"/>
    <n v="5.1634000000000002"/>
  </r>
  <r>
    <x v="1343"/>
    <n v="5.1767000000000003"/>
  </r>
  <r>
    <x v="1344"/>
    <n v="5.1471999999999998"/>
  </r>
  <r>
    <x v="1345"/>
    <n v="5.1826999999999996"/>
  </r>
  <r>
    <x v="1346"/>
    <n v="5.1947000000000001"/>
  </r>
  <r>
    <x v="1347"/>
    <n v="5.2408000000000001"/>
  </r>
  <r>
    <x v="1348"/>
    <n v="5.2469000000000001"/>
  </r>
  <r>
    <x v="1349"/>
    <n v="5.2438000000000002"/>
  </r>
  <r>
    <x v="1350"/>
    <n v="5.2270000000000003"/>
  </r>
  <r>
    <x v="1351"/>
    <n v="5.2511000000000001"/>
  </r>
  <r>
    <x v="1352"/>
    <n v="5.2610000000000001"/>
  </r>
  <r>
    <x v="1353"/>
    <n v="5.2591999999999999"/>
  </r>
  <r>
    <x v="1354"/>
    <n v="5.2662000000000004"/>
  </r>
  <r>
    <x v="1355"/>
    <n v="5.2653999999999996"/>
  </r>
  <r>
    <x v="1356"/>
    <n v="5.2526000000000002"/>
  </r>
  <r>
    <x v="1357"/>
    <n v="5.2637999999999998"/>
  </r>
  <r>
    <x v="1358"/>
    <n v="5.2622999999999998"/>
  </r>
  <r>
    <x v="1359"/>
    <n v="5.2381000000000002"/>
  </r>
  <r>
    <x v="1360"/>
    <n v="5.2305999999999999"/>
  </r>
  <r>
    <x v="1361"/>
    <n v="5.2557999999999998"/>
  </r>
  <r>
    <x v="1362"/>
    <n v="5.2462999999999997"/>
  </r>
  <r>
    <x v="1363"/>
    <n v="5.2694999999999999"/>
  </r>
  <r>
    <x v="1364"/>
    <n v="5.2809999999999997"/>
  </r>
  <r>
    <x v="1365"/>
    <n v="5.2763999999999998"/>
  </r>
  <r>
    <x v="1366"/>
    <n v="5.2474999999999996"/>
  </r>
  <r>
    <x v="1367"/>
    <n v="5.2827999999999999"/>
  </r>
  <r>
    <x v="1368"/>
    <n v="5.2484999999999999"/>
  </r>
  <r>
    <x v="1369"/>
    <n v="5.2565"/>
  </r>
  <r>
    <x v="1370"/>
    <n v="5.2469999999999999"/>
  </r>
  <r>
    <x v="1371"/>
    <n v="5.2497999999999996"/>
  </r>
  <r>
    <x v="1372"/>
    <n v="5.2786999999999997"/>
  </r>
  <r>
    <x v="1373"/>
    <n v="5.2935999999999996"/>
  </r>
  <r>
    <x v="1374"/>
    <n v="5.2987000000000002"/>
  </r>
  <r>
    <x v="1375"/>
    <n v="5.2662000000000004"/>
  </r>
  <r>
    <x v="1376"/>
    <n v="5.3087"/>
  </r>
  <r>
    <x v="1377"/>
    <n v="5.2788000000000004"/>
  </r>
  <r>
    <x v="1378"/>
    <n v="5.2430000000000003"/>
  </r>
  <r>
    <x v="1379"/>
    <n v="5.2587999999999999"/>
  </r>
  <r>
    <x v="1380"/>
    <n v="5.2602000000000002"/>
  </r>
  <r>
    <x v="1381"/>
    <n v="5.2769000000000004"/>
  </r>
  <r>
    <x v="1382"/>
    <n v="5.2906000000000004"/>
  </r>
  <r>
    <x v="1383"/>
    <n v="5.2957000000000001"/>
  </r>
  <r>
    <x v="1384"/>
    <n v="5.3034999999999997"/>
  </r>
  <r>
    <x v="1385"/>
    <n v="5.3192000000000004"/>
  </r>
  <r>
    <x v="1386"/>
    <n v="5.2713999999999999"/>
  </r>
  <r>
    <x v="1387"/>
    <n v="5.2747000000000002"/>
  </r>
  <r>
    <x v="1388"/>
    <n v="5.2525000000000004"/>
  </r>
  <r>
    <x v="1389"/>
    <n v="5.2590000000000003"/>
  </r>
  <r>
    <x v="1390"/>
    <n v="5.2728000000000002"/>
  </r>
  <r>
    <x v="1391"/>
    <n v="5.2328999999999999"/>
  </r>
  <r>
    <x v="1392"/>
    <n v="5.2173999999999996"/>
  </r>
  <r>
    <x v="1393"/>
    <n v="5.2244000000000002"/>
  </r>
  <r>
    <x v="1394"/>
    <n v="5.2142999999999997"/>
  </r>
  <r>
    <x v="1395"/>
    <n v="5.1821000000000002"/>
  </r>
  <r>
    <x v="1396"/>
    <n v="5.1971999999999996"/>
  </r>
  <r>
    <x v="1397"/>
    <n v="5.2472000000000003"/>
  </r>
  <r>
    <x v="1398"/>
    <n v="5.2084000000000001"/>
  </r>
  <r>
    <x v="1399"/>
    <n v="5.1776"/>
  </r>
  <r>
    <x v="1400"/>
    <n v="5.1702000000000004"/>
  </r>
  <r>
    <x v="1401"/>
    <n v="5.1784999999999997"/>
  </r>
  <r>
    <x v="1402"/>
    <n v="5.1601999999999997"/>
  </r>
  <r>
    <x v="1403"/>
    <n v="5.1844999999999999"/>
  </r>
  <r>
    <x v="1404"/>
    <n v="5.1571999999999996"/>
  </r>
  <r>
    <x v="1405"/>
    <n v="5.1997999999999998"/>
  </r>
  <r>
    <x v="1406"/>
    <n v="5.2016999999999998"/>
  </r>
  <r>
    <x v="1407"/>
    <n v="5.2073999999999998"/>
  </r>
  <r>
    <x v="1408"/>
    <n v="5.1946000000000003"/>
  </r>
  <r>
    <x v="1409"/>
    <n v="5.2515999999999998"/>
  </r>
  <r>
    <x v="1410"/>
    <n v="5.2515999999999998"/>
  </r>
  <r>
    <x v="1411"/>
    <n v="5.2927"/>
  </r>
  <r>
    <x v="1412"/>
    <n v="5.2792000000000003"/>
  </r>
  <r>
    <x v="1413"/>
    <n v="5.3018999999999998"/>
  </r>
  <r>
    <x v="1414"/>
    <n v="5.2975000000000003"/>
  </r>
  <r>
    <x v="1415"/>
    <n v="5.3132999999999999"/>
  </r>
  <r>
    <x v="1416"/>
    <n v="5.3127000000000004"/>
  </r>
  <r>
    <x v="1417"/>
    <n v="5.2893999999999997"/>
  </r>
  <r>
    <x v="1418"/>
    <n v="5.3019999999999996"/>
  </r>
  <r>
    <x v="1419"/>
    <n v="5.3470000000000004"/>
  </r>
  <r>
    <x v="1420"/>
    <n v="5.3486000000000002"/>
  </r>
  <r>
    <x v="1421"/>
    <n v="5.3726000000000003"/>
  </r>
  <r>
    <x v="1422"/>
    <n v="5.3525"/>
  </r>
  <r>
    <x v="1423"/>
    <n v="5.3912000000000004"/>
  </r>
  <r>
    <x v="1424"/>
    <n v="5.3426999999999998"/>
  </r>
  <r>
    <x v="1425"/>
    <n v="5.2882999999999996"/>
  </r>
  <r>
    <x v="1426"/>
    <n v="5.2991999999999999"/>
  </r>
  <r>
    <x v="1427"/>
    <n v="5.3033000000000001"/>
  </r>
  <r>
    <x v="1428"/>
    <n v="5.3369"/>
  </r>
  <r>
    <x v="1429"/>
    <n v="5.3251999999999997"/>
  </r>
  <r>
    <x v="1430"/>
    <n v="5.3278999999999996"/>
  </r>
  <r>
    <x v="1431"/>
    <n v="5.3330000000000002"/>
  </r>
  <r>
    <x v="1432"/>
    <n v="5.335"/>
  </r>
  <r>
    <x v="1433"/>
    <n v="5.3494000000000002"/>
  </r>
  <r>
    <x v="1434"/>
    <n v="5.3456999999999999"/>
  </r>
  <r>
    <x v="1435"/>
    <n v="5.3396999999999997"/>
  </r>
  <r>
    <x v="1436"/>
    <n v="5.2805"/>
  </r>
  <r>
    <x v="1437"/>
    <n v="5.3087"/>
  </r>
  <r>
    <x v="1438"/>
    <n v="5.2538999999999998"/>
  </r>
  <r>
    <x v="1439"/>
    <n v="5.2286000000000001"/>
  </r>
  <r>
    <x v="1440"/>
    <n v="5.1315999999999997"/>
  </r>
  <r>
    <x v="1441"/>
    <n v="5.1288999999999998"/>
  </r>
  <r>
    <x v="1442"/>
    <n v="5.0990000000000002"/>
  </r>
  <r>
    <x v="1443"/>
    <n v="5.12"/>
  </r>
  <r>
    <x v="1444"/>
    <n v="5.0948000000000002"/>
  </r>
  <r>
    <x v="1445"/>
    <n v="5.1166999999999998"/>
  </r>
  <r>
    <x v="1446"/>
    <n v="5.1313000000000004"/>
  </r>
  <r>
    <x v="1447"/>
    <n v="5.1195000000000004"/>
  </r>
  <r>
    <x v="1448"/>
    <n v="5.1102999999999996"/>
  </r>
  <r>
    <x v="1449"/>
    <n v="5.0971000000000002"/>
  </r>
  <r>
    <x v="1450"/>
    <n v="5.1215999999999999"/>
  </r>
  <r>
    <x v="1451"/>
    <n v="5.1208"/>
  </r>
  <r>
    <x v="1452"/>
    <n v="5.1224999999999996"/>
  </r>
  <r>
    <x v="1453"/>
    <n v="5.1169000000000002"/>
  </r>
  <r>
    <x v="1454"/>
    <n v="5.1329000000000002"/>
  </r>
  <r>
    <x v="1455"/>
    <n v="5.1273"/>
  </r>
  <r>
    <x v="1456"/>
    <n v="5.1529999999999996"/>
  </r>
  <r>
    <x v="1457"/>
    <n v="5.1322000000000001"/>
  </r>
  <r>
    <x v="1458"/>
    <n v="5.1384999999999996"/>
  </r>
  <r>
    <x v="1459"/>
    <n v="5.1243999999999996"/>
  </r>
  <r>
    <x v="1460"/>
    <n v="5.0555000000000003"/>
  </r>
  <r>
    <x v="1461"/>
    <n v="5.1144999999999996"/>
  </r>
  <r>
    <x v="1462"/>
    <n v="5.0799000000000003"/>
  </r>
  <r>
    <x v="1463"/>
    <n v="5.0789999999999997"/>
  </r>
  <r>
    <x v="1464"/>
    <n v="5.0491000000000001"/>
  </r>
  <r>
    <x v="1465"/>
    <n v="5.0473999999999997"/>
  </r>
  <r>
    <x v="1466"/>
    <n v="5.0430999999999999"/>
  </r>
  <r>
    <x v="1467"/>
    <n v="5.0323000000000002"/>
  </r>
  <r>
    <x v="1468"/>
    <n v="5.0119999999999996"/>
  </r>
  <r>
    <x v="1469"/>
    <n v="5.0171000000000001"/>
  </r>
  <r>
    <x v="1470"/>
    <n v="5.0505000000000004"/>
  </r>
  <r>
    <x v="1471"/>
    <n v="5.0145999999999997"/>
  </r>
  <r>
    <x v="1472"/>
    <n v="5.0296000000000003"/>
  </r>
  <r>
    <x v="1473"/>
    <n v="5.0824999999999996"/>
  </r>
  <r>
    <x v="1474"/>
    <n v="5.0495999999999999"/>
  </r>
  <r>
    <x v="1475"/>
    <n v="5.0728999999999997"/>
  </r>
  <r>
    <x v="1476"/>
    <n v="5.0599999999999996"/>
  </r>
  <r>
    <x v="1477"/>
    <n v="5.0589000000000004"/>
  </r>
  <r>
    <x v="1478"/>
    <n v="5.0506000000000002"/>
  </r>
  <r>
    <x v="1479"/>
    <n v="5.0548999999999999"/>
  </r>
  <r>
    <x v="1480"/>
    <n v="5.0571000000000002"/>
  </r>
  <r>
    <x v="1481"/>
    <n v="5.0495999999999999"/>
  </r>
  <r>
    <x v="1482"/>
    <n v="5.0465"/>
  </r>
  <r>
    <x v="1483"/>
    <n v="5.1035000000000004"/>
  </r>
  <r>
    <x v="1484"/>
    <n v="5.1098999999999997"/>
  </r>
  <r>
    <x v="1485"/>
    <n v="5.1119000000000003"/>
  </r>
  <r>
    <x v="1486"/>
    <n v="5.1148999999999996"/>
  </r>
  <r>
    <x v="1487"/>
    <n v="5.0974000000000004"/>
  </r>
  <r>
    <x v="1488"/>
    <n v="5.0904999999999996"/>
  </r>
  <r>
    <x v="1489"/>
    <n v="5.0968999999999998"/>
  </r>
  <r>
    <x v="1490"/>
    <n v="5.0804999999999998"/>
  </r>
  <r>
    <x v="1491"/>
    <n v="5.0952999999999999"/>
  </r>
  <r>
    <x v="1492"/>
    <n v="5.0898000000000003"/>
  </r>
  <r>
    <x v="1493"/>
    <n v="5.1148999999999996"/>
  </r>
  <r>
    <x v="1494"/>
    <n v="5.1218000000000004"/>
  </r>
  <r>
    <x v="1495"/>
    <n v="5.0865"/>
  </r>
  <r>
    <x v="1496"/>
    <n v="5.0629"/>
  </r>
  <r>
    <x v="1497"/>
    <n v="5.0831"/>
  </r>
  <r>
    <x v="1498"/>
    <n v="5.0685000000000002"/>
  </r>
  <r>
    <x v="1499"/>
    <n v="5.0804999999999998"/>
  </r>
  <r>
    <x v="1500"/>
    <n v="5.0545"/>
  </r>
  <r>
    <x v="1501"/>
    <n v="5.0486000000000004"/>
  </r>
  <r>
    <x v="1502"/>
    <n v="5.0357000000000003"/>
  </r>
  <r>
    <x v="1503"/>
    <n v="5.0400999999999998"/>
  </r>
  <r>
    <x v="1504"/>
    <n v="5.0167999999999999"/>
  </r>
  <r>
    <x v="1505"/>
    <n v="5.0175000000000001"/>
  </r>
  <r>
    <x v="1506"/>
    <n v="5.0260999999999996"/>
  </r>
  <r>
    <x v="1507"/>
    <n v="5.0335999999999999"/>
  </r>
  <r>
    <x v="1508"/>
    <n v="5.0087999999999999"/>
  </r>
  <r>
    <x v="1509"/>
    <n v="5.0307000000000004"/>
  </r>
  <r>
    <x v="1510"/>
    <n v="5.0110000000000001"/>
  </r>
  <r>
    <x v="1511"/>
    <n v="5.0072000000000001"/>
  </r>
  <r>
    <x v="1512"/>
    <n v="4.9813999999999998"/>
  </r>
  <r>
    <x v="1513"/>
    <n v="5.0049000000000001"/>
  </r>
  <r>
    <x v="1514"/>
    <n v="5.0343"/>
  </r>
  <r>
    <x v="1515"/>
    <n v="5.0582000000000003"/>
  </r>
  <r>
    <x v="1516"/>
    <n v="5.0795000000000003"/>
  </r>
  <r>
    <x v="1517"/>
    <n v="5.0823999999999998"/>
  </r>
  <r>
    <x v="1518"/>
    <n v="5.0984999999999996"/>
  </r>
  <r>
    <x v="1519"/>
    <n v="5.1154000000000002"/>
  </r>
  <r>
    <x v="1520"/>
    <n v="5.1111000000000004"/>
  </r>
  <r>
    <x v="1521"/>
    <n v="5.0999999999999996"/>
  </r>
  <r>
    <x v="1522"/>
    <n v="5.0907999999999998"/>
  </r>
  <r>
    <x v="1523"/>
    <n v="5.0995999999999997"/>
  </r>
  <r>
    <x v="1524"/>
    <n v="5.1139999999999999"/>
  </r>
  <r>
    <x v="1525"/>
    <n v="5.1087999999999996"/>
  </r>
  <r>
    <x v="1526"/>
    <n v="5.1425999999999998"/>
  </r>
  <r>
    <x v="1527"/>
    <n v="5.1379000000000001"/>
  </r>
  <r>
    <x v="1528"/>
    <n v="5.1372"/>
  </r>
  <r>
    <x v="1529"/>
    <n v="5.1325000000000003"/>
  </r>
  <r>
    <x v="1530"/>
    <n v="5.1219999999999999"/>
  </r>
  <r>
    <x v="1531"/>
    <n v="5.0998999999999999"/>
  </r>
  <r>
    <x v="1532"/>
    <n v="5.0842999999999998"/>
  </r>
  <r>
    <x v="1533"/>
    <n v="5.0868000000000002"/>
  </r>
  <r>
    <x v="1534"/>
    <n v="5.0831"/>
  </r>
  <r>
    <x v="1535"/>
    <n v="5.0774999999999997"/>
  </r>
  <r>
    <x v="1536"/>
    <n v="5.0892999999999997"/>
  </r>
  <r>
    <x v="1537"/>
    <n v="5.0671999999999997"/>
  </r>
  <r>
    <x v="1538"/>
    <n v="5.1111000000000004"/>
  </r>
  <r>
    <x v="1539"/>
    <n v="5.1712999999999996"/>
  </r>
  <r>
    <x v="1540"/>
    <n v="5.1784999999999997"/>
  </r>
  <r>
    <x v="1541"/>
    <n v="5.18"/>
  </r>
  <r>
    <x v="1542"/>
    <n v="5.1687000000000003"/>
  </r>
  <r>
    <x v="1543"/>
    <n v="5.1496000000000004"/>
  </r>
  <r>
    <x v="1544"/>
    <n v="5.1371000000000002"/>
  </r>
  <r>
    <x v="1545"/>
    <n v="5.1619999999999999"/>
  </r>
  <r>
    <x v="1546"/>
    <n v="5.1749000000000001"/>
  </r>
  <r>
    <x v="1547"/>
    <n v="5.1988000000000003"/>
  </r>
  <r>
    <x v="1548"/>
    <n v="5.2126999999999999"/>
  </r>
  <r>
    <x v="1549"/>
    <n v="5.1985000000000001"/>
  </r>
  <r>
    <x v="1550"/>
    <n v="5.2083000000000004"/>
  </r>
  <r>
    <x v="1551"/>
    <n v="5.226"/>
  </r>
  <r>
    <x v="1552"/>
    <n v="5.1887999999999996"/>
  </r>
  <r>
    <x v="1553"/>
    <n v="5.1853999999999996"/>
  </r>
  <r>
    <x v="1554"/>
    <n v="5.1863999999999999"/>
  </r>
  <r>
    <x v="1555"/>
    <n v="5.2081999999999997"/>
  </r>
  <r>
    <x v="1556"/>
    <n v="5.2073"/>
  </r>
  <r>
    <x v="1557"/>
    <n v="5.2316000000000003"/>
  </r>
  <r>
    <x v="1558"/>
    <n v="5.2763"/>
  </r>
  <r>
    <x v="1559"/>
    <n v="5.28"/>
  </r>
  <r>
    <x v="1560"/>
    <n v="5.2869000000000002"/>
  </r>
  <r>
    <x v="1561"/>
    <n v="5.3125999999999998"/>
  </r>
  <r>
    <x v="1562"/>
    <n v="5.3296000000000001"/>
  </r>
  <r>
    <x v="1563"/>
    <n v="5.3231999999999999"/>
  </r>
  <r>
    <x v="1564"/>
    <n v="5.3391000000000002"/>
  </r>
  <r>
    <x v="1565"/>
    <n v="5.3497000000000003"/>
  </r>
  <r>
    <x v="1566"/>
    <n v="5.3749000000000002"/>
  </r>
  <r>
    <x v="1567"/>
    <n v="5.3640999999999996"/>
  </r>
  <r>
    <x v="1568"/>
    <n v="5.3916000000000004"/>
  </r>
  <r>
    <x v="1569"/>
    <n v="5.3955000000000002"/>
  </r>
  <r>
    <x v="1570"/>
    <n v="5.4223999999999997"/>
  </r>
  <r>
    <x v="1571"/>
    <n v="5.4276"/>
  </r>
  <r>
    <x v="1572"/>
    <n v="5.4778000000000002"/>
  </r>
  <r>
    <x v="1573"/>
    <n v="5.4912000000000001"/>
  </r>
  <r>
    <x v="1574"/>
    <n v="5.4649000000000001"/>
  </r>
  <r>
    <x v="1575"/>
    <n v="5.4736000000000002"/>
  </r>
  <r>
    <x v="1576"/>
    <n v="5.4721000000000002"/>
  </r>
  <r>
    <x v="1577"/>
    <n v="5.4684999999999997"/>
  </r>
  <r>
    <x v="1578"/>
    <n v="5.4637000000000002"/>
  </r>
  <r>
    <x v="1579"/>
    <n v="5.4566999999999997"/>
  </r>
  <r>
    <x v="1580"/>
    <n v="5.4562999999999997"/>
  </r>
  <r>
    <x v="1581"/>
    <n v="5.42"/>
  </r>
  <r>
    <x v="1582"/>
    <n v="5.4306000000000001"/>
  </r>
  <r>
    <x v="1583"/>
    <n v="5.4363999999999999"/>
  </r>
  <r>
    <x v="1584"/>
    <n v="5.4371999999999998"/>
  </r>
  <r>
    <x v="1585"/>
    <n v="5.4322999999999997"/>
  </r>
  <r>
    <x v="1586"/>
    <n v="5.4485000000000001"/>
  </r>
  <r>
    <x v="1587"/>
    <n v="5.3970000000000002"/>
  </r>
  <r>
    <x v="1588"/>
    <n v="5.4328000000000003"/>
  </r>
  <r>
    <x v="1589"/>
    <n v="5.4523000000000001"/>
  </r>
  <r>
    <x v="1590"/>
    <n v="5.4865000000000004"/>
  </r>
  <r>
    <x v="1591"/>
    <n v="5.4607999999999999"/>
  </r>
  <r>
    <x v="1592"/>
    <n v="5.4306000000000001"/>
  </r>
  <r>
    <x v="1593"/>
    <n v="5.468"/>
  </r>
  <r>
    <x v="1594"/>
    <n v="5.4108999999999998"/>
  </r>
  <r>
    <x v="1595"/>
    <n v="5.4123999999999999"/>
  </r>
  <r>
    <x v="1596"/>
    <n v="5.4150999999999998"/>
  </r>
  <r>
    <x v="1597"/>
    <n v="5.4008000000000003"/>
  </r>
  <r>
    <x v="1598"/>
    <n v="5.4188999999999998"/>
  </r>
  <r>
    <x v="1599"/>
    <n v="5.3994999999999997"/>
  </r>
  <r>
    <x v="1600"/>
    <n v="5.3890000000000002"/>
  </r>
  <r>
    <x v="1601"/>
    <n v="5.3789999999999996"/>
  </r>
  <r>
    <x v="1602"/>
    <n v="5.3569000000000004"/>
  </r>
  <r>
    <x v="1603"/>
    <n v="5.3727999999999998"/>
  </r>
  <r>
    <x v="1604"/>
    <n v="5.3764000000000003"/>
  </r>
  <r>
    <x v="1605"/>
    <n v="5.3663999999999996"/>
  </r>
  <r>
    <x v="1606"/>
    <n v="5.3678999999999997"/>
  </r>
  <r>
    <x v="1607"/>
    <n v="5.3883000000000001"/>
  </r>
  <r>
    <x v="1608"/>
    <n v="5.3939000000000004"/>
  </r>
  <r>
    <x v="1609"/>
    <n v="5.3989000000000003"/>
  </r>
  <r>
    <x v="1610"/>
    <n v="5.3924000000000003"/>
  </r>
  <r>
    <x v="1611"/>
    <n v="5.3918999999999997"/>
  </r>
  <r>
    <x v="1612"/>
    <n v="5.3785999999999996"/>
  </r>
  <r>
    <x v="1613"/>
    <n v="5.3928000000000003"/>
  </r>
  <r>
    <x v="1614"/>
    <n v="5.3868"/>
  </r>
  <r>
    <x v="1615"/>
    <n v="5.3781999999999996"/>
  </r>
  <r>
    <x v="1616"/>
    <n v="5.3647999999999998"/>
  </r>
  <r>
    <x v="1617"/>
    <n v="5.3578000000000001"/>
  </r>
  <r>
    <x v="1618"/>
    <n v="5.3556999999999997"/>
  </r>
  <r>
    <x v="1619"/>
    <n v="5.3662999999999998"/>
  </r>
  <r>
    <x v="1620"/>
    <n v="5.3754999999999997"/>
  </r>
  <r>
    <x v="1621"/>
    <n v="5.3977000000000004"/>
  </r>
  <r>
    <x v="1622"/>
    <n v="5.3498999999999999"/>
  </r>
  <r>
    <x v="1623"/>
    <n v="5.3464999999999998"/>
  </r>
  <r>
    <x v="1624"/>
    <n v="5.3582000000000001"/>
  </r>
  <r>
    <x v="1625"/>
    <n v="5.3594999999999997"/>
  </r>
  <r>
    <x v="1626"/>
    <n v="5.3522999999999996"/>
  </r>
  <r>
    <x v="1627"/>
    <n v="5.3682999999999996"/>
  </r>
  <r>
    <x v="1628"/>
    <n v="5.3480999999999996"/>
  </r>
  <r>
    <x v="1629"/>
    <n v="5.3532999999999999"/>
  </r>
  <r>
    <x v="1630"/>
    <n v="5.3436000000000003"/>
  </r>
  <r>
    <x v="1631"/>
    <n v="5.3578999999999999"/>
  </r>
  <r>
    <x v="1632"/>
    <n v="5.3446999999999996"/>
  </r>
  <r>
    <x v="1633"/>
    <n v="5.3625999999999996"/>
  </r>
  <r>
    <x v="1634"/>
    <n v="5.3723000000000001"/>
  </r>
  <r>
    <x v="1635"/>
    <n v="5.3642000000000003"/>
  </r>
  <r>
    <x v="1636"/>
    <n v="5.36"/>
  </r>
  <r>
    <x v="1637"/>
    <n v="5.3558000000000003"/>
  </r>
  <r>
    <x v="1638"/>
    <n v="5.3733000000000004"/>
  </r>
  <r>
    <x v="1639"/>
    <n v="5.3465999999999996"/>
  </r>
  <r>
    <x v="1640"/>
    <n v="5.3558000000000003"/>
  </r>
  <r>
    <x v="1641"/>
    <n v="5.2857000000000003"/>
  </r>
  <r>
    <x v="1642"/>
    <n v="5.3076999999999996"/>
  </r>
  <r>
    <x v="1643"/>
    <n v="5.3109999999999999"/>
  </r>
  <r>
    <x v="1644"/>
    <n v="5.3075000000000001"/>
  </r>
  <r>
    <x v="1645"/>
    <n v="5.2808999999999999"/>
  </r>
  <r>
    <x v="1646"/>
    <n v="5.2916999999999996"/>
  </r>
  <r>
    <x v="1647"/>
    <n v="5.3015999999999996"/>
  </r>
  <r>
    <x v="1648"/>
    <n v="5.2908999999999997"/>
  </r>
  <r>
    <x v="1649"/>
    <n v="5.2732000000000001"/>
  </r>
  <r>
    <x v="1650"/>
    <n v="5.2614999999999998"/>
  </r>
  <r>
    <x v="1651"/>
    <n v="5.2695999999999996"/>
  </r>
  <r>
    <x v="1652"/>
    <n v="5.2709000000000001"/>
  </r>
  <r>
    <x v="1653"/>
    <n v="5.2572000000000001"/>
  </r>
  <r>
    <x v="1654"/>
    <n v="5.2378"/>
  </r>
  <r>
    <x v="1655"/>
    <n v="5.2248000000000001"/>
  </r>
  <r>
    <x v="1656"/>
    <n v="5.2080000000000002"/>
  </r>
  <r>
    <x v="1657"/>
    <n v="5.2171000000000003"/>
  </r>
  <r>
    <x v="1658"/>
    <n v="5.2142999999999997"/>
  </r>
  <r>
    <x v="1659"/>
    <n v="5.2156000000000002"/>
  </r>
  <r>
    <x v="1660"/>
    <n v="5.25"/>
  </r>
  <r>
    <x v="1661"/>
    <n v="5.2773000000000003"/>
  </r>
  <r>
    <x v="1662"/>
    <n v="5.2640000000000002"/>
  </r>
  <r>
    <x v="1663"/>
    <n v="5.2439999999999998"/>
  </r>
  <r>
    <x v="1664"/>
    <n v="5.2286999999999999"/>
  </r>
  <r>
    <x v="1665"/>
    <n v="5.2281000000000004"/>
  </r>
  <r>
    <x v="1666"/>
    <n v="5.2291999999999996"/>
  </r>
  <r>
    <x v="1667"/>
    <n v="5.2252000000000001"/>
  </r>
  <r>
    <x v="1668"/>
    <n v="5.2478999999999996"/>
  </r>
  <r>
    <x v="1669"/>
    <n v="5.2575000000000003"/>
  </r>
  <r>
    <x v="1670"/>
    <n v="5.2319000000000004"/>
  </r>
  <r>
    <x v="1671"/>
    <n v="5.2386999999999997"/>
  </r>
  <r>
    <x v="1672"/>
    <n v="5.2130999999999998"/>
  </r>
  <r>
    <x v="1673"/>
    <n v="5.2123999999999997"/>
  </r>
  <r>
    <x v="1674"/>
    <n v="5.2183999999999999"/>
  </r>
  <r>
    <x v="1675"/>
    <n v="5.2031000000000001"/>
  </r>
  <r>
    <x v="1676"/>
    <n v="5.2229000000000001"/>
  </r>
  <r>
    <x v="1677"/>
    <n v="5.2294"/>
  </r>
  <r>
    <x v="1678"/>
    <n v="5.2405999999999997"/>
  </r>
  <r>
    <x v="1679"/>
    <n v="5.2347999999999999"/>
  </r>
  <r>
    <x v="1680"/>
    <n v="5.2557999999999998"/>
  </r>
  <r>
    <x v="1681"/>
    <n v="5.2725999999999997"/>
  </r>
  <r>
    <x v="1682"/>
    <n v="5.2622999999999998"/>
  </r>
  <r>
    <x v="1683"/>
    <n v="5.2469999999999999"/>
  </r>
  <r>
    <x v="1684"/>
    <n v="5.2466999999999997"/>
  </r>
  <r>
    <x v="1685"/>
    <n v="5.2336"/>
  </r>
  <r>
    <x v="1686"/>
    <n v="5.2472000000000003"/>
  </r>
  <r>
    <x v="1687"/>
    <n v="5.2587000000000002"/>
  </r>
  <r>
    <x v="1688"/>
    <n v="5.2458999999999998"/>
  </r>
  <r>
    <x v="1689"/>
    <n v="5.2663000000000002"/>
  </r>
  <r>
    <x v="1690"/>
    <n v="5.2896999999999998"/>
  </r>
  <r>
    <x v="1691"/>
    <n v="5.3132999999999999"/>
  </r>
  <r>
    <x v="1692"/>
    <n v="5.3040000000000003"/>
  </r>
  <r>
    <x v="1693"/>
    <n v="5.3273999999999999"/>
  </r>
  <r>
    <x v="1694"/>
    <n v="5.3223000000000003"/>
  </r>
  <r>
    <x v="1695"/>
    <n v="5.3468"/>
  </r>
  <r>
    <x v="1696"/>
    <n v="5.3554000000000004"/>
  </r>
  <r>
    <x v="1697"/>
    <n v="5.3636999999999997"/>
  </r>
  <r>
    <x v="1698"/>
    <n v="5.3857999999999997"/>
  </r>
  <r>
    <x v="1699"/>
    <n v="5.3789999999999996"/>
  </r>
  <r>
    <x v="1700"/>
    <n v="5.3673000000000002"/>
  </r>
  <r>
    <x v="1701"/>
    <n v="5.3520000000000003"/>
  </r>
  <r>
    <x v="1702"/>
    <n v="5.3426999999999998"/>
  </r>
  <r>
    <x v="1703"/>
    <n v="5.3357000000000001"/>
  </r>
  <r>
    <x v="1704"/>
    <n v="5.3322000000000003"/>
  </r>
  <r>
    <x v="1705"/>
    <n v="5.3265000000000002"/>
  </r>
  <r>
    <x v="1706"/>
    <n v="5.3277999999999999"/>
  </r>
  <r>
    <x v="1707"/>
    <n v="5.3183999999999996"/>
  </r>
  <r>
    <x v="1708"/>
    <n v="5.3251999999999997"/>
  </r>
  <r>
    <x v="1709"/>
    <n v="5.3192000000000004"/>
  </r>
  <r>
    <x v="1710"/>
    <n v="5.3144999999999998"/>
  </r>
  <r>
    <x v="1711"/>
    <n v="5.3113000000000001"/>
  </r>
  <r>
    <x v="1712"/>
    <n v="5.3022999999999998"/>
  </r>
  <r>
    <x v="1713"/>
    <n v="5.2925000000000004"/>
  </r>
  <r>
    <x v="1714"/>
    <n v="5.2954999999999997"/>
  </r>
  <r>
    <x v="1715"/>
    <n v="5.3106999999999998"/>
  </r>
  <r>
    <x v="1716"/>
    <n v="5.2967000000000004"/>
  </r>
  <r>
    <x v="1717"/>
    <n v="5.2991000000000001"/>
  </r>
  <r>
    <x v="1718"/>
    <n v="5.2643000000000004"/>
  </r>
  <r>
    <x v="1719"/>
    <n v="5.2896000000000001"/>
  </r>
  <r>
    <x v="1720"/>
    <n v="5.3030999999999997"/>
  </r>
  <r>
    <x v="1721"/>
    <n v="5.3158000000000003"/>
  </r>
  <r>
    <x v="1722"/>
    <n v="5.3173000000000004"/>
  </r>
  <r>
    <x v="1723"/>
    <n v="5.3079000000000001"/>
  </r>
  <r>
    <x v="1724"/>
    <n v="5.3188000000000004"/>
  </r>
  <r>
    <x v="1725"/>
    <n v="5.3017000000000003"/>
  </r>
  <r>
    <x v="1726"/>
    <n v="5.2760999999999996"/>
  </r>
  <r>
    <x v="1727"/>
    <n v="5.2826000000000004"/>
  </r>
  <r>
    <x v="1728"/>
    <n v="5.2971000000000004"/>
  </r>
  <r>
    <x v="1729"/>
    <n v="5.3034999999999997"/>
  </r>
  <r>
    <x v="1730"/>
    <n v="5.2946999999999997"/>
  </r>
  <r>
    <x v="1731"/>
    <n v="5.2851999999999997"/>
  </r>
  <r>
    <x v="1732"/>
    <n v="5.2714999999999996"/>
  </r>
  <r>
    <x v="1733"/>
    <n v="5.2801"/>
  </r>
  <r>
    <x v="1734"/>
    <n v="5.2881999999999998"/>
  </r>
  <r>
    <x v="1735"/>
    <n v="5.2864000000000004"/>
  </r>
  <r>
    <x v="1736"/>
    <n v="5.2793999999999999"/>
  </r>
  <r>
    <x v="1737"/>
    <n v="5.2716000000000003"/>
  </r>
  <r>
    <x v="1738"/>
    <n v="5.2548000000000004"/>
  </r>
  <r>
    <x v="1739"/>
    <n v="5.2530999999999999"/>
  </r>
  <r>
    <x v="1740"/>
    <n v="5.2586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BBAF9-DE3C-46B8-80B7-865C6DEDC698}" name="数据透视表3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E4:G91" firstHeaderRow="1" firstDataRow="1" firstDataCol="2"/>
  <pivotFields count="5">
    <pivotField compact="0" numFmtId="176" outline="0" showAll="0" defaultSubtotal="0">
      <items count="17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</items>
    </pivotField>
    <pivotField dataField="1" compact="0" numFmtId="177" outline="0" showAll="0" defaultSubtotal="0"/>
    <pivotField axis="axisRow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sd="0" x="9"/>
      </items>
    </pivotField>
  </pivotFields>
  <rowFields count="2">
    <field x="4"/>
    <field x="2"/>
  </rowFields>
  <rowItems count="87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</rowItems>
  <colItems count="1">
    <i/>
  </colItems>
  <dataFields count="1">
    <dataField name="平均值项:中间价:加元兑人民币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1D26-ECE8-4C6E-88AB-F0A9440CF603}">
  <dimension ref="A1:B1742"/>
  <sheetViews>
    <sheetView topLeftCell="A46" zoomScale="130" zoomScaleNormal="130" workbookViewId="0">
      <selection activeCell="H12" sqref="H12"/>
    </sheetView>
  </sheetViews>
  <sheetFormatPr defaultRowHeight="13.9" x14ac:dyDescent="0.4"/>
  <cols>
    <col min="1" max="1" width="11.59765625" bestFit="1" customWidth="1"/>
    <col min="2" max="2" width="19.73046875" bestFit="1" customWidth="1"/>
  </cols>
  <sheetData>
    <row r="1" spans="1:2" x14ac:dyDescent="0.4">
      <c r="A1" s="1" t="s">
        <v>17</v>
      </c>
      <c r="B1" s="1" t="s">
        <v>18</v>
      </c>
    </row>
    <row r="2" spans="1:2" x14ac:dyDescent="0.4">
      <c r="A2" s="2">
        <v>42738</v>
      </c>
      <c r="B2" s="3">
        <v>5.1791</v>
      </c>
    </row>
    <row r="3" spans="1:2" x14ac:dyDescent="0.4">
      <c r="A3" s="2">
        <v>42739</v>
      </c>
      <c r="B3" s="3">
        <v>5.1893000000000002</v>
      </c>
    </row>
    <row r="4" spans="1:2" x14ac:dyDescent="0.4">
      <c r="A4" s="2">
        <v>42740</v>
      </c>
      <c r="B4" s="3">
        <v>5.2127999999999997</v>
      </c>
    </row>
    <row r="5" spans="1:2" x14ac:dyDescent="0.4">
      <c r="A5" s="2">
        <v>42741</v>
      </c>
      <c r="B5" s="3">
        <v>5.1829000000000001</v>
      </c>
    </row>
    <row r="6" spans="1:2" x14ac:dyDescent="0.4">
      <c r="A6" s="2">
        <v>42744</v>
      </c>
      <c r="B6" s="3">
        <v>5.2404999999999999</v>
      </c>
    </row>
    <row r="7" spans="1:2" x14ac:dyDescent="0.4">
      <c r="A7" s="2">
        <v>42745</v>
      </c>
      <c r="B7" s="3">
        <v>5.2397</v>
      </c>
    </row>
    <row r="8" spans="1:2" x14ac:dyDescent="0.4">
      <c r="A8" s="2">
        <v>42746</v>
      </c>
      <c r="B8" s="3">
        <v>5.2309000000000001</v>
      </c>
    </row>
    <row r="9" spans="1:2" x14ac:dyDescent="0.4">
      <c r="A9" s="2">
        <v>42747</v>
      </c>
      <c r="B9" s="3">
        <v>5.2491000000000003</v>
      </c>
    </row>
    <row r="10" spans="1:2" x14ac:dyDescent="0.4">
      <c r="A10" s="2">
        <v>42748</v>
      </c>
      <c r="B10" s="3">
        <v>5.2351999999999999</v>
      </c>
    </row>
    <row r="11" spans="1:2" x14ac:dyDescent="0.4">
      <c r="A11" s="2">
        <v>42751</v>
      </c>
      <c r="B11" s="3">
        <v>5.2493999999999996</v>
      </c>
    </row>
    <row r="12" spans="1:2" x14ac:dyDescent="0.4">
      <c r="A12" s="2">
        <v>42752</v>
      </c>
      <c r="B12" s="3">
        <v>5.2446999999999999</v>
      </c>
    </row>
    <row r="13" spans="1:2" x14ac:dyDescent="0.4">
      <c r="A13" s="2">
        <v>42753</v>
      </c>
      <c r="B13" s="3">
        <v>5.2442000000000002</v>
      </c>
    </row>
    <row r="14" spans="1:2" x14ac:dyDescent="0.4">
      <c r="A14" s="2">
        <v>42754</v>
      </c>
      <c r="B14" s="3">
        <v>5.1700999999999997</v>
      </c>
    </row>
    <row r="15" spans="1:2" x14ac:dyDescent="0.4">
      <c r="A15" s="2">
        <v>42755</v>
      </c>
      <c r="B15" s="3">
        <v>5.1596000000000002</v>
      </c>
    </row>
    <row r="16" spans="1:2" x14ac:dyDescent="0.4">
      <c r="A16" s="2">
        <v>42758</v>
      </c>
      <c r="B16" s="3">
        <v>5.1520000000000001</v>
      </c>
    </row>
    <row r="17" spans="1:2" x14ac:dyDescent="0.4">
      <c r="A17" s="2">
        <v>42759</v>
      </c>
      <c r="B17" s="3">
        <v>5.1673</v>
      </c>
    </row>
    <row r="18" spans="1:2" x14ac:dyDescent="0.4">
      <c r="A18" s="2">
        <v>42760</v>
      </c>
      <c r="B18" s="3">
        <v>5.2218</v>
      </c>
    </row>
    <row r="19" spans="1:2" x14ac:dyDescent="0.4">
      <c r="A19" s="2">
        <v>42761</v>
      </c>
      <c r="B19" s="3">
        <v>5.2544000000000004</v>
      </c>
    </row>
    <row r="20" spans="1:2" x14ac:dyDescent="0.4">
      <c r="A20" s="2">
        <v>42769</v>
      </c>
      <c r="B20" s="3">
        <v>5.2643000000000004</v>
      </c>
    </row>
    <row r="21" spans="1:2" x14ac:dyDescent="0.4">
      <c r="A21" s="2">
        <v>42772</v>
      </c>
      <c r="B21" s="3">
        <v>5.2735000000000003</v>
      </c>
    </row>
    <row r="22" spans="1:2" x14ac:dyDescent="0.4">
      <c r="A22" s="2">
        <v>42773</v>
      </c>
      <c r="B22" s="3">
        <v>5.2443</v>
      </c>
    </row>
    <row r="23" spans="1:2" x14ac:dyDescent="0.4">
      <c r="A23" s="2">
        <v>42774</v>
      </c>
      <c r="B23" s="3">
        <v>5.2268999999999997</v>
      </c>
    </row>
    <row r="24" spans="1:2" x14ac:dyDescent="0.4">
      <c r="A24" s="2">
        <v>42775</v>
      </c>
      <c r="B24" s="3">
        <v>5.2281000000000004</v>
      </c>
    </row>
    <row r="25" spans="1:2" x14ac:dyDescent="0.4">
      <c r="A25" s="2">
        <v>42776</v>
      </c>
      <c r="B25" s="3">
        <v>5.2347000000000001</v>
      </c>
    </row>
    <row r="26" spans="1:2" x14ac:dyDescent="0.4">
      <c r="A26" s="2">
        <v>42779</v>
      </c>
      <c r="B26" s="3">
        <v>5.2516999999999996</v>
      </c>
    </row>
    <row r="27" spans="1:2" x14ac:dyDescent="0.4">
      <c r="A27" s="2">
        <v>42780</v>
      </c>
      <c r="B27" s="3">
        <v>5.2657999999999996</v>
      </c>
    </row>
    <row r="28" spans="1:2" x14ac:dyDescent="0.4">
      <c r="A28" s="2">
        <v>42781</v>
      </c>
      <c r="B28" s="3">
        <v>5.2470999999999997</v>
      </c>
    </row>
    <row r="29" spans="1:2" x14ac:dyDescent="0.4">
      <c r="A29" s="2">
        <v>42782</v>
      </c>
      <c r="B29" s="3">
        <v>5.2503000000000002</v>
      </c>
    </row>
    <row r="30" spans="1:2" x14ac:dyDescent="0.4">
      <c r="A30" s="2">
        <v>42783</v>
      </c>
      <c r="B30" s="3">
        <v>5.2355999999999998</v>
      </c>
    </row>
    <row r="31" spans="1:2" x14ac:dyDescent="0.4">
      <c r="A31" s="2">
        <v>42786</v>
      </c>
      <c r="B31" s="3">
        <v>5.2542</v>
      </c>
    </row>
    <row r="32" spans="1:2" x14ac:dyDescent="0.4">
      <c r="A32" s="2">
        <v>42787</v>
      </c>
      <c r="B32" s="3">
        <v>5.2496999999999998</v>
      </c>
    </row>
    <row r="33" spans="1:2" x14ac:dyDescent="0.4">
      <c r="A33" s="2">
        <v>42788</v>
      </c>
      <c r="B33" s="3">
        <v>5.2359</v>
      </c>
    </row>
    <row r="34" spans="1:2" x14ac:dyDescent="0.4">
      <c r="A34" s="2">
        <v>42789</v>
      </c>
      <c r="B34" s="3">
        <v>5.2210000000000001</v>
      </c>
    </row>
    <row r="35" spans="1:2" x14ac:dyDescent="0.4">
      <c r="A35" s="2">
        <v>42790</v>
      </c>
      <c r="B35" s="3">
        <v>5.242</v>
      </c>
    </row>
    <row r="36" spans="1:2" x14ac:dyDescent="0.4">
      <c r="A36" s="2">
        <v>42793</v>
      </c>
      <c r="B36" s="3">
        <v>5.2483000000000004</v>
      </c>
    </row>
    <row r="37" spans="1:2" x14ac:dyDescent="0.4">
      <c r="A37" s="2">
        <v>42794</v>
      </c>
      <c r="B37" s="3">
        <v>5.2123999999999997</v>
      </c>
    </row>
    <row r="38" spans="1:2" x14ac:dyDescent="0.4">
      <c r="A38" s="2">
        <v>42795</v>
      </c>
      <c r="B38" s="3">
        <v>5.1691000000000003</v>
      </c>
    </row>
    <row r="39" spans="1:2" x14ac:dyDescent="0.4">
      <c r="A39" s="2">
        <v>42796</v>
      </c>
      <c r="B39" s="3">
        <v>5.1581999999999999</v>
      </c>
    </row>
    <row r="40" spans="1:2" x14ac:dyDescent="0.4">
      <c r="A40" s="2">
        <v>42797</v>
      </c>
      <c r="B40" s="3">
        <v>5.1463999999999999</v>
      </c>
    </row>
    <row r="41" spans="1:2" x14ac:dyDescent="0.4">
      <c r="A41" s="2">
        <v>42800</v>
      </c>
      <c r="B41" s="3">
        <v>5.1412000000000004</v>
      </c>
    </row>
    <row r="42" spans="1:2" x14ac:dyDescent="0.4">
      <c r="A42" s="2">
        <v>42801</v>
      </c>
      <c r="B42" s="3">
        <v>5.1513</v>
      </c>
    </row>
    <row r="43" spans="1:2" x14ac:dyDescent="0.4">
      <c r="A43" s="2">
        <v>42802</v>
      </c>
      <c r="B43" s="3">
        <v>5.1462000000000003</v>
      </c>
    </row>
    <row r="44" spans="1:2" x14ac:dyDescent="0.4">
      <c r="A44" s="2">
        <v>42803</v>
      </c>
      <c r="B44" s="3">
        <v>5.1280000000000001</v>
      </c>
    </row>
    <row r="45" spans="1:2" x14ac:dyDescent="0.4">
      <c r="A45" s="2">
        <v>42804</v>
      </c>
      <c r="B45" s="3">
        <v>5.1176000000000004</v>
      </c>
    </row>
    <row r="46" spans="1:2" x14ac:dyDescent="0.4">
      <c r="A46" s="2">
        <v>42807</v>
      </c>
      <c r="B46" s="3">
        <v>5.1245000000000003</v>
      </c>
    </row>
    <row r="47" spans="1:2" x14ac:dyDescent="0.4">
      <c r="A47" s="2">
        <v>42808</v>
      </c>
      <c r="B47" s="3">
        <v>5.1397000000000004</v>
      </c>
    </row>
    <row r="48" spans="1:2" x14ac:dyDescent="0.4">
      <c r="A48" s="2">
        <v>42809</v>
      </c>
      <c r="B48" s="3">
        <v>5.1296999999999997</v>
      </c>
    </row>
    <row r="49" spans="1:2" x14ac:dyDescent="0.4">
      <c r="A49" s="2">
        <v>42810</v>
      </c>
      <c r="B49" s="3">
        <v>5.1792999999999996</v>
      </c>
    </row>
    <row r="50" spans="1:2" x14ac:dyDescent="0.4">
      <c r="A50" s="2">
        <v>42811</v>
      </c>
      <c r="B50" s="3">
        <v>5.1694000000000004</v>
      </c>
    </row>
    <row r="51" spans="1:2" x14ac:dyDescent="0.4">
      <c r="A51" s="2">
        <v>42814</v>
      </c>
      <c r="B51" s="3">
        <v>5.1764000000000001</v>
      </c>
    </row>
    <row r="52" spans="1:2" x14ac:dyDescent="0.4">
      <c r="A52" s="2">
        <v>42815</v>
      </c>
      <c r="B52" s="3">
        <v>5.1764000000000001</v>
      </c>
    </row>
    <row r="53" spans="1:2" x14ac:dyDescent="0.4">
      <c r="A53" s="2">
        <v>42816</v>
      </c>
      <c r="B53" s="3">
        <v>5.1574999999999998</v>
      </c>
    </row>
    <row r="54" spans="1:2" x14ac:dyDescent="0.4">
      <c r="A54" s="2">
        <v>42817</v>
      </c>
      <c r="B54" s="3">
        <v>5.1642000000000001</v>
      </c>
    </row>
    <row r="55" spans="1:2" x14ac:dyDescent="0.4">
      <c r="A55" s="2">
        <v>42818</v>
      </c>
      <c r="B55" s="3">
        <v>5.1574999999999998</v>
      </c>
    </row>
    <row r="56" spans="1:2" x14ac:dyDescent="0.4">
      <c r="A56" s="2">
        <v>42821</v>
      </c>
      <c r="B56" s="3">
        <v>5.1528</v>
      </c>
    </row>
    <row r="57" spans="1:2" x14ac:dyDescent="0.4">
      <c r="A57" s="2">
        <v>42822</v>
      </c>
      <c r="B57" s="3">
        <v>5.1440999999999999</v>
      </c>
    </row>
    <row r="58" spans="1:2" x14ac:dyDescent="0.4">
      <c r="A58" s="2">
        <v>42823</v>
      </c>
      <c r="B58" s="3">
        <v>5.1543000000000001</v>
      </c>
    </row>
    <row r="59" spans="1:2" x14ac:dyDescent="0.4">
      <c r="A59" s="2">
        <v>42824</v>
      </c>
      <c r="B59" s="3">
        <v>5.1673</v>
      </c>
    </row>
    <row r="60" spans="1:2" x14ac:dyDescent="0.4">
      <c r="A60" s="2">
        <v>42825</v>
      </c>
      <c r="B60" s="3">
        <v>5.1761999999999997</v>
      </c>
    </row>
    <row r="61" spans="1:2" x14ac:dyDescent="0.4">
      <c r="A61" s="2">
        <v>42830</v>
      </c>
      <c r="B61" s="3">
        <v>5.1462000000000003</v>
      </c>
    </row>
    <row r="62" spans="1:2" x14ac:dyDescent="0.4">
      <c r="A62" s="2">
        <v>42831</v>
      </c>
      <c r="B62" s="3">
        <v>5.1361999999999997</v>
      </c>
    </row>
    <row r="63" spans="1:2" x14ac:dyDescent="0.4">
      <c r="A63" s="2">
        <v>42832</v>
      </c>
      <c r="B63" s="3">
        <v>5.1451000000000002</v>
      </c>
    </row>
    <row r="64" spans="1:2" x14ac:dyDescent="0.4">
      <c r="A64" s="2">
        <v>42835</v>
      </c>
      <c r="B64" s="3">
        <v>5.1558000000000002</v>
      </c>
    </row>
    <row r="65" spans="1:2" x14ac:dyDescent="0.4">
      <c r="A65" s="2">
        <v>42836</v>
      </c>
      <c r="B65" s="3">
        <v>5.1765999999999996</v>
      </c>
    </row>
    <row r="66" spans="1:2" x14ac:dyDescent="0.4">
      <c r="A66" s="2">
        <v>42837</v>
      </c>
      <c r="B66" s="3">
        <v>5.1726999999999999</v>
      </c>
    </row>
    <row r="67" spans="1:2" x14ac:dyDescent="0.4">
      <c r="A67" s="2">
        <v>42838</v>
      </c>
      <c r="B67" s="3">
        <v>5.1913</v>
      </c>
    </row>
    <row r="68" spans="1:2" x14ac:dyDescent="0.4">
      <c r="A68" s="2">
        <v>42839</v>
      </c>
      <c r="B68" s="3">
        <v>5.1681999999999997</v>
      </c>
    </row>
    <row r="69" spans="1:2" x14ac:dyDescent="0.4">
      <c r="A69" s="2">
        <v>42842</v>
      </c>
      <c r="B69" s="3">
        <v>5.1715</v>
      </c>
    </row>
    <row r="70" spans="1:2" x14ac:dyDescent="0.4">
      <c r="A70" s="2">
        <v>42843</v>
      </c>
      <c r="B70" s="3">
        <v>5.1706000000000003</v>
      </c>
    </row>
    <row r="71" spans="1:2" x14ac:dyDescent="0.4">
      <c r="A71" s="2">
        <v>42844</v>
      </c>
      <c r="B71" s="3">
        <v>5.1315</v>
      </c>
    </row>
    <row r="72" spans="1:2" x14ac:dyDescent="0.4">
      <c r="A72" s="2">
        <v>42845</v>
      </c>
      <c r="B72" s="3">
        <v>5.1104000000000003</v>
      </c>
    </row>
    <row r="73" spans="1:2" x14ac:dyDescent="0.4">
      <c r="A73" s="2">
        <v>42846</v>
      </c>
      <c r="B73" s="3">
        <v>5.1151</v>
      </c>
    </row>
    <row r="74" spans="1:2" x14ac:dyDescent="0.4">
      <c r="A74" s="2">
        <v>42849</v>
      </c>
      <c r="B74" s="3">
        <v>5.0938999999999997</v>
      </c>
    </row>
    <row r="75" spans="1:2" x14ac:dyDescent="0.4">
      <c r="A75" s="2">
        <v>42850</v>
      </c>
      <c r="B75" s="3">
        <v>5.0839999999999996</v>
      </c>
    </row>
    <row r="76" spans="1:2" x14ac:dyDescent="0.4">
      <c r="A76" s="2">
        <v>42851</v>
      </c>
      <c r="B76" s="3">
        <v>5.0726000000000004</v>
      </c>
    </row>
    <row r="77" spans="1:2" x14ac:dyDescent="0.4">
      <c r="A77" s="2">
        <v>42852</v>
      </c>
      <c r="B77" s="3">
        <v>5.0636999999999999</v>
      </c>
    </row>
    <row r="78" spans="1:2" x14ac:dyDescent="0.4">
      <c r="A78" s="2">
        <v>42853</v>
      </c>
      <c r="B78" s="3">
        <v>5.0628000000000002</v>
      </c>
    </row>
    <row r="79" spans="1:2" x14ac:dyDescent="0.4">
      <c r="A79" s="2">
        <v>42857</v>
      </c>
      <c r="B79" s="3">
        <v>5.0434999999999999</v>
      </c>
    </row>
    <row r="80" spans="1:2" x14ac:dyDescent="0.4">
      <c r="A80" s="2">
        <v>42858</v>
      </c>
      <c r="B80" s="3">
        <v>5.0289000000000001</v>
      </c>
    </row>
    <row r="81" spans="1:2" x14ac:dyDescent="0.4">
      <c r="A81" s="2">
        <v>42859</v>
      </c>
      <c r="B81" s="3">
        <v>5.0278</v>
      </c>
    </row>
    <row r="82" spans="1:2" x14ac:dyDescent="0.4">
      <c r="A82" s="2">
        <v>42860</v>
      </c>
      <c r="B82" s="3">
        <v>5.0095000000000001</v>
      </c>
    </row>
    <row r="83" spans="1:2" x14ac:dyDescent="0.4">
      <c r="A83" s="2">
        <v>42863</v>
      </c>
      <c r="B83" s="3">
        <v>5.0445000000000002</v>
      </c>
    </row>
    <row r="84" spans="1:2" x14ac:dyDescent="0.4">
      <c r="A84" s="2">
        <v>42864</v>
      </c>
      <c r="B84" s="3">
        <v>5.0509000000000004</v>
      </c>
    </row>
    <row r="85" spans="1:2" x14ac:dyDescent="0.4">
      <c r="A85" s="2">
        <v>42865</v>
      </c>
      <c r="B85" s="3">
        <v>5.0412999999999997</v>
      </c>
    </row>
    <row r="86" spans="1:2" x14ac:dyDescent="0.4">
      <c r="A86" s="2">
        <v>42866</v>
      </c>
      <c r="B86" s="3">
        <v>5.0388000000000002</v>
      </c>
    </row>
    <row r="87" spans="1:2" x14ac:dyDescent="0.4">
      <c r="A87" s="2">
        <v>42867</v>
      </c>
      <c r="B87" s="3">
        <v>5.0385</v>
      </c>
    </row>
    <row r="88" spans="1:2" x14ac:dyDescent="0.4">
      <c r="A88" s="2">
        <v>42870</v>
      </c>
      <c r="B88" s="3">
        <v>5.0225999999999997</v>
      </c>
    </row>
    <row r="89" spans="1:2" x14ac:dyDescent="0.4">
      <c r="A89" s="2">
        <v>42871</v>
      </c>
      <c r="B89" s="3">
        <v>5.0542999999999996</v>
      </c>
    </row>
    <row r="90" spans="1:2" x14ac:dyDescent="0.4">
      <c r="A90" s="2">
        <v>42872</v>
      </c>
      <c r="B90" s="3">
        <v>5.0517000000000003</v>
      </c>
    </row>
    <row r="91" spans="1:2" x14ac:dyDescent="0.4">
      <c r="A91" s="2">
        <v>42873</v>
      </c>
      <c r="B91" s="3">
        <v>5.0566000000000004</v>
      </c>
    </row>
    <row r="92" spans="1:2" x14ac:dyDescent="0.4">
      <c r="A92" s="2">
        <v>42874</v>
      </c>
      <c r="B92" s="3">
        <v>5.0696000000000003</v>
      </c>
    </row>
    <row r="93" spans="1:2" x14ac:dyDescent="0.4">
      <c r="A93" s="2">
        <v>42877</v>
      </c>
      <c r="B93" s="3">
        <v>5.0898000000000003</v>
      </c>
    </row>
    <row r="94" spans="1:2" x14ac:dyDescent="0.4">
      <c r="A94" s="2">
        <v>42878</v>
      </c>
      <c r="B94" s="3">
        <v>5.0987</v>
      </c>
    </row>
    <row r="95" spans="1:2" x14ac:dyDescent="0.4">
      <c r="A95" s="2">
        <v>42879</v>
      </c>
      <c r="B95" s="3">
        <v>5.1050000000000004</v>
      </c>
    </row>
    <row r="96" spans="1:2" x14ac:dyDescent="0.4">
      <c r="A96" s="2">
        <v>42880</v>
      </c>
      <c r="B96" s="3">
        <v>5.1288</v>
      </c>
    </row>
    <row r="97" spans="1:2" x14ac:dyDescent="0.4">
      <c r="A97" s="2">
        <v>42881</v>
      </c>
      <c r="B97" s="3">
        <v>5.1001000000000003</v>
      </c>
    </row>
    <row r="98" spans="1:2" x14ac:dyDescent="0.4">
      <c r="A98" s="2">
        <v>42886</v>
      </c>
      <c r="B98" s="3">
        <v>5.1013000000000002</v>
      </c>
    </row>
    <row r="99" spans="1:2" x14ac:dyDescent="0.4">
      <c r="A99" s="2">
        <v>42887</v>
      </c>
      <c r="B99" s="3">
        <v>5.0486000000000004</v>
      </c>
    </row>
    <row r="100" spans="1:2" x14ac:dyDescent="0.4">
      <c r="A100" s="2">
        <v>42888</v>
      </c>
      <c r="B100" s="3">
        <v>5.0380000000000003</v>
      </c>
    </row>
    <row r="101" spans="1:2" x14ac:dyDescent="0.4">
      <c r="A101" s="2">
        <v>42891</v>
      </c>
      <c r="B101" s="3">
        <v>5.0338000000000003</v>
      </c>
    </row>
    <row r="102" spans="1:2" x14ac:dyDescent="0.4">
      <c r="A102" s="2">
        <v>42892</v>
      </c>
      <c r="B102" s="3">
        <v>5.0416999999999996</v>
      </c>
    </row>
    <row r="103" spans="1:2" x14ac:dyDescent="0.4">
      <c r="A103" s="2">
        <v>42893</v>
      </c>
      <c r="B103" s="3">
        <v>5.0458999999999996</v>
      </c>
    </row>
    <row r="104" spans="1:2" x14ac:dyDescent="0.4">
      <c r="A104" s="2">
        <v>42894</v>
      </c>
      <c r="B104" s="3">
        <v>5.0301</v>
      </c>
    </row>
    <row r="105" spans="1:2" x14ac:dyDescent="0.4">
      <c r="A105" s="2">
        <v>42895</v>
      </c>
      <c r="B105" s="3">
        <v>5.0294999999999996</v>
      </c>
    </row>
    <row r="106" spans="1:2" x14ac:dyDescent="0.4">
      <c r="A106" s="2">
        <v>42898</v>
      </c>
      <c r="B106" s="3">
        <v>5.0503</v>
      </c>
    </row>
    <row r="107" spans="1:2" x14ac:dyDescent="0.4">
      <c r="A107" s="2">
        <v>42899</v>
      </c>
      <c r="B107" s="3">
        <v>5.1044999999999998</v>
      </c>
    </row>
    <row r="108" spans="1:2" x14ac:dyDescent="0.4">
      <c r="A108" s="2">
        <v>42900</v>
      </c>
      <c r="B108" s="3">
        <v>5.1318999999999999</v>
      </c>
    </row>
    <row r="109" spans="1:2" x14ac:dyDescent="0.4">
      <c r="A109" s="2">
        <v>42901</v>
      </c>
      <c r="B109" s="3">
        <v>5.1238999999999999</v>
      </c>
    </row>
    <row r="110" spans="1:2" x14ac:dyDescent="0.4">
      <c r="A110" s="2">
        <v>42902</v>
      </c>
      <c r="B110" s="3">
        <v>5.1298000000000004</v>
      </c>
    </row>
    <row r="111" spans="1:2" x14ac:dyDescent="0.4">
      <c r="A111" s="2">
        <v>42905</v>
      </c>
      <c r="B111" s="3">
        <v>5.1433999999999997</v>
      </c>
    </row>
    <row r="112" spans="1:2" x14ac:dyDescent="0.4">
      <c r="A112" s="2">
        <v>42906</v>
      </c>
      <c r="B112" s="3">
        <v>5.1520000000000001</v>
      </c>
    </row>
    <row r="113" spans="1:2" x14ac:dyDescent="0.4">
      <c r="A113" s="2">
        <v>42907</v>
      </c>
      <c r="B113" s="3">
        <v>5.1405000000000003</v>
      </c>
    </row>
    <row r="114" spans="1:2" x14ac:dyDescent="0.4">
      <c r="A114" s="2">
        <v>42908</v>
      </c>
      <c r="B114" s="3">
        <v>5.1162000000000001</v>
      </c>
    </row>
    <row r="115" spans="1:2" x14ac:dyDescent="0.4">
      <c r="A115" s="2">
        <v>42909</v>
      </c>
      <c r="B115" s="3">
        <v>5.1567999999999996</v>
      </c>
    </row>
    <row r="116" spans="1:2" x14ac:dyDescent="0.4">
      <c r="A116" s="2">
        <v>42912</v>
      </c>
      <c r="B116" s="3">
        <v>5.1436999999999999</v>
      </c>
    </row>
    <row r="117" spans="1:2" x14ac:dyDescent="0.4">
      <c r="A117" s="2">
        <v>42913</v>
      </c>
      <c r="B117" s="3">
        <v>5.1536</v>
      </c>
    </row>
    <row r="118" spans="1:2" x14ac:dyDescent="0.4">
      <c r="A118" s="2">
        <v>42914</v>
      </c>
      <c r="B118" s="3">
        <v>5.1654</v>
      </c>
    </row>
    <row r="119" spans="1:2" x14ac:dyDescent="0.4">
      <c r="A119" s="2">
        <v>42915</v>
      </c>
      <c r="B119" s="3">
        <v>5.2114000000000003</v>
      </c>
    </row>
    <row r="120" spans="1:2" x14ac:dyDescent="0.4">
      <c r="A120" s="2">
        <v>42916</v>
      </c>
      <c r="B120" s="3">
        <v>5.2144000000000004</v>
      </c>
    </row>
    <row r="121" spans="1:2" x14ac:dyDescent="0.4">
      <c r="A121" s="2">
        <v>42919</v>
      </c>
      <c r="B121" s="3">
        <v>5.2239000000000004</v>
      </c>
    </row>
    <row r="122" spans="1:2" x14ac:dyDescent="0.4">
      <c r="A122" s="2">
        <v>42920</v>
      </c>
      <c r="B122" s="3">
        <v>5.2255000000000003</v>
      </c>
    </row>
    <row r="123" spans="1:2" x14ac:dyDescent="0.4">
      <c r="A123" s="2">
        <v>42921</v>
      </c>
      <c r="B123" s="3">
        <v>5.2534000000000001</v>
      </c>
    </row>
    <row r="124" spans="1:2" x14ac:dyDescent="0.4">
      <c r="A124" s="2">
        <v>42922</v>
      </c>
      <c r="B124" s="3">
        <v>5.2449000000000003</v>
      </c>
    </row>
    <row r="125" spans="1:2" x14ac:dyDescent="0.4">
      <c r="A125" s="2">
        <v>42923</v>
      </c>
      <c r="B125" s="3">
        <v>5.2327000000000004</v>
      </c>
    </row>
    <row r="126" spans="1:2" x14ac:dyDescent="0.4">
      <c r="A126" s="2">
        <v>42926</v>
      </c>
      <c r="B126" s="3">
        <v>5.2774999999999999</v>
      </c>
    </row>
    <row r="127" spans="1:2" x14ac:dyDescent="0.4">
      <c r="A127" s="2">
        <v>42927</v>
      </c>
      <c r="B127" s="3">
        <v>5.2727000000000004</v>
      </c>
    </row>
    <row r="128" spans="1:2" x14ac:dyDescent="0.4">
      <c r="A128" s="2">
        <v>42928</v>
      </c>
      <c r="B128" s="3">
        <v>5.2569999999999997</v>
      </c>
    </row>
    <row r="129" spans="1:2" x14ac:dyDescent="0.4">
      <c r="A129" s="2">
        <v>42929</v>
      </c>
      <c r="B129" s="3">
        <v>5.3150000000000004</v>
      </c>
    </row>
    <row r="130" spans="1:2" x14ac:dyDescent="0.4">
      <c r="A130" s="2">
        <v>42930</v>
      </c>
      <c r="B130" s="3">
        <v>5.3234000000000004</v>
      </c>
    </row>
    <row r="131" spans="1:2" x14ac:dyDescent="0.4">
      <c r="A131" s="2">
        <v>42933</v>
      </c>
      <c r="B131" s="3">
        <v>5.3438999999999997</v>
      </c>
    </row>
    <row r="132" spans="1:2" x14ac:dyDescent="0.4">
      <c r="A132" s="2">
        <v>42934</v>
      </c>
      <c r="B132" s="3">
        <v>5.3278999999999996</v>
      </c>
    </row>
    <row r="133" spans="1:2" x14ac:dyDescent="0.4">
      <c r="A133" s="2">
        <v>42935</v>
      </c>
      <c r="B133" s="3">
        <v>5.3394000000000004</v>
      </c>
    </row>
    <row r="134" spans="1:2" x14ac:dyDescent="0.4">
      <c r="A134" s="2">
        <v>42936</v>
      </c>
      <c r="B134" s="3">
        <v>5.3544</v>
      </c>
    </row>
    <row r="135" spans="1:2" x14ac:dyDescent="0.4">
      <c r="A135" s="2">
        <v>42937</v>
      </c>
      <c r="B135" s="3">
        <v>5.3520000000000003</v>
      </c>
    </row>
    <row r="136" spans="1:2" x14ac:dyDescent="0.4">
      <c r="A136" s="2">
        <v>42940</v>
      </c>
      <c r="B136" s="3">
        <v>5.3764000000000003</v>
      </c>
    </row>
    <row r="137" spans="1:2" x14ac:dyDescent="0.4">
      <c r="A137" s="2">
        <v>42941</v>
      </c>
      <c r="B137" s="3">
        <v>5.3937999999999997</v>
      </c>
    </row>
    <row r="138" spans="1:2" x14ac:dyDescent="0.4">
      <c r="A138" s="2">
        <v>42942</v>
      </c>
      <c r="B138" s="3">
        <v>5.3978999999999999</v>
      </c>
    </row>
    <row r="139" spans="1:2" x14ac:dyDescent="0.4">
      <c r="A139" s="2">
        <v>42943</v>
      </c>
      <c r="B139" s="3">
        <v>5.4053000000000004</v>
      </c>
    </row>
    <row r="140" spans="1:2" x14ac:dyDescent="0.4">
      <c r="A140" s="2">
        <v>42944</v>
      </c>
      <c r="B140" s="3">
        <v>5.3696000000000002</v>
      </c>
    </row>
    <row r="141" spans="1:2" x14ac:dyDescent="0.4">
      <c r="A141" s="2">
        <v>42947</v>
      </c>
      <c r="B141" s="3">
        <v>5.4023000000000003</v>
      </c>
    </row>
    <row r="142" spans="1:2" x14ac:dyDescent="0.4">
      <c r="A142" s="2">
        <v>42948</v>
      </c>
      <c r="B142" s="3">
        <v>5.3696000000000002</v>
      </c>
    </row>
    <row r="143" spans="1:2" x14ac:dyDescent="0.4">
      <c r="A143" s="2">
        <v>42949</v>
      </c>
      <c r="B143" s="3">
        <v>5.3571999999999997</v>
      </c>
    </row>
    <row r="144" spans="1:2" x14ac:dyDescent="0.4">
      <c r="A144" s="2">
        <v>42950</v>
      </c>
      <c r="B144" s="3">
        <v>5.3452999999999999</v>
      </c>
    </row>
    <row r="145" spans="1:2" x14ac:dyDescent="0.4">
      <c r="A145" s="2">
        <v>42951</v>
      </c>
      <c r="B145" s="3">
        <v>5.3400999999999996</v>
      </c>
    </row>
    <row r="146" spans="1:2" x14ac:dyDescent="0.4">
      <c r="A146" s="2">
        <v>42954</v>
      </c>
      <c r="B146" s="3">
        <v>5.3198999999999996</v>
      </c>
    </row>
    <row r="147" spans="1:2" x14ac:dyDescent="0.4">
      <c r="A147" s="2">
        <v>42955</v>
      </c>
      <c r="B147" s="3">
        <v>5.2991999999999999</v>
      </c>
    </row>
    <row r="148" spans="1:2" x14ac:dyDescent="0.4">
      <c r="A148" s="2">
        <v>42956</v>
      </c>
      <c r="B148" s="3">
        <v>5.2939999999999996</v>
      </c>
    </row>
    <row r="149" spans="1:2" x14ac:dyDescent="0.4">
      <c r="A149" s="2">
        <v>42957</v>
      </c>
      <c r="B149" s="3">
        <v>5.2595000000000001</v>
      </c>
    </row>
    <row r="150" spans="1:2" x14ac:dyDescent="0.4">
      <c r="A150" s="2">
        <v>42958</v>
      </c>
      <c r="B150" s="3">
        <v>5.2233999999999998</v>
      </c>
    </row>
    <row r="151" spans="1:2" x14ac:dyDescent="0.4">
      <c r="A151" s="2">
        <v>42961</v>
      </c>
      <c r="B151" s="3">
        <v>5.2491000000000003</v>
      </c>
    </row>
    <row r="152" spans="1:2" x14ac:dyDescent="0.4">
      <c r="A152" s="2">
        <v>42962</v>
      </c>
      <c r="B152" s="3">
        <v>5.2393999999999998</v>
      </c>
    </row>
    <row r="153" spans="1:2" x14ac:dyDescent="0.4">
      <c r="A153" s="2">
        <v>42963</v>
      </c>
      <c r="B153" s="3">
        <v>5.2355</v>
      </c>
    </row>
    <row r="154" spans="1:2" x14ac:dyDescent="0.4">
      <c r="A154" s="2">
        <v>42964</v>
      </c>
      <c r="B154" s="3">
        <v>5.2830000000000004</v>
      </c>
    </row>
    <row r="155" spans="1:2" x14ac:dyDescent="0.4">
      <c r="A155" s="2">
        <v>42965</v>
      </c>
      <c r="B155" s="3">
        <v>5.2637</v>
      </c>
    </row>
    <row r="156" spans="1:2" x14ac:dyDescent="0.4">
      <c r="A156" s="2">
        <v>42968</v>
      </c>
      <c r="B156" s="3">
        <v>5.2972999999999999</v>
      </c>
    </row>
    <row r="157" spans="1:2" x14ac:dyDescent="0.4">
      <c r="A157" s="2">
        <v>42969</v>
      </c>
      <c r="B157" s="3">
        <v>5.3021000000000003</v>
      </c>
    </row>
    <row r="158" spans="1:2" x14ac:dyDescent="0.4">
      <c r="A158" s="2">
        <v>42970</v>
      </c>
      <c r="B158" s="3">
        <v>5.3005000000000004</v>
      </c>
    </row>
    <row r="159" spans="1:2" x14ac:dyDescent="0.4">
      <c r="A159" s="2">
        <v>42971</v>
      </c>
      <c r="B159" s="3">
        <v>5.3037000000000001</v>
      </c>
    </row>
    <row r="160" spans="1:2" x14ac:dyDescent="0.4">
      <c r="A160" s="2">
        <v>42972</v>
      </c>
      <c r="B160" s="3">
        <v>5.3216999999999999</v>
      </c>
    </row>
    <row r="161" spans="1:2" x14ac:dyDescent="0.4">
      <c r="A161" s="2">
        <v>42975</v>
      </c>
      <c r="B161" s="3">
        <v>5.3197000000000001</v>
      </c>
    </row>
    <row r="162" spans="1:2" x14ac:dyDescent="0.4">
      <c r="A162" s="2">
        <v>42976</v>
      </c>
      <c r="B162" s="3">
        <v>5.2969999999999997</v>
      </c>
    </row>
    <row r="163" spans="1:2" x14ac:dyDescent="0.4">
      <c r="A163" s="2">
        <v>42977</v>
      </c>
      <c r="B163" s="3">
        <v>5.2824999999999998</v>
      </c>
    </row>
    <row r="164" spans="1:2" x14ac:dyDescent="0.4">
      <c r="A164" s="2">
        <v>42978</v>
      </c>
      <c r="B164" s="3">
        <v>5.2297000000000002</v>
      </c>
    </row>
    <row r="165" spans="1:2" x14ac:dyDescent="0.4">
      <c r="A165" s="2">
        <v>42979</v>
      </c>
      <c r="B165" s="3">
        <v>5.2821999999999996</v>
      </c>
    </row>
    <row r="166" spans="1:2" x14ac:dyDescent="0.4">
      <c r="A166" s="2">
        <v>42982</v>
      </c>
      <c r="B166" s="3">
        <v>5.3030999999999997</v>
      </c>
    </row>
    <row r="167" spans="1:2" x14ac:dyDescent="0.4">
      <c r="A167" s="2">
        <v>42983</v>
      </c>
      <c r="B167" s="3">
        <v>5.2554999999999996</v>
      </c>
    </row>
    <row r="168" spans="1:2" x14ac:dyDescent="0.4">
      <c r="A168" s="2">
        <v>42984</v>
      </c>
      <c r="B168" s="3">
        <v>5.2812000000000001</v>
      </c>
    </row>
    <row r="169" spans="1:2" x14ac:dyDescent="0.4">
      <c r="A169" s="2">
        <v>42985</v>
      </c>
      <c r="B169" s="3">
        <v>5.3337000000000003</v>
      </c>
    </row>
    <row r="170" spans="1:2" x14ac:dyDescent="0.4">
      <c r="A170" s="2">
        <v>42986</v>
      </c>
      <c r="B170" s="3">
        <v>5.3550000000000004</v>
      </c>
    </row>
    <row r="171" spans="1:2" x14ac:dyDescent="0.4">
      <c r="A171" s="2">
        <v>42989</v>
      </c>
      <c r="B171" s="3">
        <v>5.3273999999999999</v>
      </c>
    </row>
    <row r="172" spans="1:2" x14ac:dyDescent="0.4">
      <c r="A172" s="2">
        <v>42990</v>
      </c>
      <c r="B172" s="3">
        <v>5.3890000000000002</v>
      </c>
    </row>
    <row r="173" spans="1:2" x14ac:dyDescent="0.4">
      <c r="A173" s="2">
        <v>42991</v>
      </c>
      <c r="B173" s="3">
        <v>5.3680000000000003</v>
      </c>
    </row>
    <row r="174" spans="1:2" x14ac:dyDescent="0.4">
      <c r="A174" s="2">
        <v>42992</v>
      </c>
      <c r="B174" s="3">
        <v>5.3794000000000004</v>
      </c>
    </row>
    <row r="175" spans="1:2" x14ac:dyDescent="0.4">
      <c r="A175" s="2">
        <v>42993</v>
      </c>
      <c r="B175" s="3">
        <v>5.3769</v>
      </c>
    </row>
    <row r="176" spans="1:2" x14ac:dyDescent="0.4">
      <c r="A176" s="2">
        <v>42996</v>
      </c>
      <c r="B176" s="3">
        <v>5.367</v>
      </c>
    </row>
    <row r="177" spans="1:2" x14ac:dyDescent="0.4">
      <c r="A177" s="2">
        <v>42997</v>
      </c>
      <c r="B177" s="3">
        <v>5.3391000000000002</v>
      </c>
    </row>
    <row r="178" spans="1:2" x14ac:dyDescent="0.4">
      <c r="A178" s="2">
        <v>42998</v>
      </c>
      <c r="B178" s="3">
        <v>5.3441999999999998</v>
      </c>
    </row>
    <row r="179" spans="1:2" x14ac:dyDescent="0.4">
      <c r="A179" s="2">
        <v>42999</v>
      </c>
      <c r="B179" s="3">
        <v>5.3368000000000002</v>
      </c>
    </row>
    <row r="180" spans="1:2" x14ac:dyDescent="0.4">
      <c r="A180" s="2">
        <v>43000</v>
      </c>
      <c r="B180" s="3">
        <v>5.3433999999999999</v>
      </c>
    </row>
    <row r="181" spans="1:2" x14ac:dyDescent="0.4">
      <c r="A181" s="2">
        <v>43003</v>
      </c>
      <c r="B181" s="3">
        <v>5.3402000000000003</v>
      </c>
    </row>
    <row r="182" spans="1:2" x14ac:dyDescent="0.4">
      <c r="A182" s="2">
        <v>43004</v>
      </c>
      <c r="B182" s="3">
        <v>5.3449999999999998</v>
      </c>
    </row>
    <row r="183" spans="1:2" x14ac:dyDescent="0.4">
      <c r="A183" s="2">
        <v>43005</v>
      </c>
      <c r="B183" s="3">
        <v>5.3635000000000002</v>
      </c>
    </row>
    <row r="184" spans="1:2" x14ac:dyDescent="0.4">
      <c r="A184" s="2">
        <v>43006</v>
      </c>
      <c r="B184" s="3">
        <v>5.3159999999999998</v>
      </c>
    </row>
    <row r="185" spans="1:2" x14ac:dyDescent="0.4">
      <c r="A185" s="2">
        <v>43007</v>
      </c>
      <c r="B185" s="3">
        <v>5.3418999999999999</v>
      </c>
    </row>
    <row r="186" spans="1:2" x14ac:dyDescent="0.4">
      <c r="A186" s="2">
        <v>43017</v>
      </c>
      <c r="B186" s="3">
        <v>5.3090999999999999</v>
      </c>
    </row>
    <row r="187" spans="1:2" x14ac:dyDescent="0.4">
      <c r="A187" s="2">
        <v>43018</v>
      </c>
      <c r="B187" s="3">
        <v>5.2809999999999997</v>
      </c>
    </row>
    <row r="188" spans="1:2" x14ac:dyDescent="0.4">
      <c r="A188" s="2">
        <v>43019</v>
      </c>
      <c r="B188" s="3">
        <v>5.2617000000000003</v>
      </c>
    </row>
    <row r="189" spans="1:2" x14ac:dyDescent="0.4">
      <c r="A189" s="2">
        <v>43020</v>
      </c>
      <c r="B189" s="3">
        <v>5.2858000000000001</v>
      </c>
    </row>
    <row r="190" spans="1:2" x14ac:dyDescent="0.4">
      <c r="A190" s="2">
        <v>43021</v>
      </c>
      <c r="B190" s="3">
        <v>5.2812000000000001</v>
      </c>
    </row>
    <row r="191" spans="1:2" x14ac:dyDescent="0.4">
      <c r="A191" s="2">
        <v>43024</v>
      </c>
      <c r="B191" s="3">
        <v>5.2742000000000004</v>
      </c>
    </row>
    <row r="192" spans="1:2" x14ac:dyDescent="0.4">
      <c r="A192" s="2">
        <v>43025</v>
      </c>
      <c r="B192" s="3">
        <v>5.2645</v>
      </c>
    </row>
    <row r="193" spans="1:2" x14ac:dyDescent="0.4">
      <c r="A193" s="2">
        <v>43026</v>
      </c>
      <c r="B193" s="3">
        <v>5.2843999999999998</v>
      </c>
    </row>
    <row r="194" spans="1:2" x14ac:dyDescent="0.4">
      <c r="A194" s="2">
        <v>43027</v>
      </c>
      <c r="B194" s="3">
        <v>5.3047000000000004</v>
      </c>
    </row>
    <row r="195" spans="1:2" x14ac:dyDescent="0.4">
      <c r="A195" s="2">
        <v>43028</v>
      </c>
      <c r="B195" s="3">
        <v>5.2968000000000002</v>
      </c>
    </row>
    <row r="196" spans="1:2" x14ac:dyDescent="0.4">
      <c r="A196" s="2">
        <v>43031</v>
      </c>
      <c r="B196" s="3">
        <v>5.2469000000000001</v>
      </c>
    </row>
    <row r="197" spans="1:2" x14ac:dyDescent="0.4">
      <c r="A197" s="2">
        <v>43032</v>
      </c>
      <c r="B197" s="3">
        <v>5.2436999999999996</v>
      </c>
    </row>
    <row r="198" spans="1:2" x14ac:dyDescent="0.4">
      <c r="A198" s="2">
        <v>43033</v>
      </c>
      <c r="B198" s="3">
        <v>5.2356999999999996</v>
      </c>
    </row>
    <row r="199" spans="1:2" x14ac:dyDescent="0.4">
      <c r="A199" s="2">
        <v>43034</v>
      </c>
      <c r="B199" s="3">
        <v>5.1786000000000003</v>
      </c>
    </row>
    <row r="200" spans="1:2" x14ac:dyDescent="0.4">
      <c r="A200" s="2">
        <v>43035</v>
      </c>
      <c r="B200" s="3">
        <v>5.1756000000000002</v>
      </c>
    </row>
    <row r="201" spans="1:2" x14ac:dyDescent="0.4">
      <c r="A201" s="2">
        <v>43038</v>
      </c>
      <c r="B201" s="3">
        <v>5.1821000000000002</v>
      </c>
    </row>
    <row r="202" spans="1:2" x14ac:dyDescent="0.4">
      <c r="A202" s="2">
        <v>43039</v>
      </c>
      <c r="B202" s="3">
        <v>5.1753999999999998</v>
      </c>
    </row>
    <row r="203" spans="1:2" x14ac:dyDescent="0.4">
      <c r="A203" s="2">
        <v>43040</v>
      </c>
      <c r="B203" s="3">
        <v>5.1425999999999998</v>
      </c>
    </row>
    <row r="204" spans="1:2" x14ac:dyDescent="0.4">
      <c r="A204" s="2">
        <v>43041</v>
      </c>
      <c r="B204" s="3">
        <v>5.1435000000000004</v>
      </c>
    </row>
    <row r="205" spans="1:2" x14ac:dyDescent="0.4">
      <c r="A205" s="2">
        <v>43042</v>
      </c>
      <c r="B205" s="3">
        <v>5.1576000000000004</v>
      </c>
    </row>
    <row r="206" spans="1:2" x14ac:dyDescent="0.4">
      <c r="A206" s="2">
        <v>43045</v>
      </c>
      <c r="B206" s="3">
        <v>5.1921999999999997</v>
      </c>
    </row>
    <row r="207" spans="1:2" x14ac:dyDescent="0.4">
      <c r="A207" s="2">
        <v>43046</v>
      </c>
      <c r="B207" s="3">
        <v>5.2081999999999997</v>
      </c>
    </row>
    <row r="208" spans="1:2" x14ac:dyDescent="0.4">
      <c r="A208" s="2">
        <v>43047</v>
      </c>
      <c r="B208" s="3">
        <v>5.1943999999999999</v>
      </c>
    </row>
    <row r="209" spans="1:2" x14ac:dyDescent="0.4">
      <c r="A209" s="2">
        <v>43048</v>
      </c>
      <c r="B209" s="3">
        <v>5.2115</v>
      </c>
    </row>
    <row r="210" spans="1:2" x14ac:dyDescent="0.4">
      <c r="A210" s="2">
        <v>43049</v>
      </c>
      <c r="B210" s="3">
        <v>5.2275</v>
      </c>
    </row>
    <row r="211" spans="1:2" x14ac:dyDescent="0.4">
      <c r="A211" s="2">
        <v>43052</v>
      </c>
      <c r="B211" s="3">
        <v>5.2279999999999998</v>
      </c>
    </row>
    <row r="212" spans="1:2" x14ac:dyDescent="0.4">
      <c r="A212" s="2">
        <v>43053</v>
      </c>
      <c r="B212" s="3">
        <v>5.2129000000000003</v>
      </c>
    </row>
    <row r="213" spans="1:2" x14ac:dyDescent="0.4">
      <c r="A213" s="2">
        <v>43054</v>
      </c>
      <c r="B213" s="3">
        <v>5.2050999999999998</v>
      </c>
    </row>
    <row r="214" spans="1:2" x14ac:dyDescent="0.4">
      <c r="A214" s="2">
        <v>43055</v>
      </c>
      <c r="B214" s="3">
        <v>5.1936</v>
      </c>
    </row>
    <row r="215" spans="1:2" x14ac:dyDescent="0.4">
      <c r="A215" s="2">
        <v>43056</v>
      </c>
      <c r="B215" s="3">
        <v>5.1966000000000001</v>
      </c>
    </row>
    <row r="216" spans="1:2" x14ac:dyDescent="0.4">
      <c r="A216" s="2">
        <v>43059</v>
      </c>
      <c r="B216" s="3">
        <v>5.1843000000000004</v>
      </c>
    </row>
    <row r="217" spans="1:2" x14ac:dyDescent="0.4">
      <c r="A217" s="2">
        <v>43060</v>
      </c>
      <c r="B217" s="3">
        <v>5.1786000000000003</v>
      </c>
    </row>
    <row r="218" spans="1:2" x14ac:dyDescent="0.4">
      <c r="A218" s="2">
        <v>43061</v>
      </c>
      <c r="B218" s="3">
        <v>5.1872999999999996</v>
      </c>
    </row>
    <row r="219" spans="1:2" x14ac:dyDescent="0.4">
      <c r="A219" s="2">
        <v>43062</v>
      </c>
      <c r="B219" s="3">
        <v>5.1967999999999996</v>
      </c>
    </row>
    <row r="220" spans="1:2" x14ac:dyDescent="0.4">
      <c r="A220" s="2">
        <v>43063</v>
      </c>
      <c r="B220" s="3">
        <v>5.1760999999999999</v>
      </c>
    </row>
    <row r="221" spans="1:2" x14ac:dyDescent="0.4">
      <c r="A221" s="2">
        <v>43066</v>
      </c>
      <c r="B221" s="3">
        <v>5.1824000000000003</v>
      </c>
    </row>
    <row r="222" spans="1:2" x14ac:dyDescent="0.4">
      <c r="A222" s="2">
        <v>43067</v>
      </c>
      <c r="B222" s="3">
        <v>5.1683000000000003</v>
      </c>
    </row>
    <row r="223" spans="1:2" x14ac:dyDescent="0.4">
      <c r="A223" s="2">
        <v>43068</v>
      </c>
      <c r="B223" s="3">
        <v>5.1516999999999999</v>
      </c>
    </row>
    <row r="224" spans="1:2" x14ac:dyDescent="0.4">
      <c r="A224" s="2">
        <v>43069</v>
      </c>
      <c r="B224" s="3">
        <v>5.1326000000000001</v>
      </c>
    </row>
    <row r="225" spans="1:2" x14ac:dyDescent="0.4">
      <c r="A225" s="2">
        <v>43070</v>
      </c>
      <c r="B225" s="3">
        <v>5.1234999999999999</v>
      </c>
    </row>
    <row r="226" spans="1:2" x14ac:dyDescent="0.4">
      <c r="A226" s="2">
        <v>43073</v>
      </c>
      <c r="B226" s="3">
        <v>5.2020999999999997</v>
      </c>
    </row>
    <row r="227" spans="1:2" x14ac:dyDescent="0.4">
      <c r="A227" s="2">
        <v>43074</v>
      </c>
      <c r="B227" s="3">
        <v>5.2144000000000004</v>
      </c>
    </row>
    <row r="228" spans="1:2" x14ac:dyDescent="0.4">
      <c r="A228" s="2">
        <v>43075</v>
      </c>
      <c r="B228" s="3">
        <v>5.2122000000000002</v>
      </c>
    </row>
    <row r="229" spans="1:2" x14ac:dyDescent="0.4">
      <c r="A229" s="2">
        <v>43076</v>
      </c>
      <c r="B229" s="3">
        <v>5.1759000000000004</v>
      </c>
    </row>
    <row r="230" spans="1:2" x14ac:dyDescent="0.4">
      <c r="A230" s="2">
        <v>43077</v>
      </c>
      <c r="B230" s="3">
        <v>5.1498999999999997</v>
      </c>
    </row>
    <row r="231" spans="1:2" x14ac:dyDescent="0.4">
      <c r="A231" s="2">
        <v>43080</v>
      </c>
      <c r="B231" s="3">
        <v>5.1436000000000002</v>
      </c>
    </row>
    <row r="232" spans="1:2" x14ac:dyDescent="0.4">
      <c r="A232" s="2">
        <v>43081</v>
      </c>
      <c r="B232" s="3">
        <v>5.1467000000000001</v>
      </c>
    </row>
    <row r="233" spans="1:2" x14ac:dyDescent="0.4">
      <c r="A233" s="2">
        <v>43082</v>
      </c>
      <c r="B233" s="3">
        <v>5.1470000000000002</v>
      </c>
    </row>
    <row r="234" spans="1:2" x14ac:dyDescent="0.4">
      <c r="A234" s="2">
        <v>43083</v>
      </c>
      <c r="B234" s="3">
        <v>5.1513999999999998</v>
      </c>
    </row>
    <row r="235" spans="1:2" x14ac:dyDescent="0.4">
      <c r="A235" s="2">
        <v>43084</v>
      </c>
      <c r="B235" s="3">
        <v>5.1661999999999999</v>
      </c>
    </row>
    <row r="236" spans="1:2" x14ac:dyDescent="0.4">
      <c r="A236" s="2">
        <v>43087</v>
      </c>
      <c r="B236" s="3">
        <v>5.1402999999999999</v>
      </c>
    </row>
    <row r="237" spans="1:2" x14ac:dyDescent="0.4">
      <c r="A237" s="2">
        <v>43088</v>
      </c>
      <c r="B237" s="3">
        <v>5.1368999999999998</v>
      </c>
    </row>
    <row r="238" spans="1:2" x14ac:dyDescent="0.4">
      <c r="A238" s="2">
        <v>43089</v>
      </c>
      <c r="B238" s="3">
        <v>5.1323999999999996</v>
      </c>
    </row>
    <row r="239" spans="1:2" x14ac:dyDescent="0.4">
      <c r="A239" s="2">
        <v>43090</v>
      </c>
      <c r="B239" s="3">
        <v>5.1283000000000003</v>
      </c>
    </row>
    <row r="240" spans="1:2" x14ac:dyDescent="0.4">
      <c r="A240" s="2">
        <v>43091</v>
      </c>
      <c r="B240" s="3">
        <v>5.1666999999999996</v>
      </c>
    </row>
    <row r="241" spans="1:2" x14ac:dyDescent="0.4">
      <c r="A241" s="2">
        <v>43094</v>
      </c>
      <c r="B241" s="3">
        <v>5.1627000000000001</v>
      </c>
    </row>
    <row r="242" spans="1:2" x14ac:dyDescent="0.4">
      <c r="A242" s="2">
        <v>43095</v>
      </c>
      <c r="B242" s="3">
        <v>5.1397000000000004</v>
      </c>
    </row>
    <row r="243" spans="1:2" x14ac:dyDescent="0.4">
      <c r="A243" s="2">
        <v>43096</v>
      </c>
      <c r="B243" s="3">
        <v>5.1563999999999997</v>
      </c>
    </row>
    <row r="244" spans="1:2" x14ac:dyDescent="0.4">
      <c r="A244" s="2">
        <v>43097</v>
      </c>
      <c r="B244" s="3">
        <v>5.1700999999999997</v>
      </c>
    </row>
    <row r="245" spans="1:2" x14ac:dyDescent="0.4">
      <c r="A245" s="2">
        <v>43098</v>
      </c>
      <c r="B245" s="3">
        <v>5.2008999999999999</v>
      </c>
    </row>
    <row r="246" spans="1:2" x14ac:dyDescent="0.4">
      <c r="A246" s="2">
        <v>43102</v>
      </c>
      <c r="B246" s="3">
        <v>5.1841999999999997</v>
      </c>
    </row>
    <row r="247" spans="1:2" x14ac:dyDescent="0.4">
      <c r="A247" s="2">
        <v>43103</v>
      </c>
      <c r="B247" s="3">
        <v>5.1909000000000001</v>
      </c>
    </row>
    <row r="248" spans="1:2" x14ac:dyDescent="0.4">
      <c r="A248" s="2">
        <v>43104</v>
      </c>
      <c r="B248" s="3">
        <v>5.1864999999999997</v>
      </c>
    </row>
    <row r="249" spans="1:2" x14ac:dyDescent="0.4">
      <c r="A249" s="2">
        <v>43105</v>
      </c>
      <c r="B249" s="3">
        <v>5.1993</v>
      </c>
    </row>
    <row r="250" spans="1:2" x14ac:dyDescent="0.4">
      <c r="A250" s="2">
        <v>43108</v>
      </c>
      <c r="B250" s="3">
        <v>5.2297000000000002</v>
      </c>
    </row>
    <row r="251" spans="1:2" x14ac:dyDescent="0.4">
      <c r="A251" s="2">
        <v>43109</v>
      </c>
      <c r="B251" s="3">
        <v>5.2297000000000002</v>
      </c>
    </row>
    <row r="252" spans="1:2" x14ac:dyDescent="0.4">
      <c r="A252" s="2">
        <v>43110</v>
      </c>
      <c r="B252" s="3">
        <v>5.2286000000000001</v>
      </c>
    </row>
    <row r="253" spans="1:2" x14ac:dyDescent="0.4">
      <c r="A253" s="2">
        <v>43111</v>
      </c>
      <c r="B253" s="3">
        <v>5.1965000000000003</v>
      </c>
    </row>
    <row r="254" spans="1:2" x14ac:dyDescent="0.4">
      <c r="A254" s="2">
        <v>43112</v>
      </c>
      <c r="B254" s="3">
        <v>5.1856</v>
      </c>
    </row>
    <row r="255" spans="1:2" x14ac:dyDescent="0.4">
      <c r="A255" s="2">
        <v>43115</v>
      </c>
      <c r="B255" s="3">
        <v>5.1814999999999998</v>
      </c>
    </row>
    <row r="256" spans="1:2" x14ac:dyDescent="0.4">
      <c r="A256" s="2">
        <v>43116</v>
      </c>
      <c r="B256" s="3">
        <v>5.1795999999999998</v>
      </c>
    </row>
    <row r="257" spans="1:2" x14ac:dyDescent="0.4">
      <c r="A257" s="2">
        <v>43117</v>
      </c>
      <c r="B257" s="3">
        <v>5.1753999999999998</v>
      </c>
    </row>
    <row r="258" spans="1:2" x14ac:dyDescent="0.4">
      <c r="A258" s="2">
        <v>43118</v>
      </c>
      <c r="B258" s="3">
        <v>5.1746999999999996</v>
      </c>
    </row>
    <row r="259" spans="1:2" x14ac:dyDescent="0.4">
      <c r="A259" s="2">
        <v>43119</v>
      </c>
      <c r="B259" s="3">
        <v>5.1741999999999999</v>
      </c>
    </row>
    <row r="260" spans="1:2" x14ac:dyDescent="0.4">
      <c r="A260" s="2">
        <v>43122</v>
      </c>
      <c r="B260" s="3">
        <v>5.1321000000000003</v>
      </c>
    </row>
    <row r="261" spans="1:2" x14ac:dyDescent="0.4">
      <c r="A261" s="2">
        <v>43123</v>
      </c>
      <c r="B261" s="3">
        <v>5.1401000000000003</v>
      </c>
    </row>
    <row r="262" spans="1:2" x14ac:dyDescent="0.4">
      <c r="A262" s="2">
        <v>43124</v>
      </c>
      <c r="B262" s="3">
        <v>5.1460999999999997</v>
      </c>
    </row>
    <row r="263" spans="1:2" x14ac:dyDescent="0.4">
      <c r="A263" s="2">
        <v>43125</v>
      </c>
      <c r="B263" s="3">
        <v>5.1589999999999998</v>
      </c>
    </row>
    <row r="264" spans="1:2" x14ac:dyDescent="0.4">
      <c r="A264" s="2">
        <v>43126</v>
      </c>
      <c r="B264" s="3">
        <v>5.1238000000000001</v>
      </c>
    </row>
    <row r="265" spans="1:2" x14ac:dyDescent="0.4">
      <c r="A265" s="2">
        <v>43129</v>
      </c>
      <c r="B265" s="3">
        <v>5.1353999999999997</v>
      </c>
    </row>
    <row r="266" spans="1:2" x14ac:dyDescent="0.4">
      <c r="A266" s="2">
        <v>43130</v>
      </c>
      <c r="B266" s="3">
        <v>5.1311999999999998</v>
      </c>
    </row>
    <row r="267" spans="1:2" x14ac:dyDescent="0.4">
      <c r="A267" s="2">
        <v>43131</v>
      </c>
      <c r="B267" s="3">
        <v>5.1332000000000004</v>
      </c>
    </row>
    <row r="268" spans="1:2" x14ac:dyDescent="0.4">
      <c r="A268" s="2">
        <v>43132</v>
      </c>
      <c r="B268" s="3">
        <v>5.1174999999999997</v>
      </c>
    </row>
    <row r="269" spans="1:2" x14ac:dyDescent="0.4">
      <c r="A269" s="2">
        <v>43133</v>
      </c>
      <c r="B269" s="3">
        <v>5.1247999999999996</v>
      </c>
    </row>
    <row r="270" spans="1:2" x14ac:dyDescent="0.4">
      <c r="A270" s="2">
        <v>43136</v>
      </c>
      <c r="B270" s="3">
        <v>5.0636000000000001</v>
      </c>
    </row>
    <row r="271" spans="1:2" x14ac:dyDescent="0.4">
      <c r="A271" s="2">
        <v>43137</v>
      </c>
      <c r="B271" s="3">
        <v>5.0316999999999998</v>
      </c>
    </row>
    <row r="272" spans="1:2" x14ac:dyDescent="0.4">
      <c r="A272" s="2">
        <v>43138</v>
      </c>
      <c r="B272" s="3">
        <v>5.0228000000000002</v>
      </c>
    </row>
    <row r="273" spans="1:2" x14ac:dyDescent="0.4">
      <c r="A273" s="2">
        <v>43139</v>
      </c>
      <c r="B273" s="3">
        <v>4.9943999999999997</v>
      </c>
    </row>
    <row r="274" spans="1:2" x14ac:dyDescent="0.4">
      <c r="A274" s="2">
        <v>43140</v>
      </c>
      <c r="B274" s="3">
        <v>5.0204000000000004</v>
      </c>
    </row>
    <row r="275" spans="1:2" x14ac:dyDescent="0.4">
      <c r="A275" s="2">
        <v>43143</v>
      </c>
      <c r="B275" s="3">
        <v>5.0003000000000002</v>
      </c>
    </row>
    <row r="276" spans="1:2" x14ac:dyDescent="0.4">
      <c r="A276" s="2">
        <v>43144</v>
      </c>
      <c r="B276" s="3">
        <v>5.0274000000000001</v>
      </c>
    </row>
    <row r="277" spans="1:2" x14ac:dyDescent="0.4">
      <c r="A277" s="2">
        <v>43145</v>
      </c>
      <c r="B277" s="3">
        <v>5.0381</v>
      </c>
    </row>
    <row r="278" spans="1:2" x14ac:dyDescent="0.4">
      <c r="A278" s="2">
        <v>43153</v>
      </c>
      <c r="B278" s="3">
        <v>5.0033000000000003</v>
      </c>
    </row>
    <row r="279" spans="1:2" x14ac:dyDescent="0.4">
      <c r="A279" s="2">
        <v>43154</v>
      </c>
      <c r="B279" s="3">
        <v>4.9961000000000002</v>
      </c>
    </row>
    <row r="280" spans="1:2" x14ac:dyDescent="0.4">
      <c r="A280" s="2">
        <v>43157</v>
      </c>
      <c r="B280" s="3">
        <v>5.0118999999999998</v>
      </c>
    </row>
    <row r="281" spans="1:2" x14ac:dyDescent="0.4">
      <c r="A281" s="2">
        <v>43158</v>
      </c>
      <c r="B281" s="3">
        <v>4.9757999999999996</v>
      </c>
    </row>
    <row r="282" spans="1:2" x14ac:dyDescent="0.4">
      <c r="A282" s="2">
        <v>43159</v>
      </c>
      <c r="B282" s="3">
        <v>4.9516</v>
      </c>
    </row>
    <row r="283" spans="1:2" x14ac:dyDescent="0.4">
      <c r="A283" s="2">
        <v>43160</v>
      </c>
      <c r="B283" s="3">
        <v>4.9363000000000001</v>
      </c>
    </row>
    <row r="284" spans="1:2" x14ac:dyDescent="0.4">
      <c r="A284" s="2">
        <v>43161</v>
      </c>
      <c r="B284" s="3">
        <v>4.9355000000000002</v>
      </c>
    </row>
    <row r="285" spans="1:2" x14ac:dyDescent="0.4">
      <c r="A285" s="2">
        <v>43164</v>
      </c>
      <c r="B285" s="3">
        <v>4.9195000000000002</v>
      </c>
    </row>
    <row r="286" spans="1:2" x14ac:dyDescent="0.4">
      <c r="A286" s="2">
        <v>43165</v>
      </c>
      <c r="B286" s="3">
        <v>4.8849</v>
      </c>
    </row>
    <row r="287" spans="1:2" x14ac:dyDescent="0.4">
      <c r="A287" s="2">
        <v>43166</v>
      </c>
      <c r="B287" s="3">
        <v>4.8977000000000004</v>
      </c>
    </row>
    <row r="288" spans="1:2" x14ac:dyDescent="0.4">
      <c r="A288" s="2">
        <v>43167</v>
      </c>
      <c r="B288" s="3">
        <v>4.8993000000000002</v>
      </c>
    </row>
    <row r="289" spans="1:2" x14ac:dyDescent="0.4">
      <c r="A289" s="2">
        <v>43168</v>
      </c>
      <c r="B289" s="3">
        <v>4.9202000000000004</v>
      </c>
    </row>
    <row r="290" spans="1:2" x14ac:dyDescent="0.4">
      <c r="A290" s="2">
        <v>43171</v>
      </c>
      <c r="B290" s="3">
        <v>4.9416000000000002</v>
      </c>
    </row>
    <row r="291" spans="1:2" x14ac:dyDescent="0.4">
      <c r="A291" s="2">
        <v>43172</v>
      </c>
      <c r="B291" s="3">
        <v>4.9221000000000004</v>
      </c>
    </row>
    <row r="292" spans="1:2" x14ac:dyDescent="0.4">
      <c r="A292" s="2">
        <v>43173</v>
      </c>
      <c r="B292" s="3">
        <v>4.8766999999999996</v>
      </c>
    </row>
    <row r="293" spans="1:2" x14ac:dyDescent="0.4">
      <c r="A293" s="2">
        <v>43174</v>
      </c>
      <c r="B293" s="3">
        <v>4.8737000000000004</v>
      </c>
    </row>
    <row r="294" spans="1:2" x14ac:dyDescent="0.4">
      <c r="A294" s="2">
        <v>43175</v>
      </c>
      <c r="B294" s="3">
        <v>4.8529</v>
      </c>
    </row>
    <row r="295" spans="1:2" x14ac:dyDescent="0.4">
      <c r="A295" s="2">
        <v>43178</v>
      </c>
      <c r="B295" s="3">
        <v>4.8356000000000003</v>
      </c>
    </row>
    <row r="296" spans="1:2" x14ac:dyDescent="0.4">
      <c r="A296" s="2">
        <v>43179</v>
      </c>
      <c r="B296" s="3">
        <v>4.8339999999999996</v>
      </c>
    </row>
    <row r="297" spans="1:2" x14ac:dyDescent="0.4">
      <c r="A297" s="2">
        <v>43180</v>
      </c>
      <c r="B297" s="3">
        <v>4.8497000000000003</v>
      </c>
    </row>
    <row r="298" spans="1:2" x14ac:dyDescent="0.4">
      <c r="A298" s="2">
        <v>43181</v>
      </c>
      <c r="B298" s="3">
        <v>4.8978999999999999</v>
      </c>
    </row>
    <row r="299" spans="1:2" x14ac:dyDescent="0.4">
      <c r="A299" s="2">
        <v>43182</v>
      </c>
      <c r="B299" s="3">
        <v>4.8935000000000004</v>
      </c>
    </row>
    <row r="300" spans="1:2" x14ac:dyDescent="0.4">
      <c r="A300" s="2">
        <v>43185</v>
      </c>
      <c r="B300" s="3">
        <v>4.9077000000000002</v>
      </c>
    </row>
    <row r="301" spans="1:2" x14ac:dyDescent="0.4">
      <c r="A301" s="2">
        <v>43186</v>
      </c>
      <c r="B301" s="3">
        <v>4.8884999999999996</v>
      </c>
    </row>
    <row r="302" spans="1:2" x14ac:dyDescent="0.4">
      <c r="A302" s="2">
        <v>43187</v>
      </c>
      <c r="B302" s="3">
        <v>4.8745000000000003</v>
      </c>
    </row>
    <row r="303" spans="1:2" x14ac:dyDescent="0.4">
      <c r="A303" s="2">
        <v>43188</v>
      </c>
      <c r="B303" s="3">
        <v>4.88</v>
      </c>
    </row>
    <row r="304" spans="1:2" x14ac:dyDescent="0.4">
      <c r="A304" s="2">
        <v>43189</v>
      </c>
      <c r="B304" s="3">
        <v>4.8788</v>
      </c>
    </row>
    <row r="305" spans="1:2" x14ac:dyDescent="0.4">
      <c r="A305" s="2">
        <v>43192</v>
      </c>
      <c r="B305" s="3">
        <v>4.8677000000000001</v>
      </c>
    </row>
    <row r="306" spans="1:2" x14ac:dyDescent="0.4">
      <c r="A306" s="2">
        <v>43193</v>
      </c>
      <c r="B306" s="3">
        <v>4.8650000000000002</v>
      </c>
    </row>
    <row r="307" spans="1:2" x14ac:dyDescent="0.4">
      <c r="A307" s="2">
        <v>43194</v>
      </c>
      <c r="B307" s="3">
        <v>4.9151999999999996</v>
      </c>
    </row>
    <row r="308" spans="1:2" x14ac:dyDescent="0.4">
      <c r="A308" s="2">
        <v>43199</v>
      </c>
      <c r="B308" s="3">
        <v>4.9397000000000002</v>
      </c>
    </row>
    <row r="309" spans="1:2" x14ac:dyDescent="0.4">
      <c r="A309" s="2">
        <v>43200</v>
      </c>
      <c r="B309" s="3">
        <v>4.9650999999999996</v>
      </c>
    </row>
    <row r="310" spans="1:2" x14ac:dyDescent="0.4">
      <c r="A310" s="2">
        <v>43201</v>
      </c>
      <c r="B310" s="3">
        <v>4.9943</v>
      </c>
    </row>
    <row r="311" spans="1:2" x14ac:dyDescent="0.4">
      <c r="A311" s="2">
        <v>43202</v>
      </c>
      <c r="B311" s="3">
        <v>4.9965000000000002</v>
      </c>
    </row>
    <row r="312" spans="1:2" x14ac:dyDescent="0.4">
      <c r="A312" s="2">
        <v>43203</v>
      </c>
      <c r="B312" s="3">
        <v>4.9939</v>
      </c>
    </row>
    <row r="313" spans="1:2" x14ac:dyDescent="0.4">
      <c r="A313" s="2">
        <v>43206</v>
      </c>
      <c r="B313" s="3">
        <v>4.9877000000000002</v>
      </c>
    </row>
    <row r="314" spans="1:2" x14ac:dyDescent="0.4">
      <c r="A314" s="2">
        <v>43207</v>
      </c>
      <c r="B314" s="3">
        <v>4.9924999999999997</v>
      </c>
    </row>
    <row r="315" spans="1:2" x14ac:dyDescent="0.4">
      <c r="A315" s="2">
        <v>43208</v>
      </c>
      <c r="B315" s="3">
        <v>5.0007000000000001</v>
      </c>
    </row>
    <row r="316" spans="1:2" x14ac:dyDescent="0.4">
      <c r="A316" s="2">
        <v>43209</v>
      </c>
      <c r="B316" s="3">
        <v>4.9741999999999997</v>
      </c>
    </row>
    <row r="317" spans="1:2" x14ac:dyDescent="0.4">
      <c r="A317" s="2">
        <v>43210</v>
      </c>
      <c r="B317" s="3">
        <v>4.9644000000000004</v>
      </c>
    </row>
    <row r="318" spans="1:2" x14ac:dyDescent="0.4">
      <c r="A318" s="2">
        <v>43213</v>
      </c>
      <c r="B318" s="3">
        <v>4.9362000000000004</v>
      </c>
    </row>
    <row r="319" spans="1:2" x14ac:dyDescent="0.4">
      <c r="A319" s="2">
        <v>43214</v>
      </c>
      <c r="B319" s="3">
        <v>4.9180999999999999</v>
      </c>
    </row>
    <row r="320" spans="1:2" x14ac:dyDescent="0.4">
      <c r="A320" s="2">
        <v>43215</v>
      </c>
      <c r="B320" s="3">
        <v>4.9160000000000004</v>
      </c>
    </row>
    <row r="321" spans="1:2" x14ac:dyDescent="0.4">
      <c r="A321" s="2">
        <v>43216</v>
      </c>
      <c r="B321" s="3">
        <v>4.9284999999999997</v>
      </c>
    </row>
    <row r="322" spans="1:2" x14ac:dyDescent="0.4">
      <c r="A322" s="2">
        <v>43217</v>
      </c>
      <c r="B322" s="3">
        <v>4.9227999999999996</v>
      </c>
    </row>
    <row r="323" spans="1:2" x14ac:dyDescent="0.4">
      <c r="A323" s="2">
        <v>43222</v>
      </c>
      <c r="B323" s="3">
        <v>4.9516</v>
      </c>
    </row>
    <row r="324" spans="1:2" x14ac:dyDescent="0.4">
      <c r="A324" s="2">
        <v>43223</v>
      </c>
      <c r="B324" s="3">
        <v>4.9463999999999997</v>
      </c>
    </row>
    <row r="325" spans="1:2" x14ac:dyDescent="0.4">
      <c r="A325" s="2">
        <v>43224</v>
      </c>
      <c r="B325" s="3">
        <v>4.9417999999999997</v>
      </c>
    </row>
    <row r="326" spans="1:2" x14ac:dyDescent="0.4">
      <c r="A326" s="2">
        <v>43227</v>
      </c>
      <c r="B326" s="3">
        <v>4.9471999999999996</v>
      </c>
    </row>
    <row r="327" spans="1:2" x14ac:dyDescent="0.4">
      <c r="A327" s="2">
        <v>43228</v>
      </c>
      <c r="B327" s="3">
        <v>4.9400000000000004</v>
      </c>
    </row>
    <row r="328" spans="1:2" x14ac:dyDescent="0.4">
      <c r="A328" s="2">
        <v>43229</v>
      </c>
      <c r="B328" s="3">
        <v>4.9208999999999996</v>
      </c>
    </row>
    <row r="329" spans="1:2" x14ac:dyDescent="0.4">
      <c r="A329" s="2">
        <v>43230</v>
      </c>
      <c r="B329" s="3">
        <v>4.9619999999999997</v>
      </c>
    </row>
    <row r="330" spans="1:2" x14ac:dyDescent="0.4">
      <c r="A330" s="2">
        <v>43231</v>
      </c>
      <c r="B330" s="3">
        <v>4.9737</v>
      </c>
    </row>
    <row r="331" spans="1:2" x14ac:dyDescent="0.4">
      <c r="A331" s="2">
        <v>43234</v>
      </c>
      <c r="B331" s="3">
        <v>4.9549000000000003</v>
      </c>
    </row>
    <row r="332" spans="1:2" x14ac:dyDescent="0.4">
      <c r="A332" s="2">
        <v>43235</v>
      </c>
      <c r="B332" s="3">
        <v>4.9581</v>
      </c>
    </row>
    <row r="333" spans="1:2" x14ac:dyDescent="0.4">
      <c r="A333" s="2">
        <v>43236</v>
      </c>
      <c r="B333" s="3">
        <v>4.9494999999999996</v>
      </c>
    </row>
    <row r="334" spans="1:2" x14ac:dyDescent="0.4">
      <c r="A334" s="2">
        <v>43237</v>
      </c>
      <c r="B334" s="3">
        <v>4.9806999999999997</v>
      </c>
    </row>
    <row r="335" spans="1:2" x14ac:dyDescent="0.4">
      <c r="A335" s="2">
        <v>43238</v>
      </c>
      <c r="B335" s="3">
        <v>4.9668000000000001</v>
      </c>
    </row>
    <row r="336" spans="1:2" x14ac:dyDescent="0.4">
      <c r="A336" s="2">
        <v>43241</v>
      </c>
      <c r="B336" s="3">
        <v>4.9553000000000003</v>
      </c>
    </row>
    <row r="337" spans="1:2" x14ac:dyDescent="0.4">
      <c r="A337" s="2">
        <v>43242</v>
      </c>
      <c r="B337" s="3">
        <v>4.9913999999999996</v>
      </c>
    </row>
    <row r="338" spans="1:2" x14ac:dyDescent="0.4">
      <c r="A338" s="2">
        <v>43243</v>
      </c>
      <c r="B338" s="3">
        <v>4.9743000000000004</v>
      </c>
    </row>
    <row r="339" spans="1:2" x14ac:dyDescent="0.4">
      <c r="A339" s="2">
        <v>43244</v>
      </c>
      <c r="B339" s="3">
        <v>4.9722</v>
      </c>
    </row>
    <row r="340" spans="1:2" x14ac:dyDescent="0.4">
      <c r="A340" s="2">
        <v>43245</v>
      </c>
      <c r="B340" s="3">
        <v>4.9565000000000001</v>
      </c>
    </row>
    <row r="341" spans="1:2" x14ac:dyDescent="0.4">
      <c r="A341" s="2">
        <v>43248</v>
      </c>
      <c r="B341" s="3">
        <v>4.9290000000000003</v>
      </c>
    </row>
    <row r="342" spans="1:2" x14ac:dyDescent="0.4">
      <c r="A342" s="2">
        <v>43249</v>
      </c>
      <c r="B342" s="3">
        <v>4.9275000000000002</v>
      </c>
    </row>
    <row r="343" spans="1:2" x14ac:dyDescent="0.4">
      <c r="A343" s="2">
        <v>43250</v>
      </c>
      <c r="B343" s="3">
        <v>4.9290000000000003</v>
      </c>
    </row>
    <row r="344" spans="1:2" x14ac:dyDescent="0.4">
      <c r="A344" s="2">
        <v>43251</v>
      </c>
      <c r="B344" s="3">
        <v>4.9782999999999999</v>
      </c>
    </row>
    <row r="345" spans="1:2" x14ac:dyDescent="0.4">
      <c r="A345" s="2">
        <v>43252</v>
      </c>
      <c r="B345" s="3">
        <v>4.9511000000000003</v>
      </c>
    </row>
    <row r="346" spans="1:2" x14ac:dyDescent="0.4">
      <c r="A346" s="2">
        <v>43255</v>
      </c>
      <c r="B346" s="3">
        <v>4.9535999999999998</v>
      </c>
    </row>
    <row r="347" spans="1:2" x14ac:dyDescent="0.4">
      <c r="A347" s="2">
        <v>43256</v>
      </c>
      <c r="B347" s="3">
        <v>4.9630000000000001</v>
      </c>
    </row>
    <row r="348" spans="1:2" x14ac:dyDescent="0.4">
      <c r="A348" s="2">
        <v>43257</v>
      </c>
      <c r="B348" s="3">
        <v>4.9471999999999996</v>
      </c>
    </row>
    <row r="349" spans="1:2" x14ac:dyDescent="0.4">
      <c r="A349" s="2">
        <v>43258</v>
      </c>
      <c r="B349" s="3">
        <v>4.9372999999999996</v>
      </c>
    </row>
    <row r="350" spans="1:2" x14ac:dyDescent="0.4">
      <c r="A350" s="2">
        <v>43259</v>
      </c>
      <c r="B350" s="3">
        <v>4.9328000000000003</v>
      </c>
    </row>
    <row r="351" spans="1:2" x14ac:dyDescent="0.4">
      <c r="A351" s="2">
        <v>43262</v>
      </c>
      <c r="B351" s="3">
        <v>4.9367999999999999</v>
      </c>
    </row>
    <row r="352" spans="1:2" x14ac:dyDescent="0.4">
      <c r="A352" s="2">
        <v>43263</v>
      </c>
      <c r="B352" s="3">
        <v>4.9358000000000004</v>
      </c>
    </row>
    <row r="353" spans="1:2" x14ac:dyDescent="0.4">
      <c r="A353" s="2">
        <v>43264</v>
      </c>
      <c r="B353" s="3">
        <v>4.9287999999999998</v>
      </c>
    </row>
    <row r="354" spans="1:2" x14ac:dyDescent="0.4">
      <c r="A354" s="2">
        <v>43265</v>
      </c>
      <c r="B354" s="3">
        <v>4.9276</v>
      </c>
    </row>
    <row r="355" spans="1:2" x14ac:dyDescent="0.4">
      <c r="A355" s="2">
        <v>43266</v>
      </c>
      <c r="B355" s="3">
        <v>4.9044999999999996</v>
      </c>
    </row>
    <row r="356" spans="1:2" x14ac:dyDescent="0.4">
      <c r="A356" s="2">
        <v>43270</v>
      </c>
      <c r="B356" s="3">
        <v>4.8639000000000001</v>
      </c>
    </row>
    <row r="357" spans="1:2" x14ac:dyDescent="0.4">
      <c r="A357" s="2">
        <v>43271</v>
      </c>
      <c r="B357" s="3">
        <v>4.8734000000000002</v>
      </c>
    </row>
    <row r="358" spans="1:2" x14ac:dyDescent="0.4">
      <c r="A358" s="2">
        <v>43272</v>
      </c>
      <c r="B358" s="3">
        <v>4.8621999999999996</v>
      </c>
    </row>
    <row r="359" spans="1:2" x14ac:dyDescent="0.4">
      <c r="A359" s="2">
        <v>43273</v>
      </c>
      <c r="B359" s="3">
        <v>4.8665000000000003</v>
      </c>
    </row>
    <row r="360" spans="1:2" x14ac:dyDescent="0.4">
      <c r="A360" s="2">
        <v>43276</v>
      </c>
      <c r="B360" s="3">
        <v>4.8868</v>
      </c>
    </row>
    <row r="361" spans="1:2" x14ac:dyDescent="0.4">
      <c r="A361" s="2">
        <v>43277</v>
      </c>
      <c r="B361" s="3">
        <v>4.9065000000000003</v>
      </c>
    </row>
    <row r="362" spans="1:2" x14ac:dyDescent="0.4">
      <c r="A362" s="2">
        <v>43278</v>
      </c>
      <c r="B362" s="3">
        <v>4.9333</v>
      </c>
    </row>
    <row r="363" spans="1:2" x14ac:dyDescent="0.4">
      <c r="A363" s="2">
        <v>43279</v>
      </c>
      <c r="B363" s="3">
        <v>4.9569999999999999</v>
      </c>
    </row>
    <row r="364" spans="1:2" x14ac:dyDescent="0.4">
      <c r="A364" s="2">
        <v>43280</v>
      </c>
      <c r="B364" s="3">
        <v>4.9946999999999999</v>
      </c>
    </row>
    <row r="365" spans="1:2" x14ac:dyDescent="0.4">
      <c r="A365" s="2">
        <v>43283</v>
      </c>
      <c r="B365" s="3">
        <v>5.0340999999999996</v>
      </c>
    </row>
    <row r="366" spans="1:2" x14ac:dyDescent="0.4">
      <c r="A366" s="2">
        <v>43284</v>
      </c>
      <c r="B366" s="3">
        <v>5.0439999999999996</v>
      </c>
    </row>
    <row r="367" spans="1:2" x14ac:dyDescent="0.4">
      <c r="A367" s="2">
        <v>43285</v>
      </c>
      <c r="B367" s="3">
        <v>5.0690999999999997</v>
      </c>
    </row>
    <row r="368" spans="1:2" x14ac:dyDescent="0.4">
      <c r="A368" s="2">
        <v>43286</v>
      </c>
      <c r="B368" s="3">
        <v>5.0366999999999997</v>
      </c>
    </row>
    <row r="369" spans="1:2" x14ac:dyDescent="0.4">
      <c r="A369" s="2">
        <v>43287</v>
      </c>
      <c r="B369" s="3">
        <v>5.0510999999999999</v>
      </c>
    </row>
    <row r="370" spans="1:2" x14ac:dyDescent="0.4">
      <c r="A370" s="2">
        <v>43290</v>
      </c>
      <c r="B370" s="3">
        <v>5.0697000000000001</v>
      </c>
    </row>
    <row r="371" spans="1:2" x14ac:dyDescent="0.4">
      <c r="A371" s="2">
        <v>43291</v>
      </c>
      <c r="B371" s="3">
        <v>5.0532000000000004</v>
      </c>
    </row>
    <row r="372" spans="1:2" x14ac:dyDescent="0.4">
      <c r="A372" s="2">
        <v>43292</v>
      </c>
      <c r="B372" s="3">
        <v>5.0393999999999997</v>
      </c>
    </row>
    <row r="373" spans="1:2" x14ac:dyDescent="0.4">
      <c r="A373" s="2">
        <v>43293</v>
      </c>
      <c r="B373" s="3">
        <v>5.0595999999999997</v>
      </c>
    </row>
    <row r="374" spans="1:2" x14ac:dyDescent="0.4">
      <c r="A374" s="2">
        <v>43294</v>
      </c>
      <c r="B374" s="3">
        <v>5.0683999999999996</v>
      </c>
    </row>
    <row r="375" spans="1:2" x14ac:dyDescent="0.4">
      <c r="A375" s="2">
        <v>43297</v>
      </c>
      <c r="B375" s="3">
        <v>5.0773999999999999</v>
      </c>
    </row>
    <row r="376" spans="1:2" x14ac:dyDescent="0.4">
      <c r="A376" s="2">
        <v>43298</v>
      </c>
      <c r="B376" s="3">
        <v>5.0865</v>
      </c>
    </row>
    <row r="377" spans="1:2" x14ac:dyDescent="0.4">
      <c r="A377" s="2">
        <v>43299</v>
      </c>
      <c r="B377" s="3">
        <v>5.0702999999999996</v>
      </c>
    </row>
    <row r="378" spans="1:2" x14ac:dyDescent="0.4">
      <c r="A378" s="2">
        <v>43300</v>
      </c>
      <c r="B378" s="3">
        <v>5.0940000000000003</v>
      </c>
    </row>
    <row r="379" spans="1:2" x14ac:dyDescent="0.4">
      <c r="A379" s="2">
        <v>43301</v>
      </c>
      <c r="B379" s="3">
        <v>5.1024000000000003</v>
      </c>
    </row>
    <row r="380" spans="1:2" x14ac:dyDescent="0.4">
      <c r="A380" s="2">
        <v>43304</v>
      </c>
      <c r="B380" s="3">
        <v>5.1515000000000004</v>
      </c>
    </row>
    <row r="381" spans="1:2" x14ac:dyDescent="0.4">
      <c r="A381" s="2">
        <v>43305</v>
      </c>
      <c r="B381" s="3">
        <v>5.1553000000000004</v>
      </c>
    </row>
    <row r="382" spans="1:2" x14ac:dyDescent="0.4">
      <c r="A382" s="2">
        <v>43306</v>
      </c>
      <c r="B382" s="3">
        <v>5.1753999999999998</v>
      </c>
    </row>
    <row r="383" spans="1:2" x14ac:dyDescent="0.4">
      <c r="A383" s="2">
        <v>43307</v>
      </c>
      <c r="B383" s="3">
        <v>5.1898999999999997</v>
      </c>
    </row>
    <row r="384" spans="1:2" x14ac:dyDescent="0.4">
      <c r="A384" s="2">
        <v>43308</v>
      </c>
      <c r="B384" s="3">
        <v>5.1994999999999996</v>
      </c>
    </row>
    <row r="385" spans="1:2" x14ac:dyDescent="0.4">
      <c r="A385" s="2">
        <v>43311</v>
      </c>
      <c r="B385" s="3">
        <v>5.2191000000000001</v>
      </c>
    </row>
    <row r="386" spans="1:2" x14ac:dyDescent="0.4">
      <c r="A386" s="2">
        <v>43312</v>
      </c>
      <c r="B386" s="3">
        <v>5.2328999999999999</v>
      </c>
    </row>
    <row r="387" spans="1:2" x14ac:dyDescent="0.4">
      <c r="A387" s="2">
        <v>43313</v>
      </c>
      <c r="B387" s="3">
        <v>5.2491000000000003</v>
      </c>
    </row>
    <row r="388" spans="1:2" x14ac:dyDescent="0.4">
      <c r="A388" s="2">
        <v>43314</v>
      </c>
      <c r="B388" s="3">
        <v>5.2275</v>
      </c>
    </row>
    <row r="389" spans="1:2" x14ac:dyDescent="0.4">
      <c r="A389" s="2">
        <v>43315</v>
      </c>
      <c r="B389" s="3">
        <v>5.2530000000000001</v>
      </c>
    </row>
    <row r="390" spans="1:2" x14ac:dyDescent="0.4">
      <c r="A390" s="2">
        <v>43318</v>
      </c>
      <c r="B390" s="3">
        <v>5.2697000000000003</v>
      </c>
    </row>
    <row r="391" spans="1:2" x14ac:dyDescent="0.4">
      <c r="A391" s="2">
        <v>43319</v>
      </c>
      <c r="B391" s="3">
        <v>5.2653999999999996</v>
      </c>
    </row>
    <row r="392" spans="1:2" x14ac:dyDescent="0.4">
      <c r="A392" s="2">
        <v>43320</v>
      </c>
      <c r="B392" s="3">
        <v>5.2328000000000001</v>
      </c>
    </row>
    <row r="393" spans="1:2" x14ac:dyDescent="0.4">
      <c r="A393" s="2">
        <v>43321</v>
      </c>
      <c r="B393" s="3">
        <v>5.2480000000000002</v>
      </c>
    </row>
    <row r="394" spans="1:2" x14ac:dyDescent="0.4">
      <c r="A394" s="2">
        <v>43322</v>
      </c>
      <c r="B394" s="3">
        <v>5.2439999999999998</v>
      </c>
    </row>
    <row r="395" spans="1:2" x14ac:dyDescent="0.4">
      <c r="A395" s="2">
        <v>43325</v>
      </c>
      <c r="B395" s="3">
        <v>5.2256999999999998</v>
      </c>
    </row>
    <row r="396" spans="1:2" x14ac:dyDescent="0.4">
      <c r="A396" s="2">
        <v>43326</v>
      </c>
      <c r="B396" s="3">
        <v>5.2371999999999996</v>
      </c>
    </row>
    <row r="397" spans="1:2" x14ac:dyDescent="0.4">
      <c r="A397" s="2">
        <v>43327</v>
      </c>
      <c r="B397" s="3">
        <v>5.2781000000000002</v>
      </c>
    </row>
    <row r="398" spans="1:2" x14ac:dyDescent="0.4">
      <c r="A398" s="2">
        <v>43328</v>
      </c>
      <c r="B398" s="3">
        <v>5.2534000000000001</v>
      </c>
    </row>
    <row r="399" spans="1:2" x14ac:dyDescent="0.4">
      <c r="A399" s="2">
        <v>43329</v>
      </c>
      <c r="B399" s="3">
        <v>5.2424999999999997</v>
      </c>
    </row>
    <row r="400" spans="1:2" x14ac:dyDescent="0.4">
      <c r="A400" s="2">
        <v>43332</v>
      </c>
      <c r="B400" s="3">
        <v>5.2648000000000001</v>
      </c>
    </row>
    <row r="401" spans="1:2" x14ac:dyDescent="0.4">
      <c r="A401" s="2">
        <v>43333</v>
      </c>
      <c r="B401" s="3">
        <v>5.2439</v>
      </c>
    </row>
    <row r="402" spans="1:2" x14ac:dyDescent="0.4">
      <c r="A402" s="2">
        <v>43334</v>
      </c>
      <c r="B402" s="3">
        <v>5.2389000000000001</v>
      </c>
    </row>
    <row r="403" spans="1:2" x14ac:dyDescent="0.4">
      <c r="A403" s="2">
        <v>43335</v>
      </c>
      <c r="B403" s="3">
        <v>5.26</v>
      </c>
    </row>
    <row r="404" spans="1:2" x14ac:dyDescent="0.4">
      <c r="A404" s="2">
        <v>43336</v>
      </c>
      <c r="B404" s="3">
        <v>5.2533000000000003</v>
      </c>
    </row>
    <row r="405" spans="1:2" x14ac:dyDescent="0.4">
      <c r="A405" s="2">
        <v>43339</v>
      </c>
      <c r="B405" s="3">
        <v>5.2687999999999997</v>
      </c>
    </row>
    <row r="406" spans="1:2" x14ac:dyDescent="0.4">
      <c r="A406" s="2">
        <v>43340</v>
      </c>
      <c r="B406" s="3">
        <v>5.2514000000000003</v>
      </c>
    </row>
    <row r="407" spans="1:2" x14ac:dyDescent="0.4">
      <c r="A407" s="2">
        <v>43341</v>
      </c>
      <c r="B407" s="3">
        <v>5.2655000000000003</v>
      </c>
    </row>
    <row r="408" spans="1:2" x14ac:dyDescent="0.4">
      <c r="A408" s="2">
        <v>43342</v>
      </c>
      <c r="B408" s="3">
        <v>5.2792000000000003</v>
      </c>
    </row>
    <row r="409" spans="1:2" x14ac:dyDescent="0.4">
      <c r="A409" s="2">
        <v>43343</v>
      </c>
      <c r="B409" s="3">
        <v>5.2596999999999996</v>
      </c>
    </row>
    <row r="410" spans="1:2" x14ac:dyDescent="0.4">
      <c r="A410" s="2">
        <v>43346</v>
      </c>
      <c r="B410" s="3">
        <v>5.2363999999999997</v>
      </c>
    </row>
    <row r="411" spans="1:2" x14ac:dyDescent="0.4">
      <c r="A411" s="2">
        <v>43347</v>
      </c>
      <c r="B411" s="3">
        <v>5.2076000000000002</v>
      </c>
    </row>
    <row r="412" spans="1:2" x14ac:dyDescent="0.4">
      <c r="A412" s="2">
        <v>43348</v>
      </c>
      <c r="B412" s="3">
        <v>5.1821999999999999</v>
      </c>
    </row>
    <row r="413" spans="1:2" x14ac:dyDescent="0.4">
      <c r="A413" s="2">
        <v>43349</v>
      </c>
      <c r="B413" s="3">
        <v>5.1792999999999996</v>
      </c>
    </row>
    <row r="414" spans="1:2" x14ac:dyDescent="0.4">
      <c r="A414" s="2">
        <v>43350</v>
      </c>
      <c r="B414" s="3">
        <v>5.1886000000000001</v>
      </c>
    </row>
    <row r="415" spans="1:2" x14ac:dyDescent="0.4">
      <c r="A415" s="2">
        <v>43353</v>
      </c>
      <c r="B415" s="3">
        <v>5.1947000000000001</v>
      </c>
    </row>
    <row r="416" spans="1:2" x14ac:dyDescent="0.4">
      <c r="A416" s="2">
        <v>43354</v>
      </c>
      <c r="B416" s="3">
        <v>5.2042999999999999</v>
      </c>
    </row>
    <row r="417" spans="1:2" x14ac:dyDescent="0.4">
      <c r="A417" s="2">
        <v>43355</v>
      </c>
      <c r="B417" s="3">
        <v>5.2507999999999999</v>
      </c>
    </row>
    <row r="418" spans="1:2" x14ac:dyDescent="0.4">
      <c r="A418" s="2">
        <v>43356</v>
      </c>
      <c r="B418" s="3">
        <v>5.2705000000000002</v>
      </c>
    </row>
    <row r="419" spans="1:2" x14ac:dyDescent="0.4">
      <c r="A419" s="2">
        <v>43357</v>
      </c>
      <c r="B419" s="3">
        <v>5.2592999999999996</v>
      </c>
    </row>
    <row r="420" spans="1:2" x14ac:dyDescent="0.4">
      <c r="A420" s="2">
        <v>43360</v>
      </c>
      <c r="B420" s="3">
        <v>5.2560000000000002</v>
      </c>
    </row>
    <row r="421" spans="1:2" x14ac:dyDescent="0.4">
      <c r="A421" s="2">
        <v>43361</v>
      </c>
      <c r="B421" s="3">
        <v>5.2496</v>
      </c>
    </row>
    <row r="422" spans="1:2" x14ac:dyDescent="0.4">
      <c r="A422" s="2">
        <v>43362</v>
      </c>
      <c r="B422" s="3">
        <v>5.2862</v>
      </c>
    </row>
    <row r="423" spans="1:2" x14ac:dyDescent="0.4">
      <c r="A423" s="2">
        <v>43363</v>
      </c>
      <c r="B423" s="3">
        <v>5.3049999999999997</v>
      </c>
    </row>
    <row r="424" spans="1:2" x14ac:dyDescent="0.4">
      <c r="A424" s="2">
        <v>43364</v>
      </c>
      <c r="B424" s="3">
        <v>5.2976000000000001</v>
      </c>
    </row>
    <row r="425" spans="1:2" x14ac:dyDescent="0.4">
      <c r="A425" s="2">
        <v>43368</v>
      </c>
      <c r="B425" s="3">
        <v>5.2873000000000001</v>
      </c>
    </row>
    <row r="426" spans="1:2" x14ac:dyDescent="0.4">
      <c r="A426" s="2">
        <v>43369</v>
      </c>
      <c r="B426" s="3">
        <v>5.2933000000000003</v>
      </c>
    </row>
    <row r="427" spans="1:2" x14ac:dyDescent="0.4">
      <c r="A427" s="2">
        <v>43370</v>
      </c>
      <c r="B427" s="3">
        <v>5.2664999999999997</v>
      </c>
    </row>
    <row r="428" spans="1:2" x14ac:dyDescent="0.4">
      <c r="A428" s="2">
        <v>43371</v>
      </c>
      <c r="B428" s="3">
        <v>5.2812000000000001</v>
      </c>
    </row>
    <row r="429" spans="1:2" x14ac:dyDescent="0.4">
      <c r="A429" s="2">
        <v>43381</v>
      </c>
      <c r="B429" s="3">
        <v>5.3331999999999997</v>
      </c>
    </row>
    <row r="430" spans="1:2" x14ac:dyDescent="0.4">
      <c r="A430" s="2">
        <v>43382</v>
      </c>
      <c r="B430" s="3">
        <v>5.3261000000000003</v>
      </c>
    </row>
    <row r="431" spans="1:2" x14ac:dyDescent="0.4">
      <c r="A431" s="2">
        <v>43383</v>
      </c>
      <c r="B431" s="3">
        <v>5.3361000000000001</v>
      </c>
    </row>
    <row r="432" spans="1:2" x14ac:dyDescent="0.4">
      <c r="A432" s="2">
        <v>43384</v>
      </c>
      <c r="B432" s="3">
        <v>5.2930999999999999</v>
      </c>
    </row>
    <row r="433" spans="1:2" x14ac:dyDescent="0.4">
      <c r="A433" s="2">
        <v>43385</v>
      </c>
      <c r="B433" s="3">
        <v>5.3015999999999996</v>
      </c>
    </row>
    <row r="434" spans="1:2" x14ac:dyDescent="0.4">
      <c r="A434" s="2">
        <v>43388</v>
      </c>
      <c r="B434" s="3">
        <v>5.3125999999999998</v>
      </c>
    </row>
    <row r="435" spans="1:2" x14ac:dyDescent="0.4">
      <c r="A435" s="2">
        <v>43389</v>
      </c>
      <c r="B435" s="3">
        <v>5.3224</v>
      </c>
    </row>
    <row r="436" spans="1:2" x14ac:dyDescent="0.4">
      <c r="A436" s="2">
        <v>43390</v>
      </c>
      <c r="B436" s="3">
        <v>5.3434999999999997</v>
      </c>
    </row>
    <row r="437" spans="1:2" x14ac:dyDescent="0.4">
      <c r="A437" s="2">
        <v>43391</v>
      </c>
      <c r="B437" s="3">
        <v>5.3209</v>
      </c>
    </row>
    <row r="438" spans="1:2" x14ac:dyDescent="0.4">
      <c r="A438" s="2">
        <v>43392</v>
      </c>
      <c r="B438" s="3">
        <v>5.3098999999999998</v>
      </c>
    </row>
    <row r="439" spans="1:2" x14ac:dyDescent="0.4">
      <c r="A439" s="2">
        <v>43395</v>
      </c>
      <c r="B439" s="3">
        <v>5.2824</v>
      </c>
    </row>
    <row r="440" spans="1:2" x14ac:dyDescent="0.4">
      <c r="A440" s="2">
        <v>43396</v>
      </c>
      <c r="B440" s="3">
        <v>5.298</v>
      </c>
    </row>
    <row r="441" spans="1:2" x14ac:dyDescent="0.4">
      <c r="A441" s="2">
        <v>43397</v>
      </c>
      <c r="B441" s="3">
        <v>5.3017000000000003</v>
      </c>
    </row>
    <row r="442" spans="1:2" x14ac:dyDescent="0.4">
      <c r="A442" s="2">
        <v>43398</v>
      </c>
      <c r="B442" s="3">
        <v>5.3242000000000003</v>
      </c>
    </row>
    <row r="443" spans="1:2" x14ac:dyDescent="0.4">
      <c r="A443" s="2">
        <v>43399</v>
      </c>
      <c r="B443" s="3">
        <v>5.3175999999999997</v>
      </c>
    </row>
    <row r="444" spans="1:2" x14ac:dyDescent="0.4">
      <c r="A444" s="2">
        <v>43402</v>
      </c>
      <c r="B444" s="3">
        <v>5.2987000000000002</v>
      </c>
    </row>
    <row r="445" spans="1:2" x14ac:dyDescent="0.4">
      <c r="A445" s="2">
        <v>43403</v>
      </c>
      <c r="B445" s="3">
        <v>5.3003</v>
      </c>
    </row>
    <row r="446" spans="1:2" x14ac:dyDescent="0.4">
      <c r="A446" s="2">
        <v>43404</v>
      </c>
      <c r="B446" s="3">
        <v>5.3106</v>
      </c>
    </row>
    <row r="447" spans="1:2" x14ac:dyDescent="0.4">
      <c r="A447" s="2">
        <v>43405</v>
      </c>
      <c r="B447" s="3">
        <v>5.2998000000000003</v>
      </c>
    </row>
    <row r="448" spans="1:2" x14ac:dyDescent="0.4">
      <c r="A448" s="2">
        <v>43406</v>
      </c>
      <c r="B448" s="3">
        <v>5.3009000000000004</v>
      </c>
    </row>
    <row r="449" spans="1:2" x14ac:dyDescent="0.4">
      <c r="A449" s="2">
        <v>43409</v>
      </c>
      <c r="B449" s="3">
        <v>5.2659000000000002</v>
      </c>
    </row>
    <row r="450" spans="1:2" x14ac:dyDescent="0.4">
      <c r="A450" s="2">
        <v>43410</v>
      </c>
      <c r="B450" s="3">
        <v>5.2686000000000002</v>
      </c>
    </row>
    <row r="451" spans="1:2" x14ac:dyDescent="0.4">
      <c r="A451" s="2">
        <v>43411</v>
      </c>
      <c r="B451" s="3">
        <v>5.2641999999999998</v>
      </c>
    </row>
    <row r="452" spans="1:2" x14ac:dyDescent="0.4">
      <c r="A452" s="2">
        <v>43412</v>
      </c>
      <c r="B452" s="3">
        <v>5.2729999999999997</v>
      </c>
    </row>
    <row r="453" spans="1:2" x14ac:dyDescent="0.4">
      <c r="A453" s="2">
        <v>43413</v>
      </c>
      <c r="B453" s="3">
        <v>5.2765000000000004</v>
      </c>
    </row>
    <row r="454" spans="1:2" x14ac:dyDescent="0.4">
      <c r="A454" s="2">
        <v>43416</v>
      </c>
      <c r="B454" s="3">
        <v>5.266</v>
      </c>
    </row>
    <row r="455" spans="1:2" x14ac:dyDescent="0.4">
      <c r="A455" s="2">
        <v>43417</v>
      </c>
      <c r="B455" s="3">
        <v>5.2619999999999996</v>
      </c>
    </row>
    <row r="456" spans="1:2" x14ac:dyDescent="0.4">
      <c r="A456" s="2">
        <v>43418</v>
      </c>
      <c r="B456" s="3">
        <v>5.2478999999999996</v>
      </c>
    </row>
    <row r="457" spans="1:2" x14ac:dyDescent="0.4">
      <c r="A457" s="2">
        <v>43419</v>
      </c>
      <c r="B457" s="3">
        <v>5.2411000000000003</v>
      </c>
    </row>
    <row r="458" spans="1:2" x14ac:dyDescent="0.4">
      <c r="A458" s="2">
        <v>43420</v>
      </c>
      <c r="B458" s="3">
        <v>5.2652999999999999</v>
      </c>
    </row>
    <row r="459" spans="1:2" x14ac:dyDescent="0.4">
      <c r="A459" s="2">
        <v>43423</v>
      </c>
      <c r="B459" s="3">
        <v>5.2686999999999999</v>
      </c>
    </row>
    <row r="460" spans="1:2" x14ac:dyDescent="0.4">
      <c r="A460" s="2">
        <v>43424</v>
      </c>
      <c r="B460" s="3">
        <v>5.2594000000000003</v>
      </c>
    </row>
    <row r="461" spans="1:2" x14ac:dyDescent="0.4">
      <c r="A461" s="2">
        <v>43425</v>
      </c>
      <c r="B461" s="3">
        <v>5.2240000000000002</v>
      </c>
    </row>
    <row r="462" spans="1:2" x14ac:dyDescent="0.4">
      <c r="A462" s="2">
        <v>43426</v>
      </c>
      <c r="B462" s="3">
        <v>5.2465999999999999</v>
      </c>
    </row>
    <row r="463" spans="1:2" x14ac:dyDescent="0.4">
      <c r="A463" s="2">
        <v>43427</v>
      </c>
      <c r="B463" s="3">
        <v>5.2563000000000004</v>
      </c>
    </row>
    <row r="464" spans="1:2" x14ac:dyDescent="0.4">
      <c r="A464" s="2">
        <v>43430</v>
      </c>
      <c r="B464" s="3">
        <v>5.2541000000000002</v>
      </c>
    </row>
    <row r="465" spans="1:2" x14ac:dyDescent="0.4">
      <c r="A465" s="2">
        <v>43431</v>
      </c>
      <c r="B465" s="3">
        <v>5.2427000000000001</v>
      </c>
    </row>
    <row r="466" spans="1:2" x14ac:dyDescent="0.4">
      <c r="A466" s="2">
        <v>43432</v>
      </c>
      <c r="B466" s="3">
        <v>5.2291999999999996</v>
      </c>
    </row>
    <row r="467" spans="1:2" x14ac:dyDescent="0.4">
      <c r="A467" s="2">
        <v>43433</v>
      </c>
      <c r="B467" s="3">
        <v>5.2249999999999996</v>
      </c>
    </row>
    <row r="468" spans="1:2" x14ac:dyDescent="0.4">
      <c r="A468" s="2">
        <v>43434</v>
      </c>
      <c r="B468" s="3">
        <v>5.2220000000000004</v>
      </c>
    </row>
    <row r="469" spans="1:2" x14ac:dyDescent="0.4">
      <c r="A469" s="2">
        <v>43437</v>
      </c>
      <c r="B469" s="3">
        <v>5.2397999999999998</v>
      </c>
    </row>
    <row r="470" spans="1:2" x14ac:dyDescent="0.4">
      <c r="A470" s="2">
        <v>43438</v>
      </c>
      <c r="B470" s="3">
        <v>5.2233000000000001</v>
      </c>
    </row>
    <row r="471" spans="1:2" x14ac:dyDescent="0.4">
      <c r="A471" s="2">
        <v>43439</v>
      </c>
      <c r="B471" s="3">
        <v>5.1647999999999996</v>
      </c>
    </row>
    <row r="472" spans="1:2" x14ac:dyDescent="0.4">
      <c r="A472" s="2">
        <v>43440</v>
      </c>
      <c r="B472" s="3">
        <v>5.1337000000000002</v>
      </c>
    </row>
    <row r="473" spans="1:2" x14ac:dyDescent="0.4">
      <c r="A473" s="2">
        <v>43441</v>
      </c>
      <c r="B473" s="3">
        <v>5.1269</v>
      </c>
    </row>
    <row r="474" spans="1:2" x14ac:dyDescent="0.4">
      <c r="A474" s="2">
        <v>43444</v>
      </c>
      <c r="B474" s="3">
        <v>5.157</v>
      </c>
    </row>
    <row r="475" spans="1:2" x14ac:dyDescent="0.4">
      <c r="A475" s="2">
        <v>43445</v>
      </c>
      <c r="B475" s="3">
        <v>5.1555999999999997</v>
      </c>
    </row>
    <row r="476" spans="1:2" x14ac:dyDescent="0.4">
      <c r="A476" s="2">
        <v>43446</v>
      </c>
      <c r="B476" s="3">
        <v>5.1612</v>
      </c>
    </row>
    <row r="477" spans="1:2" x14ac:dyDescent="0.4">
      <c r="A477" s="2">
        <v>43447</v>
      </c>
      <c r="B477" s="3">
        <v>5.1517999999999997</v>
      </c>
    </row>
    <row r="478" spans="1:2" x14ac:dyDescent="0.4">
      <c r="A478" s="2">
        <v>43448</v>
      </c>
      <c r="B478" s="3">
        <v>5.1498999999999997</v>
      </c>
    </row>
    <row r="479" spans="1:2" x14ac:dyDescent="0.4">
      <c r="A479" s="2">
        <v>43451</v>
      </c>
      <c r="B479" s="3">
        <v>5.1509</v>
      </c>
    </row>
    <row r="480" spans="1:2" x14ac:dyDescent="0.4">
      <c r="A480" s="2">
        <v>43452</v>
      </c>
      <c r="B480" s="3">
        <v>5.1336000000000004</v>
      </c>
    </row>
    <row r="481" spans="1:2" x14ac:dyDescent="0.4">
      <c r="A481" s="2">
        <v>43453</v>
      </c>
      <c r="B481" s="3">
        <v>5.1186999999999996</v>
      </c>
    </row>
    <row r="482" spans="1:2" x14ac:dyDescent="0.4">
      <c r="A482" s="2">
        <v>43454</v>
      </c>
      <c r="B482" s="3">
        <v>5.1154999999999999</v>
      </c>
    </row>
    <row r="483" spans="1:2" x14ac:dyDescent="0.4">
      <c r="A483" s="2">
        <v>43455</v>
      </c>
      <c r="B483" s="3">
        <v>5.0991</v>
      </c>
    </row>
    <row r="484" spans="1:2" x14ac:dyDescent="0.4">
      <c r="A484" s="2">
        <v>43458</v>
      </c>
      <c r="B484" s="3">
        <v>5.08</v>
      </c>
    </row>
    <row r="485" spans="1:2" x14ac:dyDescent="0.4">
      <c r="A485" s="2">
        <v>43459</v>
      </c>
      <c r="B485" s="3">
        <v>5.0658000000000003</v>
      </c>
    </row>
    <row r="486" spans="1:2" x14ac:dyDescent="0.4">
      <c r="A486" s="2">
        <v>43460</v>
      </c>
      <c r="B486" s="3">
        <v>5.0632999999999999</v>
      </c>
    </row>
    <row r="487" spans="1:2" x14ac:dyDescent="0.4">
      <c r="A487" s="2">
        <v>43461</v>
      </c>
      <c r="B487" s="3">
        <v>5.0761000000000003</v>
      </c>
    </row>
    <row r="488" spans="1:2" x14ac:dyDescent="0.4">
      <c r="A488" s="2">
        <v>43462</v>
      </c>
      <c r="B488" s="3">
        <v>5.0381</v>
      </c>
    </row>
    <row r="489" spans="1:2" x14ac:dyDescent="0.4">
      <c r="A489" s="2">
        <v>43467</v>
      </c>
      <c r="B489" s="3">
        <v>5.0256999999999996</v>
      </c>
    </row>
    <row r="490" spans="1:2" x14ac:dyDescent="0.4">
      <c r="A490" s="2">
        <v>43468</v>
      </c>
      <c r="B490" s="3">
        <v>5.0305</v>
      </c>
    </row>
    <row r="491" spans="1:2" x14ac:dyDescent="0.4">
      <c r="A491" s="2">
        <v>43469</v>
      </c>
      <c r="B491" s="3">
        <v>5.0896999999999997</v>
      </c>
    </row>
    <row r="492" spans="1:2" x14ac:dyDescent="0.4">
      <c r="A492" s="2">
        <v>43472</v>
      </c>
      <c r="B492" s="3">
        <v>5.1238000000000001</v>
      </c>
    </row>
    <row r="493" spans="1:2" x14ac:dyDescent="0.4">
      <c r="A493" s="2">
        <v>43473</v>
      </c>
      <c r="B493" s="3">
        <v>5.1455000000000002</v>
      </c>
    </row>
    <row r="494" spans="1:2" x14ac:dyDescent="0.4">
      <c r="A494" s="2">
        <v>43474</v>
      </c>
      <c r="B494" s="3">
        <v>5.1649000000000003</v>
      </c>
    </row>
    <row r="495" spans="1:2" x14ac:dyDescent="0.4">
      <c r="A495" s="2">
        <v>43475</v>
      </c>
      <c r="B495" s="3">
        <v>5.1592000000000002</v>
      </c>
    </row>
    <row r="496" spans="1:2" x14ac:dyDescent="0.4">
      <c r="A496" s="2">
        <v>43476</v>
      </c>
      <c r="B496" s="3">
        <v>5.1284000000000001</v>
      </c>
    </row>
    <row r="497" spans="1:2" x14ac:dyDescent="0.4">
      <c r="A497" s="2">
        <v>43479</v>
      </c>
      <c r="B497" s="3">
        <v>5.0918000000000001</v>
      </c>
    </row>
    <row r="498" spans="1:2" x14ac:dyDescent="0.4">
      <c r="A498" s="2">
        <v>43480</v>
      </c>
      <c r="B498" s="3">
        <v>5.0869</v>
      </c>
    </row>
    <row r="499" spans="1:2" x14ac:dyDescent="0.4">
      <c r="A499" s="2">
        <v>43481</v>
      </c>
      <c r="B499" s="3">
        <v>5.0971000000000002</v>
      </c>
    </row>
    <row r="500" spans="1:2" x14ac:dyDescent="0.4">
      <c r="A500" s="2">
        <v>43482</v>
      </c>
      <c r="B500" s="3">
        <v>5.0991999999999997</v>
      </c>
    </row>
    <row r="501" spans="1:2" x14ac:dyDescent="0.4">
      <c r="A501" s="2">
        <v>43483</v>
      </c>
      <c r="B501" s="3">
        <v>5.0953999999999997</v>
      </c>
    </row>
    <row r="502" spans="1:2" x14ac:dyDescent="0.4">
      <c r="A502" s="2">
        <v>43486</v>
      </c>
      <c r="B502" s="3">
        <v>5.1073000000000004</v>
      </c>
    </row>
    <row r="503" spans="1:2" x14ac:dyDescent="0.4">
      <c r="A503" s="2">
        <v>43487</v>
      </c>
      <c r="B503" s="3">
        <v>5.1032000000000002</v>
      </c>
    </row>
    <row r="504" spans="1:2" x14ac:dyDescent="0.4">
      <c r="A504" s="2">
        <v>43488</v>
      </c>
      <c r="B504" s="3">
        <v>5.0895000000000001</v>
      </c>
    </row>
    <row r="505" spans="1:2" x14ac:dyDescent="0.4">
      <c r="A505" s="2">
        <v>43489</v>
      </c>
      <c r="B505" s="3">
        <v>5.0819999999999999</v>
      </c>
    </row>
    <row r="506" spans="1:2" x14ac:dyDescent="0.4">
      <c r="A506" s="2">
        <v>43490</v>
      </c>
      <c r="B506" s="3">
        <v>5.0865999999999998</v>
      </c>
    </row>
    <row r="507" spans="1:2" x14ac:dyDescent="0.4">
      <c r="A507" s="2">
        <v>43493</v>
      </c>
      <c r="B507" s="3">
        <v>5.1054000000000004</v>
      </c>
    </row>
    <row r="508" spans="1:2" x14ac:dyDescent="0.4">
      <c r="A508" s="2">
        <v>43494</v>
      </c>
      <c r="B508" s="3">
        <v>5.0789999999999997</v>
      </c>
    </row>
    <row r="509" spans="1:2" x14ac:dyDescent="0.4">
      <c r="A509" s="2">
        <v>43495</v>
      </c>
      <c r="B509" s="3">
        <v>5.0743</v>
      </c>
    </row>
    <row r="510" spans="1:2" x14ac:dyDescent="0.4">
      <c r="A510" s="2">
        <v>43496</v>
      </c>
      <c r="B510" s="3">
        <v>5.0972</v>
      </c>
    </row>
    <row r="511" spans="1:2" x14ac:dyDescent="0.4">
      <c r="A511" s="2">
        <v>43497</v>
      </c>
      <c r="B511" s="3">
        <v>5.1093999999999999</v>
      </c>
    </row>
    <row r="512" spans="1:2" x14ac:dyDescent="0.4">
      <c r="A512" s="2">
        <v>43507</v>
      </c>
      <c r="B512" s="3">
        <v>5.0838999999999999</v>
      </c>
    </row>
    <row r="513" spans="1:2" x14ac:dyDescent="0.4">
      <c r="A513" s="2">
        <v>43508</v>
      </c>
      <c r="B513" s="3">
        <v>5.0946999999999996</v>
      </c>
    </row>
    <row r="514" spans="1:2" x14ac:dyDescent="0.4">
      <c r="A514" s="2">
        <v>43509</v>
      </c>
      <c r="B514" s="3">
        <v>5.1166999999999998</v>
      </c>
    </row>
    <row r="515" spans="1:2" x14ac:dyDescent="0.4">
      <c r="A515" s="2">
        <v>43510</v>
      </c>
      <c r="B515" s="3">
        <v>5.1086</v>
      </c>
    </row>
    <row r="516" spans="1:2" x14ac:dyDescent="0.4">
      <c r="A516" s="2">
        <v>43511</v>
      </c>
      <c r="B516" s="3">
        <v>5.0869</v>
      </c>
    </row>
    <row r="517" spans="1:2" x14ac:dyDescent="0.4">
      <c r="A517" s="2">
        <v>43514</v>
      </c>
      <c r="B517" s="3">
        <v>5.1082999999999998</v>
      </c>
    </row>
    <row r="518" spans="1:2" x14ac:dyDescent="0.4">
      <c r="A518" s="2">
        <v>43515</v>
      </c>
      <c r="B518" s="3">
        <v>5.1100000000000003</v>
      </c>
    </row>
    <row r="519" spans="1:2" x14ac:dyDescent="0.4">
      <c r="A519" s="2">
        <v>43516</v>
      </c>
      <c r="B519" s="3">
        <v>5.1146000000000003</v>
      </c>
    </row>
    <row r="520" spans="1:2" x14ac:dyDescent="0.4">
      <c r="A520" s="2">
        <v>43517</v>
      </c>
      <c r="B520" s="3">
        <v>5.1029999999999998</v>
      </c>
    </row>
    <row r="521" spans="1:2" x14ac:dyDescent="0.4">
      <c r="A521" s="2">
        <v>43518</v>
      </c>
      <c r="B521" s="3">
        <v>5.0744999999999996</v>
      </c>
    </row>
    <row r="522" spans="1:2" x14ac:dyDescent="0.4">
      <c r="A522" s="2">
        <v>43521</v>
      </c>
      <c r="B522" s="3">
        <v>5.1116999999999999</v>
      </c>
    </row>
    <row r="523" spans="1:2" x14ac:dyDescent="0.4">
      <c r="A523" s="2">
        <v>43522</v>
      </c>
      <c r="B523" s="3">
        <v>5.077</v>
      </c>
    </row>
    <row r="524" spans="1:2" x14ac:dyDescent="0.4">
      <c r="A524" s="2">
        <v>43523</v>
      </c>
      <c r="B524" s="3">
        <v>5.0781000000000001</v>
      </c>
    </row>
    <row r="525" spans="1:2" x14ac:dyDescent="0.4">
      <c r="A525" s="2">
        <v>43524</v>
      </c>
      <c r="B525" s="3">
        <v>5.0881999999999996</v>
      </c>
    </row>
    <row r="526" spans="1:2" x14ac:dyDescent="0.4">
      <c r="A526" s="2">
        <v>43525</v>
      </c>
      <c r="B526" s="3">
        <v>5.0853000000000002</v>
      </c>
    </row>
    <row r="527" spans="1:2" x14ac:dyDescent="0.4">
      <c r="A527" s="2">
        <v>43528</v>
      </c>
      <c r="B527" s="3">
        <v>5.0480999999999998</v>
      </c>
    </row>
    <row r="528" spans="1:2" x14ac:dyDescent="0.4">
      <c r="A528" s="2">
        <v>43529</v>
      </c>
      <c r="B528" s="3">
        <v>5.0332999999999997</v>
      </c>
    </row>
    <row r="529" spans="1:2" x14ac:dyDescent="0.4">
      <c r="A529" s="2">
        <v>43530</v>
      </c>
      <c r="B529" s="3">
        <v>5.0209999999999999</v>
      </c>
    </row>
    <row r="530" spans="1:2" x14ac:dyDescent="0.4">
      <c r="A530" s="2">
        <v>43531</v>
      </c>
      <c r="B530" s="3">
        <v>4.9927000000000001</v>
      </c>
    </row>
    <row r="531" spans="1:2" x14ac:dyDescent="0.4">
      <c r="A531" s="2">
        <v>43532</v>
      </c>
      <c r="B531" s="3">
        <v>5.0007999999999999</v>
      </c>
    </row>
    <row r="532" spans="1:2" x14ac:dyDescent="0.4">
      <c r="A532" s="2">
        <v>43535</v>
      </c>
      <c r="B532" s="3">
        <v>5.0084</v>
      </c>
    </row>
    <row r="533" spans="1:2" x14ac:dyDescent="0.4">
      <c r="A533" s="2">
        <v>43536</v>
      </c>
      <c r="B533" s="3">
        <v>5.0122999999999998</v>
      </c>
    </row>
    <row r="534" spans="1:2" x14ac:dyDescent="0.4">
      <c r="A534" s="2">
        <v>43537</v>
      </c>
      <c r="B534" s="3">
        <v>5.0248999999999997</v>
      </c>
    </row>
    <row r="535" spans="1:2" x14ac:dyDescent="0.4">
      <c r="A535" s="2">
        <v>43538</v>
      </c>
      <c r="B535" s="3">
        <v>5.0399000000000003</v>
      </c>
    </row>
    <row r="536" spans="1:2" x14ac:dyDescent="0.4">
      <c r="A536" s="2">
        <v>43539</v>
      </c>
      <c r="B536" s="3">
        <v>5.0407999999999999</v>
      </c>
    </row>
    <row r="537" spans="1:2" x14ac:dyDescent="0.4">
      <c r="A537" s="2">
        <v>43542</v>
      </c>
      <c r="B537" s="3">
        <v>5.0282999999999998</v>
      </c>
    </row>
    <row r="538" spans="1:2" x14ac:dyDescent="0.4">
      <c r="A538" s="2">
        <v>43543</v>
      </c>
      <c r="B538" s="3">
        <v>5.0269000000000004</v>
      </c>
    </row>
    <row r="539" spans="1:2" x14ac:dyDescent="0.4">
      <c r="A539" s="2">
        <v>43544</v>
      </c>
      <c r="B539" s="3">
        <v>5.0362999999999998</v>
      </c>
    </row>
    <row r="540" spans="1:2" x14ac:dyDescent="0.4">
      <c r="A540" s="2">
        <v>43545</v>
      </c>
      <c r="B540" s="3">
        <v>5.0273000000000003</v>
      </c>
    </row>
    <row r="541" spans="1:2" x14ac:dyDescent="0.4">
      <c r="A541" s="2">
        <v>43546</v>
      </c>
      <c r="B541" s="3">
        <v>5.0091000000000001</v>
      </c>
    </row>
    <row r="542" spans="1:2" x14ac:dyDescent="0.4">
      <c r="A542" s="2">
        <v>43549</v>
      </c>
      <c r="B542" s="3">
        <v>4.9969999999999999</v>
      </c>
    </row>
    <row r="543" spans="1:2" x14ac:dyDescent="0.4">
      <c r="A543" s="2">
        <v>43550</v>
      </c>
      <c r="B543" s="3">
        <v>5.0035999999999996</v>
      </c>
    </row>
    <row r="544" spans="1:2" x14ac:dyDescent="0.4">
      <c r="A544" s="2">
        <v>43551</v>
      </c>
      <c r="B544" s="3">
        <v>5.0183</v>
      </c>
    </row>
    <row r="545" spans="1:2" x14ac:dyDescent="0.4">
      <c r="A545" s="2">
        <v>43552</v>
      </c>
      <c r="B545" s="3">
        <v>5.0143000000000004</v>
      </c>
    </row>
    <row r="546" spans="1:2" x14ac:dyDescent="0.4">
      <c r="A546" s="2">
        <v>43553</v>
      </c>
      <c r="B546" s="3">
        <v>5.0126999999999997</v>
      </c>
    </row>
    <row r="547" spans="1:2" x14ac:dyDescent="0.4">
      <c r="A547" s="2">
        <v>43556</v>
      </c>
      <c r="B547" s="3">
        <v>5.0327000000000002</v>
      </c>
    </row>
    <row r="548" spans="1:2" x14ac:dyDescent="0.4">
      <c r="A548" s="2">
        <v>43557</v>
      </c>
      <c r="B548" s="3">
        <v>5.0449999999999999</v>
      </c>
    </row>
    <row r="549" spans="1:2" x14ac:dyDescent="0.4">
      <c r="A549" s="2">
        <v>43558</v>
      </c>
      <c r="B549" s="3">
        <v>5.0362999999999998</v>
      </c>
    </row>
    <row r="550" spans="1:2" x14ac:dyDescent="0.4">
      <c r="A550" s="2">
        <v>43559</v>
      </c>
      <c r="B550" s="3">
        <v>5.0262000000000002</v>
      </c>
    </row>
    <row r="551" spans="1:2" x14ac:dyDescent="0.4">
      <c r="A551" s="2">
        <v>43563</v>
      </c>
      <c r="B551" s="3">
        <v>5.0246000000000004</v>
      </c>
    </row>
    <row r="552" spans="1:2" x14ac:dyDescent="0.4">
      <c r="A552" s="2">
        <v>43564</v>
      </c>
      <c r="B552" s="3">
        <v>5.0438000000000001</v>
      </c>
    </row>
    <row r="553" spans="1:2" x14ac:dyDescent="0.4">
      <c r="A553" s="2">
        <v>43565</v>
      </c>
      <c r="B553" s="3">
        <v>5.0350000000000001</v>
      </c>
    </row>
    <row r="554" spans="1:2" x14ac:dyDescent="0.4">
      <c r="A554" s="2">
        <v>43566</v>
      </c>
      <c r="B554" s="3">
        <v>5.0354999999999999</v>
      </c>
    </row>
    <row r="555" spans="1:2" x14ac:dyDescent="0.4">
      <c r="A555" s="2">
        <v>43567</v>
      </c>
      <c r="B555" s="3">
        <v>5.0263999999999998</v>
      </c>
    </row>
    <row r="556" spans="1:2" x14ac:dyDescent="0.4">
      <c r="A556" s="2">
        <v>43570</v>
      </c>
      <c r="B556" s="3">
        <v>5.0343999999999998</v>
      </c>
    </row>
    <row r="557" spans="1:2" x14ac:dyDescent="0.4">
      <c r="A557" s="2">
        <v>43571</v>
      </c>
      <c r="B557" s="3">
        <v>5.0175999999999998</v>
      </c>
    </row>
    <row r="558" spans="1:2" x14ac:dyDescent="0.4">
      <c r="A558" s="2">
        <v>43572</v>
      </c>
      <c r="B558" s="3">
        <v>5.0236000000000001</v>
      </c>
    </row>
    <row r="559" spans="1:2" x14ac:dyDescent="0.4">
      <c r="A559" s="2">
        <v>43573</v>
      </c>
      <c r="B559" s="3">
        <v>5.0119999999999996</v>
      </c>
    </row>
    <row r="560" spans="1:2" x14ac:dyDescent="0.4">
      <c r="A560" s="2">
        <v>43574</v>
      </c>
      <c r="B560" s="3">
        <v>5.0111999999999997</v>
      </c>
    </row>
    <row r="561" spans="1:2" x14ac:dyDescent="0.4">
      <c r="A561" s="2">
        <v>43577</v>
      </c>
      <c r="B561" s="3">
        <v>5.0103999999999997</v>
      </c>
    </row>
    <row r="562" spans="1:2" x14ac:dyDescent="0.4">
      <c r="A562" s="2">
        <v>43578</v>
      </c>
      <c r="B562" s="3">
        <v>5.0266000000000002</v>
      </c>
    </row>
    <row r="563" spans="1:2" x14ac:dyDescent="0.4">
      <c r="A563" s="2">
        <v>43579</v>
      </c>
      <c r="B563" s="3">
        <v>5.0046999999999997</v>
      </c>
    </row>
    <row r="564" spans="1:2" x14ac:dyDescent="0.4">
      <c r="A564" s="2">
        <v>43580</v>
      </c>
      <c r="B564" s="3">
        <v>4.9871999999999996</v>
      </c>
    </row>
    <row r="565" spans="1:2" x14ac:dyDescent="0.4">
      <c r="A565" s="2">
        <v>43581</v>
      </c>
      <c r="B565" s="3">
        <v>4.9969999999999999</v>
      </c>
    </row>
    <row r="566" spans="1:2" x14ac:dyDescent="0.4">
      <c r="A566" s="2">
        <v>43584</v>
      </c>
      <c r="B566" s="3">
        <v>5.0011000000000001</v>
      </c>
    </row>
    <row r="567" spans="1:2" x14ac:dyDescent="0.4">
      <c r="A567" s="2">
        <v>43585</v>
      </c>
      <c r="B567" s="3">
        <v>5.0012999999999996</v>
      </c>
    </row>
    <row r="568" spans="1:2" x14ac:dyDescent="0.4">
      <c r="A568" s="2">
        <v>43591</v>
      </c>
      <c r="B568" s="3">
        <v>5.0019</v>
      </c>
    </row>
    <row r="569" spans="1:2" x14ac:dyDescent="0.4">
      <c r="A569" s="2">
        <v>43592</v>
      </c>
      <c r="B569" s="3">
        <v>5.0199999999999996</v>
      </c>
    </row>
    <row r="570" spans="1:2" x14ac:dyDescent="0.4">
      <c r="A570" s="2">
        <v>43593</v>
      </c>
      <c r="B570" s="3">
        <v>5.0179</v>
      </c>
    </row>
    <row r="571" spans="1:2" x14ac:dyDescent="0.4">
      <c r="A571" s="2">
        <v>43594</v>
      </c>
      <c r="B571" s="3">
        <v>5.0231000000000003</v>
      </c>
    </row>
    <row r="572" spans="1:2" x14ac:dyDescent="0.4">
      <c r="A572" s="2">
        <v>43595</v>
      </c>
      <c r="B572" s="3">
        <v>5.0437000000000003</v>
      </c>
    </row>
    <row r="573" spans="1:2" x14ac:dyDescent="0.4">
      <c r="A573" s="2">
        <v>43598</v>
      </c>
      <c r="B573" s="3">
        <v>5.0583</v>
      </c>
    </row>
    <row r="574" spans="1:2" x14ac:dyDescent="0.4">
      <c r="A574" s="2">
        <v>43599</v>
      </c>
      <c r="B574" s="3">
        <v>5.0721999999999996</v>
      </c>
    </row>
    <row r="575" spans="1:2" x14ac:dyDescent="0.4">
      <c r="A575" s="2">
        <v>43600</v>
      </c>
      <c r="B575" s="3">
        <v>5.1005000000000003</v>
      </c>
    </row>
    <row r="576" spans="1:2" x14ac:dyDescent="0.4">
      <c r="A576" s="2">
        <v>43601</v>
      </c>
      <c r="B576" s="3">
        <v>5.1109</v>
      </c>
    </row>
    <row r="577" spans="1:2" x14ac:dyDescent="0.4">
      <c r="A577" s="2">
        <v>43602</v>
      </c>
      <c r="B577" s="3">
        <v>5.1154000000000002</v>
      </c>
    </row>
    <row r="578" spans="1:2" x14ac:dyDescent="0.4">
      <c r="A578" s="2">
        <v>43605</v>
      </c>
      <c r="B578" s="3">
        <v>5.1351000000000004</v>
      </c>
    </row>
    <row r="579" spans="1:2" x14ac:dyDescent="0.4">
      <c r="A579" s="2">
        <v>43606</v>
      </c>
      <c r="B579" s="3">
        <v>5.1429999999999998</v>
      </c>
    </row>
    <row r="580" spans="1:2" x14ac:dyDescent="0.4">
      <c r="A580" s="2">
        <v>43607</v>
      </c>
      <c r="B580" s="3">
        <v>5.1555999999999997</v>
      </c>
    </row>
    <row r="581" spans="1:2" x14ac:dyDescent="0.4">
      <c r="A581" s="2">
        <v>43608</v>
      </c>
      <c r="B581" s="3">
        <v>5.1379999999999999</v>
      </c>
    </row>
    <row r="582" spans="1:2" x14ac:dyDescent="0.4">
      <c r="A582" s="2">
        <v>43609</v>
      </c>
      <c r="B582" s="3">
        <v>5.1200999999999999</v>
      </c>
    </row>
    <row r="583" spans="1:2" x14ac:dyDescent="0.4">
      <c r="A583" s="2">
        <v>43612</v>
      </c>
      <c r="B583" s="3">
        <v>5.1306000000000003</v>
      </c>
    </row>
    <row r="584" spans="1:2" x14ac:dyDescent="0.4">
      <c r="A584" s="2">
        <v>43613</v>
      </c>
      <c r="B584" s="3">
        <v>5.1319999999999997</v>
      </c>
    </row>
    <row r="585" spans="1:2" x14ac:dyDescent="0.4">
      <c r="A585" s="2">
        <v>43614</v>
      </c>
      <c r="B585" s="3">
        <v>5.1223999999999998</v>
      </c>
    </row>
    <row r="586" spans="1:2" x14ac:dyDescent="0.4">
      <c r="A586" s="2">
        <v>43615</v>
      </c>
      <c r="B586" s="3">
        <v>5.1135000000000002</v>
      </c>
    </row>
    <row r="587" spans="1:2" x14ac:dyDescent="0.4">
      <c r="A587" s="2">
        <v>43616</v>
      </c>
      <c r="B587" s="3">
        <v>5.1136999999999997</v>
      </c>
    </row>
    <row r="588" spans="1:2" x14ac:dyDescent="0.4">
      <c r="A588" s="2">
        <v>43619</v>
      </c>
      <c r="B588" s="3">
        <v>5.0957999999999997</v>
      </c>
    </row>
    <row r="589" spans="1:2" x14ac:dyDescent="0.4">
      <c r="A589" s="2">
        <v>43620</v>
      </c>
      <c r="B589" s="3">
        <v>5.1199000000000003</v>
      </c>
    </row>
    <row r="590" spans="1:2" x14ac:dyDescent="0.4">
      <c r="A590" s="2">
        <v>43621</v>
      </c>
      <c r="B590" s="3">
        <v>5.1490999999999998</v>
      </c>
    </row>
    <row r="591" spans="1:2" x14ac:dyDescent="0.4">
      <c r="A591" s="2">
        <v>43622</v>
      </c>
      <c r="B591" s="3">
        <v>5.1448</v>
      </c>
    </row>
    <row r="592" spans="1:2" x14ac:dyDescent="0.4">
      <c r="A592" s="2">
        <v>43626</v>
      </c>
      <c r="B592" s="3">
        <v>5.194</v>
      </c>
    </row>
    <row r="593" spans="1:2" x14ac:dyDescent="0.4">
      <c r="A593" s="2">
        <v>43627</v>
      </c>
      <c r="B593" s="3">
        <v>5.2102000000000004</v>
      </c>
    </row>
    <row r="594" spans="1:2" x14ac:dyDescent="0.4">
      <c r="A594" s="2">
        <v>43628</v>
      </c>
      <c r="B594" s="3">
        <v>5.1943999999999999</v>
      </c>
    </row>
    <row r="595" spans="1:2" x14ac:dyDescent="0.4">
      <c r="A595" s="2">
        <v>43629</v>
      </c>
      <c r="B595" s="3">
        <v>5.1839000000000004</v>
      </c>
    </row>
    <row r="596" spans="1:2" x14ac:dyDescent="0.4">
      <c r="A596" s="2">
        <v>43630</v>
      </c>
      <c r="B596" s="3">
        <v>5.1840999999999999</v>
      </c>
    </row>
    <row r="597" spans="1:2" x14ac:dyDescent="0.4">
      <c r="A597" s="2">
        <v>43633</v>
      </c>
      <c r="B597" s="3">
        <v>5.1593</v>
      </c>
    </row>
    <row r="598" spans="1:2" x14ac:dyDescent="0.4">
      <c r="A598" s="2">
        <v>43634</v>
      </c>
      <c r="B598" s="3">
        <v>5.1532999999999998</v>
      </c>
    </row>
    <row r="599" spans="1:2" x14ac:dyDescent="0.4">
      <c r="A599" s="2">
        <v>43635</v>
      </c>
      <c r="B599" s="3">
        <v>5.1638999999999999</v>
      </c>
    </row>
    <row r="600" spans="1:2" x14ac:dyDescent="0.4">
      <c r="A600" s="2">
        <v>43636</v>
      </c>
      <c r="B600" s="3">
        <v>5.1858000000000004</v>
      </c>
    </row>
    <row r="601" spans="1:2" x14ac:dyDescent="0.4">
      <c r="A601" s="2">
        <v>43637</v>
      </c>
      <c r="B601" s="3">
        <v>5.1929999999999996</v>
      </c>
    </row>
    <row r="602" spans="1:2" x14ac:dyDescent="0.4">
      <c r="A602" s="2">
        <v>43640</v>
      </c>
      <c r="B602" s="3">
        <v>5.1868999999999996</v>
      </c>
    </row>
    <row r="603" spans="1:2" x14ac:dyDescent="0.4">
      <c r="A603" s="2">
        <v>43641</v>
      </c>
      <c r="B603" s="3">
        <v>5.2037000000000004</v>
      </c>
    </row>
    <row r="604" spans="1:2" x14ac:dyDescent="0.4">
      <c r="A604" s="2">
        <v>43642</v>
      </c>
      <c r="B604" s="3">
        <v>5.2164999999999999</v>
      </c>
    </row>
    <row r="605" spans="1:2" x14ac:dyDescent="0.4">
      <c r="A605" s="2">
        <v>43643</v>
      </c>
      <c r="B605" s="3">
        <v>5.2404000000000002</v>
      </c>
    </row>
    <row r="606" spans="1:2" x14ac:dyDescent="0.4">
      <c r="A606" s="2">
        <v>43644</v>
      </c>
      <c r="B606" s="3">
        <v>5.2489999999999997</v>
      </c>
    </row>
    <row r="607" spans="1:2" x14ac:dyDescent="0.4">
      <c r="A607" s="2">
        <v>43647</v>
      </c>
      <c r="B607" s="3">
        <v>5.2511000000000001</v>
      </c>
    </row>
    <row r="608" spans="1:2" x14ac:dyDescent="0.4">
      <c r="A608" s="2">
        <v>43648</v>
      </c>
      <c r="B608" s="3">
        <v>5.2168999999999999</v>
      </c>
    </row>
    <row r="609" spans="1:2" x14ac:dyDescent="0.4">
      <c r="A609" s="2">
        <v>43649</v>
      </c>
      <c r="B609" s="3">
        <v>5.2389999999999999</v>
      </c>
    </row>
    <row r="610" spans="1:2" x14ac:dyDescent="0.4">
      <c r="A610" s="2">
        <v>43650</v>
      </c>
      <c r="B610" s="3">
        <v>5.2615999999999996</v>
      </c>
    </row>
    <row r="611" spans="1:2" x14ac:dyDescent="0.4">
      <c r="A611" s="2">
        <v>43651</v>
      </c>
      <c r="B611" s="3">
        <v>5.2648000000000001</v>
      </c>
    </row>
    <row r="612" spans="1:2" x14ac:dyDescent="0.4">
      <c r="A612" s="2">
        <v>43654</v>
      </c>
      <c r="B612" s="3">
        <v>5.2691999999999997</v>
      </c>
    </row>
    <row r="613" spans="1:2" x14ac:dyDescent="0.4">
      <c r="A613" s="2">
        <v>43655</v>
      </c>
      <c r="B613" s="3">
        <v>5.2556000000000003</v>
      </c>
    </row>
    <row r="614" spans="1:2" x14ac:dyDescent="0.4">
      <c r="A614" s="2">
        <v>43656</v>
      </c>
      <c r="B614" s="3">
        <v>5.2454999999999998</v>
      </c>
    </row>
    <row r="615" spans="1:2" x14ac:dyDescent="0.4">
      <c r="A615" s="2">
        <v>43657</v>
      </c>
      <c r="B615" s="3">
        <v>5.2522000000000002</v>
      </c>
    </row>
    <row r="616" spans="1:2" x14ac:dyDescent="0.4">
      <c r="A616" s="2">
        <v>43658</v>
      </c>
      <c r="B616" s="3">
        <v>5.2561999999999998</v>
      </c>
    </row>
    <row r="617" spans="1:2" x14ac:dyDescent="0.4">
      <c r="A617" s="2">
        <v>43661</v>
      </c>
      <c r="B617" s="3">
        <v>5.2690999999999999</v>
      </c>
    </row>
    <row r="618" spans="1:2" x14ac:dyDescent="0.4">
      <c r="A618" s="2">
        <v>43662</v>
      </c>
      <c r="B618" s="3">
        <v>5.2668999999999997</v>
      </c>
    </row>
    <row r="619" spans="1:2" x14ac:dyDescent="0.4">
      <c r="A619" s="2">
        <v>43663</v>
      </c>
      <c r="B619" s="3">
        <v>5.2601000000000004</v>
      </c>
    </row>
    <row r="620" spans="1:2" x14ac:dyDescent="0.4">
      <c r="A620" s="2">
        <v>43664</v>
      </c>
      <c r="B620" s="3">
        <v>5.2664999999999997</v>
      </c>
    </row>
    <row r="621" spans="1:2" x14ac:dyDescent="0.4">
      <c r="A621" s="2">
        <v>43665</v>
      </c>
      <c r="B621" s="3">
        <v>5.2643000000000004</v>
      </c>
    </row>
    <row r="622" spans="1:2" x14ac:dyDescent="0.4">
      <c r="A622" s="2">
        <v>43668</v>
      </c>
      <c r="B622" s="3">
        <v>5.2675000000000001</v>
      </c>
    </row>
    <row r="623" spans="1:2" x14ac:dyDescent="0.4">
      <c r="A623" s="2">
        <v>43669</v>
      </c>
      <c r="B623" s="3">
        <v>5.2439</v>
      </c>
    </row>
    <row r="624" spans="1:2" x14ac:dyDescent="0.4">
      <c r="A624" s="2">
        <v>43670</v>
      </c>
      <c r="B624" s="3">
        <v>5.2417999999999996</v>
      </c>
    </row>
    <row r="625" spans="1:2" x14ac:dyDescent="0.4">
      <c r="A625" s="2">
        <v>43671</v>
      </c>
      <c r="B625" s="3">
        <v>5.2305000000000001</v>
      </c>
    </row>
    <row r="626" spans="1:2" x14ac:dyDescent="0.4">
      <c r="A626" s="2">
        <v>43672</v>
      </c>
      <c r="B626" s="3">
        <v>5.2282000000000002</v>
      </c>
    </row>
    <row r="627" spans="1:2" x14ac:dyDescent="0.4">
      <c r="A627" s="2">
        <v>43675</v>
      </c>
      <c r="B627" s="3">
        <v>5.2262000000000004</v>
      </c>
    </row>
    <row r="628" spans="1:2" x14ac:dyDescent="0.4">
      <c r="A628" s="2">
        <v>43676</v>
      </c>
      <c r="B628" s="3">
        <v>5.2328000000000001</v>
      </c>
    </row>
    <row r="629" spans="1:2" x14ac:dyDescent="0.4">
      <c r="A629" s="2">
        <v>43677</v>
      </c>
      <c r="B629" s="3">
        <v>5.2350000000000003</v>
      </c>
    </row>
    <row r="630" spans="1:2" x14ac:dyDescent="0.4">
      <c r="A630" s="2">
        <v>43678</v>
      </c>
      <c r="B630" s="3">
        <v>5.2290999999999999</v>
      </c>
    </row>
    <row r="631" spans="1:2" x14ac:dyDescent="0.4">
      <c r="A631" s="2">
        <v>43679</v>
      </c>
      <c r="B631" s="3">
        <v>5.2153999999999998</v>
      </c>
    </row>
    <row r="632" spans="1:2" x14ac:dyDescent="0.4">
      <c r="A632" s="2">
        <v>43682</v>
      </c>
      <c r="B632" s="3">
        <v>5.2403000000000004</v>
      </c>
    </row>
    <row r="633" spans="1:2" x14ac:dyDescent="0.4">
      <c r="A633" s="2">
        <v>43683</v>
      </c>
      <c r="B633" s="3">
        <v>5.2728000000000002</v>
      </c>
    </row>
    <row r="634" spans="1:2" x14ac:dyDescent="0.4">
      <c r="A634" s="2">
        <v>43684</v>
      </c>
      <c r="B634" s="3">
        <v>5.2723000000000004</v>
      </c>
    </row>
    <row r="635" spans="1:2" x14ac:dyDescent="0.4">
      <c r="A635" s="2">
        <v>43685</v>
      </c>
      <c r="B635" s="3">
        <v>5.2760999999999996</v>
      </c>
    </row>
    <row r="636" spans="1:2" x14ac:dyDescent="0.4">
      <c r="A636" s="2">
        <v>43686</v>
      </c>
      <c r="B636" s="3">
        <v>5.3056999999999999</v>
      </c>
    </row>
    <row r="637" spans="1:2" x14ac:dyDescent="0.4">
      <c r="A637" s="2">
        <v>43689</v>
      </c>
      <c r="B637" s="3">
        <v>5.32</v>
      </c>
    </row>
    <row r="638" spans="1:2" x14ac:dyDescent="0.4">
      <c r="A638" s="2">
        <v>43690</v>
      </c>
      <c r="B638" s="3">
        <v>5.3196000000000003</v>
      </c>
    </row>
    <row r="639" spans="1:2" x14ac:dyDescent="0.4">
      <c r="A639" s="2">
        <v>43691</v>
      </c>
      <c r="B639" s="3">
        <v>5.3371000000000004</v>
      </c>
    </row>
    <row r="640" spans="1:2" x14ac:dyDescent="0.4">
      <c r="A640" s="2">
        <v>43692</v>
      </c>
      <c r="B640" s="3">
        <v>5.2762000000000002</v>
      </c>
    </row>
    <row r="641" spans="1:2" x14ac:dyDescent="0.4">
      <c r="A641" s="2">
        <v>43693</v>
      </c>
      <c r="B641" s="3">
        <v>5.2805</v>
      </c>
    </row>
    <row r="642" spans="1:2" x14ac:dyDescent="0.4">
      <c r="A642" s="2">
        <v>43696</v>
      </c>
      <c r="B642" s="3">
        <v>5.3053999999999997</v>
      </c>
    </row>
    <row r="643" spans="1:2" x14ac:dyDescent="0.4">
      <c r="A643" s="2">
        <v>43697</v>
      </c>
      <c r="B643" s="3">
        <v>5.2876000000000003</v>
      </c>
    </row>
    <row r="644" spans="1:2" x14ac:dyDescent="0.4">
      <c r="A644" s="2">
        <v>43698</v>
      </c>
      <c r="B644" s="3">
        <v>5.29</v>
      </c>
    </row>
    <row r="645" spans="1:2" x14ac:dyDescent="0.4">
      <c r="A645" s="2">
        <v>43699</v>
      </c>
      <c r="B645" s="3">
        <v>5.3074000000000003</v>
      </c>
    </row>
    <row r="646" spans="1:2" x14ac:dyDescent="0.4">
      <c r="A646" s="2">
        <v>43700</v>
      </c>
      <c r="B646" s="3">
        <v>5.3160999999999996</v>
      </c>
    </row>
    <row r="647" spans="1:2" x14ac:dyDescent="0.4">
      <c r="A647" s="2">
        <v>43703</v>
      </c>
      <c r="B647" s="3">
        <v>5.3007999999999997</v>
      </c>
    </row>
    <row r="648" spans="1:2" x14ac:dyDescent="0.4">
      <c r="A648" s="2">
        <v>43704</v>
      </c>
      <c r="B648" s="3">
        <v>5.3655999999999997</v>
      </c>
    </row>
    <row r="649" spans="1:2" x14ac:dyDescent="0.4">
      <c r="A649" s="2">
        <v>43705</v>
      </c>
      <c r="B649" s="3">
        <v>5.3601999999999999</v>
      </c>
    </row>
    <row r="650" spans="1:2" x14ac:dyDescent="0.4">
      <c r="A650" s="2">
        <v>43706</v>
      </c>
      <c r="B650" s="3">
        <v>5.3563999999999998</v>
      </c>
    </row>
    <row r="651" spans="1:2" x14ac:dyDescent="0.4">
      <c r="A651" s="2">
        <v>43707</v>
      </c>
      <c r="B651" s="3">
        <v>5.3615000000000004</v>
      </c>
    </row>
    <row r="652" spans="1:2" x14ac:dyDescent="0.4">
      <c r="A652" s="2">
        <v>43710</v>
      </c>
      <c r="B652" s="3">
        <v>5.3456999999999999</v>
      </c>
    </row>
    <row r="653" spans="1:2" x14ac:dyDescent="0.4">
      <c r="A653" s="2">
        <v>43711</v>
      </c>
      <c r="B653" s="3">
        <v>5.3506</v>
      </c>
    </row>
    <row r="654" spans="1:2" x14ac:dyDescent="0.4">
      <c r="A654" s="2">
        <v>43712</v>
      </c>
      <c r="B654" s="3">
        <v>5.3409000000000004</v>
      </c>
    </row>
    <row r="655" spans="1:2" x14ac:dyDescent="0.4">
      <c r="A655" s="2">
        <v>43713</v>
      </c>
      <c r="B655" s="3">
        <v>5.3701999999999996</v>
      </c>
    </row>
    <row r="656" spans="1:2" x14ac:dyDescent="0.4">
      <c r="A656" s="2">
        <v>43714</v>
      </c>
      <c r="B656" s="3">
        <v>5.3789999999999996</v>
      </c>
    </row>
    <row r="657" spans="1:2" x14ac:dyDescent="0.4">
      <c r="A657" s="2">
        <v>43717</v>
      </c>
      <c r="B657" s="3">
        <v>5.3922999999999996</v>
      </c>
    </row>
    <row r="658" spans="1:2" x14ac:dyDescent="0.4">
      <c r="A658" s="2">
        <v>43718</v>
      </c>
      <c r="B658" s="3">
        <v>5.3933999999999997</v>
      </c>
    </row>
    <row r="659" spans="1:2" x14ac:dyDescent="0.4">
      <c r="A659" s="2">
        <v>43719</v>
      </c>
      <c r="B659" s="3">
        <v>5.3966000000000003</v>
      </c>
    </row>
    <row r="660" spans="1:2" x14ac:dyDescent="0.4">
      <c r="A660" s="2">
        <v>43720</v>
      </c>
      <c r="B660" s="3">
        <v>5.3855000000000004</v>
      </c>
    </row>
    <row r="661" spans="1:2" x14ac:dyDescent="0.4">
      <c r="A661" s="2">
        <v>43724</v>
      </c>
      <c r="B661" s="3">
        <v>5.3464</v>
      </c>
    </row>
    <row r="662" spans="1:2" x14ac:dyDescent="0.4">
      <c r="A662" s="2">
        <v>43725</v>
      </c>
      <c r="B662" s="3">
        <v>5.3419999999999996</v>
      </c>
    </row>
    <row r="663" spans="1:2" x14ac:dyDescent="0.4">
      <c r="A663" s="2">
        <v>43726</v>
      </c>
      <c r="B663" s="3">
        <v>5.3415999999999997</v>
      </c>
    </row>
    <row r="664" spans="1:2" x14ac:dyDescent="0.4">
      <c r="A664" s="2">
        <v>43727</v>
      </c>
      <c r="B664" s="3">
        <v>5.3296999999999999</v>
      </c>
    </row>
    <row r="665" spans="1:2" x14ac:dyDescent="0.4">
      <c r="A665" s="2">
        <v>43728</v>
      </c>
      <c r="B665" s="3">
        <v>5.3428000000000004</v>
      </c>
    </row>
    <row r="666" spans="1:2" x14ac:dyDescent="0.4">
      <c r="A666" s="2">
        <v>43731</v>
      </c>
      <c r="B666" s="3">
        <v>5.3383000000000003</v>
      </c>
    </row>
    <row r="667" spans="1:2" x14ac:dyDescent="0.4">
      <c r="A667" s="2">
        <v>43732</v>
      </c>
      <c r="B667" s="3">
        <v>5.3547000000000002</v>
      </c>
    </row>
    <row r="668" spans="1:2" x14ac:dyDescent="0.4">
      <c r="A668" s="2">
        <v>43733</v>
      </c>
      <c r="B668" s="3">
        <v>5.3476999999999997</v>
      </c>
    </row>
    <row r="669" spans="1:2" x14ac:dyDescent="0.4">
      <c r="A669" s="2">
        <v>43734</v>
      </c>
      <c r="B669" s="3">
        <v>5.3620999999999999</v>
      </c>
    </row>
    <row r="670" spans="1:2" x14ac:dyDescent="0.4">
      <c r="A670" s="2">
        <v>43735</v>
      </c>
      <c r="B670" s="3">
        <v>5.3543000000000003</v>
      </c>
    </row>
    <row r="671" spans="1:2" x14ac:dyDescent="0.4">
      <c r="A671" s="2">
        <v>43738</v>
      </c>
      <c r="B671" s="3">
        <v>5.3586</v>
      </c>
    </row>
    <row r="672" spans="1:2" x14ac:dyDescent="0.4">
      <c r="A672" s="2">
        <v>43746</v>
      </c>
      <c r="B672" s="3">
        <v>5.3341000000000003</v>
      </c>
    </row>
    <row r="673" spans="1:2" x14ac:dyDescent="0.4">
      <c r="A673" s="2">
        <v>43747</v>
      </c>
      <c r="B673" s="3">
        <v>5.3303000000000003</v>
      </c>
    </row>
    <row r="674" spans="1:2" x14ac:dyDescent="0.4">
      <c r="A674" s="2">
        <v>43748</v>
      </c>
      <c r="B674" s="3">
        <v>5.3224999999999998</v>
      </c>
    </row>
    <row r="675" spans="1:2" x14ac:dyDescent="0.4">
      <c r="A675" s="2">
        <v>43749</v>
      </c>
      <c r="B675" s="3">
        <v>5.3339999999999996</v>
      </c>
    </row>
    <row r="676" spans="1:2" x14ac:dyDescent="0.4">
      <c r="A676" s="2">
        <v>43752</v>
      </c>
      <c r="B676" s="3">
        <v>5.3605999999999998</v>
      </c>
    </row>
    <row r="677" spans="1:2" x14ac:dyDescent="0.4">
      <c r="A677" s="2">
        <v>43753</v>
      </c>
      <c r="B677" s="3">
        <v>5.3414999999999999</v>
      </c>
    </row>
    <row r="678" spans="1:2" x14ac:dyDescent="0.4">
      <c r="A678" s="2">
        <v>43754</v>
      </c>
      <c r="B678" s="3">
        <v>5.3586999999999998</v>
      </c>
    </row>
    <row r="679" spans="1:2" x14ac:dyDescent="0.4">
      <c r="A679" s="2">
        <v>43755</v>
      </c>
      <c r="B679" s="3">
        <v>5.3621999999999996</v>
      </c>
    </row>
    <row r="680" spans="1:2" x14ac:dyDescent="0.4">
      <c r="A680" s="2">
        <v>43756</v>
      </c>
      <c r="B680" s="3">
        <v>5.3803000000000001</v>
      </c>
    </row>
    <row r="681" spans="1:2" x14ac:dyDescent="0.4">
      <c r="A681" s="2">
        <v>43759</v>
      </c>
      <c r="B681" s="3">
        <v>5.3815999999999997</v>
      </c>
    </row>
    <row r="682" spans="1:2" x14ac:dyDescent="0.4">
      <c r="A682" s="2">
        <v>43760</v>
      </c>
      <c r="B682" s="3">
        <v>5.4006999999999996</v>
      </c>
    </row>
    <row r="683" spans="1:2" x14ac:dyDescent="0.4">
      <c r="A683" s="2">
        <v>43761</v>
      </c>
      <c r="B683" s="3">
        <v>5.4039000000000001</v>
      </c>
    </row>
    <row r="684" spans="1:2" x14ac:dyDescent="0.4">
      <c r="A684" s="2">
        <v>43762</v>
      </c>
      <c r="B684" s="3">
        <v>5.4100999999999999</v>
      </c>
    </row>
    <row r="685" spans="1:2" x14ac:dyDescent="0.4">
      <c r="A685" s="2">
        <v>43763</v>
      </c>
      <c r="B685" s="3">
        <v>5.4130000000000003</v>
      </c>
    </row>
    <row r="686" spans="1:2" x14ac:dyDescent="0.4">
      <c r="A686" s="2">
        <v>43766</v>
      </c>
      <c r="B686" s="3">
        <v>5.4175000000000004</v>
      </c>
    </row>
    <row r="687" spans="1:2" x14ac:dyDescent="0.4">
      <c r="A687" s="2">
        <v>43767</v>
      </c>
      <c r="B687" s="3">
        <v>5.4084000000000003</v>
      </c>
    </row>
    <row r="688" spans="1:2" x14ac:dyDescent="0.4">
      <c r="A688" s="2">
        <v>43768</v>
      </c>
      <c r="B688" s="3">
        <v>5.3922999999999996</v>
      </c>
    </row>
    <row r="689" spans="1:2" x14ac:dyDescent="0.4">
      <c r="A689" s="2">
        <v>43769</v>
      </c>
      <c r="B689" s="3">
        <v>5.3586999999999998</v>
      </c>
    </row>
    <row r="690" spans="1:2" x14ac:dyDescent="0.4">
      <c r="A690" s="2">
        <v>43770</v>
      </c>
      <c r="B690" s="3">
        <v>5.3438999999999997</v>
      </c>
    </row>
    <row r="691" spans="1:2" x14ac:dyDescent="0.4">
      <c r="A691" s="2">
        <v>43773</v>
      </c>
      <c r="B691" s="3">
        <v>5.3533999999999997</v>
      </c>
    </row>
    <row r="692" spans="1:2" x14ac:dyDescent="0.4">
      <c r="A692" s="2">
        <v>43774</v>
      </c>
      <c r="B692" s="3">
        <v>5.3517999999999999</v>
      </c>
    </row>
    <row r="693" spans="1:2" x14ac:dyDescent="0.4">
      <c r="A693" s="2">
        <v>43775</v>
      </c>
      <c r="B693" s="3">
        <v>5.3288000000000002</v>
      </c>
    </row>
    <row r="694" spans="1:2" x14ac:dyDescent="0.4">
      <c r="A694" s="2">
        <v>43776</v>
      </c>
      <c r="B694" s="3">
        <v>5.3101000000000003</v>
      </c>
    </row>
    <row r="695" spans="1:2" x14ac:dyDescent="0.4">
      <c r="A695" s="2">
        <v>43777</v>
      </c>
      <c r="B695" s="3">
        <v>5.3085000000000004</v>
      </c>
    </row>
    <row r="696" spans="1:2" x14ac:dyDescent="0.4">
      <c r="A696" s="2">
        <v>43780</v>
      </c>
      <c r="B696" s="3">
        <v>5.2876000000000003</v>
      </c>
    </row>
    <row r="697" spans="1:2" x14ac:dyDescent="0.4">
      <c r="A697" s="2">
        <v>43781</v>
      </c>
      <c r="B697" s="3">
        <v>5.2872000000000003</v>
      </c>
    </row>
    <row r="698" spans="1:2" x14ac:dyDescent="0.4">
      <c r="A698" s="2">
        <v>43782</v>
      </c>
      <c r="B698" s="3">
        <v>5.2914000000000003</v>
      </c>
    </row>
    <row r="699" spans="1:2" x14ac:dyDescent="0.4">
      <c r="A699" s="2">
        <v>43783</v>
      </c>
      <c r="B699" s="3">
        <v>5.2884000000000002</v>
      </c>
    </row>
    <row r="700" spans="1:2" x14ac:dyDescent="0.4">
      <c r="A700" s="2">
        <v>43784</v>
      </c>
      <c r="B700" s="3">
        <v>5.2908999999999997</v>
      </c>
    </row>
    <row r="701" spans="1:2" x14ac:dyDescent="0.4">
      <c r="A701" s="2">
        <v>43787</v>
      </c>
      <c r="B701" s="3">
        <v>5.2968999999999999</v>
      </c>
    </row>
    <row r="702" spans="1:2" x14ac:dyDescent="0.4">
      <c r="A702" s="2">
        <v>43788</v>
      </c>
      <c r="B702" s="3">
        <v>5.3047000000000004</v>
      </c>
    </row>
    <row r="703" spans="1:2" x14ac:dyDescent="0.4">
      <c r="A703" s="2">
        <v>43789</v>
      </c>
      <c r="B703" s="3">
        <v>5.2839</v>
      </c>
    </row>
    <row r="704" spans="1:2" x14ac:dyDescent="0.4">
      <c r="A704" s="2">
        <v>43790</v>
      </c>
      <c r="B704" s="3">
        <v>5.2788000000000004</v>
      </c>
    </row>
    <row r="705" spans="1:2" x14ac:dyDescent="0.4">
      <c r="A705" s="2">
        <v>43791</v>
      </c>
      <c r="B705" s="3">
        <v>5.2957000000000001</v>
      </c>
    </row>
    <row r="706" spans="1:2" x14ac:dyDescent="0.4">
      <c r="A706" s="2">
        <v>43794</v>
      </c>
      <c r="B706" s="3">
        <v>5.2957000000000001</v>
      </c>
    </row>
    <row r="707" spans="1:2" x14ac:dyDescent="0.4">
      <c r="A707" s="2">
        <v>43795</v>
      </c>
      <c r="B707" s="3">
        <v>5.2896000000000001</v>
      </c>
    </row>
    <row r="708" spans="1:2" x14ac:dyDescent="0.4">
      <c r="A708" s="2">
        <v>43796</v>
      </c>
      <c r="B708" s="3">
        <v>5.3005000000000004</v>
      </c>
    </row>
    <row r="709" spans="1:2" x14ac:dyDescent="0.4">
      <c r="A709" s="2">
        <v>43797</v>
      </c>
      <c r="B709" s="3">
        <v>5.2887000000000004</v>
      </c>
    </row>
    <row r="710" spans="1:2" x14ac:dyDescent="0.4">
      <c r="A710" s="2">
        <v>43798</v>
      </c>
      <c r="B710" s="3">
        <v>5.2933000000000003</v>
      </c>
    </row>
    <row r="711" spans="1:2" x14ac:dyDescent="0.4">
      <c r="A711" s="2">
        <v>43801</v>
      </c>
      <c r="B711" s="3">
        <v>5.2881</v>
      </c>
    </row>
    <row r="712" spans="1:2" x14ac:dyDescent="0.4">
      <c r="A712" s="2">
        <v>43802</v>
      </c>
      <c r="B712" s="3">
        <v>5.2771999999999997</v>
      </c>
    </row>
    <row r="713" spans="1:2" x14ac:dyDescent="0.4">
      <c r="A713" s="2">
        <v>43803</v>
      </c>
      <c r="B713" s="3">
        <v>5.2884000000000002</v>
      </c>
    </row>
    <row r="714" spans="1:2" x14ac:dyDescent="0.4">
      <c r="A714" s="2">
        <v>43804</v>
      </c>
      <c r="B714" s="3">
        <v>5.3448000000000002</v>
      </c>
    </row>
    <row r="715" spans="1:2" x14ac:dyDescent="0.4">
      <c r="A715" s="2">
        <v>43805</v>
      </c>
      <c r="B715" s="3">
        <v>5.3402000000000003</v>
      </c>
    </row>
    <row r="716" spans="1:2" x14ac:dyDescent="0.4">
      <c r="A716" s="2">
        <v>43808</v>
      </c>
      <c r="B716" s="3">
        <v>5.3108000000000004</v>
      </c>
    </row>
    <row r="717" spans="1:2" x14ac:dyDescent="0.4">
      <c r="A717" s="2">
        <v>43809</v>
      </c>
      <c r="B717" s="3">
        <v>5.3179999999999996</v>
      </c>
    </row>
    <row r="718" spans="1:2" x14ac:dyDescent="0.4">
      <c r="A718" s="2">
        <v>43810</v>
      </c>
      <c r="B718" s="3">
        <v>5.3185000000000002</v>
      </c>
    </row>
    <row r="719" spans="1:2" x14ac:dyDescent="0.4">
      <c r="A719" s="2">
        <v>43811</v>
      </c>
      <c r="B719" s="3">
        <v>5.3326000000000002</v>
      </c>
    </row>
    <row r="720" spans="1:2" x14ac:dyDescent="0.4">
      <c r="A720" s="2">
        <v>43812</v>
      </c>
      <c r="B720" s="3">
        <v>5.3329000000000004</v>
      </c>
    </row>
    <row r="721" spans="1:2" x14ac:dyDescent="0.4">
      <c r="A721" s="2">
        <v>43815</v>
      </c>
      <c r="B721" s="3">
        <v>5.3040000000000003</v>
      </c>
    </row>
    <row r="722" spans="1:2" x14ac:dyDescent="0.4">
      <c r="A722" s="2">
        <v>43816</v>
      </c>
      <c r="B722" s="3">
        <v>5.3151999999999999</v>
      </c>
    </row>
    <row r="723" spans="1:2" x14ac:dyDescent="0.4">
      <c r="A723" s="2">
        <v>43817</v>
      </c>
      <c r="B723" s="3">
        <v>5.3188000000000004</v>
      </c>
    </row>
    <row r="724" spans="1:2" x14ac:dyDescent="0.4">
      <c r="A724" s="2">
        <v>43818</v>
      </c>
      <c r="B724" s="3">
        <v>5.3395000000000001</v>
      </c>
    </row>
    <row r="725" spans="1:2" x14ac:dyDescent="0.4">
      <c r="A725" s="2">
        <v>43819</v>
      </c>
      <c r="B725" s="3">
        <v>5.3352000000000004</v>
      </c>
    </row>
    <row r="726" spans="1:2" x14ac:dyDescent="0.4">
      <c r="A726" s="2">
        <v>43822</v>
      </c>
      <c r="B726" s="3">
        <v>5.3335999999999997</v>
      </c>
    </row>
    <row r="727" spans="1:2" x14ac:dyDescent="0.4">
      <c r="A727" s="2">
        <v>43823</v>
      </c>
      <c r="B727" s="3">
        <v>5.3338000000000001</v>
      </c>
    </row>
    <row r="728" spans="1:2" x14ac:dyDescent="0.4">
      <c r="A728" s="2">
        <v>43824</v>
      </c>
      <c r="B728" s="3">
        <v>5.3231999999999999</v>
      </c>
    </row>
    <row r="729" spans="1:2" x14ac:dyDescent="0.4">
      <c r="A729" s="2">
        <v>43825</v>
      </c>
      <c r="B729" s="3">
        <v>5.3068999999999997</v>
      </c>
    </row>
    <row r="730" spans="1:2" x14ac:dyDescent="0.4">
      <c r="A730" s="2">
        <v>43826</v>
      </c>
      <c r="B730" s="3">
        <v>5.33</v>
      </c>
    </row>
    <row r="731" spans="1:2" x14ac:dyDescent="0.4">
      <c r="A731" s="2">
        <v>43829</v>
      </c>
      <c r="B731" s="3">
        <v>5.3384</v>
      </c>
    </row>
    <row r="732" spans="1:2" x14ac:dyDescent="0.4">
      <c r="A732" s="2">
        <v>43830</v>
      </c>
      <c r="B732" s="3">
        <v>5.3421000000000003</v>
      </c>
    </row>
    <row r="733" spans="1:2" x14ac:dyDescent="0.4">
      <c r="A733" s="2">
        <v>43832</v>
      </c>
      <c r="B733" s="3">
        <v>5.3647</v>
      </c>
    </row>
    <row r="734" spans="1:2" x14ac:dyDescent="0.4">
      <c r="A734" s="2">
        <v>43833</v>
      </c>
      <c r="B734" s="3">
        <v>5.3670999999999998</v>
      </c>
    </row>
    <row r="735" spans="1:2" x14ac:dyDescent="0.4">
      <c r="A735" s="2">
        <v>43836</v>
      </c>
      <c r="B735" s="3">
        <v>5.3677999999999999</v>
      </c>
    </row>
    <row r="736" spans="1:2" x14ac:dyDescent="0.4">
      <c r="A736" s="2">
        <v>43837</v>
      </c>
      <c r="B736" s="3">
        <v>5.3760000000000003</v>
      </c>
    </row>
    <row r="737" spans="1:2" x14ac:dyDescent="0.4">
      <c r="A737" s="2">
        <v>43838</v>
      </c>
      <c r="B737" s="3">
        <v>5.3413000000000004</v>
      </c>
    </row>
    <row r="738" spans="1:2" x14ac:dyDescent="0.4">
      <c r="A738" s="2">
        <v>43839</v>
      </c>
      <c r="B738" s="3">
        <v>5.3285999999999998</v>
      </c>
    </row>
    <row r="739" spans="1:2" x14ac:dyDescent="0.4">
      <c r="A739" s="2">
        <v>43840</v>
      </c>
      <c r="B739" s="3">
        <v>5.3108000000000004</v>
      </c>
    </row>
    <row r="740" spans="1:2" x14ac:dyDescent="0.4">
      <c r="A740" s="2">
        <v>43843</v>
      </c>
      <c r="B740" s="3">
        <v>5.3017000000000003</v>
      </c>
    </row>
    <row r="741" spans="1:2" x14ac:dyDescent="0.4">
      <c r="A741" s="2">
        <v>43844</v>
      </c>
      <c r="B741" s="3">
        <v>5.2816999999999998</v>
      </c>
    </row>
    <row r="742" spans="1:2" x14ac:dyDescent="0.4">
      <c r="A742" s="2">
        <v>43845</v>
      </c>
      <c r="B742" s="3">
        <v>5.27</v>
      </c>
    </row>
    <row r="743" spans="1:2" x14ac:dyDescent="0.4">
      <c r="A743" s="2">
        <v>43846</v>
      </c>
      <c r="B743" s="3">
        <v>5.2759999999999998</v>
      </c>
    </row>
    <row r="744" spans="1:2" x14ac:dyDescent="0.4">
      <c r="A744" s="2">
        <v>43847</v>
      </c>
      <c r="B744" s="3">
        <v>5.2812999999999999</v>
      </c>
    </row>
    <row r="745" spans="1:2" x14ac:dyDescent="0.4">
      <c r="A745" s="2">
        <v>43850</v>
      </c>
      <c r="B745" s="3">
        <v>5.2556000000000003</v>
      </c>
    </row>
    <row r="746" spans="1:2" x14ac:dyDescent="0.4">
      <c r="A746" s="2">
        <v>43851</v>
      </c>
      <c r="B746" s="3">
        <v>5.2591000000000001</v>
      </c>
    </row>
    <row r="747" spans="1:2" x14ac:dyDescent="0.4">
      <c r="A747" s="2">
        <v>43852</v>
      </c>
      <c r="B747" s="3">
        <v>5.2660999999999998</v>
      </c>
    </row>
    <row r="748" spans="1:2" x14ac:dyDescent="0.4">
      <c r="A748" s="2">
        <v>43853</v>
      </c>
      <c r="B748" s="3">
        <v>5.2416999999999998</v>
      </c>
    </row>
    <row r="749" spans="1:2" x14ac:dyDescent="0.4">
      <c r="A749" s="2">
        <v>43864</v>
      </c>
      <c r="B749" s="3">
        <v>5.2298999999999998</v>
      </c>
    </row>
    <row r="750" spans="1:2" x14ac:dyDescent="0.4">
      <c r="A750" s="2">
        <v>43865</v>
      </c>
      <c r="B750" s="3">
        <v>5.2496999999999998</v>
      </c>
    </row>
    <row r="751" spans="1:2" x14ac:dyDescent="0.4">
      <c r="A751" s="2">
        <v>43866</v>
      </c>
      <c r="B751" s="3">
        <v>5.2582000000000004</v>
      </c>
    </row>
    <row r="752" spans="1:2" x14ac:dyDescent="0.4">
      <c r="A752" s="2">
        <v>43867</v>
      </c>
      <c r="B752" s="3">
        <v>5.2683999999999997</v>
      </c>
    </row>
    <row r="753" spans="1:2" x14ac:dyDescent="0.4">
      <c r="A753" s="2">
        <v>43868</v>
      </c>
      <c r="B753" s="3">
        <v>5.2515999999999998</v>
      </c>
    </row>
    <row r="754" spans="1:2" x14ac:dyDescent="0.4">
      <c r="A754" s="2">
        <v>43871</v>
      </c>
      <c r="B754" s="3">
        <v>5.2542</v>
      </c>
    </row>
    <row r="755" spans="1:2" x14ac:dyDescent="0.4">
      <c r="A755" s="2">
        <v>43872</v>
      </c>
      <c r="B755" s="3">
        <v>5.2481999999999998</v>
      </c>
    </row>
    <row r="756" spans="1:2" x14ac:dyDescent="0.4">
      <c r="A756" s="2">
        <v>43873</v>
      </c>
      <c r="B756" s="3">
        <v>5.2466999999999997</v>
      </c>
    </row>
    <row r="757" spans="1:2" x14ac:dyDescent="0.4">
      <c r="A757" s="2">
        <v>43874</v>
      </c>
      <c r="B757" s="3">
        <v>5.2652999999999999</v>
      </c>
    </row>
    <row r="758" spans="1:2" x14ac:dyDescent="0.4">
      <c r="A758" s="2">
        <v>43875</v>
      </c>
      <c r="B758" s="3">
        <v>5.2659000000000002</v>
      </c>
    </row>
    <row r="759" spans="1:2" x14ac:dyDescent="0.4">
      <c r="A759" s="2">
        <v>43878</v>
      </c>
      <c r="B759" s="3">
        <v>5.2693000000000003</v>
      </c>
    </row>
    <row r="760" spans="1:2" x14ac:dyDescent="0.4">
      <c r="A760" s="2">
        <v>43879</v>
      </c>
      <c r="B760" s="3">
        <v>5.2754000000000003</v>
      </c>
    </row>
    <row r="761" spans="1:2" x14ac:dyDescent="0.4">
      <c r="A761" s="2">
        <v>43880</v>
      </c>
      <c r="B761" s="3">
        <v>5.2821999999999996</v>
      </c>
    </row>
    <row r="762" spans="1:2" x14ac:dyDescent="0.4">
      <c r="A762" s="2">
        <v>43881</v>
      </c>
      <c r="B762" s="3">
        <v>5.2979000000000003</v>
      </c>
    </row>
    <row r="763" spans="1:2" x14ac:dyDescent="0.4">
      <c r="A763" s="2">
        <v>43882</v>
      </c>
      <c r="B763" s="3">
        <v>5.2961999999999998</v>
      </c>
    </row>
    <row r="764" spans="1:2" x14ac:dyDescent="0.4">
      <c r="A764" s="2">
        <v>43885</v>
      </c>
      <c r="B764" s="3">
        <v>5.3005000000000004</v>
      </c>
    </row>
    <row r="765" spans="1:2" x14ac:dyDescent="0.4">
      <c r="A765" s="2">
        <v>43886</v>
      </c>
      <c r="B765" s="3">
        <v>5.2831999999999999</v>
      </c>
    </row>
    <row r="766" spans="1:2" x14ac:dyDescent="0.4">
      <c r="A766" s="2">
        <v>43887</v>
      </c>
      <c r="B766" s="3">
        <v>5.2774999999999999</v>
      </c>
    </row>
    <row r="767" spans="1:2" x14ac:dyDescent="0.4">
      <c r="A767" s="2">
        <v>43888</v>
      </c>
      <c r="B767" s="3">
        <v>5.2633999999999999</v>
      </c>
    </row>
    <row r="768" spans="1:2" x14ac:dyDescent="0.4">
      <c r="A768" s="2">
        <v>43889</v>
      </c>
      <c r="B768" s="3">
        <v>5.2359999999999998</v>
      </c>
    </row>
    <row r="769" spans="1:2" x14ac:dyDescent="0.4">
      <c r="A769" s="2">
        <v>43892</v>
      </c>
      <c r="B769" s="3">
        <v>5.2038000000000002</v>
      </c>
    </row>
    <row r="770" spans="1:2" x14ac:dyDescent="0.4">
      <c r="A770" s="2">
        <v>43893</v>
      </c>
      <c r="B770" s="3">
        <v>5.2163000000000004</v>
      </c>
    </row>
    <row r="771" spans="1:2" x14ac:dyDescent="0.4">
      <c r="A771" s="2">
        <v>43894</v>
      </c>
      <c r="B771" s="3">
        <v>5.1948999999999996</v>
      </c>
    </row>
    <row r="772" spans="1:2" x14ac:dyDescent="0.4">
      <c r="A772" s="2">
        <v>43895</v>
      </c>
      <c r="B772" s="3">
        <v>5.1822999999999997</v>
      </c>
    </row>
    <row r="773" spans="1:2" x14ac:dyDescent="0.4">
      <c r="A773" s="2">
        <v>43896</v>
      </c>
      <c r="B773" s="3">
        <v>5.1704999999999997</v>
      </c>
    </row>
    <row r="774" spans="1:2" x14ac:dyDescent="0.4">
      <c r="A774" s="2">
        <v>43899</v>
      </c>
      <c r="B774" s="3">
        <v>5.0884</v>
      </c>
    </row>
    <row r="775" spans="1:2" x14ac:dyDescent="0.4">
      <c r="A775" s="2">
        <v>43900</v>
      </c>
      <c r="B775" s="3">
        <v>5.0823</v>
      </c>
    </row>
    <row r="776" spans="1:2" x14ac:dyDescent="0.4">
      <c r="A776" s="2">
        <v>43901</v>
      </c>
      <c r="B776" s="3">
        <v>5.0724999999999998</v>
      </c>
    </row>
    <row r="777" spans="1:2" x14ac:dyDescent="0.4">
      <c r="A777" s="2">
        <v>43902</v>
      </c>
      <c r="B777" s="3">
        <v>5.0561999999999996</v>
      </c>
    </row>
    <row r="778" spans="1:2" x14ac:dyDescent="0.4">
      <c r="A778" s="2">
        <v>43903</v>
      </c>
      <c r="B778" s="3">
        <v>5.0251000000000001</v>
      </c>
    </row>
    <row r="779" spans="1:2" x14ac:dyDescent="0.4">
      <c r="A779" s="2">
        <v>43906</v>
      </c>
      <c r="B779" s="3">
        <v>5.0594999999999999</v>
      </c>
    </row>
    <row r="780" spans="1:2" x14ac:dyDescent="0.4">
      <c r="A780" s="2">
        <v>43907</v>
      </c>
      <c r="B780" s="3">
        <v>5.0079000000000002</v>
      </c>
    </row>
    <row r="781" spans="1:2" x14ac:dyDescent="0.4">
      <c r="A781" s="2">
        <v>43908</v>
      </c>
      <c r="B781" s="3">
        <v>4.9413999999999998</v>
      </c>
    </row>
    <row r="782" spans="1:2" x14ac:dyDescent="0.4">
      <c r="A782" s="2">
        <v>43909</v>
      </c>
      <c r="B782" s="3">
        <v>4.8760000000000003</v>
      </c>
    </row>
    <row r="783" spans="1:2" x14ac:dyDescent="0.4">
      <c r="A783" s="2">
        <v>43910</v>
      </c>
      <c r="B783" s="3">
        <v>4.9005000000000001</v>
      </c>
    </row>
    <row r="784" spans="1:2" x14ac:dyDescent="0.4">
      <c r="A784" s="2">
        <v>43913</v>
      </c>
      <c r="B784" s="3">
        <v>4.9043000000000001</v>
      </c>
    </row>
    <row r="785" spans="1:2" x14ac:dyDescent="0.4">
      <c r="A785" s="2">
        <v>43914</v>
      </c>
      <c r="B785" s="3">
        <v>4.9024999999999999</v>
      </c>
    </row>
    <row r="786" spans="1:2" x14ac:dyDescent="0.4">
      <c r="A786" s="2">
        <v>43915</v>
      </c>
      <c r="B786" s="3">
        <v>4.8967999999999998</v>
      </c>
    </row>
    <row r="787" spans="1:2" x14ac:dyDescent="0.4">
      <c r="A787" s="2">
        <v>43916</v>
      </c>
      <c r="B787" s="3">
        <v>4.9706999999999999</v>
      </c>
    </row>
    <row r="788" spans="1:2" x14ac:dyDescent="0.4">
      <c r="A788" s="2">
        <v>43917</v>
      </c>
      <c r="B788" s="3">
        <v>5.0125999999999999</v>
      </c>
    </row>
    <row r="789" spans="1:2" x14ac:dyDescent="0.4">
      <c r="A789" s="2">
        <v>43920</v>
      </c>
      <c r="B789" s="3">
        <v>5.0068000000000001</v>
      </c>
    </row>
    <row r="790" spans="1:2" x14ac:dyDescent="0.4">
      <c r="A790" s="2">
        <v>43921</v>
      </c>
      <c r="B790" s="3">
        <v>4.9951999999999996</v>
      </c>
    </row>
    <row r="791" spans="1:2" x14ac:dyDescent="0.4">
      <c r="A791" s="2">
        <v>43922</v>
      </c>
      <c r="B791" s="3">
        <v>5.0278999999999998</v>
      </c>
    </row>
    <row r="792" spans="1:2" x14ac:dyDescent="0.4">
      <c r="A792" s="2">
        <v>43923</v>
      </c>
      <c r="B792" s="3">
        <v>5.0119999999999996</v>
      </c>
    </row>
    <row r="793" spans="1:2" x14ac:dyDescent="0.4">
      <c r="A793" s="2">
        <v>43924</v>
      </c>
      <c r="B793" s="3">
        <v>5.0309999999999997</v>
      </c>
    </row>
    <row r="794" spans="1:2" x14ac:dyDescent="0.4">
      <c r="A794" s="2">
        <v>43928</v>
      </c>
      <c r="B794" s="3">
        <v>5.0228000000000002</v>
      </c>
    </row>
    <row r="795" spans="1:2" x14ac:dyDescent="0.4">
      <c r="A795" s="2">
        <v>43929</v>
      </c>
      <c r="B795" s="3">
        <v>5.0336999999999996</v>
      </c>
    </row>
    <row r="796" spans="1:2" x14ac:dyDescent="0.4">
      <c r="A796" s="2">
        <v>43930</v>
      </c>
      <c r="B796" s="3">
        <v>5.0353000000000003</v>
      </c>
    </row>
    <row r="797" spans="1:2" x14ac:dyDescent="0.4">
      <c r="A797" s="2">
        <v>43931</v>
      </c>
      <c r="B797" s="3">
        <v>5.0305999999999997</v>
      </c>
    </row>
    <row r="798" spans="1:2" x14ac:dyDescent="0.4">
      <c r="A798" s="2">
        <v>43934</v>
      </c>
      <c r="B798" s="3">
        <v>5.0345000000000004</v>
      </c>
    </row>
    <row r="799" spans="1:2" x14ac:dyDescent="0.4">
      <c r="A799" s="2">
        <v>43935</v>
      </c>
      <c r="B799" s="3">
        <v>5.0717999999999996</v>
      </c>
    </row>
    <row r="800" spans="1:2" x14ac:dyDescent="0.4">
      <c r="A800" s="2">
        <v>43936</v>
      </c>
      <c r="B800" s="3">
        <v>5.0675999999999997</v>
      </c>
    </row>
    <row r="801" spans="1:2" x14ac:dyDescent="0.4">
      <c r="A801" s="2">
        <v>43937</v>
      </c>
      <c r="B801" s="3">
        <v>5.0075000000000003</v>
      </c>
    </row>
    <row r="802" spans="1:2" x14ac:dyDescent="0.4">
      <c r="A802" s="2">
        <v>43938</v>
      </c>
      <c r="B802" s="3">
        <v>5.0404999999999998</v>
      </c>
    </row>
    <row r="803" spans="1:2" x14ac:dyDescent="0.4">
      <c r="A803" s="2">
        <v>43941</v>
      </c>
      <c r="B803" s="3">
        <v>5.0305999999999997</v>
      </c>
    </row>
    <row r="804" spans="1:2" x14ac:dyDescent="0.4">
      <c r="A804" s="2">
        <v>43942</v>
      </c>
      <c r="B804" s="3">
        <v>5.0091999999999999</v>
      </c>
    </row>
    <row r="805" spans="1:2" x14ac:dyDescent="0.4">
      <c r="A805" s="2">
        <v>43943</v>
      </c>
      <c r="B805" s="3">
        <v>4.9954999999999998</v>
      </c>
    </row>
    <row r="806" spans="1:2" x14ac:dyDescent="0.4">
      <c r="A806" s="2">
        <v>43944</v>
      </c>
      <c r="B806" s="3">
        <v>5.0027999999999997</v>
      </c>
    </row>
    <row r="807" spans="1:2" x14ac:dyDescent="0.4">
      <c r="A807" s="2">
        <v>43945</v>
      </c>
      <c r="B807" s="3">
        <v>5.0340999999999996</v>
      </c>
    </row>
    <row r="808" spans="1:2" x14ac:dyDescent="0.4">
      <c r="A808" s="2">
        <v>43948</v>
      </c>
      <c r="B808" s="3">
        <v>5.0106999999999999</v>
      </c>
    </row>
    <row r="809" spans="1:2" x14ac:dyDescent="0.4">
      <c r="A809" s="2">
        <v>43949</v>
      </c>
      <c r="B809" s="3">
        <v>5.0406000000000004</v>
      </c>
    </row>
    <row r="810" spans="1:2" x14ac:dyDescent="0.4">
      <c r="A810" s="2">
        <v>43950</v>
      </c>
      <c r="B810" s="3">
        <v>5.0571000000000002</v>
      </c>
    </row>
    <row r="811" spans="1:2" x14ac:dyDescent="0.4">
      <c r="A811" s="2">
        <v>43951</v>
      </c>
      <c r="B811" s="3">
        <v>5.0858999999999996</v>
      </c>
    </row>
    <row r="812" spans="1:2" x14ac:dyDescent="0.4">
      <c r="A812" s="2">
        <v>43957</v>
      </c>
      <c r="B812" s="3">
        <v>5.0323000000000002</v>
      </c>
    </row>
    <row r="813" spans="1:2" x14ac:dyDescent="0.4">
      <c r="A813" s="2">
        <v>43958</v>
      </c>
      <c r="B813" s="3">
        <v>5.0060000000000002</v>
      </c>
    </row>
    <row r="814" spans="1:2" x14ac:dyDescent="0.4">
      <c r="A814" s="2">
        <v>43959</v>
      </c>
      <c r="B814" s="3">
        <v>5.0652999999999997</v>
      </c>
    </row>
    <row r="815" spans="1:2" x14ac:dyDescent="0.4">
      <c r="A815" s="2">
        <v>43962</v>
      </c>
      <c r="B815" s="3">
        <v>5.0772000000000004</v>
      </c>
    </row>
    <row r="816" spans="1:2" x14ac:dyDescent="0.4">
      <c r="A816" s="2">
        <v>43963</v>
      </c>
      <c r="B816" s="3">
        <v>5.0580999999999996</v>
      </c>
    </row>
    <row r="817" spans="1:2" x14ac:dyDescent="0.4">
      <c r="A817" s="2">
        <v>43964</v>
      </c>
      <c r="B817" s="3">
        <v>5.0373000000000001</v>
      </c>
    </row>
    <row r="818" spans="1:2" x14ac:dyDescent="0.4">
      <c r="A818" s="2">
        <v>43965</v>
      </c>
      <c r="B818" s="3">
        <v>5.0345000000000004</v>
      </c>
    </row>
    <row r="819" spans="1:2" x14ac:dyDescent="0.4">
      <c r="A819" s="2">
        <v>43966</v>
      </c>
      <c r="B819" s="3">
        <v>5.0542999999999996</v>
      </c>
    </row>
    <row r="820" spans="1:2" x14ac:dyDescent="0.4">
      <c r="A820" s="2">
        <v>43969</v>
      </c>
      <c r="B820" s="3">
        <v>5.0404</v>
      </c>
    </row>
    <row r="821" spans="1:2" x14ac:dyDescent="0.4">
      <c r="A821" s="2">
        <v>43970</v>
      </c>
      <c r="B821" s="3">
        <v>5.0858999999999996</v>
      </c>
    </row>
    <row r="822" spans="1:2" x14ac:dyDescent="0.4">
      <c r="A822" s="2">
        <v>43971</v>
      </c>
      <c r="B822" s="3">
        <v>5.0928000000000004</v>
      </c>
    </row>
    <row r="823" spans="1:2" x14ac:dyDescent="0.4">
      <c r="A823" s="2">
        <v>43972</v>
      </c>
      <c r="B823" s="3">
        <v>5.0952000000000002</v>
      </c>
    </row>
    <row r="824" spans="1:2" x14ac:dyDescent="0.4">
      <c r="A824" s="2">
        <v>43973</v>
      </c>
      <c r="B824" s="3">
        <v>5.0860000000000003</v>
      </c>
    </row>
    <row r="825" spans="1:2" x14ac:dyDescent="0.4">
      <c r="A825" s="2">
        <v>43976</v>
      </c>
      <c r="B825" s="3">
        <v>5.0913000000000004</v>
      </c>
    </row>
    <row r="826" spans="1:2" x14ac:dyDescent="0.4">
      <c r="A826" s="2">
        <v>43977</v>
      </c>
      <c r="B826" s="3">
        <v>5.1002999999999998</v>
      </c>
    </row>
    <row r="827" spans="1:2" x14ac:dyDescent="0.4">
      <c r="A827" s="2">
        <v>43978</v>
      </c>
      <c r="B827" s="3">
        <v>5.1577000000000002</v>
      </c>
    </row>
    <row r="828" spans="1:2" x14ac:dyDescent="0.4">
      <c r="A828" s="2">
        <v>43979</v>
      </c>
      <c r="B828" s="3">
        <v>5.1820000000000004</v>
      </c>
    </row>
    <row r="829" spans="1:2" x14ac:dyDescent="0.4">
      <c r="A829" s="2">
        <v>43980</v>
      </c>
      <c r="B829" s="3">
        <v>5.1767000000000003</v>
      </c>
    </row>
    <row r="830" spans="1:2" x14ac:dyDescent="0.4">
      <c r="A830" s="2">
        <v>43983</v>
      </c>
      <c r="B830" s="3">
        <v>5.1792999999999996</v>
      </c>
    </row>
    <row r="831" spans="1:2" x14ac:dyDescent="0.4">
      <c r="A831" s="2">
        <v>43984</v>
      </c>
      <c r="B831" s="3">
        <v>5.2446000000000002</v>
      </c>
    </row>
    <row r="832" spans="1:2" x14ac:dyDescent="0.4">
      <c r="A832" s="2">
        <v>43985</v>
      </c>
      <c r="B832" s="3">
        <v>5.2590000000000003</v>
      </c>
    </row>
    <row r="833" spans="1:2" x14ac:dyDescent="0.4">
      <c r="A833" s="2">
        <v>43986</v>
      </c>
      <c r="B833" s="3">
        <v>5.2611999999999997</v>
      </c>
    </row>
    <row r="834" spans="1:2" x14ac:dyDescent="0.4">
      <c r="A834" s="2">
        <v>43987</v>
      </c>
      <c r="B834" s="3">
        <v>5.2588999999999997</v>
      </c>
    </row>
    <row r="835" spans="1:2" x14ac:dyDescent="0.4">
      <c r="A835" s="2">
        <v>43990</v>
      </c>
      <c r="B835" s="3">
        <v>5.2874999999999996</v>
      </c>
    </row>
    <row r="836" spans="1:2" x14ac:dyDescent="0.4">
      <c r="A836" s="2">
        <v>43991</v>
      </c>
      <c r="B836" s="3">
        <v>5.2835999999999999</v>
      </c>
    </row>
    <row r="837" spans="1:2" x14ac:dyDescent="0.4">
      <c r="A837" s="2">
        <v>43992</v>
      </c>
      <c r="B837" s="3">
        <v>5.2693000000000003</v>
      </c>
    </row>
    <row r="838" spans="1:2" x14ac:dyDescent="0.4">
      <c r="A838" s="2">
        <v>43993</v>
      </c>
      <c r="B838" s="3">
        <v>5.2622999999999998</v>
      </c>
    </row>
    <row r="839" spans="1:2" x14ac:dyDescent="0.4">
      <c r="A839" s="2">
        <v>43994</v>
      </c>
      <c r="B839" s="3">
        <v>5.1986999999999997</v>
      </c>
    </row>
    <row r="840" spans="1:2" x14ac:dyDescent="0.4">
      <c r="A840" s="2">
        <v>43997</v>
      </c>
      <c r="B840" s="3">
        <v>5.2020999999999997</v>
      </c>
    </row>
    <row r="841" spans="1:2" x14ac:dyDescent="0.4">
      <c r="A841" s="2">
        <v>43998</v>
      </c>
      <c r="B841" s="3">
        <v>5.2252000000000001</v>
      </c>
    </row>
    <row r="842" spans="1:2" x14ac:dyDescent="0.4">
      <c r="A842" s="2">
        <v>43999</v>
      </c>
      <c r="B842" s="3">
        <v>5.2335000000000003</v>
      </c>
    </row>
    <row r="843" spans="1:2" x14ac:dyDescent="0.4">
      <c r="A843" s="2">
        <v>44000</v>
      </c>
      <c r="B843" s="3">
        <v>5.2228000000000003</v>
      </c>
    </row>
    <row r="844" spans="1:2" x14ac:dyDescent="0.4">
      <c r="A844" s="2">
        <v>44001</v>
      </c>
      <c r="B844" s="3">
        <v>5.2168999999999999</v>
      </c>
    </row>
    <row r="845" spans="1:2" x14ac:dyDescent="0.4">
      <c r="A845" s="2">
        <v>44004</v>
      </c>
      <c r="B845" s="3">
        <v>5.2034000000000002</v>
      </c>
    </row>
    <row r="846" spans="1:2" x14ac:dyDescent="0.4">
      <c r="A846" s="2">
        <v>44005</v>
      </c>
      <c r="B846" s="3">
        <v>5.2302</v>
      </c>
    </row>
    <row r="847" spans="1:2" x14ac:dyDescent="0.4">
      <c r="A847" s="2">
        <v>44006</v>
      </c>
      <c r="B847" s="3">
        <v>5.21</v>
      </c>
    </row>
    <row r="848" spans="1:2" x14ac:dyDescent="0.4">
      <c r="A848" s="2">
        <v>44011</v>
      </c>
      <c r="B848" s="3">
        <v>5.1765999999999996</v>
      </c>
    </row>
    <row r="849" spans="1:2" x14ac:dyDescent="0.4">
      <c r="A849" s="2">
        <v>44012</v>
      </c>
      <c r="B849" s="3">
        <v>5.1843000000000004</v>
      </c>
    </row>
    <row r="850" spans="1:2" x14ac:dyDescent="0.4">
      <c r="A850" s="2">
        <v>44013</v>
      </c>
      <c r="B850" s="3">
        <v>5.2088999999999999</v>
      </c>
    </row>
    <row r="851" spans="1:2" x14ac:dyDescent="0.4">
      <c r="A851" s="2">
        <v>44014</v>
      </c>
      <c r="B851" s="3">
        <v>5.1938000000000004</v>
      </c>
    </row>
    <row r="852" spans="1:2" x14ac:dyDescent="0.4">
      <c r="A852" s="2">
        <v>44015</v>
      </c>
      <c r="B852" s="3">
        <v>5.2073999999999998</v>
      </c>
    </row>
    <row r="853" spans="1:2" x14ac:dyDescent="0.4">
      <c r="A853" s="2">
        <v>44018</v>
      </c>
      <c r="B853" s="3">
        <v>5.2140000000000004</v>
      </c>
    </row>
    <row r="854" spans="1:2" x14ac:dyDescent="0.4">
      <c r="A854" s="2">
        <v>44019</v>
      </c>
      <c r="B854" s="3">
        <v>5.1916000000000002</v>
      </c>
    </row>
    <row r="855" spans="1:2" x14ac:dyDescent="0.4">
      <c r="A855" s="2">
        <v>44020</v>
      </c>
      <c r="B855" s="3">
        <v>5.1604000000000001</v>
      </c>
    </row>
    <row r="856" spans="1:2" x14ac:dyDescent="0.4">
      <c r="A856" s="2">
        <v>44021</v>
      </c>
      <c r="B856" s="3">
        <v>5.1837999999999997</v>
      </c>
    </row>
    <row r="857" spans="1:2" x14ac:dyDescent="0.4">
      <c r="A857" s="2">
        <v>44022</v>
      </c>
      <c r="B857" s="3">
        <v>5.1502999999999997</v>
      </c>
    </row>
    <row r="858" spans="1:2" x14ac:dyDescent="0.4">
      <c r="A858" s="2">
        <v>44025</v>
      </c>
      <c r="B858" s="3">
        <v>5.1470000000000002</v>
      </c>
    </row>
    <row r="859" spans="1:2" x14ac:dyDescent="0.4">
      <c r="A859" s="2">
        <v>44026</v>
      </c>
      <c r="B859" s="3">
        <v>5.1448</v>
      </c>
    </row>
    <row r="860" spans="1:2" x14ac:dyDescent="0.4">
      <c r="A860" s="2">
        <v>44027</v>
      </c>
      <c r="B860" s="3">
        <v>5.1460999999999997</v>
      </c>
    </row>
    <row r="861" spans="1:2" x14ac:dyDescent="0.4">
      <c r="A861" s="2">
        <v>44028</v>
      </c>
      <c r="B861" s="3">
        <v>5.1767000000000003</v>
      </c>
    </row>
    <row r="862" spans="1:2" x14ac:dyDescent="0.4">
      <c r="A862" s="2">
        <v>44029</v>
      </c>
      <c r="B862" s="3">
        <v>5.1588000000000003</v>
      </c>
    </row>
    <row r="863" spans="1:2" x14ac:dyDescent="0.4">
      <c r="A863" s="2">
        <v>44032</v>
      </c>
      <c r="B863" s="3">
        <v>5.1502999999999997</v>
      </c>
    </row>
    <row r="864" spans="1:2" x14ac:dyDescent="0.4">
      <c r="A864" s="2">
        <v>44033</v>
      </c>
      <c r="B864" s="3">
        <v>5.1642000000000001</v>
      </c>
    </row>
    <row r="865" spans="1:2" x14ac:dyDescent="0.4">
      <c r="A865" s="2">
        <v>44034</v>
      </c>
      <c r="B865" s="3">
        <v>5.1821000000000002</v>
      </c>
    </row>
    <row r="866" spans="1:2" x14ac:dyDescent="0.4">
      <c r="A866" s="2">
        <v>44035</v>
      </c>
      <c r="B866" s="3">
        <v>5.2054</v>
      </c>
    </row>
    <row r="867" spans="1:2" x14ac:dyDescent="0.4">
      <c r="A867" s="2">
        <v>44036</v>
      </c>
      <c r="B867" s="3">
        <v>5.2183000000000002</v>
      </c>
    </row>
    <row r="868" spans="1:2" x14ac:dyDescent="0.4">
      <c r="A868" s="2">
        <v>44039</v>
      </c>
      <c r="B868" s="3">
        <v>5.2131999999999996</v>
      </c>
    </row>
    <row r="869" spans="1:2" x14ac:dyDescent="0.4">
      <c r="A869" s="2">
        <v>44040</v>
      </c>
      <c r="B869" s="3">
        <v>5.2331000000000003</v>
      </c>
    </row>
    <row r="870" spans="1:2" x14ac:dyDescent="0.4">
      <c r="A870" s="2">
        <v>44041</v>
      </c>
      <c r="B870" s="3">
        <v>5.23</v>
      </c>
    </row>
    <row r="871" spans="1:2" x14ac:dyDescent="0.4">
      <c r="A871" s="2">
        <v>44042</v>
      </c>
      <c r="B871" s="3">
        <v>5.2408000000000001</v>
      </c>
    </row>
    <row r="872" spans="1:2" x14ac:dyDescent="0.4">
      <c r="A872" s="2">
        <v>44043</v>
      </c>
      <c r="B872" s="3">
        <v>5.2054</v>
      </c>
    </row>
    <row r="873" spans="1:2" x14ac:dyDescent="0.4">
      <c r="A873" s="2">
        <v>44046</v>
      </c>
      <c r="B873" s="3">
        <v>5.2211999999999996</v>
      </c>
    </row>
    <row r="874" spans="1:2" x14ac:dyDescent="0.4">
      <c r="A874" s="2">
        <v>44047</v>
      </c>
      <c r="B874" s="3">
        <v>5.2100999999999997</v>
      </c>
    </row>
    <row r="875" spans="1:2" x14ac:dyDescent="0.4">
      <c r="A875" s="2">
        <v>44048</v>
      </c>
      <c r="B875" s="3">
        <v>5.2396000000000003</v>
      </c>
    </row>
    <row r="876" spans="1:2" x14ac:dyDescent="0.4">
      <c r="A876" s="2">
        <v>44049</v>
      </c>
      <c r="B876" s="3">
        <v>5.2339000000000002</v>
      </c>
    </row>
    <row r="877" spans="1:2" x14ac:dyDescent="0.4">
      <c r="A877" s="2">
        <v>44050</v>
      </c>
      <c r="B877" s="3">
        <v>5.2137000000000002</v>
      </c>
    </row>
    <row r="878" spans="1:2" x14ac:dyDescent="0.4">
      <c r="A878" s="2">
        <v>44053</v>
      </c>
      <c r="B878" s="3">
        <v>5.2019000000000002</v>
      </c>
    </row>
    <row r="879" spans="1:2" x14ac:dyDescent="0.4">
      <c r="A879" s="2">
        <v>44054</v>
      </c>
      <c r="B879" s="3">
        <v>5.2191999999999998</v>
      </c>
    </row>
    <row r="880" spans="1:2" x14ac:dyDescent="0.4">
      <c r="A880" s="2">
        <v>44055</v>
      </c>
      <c r="B880" s="3">
        <v>5.23</v>
      </c>
    </row>
    <row r="881" spans="1:2" x14ac:dyDescent="0.4">
      <c r="A881" s="2">
        <v>44056</v>
      </c>
      <c r="B881" s="3">
        <v>5.2420999999999998</v>
      </c>
    </row>
    <row r="882" spans="1:2" x14ac:dyDescent="0.4">
      <c r="A882" s="2">
        <v>44057</v>
      </c>
      <c r="B882" s="3">
        <v>5.2495000000000003</v>
      </c>
    </row>
    <row r="883" spans="1:2" x14ac:dyDescent="0.4">
      <c r="A883" s="2">
        <v>44060</v>
      </c>
      <c r="B883" s="3">
        <v>5.2324000000000002</v>
      </c>
    </row>
    <row r="884" spans="1:2" x14ac:dyDescent="0.4">
      <c r="A884" s="2">
        <v>44061</v>
      </c>
      <c r="B884" s="3">
        <v>5.2413999999999996</v>
      </c>
    </row>
    <row r="885" spans="1:2" x14ac:dyDescent="0.4">
      <c r="A885" s="2">
        <v>44062</v>
      </c>
      <c r="B885" s="3">
        <v>5.2549000000000001</v>
      </c>
    </row>
    <row r="886" spans="1:2" x14ac:dyDescent="0.4">
      <c r="A886" s="2">
        <v>44063</v>
      </c>
      <c r="B886" s="3">
        <v>5.2428999999999997</v>
      </c>
    </row>
    <row r="887" spans="1:2" x14ac:dyDescent="0.4">
      <c r="A887" s="2">
        <v>44064</v>
      </c>
      <c r="B887" s="3">
        <v>5.2427999999999999</v>
      </c>
    </row>
    <row r="888" spans="1:2" x14ac:dyDescent="0.4">
      <c r="A888" s="2">
        <v>44067</v>
      </c>
      <c r="B888" s="3">
        <v>5.2523</v>
      </c>
    </row>
    <row r="889" spans="1:2" x14ac:dyDescent="0.4">
      <c r="A889" s="2">
        <v>44068</v>
      </c>
      <c r="B889" s="3">
        <v>5.2327000000000004</v>
      </c>
    </row>
    <row r="890" spans="1:2" x14ac:dyDescent="0.4">
      <c r="A890" s="2">
        <v>44069</v>
      </c>
      <c r="B890" s="3">
        <v>5.2460000000000004</v>
      </c>
    </row>
    <row r="891" spans="1:2" x14ac:dyDescent="0.4">
      <c r="A891" s="2">
        <v>44070</v>
      </c>
      <c r="B891" s="3">
        <v>5.2382999999999997</v>
      </c>
    </row>
    <row r="892" spans="1:2" x14ac:dyDescent="0.4">
      <c r="A892" s="2">
        <v>44071</v>
      </c>
      <c r="B892" s="3">
        <v>5.2469999999999999</v>
      </c>
    </row>
    <row r="893" spans="1:2" x14ac:dyDescent="0.4">
      <c r="A893" s="2">
        <v>44074</v>
      </c>
      <c r="B893" s="3">
        <v>5.2393000000000001</v>
      </c>
    </row>
    <row r="894" spans="1:2" x14ac:dyDescent="0.4">
      <c r="A894" s="2">
        <v>44075</v>
      </c>
      <c r="B894" s="3">
        <v>5.2511999999999999</v>
      </c>
    </row>
    <row r="895" spans="1:2" x14ac:dyDescent="0.4">
      <c r="A895" s="2">
        <v>44076</v>
      </c>
      <c r="B895" s="3">
        <v>5.2346000000000004</v>
      </c>
    </row>
    <row r="896" spans="1:2" x14ac:dyDescent="0.4">
      <c r="A896" s="2">
        <v>44077</v>
      </c>
      <c r="B896" s="3">
        <v>5.2365000000000004</v>
      </c>
    </row>
    <row r="897" spans="1:2" x14ac:dyDescent="0.4">
      <c r="A897" s="2">
        <v>44078</v>
      </c>
      <c r="B897" s="3">
        <v>5.2041000000000004</v>
      </c>
    </row>
    <row r="898" spans="1:2" x14ac:dyDescent="0.4">
      <c r="A898" s="2">
        <v>44081</v>
      </c>
      <c r="B898" s="3">
        <v>5.2304000000000004</v>
      </c>
    </row>
    <row r="899" spans="1:2" x14ac:dyDescent="0.4">
      <c r="A899" s="2">
        <v>44082</v>
      </c>
      <c r="B899" s="3">
        <v>5.2211999999999996</v>
      </c>
    </row>
    <row r="900" spans="1:2" x14ac:dyDescent="0.4">
      <c r="A900" s="2">
        <v>44083</v>
      </c>
      <c r="B900" s="3">
        <v>5.1684000000000001</v>
      </c>
    </row>
    <row r="901" spans="1:2" x14ac:dyDescent="0.4">
      <c r="A901" s="2">
        <v>44084</v>
      </c>
      <c r="B901" s="3">
        <v>5.1948999999999996</v>
      </c>
    </row>
    <row r="902" spans="1:2" x14ac:dyDescent="0.4">
      <c r="A902" s="2">
        <v>44085</v>
      </c>
      <c r="B902" s="3">
        <v>5.1859000000000002</v>
      </c>
    </row>
    <row r="903" spans="1:2" x14ac:dyDescent="0.4">
      <c r="A903" s="2">
        <v>44088</v>
      </c>
      <c r="B903" s="3">
        <v>5.1832000000000003</v>
      </c>
    </row>
    <row r="904" spans="1:2" x14ac:dyDescent="0.4">
      <c r="A904" s="2">
        <v>44089</v>
      </c>
      <c r="B904" s="3">
        <v>5.1768999999999998</v>
      </c>
    </row>
    <row r="905" spans="1:2" x14ac:dyDescent="0.4">
      <c r="A905" s="2">
        <v>44090</v>
      </c>
      <c r="B905" s="3">
        <v>5.1388999999999996</v>
      </c>
    </row>
    <row r="906" spans="1:2" x14ac:dyDescent="0.4">
      <c r="A906" s="2">
        <v>44091</v>
      </c>
      <c r="B906" s="3">
        <v>5.1344000000000003</v>
      </c>
    </row>
    <row r="907" spans="1:2" x14ac:dyDescent="0.4">
      <c r="A907" s="2">
        <v>44092</v>
      </c>
      <c r="B907" s="3">
        <v>5.1393000000000004</v>
      </c>
    </row>
    <row r="908" spans="1:2" x14ac:dyDescent="0.4">
      <c r="A908" s="2">
        <v>44095</v>
      </c>
      <c r="B908" s="3">
        <v>5.1235999999999997</v>
      </c>
    </row>
    <row r="909" spans="1:2" x14ac:dyDescent="0.4">
      <c r="A909" s="2">
        <v>44096</v>
      </c>
      <c r="B909" s="3">
        <v>5.0975999999999999</v>
      </c>
    </row>
    <row r="910" spans="1:2" x14ac:dyDescent="0.4">
      <c r="A910" s="2">
        <v>44097</v>
      </c>
      <c r="B910" s="3">
        <v>5.1093999999999999</v>
      </c>
    </row>
    <row r="911" spans="1:2" x14ac:dyDescent="0.4">
      <c r="A911" s="2">
        <v>44098</v>
      </c>
      <c r="B911" s="3">
        <v>5.0808</v>
      </c>
    </row>
    <row r="912" spans="1:2" x14ac:dyDescent="0.4">
      <c r="A912" s="2">
        <v>44099</v>
      </c>
      <c r="B912" s="3">
        <v>5.1018999999999997</v>
      </c>
    </row>
    <row r="913" spans="1:2" x14ac:dyDescent="0.4">
      <c r="A913" s="2">
        <v>44102</v>
      </c>
      <c r="B913" s="3">
        <v>5.1009000000000002</v>
      </c>
    </row>
    <row r="914" spans="1:2" x14ac:dyDescent="0.4">
      <c r="A914" s="2">
        <v>44103</v>
      </c>
      <c r="B914" s="3">
        <v>5.0991</v>
      </c>
    </row>
    <row r="915" spans="1:2" x14ac:dyDescent="0.4">
      <c r="A915" s="2">
        <v>44104</v>
      </c>
      <c r="B915" s="3">
        <v>5.0864000000000003</v>
      </c>
    </row>
    <row r="916" spans="1:2" x14ac:dyDescent="0.4">
      <c r="A916" s="2">
        <v>44113</v>
      </c>
      <c r="B916" s="3">
        <v>5.1463000000000001</v>
      </c>
    </row>
    <row r="917" spans="1:2" x14ac:dyDescent="0.4">
      <c r="A917" s="2">
        <v>44116</v>
      </c>
      <c r="B917" s="3">
        <v>5.1056999999999997</v>
      </c>
    </row>
    <row r="918" spans="1:2" x14ac:dyDescent="0.4">
      <c r="A918" s="2">
        <v>44117</v>
      </c>
      <c r="B918" s="3">
        <v>5.1262999999999996</v>
      </c>
    </row>
    <row r="919" spans="1:2" x14ac:dyDescent="0.4">
      <c r="A919" s="2">
        <v>44118</v>
      </c>
      <c r="B919" s="3">
        <v>5.1334</v>
      </c>
    </row>
    <row r="920" spans="1:2" x14ac:dyDescent="0.4">
      <c r="A920" s="2">
        <v>44119</v>
      </c>
      <c r="B920" s="3">
        <v>5.1228999999999996</v>
      </c>
    </row>
    <row r="921" spans="1:2" x14ac:dyDescent="0.4">
      <c r="A921" s="2">
        <v>44120</v>
      </c>
      <c r="B921" s="3">
        <v>5.0914999999999999</v>
      </c>
    </row>
    <row r="922" spans="1:2" x14ac:dyDescent="0.4">
      <c r="A922" s="2">
        <v>44123</v>
      </c>
      <c r="B922" s="3">
        <v>5.0815999999999999</v>
      </c>
    </row>
    <row r="923" spans="1:2" x14ac:dyDescent="0.4">
      <c r="A923" s="2">
        <v>44124</v>
      </c>
      <c r="B923" s="3">
        <v>5.0735000000000001</v>
      </c>
    </row>
    <row r="924" spans="1:2" x14ac:dyDescent="0.4">
      <c r="A924" s="2">
        <v>44125</v>
      </c>
      <c r="B924" s="3">
        <v>5.0868000000000002</v>
      </c>
    </row>
    <row r="925" spans="1:2" x14ac:dyDescent="0.4">
      <c r="A925" s="2">
        <v>44126</v>
      </c>
      <c r="B925" s="3">
        <v>5.0587</v>
      </c>
    </row>
    <row r="926" spans="1:2" x14ac:dyDescent="0.4">
      <c r="A926" s="2">
        <v>44127</v>
      </c>
      <c r="B926" s="3">
        <v>5.0759999999999996</v>
      </c>
    </row>
    <row r="927" spans="1:2" x14ac:dyDescent="0.4">
      <c r="A927" s="2">
        <v>44130</v>
      </c>
      <c r="B927" s="3">
        <v>5.0724999999999998</v>
      </c>
    </row>
    <row r="928" spans="1:2" x14ac:dyDescent="0.4">
      <c r="A928" s="2">
        <v>44131</v>
      </c>
      <c r="B928" s="3">
        <v>5.0720999999999998</v>
      </c>
    </row>
    <row r="929" spans="1:2" x14ac:dyDescent="0.4">
      <c r="A929" s="2">
        <v>44132</v>
      </c>
      <c r="B929" s="3">
        <v>5.0926</v>
      </c>
    </row>
    <row r="930" spans="1:2" x14ac:dyDescent="0.4">
      <c r="A930" s="2">
        <v>44133</v>
      </c>
      <c r="B930" s="3">
        <v>5.0502000000000002</v>
      </c>
    </row>
    <row r="931" spans="1:2" x14ac:dyDescent="0.4">
      <c r="A931" s="2">
        <v>44134</v>
      </c>
      <c r="B931" s="3">
        <v>5.0461999999999998</v>
      </c>
    </row>
    <row r="932" spans="1:2" x14ac:dyDescent="0.4">
      <c r="A932" s="2">
        <v>44137</v>
      </c>
      <c r="B932" s="3">
        <v>5.0220000000000002</v>
      </c>
    </row>
    <row r="933" spans="1:2" x14ac:dyDescent="0.4">
      <c r="A933" s="2">
        <v>44138</v>
      </c>
      <c r="B933" s="3">
        <v>5.0632999999999999</v>
      </c>
    </row>
    <row r="934" spans="1:2" x14ac:dyDescent="0.4">
      <c r="A934" s="2">
        <v>44139</v>
      </c>
      <c r="B934" s="3">
        <v>5.0918999999999999</v>
      </c>
    </row>
    <row r="935" spans="1:2" x14ac:dyDescent="0.4">
      <c r="A935" s="2">
        <v>44140</v>
      </c>
      <c r="B935" s="3">
        <v>5.1002999999999998</v>
      </c>
    </row>
    <row r="936" spans="1:2" x14ac:dyDescent="0.4">
      <c r="A936" s="2">
        <v>44141</v>
      </c>
      <c r="B936" s="3">
        <v>5.0670000000000002</v>
      </c>
    </row>
    <row r="937" spans="1:2" x14ac:dyDescent="0.4">
      <c r="A937" s="2">
        <v>44144</v>
      </c>
      <c r="B937" s="3">
        <v>5.0778999999999996</v>
      </c>
    </row>
    <row r="938" spans="1:2" x14ac:dyDescent="0.4">
      <c r="A938" s="2">
        <v>44145</v>
      </c>
      <c r="B938" s="3">
        <v>5.0663999999999998</v>
      </c>
    </row>
    <row r="939" spans="1:2" x14ac:dyDescent="0.4">
      <c r="A939" s="2">
        <v>44146</v>
      </c>
      <c r="B939" s="3">
        <v>5.0697000000000001</v>
      </c>
    </row>
    <row r="940" spans="1:2" x14ac:dyDescent="0.4">
      <c r="A940" s="2">
        <v>44147</v>
      </c>
      <c r="B940" s="3">
        <v>5.0705999999999998</v>
      </c>
    </row>
    <row r="941" spans="1:2" x14ac:dyDescent="0.4">
      <c r="A941" s="2">
        <v>44148</v>
      </c>
      <c r="B941" s="3">
        <v>5.0439999999999996</v>
      </c>
    </row>
    <row r="942" spans="1:2" x14ac:dyDescent="0.4">
      <c r="A942" s="2">
        <v>44151</v>
      </c>
      <c r="B942" s="3">
        <v>5.0338000000000003</v>
      </c>
    </row>
    <row r="943" spans="1:2" x14ac:dyDescent="0.4">
      <c r="A943" s="2">
        <v>44152</v>
      </c>
      <c r="B943" s="3">
        <v>5.0301</v>
      </c>
    </row>
    <row r="944" spans="1:2" x14ac:dyDescent="0.4">
      <c r="A944" s="2">
        <v>44153</v>
      </c>
      <c r="B944" s="3">
        <v>5.0034999999999998</v>
      </c>
    </row>
    <row r="945" spans="1:2" x14ac:dyDescent="0.4">
      <c r="A945" s="2">
        <v>44154</v>
      </c>
      <c r="B945" s="3">
        <v>5.0072999999999999</v>
      </c>
    </row>
    <row r="946" spans="1:2" x14ac:dyDescent="0.4">
      <c r="A946" s="2">
        <v>44155</v>
      </c>
      <c r="B946" s="3">
        <v>5.0298999999999996</v>
      </c>
    </row>
    <row r="947" spans="1:2" x14ac:dyDescent="0.4">
      <c r="A947" s="2">
        <v>44158</v>
      </c>
      <c r="B947" s="3">
        <v>5.0210999999999997</v>
      </c>
    </row>
    <row r="948" spans="1:2" x14ac:dyDescent="0.4">
      <c r="A948" s="2">
        <v>44159</v>
      </c>
      <c r="B948" s="3">
        <v>5.0340999999999996</v>
      </c>
    </row>
    <row r="949" spans="1:2" x14ac:dyDescent="0.4">
      <c r="A949" s="2">
        <v>44160</v>
      </c>
      <c r="B949" s="3">
        <v>5.0591999999999997</v>
      </c>
    </row>
    <row r="950" spans="1:2" x14ac:dyDescent="0.4">
      <c r="A950" s="2">
        <v>44161</v>
      </c>
      <c r="B950" s="3">
        <v>5.0583</v>
      </c>
    </row>
    <row r="951" spans="1:2" x14ac:dyDescent="0.4">
      <c r="A951" s="2">
        <v>44162</v>
      </c>
      <c r="B951" s="3">
        <v>5.0492999999999997</v>
      </c>
    </row>
    <row r="952" spans="1:2" x14ac:dyDescent="0.4">
      <c r="A952" s="2">
        <v>44165</v>
      </c>
      <c r="B952" s="3">
        <v>5.0685000000000002</v>
      </c>
    </row>
    <row r="953" spans="1:2" x14ac:dyDescent="0.4">
      <c r="A953" s="2">
        <v>44166</v>
      </c>
      <c r="B953" s="3">
        <v>5.0717999999999996</v>
      </c>
    </row>
    <row r="954" spans="1:2" x14ac:dyDescent="0.4">
      <c r="A954" s="2">
        <v>44167</v>
      </c>
      <c r="B954" s="3">
        <v>5.0705</v>
      </c>
    </row>
    <row r="955" spans="1:2" x14ac:dyDescent="0.4">
      <c r="A955" s="2">
        <v>44168</v>
      </c>
      <c r="B955" s="3">
        <v>5.0768000000000004</v>
      </c>
    </row>
    <row r="956" spans="1:2" x14ac:dyDescent="0.4">
      <c r="A956" s="2">
        <v>44169</v>
      </c>
      <c r="B956" s="3">
        <v>5.0915999999999997</v>
      </c>
    </row>
    <row r="957" spans="1:2" x14ac:dyDescent="0.4">
      <c r="A957" s="2">
        <v>44172</v>
      </c>
      <c r="B957" s="3">
        <v>5.1132999999999997</v>
      </c>
    </row>
    <row r="958" spans="1:2" x14ac:dyDescent="0.4">
      <c r="A958" s="2">
        <v>44173</v>
      </c>
      <c r="B958" s="3">
        <v>5.1006999999999998</v>
      </c>
    </row>
    <row r="959" spans="1:2" x14ac:dyDescent="0.4">
      <c r="A959" s="2">
        <v>44174</v>
      </c>
      <c r="B959" s="3">
        <v>5.0964</v>
      </c>
    </row>
    <row r="960" spans="1:2" x14ac:dyDescent="0.4">
      <c r="A960" s="2">
        <v>44175</v>
      </c>
      <c r="B960" s="3">
        <v>5.1040000000000001</v>
      </c>
    </row>
    <row r="961" spans="1:2" x14ac:dyDescent="0.4">
      <c r="A961" s="2">
        <v>44176</v>
      </c>
      <c r="B961" s="3">
        <v>5.1326000000000001</v>
      </c>
    </row>
    <row r="962" spans="1:2" x14ac:dyDescent="0.4">
      <c r="A962" s="2">
        <v>44179</v>
      </c>
      <c r="B962" s="3">
        <v>5.1258999999999997</v>
      </c>
    </row>
    <row r="963" spans="1:2" x14ac:dyDescent="0.4">
      <c r="A963" s="2">
        <v>44180</v>
      </c>
      <c r="B963" s="3">
        <v>5.1280000000000001</v>
      </c>
    </row>
    <row r="964" spans="1:2" x14ac:dyDescent="0.4">
      <c r="A964" s="2">
        <v>44181</v>
      </c>
      <c r="B964" s="3">
        <v>5.1467000000000001</v>
      </c>
    </row>
    <row r="965" spans="1:2" x14ac:dyDescent="0.4">
      <c r="A965" s="2">
        <v>44182</v>
      </c>
      <c r="B965" s="3">
        <v>5.1288999999999998</v>
      </c>
    </row>
    <row r="966" spans="1:2" x14ac:dyDescent="0.4">
      <c r="A966" s="2">
        <v>44183</v>
      </c>
      <c r="B966" s="3">
        <v>5.1315</v>
      </c>
    </row>
    <row r="967" spans="1:2" x14ac:dyDescent="0.4">
      <c r="A967" s="2">
        <v>44186</v>
      </c>
      <c r="B967" s="3">
        <v>5.1166999999999998</v>
      </c>
    </row>
    <row r="968" spans="1:2" x14ac:dyDescent="0.4">
      <c r="A968" s="2">
        <v>44187</v>
      </c>
      <c r="B968" s="3">
        <v>5.0858999999999996</v>
      </c>
    </row>
    <row r="969" spans="1:2" x14ac:dyDescent="0.4">
      <c r="A969" s="2">
        <v>44188</v>
      </c>
      <c r="B969" s="3">
        <v>5.0820999999999996</v>
      </c>
    </row>
    <row r="970" spans="1:2" x14ac:dyDescent="0.4">
      <c r="A970" s="2">
        <v>44189</v>
      </c>
      <c r="B970" s="3">
        <v>5.0854999999999997</v>
      </c>
    </row>
    <row r="971" spans="1:2" x14ac:dyDescent="0.4">
      <c r="A971" s="2">
        <v>44190</v>
      </c>
      <c r="B971" s="3">
        <v>5.0807000000000002</v>
      </c>
    </row>
    <row r="972" spans="1:2" x14ac:dyDescent="0.4">
      <c r="A972" s="2">
        <v>44193</v>
      </c>
      <c r="B972" s="3">
        <v>5.0811999999999999</v>
      </c>
    </row>
    <row r="973" spans="1:2" x14ac:dyDescent="0.4">
      <c r="A973" s="2">
        <v>44194</v>
      </c>
      <c r="B973" s="3">
        <v>5.0952000000000002</v>
      </c>
    </row>
    <row r="974" spans="1:2" x14ac:dyDescent="0.4">
      <c r="A974" s="2">
        <v>44195</v>
      </c>
      <c r="B974" s="3">
        <v>5.0959000000000003</v>
      </c>
    </row>
    <row r="975" spans="1:2" x14ac:dyDescent="0.4">
      <c r="A975" s="2">
        <v>44196</v>
      </c>
      <c r="B975" s="3">
        <v>5.1161000000000003</v>
      </c>
    </row>
    <row r="976" spans="1:2" x14ac:dyDescent="0.4">
      <c r="A976" s="2">
        <v>44200</v>
      </c>
      <c r="B976" s="3">
        <v>5.1417999999999999</v>
      </c>
    </row>
    <row r="977" spans="1:2" x14ac:dyDescent="0.4">
      <c r="A977" s="2">
        <v>44201</v>
      </c>
      <c r="B977" s="3">
        <v>5.0647000000000002</v>
      </c>
    </row>
    <row r="978" spans="1:2" x14ac:dyDescent="0.4">
      <c r="A978" s="2">
        <v>44202</v>
      </c>
      <c r="B978" s="3">
        <v>5.0949999999999998</v>
      </c>
    </row>
    <row r="979" spans="1:2" x14ac:dyDescent="0.4">
      <c r="A979" s="2">
        <v>44203</v>
      </c>
      <c r="B979" s="3">
        <v>5.1002999999999998</v>
      </c>
    </row>
    <row r="980" spans="1:2" x14ac:dyDescent="0.4">
      <c r="A980" s="2">
        <v>44204</v>
      </c>
      <c r="B980" s="3">
        <v>5.1012000000000004</v>
      </c>
    </row>
    <row r="981" spans="1:2" x14ac:dyDescent="0.4">
      <c r="A981" s="2">
        <v>44207</v>
      </c>
      <c r="B981" s="3">
        <v>5.0926999999999998</v>
      </c>
    </row>
    <row r="982" spans="1:2" x14ac:dyDescent="0.4">
      <c r="A982" s="2">
        <v>44208</v>
      </c>
      <c r="B982" s="3">
        <v>5.0743999999999998</v>
      </c>
    </row>
    <row r="983" spans="1:2" x14ac:dyDescent="0.4">
      <c r="A983" s="2">
        <v>44209</v>
      </c>
      <c r="B983" s="3">
        <v>5.0776000000000003</v>
      </c>
    </row>
    <row r="984" spans="1:2" x14ac:dyDescent="0.4">
      <c r="A984" s="2">
        <v>44210</v>
      </c>
      <c r="B984" s="3">
        <v>5.0978000000000003</v>
      </c>
    </row>
    <row r="985" spans="1:2" x14ac:dyDescent="0.4">
      <c r="A985" s="2">
        <v>44211</v>
      </c>
      <c r="B985" s="3">
        <v>5.1111000000000004</v>
      </c>
    </row>
    <row r="986" spans="1:2" x14ac:dyDescent="0.4">
      <c r="A986" s="2">
        <v>44214</v>
      </c>
      <c r="B986" s="3">
        <v>5.0933000000000002</v>
      </c>
    </row>
    <row r="987" spans="1:2" x14ac:dyDescent="0.4">
      <c r="A987" s="2">
        <v>44215</v>
      </c>
      <c r="B987" s="3">
        <v>5.0887000000000002</v>
      </c>
    </row>
    <row r="988" spans="1:2" x14ac:dyDescent="0.4">
      <c r="A988" s="2">
        <v>44216</v>
      </c>
      <c r="B988" s="3">
        <v>5.0956999999999999</v>
      </c>
    </row>
    <row r="989" spans="1:2" x14ac:dyDescent="0.4">
      <c r="A989" s="2">
        <v>44217</v>
      </c>
      <c r="B989" s="3">
        <v>5.1242000000000001</v>
      </c>
    </row>
    <row r="990" spans="1:2" x14ac:dyDescent="0.4">
      <c r="A990" s="2">
        <v>44218</v>
      </c>
      <c r="B990" s="3">
        <v>5.1105999999999998</v>
      </c>
    </row>
    <row r="991" spans="1:2" x14ac:dyDescent="0.4">
      <c r="A991" s="2">
        <v>44221</v>
      </c>
      <c r="B991" s="3">
        <v>5.0933000000000002</v>
      </c>
    </row>
    <row r="992" spans="1:2" x14ac:dyDescent="0.4">
      <c r="A992" s="2">
        <v>44222</v>
      </c>
      <c r="B992" s="3">
        <v>5.0885999999999996</v>
      </c>
    </row>
    <row r="993" spans="1:2" x14ac:dyDescent="0.4">
      <c r="A993" s="2">
        <v>44223</v>
      </c>
      <c r="B993" s="3">
        <v>5.0937999999999999</v>
      </c>
    </row>
    <row r="994" spans="1:2" x14ac:dyDescent="0.4">
      <c r="A994" s="2">
        <v>44224</v>
      </c>
      <c r="B994" s="3">
        <v>5.0597000000000003</v>
      </c>
    </row>
    <row r="995" spans="1:2" x14ac:dyDescent="0.4">
      <c r="A995" s="2">
        <v>44225</v>
      </c>
      <c r="B995" s="3">
        <v>5.0461999999999998</v>
      </c>
    </row>
    <row r="996" spans="1:2" x14ac:dyDescent="0.4">
      <c r="A996" s="2">
        <v>44228</v>
      </c>
      <c r="B996" s="3">
        <v>5.0419999999999998</v>
      </c>
    </row>
    <row r="997" spans="1:2" x14ac:dyDescent="0.4">
      <c r="A997" s="2">
        <v>44229</v>
      </c>
      <c r="B997" s="3">
        <v>5.0388999999999999</v>
      </c>
    </row>
    <row r="998" spans="1:2" x14ac:dyDescent="0.4">
      <c r="A998" s="2">
        <v>44230</v>
      </c>
      <c r="B998" s="3">
        <v>5.0582000000000003</v>
      </c>
    </row>
    <row r="999" spans="1:2" x14ac:dyDescent="0.4">
      <c r="A999" s="2">
        <v>44231</v>
      </c>
      <c r="B999" s="3">
        <v>5.0541999999999998</v>
      </c>
    </row>
    <row r="1000" spans="1:2" x14ac:dyDescent="0.4">
      <c r="A1000" s="2">
        <v>44232</v>
      </c>
      <c r="B1000" s="3">
        <v>5.0461999999999998</v>
      </c>
    </row>
    <row r="1001" spans="1:2" x14ac:dyDescent="0.4">
      <c r="A1001" s="2">
        <v>44235</v>
      </c>
      <c r="B1001" s="3">
        <v>5.0698999999999996</v>
      </c>
    </row>
    <row r="1002" spans="1:2" x14ac:dyDescent="0.4">
      <c r="A1002" s="2">
        <v>44236</v>
      </c>
      <c r="B1002" s="3">
        <v>5.0643000000000002</v>
      </c>
    </row>
    <row r="1003" spans="1:2" x14ac:dyDescent="0.4">
      <c r="A1003" s="2">
        <v>44237</v>
      </c>
      <c r="B1003" s="3">
        <v>5.0711000000000004</v>
      </c>
    </row>
    <row r="1004" spans="1:2" x14ac:dyDescent="0.4">
      <c r="A1004" s="2">
        <v>44245</v>
      </c>
      <c r="B1004" s="3">
        <v>5.0796000000000001</v>
      </c>
    </row>
    <row r="1005" spans="1:2" x14ac:dyDescent="0.4">
      <c r="A1005" s="2">
        <v>44246</v>
      </c>
      <c r="B1005" s="3">
        <v>5.0987</v>
      </c>
    </row>
    <row r="1006" spans="1:2" x14ac:dyDescent="0.4">
      <c r="A1006" s="2">
        <v>44249</v>
      </c>
      <c r="B1006" s="3">
        <v>5.1184000000000003</v>
      </c>
    </row>
    <row r="1007" spans="1:2" x14ac:dyDescent="0.4">
      <c r="A1007" s="2">
        <v>44250</v>
      </c>
      <c r="B1007" s="3">
        <v>5.117</v>
      </c>
    </row>
    <row r="1008" spans="1:2" x14ac:dyDescent="0.4">
      <c r="A1008" s="2">
        <v>44251</v>
      </c>
      <c r="B1008" s="3">
        <v>5.1303999999999998</v>
      </c>
    </row>
    <row r="1009" spans="1:2" x14ac:dyDescent="0.4">
      <c r="A1009" s="2">
        <v>44252</v>
      </c>
      <c r="B1009" s="3">
        <v>5.1563999999999997</v>
      </c>
    </row>
    <row r="1010" spans="1:2" x14ac:dyDescent="0.4">
      <c r="A1010" s="2">
        <v>44253</v>
      </c>
      <c r="B1010" s="3">
        <v>5.1318000000000001</v>
      </c>
    </row>
    <row r="1011" spans="1:2" x14ac:dyDescent="0.4">
      <c r="A1011" s="2">
        <v>44256</v>
      </c>
      <c r="B1011" s="3">
        <v>5.0986000000000002</v>
      </c>
    </row>
    <row r="1012" spans="1:2" x14ac:dyDescent="0.4">
      <c r="A1012" s="2">
        <v>44257</v>
      </c>
      <c r="B1012" s="3">
        <v>5.1105</v>
      </c>
    </row>
    <row r="1013" spans="1:2" x14ac:dyDescent="0.4">
      <c r="A1013" s="2">
        <v>44258</v>
      </c>
      <c r="B1013" s="3">
        <v>5.1081000000000003</v>
      </c>
    </row>
    <row r="1014" spans="1:2" x14ac:dyDescent="0.4">
      <c r="A1014" s="2">
        <v>44259</v>
      </c>
      <c r="B1014" s="3">
        <v>5.1101000000000001</v>
      </c>
    </row>
    <row r="1015" spans="1:2" x14ac:dyDescent="0.4">
      <c r="A1015" s="2">
        <v>44260</v>
      </c>
      <c r="B1015" s="3">
        <v>5.1193999999999997</v>
      </c>
    </row>
    <row r="1016" spans="1:2" x14ac:dyDescent="0.4">
      <c r="A1016" s="2">
        <v>44263</v>
      </c>
      <c r="B1016" s="3">
        <v>5.1284000000000001</v>
      </c>
    </row>
    <row r="1017" spans="1:2" x14ac:dyDescent="0.4">
      <c r="A1017" s="2">
        <v>44264</v>
      </c>
      <c r="B1017" s="3">
        <v>5.1623000000000001</v>
      </c>
    </row>
    <row r="1018" spans="1:2" x14ac:dyDescent="0.4">
      <c r="A1018" s="2">
        <v>44265</v>
      </c>
      <c r="B1018" s="3">
        <v>5.1520000000000001</v>
      </c>
    </row>
    <row r="1019" spans="1:2" x14ac:dyDescent="0.4">
      <c r="A1019" s="2">
        <v>44266</v>
      </c>
      <c r="B1019" s="3">
        <v>5.1498999999999997</v>
      </c>
    </row>
    <row r="1020" spans="1:2" x14ac:dyDescent="0.4">
      <c r="A1020" s="2">
        <v>44267</v>
      </c>
      <c r="B1020" s="3">
        <v>5.1767000000000003</v>
      </c>
    </row>
    <row r="1021" spans="1:2" x14ac:dyDescent="0.4">
      <c r="A1021" s="2">
        <v>44270</v>
      </c>
      <c r="B1021" s="3">
        <v>5.2108999999999996</v>
      </c>
    </row>
    <row r="1022" spans="1:2" x14ac:dyDescent="0.4">
      <c r="A1022" s="2">
        <v>44271</v>
      </c>
      <c r="B1022" s="3">
        <v>5.2118000000000002</v>
      </c>
    </row>
    <row r="1023" spans="1:2" x14ac:dyDescent="0.4">
      <c r="A1023" s="2">
        <v>44272</v>
      </c>
      <c r="B1023" s="3">
        <v>5.2226999999999997</v>
      </c>
    </row>
    <row r="1024" spans="1:2" x14ac:dyDescent="0.4">
      <c r="A1024" s="2">
        <v>44273</v>
      </c>
      <c r="B1024" s="3">
        <v>5.2346000000000004</v>
      </c>
    </row>
    <row r="1025" spans="1:2" x14ac:dyDescent="0.4">
      <c r="A1025" s="2">
        <v>44274</v>
      </c>
      <c r="B1025" s="3">
        <v>5.2115999999999998</v>
      </c>
    </row>
    <row r="1026" spans="1:2" x14ac:dyDescent="0.4">
      <c r="A1026" s="2">
        <v>44277</v>
      </c>
      <c r="B1026" s="3">
        <v>5.2070999999999996</v>
      </c>
    </row>
    <row r="1027" spans="1:2" x14ac:dyDescent="0.4">
      <c r="A1027" s="2">
        <v>44278</v>
      </c>
      <c r="B1027" s="3">
        <v>5.1925999999999997</v>
      </c>
    </row>
    <row r="1028" spans="1:2" x14ac:dyDescent="0.4">
      <c r="A1028" s="2">
        <v>44279</v>
      </c>
      <c r="B1028" s="3">
        <v>5.1805000000000003</v>
      </c>
    </row>
    <row r="1029" spans="1:2" x14ac:dyDescent="0.4">
      <c r="A1029" s="2">
        <v>44280</v>
      </c>
      <c r="B1029" s="3">
        <v>5.1890000000000001</v>
      </c>
    </row>
    <row r="1030" spans="1:2" x14ac:dyDescent="0.4">
      <c r="A1030" s="2">
        <v>44281</v>
      </c>
      <c r="B1030" s="3">
        <v>5.1886999999999999</v>
      </c>
    </row>
    <row r="1031" spans="1:2" x14ac:dyDescent="0.4">
      <c r="A1031" s="2">
        <v>44284</v>
      </c>
      <c r="B1031" s="3">
        <v>5.1988000000000003</v>
      </c>
    </row>
    <row r="1032" spans="1:2" x14ac:dyDescent="0.4">
      <c r="A1032" s="2">
        <v>44285</v>
      </c>
      <c r="B1032" s="3">
        <v>5.2141000000000002</v>
      </c>
    </row>
    <row r="1033" spans="1:2" x14ac:dyDescent="0.4">
      <c r="A1033" s="2">
        <v>44286</v>
      </c>
      <c r="B1033" s="3">
        <v>5.2051999999999996</v>
      </c>
    </row>
    <row r="1034" spans="1:2" x14ac:dyDescent="0.4">
      <c r="A1034" s="2">
        <v>44287</v>
      </c>
      <c r="B1034" s="3">
        <v>5.2201000000000004</v>
      </c>
    </row>
    <row r="1035" spans="1:2" x14ac:dyDescent="0.4">
      <c r="A1035" s="2">
        <v>44288</v>
      </c>
      <c r="B1035" s="3">
        <v>5.2328000000000001</v>
      </c>
    </row>
    <row r="1036" spans="1:2" x14ac:dyDescent="0.4">
      <c r="A1036" s="2">
        <v>44292</v>
      </c>
      <c r="B1036" s="3">
        <v>5.2348999999999997</v>
      </c>
    </row>
    <row r="1037" spans="1:2" x14ac:dyDescent="0.4">
      <c r="A1037" s="2">
        <v>44293</v>
      </c>
      <c r="B1037" s="3">
        <v>5.2001999999999997</v>
      </c>
    </row>
    <row r="1038" spans="1:2" x14ac:dyDescent="0.4">
      <c r="A1038" s="2">
        <v>44294</v>
      </c>
      <c r="B1038" s="3">
        <v>5.1894</v>
      </c>
    </row>
    <row r="1039" spans="1:2" x14ac:dyDescent="0.4">
      <c r="A1039" s="2">
        <v>44295</v>
      </c>
      <c r="B1039" s="3">
        <v>5.2062999999999997</v>
      </c>
    </row>
    <row r="1040" spans="1:2" x14ac:dyDescent="0.4">
      <c r="A1040" s="2">
        <v>44298</v>
      </c>
      <c r="B1040" s="3">
        <v>5.2336</v>
      </c>
    </row>
    <row r="1041" spans="1:2" x14ac:dyDescent="0.4">
      <c r="A1041" s="2">
        <v>44299</v>
      </c>
      <c r="B1041" s="3">
        <v>5.2099000000000002</v>
      </c>
    </row>
    <row r="1042" spans="1:2" x14ac:dyDescent="0.4">
      <c r="A1042" s="2">
        <v>44300</v>
      </c>
      <c r="B1042" s="3">
        <v>5.2142999999999997</v>
      </c>
    </row>
    <row r="1043" spans="1:2" x14ac:dyDescent="0.4">
      <c r="A1043" s="2">
        <v>44301</v>
      </c>
      <c r="B1043" s="3">
        <v>5.2171000000000003</v>
      </c>
    </row>
    <row r="1044" spans="1:2" x14ac:dyDescent="0.4">
      <c r="A1044" s="2">
        <v>44302</v>
      </c>
      <c r="B1044" s="3">
        <v>5.2050000000000001</v>
      </c>
    </row>
    <row r="1045" spans="1:2" x14ac:dyDescent="0.4">
      <c r="A1045" s="2">
        <v>44305</v>
      </c>
      <c r="B1045" s="3">
        <v>5.2123999999999997</v>
      </c>
    </row>
    <row r="1046" spans="1:2" x14ac:dyDescent="0.4">
      <c r="A1046" s="2">
        <v>44306</v>
      </c>
      <c r="B1046" s="3">
        <v>5.1962000000000002</v>
      </c>
    </row>
    <row r="1047" spans="1:2" x14ac:dyDescent="0.4">
      <c r="A1047" s="2">
        <v>44307</v>
      </c>
      <c r="B1047" s="3">
        <v>5.1577000000000002</v>
      </c>
    </row>
    <row r="1048" spans="1:2" x14ac:dyDescent="0.4">
      <c r="A1048" s="2">
        <v>44308</v>
      </c>
      <c r="B1048" s="3">
        <v>5.1902999999999997</v>
      </c>
    </row>
    <row r="1049" spans="1:2" x14ac:dyDescent="0.4">
      <c r="A1049" s="2">
        <v>44309</v>
      </c>
      <c r="B1049" s="3">
        <v>5.1947999999999999</v>
      </c>
    </row>
    <row r="1050" spans="1:2" x14ac:dyDescent="0.4">
      <c r="A1050" s="2">
        <v>44312</v>
      </c>
      <c r="B1050" s="3">
        <v>5.1976000000000004</v>
      </c>
    </row>
    <row r="1051" spans="1:2" x14ac:dyDescent="0.4">
      <c r="A1051" s="2">
        <v>44313</v>
      </c>
      <c r="B1051" s="3">
        <v>5.2369000000000003</v>
      </c>
    </row>
    <row r="1052" spans="1:2" x14ac:dyDescent="0.4">
      <c r="A1052" s="2">
        <v>44314</v>
      </c>
      <c r="B1052" s="3">
        <v>5.2282000000000002</v>
      </c>
    </row>
    <row r="1053" spans="1:2" x14ac:dyDescent="0.4">
      <c r="A1053" s="2">
        <v>44315</v>
      </c>
      <c r="B1053" s="3">
        <v>5.2592999999999996</v>
      </c>
    </row>
    <row r="1054" spans="1:2" x14ac:dyDescent="0.4">
      <c r="A1054" s="2">
        <v>44316</v>
      </c>
      <c r="B1054" s="3">
        <v>5.2675999999999998</v>
      </c>
    </row>
    <row r="1055" spans="1:2" x14ac:dyDescent="0.4">
      <c r="A1055" s="2">
        <v>44322</v>
      </c>
      <c r="B1055" s="3">
        <v>5.2885999999999997</v>
      </c>
    </row>
    <row r="1056" spans="1:2" x14ac:dyDescent="0.4">
      <c r="A1056" s="2">
        <v>44323</v>
      </c>
      <c r="B1056" s="3">
        <v>5.319</v>
      </c>
    </row>
    <row r="1057" spans="1:2" x14ac:dyDescent="0.4">
      <c r="A1057" s="2">
        <v>44326</v>
      </c>
      <c r="B1057" s="3">
        <v>5.3131000000000004</v>
      </c>
    </row>
    <row r="1058" spans="1:2" x14ac:dyDescent="0.4">
      <c r="A1058" s="2">
        <v>44327</v>
      </c>
      <c r="B1058" s="3">
        <v>5.3090999999999999</v>
      </c>
    </row>
    <row r="1059" spans="1:2" x14ac:dyDescent="0.4">
      <c r="A1059" s="2">
        <v>44328</v>
      </c>
      <c r="B1059" s="3">
        <v>5.3117000000000001</v>
      </c>
    </row>
    <row r="1060" spans="1:2" x14ac:dyDescent="0.4">
      <c r="A1060" s="2">
        <v>44329</v>
      </c>
      <c r="B1060" s="3">
        <v>5.3293999999999997</v>
      </c>
    </row>
    <row r="1061" spans="1:2" x14ac:dyDescent="0.4">
      <c r="A1061" s="2">
        <v>44330</v>
      </c>
      <c r="B1061" s="3">
        <v>5.3028000000000004</v>
      </c>
    </row>
    <row r="1062" spans="1:2" x14ac:dyDescent="0.4">
      <c r="A1062" s="2">
        <v>44333</v>
      </c>
      <c r="B1062" s="3">
        <v>5.3089000000000004</v>
      </c>
    </row>
    <row r="1063" spans="1:2" x14ac:dyDescent="0.4">
      <c r="A1063" s="2">
        <v>44334</v>
      </c>
      <c r="B1063" s="3">
        <v>5.3343999999999996</v>
      </c>
    </row>
    <row r="1064" spans="1:2" x14ac:dyDescent="0.4">
      <c r="A1064" s="2">
        <v>44335</v>
      </c>
      <c r="B1064" s="3">
        <v>5.3249000000000004</v>
      </c>
    </row>
    <row r="1065" spans="1:2" x14ac:dyDescent="0.4">
      <c r="A1065" s="2">
        <v>44336</v>
      </c>
      <c r="B1065" s="3">
        <v>5.3140000000000001</v>
      </c>
    </row>
    <row r="1066" spans="1:2" x14ac:dyDescent="0.4">
      <c r="A1066" s="2">
        <v>44337</v>
      </c>
      <c r="B1066" s="3">
        <v>5.3299000000000003</v>
      </c>
    </row>
    <row r="1067" spans="1:2" x14ac:dyDescent="0.4">
      <c r="A1067" s="2">
        <v>44340</v>
      </c>
      <c r="B1067" s="3">
        <v>5.3369</v>
      </c>
    </row>
    <row r="1068" spans="1:2" x14ac:dyDescent="0.4">
      <c r="A1068" s="2">
        <v>44341</v>
      </c>
      <c r="B1068" s="3">
        <v>5.3342999999999998</v>
      </c>
    </row>
    <row r="1069" spans="1:2" x14ac:dyDescent="0.4">
      <c r="A1069" s="2">
        <v>44342</v>
      </c>
      <c r="B1069" s="3">
        <v>5.3129999999999997</v>
      </c>
    </row>
    <row r="1070" spans="1:2" x14ac:dyDescent="0.4">
      <c r="A1070" s="2">
        <v>44343</v>
      </c>
      <c r="B1070" s="3">
        <v>5.2797000000000001</v>
      </c>
    </row>
    <row r="1071" spans="1:2" x14ac:dyDescent="0.4">
      <c r="A1071" s="2">
        <v>44344</v>
      </c>
      <c r="B1071" s="3">
        <v>5.2881</v>
      </c>
    </row>
    <row r="1072" spans="1:2" x14ac:dyDescent="0.4">
      <c r="A1072" s="2">
        <v>44347</v>
      </c>
      <c r="B1072" s="3">
        <v>5.2709000000000001</v>
      </c>
    </row>
    <row r="1073" spans="1:2" x14ac:dyDescent="0.4">
      <c r="A1073" s="2">
        <v>44348</v>
      </c>
      <c r="B1073" s="3">
        <v>5.2693000000000003</v>
      </c>
    </row>
    <row r="1074" spans="1:2" x14ac:dyDescent="0.4">
      <c r="A1074" s="2">
        <v>44349</v>
      </c>
      <c r="B1074" s="3">
        <v>5.2812999999999999</v>
      </c>
    </row>
    <row r="1075" spans="1:2" x14ac:dyDescent="0.4">
      <c r="A1075" s="2">
        <v>44350</v>
      </c>
      <c r="B1075" s="3">
        <v>5.2998000000000003</v>
      </c>
    </row>
    <row r="1076" spans="1:2" x14ac:dyDescent="0.4">
      <c r="A1076" s="2">
        <v>44351</v>
      </c>
      <c r="B1076" s="3">
        <v>5.2911000000000001</v>
      </c>
    </row>
    <row r="1077" spans="1:2" x14ac:dyDescent="0.4">
      <c r="A1077" s="2">
        <v>44354</v>
      </c>
      <c r="B1077" s="3">
        <v>5.2944000000000004</v>
      </c>
    </row>
    <row r="1078" spans="1:2" x14ac:dyDescent="0.4">
      <c r="A1078" s="2">
        <v>44355</v>
      </c>
      <c r="B1078" s="3">
        <v>5.2885</v>
      </c>
    </row>
    <row r="1079" spans="1:2" x14ac:dyDescent="0.4">
      <c r="A1079" s="2">
        <v>44356</v>
      </c>
      <c r="B1079" s="3">
        <v>5.2798999999999996</v>
      </c>
    </row>
    <row r="1080" spans="1:2" x14ac:dyDescent="0.4">
      <c r="A1080" s="2">
        <v>44357</v>
      </c>
      <c r="B1080" s="3">
        <v>5.28</v>
      </c>
    </row>
    <row r="1081" spans="1:2" x14ac:dyDescent="0.4">
      <c r="A1081" s="2">
        <v>44358</v>
      </c>
      <c r="B1081" s="3">
        <v>5.2797000000000001</v>
      </c>
    </row>
    <row r="1082" spans="1:2" x14ac:dyDescent="0.4">
      <c r="A1082" s="2">
        <v>44362</v>
      </c>
      <c r="B1082" s="3">
        <v>5.2766000000000002</v>
      </c>
    </row>
    <row r="1083" spans="1:2" x14ac:dyDescent="0.4">
      <c r="A1083" s="2">
        <v>44363</v>
      </c>
      <c r="B1083" s="3">
        <v>5.2586000000000004</v>
      </c>
    </row>
    <row r="1084" spans="1:2" x14ac:dyDescent="0.4">
      <c r="A1084" s="2">
        <v>44364</v>
      </c>
      <c r="B1084" s="3">
        <v>5.2333999999999996</v>
      </c>
    </row>
    <row r="1085" spans="1:2" x14ac:dyDescent="0.4">
      <c r="A1085" s="2">
        <v>44365</v>
      </c>
      <c r="B1085" s="3">
        <v>5.2134999999999998</v>
      </c>
    </row>
    <row r="1086" spans="1:2" x14ac:dyDescent="0.4">
      <c r="A1086" s="2">
        <v>44368</v>
      </c>
      <c r="B1086" s="3">
        <v>5.1871999999999998</v>
      </c>
    </row>
    <row r="1087" spans="1:2" x14ac:dyDescent="0.4">
      <c r="A1087" s="2">
        <v>44369</v>
      </c>
      <c r="B1087" s="3">
        <v>5.2248999999999999</v>
      </c>
    </row>
    <row r="1088" spans="1:2" x14ac:dyDescent="0.4">
      <c r="A1088" s="2">
        <v>44370</v>
      </c>
      <c r="B1088" s="3">
        <v>5.2504999999999997</v>
      </c>
    </row>
    <row r="1089" spans="1:2" x14ac:dyDescent="0.4">
      <c r="A1089" s="2">
        <v>44371</v>
      </c>
      <c r="B1089" s="3">
        <v>5.2691999999999997</v>
      </c>
    </row>
    <row r="1090" spans="1:2" x14ac:dyDescent="0.4">
      <c r="A1090" s="2">
        <v>44372</v>
      </c>
      <c r="B1090" s="3">
        <v>5.2548000000000004</v>
      </c>
    </row>
    <row r="1091" spans="1:2" x14ac:dyDescent="0.4">
      <c r="A1091" s="2">
        <v>44375</v>
      </c>
      <c r="B1091" s="3">
        <v>5.2525000000000004</v>
      </c>
    </row>
    <row r="1092" spans="1:2" x14ac:dyDescent="0.4">
      <c r="A1092" s="2">
        <v>44376</v>
      </c>
      <c r="B1092" s="3">
        <v>5.2336999999999998</v>
      </c>
    </row>
    <row r="1093" spans="1:2" x14ac:dyDescent="0.4">
      <c r="A1093" s="2">
        <v>44377</v>
      </c>
      <c r="B1093" s="3">
        <v>5.2096999999999998</v>
      </c>
    </row>
    <row r="1094" spans="1:2" x14ac:dyDescent="0.4">
      <c r="A1094" s="2">
        <v>44378</v>
      </c>
      <c r="B1094" s="3">
        <v>5.2202000000000002</v>
      </c>
    </row>
    <row r="1095" spans="1:2" x14ac:dyDescent="0.4">
      <c r="A1095" s="2">
        <v>44379</v>
      </c>
      <c r="B1095" s="3">
        <v>5.2004000000000001</v>
      </c>
    </row>
    <row r="1096" spans="1:2" x14ac:dyDescent="0.4">
      <c r="A1096" s="2">
        <v>44382</v>
      </c>
      <c r="B1096" s="3">
        <v>5.2473999999999998</v>
      </c>
    </row>
    <row r="1097" spans="1:2" x14ac:dyDescent="0.4">
      <c r="A1097" s="2">
        <v>44383</v>
      </c>
      <c r="B1097" s="3">
        <v>5.2367999999999997</v>
      </c>
    </row>
    <row r="1098" spans="1:2" x14ac:dyDescent="0.4">
      <c r="A1098" s="2">
        <v>44384</v>
      </c>
      <c r="B1098" s="3">
        <v>5.1970000000000001</v>
      </c>
    </row>
    <row r="1099" spans="1:2" x14ac:dyDescent="0.4">
      <c r="A1099" s="2">
        <v>44385</v>
      </c>
      <c r="B1099" s="3">
        <v>5.1845999999999997</v>
      </c>
    </row>
    <row r="1100" spans="1:2" x14ac:dyDescent="0.4">
      <c r="A1100" s="2">
        <v>44386</v>
      </c>
      <c r="B1100" s="3">
        <v>5.1657999999999999</v>
      </c>
    </row>
    <row r="1101" spans="1:2" x14ac:dyDescent="0.4">
      <c r="A1101" s="2">
        <v>44389</v>
      </c>
      <c r="B1101" s="3">
        <v>5.2004000000000001</v>
      </c>
    </row>
    <row r="1102" spans="1:2" x14ac:dyDescent="0.4">
      <c r="A1102" s="2">
        <v>44390</v>
      </c>
      <c r="B1102" s="3">
        <v>5.1993999999999998</v>
      </c>
    </row>
    <row r="1103" spans="1:2" x14ac:dyDescent="0.4">
      <c r="A1103" s="2">
        <v>44391</v>
      </c>
      <c r="B1103" s="3">
        <v>5.1765999999999996</v>
      </c>
    </row>
    <row r="1104" spans="1:2" x14ac:dyDescent="0.4">
      <c r="A1104" s="2">
        <v>44392</v>
      </c>
      <c r="B1104" s="3">
        <v>5.1641000000000004</v>
      </c>
    </row>
    <row r="1105" spans="1:2" x14ac:dyDescent="0.4">
      <c r="A1105" s="2">
        <v>44393</v>
      </c>
      <c r="B1105" s="3">
        <v>5.1361999999999997</v>
      </c>
    </row>
    <row r="1106" spans="1:2" x14ac:dyDescent="0.4">
      <c r="A1106" s="2">
        <v>44396</v>
      </c>
      <c r="B1106" s="3">
        <v>5.1276000000000002</v>
      </c>
    </row>
    <row r="1107" spans="1:2" x14ac:dyDescent="0.4">
      <c r="A1107" s="2">
        <v>44397</v>
      </c>
      <c r="B1107" s="3">
        <v>5.0875000000000004</v>
      </c>
    </row>
    <row r="1108" spans="1:2" x14ac:dyDescent="0.4">
      <c r="A1108" s="2">
        <v>44398</v>
      </c>
      <c r="B1108" s="3">
        <v>5.1139999999999999</v>
      </c>
    </row>
    <row r="1109" spans="1:2" x14ac:dyDescent="0.4">
      <c r="A1109" s="2">
        <v>44399</v>
      </c>
      <c r="B1109" s="3">
        <v>5.1444999999999999</v>
      </c>
    </row>
    <row r="1110" spans="1:2" x14ac:dyDescent="0.4">
      <c r="A1110" s="2">
        <v>44400</v>
      </c>
      <c r="B1110" s="3">
        <v>5.1459000000000001</v>
      </c>
    </row>
    <row r="1111" spans="1:2" x14ac:dyDescent="0.4">
      <c r="A1111" s="2">
        <v>44403</v>
      </c>
      <c r="B1111" s="3">
        <v>5.1539999999999999</v>
      </c>
    </row>
    <row r="1112" spans="1:2" x14ac:dyDescent="0.4">
      <c r="A1112" s="2">
        <v>44404</v>
      </c>
      <c r="B1112" s="3">
        <v>5.1619000000000002</v>
      </c>
    </row>
    <row r="1113" spans="1:2" x14ac:dyDescent="0.4">
      <c r="A1113" s="2">
        <v>44405</v>
      </c>
      <c r="B1113" s="3">
        <v>5.1566000000000001</v>
      </c>
    </row>
    <row r="1114" spans="1:2" x14ac:dyDescent="0.4">
      <c r="A1114" s="2">
        <v>44406</v>
      </c>
      <c r="B1114" s="3">
        <v>5.1879999999999997</v>
      </c>
    </row>
    <row r="1115" spans="1:2" x14ac:dyDescent="0.4">
      <c r="A1115" s="2">
        <v>44407</v>
      </c>
      <c r="B1115" s="3">
        <v>5.1894</v>
      </c>
    </row>
    <row r="1116" spans="1:2" x14ac:dyDescent="0.4">
      <c r="A1116" s="2">
        <v>44410</v>
      </c>
      <c r="B1116" s="3">
        <v>5.1852</v>
      </c>
    </row>
    <row r="1117" spans="1:2" x14ac:dyDescent="0.4">
      <c r="A1117" s="2">
        <v>44411</v>
      </c>
      <c r="B1117" s="3">
        <v>5.1685999999999996</v>
      </c>
    </row>
    <row r="1118" spans="1:2" x14ac:dyDescent="0.4">
      <c r="A1118" s="2">
        <v>44412</v>
      </c>
      <c r="B1118" s="3">
        <v>5.1580000000000004</v>
      </c>
    </row>
    <row r="1119" spans="1:2" x14ac:dyDescent="0.4">
      <c r="A1119" s="2">
        <v>44413</v>
      </c>
      <c r="B1119" s="3">
        <v>5.1574999999999998</v>
      </c>
    </row>
    <row r="1120" spans="1:2" x14ac:dyDescent="0.4">
      <c r="A1120" s="2">
        <v>44414</v>
      </c>
      <c r="B1120" s="3">
        <v>5.1711</v>
      </c>
    </row>
    <row r="1121" spans="1:2" x14ac:dyDescent="0.4">
      <c r="A1121" s="2">
        <v>44417</v>
      </c>
      <c r="B1121" s="3">
        <v>5.1573000000000002</v>
      </c>
    </row>
    <row r="1122" spans="1:2" x14ac:dyDescent="0.4">
      <c r="A1122" s="2">
        <v>44418</v>
      </c>
      <c r="B1122" s="3">
        <v>5.1558999999999999</v>
      </c>
    </row>
    <row r="1123" spans="1:2" x14ac:dyDescent="0.4">
      <c r="A1123" s="2">
        <v>44419</v>
      </c>
      <c r="B1123" s="3">
        <v>5.1783999999999999</v>
      </c>
    </row>
    <row r="1124" spans="1:2" x14ac:dyDescent="0.4">
      <c r="A1124" s="2">
        <v>44420</v>
      </c>
      <c r="B1124" s="3">
        <v>5.1787999999999998</v>
      </c>
    </row>
    <row r="1125" spans="1:2" x14ac:dyDescent="0.4">
      <c r="A1125" s="2">
        <v>44421</v>
      </c>
      <c r="B1125" s="3">
        <v>5.1761999999999997</v>
      </c>
    </row>
    <row r="1126" spans="1:2" x14ac:dyDescent="0.4">
      <c r="A1126" s="2">
        <v>44424</v>
      </c>
      <c r="B1126" s="3">
        <v>5.1680999999999999</v>
      </c>
    </row>
    <row r="1127" spans="1:2" x14ac:dyDescent="0.4">
      <c r="A1127" s="2">
        <v>44425</v>
      </c>
      <c r="B1127" s="3">
        <v>5.1519000000000004</v>
      </c>
    </row>
    <row r="1128" spans="1:2" x14ac:dyDescent="0.4">
      <c r="A1128" s="2">
        <v>44426</v>
      </c>
      <c r="B1128" s="3">
        <v>5.1436999999999999</v>
      </c>
    </row>
    <row r="1129" spans="1:2" x14ac:dyDescent="0.4">
      <c r="A1129" s="2">
        <v>44427</v>
      </c>
      <c r="B1129" s="3">
        <v>5.1228999999999996</v>
      </c>
    </row>
    <row r="1130" spans="1:2" x14ac:dyDescent="0.4">
      <c r="A1130" s="2">
        <v>44428</v>
      </c>
      <c r="B1130" s="3">
        <v>5.0662000000000003</v>
      </c>
    </row>
    <row r="1131" spans="1:2" x14ac:dyDescent="0.4">
      <c r="A1131" s="2">
        <v>44431</v>
      </c>
      <c r="B1131" s="3">
        <v>5.0674000000000001</v>
      </c>
    </row>
    <row r="1132" spans="1:2" x14ac:dyDescent="0.4">
      <c r="A1132" s="2">
        <v>44432</v>
      </c>
      <c r="B1132" s="3">
        <v>5.1226000000000003</v>
      </c>
    </row>
    <row r="1133" spans="1:2" x14ac:dyDescent="0.4">
      <c r="A1133" s="2">
        <v>44433</v>
      </c>
      <c r="B1133" s="3">
        <v>5.1387999999999998</v>
      </c>
    </row>
    <row r="1134" spans="1:2" x14ac:dyDescent="0.4">
      <c r="A1134" s="2">
        <v>44434</v>
      </c>
      <c r="B1134" s="3">
        <v>5.1406999999999998</v>
      </c>
    </row>
    <row r="1135" spans="1:2" x14ac:dyDescent="0.4">
      <c r="A1135" s="2">
        <v>44435</v>
      </c>
      <c r="B1135" s="3">
        <v>5.1140999999999996</v>
      </c>
    </row>
    <row r="1136" spans="1:2" x14ac:dyDescent="0.4">
      <c r="A1136" s="2">
        <v>44438</v>
      </c>
      <c r="B1136" s="3">
        <v>5.1279000000000003</v>
      </c>
    </row>
    <row r="1137" spans="1:2" x14ac:dyDescent="0.4">
      <c r="A1137" s="2">
        <v>44439</v>
      </c>
      <c r="B1137" s="3">
        <v>5.1303999999999998</v>
      </c>
    </row>
    <row r="1138" spans="1:2" x14ac:dyDescent="0.4">
      <c r="A1138" s="2">
        <v>44440</v>
      </c>
      <c r="B1138" s="3">
        <v>5.1272000000000002</v>
      </c>
    </row>
    <row r="1139" spans="1:2" x14ac:dyDescent="0.4">
      <c r="A1139" s="2">
        <v>44441</v>
      </c>
      <c r="B1139" s="3">
        <v>5.1158000000000001</v>
      </c>
    </row>
    <row r="1140" spans="1:2" x14ac:dyDescent="0.4">
      <c r="A1140" s="2">
        <v>44442</v>
      </c>
      <c r="B1140" s="3">
        <v>5.1441999999999997</v>
      </c>
    </row>
    <row r="1141" spans="1:2" x14ac:dyDescent="0.4">
      <c r="A1141" s="2">
        <v>44445</v>
      </c>
      <c r="B1141" s="3">
        <v>5.1502999999999997</v>
      </c>
    </row>
    <row r="1142" spans="1:2" x14ac:dyDescent="0.4">
      <c r="A1142" s="2">
        <v>44446</v>
      </c>
      <c r="B1142" s="3">
        <v>5.1494999999999997</v>
      </c>
    </row>
    <row r="1143" spans="1:2" x14ac:dyDescent="0.4">
      <c r="A1143" s="2">
        <v>44447</v>
      </c>
      <c r="B1143" s="3">
        <v>5.1132999999999997</v>
      </c>
    </row>
    <row r="1144" spans="1:2" x14ac:dyDescent="0.4">
      <c r="A1144" s="2">
        <v>44448</v>
      </c>
      <c r="B1144" s="3">
        <v>5.0915999999999997</v>
      </c>
    </row>
    <row r="1145" spans="1:2" x14ac:dyDescent="0.4">
      <c r="A1145" s="2">
        <v>44449</v>
      </c>
      <c r="B1145" s="3">
        <v>5.0991</v>
      </c>
    </row>
    <row r="1146" spans="1:2" x14ac:dyDescent="0.4">
      <c r="A1146" s="2">
        <v>44452</v>
      </c>
      <c r="B1146" s="3">
        <v>5.0858999999999996</v>
      </c>
    </row>
    <row r="1147" spans="1:2" x14ac:dyDescent="0.4">
      <c r="A1147" s="2">
        <v>44453</v>
      </c>
      <c r="B1147" s="3">
        <v>5.1010999999999997</v>
      </c>
    </row>
    <row r="1148" spans="1:2" x14ac:dyDescent="0.4">
      <c r="A1148" s="2">
        <v>44454</v>
      </c>
      <c r="B1148" s="3">
        <v>5.0808</v>
      </c>
    </row>
    <row r="1149" spans="1:2" x14ac:dyDescent="0.4">
      <c r="A1149" s="2">
        <v>44455</v>
      </c>
      <c r="B1149" s="3">
        <v>5.0959000000000003</v>
      </c>
    </row>
    <row r="1150" spans="1:2" x14ac:dyDescent="0.4">
      <c r="A1150" s="2">
        <v>44456</v>
      </c>
      <c r="B1150" s="3">
        <v>5.0873999999999997</v>
      </c>
    </row>
    <row r="1151" spans="1:2" x14ac:dyDescent="0.4">
      <c r="A1151" s="2">
        <v>44461</v>
      </c>
      <c r="B1151" s="3">
        <v>5.0434000000000001</v>
      </c>
    </row>
    <row r="1152" spans="1:2" x14ac:dyDescent="0.4">
      <c r="A1152" s="2">
        <v>44462</v>
      </c>
      <c r="B1152" s="3">
        <v>5.0667999999999997</v>
      </c>
    </row>
    <row r="1153" spans="1:2" x14ac:dyDescent="0.4">
      <c r="A1153" s="2">
        <v>44463</v>
      </c>
      <c r="B1153" s="3">
        <v>5.1029</v>
      </c>
    </row>
    <row r="1154" spans="1:2" x14ac:dyDescent="0.4">
      <c r="A1154" s="2">
        <v>44466</v>
      </c>
      <c r="B1154" s="3">
        <v>5.1132</v>
      </c>
    </row>
    <row r="1155" spans="1:2" x14ac:dyDescent="0.4">
      <c r="A1155" s="2">
        <v>44467</v>
      </c>
      <c r="B1155" s="3">
        <v>5.1161000000000003</v>
      </c>
    </row>
    <row r="1156" spans="1:2" x14ac:dyDescent="0.4">
      <c r="A1156" s="2">
        <v>44468</v>
      </c>
      <c r="B1156" s="3">
        <v>5.0982000000000003</v>
      </c>
    </row>
    <row r="1157" spans="1:2" x14ac:dyDescent="0.4">
      <c r="A1157" s="2">
        <v>44469</v>
      </c>
      <c r="B1157" s="3">
        <v>5.0852000000000004</v>
      </c>
    </row>
    <row r="1158" spans="1:2" x14ac:dyDescent="0.4">
      <c r="A1158" s="2">
        <v>44477</v>
      </c>
      <c r="B1158" s="3">
        <v>5.1448999999999998</v>
      </c>
    </row>
    <row r="1159" spans="1:2" x14ac:dyDescent="0.4">
      <c r="A1159" s="2">
        <v>44480</v>
      </c>
      <c r="B1159" s="3">
        <v>5.1670999999999996</v>
      </c>
    </row>
    <row r="1160" spans="1:2" x14ac:dyDescent="0.4">
      <c r="A1160" s="2">
        <v>44481</v>
      </c>
      <c r="B1160" s="3">
        <v>5.1611000000000002</v>
      </c>
    </row>
    <row r="1161" spans="1:2" x14ac:dyDescent="0.4">
      <c r="A1161" s="2">
        <v>44482</v>
      </c>
      <c r="B1161" s="3">
        <v>5.1807999999999996</v>
      </c>
    </row>
    <row r="1162" spans="1:2" x14ac:dyDescent="0.4">
      <c r="A1162" s="2">
        <v>44483</v>
      </c>
      <c r="B1162" s="3">
        <v>5.1741999999999999</v>
      </c>
    </row>
    <row r="1163" spans="1:2" x14ac:dyDescent="0.4">
      <c r="A1163" s="2">
        <v>44484</v>
      </c>
      <c r="B1163" s="3">
        <v>5.2035</v>
      </c>
    </row>
    <row r="1164" spans="1:2" x14ac:dyDescent="0.4">
      <c r="A1164" s="2">
        <v>44487</v>
      </c>
      <c r="B1164" s="3">
        <v>5.1992000000000003</v>
      </c>
    </row>
    <row r="1165" spans="1:2" x14ac:dyDescent="0.4">
      <c r="A1165" s="2">
        <v>44488</v>
      </c>
      <c r="B1165" s="3">
        <v>5.1952999999999996</v>
      </c>
    </row>
    <row r="1166" spans="1:2" x14ac:dyDescent="0.4">
      <c r="A1166" s="2">
        <v>44489</v>
      </c>
      <c r="B1166" s="3">
        <v>5.1806000000000001</v>
      </c>
    </row>
    <row r="1167" spans="1:2" x14ac:dyDescent="0.4">
      <c r="A1167" s="2">
        <v>44490</v>
      </c>
      <c r="B1167" s="3">
        <v>5.1840000000000002</v>
      </c>
    </row>
    <row r="1168" spans="1:2" x14ac:dyDescent="0.4">
      <c r="A1168" s="2">
        <v>44491</v>
      </c>
      <c r="B1168" s="3">
        <v>5.1772999999999998</v>
      </c>
    </row>
    <row r="1169" spans="1:2" x14ac:dyDescent="0.4">
      <c r="A1169" s="2">
        <v>44494</v>
      </c>
      <c r="B1169" s="3">
        <v>5.1670999999999996</v>
      </c>
    </row>
    <row r="1170" spans="1:2" x14ac:dyDescent="0.4">
      <c r="A1170" s="2">
        <v>44495</v>
      </c>
      <c r="B1170" s="3">
        <v>5.1590999999999996</v>
      </c>
    </row>
    <row r="1171" spans="1:2" x14ac:dyDescent="0.4">
      <c r="A1171" s="2">
        <v>44496</v>
      </c>
      <c r="B1171" s="3">
        <v>5.1532</v>
      </c>
    </row>
    <row r="1172" spans="1:2" x14ac:dyDescent="0.4">
      <c r="A1172" s="2">
        <v>44497</v>
      </c>
      <c r="B1172" s="3">
        <v>5.1715999999999998</v>
      </c>
    </row>
    <row r="1173" spans="1:2" x14ac:dyDescent="0.4">
      <c r="A1173" s="2">
        <v>44498</v>
      </c>
      <c r="B1173" s="3">
        <v>5.1742999999999997</v>
      </c>
    </row>
    <row r="1174" spans="1:2" x14ac:dyDescent="0.4">
      <c r="A1174" s="2">
        <v>44501</v>
      </c>
      <c r="B1174" s="3">
        <v>5.1839000000000004</v>
      </c>
    </row>
    <row r="1175" spans="1:2" x14ac:dyDescent="0.4">
      <c r="A1175" s="2">
        <v>44502</v>
      </c>
      <c r="B1175" s="3">
        <v>5.1715</v>
      </c>
    </row>
    <row r="1176" spans="1:2" x14ac:dyDescent="0.4">
      <c r="A1176" s="2">
        <v>44503</v>
      </c>
      <c r="B1176" s="3">
        <v>5.1627999999999998</v>
      </c>
    </row>
    <row r="1177" spans="1:2" x14ac:dyDescent="0.4">
      <c r="A1177" s="2">
        <v>44504</v>
      </c>
      <c r="B1177" s="3">
        <v>5.1630000000000003</v>
      </c>
    </row>
    <row r="1178" spans="1:2" x14ac:dyDescent="0.4">
      <c r="A1178" s="2">
        <v>44505</v>
      </c>
      <c r="B1178" s="3">
        <v>5.1375000000000002</v>
      </c>
    </row>
    <row r="1179" spans="1:2" x14ac:dyDescent="0.4">
      <c r="A1179" s="2">
        <v>44508</v>
      </c>
      <c r="B1179" s="3">
        <v>5.1345999999999998</v>
      </c>
    </row>
    <row r="1180" spans="1:2" x14ac:dyDescent="0.4">
      <c r="A1180" s="2">
        <v>44509</v>
      </c>
      <c r="B1180" s="3">
        <v>5.1341999999999999</v>
      </c>
    </row>
    <row r="1181" spans="1:2" x14ac:dyDescent="0.4">
      <c r="A1181" s="2">
        <v>44510</v>
      </c>
      <c r="B1181" s="3">
        <v>5.1410999999999998</v>
      </c>
    </row>
    <row r="1182" spans="1:2" x14ac:dyDescent="0.4">
      <c r="A1182" s="2">
        <v>44511</v>
      </c>
      <c r="B1182" s="3">
        <v>5.1356999999999999</v>
      </c>
    </row>
    <row r="1183" spans="1:2" x14ac:dyDescent="0.4">
      <c r="A1183" s="2">
        <v>44512</v>
      </c>
      <c r="B1183" s="3">
        <v>5.0894000000000004</v>
      </c>
    </row>
    <row r="1184" spans="1:2" x14ac:dyDescent="0.4">
      <c r="A1184" s="2">
        <v>44515</v>
      </c>
      <c r="B1184" s="3">
        <v>5.0922999999999998</v>
      </c>
    </row>
    <row r="1185" spans="1:2" x14ac:dyDescent="0.4">
      <c r="A1185" s="2">
        <v>44516</v>
      </c>
      <c r="B1185" s="3">
        <v>5.1094999999999997</v>
      </c>
    </row>
    <row r="1186" spans="1:2" x14ac:dyDescent="0.4">
      <c r="A1186" s="2">
        <v>44517</v>
      </c>
      <c r="B1186" s="3">
        <v>5.0890000000000004</v>
      </c>
    </row>
    <row r="1187" spans="1:2" x14ac:dyDescent="0.4">
      <c r="A1187" s="2">
        <v>44518</v>
      </c>
      <c r="B1187" s="3">
        <v>5.0579999999999998</v>
      </c>
    </row>
    <row r="1188" spans="1:2" x14ac:dyDescent="0.4">
      <c r="A1188" s="2">
        <v>44519</v>
      </c>
      <c r="B1188" s="3">
        <v>5.0646000000000004</v>
      </c>
    </row>
    <row r="1189" spans="1:2" x14ac:dyDescent="0.4">
      <c r="A1189" s="2">
        <v>44522</v>
      </c>
      <c r="B1189" s="3">
        <v>5.0549999999999997</v>
      </c>
    </row>
    <row r="1190" spans="1:2" x14ac:dyDescent="0.4">
      <c r="A1190" s="2">
        <v>44523</v>
      </c>
      <c r="B1190" s="3">
        <v>5.0311000000000003</v>
      </c>
    </row>
    <row r="1191" spans="1:2" x14ac:dyDescent="0.4">
      <c r="A1191" s="2">
        <v>44524</v>
      </c>
      <c r="B1191" s="3">
        <v>5.0411999999999999</v>
      </c>
    </row>
    <row r="1192" spans="1:2" x14ac:dyDescent="0.4">
      <c r="A1192" s="2">
        <v>44525</v>
      </c>
      <c r="B1192" s="3">
        <v>5.0522999999999998</v>
      </c>
    </row>
    <row r="1193" spans="1:2" x14ac:dyDescent="0.4">
      <c r="A1193" s="2">
        <v>44526</v>
      </c>
      <c r="B1193" s="3">
        <v>5.0526999999999997</v>
      </c>
    </row>
    <row r="1194" spans="1:2" x14ac:dyDescent="0.4">
      <c r="A1194" s="2">
        <v>44529</v>
      </c>
      <c r="B1194" s="3">
        <v>5.0117000000000003</v>
      </c>
    </row>
    <row r="1195" spans="1:2" x14ac:dyDescent="0.4">
      <c r="A1195" s="2">
        <v>44530</v>
      </c>
      <c r="B1195" s="3">
        <v>5.008</v>
      </c>
    </row>
    <row r="1196" spans="1:2" x14ac:dyDescent="0.4">
      <c r="A1196" s="2">
        <v>44531</v>
      </c>
      <c r="B1196" s="3">
        <v>4.9839000000000002</v>
      </c>
    </row>
    <row r="1197" spans="1:2" x14ac:dyDescent="0.4">
      <c r="A1197" s="2">
        <v>44532</v>
      </c>
      <c r="B1197" s="3">
        <v>4.9710999999999999</v>
      </c>
    </row>
    <row r="1198" spans="1:2" x14ac:dyDescent="0.4">
      <c r="A1198" s="2">
        <v>44533</v>
      </c>
      <c r="B1198" s="3">
        <v>4.9726999999999997</v>
      </c>
    </row>
    <row r="1199" spans="1:2" x14ac:dyDescent="0.4">
      <c r="A1199" s="2">
        <v>44536</v>
      </c>
      <c r="B1199" s="3">
        <v>4.9669999999999996</v>
      </c>
    </row>
    <row r="1200" spans="1:2" x14ac:dyDescent="0.4">
      <c r="A1200" s="2">
        <v>44537</v>
      </c>
      <c r="B1200" s="3">
        <v>4.9935999999999998</v>
      </c>
    </row>
    <row r="1201" spans="1:2" x14ac:dyDescent="0.4">
      <c r="A1201" s="2">
        <v>44538</v>
      </c>
      <c r="B1201" s="3">
        <v>5.0357000000000003</v>
      </c>
    </row>
    <row r="1202" spans="1:2" x14ac:dyDescent="0.4">
      <c r="A1202" s="2">
        <v>44539</v>
      </c>
      <c r="B1202" s="3">
        <v>5.0152000000000001</v>
      </c>
    </row>
    <row r="1203" spans="1:2" x14ac:dyDescent="0.4">
      <c r="A1203" s="2">
        <v>44540</v>
      </c>
      <c r="B1203" s="3">
        <v>4.9968000000000004</v>
      </c>
    </row>
    <row r="1204" spans="1:2" x14ac:dyDescent="0.4">
      <c r="A1204" s="2">
        <v>44543</v>
      </c>
      <c r="B1204" s="3">
        <v>5.0030999999999999</v>
      </c>
    </row>
    <row r="1205" spans="1:2" x14ac:dyDescent="0.4">
      <c r="A1205" s="2">
        <v>44544</v>
      </c>
      <c r="B1205" s="3">
        <v>4.9701000000000004</v>
      </c>
    </row>
    <row r="1206" spans="1:2" x14ac:dyDescent="0.4">
      <c r="A1206" s="2">
        <v>44545</v>
      </c>
      <c r="B1206" s="3">
        <v>4.9524999999999997</v>
      </c>
    </row>
    <row r="1207" spans="1:2" x14ac:dyDescent="0.4">
      <c r="A1207" s="2">
        <v>44546</v>
      </c>
      <c r="B1207" s="3">
        <v>4.9572000000000003</v>
      </c>
    </row>
    <row r="1208" spans="1:2" x14ac:dyDescent="0.4">
      <c r="A1208" s="2">
        <v>44547</v>
      </c>
      <c r="B1208" s="3">
        <v>4.9794</v>
      </c>
    </row>
    <row r="1209" spans="1:2" x14ac:dyDescent="0.4">
      <c r="A1209" s="2">
        <v>44550</v>
      </c>
      <c r="B1209" s="3">
        <v>4.9562999999999997</v>
      </c>
    </row>
    <row r="1210" spans="1:2" x14ac:dyDescent="0.4">
      <c r="A1210" s="2">
        <v>44551</v>
      </c>
      <c r="B1210" s="3">
        <v>4.9225000000000003</v>
      </c>
    </row>
    <row r="1211" spans="1:2" x14ac:dyDescent="0.4">
      <c r="A1211" s="2">
        <v>44552</v>
      </c>
      <c r="B1211" s="3">
        <v>4.9310999999999998</v>
      </c>
    </row>
    <row r="1212" spans="1:2" x14ac:dyDescent="0.4">
      <c r="A1212" s="2">
        <v>44553</v>
      </c>
      <c r="B1212" s="3">
        <v>4.9512999999999998</v>
      </c>
    </row>
    <row r="1213" spans="1:2" x14ac:dyDescent="0.4">
      <c r="A1213" s="2">
        <v>44554</v>
      </c>
      <c r="B1213" s="3">
        <v>4.9714999999999998</v>
      </c>
    </row>
    <row r="1214" spans="1:2" x14ac:dyDescent="0.4">
      <c r="A1214" s="2">
        <v>44557</v>
      </c>
      <c r="B1214" s="3">
        <v>4.9703999999999997</v>
      </c>
    </row>
    <row r="1215" spans="1:2" x14ac:dyDescent="0.4">
      <c r="A1215" s="2">
        <v>44558</v>
      </c>
      <c r="B1215" s="3">
        <v>4.9824999999999999</v>
      </c>
    </row>
    <row r="1216" spans="1:2" x14ac:dyDescent="0.4">
      <c r="A1216" s="2">
        <v>44559</v>
      </c>
      <c r="B1216" s="3">
        <v>4.9730999999999996</v>
      </c>
    </row>
    <row r="1217" spans="1:2" x14ac:dyDescent="0.4">
      <c r="A1217" s="2">
        <v>44560</v>
      </c>
      <c r="B1217" s="3">
        <v>4.9767999999999999</v>
      </c>
    </row>
    <row r="1218" spans="1:2" x14ac:dyDescent="0.4">
      <c r="A1218" s="2">
        <v>44561</v>
      </c>
      <c r="B1218" s="3">
        <v>5.0045999999999999</v>
      </c>
    </row>
    <row r="1219" spans="1:2" x14ac:dyDescent="0.4">
      <c r="A1219" s="2">
        <v>44565</v>
      </c>
      <c r="B1219" s="3">
        <v>5.0048000000000004</v>
      </c>
    </row>
    <row r="1220" spans="1:2" x14ac:dyDescent="0.4">
      <c r="A1220" s="2">
        <v>44566</v>
      </c>
      <c r="B1220" s="3">
        <v>5.0209000000000001</v>
      </c>
    </row>
    <row r="1221" spans="1:2" x14ac:dyDescent="0.4">
      <c r="A1221" s="2">
        <v>44567</v>
      </c>
      <c r="B1221" s="3">
        <v>4.9958999999999998</v>
      </c>
    </row>
    <row r="1222" spans="1:2" x14ac:dyDescent="0.4">
      <c r="A1222" s="2">
        <v>44568</v>
      </c>
      <c r="B1222" s="3">
        <v>5.0088999999999997</v>
      </c>
    </row>
    <row r="1223" spans="1:2" x14ac:dyDescent="0.4">
      <c r="A1223" s="2">
        <v>44571</v>
      </c>
      <c r="B1223" s="3">
        <v>5.0305999999999997</v>
      </c>
    </row>
    <row r="1224" spans="1:2" x14ac:dyDescent="0.4">
      <c r="A1224" s="2">
        <v>44572</v>
      </c>
      <c r="B1224" s="3">
        <v>5.0259999999999998</v>
      </c>
    </row>
    <row r="1225" spans="1:2" x14ac:dyDescent="0.4">
      <c r="A1225" s="2">
        <v>44573</v>
      </c>
      <c r="B1225" s="3">
        <v>5.0636000000000001</v>
      </c>
    </row>
    <row r="1226" spans="1:2" x14ac:dyDescent="0.4">
      <c r="A1226" s="2">
        <v>44574</v>
      </c>
      <c r="B1226" s="3">
        <v>5.0762</v>
      </c>
    </row>
    <row r="1227" spans="1:2" x14ac:dyDescent="0.4">
      <c r="A1227" s="2">
        <v>44575</v>
      </c>
      <c r="B1227" s="3">
        <v>5.0891999999999999</v>
      </c>
    </row>
    <row r="1228" spans="1:2" x14ac:dyDescent="0.4">
      <c r="A1228" s="2">
        <v>44578</v>
      </c>
      <c r="B1228" s="3">
        <v>5.0660999999999996</v>
      </c>
    </row>
    <row r="1229" spans="1:2" x14ac:dyDescent="0.4">
      <c r="A1229" s="2">
        <v>44579</v>
      </c>
      <c r="B1229" s="3">
        <v>5.0743999999999998</v>
      </c>
    </row>
    <row r="1230" spans="1:2" x14ac:dyDescent="0.4">
      <c r="A1230" s="2">
        <v>44580</v>
      </c>
      <c r="B1230" s="3">
        <v>5.0879000000000003</v>
      </c>
    </row>
    <row r="1231" spans="1:2" x14ac:dyDescent="0.4">
      <c r="A1231" s="2">
        <v>44581</v>
      </c>
      <c r="B1231" s="3">
        <v>5.0721999999999996</v>
      </c>
    </row>
    <row r="1232" spans="1:2" x14ac:dyDescent="0.4">
      <c r="A1232" s="2">
        <v>44582</v>
      </c>
      <c r="B1232" s="3">
        <v>5.0742000000000003</v>
      </c>
    </row>
    <row r="1233" spans="1:2" x14ac:dyDescent="0.4">
      <c r="A1233" s="2">
        <v>44585</v>
      </c>
      <c r="B1233" s="3">
        <v>5.0435999999999996</v>
      </c>
    </row>
    <row r="1234" spans="1:2" x14ac:dyDescent="0.4">
      <c r="A1234" s="2">
        <v>44586</v>
      </c>
      <c r="B1234" s="3">
        <v>5.0187999999999997</v>
      </c>
    </row>
    <row r="1235" spans="1:2" x14ac:dyDescent="0.4">
      <c r="A1235" s="2">
        <v>44587</v>
      </c>
      <c r="B1235" s="3">
        <v>5.0102000000000002</v>
      </c>
    </row>
    <row r="1236" spans="1:2" x14ac:dyDescent="0.4">
      <c r="A1236" s="2">
        <v>44588</v>
      </c>
      <c r="B1236" s="3">
        <v>5.0030999999999999</v>
      </c>
    </row>
    <row r="1237" spans="1:2" x14ac:dyDescent="0.4">
      <c r="A1237" s="2">
        <v>44589</v>
      </c>
      <c r="B1237" s="3">
        <v>5.0049999999999999</v>
      </c>
    </row>
    <row r="1238" spans="1:2" x14ac:dyDescent="0.4">
      <c r="A1238" s="2">
        <v>44599</v>
      </c>
      <c r="B1238" s="3">
        <v>4.9629000000000003</v>
      </c>
    </row>
    <row r="1239" spans="1:2" x14ac:dyDescent="0.4">
      <c r="A1239" s="2">
        <v>44600</v>
      </c>
      <c r="B1239" s="3">
        <v>5.0171000000000001</v>
      </c>
    </row>
    <row r="1240" spans="1:2" x14ac:dyDescent="0.4">
      <c r="A1240" s="2">
        <v>44601</v>
      </c>
      <c r="B1240" s="3">
        <v>5.0105000000000004</v>
      </c>
    </row>
    <row r="1241" spans="1:2" x14ac:dyDescent="0.4">
      <c r="A1241" s="2">
        <v>44602</v>
      </c>
      <c r="B1241" s="3">
        <v>5.0194999999999999</v>
      </c>
    </row>
    <row r="1242" spans="1:2" x14ac:dyDescent="0.4">
      <c r="A1242" s="2">
        <v>44603</v>
      </c>
      <c r="B1242" s="3">
        <v>5.0030000000000001</v>
      </c>
    </row>
    <row r="1243" spans="1:2" x14ac:dyDescent="0.4">
      <c r="A1243" s="2">
        <v>44606</v>
      </c>
      <c r="B1243" s="3">
        <v>5.0019999999999998</v>
      </c>
    </row>
    <row r="1244" spans="1:2" x14ac:dyDescent="0.4">
      <c r="A1244" s="2">
        <v>44607</v>
      </c>
      <c r="B1244" s="3">
        <v>4.9981999999999998</v>
      </c>
    </row>
    <row r="1245" spans="1:2" x14ac:dyDescent="0.4">
      <c r="A1245" s="2">
        <v>44608</v>
      </c>
      <c r="B1245" s="3">
        <v>4.9897999999999998</v>
      </c>
    </row>
    <row r="1246" spans="1:2" x14ac:dyDescent="0.4">
      <c r="A1246" s="2">
        <v>44609</v>
      </c>
      <c r="B1246" s="3">
        <v>4.9923000000000002</v>
      </c>
    </row>
    <row r="1247" spans="1:2" x14ac:dyDescent="0.4">
      <c r="A1247" s="2">
        <v>44610</v>
      </c>
      <c r="B1247" s="3">
        <v>4.9862000000000002</v>
      </c>
    </row>
    <row r="1248" spans="1:2" x14ac:dyDescent="0.4">
      <c r="A1248" s="2">
        <v>44613</v>
      </c>
      <c r="B1248" s="3">
        <v>4.9695999999999998</v>
      </c>
    </row>
    <row r="1249" spans="1:2" x14ac:dyDescent="0.4">
      <c r="A1249" s="2">
        <v>44614</v>
      </c>
      <c r="B1249" s="3">
        <v>4.9752000000000001</v>
      </c>
    </row>
    <row r="1250" spans="1:2" x14ac:dyDescent="0.4">
      <c r="A1250" s="2">
        <v>44615</v>
      </c>
      <c r="B1250" s="3">
        <v>4.9602000000000004</v>
      </c>
    </row>
    <row r="1251" spans="1:2" x14ac:dyDescent="0.4">
      <c r="A1251" s="2">
        <v>44616</v>
      </c>
      <c r="B1251" s="3">
        <v>4.9695999999999998</v>
      </c>
    </row>
    <row r="1252" spans="1:2" x14ac:dyDescent="0.4">
      <c r="A1252" s="2">
        <v>44617</v>
      </c>
      <c r="B1252" s="3">
        <v>4.9447999999999999</v>
      </c>
    </row>
    <row r="1253" spans="1:2" x14ac:dyDescent="0.4">
      <c r="A1253" s="2">
        <v>44620</v>
      </c>
      <c r="B1253" s="3">
        <v>4.9554</v>
      </c>
    </row>
    <row r="1254" spans="1:2" x14ac:dyDescent="0.4">
      <c r="A1254" s="2">
        <v>44621</v>
      </c>
      <c r="B1254" s="3">
        <v>4.9668999999999999</v>
      </c>
    </row>
    <row r="1255" spans="1:2" x14ac:dyDescent="0.4">
      <c r="A1255" s="2">
        <v>44622</v>
      </c>
      <c r="B1255" s="3">
        <v>4.9739000000000004</v>
      </c>
    </row>
    <row r="1256" spans="1:2" x14ac:dyDescent="0.4">
      <c r="A1256" s="2">
        <v>44623</v>
      </c>
      <c r="B1256" s="3">
        <v>4.9823000000000004</v>
      </c>
    </row>
    <row r="1257" spans="1:2" x14ac:dyDescent="0.4">
      <c r="A1257" s="2">
        <v>44624</v>
      </c>
      <c r="B1257" s="3">
        <v>4.9869000000000003</v>
      </c>
    </row>
    <row r="1258" spans="1:2" x14ac:dyDescent="0.4">
      <c r="A1258" s="2">
        <v>44627</v>
      </c>
      <c r="B1258" s="3">
        <v>4.9821999999999997</v>
      </c>
    </row>
    <row r="1259" spans="1:2" x14ac:dyDescent="0.4">
      <c r="A1259" s="2">
        <v>44628</v>
      </c>
      <c r="B1259" s="3">
        <v>4.9332000000000003</v>
      </c>
    </row>
    <row r="1260" spans="1:2" x14ac:dyDescent="0.4">
      <c r="A1260" s="2">
        <v>44629</v>
      </c>
      <c r="B1260" s="3">
        <v>4.9004000000000003</v>
      </c>
    </row>
    <row r="1261" spans="1:2" x14ac:dyDescent="0.4">
      <c r="A1261" s="2">
        <v>44630</v>
      </c>
      <c r="B1261" s="3">
        <v>4.9203000000000001</v>
      </c>
    </row>
    <row r="1262" spans="1:2" x14ac:dyDescent="0.4">
      <c r="A1262" s="2">
        <v>44631</v>
      </c>
      <c r="B1262" s="3">
        <v>4.9591000000000003</v>
      </c>
    </row>
    <row r="1263" spans="1:2" x14ac:dyDescent="0.4">
      <c r="A1263" s="2">
        <v>44634</v>
      </c>
      <c r="B1263" s="3">
        <v>4.9751000000000003</v>
      </c>
    </row>
    <row r="1264" spans="1:2" x14ac:dyDescent="0.4">
      <c r="A1264" s="2">
        <v>44635</v>
      </c>
      <c r="B1264" s="3">
        <v>4.9646999999999997</v>
      </c>
    </row>
    <row r="1265" spans="1:2" x14ac:dyDescent="0.4">
      <c r="A1265" s="2">
        <v>44636</v>
      </c>
      <c r="B1265" s="3">
        <v>4.9945000000000004</v>
      </c>
    </row>
    <row r="1266" spans="1:2" x14ac:dyDescent="0.4">
      <c r="A1266" s="2">
        <v>44637</v>
      </c>
      <c r="B1266" s="3">
        <v>4.9936999999999996</v>
      </c>
    </row>
    <row r="1267" spans="1:2" x14ac:dyDescent="0.4">
      <c r="A1267" s="2">
        <v>44638</v>
      </c>
      <c r="B1267" s="3">
        <v>5.0199999999999996</v>
      </c>
    </row>
    <row r="1268" spans="1:2" x14ac:dyDescent="0.4">
      <c r="A1268" s="2">
        <v>44641</v>
      </c>
      <c r="B1268" s="3">
        <v>5.0514000000000001</v>
      </c>
    </row>
    <row r="1269" spans="1:2" x14ac:dyDescent="0.4">
      <c r="A1269" s="2">
        <v>44642</v>
      </c>
      <c r="B1269" s="3">
        <v>5.0556000000000001</v>
      </c>
    </row>
    <row r="1270" spans="1:2" x14ac:dyDescent="0.4">
      <c r="A1270" s="2">
        <v>44643</v>
      </c>
      <c r="B1270" s="3">
        <v>5.0525000000000002</v>
      </c>
    </row>
    <row r="1271" spans="1:2" x14ac:dyDescent="0.4">
      <c r="A1271" s="2">
        <v>44644</v>
      </c>
      <c r="B1271" s="3">
        <v>5.0651999999999999</v>
      </c>
    </row>
    <row r="1272" spans="1:2" x14ac:dyDescent="0.4">
      <c r="A1272" s="2">
        <v>44645</v>
      </c>
      <c r="B1272" s="3">
        <v>5.0884999999999998</v>
      </c>
    </row>
    <row r="1273" spans="1:2" x14ac:dyDescent="0.4">
      <c r="A1273" s="2">
        <v>44648</v>
      </c>
      <c r="B1273" s="3">
        <v>5.1059000000000001</v>
      </c>
    </row>
    <row r="1274" spans="1:2" x14ac:dyDescent="0.4">
      <c r="A1274" s="2">
        <v>44649</v>
      </c>
      <c r="B1274" s="3">
        <v>5.0834999999999999</v>
      </c>
    </row>
    <row r="1275" spans="1:2" x14ac:dyDescent="0.4">
      <c r="A1275" s="2">
        <v>44650</v>
      </c>
      <c r="B1275" s="3">
        <v>5.0815999999999999</v>
      </c>
    </row>
    <row r="1276" spans="1:2" x14ac:dyDescent="0.4">
      <c r="A1276" s="2">
        <v>44651</v>
      </c>
      <c r="B1276" s="3">
        <v>5.0849000000000002</v>
      </c>
    </row>
    <row r="1277" spans="1:2" x14ac:dyDescent="0.4">
      <c r="A1277" s="2">
        <v>44652</v>
      </c>
      <c r="B1277" s="3">
        <v>5.0784000000000002</v>
      </c>
    </row>
    <row r="1278" spans="1:2" x14ac:dyDescent="0.4">
      <c r="A1278" s="2">
        <v>44657</v>
      </c>
      <c r="B1278" s="3">
        <v>5.1100000000000003</v>
      </c>
    </row>
    <row r="1279" spans="1:2" x14ac:dyDescent="0.4">
      <c r="A1279" s="2">
        <v>44658</v>
      </c>
      <c r="B1279" s="3">
        <v>5.0681000000000003</v>
      </c>
    </row>
    <row r="1280" spans="1:2" x14ac:dyDescent="0.4">
      <c r="A1280" s="2">
        <v>44659</v>
      </c>
      <c r="B1280" s="3">
        <v>5.0568</v>
      </c>
    </row>
    <row r="1281" spans="1:2" x14ac:dyDescent="0.4">
      <c r="A1281" s="2">
        <v>44662</v>
      </c>
      <c r="B1281" s="3">
        <v>5.0618999999999996</v>
      </c>
    </row>
    <row r="1282" spans="1:2" x14ac:dyDescent="0.4">
      <c r="A1282" s="2">
        <v>44663</v>
      </c>
      <c r="B1282" s="3">
        <v>5.0469999999999997</v>
      </c>
    </row>
    <row r="1283" spans="1:2" x14ac:dyDescent="0.4">
      <c r="A1283" s="2">
        <v>44664</v>
      </c>
      <c r="B1283" s="3">
        <v>5.0450999999999997</v>
      </c>
    </row>
    <row r="1284" spans="1:2" x14ac:dyDescent="0.4">
      <c r="A1284" s="2">
        <v>44665</v>
      </c>
      <c r="B1284" s="3">
        <v>5.0568</v>
      </c>
    </row>
    <row r="1285" spans="1:2" x14ac:dyDescent="0.4">
      <c r="A1285" s="2">
        <v>44666</v>
      </c>
      <c r="B1285" s="3">
        <v>5.0639000000000003</v>
      </c>
    </row>
    <row r="1286" spans="1:2" x14ac:dyDescent="0.4">
      <c r="A1286" s="2">
        <v>44669</v>
      </c>
      <c r="B1286" s="3">
        <v>5.0537999999999998</v>
      </c>
    </row>
    <row r="1287" spans="1:2" x14ac:dyDescent="0.4">
      <c r="A1287" s="2">
        <v>44670</v>
      </c>
      <c r="B1287" s="3">
        <v>5.0548999999999999</v>
      </c>
    </row>
    <row r="1288" spans="1:2" x14ac:dyDescent="0.4">
      <c r="A1288" s="2">
        <v>44671</v>
      </c>
      <c r="B1288" s="3">
        <v>5.0671999999999997</v>
      </c>
    </row>
    <row r="1289" spans="1:2" x14ac:dyDescent="0.4">
      <c r="A1289" s="2">
        <v>44672</v>
      </c>
      <c r="B1289" s="3">
        <v>5.1300999999999997</v>
      </c>
    </row>
    <row r="1290" spans="1:2" x14ac:dyDescent="0.4">
      <c r="A1290" s="2">
        <v>44673</v>
      </c>
      <c r="B1290" s="3">
        <v>5.1357999999999997</v>
      </c>
    </row>
    <row r="1291" spans="1:2" x14ac:dyDescent="0.4">
      <c r="A1291" s="2">
        <v>44676</v>
      </c>
      <c r="B1291" s="3">
        <v>5.1024000000000003</v>
      </c>
    </row>
    <row r="1292" spans="1:2" x14ac:dyDescent="0.4">
      <c r="A1292" s="2">
        <v>44677</v>
      </c>
      <c r="B1292" s="3">
        <v>5.1513999999999998</v>
      </c>
    </row>
    <row r="1293" spans="1:2" x14ac:dyDescent="0.4">
      <c r="A1293" s="2">
        <v>44678</v>
      </c>
      <c r="B1293" s="3">
        <v>5.1220999999999997</v>
      </c>
    </row>
    <row r="1294" spans="1:2" x14ac:dyDescent="0.4">
      <c r="A1294" s="2">
        <v>44679</v>
      </c>
      <c r="B1294" s="3">
        <v>5.1231</v>
      </c>
    </row>
    <row r="1295" spans="1:2" x14ac:dyDescent="0.4">
      <c r="A1295" s="2">
        <v>44680</v>
      </c>
      <c r="B1295" s="3">
        <v>5.1707000000000001</v>
      </c>
    </row>
    <row r="1296" spans="1:2" x14ac:dyDescent="0.4">
      <c r="A1296" s="2">
        <v>44686</v>
      </c>
      <c r="B1296" s="3">
        <v>5.1561000000000003</v>
      </c>
    </row>
    <row r="1297" spans="1:2" x14ac:dyDescent="0.4">
      <c r="A1297" s="2">
        <v>44687</v>
      </c>
      <c r="B1297" s="3">
        <v>5.1757</v>
      </c>
    </row>
    <row r="1298" spans="1:2" x14ac:dyDescent="0.4">
      <c r="A1298" s="2">
        <v>44690</v>
      </c>
      <c r="B1298" s="3">
        <v>5.1821999999999999</v>
      </c>
    </row>
    <row r="1299" spans="1:2" x14ac:dyDescent="0.4">
      <c r="A1299" s="2">
        <v>44691</v>
      </c>
      <c r="B1299" s="3">
        <v>5.1585000000000001</v>
      </c>
    </row>
    <row r="1300" spans="1:2" x14ac:dyDescent="0.4">
      <c r="A1300" s="2">
        <v>44692</v>
      </c>
      <c r="B1300" s="3">
        <v>5.1649000000000003</v>
      </c>
    </row>
    <row r="1301" spans="1:2" x14ac:dyDescent="0.4">
      <c r="A1301" s="2">
        <v>44693</v>
      </c>
      <c r="B1301" s="3">
        <v>5.1795999999999998</v>
      </c>
    </row>
    <row r="1302" spans="1:2" x14ac:dyDescent="0.4">
      <c r="A1302" s="2">
        <v>44694</v>
      </c>
      <c r="B1302" s="3">
        <v>5.2161999999999997</v>
      </c>
    </row>
    <row r="1303" spans="1:2" x14ac:dyDescent="0.4">
      <c r="A1303" s="2">
        <v>44697</v>
      </c>
      <c r="B1303" s="3">
        <v>5.2573999999999996</v>
      </c>
    </row>
    <row r="1304" spans="1:2" x14ac:dyDescent="0.4">
      <c r="A1304" s="2">
        <v>44698</v>
      </c>
      <c r="B1304" s="3">
        <v>5.2809999999999997</v>
      </c>
    </row>
    <row r="1305" spans="1:2" x14ac:dyDescent="0.4">
      <c r="A1305" s="2">
        <v>44699</v>
      </c>
      <c r="B1305" s="3">
        <v>5.2636000000000003</v>
      </c>
    </row>
    <row r="1306" spans="1:2" x14ac:dyDescent="0.4">
      <c r="A1306" s="2">
        <v>44700</v>
      </c>
      <c r="B1306" s="3">
        <v>5.2439999999999998</v>
      </c>
    </row>
    <row r="1307" spans="1:2" x14ac:dyDescent="0.4">
      <c r="A1307" s="2">
        <v>44701</v>
      </c>
      <c r="B1307" s="3">
        <v>5.2644000000000002</v>
      </c>
    </row>
    <row r="1308" spans="1:2" x14ac:dyDescent="0.4">
      <c r="A1308" s="2">
        <v>44704</v>
      </c>
      <c r="B1308" s="3">
        <v>5.2108999999999996</v>
      </c>
    </row>
    <row r="1309" spans="1:2" x14ac:dyDescent="0.4">
      <c r="A1309" s="2">
        <v>44705</v>
      </c>
      <c r="B1309" s="3">
        <v>5.2041000000000004</v>
      </c>
    </row>
    <row r="1310" spans="1:2" x14ac:dyDescent="0.4">
      <c r="A1310" s="2">
        <v>44706</v>
      </c>
      <c r="B1310" s="3">
        <v>5.1932999999999998</v>
      </c>
    </row>
    <row r="1311" spans="1:2" x14ac:dyDescent="0.4">
      <c r="A1311" s="2">
        <v>44707</v>
      </c>
      <c r="B1311" s="3">
        <v>5.2112999999999996</v>
      </c>
    </row>
    <row r="1312" spans="1:2" x14ac:dyDescent="0.4">
      <c r="A1312" s="2">
        <v>44708</v>
      </c>
      <c r="B1312" s="3">
        <v>5.2755000000000001</v>
      </c>
    </row>
    <row r="1313" spans="1:2" x14ac:dyDescent="0.4">
      <c r="A1313" s="2">
        <v>44711</v>
      </c>
      <c r="B1313" s="3">
        <v>5.2702</v>
      </c>
    </row>
    <row r="1314" spans="1:2" x14ac:dyDescent="0.4">
      <c r="A1314" s="2">
        <v>44712</v>
      </c>
      <c r="B1314" s="3">
        <v>5.2618</v>
      </c>
    </row>
    <row r="1315" spans="1:2" x14ac:dyDescent="0.4">
      <c r="A1315" s="2">
        <v>44713</v>
      </c>
      <c r="B1315" s="3">
        <v>5.2740999999999998</v>
      </c>
    </row>
    <row r="1316" spans="1:2" x14ac:dyDescent="0.4">
      <c r="A1316" s="2">
        <v>44714</v>
      </c>
      <c r="B1316" s="3">
        <v>5.2991999999999999</v>
      </c>
    </row>
    <row r="1317" spans="1:2" x14ac:dyDescent="0.4">
      <c r="A1317" s="2">
        <v>44718</v>
      </c>
      <c r="B1317" s="3">
        <v>5.3033000000000001</v>
      </c>
    </row>
    <row r="1318" spans="1:2" x14ac:dyDescent="0.4">
      <c r="A1318" s="2">
        <v>44719</v>
      </c>
      <c r="B1318" s="3">
        <v>5.2953000000000001</v>
      </c>
    </row>
    <row r="1319" spans="1:2" x14ac:dyDescent="0.4">
      <c r="A1319" s="2">
        <v>44720</v>
      </c>
      <c r="B1319" s="3">
        <v>5.3152999999999997</v>
      </c>
    </row>
    <row r="1320" spans="1:2" x14ac:dyDescent="0.4">
      <c r="A1320" s="2">
        <v>44721</v>
      </c>
      <c r="B1320" s="3">
        <v>5.3236999999999997</v>
      </c>
    </row>
    <row r="1321" spans="1:2" x14ac:dyDescent="0.4">
      <c r="A1321" s="2">
        <v>44722</v>
      </c>
      <c r="B1321" s="3">
        <v>5.2756999999999996</v>
      </c>
    </row>
    <row r="1322" spans="1:2" x14ac:dyDescent="0.4">
      <c r="A1322" s="2">
        <v>44725</v>
      </c>
      <c r="B1322" s="3">
        <v>5.2511000000000001</v>
      </c>
    </row>
    <row r="1323" spans="1:2" x14ac:dyDescent="0.4">
      <c r="A1323" s="2">
        <v>44726</v>
      </c>
      <c r="B1323" s="3">
        <v>5.2350000000000003</v>
      </c>
    </row>
    <row r="1324" spans="1:2" x14ac:dyDescent="0.4">
      <c r="A1324" s="2">
        <v>44727</v>
      </c>
      <c r="B1324" s="3">
        <v>5.2133000000000003</v>
      </c>
    </row>
    <row r="1325" spans="1:2" x14ac:dyDescent="0.4">
      <c r="A1325" s="2">
        <v>44728</v>
      </c>
      <c r="B1325" s="3">
        <v>5.2077999999999998</v>
      </c>
    </row>
    <row r="1326" spans="1:2" x14ac:dyDescent="0.4">
      <c r="A1326" s="2">
        <v>44729</v>
      </c>
      <c r="B1326" s="3">
        <v>5.1668000000000003</v>
      </c>
    </row>
    <row r="1327" spans="1:2" x14ac:dyDescent="0.4">
      <c r="A1327" s="2">
        <v>44732</v>
      </c>
      <c r="B1327" s="3">
        <v>5.1590999999999996</v>
      </c>
    </row>
    <row r="1328" spans="1:2" x14ac:dyDescent="0.4">
      <c r="A1328" s="2">
        <v>44733</v>
      </c>
      <c r="B1328" s="3">
        <v>5.1487999999999996</v>
      </c>
    </row>
    <row r="1329" spans="1:2" x14ac:dyDescent="0.4">
      <c r="A1329" s="2">
        <v>44734</v>
      </c>
      <c r="B1329" s="3">
        <v>5.1862000000000004</v>
      </c>
    </row>
    <row r="1330" spans="1:2" x14ac:dyDescent="0.4">
      <c r="A1330" s="2">
        <v>44735</v>
      </c>
      <c r="B1330" s="3">
        <v>5.1768000000000001</v>
      </c>
    </row>
    <row r="1331" spans="1:2" x14ac:dyDescent="0.4">
      <c r="A1331" s="2">
        <v>44736</v>
      </c>
      <c r="B1331" s="3">
        <v>5.1612</v>
      </c>
    </row>
    <row r="1332" spans="1:2" x14ac:dyDescent="0.4">
      <c r="A1332" s="2">
        <v>44739</v>
      </c>
      <c r="B1332" s="3">
        <v>5.1853999999999996</v>
      </c>
    </row>
    <row r="1333" spans="1:2" x14ac:dyDescent="0.4">
      <c r="A1333" s="2">
        <v>44740</v>
      </c>
      <c r="B1333" s="3">
        <v>5.2000999999999999</v>
      </c>
    </row>
    <row r="1334" spans="1:2" x14ac:dyDescent="0.4">
      <c r="A1334" s="2">
        <v>44741</v>
      </c>
      <c r="B1334" s="3">
        <v>5.2076000000000002</v>
      </c>
    </row>
    <row r="1335" spans="1:2" x14ac:dyDescent="0.4">
      <c r="A1335" s="2">
        <v>44742</v>
      </c>
      <c r="B1335" s="3">
        <v>5.2058</v>
      </c>
    </row>
    <row r="1336" spans="1:2" x14ac:dyDescent="0.4">
      <c r="A1336" s="2">
        <v>44743</v>
      </c>
      <c r="B1336" s="3">
        <v>5.1948999999999996</v>
      </c>
    </row>
    <row r="1337" spans="1:2" x14ac:dyDescent="0.4">
      <c r="A1337" s="2">
        <v>44746</v>
      </c>
      <c r="B1337" s="3">
        <v>5.2050999999999998</v>
      </c>
    </row>
    <row r="1338" spans="1:2" x14ac:dyDescent="0.4">
      <c r="A1338" s="2">
        <v>44747</v>
      </c>
      <c r="B1338" s="3">
        <v>5.2119999999999997</v>
      </c>
    </row>
    <row r="1339" spans="1:2" x14ac:dyDescent="0.4">
      <c r="A1339" s="2">
        <v>44748</v>
      </c>
      <c r="B1339" s="3">
        <v>5.1604999999999999</v>
      </c>
    </row>
    <row r="1340" spans="1:2" x14ac:dyDescent="0.4">
      <c r="A1340" s="2">
        <v>44749</v>
      </c>
      <c r="B1340" s="3">
        <v>5.1490999999999998</v>
      </c>
    </row>
    <row r="1341" spans="1:2" x14ac:dyDescent="0.4">
      <c r="A1341" s="2">
        <v>44750</v>
      </c>
      <c r="B1341" s="3">
        <v>5.1729000000000003</v>
      </c>
    </row>
    <row r="1342" spans="1:2" x14ac:dyDescent="0.4">
      <c r="A1342" s="2">
        <v>44753</v>
      </c>
      <c r="B1342" s="3">
        <v>5.1722000000000001</v>
      </c>
    </row>
    <row r="1343" spans="1:2" x14ac:dyDescent="0.4">
      <c r="A1343" s="2">
        <v>44754</v>
      </c>
      <c r="B1343" s="3">
        <v>5.1755000000000004</v>
      </c>
    </row>
    <row r="1344" spans="1:2" x14ac:dyDescent="0.4">
      <c r="A1344" s="2">
        <v>44755</v>
      </c>
      <c r="B1344" s="3">
        <v>5.1634000000000002</v>
      </c>
    </row>
    <row r="1345" spans="1:2" x14ac:dyDescent="0.4">
      <c r="A1345" s="2">
        <v>44756</v>
      </c>
      <c r="B1345" s="3">
        <v>5.1767000000000003</v>
      </c>
    </row>
    <row r="1346" spans="1:2" x14ac:dyDescent="0.4">
      <c r="A1346" s="2">
        <v>44757</v>
      </c>
      <c r="B1346" s="3">
        <v>5.1471999999999998</v>
      </c>
    </row>
    <row r="1347" spans="1:2" x14ac:dyDescent="0.4">
      <c r="A1347" s="2">
        <v>44760</v>
      </c>
      <c r="B1347" s="3">
        <v>5.1826999999999996</v>
      </c>
    </row>
    <row r="1348" spans="1:2" x14ac:dyDescent="0.4">
      <c r="A1348" s="2">
        <v>44761</v>
      </c>
      <c r="B1348" s="3">
        <v>5.1947000000000001</v>
      </c>
    </row>
    <row r="1349" spans="1:2" x14ac:dyDescent="0.4">
      <c r="A1349" s="2">
        <v>44762</v>
      </c>
      <c r="B1349" s="3">
        <v>5.2408000000000001</v>
      </c>
    </row>
    <row r="1350" spans="1:2" x14ac:dyDescent="0.4">
      <c r="A1350" s="2">
        <v>44763</v>
      </c>
      <c r="B1350" s="3">
        <v>5.2469000000000001</v>
      </c>
    </row>
    <row r="1351" spans="1:2" x14ac:dyDescent="0.4">
      <c r="A1351" s="2">
        <v>44764</v>
      </c>
      <c r="B1351" s="3">
        <v>5.2438000000000002</v>
      </c>
    </row>
    <row r="1352" spans="1:2" x14ac:dyDescent="0.4">
      <c r="A1352" s="2">
        <v>44767</v>
      </c>
      <c r="B1352" s="3">
        <v>5.2270000000000003</v>
      </c>
    </row>
    <row r="1353" spans="1:2" x14ac:dyDescent="0.4">
      <c r="A1353" s="2">
        <v>44768</v>
      </c>
      <c r="B1353" s="3">
        <v>5.2511000000000001</v>
      </c>
    </row>
    <row r="1354" spans="1:2" x14ac:dyDescent="0.4">
      <c r="A1354" s="2">
        <v>44769</v>
      </c>
      <c r="B1354" s="3">
        <v>5.2610000000000001</v>
      </c>
    </row>
    <row r="1355" spans="1:2" x14ac:dyDescent="0.4">
      <c r="A1355" s="2">
        <v>44770</v>
      </c>
      <c r="B1355" s="3">
        <v>5.2591999999999999</v>
      </c>
    </row>
    <row r="1356" spans="1:2" x14ac:dyDescent="0.4">
      <c r="A1356" s="2">
        <v>44771</v>
      </c>
      <c r="B1356" s="3">
        <v>5.2662000000000004</v>
      </c>
    </row>
    <row r="1357" spans="1:2" x14ac:dyDescent="0.4">
      <c r="A1357" s="2">
        <v>44774</v>
      </c>
      <c r="B1357" s="3">
        <v>5.2653999999999996</v>
      </c>
    </row>
    <row r="1358" spans="1:2" x14ac:dyDescent="0.4">
      <c r="A1358" s="2">
        <v>44775</v>
      </c>
      <c r="B1358" s="3">
        <v>5.2526000000000002</v>
      </c>
    </row>
    <row r="1359" spans="1:2" x14ac:dyDescent="0.4">
      <c r="A1359" s="2">
        <v>44776</v>
      </c>
      <c r="B1359" s="3">
        <v>5.2637999999999998</v>
      </c>
    </row>
    <row r="1360" spans="1:2" x14ac:dyDescent="0.4">
      <c r="A1360" s="2">
        <v>44777</v>
      </c>
      <c r="B1360" s="3">
        <v>5.2622999999999998</v>
      </c>
    </row>
    <row r="1361" spans="1:2" x14ac:dyDescent="0.4">
      <c r="A1361" s="2">
        <v>44778</v>
      </c>
      <c r="B1361" s="3">
        <v>5.2381000000000002</v>
      </c>
    </row>
    <row r="1362" spans="1:2" x14ac:dyDescent="0.4">
      <c r="A1362" s="2">
        <v>44781</v>
      </c>
      <c r="B1362" s="3">
        <v>5.2305999999999999</v>
      </c>
    </row>
    <row r="1363" spans="1:2" x14ac:dyDescent="0.4">
      <c r="A1363" s="2">
        <v>44782</v>
      </c>
      <c r="B1363" s="3">
        <v>5.2557999999999998</v>
      </c>
    </row>
    <row r="1364" spans="1:2" x14ac:dyDescent="0.4">
      <c r="A1364" s="2">
        <v>44783</v>
      </c>
      <c r="B1364" s="3">
        <v>5.2462999999999997</v>
      </c>
    </row>
    <row r="1365" spans="1:2" x14ac:dyDescent="0.4">
      <c r="A1365" s="2">
        <v>44784</v>
      </c>
      <c r="B1365" s="3">
        <v>5.2694999999999999</v>
      </c>
    </row>
    <row r="1366" spans="1:2" x14ac:dyDescent="0.4">
      <c r="A1366" s="2">
        <v>44785</v>
      </c>
      <c r="B1366" s="3">
        <v>5.2809999999999997</v>
      </c>
    </row>
    <row r="1367" spans="1:2" x14ac:dyDescent="0.4">
      <c r="A1367" s="2">
        <v>44788</v>
      </c>
      <c r="B1367" s="3">
        <v>5.2763999999999998</v>
      </c>
    </row>
    <row r="1368" spans="1:2" x14ac:dyDescent="0.4">
      <c r="A1368" s="2">
        <v>44789</v>
      </c>
      <c r="B1368" s="3">
        <v>5.2474999999999996</v>
      </c>
    </row>
    <row r="1369" spans="1:2" x14ac:dyDescent="0.4">
      <c r="A1369" s="2">
        <v>44790</v>
      </c>
      <c r="B1369" s="3">
        <v>5.2827999999999999</v>
      </c>
    </row>
    <row r="1370" spans="1:2" x14ac:dyDescent="0.4">
      <c r="A1370" s="2">
        <v>44791</v>
      </c>
      <c r="B1370" s="3">
        <v>5.2484999999999999</v>
      </c>
    </row>
    <row r="1371" spans="1:2" x14ac:dyDescent="0.4">
      <c r="A1371" s="2">
        <v>44792</v>
      </c>
      <c r="B1371" s="3">
        <v>5.2565</v>
      </c>
    </row>
    <row r="1372" spans="1:2" x14ac:dyDescent="0.4">
      <c r="A1372" s="2">
        <v>44795</v>
      </c>
      <c r="B1372" s="3">
        <v>5.2469999999999999</v>
      </c>
    </row>
    <row r="1373" spans="1:2" x14ac:dyDescent="0.4">
      <c r="A1373" s="2">
        <v>44796</v>
      </c>
      <c r="B1373" s="3">
        <v>5.2497999999999996</v>
      </c>
    </row>
    <row r="1374" spans="1:2" x14ac:dyDescent="0.4">
      <c r="A1374" s="2">
        <v>44797</v>
      </c>
      <c r="B1374" s="3">
        <v>5.2786999999999997</v>
      </c>
    </row>
    <row r="1375" spans="1:2" x14ac:dyDescent="0.4">
      <c r="A1375" s="2">
        <v>44798</v>
      </c>
      <c r="B1375" s="3">
        <v>5.2935999999999996</v>
      </c>
    </row>
    <row r="1376" spans="1:2" x14ac:dyDescent="0.4">
      <c r="A1376" s="2">
        <v>44799</v>
      </c>
      <c r="B1376" s="3">
        <v>5.2987000000000002</v>
      </c>
    </row>
    <row r="1377" spans="1:2" x14ac:dyDescent="0.4">
      <c r="A1377" s="2">
        <v>44802</v>
      </c>
      <c r="B1377" s="3">
        <v>5.2662000000000004</v>
      </c>
    </row>
    <row r="1378" spans="1:2" x14ac:dyDescent="0.4">
      <c r="A1378" s="2">
        <v>44803</v>
      </c>
      <c r="B1378" s="3">
        <v>5.3087</v>
      </c>
    </row>
    <row r="1379" spans="1:2" x14ac:dyDescent="0.4">
      <c r="A1379" s="2">
        <v>44804</v>
      </c>
      <c r="B1379" s="3">
        <v>5.2788000000000004</v>
      </c>
    </row>
    <row r="1380" spans="1:2" x14ac:dyDescent="0.4">
      <c r="A1380" s="2">
        <v>44805</v>
      </c>
      <c r="B1380" s="3">
        <v>5.2430000000000003</v>
      </c>
    </row>
    <row r="1381" spans="1:2" x14ac:dyDescent="0.4">
      <c r="A1381" s="2">
        <v>44806</v>
      </c>
      <c r="B1381" s="3">
        <v>5.2587999999999999</v>
      </c>
    </row>
    <row r="1382" spans="1:2" x14ac:dyDescent="0.4">
      <c r="A1382" s="2">
        <v>44809</v>
      </c>
      <c r="B1382" s="3">
        <v>5.2602000000000002</v>
      </c>
    </row>
    <row r="1383" spans="1:2" x14ac:dyDescent="0.4">
      <c r="A1383" s="2">
        <v>44810</v>
      </c>
      <c r="B1383" s="3">
        <v>5.2769000000000004</v>
      </c>
    </row>
    <row r="1384" spans="1:2" x14ac:dyDescent="0.4">
      <c r="A1384" s="2">
        <v>44811</v>
      </c>
      <c r="B1384" s="3">
        <v>5.2906000000000004</v>
      </c>
    </row>
    <row r="1385" spans="1:2" x14ac:dyDescent="0.4">
      <c r="A1385" s="2">
        <v>44812</v>
      </c>
      <c r="B1385" s="3">
        <v>5.2957000000000001</v>
      </c>
    </row>
    <row r="1386" spans="1:2" x14ac:dyDescent="0.4">
      <c r="A1386" s="2">
        <v>44813</v>
      </c>
      <c r="B1386" s="3">
        <v>5.3034999999999997</v>
      </c>
    </row>
    <row r="1387" spans="1:2" x14ac:dyDescent="0.4">
      <c r="A1387" s="2">
        <v>44817</v>
      </c>
      <c r="B1387" s="3">
        <v>5.3192000000000004</v>
      </c>
    </row>
    <row r="1388" spans="1:2" x14ac:dyDescent="0.4">
      <c r="A1388" s="2">
        <v>44818</v>
      </c>
      <c r="B1388" s="3">
        <v>5.2713999999999999</v>
      </c>
    </row>
    <row r="1389" spans="1:2" x14ac:dyDescent="0.4">
      <c r="A1389" s="2">
        <v>44819</v>
      </c>
      <c r="B1389" s="3">
        <v>5.2747000000000002</v>
      </c>
    </row>
    <row r="1390" spans="1:2" x14ac:dyDescent="0.4">
      <c r="A1390" s="2">
        <v>44820</v>
      </c>
      <c r="B1390" s="3">
        <v>5.2525000000000004</v>
      </c>
    </row>
    <row r="1391" spans="1:2" x14ac:dyDescent="0.4">
      <c r="A1391" s="2">
        <v>44823</v>
      </c>
      <c r="B1391" s="3">
        <v>5.2590000000000003</v>
      </c>
    </row>
    <row r="1392" spans="1:2" x14ac:dyDescent="0.4">
      <c r="A1392" s="2">
        <v>44824</v>
      </c>
      <c r="B1392" s="3">
        <v>5.2728000000000002</v>
      </c>
    </row>
    <row r="1393" spans="1:2" x14ac:dyDescent="0.4">
      <c r="A1393" s="2">
        <v>44825</v>
      </c>
      <c r="B1393" s="3">
        <v>5.2328999999999999</v>
      </c>
    </row>
    <row r="1394" spans="1:2" x14ac:dyDescent="0.4">
      <c r="A1394" s="2">
        <v>44826</v>
      </c>
      <c r="B1394" s="3">
        <v>5.2173999999999996</v>
      </c>
    </row>
    <row r="1395" spans="1:2" x14ac:dyDescent="0.4">
      <c r="A1395" s="2">
        <v>44827</v>
      </c>
      <c r="B1395" s="3">
        <v>5.2244000000000002</v>
      </c>
    </row>
    <row r="1396" spans="1:2" x14ac:dyDescent="0.4">
      <c r="A1396" s="2">
        <v>44830</v>
      </c>
      <c r="B1396" s="3">
        <v>5.2142999999999997</v>
      </c>
    </row>
    <row r="1397" spans="1:2" x14ac:dyDescent="0.4">
      <c r="A1397" s="2">
        <v>44831</v>
      </c>
      <c r="B1397" s="3">
        <v>5.1821000000000002</v>
      </c>
    </row>
    <row r="1398" spans="1:2" x14ac:dyDescent="0.4">
      <c r="A1398" s="2">
        <v>44832</v>
      </c>
      <c r="B1398" s="3">
        <v>5.1971999999999996</v>
      </c>
    </row>
    <row r="1399" spans="1:2" x14ac:dyDescent="0.4">
      <c r="A1399" s="2">
        <v>44833</v>
      </c>
      <c r="B1399" s="3">
        <v>5.2472000000000003</v>
      </c>
    </row>
    <row r="1400" spans="1:2" x14ac:dyDescent="0.4">
      <c r="A1400" s="2">
        <v>44834</v>
      </c>
      <c r="B1400" s="3">
        <v>5.2084000000000001</v>
      </c>
    </row>
    <row r="1401" spans="1:2" x14ac:dyDescent="0.4">
      <c r="A1401" s="2">
        <v>44844</v>
      </c>
      <c r="B1401" s="3">
        <v>5.1776</v>
      </c>
    </row>
    <row r="1402" spans="1:2" x14ac:dyDescent="0.4">
      <c r="A1402" s="2">
        <v>44845</v>
      </c>
      <c r="B1402" s="3">
        <v>5.1702000000000004</v>
      </c>
    </row>
    <row r="1403" spans="1:2" x14ac:dyDescent="0.4">
      <c r="A1403" s="2">
        <v>44846</v>
      </c>
      <c r="B1403" s="3">
        <v>5.1784999999999997</v>
      </c>
    </row>
    <row r="1404" spans="1:2" x14ac:dyDescent="0.4">
      <c r="A1404" s="2">
        <v>44847</v>
      </c>
      <c r="B1404" s="3">
        <v>5.1601999999999997</v>
      </c>
    </row>
    <row r="1405" spans="1:2" x14ac:dyDescent="0.4">
      <c r="A1405" s="2">
        <v>44848</v>
      </c>
      <c r="B1405" s="3">
        <v>5.1844999999999999</v>
      </c>
    </row>
    <row r="1406" spans="1:2" x14ac:dyDescent="0.4">
      <c r="A1406" s="2">
        <v>44851</v>
      </c>
      <c r="B1406" s="3">
        <v>5.1571999999999996</v>
      </c>
    </row>
    <row r="1407" spans="1:2" x14ac:dyDescent="0.4">
      <c r="A1407" s="2">
        <v>44852</v>
      </c>
      <c r="B1407" s="3">
        <v>5.1997999999999998</v>
      </c>
    </row>
    <row r="1408" spans="1:2" x14ac:dyDescent="0.4">
      <c r="A1408" s="2">
        <v>44853</v>
      </c>
      <c r="B1408" s="3">
        <v>5.2016999999999998</v>
      </c>
    </row>
    <row r="1409" spans="1:2" x14ac:dyDescent="0.4">
      <c r="A1409" s="2">
        <v>44854</v>
      </c>
      <c r="B1409" s="3">
        <v>5.2073999999999998</v>
      </c>
    </row>
    <row r="1410" spans="1:2" x14ac:dyDescent="0.4">
      <c r="A1410" s="2">
        <v>44855</v>
      </c>
      <c r="B1410" s="3">
        <v>5.1946000000000003</v>
      </c>
    </row>
    <row r="1411" spans="1:2" x14ac:dyDescent="0.4">
      <c r="A1411" s="2">
        <v>44858</v>
      </c>
      <c r="B1411" s="3">
        <v>5.2515999999999998</v>
      </c>
    </row>
    <row r="1412" spans="1:2" x14ac:dyDescent="0.4">
      <c r="A1412" s="2">
        <v>44859</v>
      </c>
      <c r="B1412" s="3">
        <v>5.2515999999999998</v>
      </c>
    </row>
    <row r="1413" spans="1:2" x14ac:dyDescent="0.4">
      <c r="A1413" s="2">
        <v>44860</v>
      </c>
      <c r="B1413" s="3">
        <v>5.2927</v>
      </c>
    </row>
    <row r="1414" spans="1:2" x14ac:dyDescent="0.4">
      <c r="A1414" s="2">
        <v>44861</v>
      </c>
      <c r="B1414" s="3">
        <v>5.2792000000000003</v>
      </c>
    </row>
    <row r="1415" spans="1:2" x14ac:dyDescent="0.4">
      <c r="A1415" s="2">
        <v>44862</v>
      </c>
      <c r="B1415" s="3">
        <v>5.3018999999999998</v>
      </c>
    </row>
    <row r="1416" spans="1:2" x14ac:dyDescent="0.4">
      <c r="A1416" s="2">
        <v>44865</v>
      </c>
      <c r="B1416" s="3">
        <v>5.2975000000000003</v>
      </c>
    </row>
    <row r="1417" spans="1:2" x14ac:dyDescent="0.4">
      <c r="A1417" s="2">
        <v>44866</v>
      </c>
      <c r="B1417" s="3">
        <v>5.3132999999999999</v>
      </c>
    </row>
    <row r="1418" spans="1:2" x14ac:dyDescent="0.4">
      <c r="A1418" s="2">
        <v>44867</v>
      </c>
      <c r="B1418" s="3">
        <v>5.3127000000000004</v>
      </c>
    </row>
    <row r="1419" spans="1:2" x14ac:dyDescent="0.4">
      <c r="A1419" s="2">
        <v>44868</v>
      </c>
      <c r="B1419" s="3">
        <v>5.2893999999999997</v>
      </c>
    </row>
    <row r="1420" spans="1:2" x14ac:dyDescent="0.4">
      <c r="A1420" s="2">
        <v>44869</v>
      </c>
      <c r="B1420" s="3">
        <v>5.3019999999999996</v>
      </c>
    </row>
    <row r="1421" spans="1:2" x14ac:dyDescent="0.4">
      <c r="A1421" s="2">
        <v>44872</v>
      </c>
      <c r="B1421" s="3">
        <v>5.3470000000000004</v>
      </c>
    </row>
    <row r="1422" spans="1:2" x14ac:dyDescent="0.4">
      <c r="A1422" s="2">
        <v>44873</v>
      </c>
      <c r="B1422" s="3">
        <v>5.3486000000000002</v>
      </c>
    </row>
    <row r="1423" spans="1:2" x14ac:dyDescent="0.4">
      <c r="A1423" s="2">
        <v>44874</v>
      </c>
      <c r="B1423" s="3">
        <v>5.3726000000000003</v>
      </c>
    </row>
    <row r="1424" spans="1:2" x14ac:dyDescent="0.4">
      <c r="A1424" s="2">
        <v>44875</v>
      </c>
      <c r="B1424" s="3">
        <v>5.3525</v>
      </c>
    </row>
    <row r="1425" spans="1:2" x14ac:dyDescent="0.4">
      <c r="A1425" s="2">
        <v>44876</v>
      </c>
      <c r="B1425" s="3">
        <v>5.3912000000000004</v>
      </c>
    </row>
    <row r="1426" spans="1:2" x14ac:dyDescent="0.4">
      <c r="A1426" s="2">
        <v>44879</v>
      </c>
      <c r="B1426" s="3">
        <v>5.3426999999999998</v>
      </c>
    </row>
    <row r="1427" spans="1:2" x14ac:dyDescent="0.4">
      <c r="A1427" s="2">
        <v>44880</v>
      </c>
      <c r="B1427" s="3">
        <v>5.2882999999999996</v>
      </c>
    </row>
    <row r="1428" spans="1:2" x14ac:dyDescent="0.4">
      <c r="A1428" s="2">
        <v>44881</v>
      </c>
      <c r="B1428" s="3">
        <v>5.2991999999999999</v>
      </c>
    </row>
    <row r="1429" spans="1:2" x14ac:dyDescent="0.4">
      <c r="A1429" s="2">
        <v>44882</v>
      </c>
      <c r="B1429" s="3">
        <v>5.3033000000000001</v>
      </c>
    </row>
    <row r="1430" spans="1:2" x14ac:dyDescent="0.4">
      <c r="A1430" s="2">
        <v>44883</v>
      </c>
      <c r="B1430" s="3">
        <v>5.3369</v>
      </c>
    </row>
    <row r="1431" spans="1:2" x14ac:dyDescent="0.4">
      <c r="A1431" s="2">
        <v>44886</v>
      </c>
      <c r="B1431" s="3">
        <v>5.3251999999999997</v>
      </c>
    </row>
    <row r="1432" spans="1:2" x14ac:dyDescent="0.4">
      <c r="A1432" s="2">
        <v>44887</v>
      </c>
      <c r="B1432" s="3">
        <v>5.3278999999999996</v>
      </c>
    </row>
    <row r="1433" spans="1:2" x14ac:dyDescent="0.4">
      <c r="A1433" s="2">
        <v>44888</v>
      </c>
      <c r="B1433" s="3">
        <v>5.3330000000000002</v>
      </c>
    </row>
    <row r="1434" spans="1:2" x14ac:dyDescent="0.4">
      <c r="A1434" s="2">
        <v>44889</v>
      </c>
      <c r="B1434" s="3">
        <v>5.335</v>
      </c>
    </row>
    <row r="1435" spans="1:2" x14ac:dyDescent="0.4">
      <c r="A1435" s="2">
        <v>44890</v>
      </c>
      <c r="B1435" s="3">
        <v>5.3494000000000002</v>
      </c>
    </row>
    <row r="1436" spans="1:2" x14ac:dyDescent="0.4">
      <c r="A1436" s="2">
        <v>44893</v>
      </c>
      <c r="B1436" s="3">
        <v>5.3456999999999999</v>
      </c>
    </row>
    <row r="1437" spans="1:2" x14ac:dyDescent="0.4">
      <c r="A1437" s="2">
        <v>44894</v>
      </c>
      <c r="B1437" s="3">
        <v>5.3396999999999997</v>
      </c>
    </row>
    <row r="1438" spans="1:2" x14ac:dyDescent="0.4">
      <c r="A1438" s="2">
        <v>44895</v>
      </c>
      <c r="B1438" s="3">
        <v>5.2805</v>
      </c>
    </row>
    <row r="1439" spans="1:2" x14ac:dyDescent="0.4">
      <c r="A1439" s="2">
        <v>44896</v>
      </c>
      <c r="B1439" s="3">
        <v>5.3087</v>
      </c>
    </row>
    <row r="1440" spans="1:2" x14ac:dyDescent="0.4">
      <c r="A1440" s="2">
        <v>44897</v>
      </c>
      <c r="B1440" s="3">
        <v>5.2538999999999998</v>
      </c>
    </row>
    <row r="1441" spans="1:2" x14ac:dyDescent="0.4">
      <c r="A1441" s="2">
        <v>44900</v>
      </c>
      <c r="B1441" s="3">
        <v>5.2286000000000001</v>
      </c>
    </row>
    <row r="1442" spans="1:2" x14ac:dyDescent="0.4">
      <c r="A1442" s="2">
        <v>44901</v>
      </c>
      <c r="B1442" s="3">
        <v>5.1315999999999997</v>
      </c>
    </row>
    <row r="1443" spans="1:2" x14ac:dyDescent="0.4">
      <c r="A1443" s="2">
        <v>44902</v>
      </c>
      <c r="B1443" s="3">
        <v>5.1288999999999998</v>
      </c>
    </row>
    <row r="1444" spans="1:2" x14ac:dyDescent="0.4">
      <c r="A1444" s="2">
        <v>44903</v>
      </c>
      <c r="B1444" s="3">
        <v>5.0990000000000002</v>
      </c>
    </row>
    <row r="1445" spans="1:2" x14ac:dyDescent="0.4">
      <c r="A1445" s="2">
        <v>44904</v>
      </c>
      <c r="B1445" s="3">
        <v>5.12</v>
      </c>
    </row>
    <row r="1446" spans="1:2" x14ac:dyDescent="0.4">
      <c r="A1446" s="2">
        <v>44907</v>
      </c>
      <c r="B1446" s="3">
        <v>5.0948000000000002</v>
      </c>
    </row>
    <row r="1447" spans="1:2" x14ac:dyDescent="0.4">
      <c r="A1447" s="2">
        <v>44908</v>
      </c>
      <c r="B1447" s="3">
        <v>5.1166999999999998</v>
      </c>
    </row>
    <row r="1448" spans="1:2" x14ac:dyDescent="0.4">
      <c r="A1448" s="2">
        <v>44909</v>
      </c>
      <c r="B1448" s="3">
        <v>5.1313000000000004</v>
      </c>
    </row>
    <row r="1449" spans="1:2" x14ac:dyDescent="0.4">
      <c r="A1449" s="2">
        <v>44910</v>
      </c>
      <c r="B1449" s="3">
        <v>5.1195000000000004</v>
      </c>
    </row>
    <row r="1450" spans="1:2" x14ac:dyDescent="0.4">
      <c r="A1450" s="2">
        <v>44911</v>
      </c>
      <c r="B1450" s="3">
        <v>5.1102999999999996</v>
      </c>
    </row>
    <row r="1451" spans="1:2" x14ac:dyDescent="0.4">
      <c r="A1451" s="2">
        <v>44914</v>
      </c>
      <c r="B1451" s="3">
        <v>5.0971000000000002</v>
      </c>
    </row>
    <row r="1452" spans="1:2" x14ac:dyDescent="0.4">
      <c r="A1452" s="2">
        <v>44915</v>
      </c>
      <c r="B1452" s="3">
        <v>5.1215999999999999</v>
      </c>
    </row>
    <row r="1453" spans="1:2" x14ac:dyDescent="0.4">
      <c r="A1453" s="2">
        <v>44916</v>
      </c>
      <c r="B1453" s="3">
        <v>5.1208</v>
      </c>
    </row>
    <row r="1454" spans="1:2" x14ac:dyDescent="0.4">
      <c r="A1454" s="2">
        <v>44917</v>
      </c>
      <c r="B1454" s="3">
        <v>5.1224999999999996</v>
      </c>
    </row>
    <row r="1455" spans="1:2" x14ac:dyDescent="0.4">
      <c r="A1455" s="2">
        <v>44918</v>
      </c>
      <c r="B1455" s="3">
        <v>5.1169000000000002</v>
      </c>
    </row>
    <row r="1456" spans="1:2" x14ac:dyDescent="0.4">
      <c r="A1456" s="2">
        <v>44921</v>
      </c>
      <c r="B1456" s="3">
        <v>5.1329000000000002</v>
      </c>
    </row>
    <row r="1457" spans="1:2" x14ac:dyDescent="0.4">
      <c r="A1457" s="2">
        <v>44922</v>
      </c>
      <c r="B1457" s="3">
        <v>5.1273</v>
      </c>
    </row>
    <row r="1458" spans="1:2" x14ac:dyDescent="0.4">
      <c r="A1458" s="2">
        <v>44923</v>
      </c>
      <c r="B1458" s="3">
        <v>5.1529999999999996</v>
      </c>
    </row>
    <row r="1459" spans="1:2" x14ac:dyDescent="0.4">
      <c r="A1459" s="2">
        <v>44924</v>
      </c>
      <c r="B1459" s="3">
        <v>5.1322000000000001</v>
      </c>
    </row>
    <row r="1460" spans="1:2" x14ac:dyDescent="0.4">
      <c r="A1460" s="2">
        <v>44925</v>
      </c>
      <c r="B1460" s="3">
        <v>5.1384999999999996</v>
      </c>
    </row>
    <row r="1461" spans="1:2" x14ac:dyDescent="0.4">
      <c r="A1461" s="2">
        <v>44929</v>
      </c>
      <c r="B1461" s="3">
        <v>5.1243999999999996</v>
      </c>
    </row>
    <row r="1462" spans="1:2" x14ac:dyDescent="0.4">
      <c r="A1462" s="2">
        <v>44930</v>
      </c>
      <c r="B1462" s="3">
        <v>5.0555000000000003</v>
      </c>
    </row>
    <row r="1463" spans="1:2" x14ac:dyDescent="0.4">
      <c r="A1463" s="2">
        <v>44931</v>
      </c>
      <c r="B1463" s="3">
        <v>5.1144999999999996</v>
      </c>
    </row>
    <row r="1464" spans="1:2" x14ac:dyDescent="0.4">
      <c r="A1464" s="2">
        <v>44932</v>
      </c>
      <c r="B1464" s="3">
        <v>5.0799000000000003</v>
      </c>
    </row>
    <row r="1465" spans="1:2" x14ac:dyDescent="0.4">
      <c r="A1465" s="2">
        <v>44935</v>
      </c>
      <c r="B1465" s="3">
        <v>5.0789999999999997</v>
      </c>
    </row>
    <row r="1466" spans="1:2" x14ac:dyDescent="0.4">
      <c r="A1466" s="2">
        <v>44936</v>
      </c>
      <c r="B1466" s="3">
        <v>5.0491000000000001</v>
      </c>
    </row>
    <row r="1467" spans="1:2" x14ac:dyDescent="0.4">
      <c r="A1467" s="2">
        <v>44937</v>
      </c>
      <c r="B1467" s="3">
        <v>5.0473999999999997</v>
      </c>
    </row>
    <row r="1468" spans="1:2" x14ac:dyDescent="0.4">
      <c r="A1468" s="2">
        <v>44938</v>
      </c>
      <c r="B1468" s="3">
        <v>5.0430999999999999</v>
      </c>
    </row>
    <row r="1469" spans="1:2" x14ac:dyDescent="0.4">
      <c r="A1469" s="2">
        <v>44939</v>
      </c>
      <c r="B1469" s="3">
        <v>5.0323000000000002</v>
      </c>
    </row>
    <row r="1470" spans="1:2" x14ac:dyDescent="0.4">
      <c r="A1470" s="2">
        <v>44942</v>
      </c>
      <c r="B1470" s="3">
        <v>5.0119999999999996</v>
      </c>
    </row>
    <row r="1471" spans="1:2" x14ac:dyDescent="0.4">
      <c r="A1471" s="2">
        <v>44943</v>
      </c>
      <c r="B1471" s="3">
        <v>5.0171000000000001</v>
      </c>
    </row>
    <row r="1472" spans="1:2" x14ac:dyDescent="0.4">
      <c r="A1472" s="2">
        <v>44944</v>
      </c>
      <c r="B1472" s="3">
        <v>5.0505000000000004</v>
      </c>
    </row>
    <row r="1473" spans="1:2" x14ac:dyDescent="0.4">
      <c r="A1473" s="2">
        <v>44945</v>
      </c>
      <c r="B1473" s="3">
        <v>5.0145999999999997</v>
      </c>
    </row>
    <row r="1474" spans="1:2" x14ac:dyDescent="0.4">
      <c r="A1474" s="2">
        <v>44946</v>
      </c>
      <c r="B1474" s="3">
        <v>5.0296000000000003</v>
      </c>
    </row>
    <row r="1475" spans="1:2" x14ac:dyDescent="0.4">
      <c r="A1475" s="2">
        <v>44956</v>
      </c>
      <c r="B1475" s="3">
        <v>5.0824999999999996</v>
      </c>
    </row>
    <row r="1476" spans="1:2" x14ac:dyDescent="0.4">
      <c r="A1476" s="2">
        <v>44957</v>
      </c>
      <c r="B1476" s="3">
        <v>5.0495999999999999</v>
      </c>
    </row>
    <row r="1477" spans="1:2" x14ac:dyDescent="0.4">
      <c r="A1477" s="2">
        <v>44958</v>
      </c>
      <c r="B1477" s="3">
        <v>5.0728999999999997</v>
      </c>
    </row>
    <row r="1478" spans="1:2" x14ac:dyDescent="0.4">
      <c r="A1478" s="2">
        <v>44959</v>
      </c>
      <c r="B1478" s="3">
        <v>5.0599999999999996</v>
      </c>
    </row>
    <row r="1479" spans="1:2" x14ac:dyDescent="0.4">
      <c r="A1479" s="2">
        <v>44960</v>
      </c>
      <c r="B1479" s="3">
        <v>5.0589000000000004</v>
      </c>
    </row>
    <row r="1480" spans="1:2" x14ac:dyDescent="0.4">
      <c r="A1480" s="2">
        <v>44963</v>
      </c>
      <c r="B1480" s="3">
        <v>5.0506000000000002</v>
      </c>
    </row>
    <row r="1481" spans="1:2" x14ac:dyDescent="0.4">
      <c r="A1481" s="2">
        <v>44964</v>
      </c>
      <c r="B1481" s="3">
        <v>5.0548999999999999</v>
      </c>
    </row>
    <row r="1482" spans="1:2" x14ac:dyDescent="0.4">
      <c r="A1482" s="2">
        <v>44965</v>
      </c>
      <c r="B1482" s="3">
        <v>5.0571000000000002</v>
      </c>
    </row>
    <row r="1483" spans="1:2" x14ac:dyDescent="0.4">
      <c r="A1483" s="2">
        <v>44966</v>
      </c>
      <c r="B1483" s="3">
        <v>5.0495999999999999</v>
      </c>
    </row>
    <row r="1484" spans="1:2" x14ac:dyDescent="0.4">
      <c r="A1484" s="2">
        <v>44967</v>
      </c>
      <c r="B1484" s="3">
        <v>5.0465</v>
      </c>
    </row>
    <row r="1485" spans="1:2" x14ac:dyDescent="0.4">
      <c r="A1485" s="2">
        <v>44970</v>
      </c>
      <c r="B1485" s="3">
        <v>5.1035000000000004</v>
      </c>
    </row>
    <row r="1486" spans="1:2" x14ac:dyDescent="0.4">
      <c r="A1486" s="2">
        <v>44971</v>
      </c>
      <c r="B1486" s="3">
        <v>5.1098999999999997</v>
      </c>
    </row>
    <row r="1487" spans="1:2" x14ac:dyDescent="0.4">
      <c r="A1487" s="2">
        <v>44972</v>
      </c>
      <c r="B1487" s="3">
        <v>5.1119000000000003</v>
      </c>
    </row>
    <row r="1488" spans="1:2" x14ac:dyDescent="0.4">
      <c r="A1488" s="2">
        <v>44973</v>
      </c>
      <c r="B1488" s="3">
        <v>5.1148999999999996</v>
      </c>
    </row>
    <row r="1489" spans="1:2" x14ac:dyDescent="0.4">
      <c r="A1489" s="2">
        <v>44974</v>
      </c>
      <c r="B1489" s="3">
        <v>5.0974000000000004</v>
      </c>
    </row>
    <row r="1490" spans="1:2" x14ac:dyDescent="0.4">
      <c r="A1490" s="2">
        <v>44977</v>
      </c>
      <c r="B1490" s="3">
        <v>5.0904999999999996</v>
      </c>
    </row>
    <row r="1491" spans="1:2" x14ac:dyDescent="0.4">
      <c r="A1491" s="2">
        <v>44978</v>
      </c>
      <c r="B1491" s="3">
        <v>5.0968999999999998</v>
      </c>
    </row>
    <row r="1492" spans="1:2" x14ac:dyDescent="0.4">
      <c r="A1492" s="2">
        <v>44979</v>
      </c>
      <c r="B1492" s="3">
        <v>5.0804999999999998</v>
      </c>
    </row>
    <row r="1493" spans="1:2" x14ac:dyDescent="0.4">
      <c r="A1493" s="2">
        <v>44980</v>
      </c>
      <c r="B1493" s="3">
        <v>5.0952999999999999</v>
      </c>
    </row>
    <row r="1494" spans="1:2" x14ac:dyDescent="0.4">
      <c r="A1494" s="2">
        <v>44981</v>
      </c>
      <c r="B1494" s="3">
        <v>5.0898000000000003</v>
      </c>
    </row>
    <row r="1495" spans="1:2" x14ac:dyDescent="0.4">
      <c r="A1495" s="2">
        <v>44984</v>
      </c>
      <c r="B1495" s="3">
        <v>5.1148999999999996</v>
      </c>
    </row>
    <row r="1496" spans="1:2" x14ac:dyDescent="0.4">
      <c r="A1496" s="2">
        <v>44985</v>
      </c>
      <c r="B1496" s="3">
        <v>5.1218000000000004</v>
      </c>
    </row>
    <row r="1497" spans="1:2" x14ac:dyDescent="0.4">
      <c r="A1497" s="2">
        <v>44986</v>
      </c>
      <c r="B1497" s="3">
        <v>5.0865</v>
      </c>
    </row>
    <row r="1498" spans="1:2" x14ac:dyDescent="0.4">
      <c r="A1498" s="2">
        <v>44987</v>
      </c>
      <c r="B1498" s="3">
        <v>5.0629</v>
      </c>
    </row>
    <row r="1499" spans="1:2" x14ac:dyDescent="0.4">
      <c r="A1499" s="2">
        <v>44988</v>
      </c>
      <c r="B1499" s="3">
        <v>5.0831</v>
      </c>
    </row>
    <row r="1500" spans="1:2" x14ac:dyDescent="0.4">
      <c r="A1500" s="2">
        <v>44991</v>
      </c>
      <c r="B1500" s="3">
        <v>5.0685000000000002</v>
      </c>
    </row>
    <row r="1501" spans="1:2" x14ac:dyDescent="0.4">
      <c r="A1501" s="2">
        <v>44992</v>
      </c>
      <c r="B1501" s="3">
        <v>5.0804999999999998</v>
      </c>
    </row>
    <row r="1502" spans="1:2" x14ac:dyDescent="0.4">
      <c r="A1502" s="2">
        <v>44993</v>
      </c>
      <c r="B1502" s="3">
        <v>5.0545</v>
      </c>
    </row>
    <row r="1503" spans="1:2" x14ac:dyDescent="0.4">
      <c r="A1503" s="2">
        <v>44994</v>
      </c>
      <c r="B1503" s="3">
        <v>5.0486000000000004</v>
      </c>
    </row>
    <row r="1504" spans="1:2" x14ac:dyDescent="0.4">
      <c r="A1504" s="2">
        <v>44995</v>
      </c>
      <c r="B1504" s="3">
        <v>5.0357000000000003</v>
      </c>
    </row>
    <row r="1505" spans="1:2" x14ac:dyDescent="0.4">
      <c r="A1505" s="2">
        <v>44998</v>
      </c>
      <c r="B1505" s="3">
        <v>5.0400999999999998</v>
      </c>
    </row>
    <row r="1506" spans="1:2" x14ac:dyDescent="0.4">
      <c r="A1506" s="2">
        <v>44999</v>
      </c>
      <c r="B1506" s="3">
        <v>5.0167999999999999</v>
      </c>
    </row>
    <row r="1507" spans="1:2" x14ac:dyDescent="0.4">
      <c r="A1507" s="2">
        <v>45000</v>
      </c>
      <c r="B1507" s="3">
        <v>5.0175000000000001</v>
      </c>
    </row>
    <row r="1508" spans="1:2" x14ac:dyDescent="0.4">
      <c r="A1508" s="2">
        <v>45001</v>
      </c>
      <c r="B1508" s="3">
        <v>5.0260999999999996</v>
      </c>
    </row>
    <row r="1509" spans="1:2" x14ac:dyDescent="0.4">
      <c r="A1509" s="2">
        <v>45002</v>
      </c>
      <c r="B1509" s="3">
        <v>5.0335999999999999</v>
      </c>
    </row>
    <row r="1510" spans="1:2" x14ac:dyDescent="0.4">
      <c r="A1510" s="2">
        <v>45005</v>
      </c>
      <c r="B1510" s="3">
        <v>5.0087999999999999</v>
      </c>
    </row>
    <row r="1511" spans="1:2" x14ac:dyDescent="0.4">
      <c r="A1511" s="2">
        <v>45006</v>
      </c>
      <c r="B1511" s="3">
        <v>5.0307000000000004</v>
      </c>
    </row>
    <row r="1512" spans="1:2" x14ac:dyDescent="0.4">
      <c r="A1512" s="2">
        <v>45007</v>
      </c>
      <c r="B1512" s="3">
        <v>5.0110000000000001</v>
      </c>
    </row>
    <row r="1513" spans="1:2" x14ac:dyDescent="0.4">
      <c r="A1513" s="2">
        <v>45008</v>
      </c>
      <c r="B1513" s="3">
        <v>5.0072000000000001</v>
      </c>
    </row>
    <row r="1514" spans="1:2" x14ac:dyDescent="0.4">
      <c r="A1514" s="2">
        <v>45009</v>
      </c>
      <c r="B1514" s="3">
        <v>4.9813999999999998</v>
      </c>
    </row>
    <row r="1515" spans="1:2" x14ac:dyDescent="0.4">
      <c r="A1515" s="2">
        <v>45012</v>
      </c>
      <c r="B1515" s="3">
        <v>5.0049000000000001</v>
      </c>
    </row>
    <row r="1516" spans="1:2" x14ac:dyDescent="0.4">
      <c r="A1516" s="2">
        <v>45013</v>
      </c>
      <c r="B1516" s="3">
        <v>5.0343</v>
      </c>
    </row>
    <row r="1517" spans="1:2" x14ac:dyDescent="0.4">
      <c r="A1517" s="2">
        <v>45014</v>
      </c>
      <c r="B1517" s="3">
        <v>5.0582000000000003</v>
      </c>
    </row>
    <row r="1518" spans="1:2" x14ac:dyDescent="0.4">
      <c r="A1518" s="2">
        <v>45015</v>
      </c>
      <c r="B1518" s="3">
        <v>5.0795000000000003</v>
      </c>
    </row>
    <row r="1519" spans="1:2" x14ac:dyDescent="0.4">
      <c r="A1519" s="2">
        <v>45016</v>
      </c>
      <c r="B1519" s="3">
        <v>5.0823999999999998</v>
      </c>
    </row>
    <row r="1520" spans="1:2" x14ac:dyDescent="0.4">
      <c r="A1520" s="2">
        <v>45019</v>
      </c>
      <c r="B1520" s="3">
        <v>5.0984999999999996</v>
      </c>
    </row>
    <row r="1521" spans="1:2" x14ac:dyDescent="0.4">
      <c r="A1521" s="2">
        <v>45020</v>
      </c>
      <c r="B1521" s="3">
        <v>5.1154000000000002</v>
      </c>
    </row>
    <row r="1522" spans="1:2" x14ac:dyDescent="0.4">
      <c r="A1522" s="2">
        <v>45022</v>
      </c>
      <c r="B1522" s="3">
        <v>5.1111000000000004</v>
      </c>
    </row>
    <row r="1523" spans="1:2" x14ac:dyDescent="0.4">
      <c r="A1523" s="2">
        <v>45023</v>
      </c>
      <c r="B1523" s="3">
        <v>5.0999999999999996</v>
      </c>
    </row>
    <row r="1524" spans="1:2" x14ac:dyDescent="0.4">
      <c r="A1524" s="2">
        <v>45026</v>
      </c>
      <c r="B1524" s="3">
        <v>5.0907999999999998</v>
      </c>
    </row>
    <row r="1525" spans="1:2" x14ac:dyDescent="0.4">
      <c r="A1525" s="2">
        <v>45027</v>
      </c>
      <c r="B1525" s="3">
        <v>5.0995999999999997</v>
      </c>
    </row>
    <row r="1526" spans="1:2" x14ac:dyDescent="0.4">
      <c r="A1526" s="2">
        <v>45028</v>
      </c>
      <c r="B1526" s="3">
        <v>5.1139999999999999</v>
      </c>
    </row>
    <row r="1527" spans="1:2" x14ac:dyDescent="0.4">
      <c r="A1527" s="2">
        <v>45029</v>
      </c>
      <c r="B1527" s="3">
        <v>5.1087999999999996</v>
      </c>
    </row>
    <row r="1528" spans="1:2" x14ac:dyDescent="0.4">
      <c r="A1528" s="2">
        <v>45030</v>
      </c>
      <c r="B1528" s="3">
        <v>5.1425999999999998</v>
      </c>
    </row>
    <row r="1529" spans="1:2" x14ac:dyDescent="0.4">
      <c r="A1529" s="2">
        <v>45033</v>
      </c>
      <c r="B1529" s="3">
        <v>5.1379000000000001</v>
      </c>
    </row>
    <row r="1530" spans="1:2" x14ac:dyDescent="0.4">
      <c r="A1530" s="2">
        <v>45034</v>
      </c>
      <c r="B1530" s="3">
        <v>5.1372</v>
      </c>
    </row>
    <row r="1531" spans="1:2" x14ac:dyDescent="0.4">
      <c r="A1531" s="2">
        <v>45035</v>
      </c>
      <c r="B1531" s="3">
        <v>5.1325000000000003</v>
      </c>
    </row>
    <row r="1532" spans="1:2" x14ac:dyDescent="0.4">
      <c r="A1532" s="2">
        <v>45036</v>
      </c>
      <c r="B1532" s="3">
        <v>5.1219999999999999</v>
      </c>
    </row>
    <row r="1533" spans="1:2" x14ac:dyDescent="0.4">
      <c r="A1533" s="2">
        <v>45037</v>
      </c>
      <c r="B1533" s="3">
        <v>5.0998999999999999</v>
      </c>
    </row>
    <row r="1534" spans="1:2" x14ac:dyDescent="0.4">
      <c r="A1534" s="2">
        <v>45040</v>
      </c>
      <c r="B1534" s="3">
        <v>5.0842999999999998</v>
      </c>
    </row>
    <row r="1535" spans="1:2" x14ac:dyDescent="0.4">
      <c r="A1535" s="2">
        <v>45041</v>
      </c>
      <c r="B1535" s="3">
        <v>5.0868000000000002</v>
      </c>
    </row>
    <row r="1536" spans="1:2" x14ac:dyDescent="0.4">
      <c r="A1536" s="2">
        <v>45042</v>
      </c>
      <c r="B1536" s="3">
        <v>5.0831</v>
      </c>
    </row>
    <row r="1537" spans="1:2" x14ac:dyDescent="0.4">
      <c r="A1537" s="2">
        <v>45043</v>
      </c>
      <c r="B1537" s="3">
        <v>5.0774999999999997</v>
      </c>
    </row>
    <row r="1538" spans="1:2" x14ac:dyDescent="0.4">
      <c r="A1538" s="2">
        <v>45044</v>
      </c>
      <c r="B1538" s="3">
        <v>5.0892999999999997</v>
      </c>
    </row>
    <row r="1539" spans="1:2" x14ac:dyDescent="0.4">
      <c r="A1539" s="2">
        <v>45050</v>
      </c>
      <c r="B1539" s="3">
        <v>5.0671999999999997</v>
      </c>
    </row>
    <row r="1540" spans="1:2" x14ac:dyDescent="0.4">
      <c r="A1540" s="2">
        <v>45051</v>
      </c>
      <c r="B1540" s="3">
        <v>5.1111000000000004</v>
      </c>
    </row>
    <row r="1541" spans="1:2" x14ac:dyDescent="0.4">
      <c r="A1541" s="2">
        <v>45054</v>
      </c>
      <c r="B1541" s="3">
        <v>5.1712999999999996</v>
      </c>
    </row>
    <row r="1542" spans="1:2" x14ac:dyDescent="0.4">
      <c r="A1542" s="2">
        <v>45055</v>
      </c>
      <c r="B1542" s="3">
        <v>5.1784999999999997</v>
      </c>
    </row>
    <row r="1543" spans="1:2" x14ac:dyDescent="0.4">
      <c r="A1543" s="2">
        <v>45056</v>
      </c>
      <c r="B1543" s="3">
        <v>5.18</v>
      </c>
    </row>
    <row r="1544" spans="1:2" x14ac:dyDescent="0.4">
      <c r="A1544" s="2">
        <v>45057</v>
      </c>
      <c r="B1544" s="3">
        <v>5.1687000000000003</v>
      </c>
    </row>
    <row r="1545" spans="1:2" x14ac:dyDescent="0.4">
      <c r="A1545" s="2">
        <v>45058</v>
      </c>
      <c r="B1545" s="3">
        <v>5.1496000000000004</v>
      </c>
    </row>
    <row r="1546" spans="1:2" x14ac:dyDescent="0.4">
      <c r="A1546" s="2">
        <v>45061</v>
      </c>
      <c r="B1546" s="3">
        <v>5.1371000000000002</v>
      </c>
    </row>
    <row r="1547" spans="1:2" x14ac:dyDescent="0.4">
      <c r="A1547" s="2">
        <v>45062</v>
      </c>
      <c r="B1547" s="3">
        <v>5.1619999999999999</v>
      </c>
    </row>
    <row r="1548" spans="1:2" x14ac:dyDescent="0.4">
      <c r="A1548" s="2">
        <v>45063</v>
      </c>
      <c r="B1548" s="3">
        <v>5.1749000000000001</v>
      </c>
    </row>
    <row r="1549" spans="1:2" x14ac:dyDescent="0.4">
      <c r="A1549" s="2">
        <v>45064</v>
      </c>
      <c r="B1549" s="3">
        <v>5.1988000000000003</v>
      </c>
    </row>
    <row r="1550" spans="1:2" x14ac:dyDescent="0.4">
      <c r="A1550" s="2">
        <v>45065</v>
      </c>
      <c r="B1550" s="3">
        <v>5.2126999999999999</v>
      </c>
    </row>
    <row r="1551" spans="1:2" x14ac:dyDescent="0.4">
      <c r="A1551" s="2">
        <v>45068</v>
      </c>
      <c r="B1551" s="3">
        <v>5.1985000000000001</v>
      </c>
    </row>
    <row r="1552" spans="1:2" x14ac:dyDescent="0.4">
      <c r="A1552" s="2">
        <v>45069</v>
      </c>
      <c r="B1552" s="3">
        <v>5.2083000000000004</v>
      </c>
    </row>
    <row r="1553" spans="1:2" x14ac:dyDescent="0.4">
      <c r="A1553" s="2">
        <v>45070</v>
      </c>
      <c r="B1553" s="3">
        <v>5.226</v>
      </c>
    </row>
    <row r="1554" spans="1:2" x14ac:dyDescent="0.4">
      <c r="A1554" s="2">
        <v>45071</v>
      </c>
      <c r="B1554" s="3">
        <v>5.1887999999999996</v>
      </c>
    </row>
    <row r="1555" spans="1:2" x14ac:dyDescent="0.4">
      <c r="A1555" s="2">
        <v>45072</v>
      </c>
      <c r="B1555" s="3">
        <v>5.1853999999999996</v>
      </c>
    </row>
    <row r="1556" spans="1:2" x14ac:dyDescent="0.4">
      <c r="A1556" s="2">
        <v>45075</v>
      </c>
      <c r="B1556" s="3">
        <v>5.1863999999999999</v>
      </c>
    </row>
    <row r="1557" spans="1:2" x14ac:dyDescent="0.4">
      <c r="A1557" s="2">
        <v>45076</v>
      </c>
      <c r="B1557" s="3">
        <v>5.2081999999999997</v>
      </c>
    </row>
    <row r="1558" spans="1:2" x14ac:dyDescent="0.4">
      <c r="A1558" s="2">
        <v>45077</v>
      </c>
      <c r="B1558" s="3">
        <v>5.2073</v>
      </c>
    </row>
    <row r="1559" spans="1:2" x14ac:dyDescent="0.4">
      <c r="A1559" s="2">
        <v>45078</v>
      </c>
      <c r="B1559" s="3">
        <v>5.2316000000000003</v>
      </c>
    </row>
    <row r="1560" spans="1:2" x14ac:dyDescent="0.4">
      <c r="A1560" s="2">
        <v>45079</v>
      </c>
      <c r="B1560" s="3">
        <v>5.2763</v>
      </c>
    </row>
    <row r="1561" spans="1:2" x14ac:dyDescent="0.4">
      <c r="A1561" s="2">
        <v>45082</v>
      </c>
      <c r="B1561" s="3">
        <v>5.28</v>
      </c>
    </row>
    <row r="1562" spans="1:2" x14ac:dyDescent="0.4">
      <c r="A1562" s="2">
        <v>45083</v>
      </c>
      <c r="B1562" s="3">
        <v>5.2869000000000002</v>
      </c>
    </row>
    <row r="1563" spans="1:2" x14ac:dyDescent="0.4">
      <c r="A1563" s="2">
        <v>45084</v>
      </c>
      <c r="B1563" s="3">
        <v>5.3125999999999998</v>
      </c>
    </row>
    <row r="1564" spans="1:2" x14ac:dyDescent="0.4">
      <c r="A1564" s="2">
        <v>45085</v>
      </c>
      <c r="B1564" s="3">
        <v>5.3296000000000001</v>
      </c>
    </row>
    <row r="1565" spans="1:2" x14ac:dyDescent="0.4">
      <c r="A1565" s="2">
        <v>45086</v>
      </c>
      <c r="B1565" s="3">
        <v>5.3231999999999999</v>
      </c>
    </row>
    <row r="1566" spans="1:2" x14ac:dyDescent="0.4">
      <c r="A1566" s="2">
        <v>45089</v>
      </c>
      <c r="B1566" s="3">
        <v>5.3391000000000002</v>
      </c>
    </row>
    <row r="1567" spans="1:2" x14ac:dyDescent="0.4">
      <c r="A1567" s="2">
        <v>45090</v>
      </c>
      <c r="B1567" s="3">
        <v>5.3497000000000003</v>
      </c>
    </row>
    <row r="1568" spans="1:2" x14ac:dyDescent="0.4">
      <c r="A1568" s="2">
        <v>45091</v>
      </c>
      <c r="B1568" s="3">
        <v>5.3749000000000002</v>
      </c>
    </row>
    <row r="1569" spans="1:2" x14ac:dyDescent="0.4">
      <c r="A1569" s="2">
        <v>45092</v>
      </c>
      <c r="B1569" s="3">
        <v>5.3640999999999996</v>
      </c>
    </row>
    <row r="1570" spans="1:2" x14ac:dyDescent="0.4">
      <c r="A1570" s="2">
        <v>45093</v>
      </c>
      <c r="B1570" s="3">
        <v>5.3916000000000004</v>
      </c>
    </row>
    <row r="1571" spans="1:2" x14ac:dyDescent="0.4">
      <c r="A1571" s="2">
        <v>45096</v>
      </c>
      <c r="B1571" s="3">
        <v>5.3955000000000002</v>
      </c>
    </row>
    <row r="1572" spans="1:2" x14ac:dyDescent="0.4">
      <c r="A1572" s="2">
        <v>45097</v>
      </c>
      <c r="B1572" s="3">
        <v>5.4223999999999997</v>
      </c>
    </row>
    <row r="1573" spans="1:2" x14ac:dyDescent="0.4">
      <c r="A1573" s="2">
        <v>45098</v>
      </c>
      <c r="B1573" s="3">
        <v>5.4276</v>
      </c>
    </row>
    <row r="1574" spans="1:2" x14ac:dyDescent="0.4">
      <c r="A1574" s="2">
        <v>45103</v>
      </c>
      <c r="B1574" s="3">
        <v>5.4778000000000002</v>
      </c>
    </row>
    <row r="1575" spans="1:2" x14ac:dyDescent="0.4">
      <c r="A1575" s="2">
        <v>45104</v>
      </c>
      <c r="B1575" s="3">
        <v>5.4912000000000001</v>
      </c>
    </row>
    <row r="1576" spans="1:2" x14ac:dyDescent="0.4">
      <c r="A1576" s="2">
        <v>45105</v>
      </c>
      <c r="B1576" s="3">
        <v>5.4649000000000001</v>
      </c>
    </row>
    <row r="1577" spans="1:2" x14ac:dyDescent="0.4">
      <c r="A1577" s="2">
        <v>45106</v>
      </c>
      <c r="B1577" s="3">
        <v>5.4736000000000002</v>
      </c>
    </row>
    <row r="1578" spans="1:2" x14ac:dyDescent="0.4">
      <c r="A1578" s="2">
        <v>45107</v>
      </c>
      <c r="B1578" s="3">
        <v>5.4721000000000002</v>
      </c>
    </row>
    <row r="1579" spans="1:2" x14ac:dyDescent="0.4">
      <c r="A1579" s="2">
        <v>45110</v>
      </c>
      <c r="B1579" s="3">
        <v>5.4684999999999997</v>
      </c>
    </row>
    <row r="1580" spans="1:2" x14ac:dyDescent="0.4">
      <c r="A1580" s="2">
        <v>45111</v>
      </c>
      <c r="B1580" s="3">
        <v>5.4637000000000002</v>
      </c>
    </row>
    <row r="1581" spans="1:2" x14ac:dyDescent="0.4">
      <c r="A1581" s="2">
        <v>45112</v>
      </c>
      <c r="B1581" s="3">
        <v>5.4566999999999997</v>
      </c>
    </row>
    <row r="1582" spans="1:2" x14ac:dyDescent="0.4">
      <c r="A1582" s="2">
        <v>45113</v>
      </c>
      <c r="B1582" s="3">
        <v>5.4562999999999997</v>
      </c>
    </row>
    <row r="1583" spans="1:2" x14ac:dyDescent="0.4">
      <c r="A1583" s="2">
        <v>45114</v>
      </c>
      <c r="B1583" s="3">
        <v>5.42</v>
      </c>
    </row>
    <row r="1584" spans="1:2" x14ac:dyDescent="0.4">
      <c r="A1584" s="2">
        <v>45117</v>
      </c>
      <c r="B1584" s="3">
        <v>5.4306000000000001</v>
      </c>
    </row>
    <row r="1585" spans="1:2" x14ac:dyDescent="0.4">
      <c r="A1585" s="2">
        <v>45118</v>
      </c>
      <c r="B1585" s="3">
        <v>5.4363999999999999</v>
      </c>
    </row>
    <row r="1586" spans="1:2" x14ac:dyDescent="0.4">
      <c r="A1586" s="2">
        <v>45119</v>
      </c>
      <c r="B1586" s="3">
        <v>5.4371999999999998</v>
      </c>
    </row>
    <row r="1587" spans="1:2" x14ac:dyDescent="0.4">
      <c r="A1587" s="2">
        <v>45120</v>
      </c>
      <c r="B1587" s="3">
        <v>5.4322999999999997</v>
      </c>
    </row>
    <row r="1588" spans="1:2" x14ac:dyDescent="0.4">
      <c r="A1588" s="2">
        <v>45121</v>
      </c>
      <c r="B1588" s="3">
        <v>5.4485000000000001</v>
      </c>
    </row>
    <row r="1589" spans="1:2" x14ac:dyDescent="0.4">
      <c r="A1589" s="2">
        <v>45124</v>
      </c>
      <c r="B1589" s="3">
        <v>5.3970000000000002</v>
      </c>
    </row>
    <row r="1590" spans="1:2" x14ac:dyDescent="0.4">
      <c r="A1590" s="2">
        <v>45125</v>
      </c>
      <c r="B1590" s="3">
        <v>5.4328000000000003</v>
      </c>
    </row>
    <row r="1591" spans="1:2" x14ac:dyDescent="0.4">
      <c r="A1591" s="2">
        <v>45126</v>
      </c>
      <c r="B1591" s="3">
        <v>5.4523000000000001</v>
      </c>
    </row>
    <row r="1592" spans="1:2" x14ac:dyDescent="0.4">
      <c r="A1592" s="2">
        <v>45127</v>
      </c>
      <c r="B1592" s="3">
        <v>5.4865000000000004</v>
      </c>
    </row>
    <row r="1593" spans="1:2" x14ac:dyDescent="0.4">
      <c r="A1593" s="2">
        <v>45128</v>
      </c>
      <c r="B1593" s="3">
        <v>5.4607999999999999</v>
      </c>
    </row>
    <row r="1594" spans="1:2" x14ac:dyDescent="0.4">
      <c r="A1594" s="2">
        <v>45131</v>
      </c>
      <c r="B1594" s="3">
        <v>5.4306000000000001</v>
      </c>
    </row>
    <row r="1595" spans="1:2" x14ac:dyDescent="0.4">
      <c r="A1595" s="2">
        <v>45132</v>
      </c>
      <c r="B1595" s="3">
        <v>5.468</v>
      </c>
    </row>
    <row r="1596" spans="1:2" x14ac:dyDescent="0.4">
      <c r="A1596" s="2">
        <v>45133</v>
      </c>
      <c r="B1596" s="3">
        <v>5.4108999999999998</v>
      </c>
    </row>
    <row r="1597" spans="1:2" x14ac:dyDescent="0.4">
      <c r="A1597" s="2">
        <v>45134</v>
      </c>
      <c r="B1597" s="3">
        <v>5.4123999999999999</v>
      </c>
    </row>
    <row r="1598" spans="1:2" x14ac:dyDescent="0.4">
      <c r="A1598" s="2">
        <v>45135</v>
      </c>
      <c r="B1598" s="3">
        <v>5.4150999999999998</v>
      </c>
    </row>
    <row r="1599" spans="1:2" x14ac:dyDescent="0.4">
      <c r="A1599" s="2">
        <v>45138</v>
      </c>
      <c r="B1599" s="3">
        <v>5.4008000000000003</v>
      </c>
    </row>
    <row r="1600" spans="1:2" x14ac:dyDescent="0.4">
      <c r="A1600" s="2">
        <v>45139</v>
      </c>
      <c r="B1600" s="3">
        <v>5.4188999999999998</v>
      </c>
    </row>
    <row r="1601" spans="1:2" x14ac:dyDescent="0.4">
      <c r="A1601" s="2">
        <v>45140</v>
      </c>
      <c r="B1601" s="3">
        <v>5.3994999999999997</v>
      </c>
    </row>
    <row r="1602" spans="1:2" x14ac:dyDescent="0.4">
      <c r="A1602" s="2">
        <v>45141</v>
      </c>
      <c r="B1602" s="3">
        <v>5.3890000000000002</v>
      </c>
    </row>
    <row r="1603" spans="1:2" x14ac:dyDescent="0.4">
      <c r="A1603" s="2">
        <v>45142</v>
      </c>
      <c r="B1603" s="3">
        <v>5.3789999999999996</v>
      </c>
    </row>
    <row r="1604" spans="1:2" x14ac:dyDescent="0.4">
      <c r="A1604" s="2">
        <v>45145</v>
      </c>
      <c r="B1604" s="3">
        <v>5.3569000000000004</v>
      </c>
    </row>
    <row r="1605" spans="1:2" x14ac:dyDescent="0.4">
      <c r="A1605" s="2">
        <v>45146</v>
      </c>
      <c r="B1605" s="3">
        <v>5.3727999999999998</v>
      </c>
    </row>
    <row r="1606" spans="1:2" x14ac:dyDescent="0.4">
      <c r="A1606" s="2">
        <v>45147</v>
      </c>
      <c r="B1606" s="3">
        <v>5.3764000000000003</v>
      </c>
    </row>
    <row r="1607" spans="1:2" x14ac:dyDescent="0.4">
      <c r="A1607" s="2">
        <v>45148</v>
      </c>
      <c r="B1607" s="3">
        <v>5.3663999999999996</v>
      </c>
    </row>
    <row r="1608" spans="1:2" x14ac:dyDescent="0.4">
      <c r="A1608" s="2">
        <v>45149</v>
      </c>
      <c r="B1608" s="3">
        <v>5.3678999999999997</v>
      </c>
    </row>
    <row r="1609" spans="1:2" x14ac:dyDescent="0.4">
      <c r="A1609" s="2">
        <v>45152</v>
      </c>
      <c r="B1609" s="3">
        <v>5.3883000000000001</v>
      </c>
    </row>
    <row r="1610" spans="1:2" x14ac:dyDescent="0.4">
      <c r="A1610" s="2">
        <v>45153</v>
      </c>
      <c r="B1610" s="3">
        <v>5.3939000000000004</v>
      </c>
    </row>
    <row r="1611" spans="1:2" x14ac:dyDescent="0.4">
      <c r="A1611" s="2">
        <v>45154</v>
      </c>
      <c r="B1611" s="3">
        <v>5.3989000000000003</v>
      </c>
    </row>
    <row r="1612" spans="1:2" x14ac:dyDescent="0.4">
      <c r="A1612" s="2">
        <v>45155</v>
      </c>
      <c r="B1612" s="3">
        <v>5.3924000000000003</v>
      </c>
    </row>
    <row r="1613" spans="1:2" x14ac:dyDescent="0.4">
      <c r="A1613" s="2">
        <v>45156</v>
      </c>
      <c r="B1613" s="3">
        <v>5.3918999999999997</v>
      </c>
    </row>
    <row r="1614" spans="1:2" x14ac:dyDescent="0.4">
      <c r="A1614" s="2">
        <v>45159</v>
      </c>
      <c r="B1614" s="3">
        <v>5.3785999999999996</v>
      </c>
    </row>
    <row r="1615" spans="1:2" x14ac:dyDescent="0.4">
      <c r="A1615" s="2">
        <v>45160</v>
      </c>
      <c r="B1615" s="3">
        <v>5.3928000000000003</v>
      </c>
    </row>
    <row r="1616" spans="1:2" x14ac:dyDescent="0.4">
      <c r="A1616" s="2">
        <v>45161</v>
      </c>
      <c r="B1616" s="3">
        <v>5.3868</v>
      </c>
    </row>
    <row r="1617" spans="1:2" x14ac:dyDescent="0.4">
      <c r="A1617" s="2">
        <v>45162</v>
      </c>
      <c r="B1617" s="3">
        <v>5.3781999999999996</v>
      </c>
    </row>
    <row r="1618" spans="1:2" x14ac:dyDescent="0.4">
      <c r="A1618" s="2">
        <v>45163</v>
      </c>
      <c r="B1618" s="3">
        <v>5.3647999999999998</v>
      </c>
    </row>
    <row r="1619" spans="1:2" x14ac:dyDescent="0.4">
      <c r="A1619" s="2">
        <v>45166</v>
      </c>
      <c r="B1619" s="3">
        <v>5.3578000000000001</v>
      </c>
    </row>
    <row r="1620" spans="1:2" x14ac:dyDescent="0.4">
      <c r="A1620" s="2">
        <v>45167</v>
      </c>
      <c r="B1620" s="3">
        <v>5.3556999999999997</v>
      </c>
    </row>
    <row r="1621" spans="1:2" x14ac:dyDescent="0.4">
      <c r="A1621" s="2">
        <v>45168</v>
      </c>
      <c r="B1621" s="3">
        <v>5.3662999999999998</v>
      </c>
    </row>
    <row r="1622" spans="1:2" x14ac:dyDescent="0.4">
      <c r="A1622" s="2">
        <v>45169</v>
      </c>
      <c r="B1622" s="3">
        <v>5.3754999999999997</v>
      </c>
    </row>
    <row r="1623" spans="1:2" x14ac:dyDescent="0.4">
      <c r="A1623" s="2">
        <v>45170</v>
      </c>
      <c r="B1623" s="3">
        <v>5.3977000000000004</v>
      </c>
    </row>
    <row r="1624" spans="1:2" x14ac:dyDescent="0.4">
      <c r="A1624" s="2">
        <v>45173</v>
      </c>
      <c r="B1624" s="3">
        <v>5.3498999999999999</v>
      </c>
    </row>
    <row r="1625" spans="1:2" x14ac:dyDescent="0.4">
      <c r="A1625" s="2">
        <v>45174</v>
      </c>
      <c r="B1625" s="3">
        <v>5.3464999999999998</v>
      </c>
    </row>
    <row r="1626" spans="1:2" x14ac:dyDescent="0.4">
      <c r="A1626" s="2">
        <v>45175</v>
      </c>
      <c r="B1626" s="3">
        <v>5.3582000000000001</v>
      </c>
    </row>
    <row r="1627" spans="1:2" x14ac:dyDescent="0.4">
      <c r="A1627" s="2">
        <v>45176</v>
      </c>
      <c r="B1627" s="3">
        <v>5.3594999999999997</v>
      </c>
    </row>
    <row r="1628" spans="1:2" x14ac:dyDescent="0.4">
      <c r="A1628" s="2">
        <v>45177</v>
      </c>
      <c r="B1628" s="3">
        <v>5.3522999999999996</v>
      </c>
    </row>
    <row r="1629" spans="1:2" x14ac:dyDescent="0.4">
      <c r="A1629" s="2">
        <v>45180</v>
      </c>
      <c r="B1629" s="3">
        <v>5.3682999999999996</v>
      </c>
    </row>
    <row r="1630" spans="1:2" x14ac:dyDescent="0.4">
      <c r="A1630" s="2">
        <v>45181</v>
      </c>
      <c r="B1630" s="3">
        <v>5.3480999999999996</v>
      </c>
    </row>
    <row r="1631" spans="1:2" x14ac:dyDescent="0.4">
      <c r="A1631" s="2">
        <v>45182</v>
      </c>
      <c r="B1631" s="3">
        <v>5.3532999999999999</v>
      </c>
    </row>
    <row r="1632" spans="1:2" x14ac:dyDescent="0.4">
      <c r="A1632" s="2">
        <v>45183</v>
      </c>
      <c r="B1632" s="3">
        <v>5.3436000000000003</v>
      </c>
    </row>
    <row r="1633" spans="1:2" x14ac:dyDescent="0.4">
      <c r="A1633" s="2">
        <v>45184</v>
      </c>
      <c r="B1633" s="3">
        <v>5.3578999999999999</v>
      </c>
    </row>
    <row r="1634" spans="1:2" x14ac:dyDescent="0.4">
      <c r="A1634" s="2">
        <v>45187</v>
      </c>
      <c r="B1634" s="3">
        <v>5.3446999999999996</v>
      </c>
    </row>
    <row r="1635" spans="1:2" x14ac:dyDescent="0.4">
      <c r="A1635" s="2">
        <v>45188</v>
      </c>
      <c r="B1635" s="3">
        <v>5.3625999999999996</v>
      </c>
    </row>
    <row r="1636" spans="1:2" x14ac:dyDescent="0.4">
      <c r="A1636" s="2">
        <v>45189</v>
      </c>
      <c r="B1636" s="3">
        <v>5.3723000000000001</v>
      </c>
    </row>
    <row r="1637" spans="1:2" x14ac:dyDescent="0.4">
      <c r="A1637" s="2">
        <v>45190</v>
      </c>
      <c r="B1637" s="3">
        <v>5.3642000000000003</v>
      </c>
    </row>
    <row r="1638" spans="1:2" x14ac:dyDescent="0.4">
      <c r="A1638" s="2">
        <v>45191</v>
      </c>
      <c r="B1638" s="3">
        <v>5.36</v>
      </c>
    </row>
    <row r="1639" spans="1:2" x14ac:dyDescent="0.4">
      <c r="A1639" s="2">
        <v>45194</v>
      </c>
      <c r="B1639" s="3">
        <v>5.3558000000000003</v>
      </c>
    </row>
    <row r="1640" spans="1:2" x14ac:dyDescent="0.4">
      <c r="A1640" s="2">
        <v>45195</v>
      </c>
      <c r="B1640" s="3">
        <v>5.3733000000000004</v>
      </c>
    </row>
    <row r="1641" spans="1:2" x14ac:dyDescent="0.4">
      <c r="A1641" s="2">
        <v>45196</v>
      </c>
      <c r="B1641" s="3">
        <v>5.3465999999999996</v>
      </c>
    </row>
    <row r="1642" spans="1:2" x14ac:dyDescent="0.4">
      <c r="A1642" s="2">
        <v>45197</v>
      </c>
      <c r="B1642" s="3">
        <v>5.3558000000000003</v>
      </c>
    </row>
    <row r="1643" spans="1:2" x14ac:dyDescent="0.4">
      <c r="A1643" s="2">
        <v>45208</v>
      </c>
      <c r="B1643" s="3">
        <v>5.2857000000000003</v>
      </c>
    </row>
    <row r="1644" spans="1:2" x14ac:dyDescent="0.4">
      <c r="A1644" s="2">
        <v>45209</v>
      </c>
      <c r="B1644" s="3">
        <v>5.3076999999999996</v>
      </c>
    </row>
    <row r="1645" spans="1:2" x14ac:dyDescent="0.4">
      <c r="A1645" s="2">
        <v>45210</v>
      </c>
      <c r="B1645" s="3">
        <v>5.3109999999999999</v>
      </c>
    </row>
    <row r="1646" spans="1:2" x14ac:dyDescent="0.4">
      <c r="A1646" s="2">
        <v>45211</v>
      </c>
      <c r="B1646" s="3">
        <v>5.3075000000000001</v>
      </c>
    </row>
    <row r="1647" spans="1:2" x14ac:dyDescent="0.4">
      <c r="A1647" s="2">
        <v>45212</v>
      </c>
      <c r="B1647" s="3">
        <v>5.2808999999999999</v>
      </c>
    </row>
    <row r="1648" spans="1:2" x14ac:dyDescent="0.4">
      <c r="A1648" s="2">
        <v>45215</v>
      </c>
      <c r="B1648" s="3">
        <v>5.2916999999999996</v>
      </c>
    </row>
    <row r="1649" spans="1:2" x14ac:dyDescent="0.4">
      <c r="A1649" s="2">
        <v>45216</v>
      </c>
      <c r="B1649" s="3">
        <v>5.3015999999999996</v>
      </c>
    </row>
    <row r="1650" spans="1:2" x14ac:dyDescent="0.4">
      <c r="A1650" s="2">
        <v>45217</v>
      </c>
      <c r="B1650" s="3">
        <v>5.2908999999999997</v>
      </c>
    </row>
    <row r="1651" spans="1:2" x14ac:dyDescent="0.4">
      <c r="A1651" s="2">
        <v>45218</v>
      </c>
      <c r="B1651" s="3">
        <v>5.2732000000000001</v>
      </c>
    </row>
    <row r="1652" spans="1:2" x14ac:dyDescent="0.4">
      <c r="A1652" s="2">
        <v>45219</v>
      </c>
      <c r="B1652" s="3">
        <v>5.2614999999999998</v>
      </c>
    </row>
    <row r="1653" spans="1:2" x14ac:dyDescent="0.4">
      <c r="A1653" s="2">
        <v>45222</v>
      </c>
      <c r="B1653" s="3">
        <v>5.2695999999999996</v>
      </c>
    </row>
    <row r="1654" spans="1:2" x14ac:dyDescent="0.4">
      <c r="A1654" s="2">
        <v>45223</v>
      </c>
      <c r="B1654" s="3">
        <v>5.2709000000000001</v>
      </c>
    </row>
    <row r="1655" spans="1:2" x14ac:dyDescent="0.4">
      <c r="A1655" s="2">
        <v>45224</v>
      </c>
      <c r="B1655" s="3">
        <v>5.2572000000000001</v>
      </c>
    </row>
    <row r="1656" spans="1:2" x14ac:dyDescent="0.4">
      <c r="A1656" s="2">
        <v>45225</v>
      </c>
      <c r="B1656" s="3">
        <v>5.2378</v>
      </c>
    </row>
    <row r="1657" spans="1:2" x14ac:dyDescent="0.4">
      <c r="A1657" s="2">
        <v>45226</v>
      </c>
      <c r="B1657" s="3">
        <v>5.2248000000000001</v>
      </c>
    </row>
    <row r="1658" spans="1:2" x14ac:dyDescent="0.4">
      <c r="A1658" s="2">
        <v>45229</v>
      </c>
      <c r="B1658" s="3">
        <v>5.2080000000000002</v>
      </c>
    </row>
    <row r="1659" spans="1:2" x14ac:dyDescent="0.4">
      <c r="A1659" s="2">
        <v>45230</v>
      </c>
      <c r="B1659" s="3">
        <v>5.2171000000000003</v>
      </c>
    </row>
    <row r="1660" spans="1:2" x14ac:dyDescent="0.4">
      <c r="A1660" s="2">
        <v>45231</v>
      </c>
      <c r="B1660" s="3">
        <v>5.2142999999999997</v>
      </c>
    </row>
    <row r="1661" spans="1:2" x14ac:dyDescent="0.4">
      <c r="A1661" s="2">
        <v>45232</v>
      </c>
      <c r="B1661" s="3">
        <v>5.2156000000000002</v>
      </c>
    </row>
    <row r="1662" spans="1:2" x14ac:dyDescent="0.4">
      <c r="A1662" s="2">
        <v>45233</v>
      </c>
      <c r="B1662" s="3">
        <v>5.25</v>
      </c>
    </row>
    <row r="1663" spans="1:2" x14ac:dyDescent="0.4">
      <c r="A1663" s="2">
        <v>45236</v>
      </c>
      <c r="B1663" s="3">
        <v>5.2773000000000003</v>
      </c>
    </row>
    <row r="1664" spans="1:2" x14ac:dyDescent="0.4">
      <c r="A1664" s="2">
        <v>45237</v>
      </c>
      <c r="B1664" s="3">
        <v>5.2640000000000002</v>
      </c>
    </row>
    <row r="1665" spans="1:2" x14ac:dyDescent="0.4">
      <c r="A1665" s="2">
        <v>45238</v>
      </c>
      <c r="B1665" s="3">
        <v>5.2439999999999998</v>
      </c>
    </row>
    <row r="1666" spans="1:2" x14ac:dyDescent="0.4">
      <c r="A1666" s="2">
        <v>45239</v>
      </c>
      <c r="B1666" s="3">
        <v>5.2286999999999999</v>
      </c>
    </row>
    <row r="1667" spans="1:2" x14ac:dyDescent="0.4">
      <c r="A1667" s="2">
        <v>45240</v>
      </c>
      <c r="B1667" s="3">
        <v>5.2281000000000004</v>
      </c>
    </row>
    <row r="1668" spans="1:2" x14ac:dyDescent="0.4">
      <c r="A1668" s="2">
        <v>45243</v>
      </c>
      <c r="B1668" s="3">
        <v>5.2291999999999996</v>
      </c>
    </row>
    <row r="1669" spans="1:2" x14ac:dyDescent="0.4">
      <c r="A1669" s="2">
        <v>45244</v>
      </c>
      <c r="B1669" s="3">
        <v>5.2252000000000001</v>
      </c>
    </row>
    <row r="1670" spans="1:2" x14ac:dyDescent="0.4">
      <c r="A1670" s="2">
        <v>45245</v>
      </c>
      <c r="B1670" s="3">
        <v>5.2478999999999996</v>
      </c>
    </row>
    <row r="1671" spans="1:2" x14ac:dyDescent="0.4">
      <c r="A1671" s="2">
        <v>45246</v>
      </c>
      <c r="B1671" s="3">
        <v>5.2575000000000003</v>
      </c>
    </row>
    <row r="1672" spans="1:2" x14ac:dyDescent="0.4">
      <c r="A1672" s="2">
        <v>45247</v>
      </c>
      <c r="B1672" s="3">
        <v>5.2319000000000004</v>
      </c>
    </row>
    <row r="1673" spans="1:2" x14ac:dyDescent="0.4">
      <c r="A1673" s="2">
        <v>45250</v>
      </c>
      <c r="B1673" s="3">
        <v>5.2386999999999997</v>
      </c>
    </row>
    <row r="1674" spans="1:2" x14ac:dyDescent="0.4">
      <c r="A1674" s="2">
        <v>45251</v>
      </c>
      <c r="B1674" s="3">
        <v>5.2130999999999998</v>
      </c>
    </row>
    <row r="1675" spans="1:2" x14ac:dyDescent="0.4">
      <c r="A1675" s="2">
        <v>45252</v>
      </c>
      <c r="B1675" s="3">
        <v>5.2123999999999997</v>
      </c>
    </row>
    <row r="1676" spans="1:2" x14ac:dyDescent="0.4">
      <c r="A1676" s="2">
        <v>45253</v>
      </c>
      <c r="B1676" s="3">
        <v>5.2183999999999999</v>
      </c>
    </row>
    <row r="1677" spans="1:2" x14ac:dyDescent="0.4">
      <c r="A1677" s="2">
        <v>45254</v>
      </c>
      <c r="B1677" s="3">
        <v>5.2031000000000001</v>
      </c>
    </row>
    <row r="1678" spans="1:2" x14ac:dyDescent="0.4">
      <c r="A1678" s="2">
        <v>45257</v>
      </c>
      <c r="B1678" s="3">
        <v>5.2229000000000001</v>
      </c>
    </row>
    <row r="1679" spans="1:2" x14ac:dyDescent="0.4">
      <c r="A1679" s="2">
        <v>45258</v>
      </c>
      <c r="B1679" s="3">
        <v>5.2294</v>
      </c>
    </row>
    <row r="1680" spans="1:2" x14ac:dyDescent="0.4">
      <c r="A1680" s="2">
        <v>45259</v>
      </c>
      <c r="B1680" s="3">
        <v>5.2405999999999997</v>
      </c>
    </row>
    <row r="1681" spans="1:2" x14ac:dyDescent="0.4">
      <c r="A1681" s="2">
        <v>45260</v>
      </c>
      <c r="B1681" s="3">
        <v>5.2347999999999999</v>
      </c>
    </row>
    <row r="1682" spans="1:2" x14ac:dyDescent="0.4">
      <c r="A1682" s="2">
        <v>45261</v>
      </c>
      <c r="B1682" s="3">
        <v>5.2557999999999998</v>
      </c>
    </row>
    <row r="1683" spans="1:2" x14ac:dyDescent="0.4">
      <c r="A1683" s="2">
        <v>45264</v>
      </c>
      <c r="B1683" s="3">
        <v>5.2725999999999997</v>
      </c>
    </row>
    <row r="1684" spans="1:2" x14ac:dyDescent="0.4">
      <c r="A1684" s="2">
        <v>45265</v>
      </c>
      <c r="B1684" s="3">
        <v>5.2622999999999998</v>
      </c>
    </row>
    <row r="1685" spans="1:2" x14ac:dyDescent="0.4">
      <c r="A1685" s="2">
        <v>45266</v>
      </c>
      <c r="B1685" s="3">
        <v>5.2469999999999999</v>
      </c>
    </row>
    <row r="1686" spans="1:2" x14ac:dyDescent="0.4">
      <c r="A1686" s="2">
        <v>45267</v>
      </c>
      <c r="B1686" s="3">
        <v>5.2466999999999997</v>
      </c>
    </row>
    <row r="1687" spans="1:2" x14ac:dyDescent="0.4">
      <c r="A1687" s="2">
        <v>45268</v>
      </c>
      <c r="B1687" s="3">
        <v>5.2336</v>
      </c>
    </row>
    <row r="1688" spans="1:2" x14ac:dyDescent="0.4">
      <c r="A1688" s="2">
        <v>45271</v>
      </c>
      <c r="B1688" s="3">
        <v>5.2472000000000003</v>
      </c>
    </row>
    <row r="1689" spans="1:2" x14ac:dyDescent="0.4">
      <c r="A1689" s="2">
        <v>45272</v>
      </c>
      <c r="B1689" s="3">
        <v>5.2587000000000002</v>
      </c>
    </row>
    <row r="1690" spans="1:2" x14ac:dyDescent="0.4">
      <c r="A1690" s="2">
        <v>45273</v>
      </c>
      <c r="B1690" s="3">
        <v>5.2458999999999998</v>
      </c>
    </row>
    <row r="1691" spans="1:2" x14ac:dyDescent="0.4">
      <c r="A1691" s="2">
        <v>45274</v>
      </c>
      <c r="B1691" s="3">
        <v>5.2663000000000002</v>
      </c>
    </row>
    <row r="1692" spans="1:2" x14ac:dyDescent="0.4">
      <c r="A1692" s="2">
        <v>45275</v>
      </c>
      <c r="B1692" s="3">
        <v>5.2896999999999998</v>
      </c>
    </row>
    <row r="1693" spans="1:2" x14ac:dyDescent="0.4">
      <c r="A1693" s="2">
        <v>45278</v>
      </c>
      <c r="B1693" s="3">
        <v>5.3132999999999999</v>
      </c>
    </row>
    <row r="1694" spans="1:2" x14ac:dyDescent="0.4">
      <c r="A1694" s="2">
        <v>45279</v>
      </c>
      <c r="B1694" s="3">
        <v>5.3040000000000003</v>
      </c>
    </row>
    <row r="1695" spans="1:2" x14ac:dyDescent="0.4">
      <c r="A1695" s="2">
        <v>45280</v>
      </c>
      <c r="B1695" s="3">
        <v>5.3273999999999999</v>
      </c>
    </row>
    <row r="1696" spans="1:2" x14ac:dyDescent="0.4">
      <c r="A1696" s="2">
        <v>45281</v>
      </c>
      <c r="B1696" s="3">
        <v>5.3223000000000003</v>
      </c>
    </row>
    <row r="1697" spans="1:2" x14ac:dyDescent="0.4">
      <c r="A1697" s="2">
        <v>45282</v>
      </c>
      <c r="B1697" s="3">
        <v>5.3468</v>
      </c>
    </row>
    <row r="1698" spans="1:2" x14ac:dyDescent="0.4">
      <c r="A1698" s="2">
        <v>45285</v>
      </c>
      <c r="B1698" s="3">
        <v>5.3554000000000004</v>
      </c>
    </row>
    <row r="1699" spans="1:2" x14ac:dyDescent="0.4">
      <c r="A1699" s="2">
        <v>45286</v>
      </c>
      <c r="B1699" s="3">
        <v>5.3636999999999997</v>
      </c>
    </row>
    <row r="1700" spans="1:2" x14ac:dyDescent="0.4">
      <c r="A1700" s="2">
        <v>45287</v>
      </c>
      <c r="B1700" s="3">
        <v>5.3857999999999997</v>
      </c>
    </row>
    <row r="1701" spans="1:2" x14ac:dyDescent="0.4">
      <c r="A1701" s="2">
        <v>45288</v>
      </c>
      <c r="B1701" s="3">
        <v>5.3789999999999996</v>
      </c>
    </row>
    <row r="1702" spans="1:2" x14ac:dyDescent="0.4">
      <c r="A1702" s="2">
        <v>45289</v>
      </c>
      <c r="B1702" s="3">
        <v>5.3673000000000002</v>
      </c>
    </row>
    <row r="1703" spans="1:2" x14ac:dyDescent="0.4">
      <c r="A1703" s="2">
        <v>45293</v>
      </c>
      <c r="B1703" s="3">
        <v>5.3520000000000003</v>
      </c>
    </row>
    <row r="1704" spans="1:2" x14ac:dyDescent="0.4">
      <c r="A1704" s="2">
        <v>45294</v>
      </c>
      <c r="B1704" s="3">
        <v>5.3426999999999998</v>
      </c>
    </row>
    <row r="1705" spans="1:2" x14ac:dyDescent="0.4">
      <c r="A1705" s="2">
        <v>45295</v>
      </c>
      <c r="B1705" s="3">
        <v>5.3357000000000001</v>
      </c>
    </row>
    <row r="1706" spans="1:2" x14ac:dyDescent="0.4">
      <c r="A1706" s="2">
        <v>45296</v>
      </c>
      <c r="B1706" s="3">
        <v>5.3322000000000003</v>
      </c>
    </row>
    <row r="1707" spans="1:2" x14ac:dyDescent="0.4">
      <c r="A1707" s="2">
        <v>45299</v>
      </c>
      <c r="B1707" s="3">
        <v>5.3265000000000002</v>
      </c>
    </row>
    <row r="1708" spans="1:2" x14ac:dyDescent="0.4">
      <c r="A1708" s="2">
        <v>45300</v>
      </c>
      <c r="B1708" s="3">
        <v>5.3277999999999999</v>
      </c>
    </row>
    <row r="1709" spans="1:2" x14ac:dyDescent="0.4">
      <c r="A1709" s="2">
        <v>45301</v>
      </c>
      <c r="B1709" s="3">
        <v>5.3183999999999996</v>
      </c>
    </row>
    <row r="1710" spans="1:2" x14ac:dyDescent="0.4">
      <c r="A1710" s="2">
        <v>45302</v>
      </c>
      <c r="B1710" s="3">
        <v>5.3251999999999997</v>
      </c>
    </row>
    <row r="1711" spans="1:2" x14ac:dyDescent="0.4">
      <c r="A1711" s="2">
        <v>45303</v>
      </c>
      <c r="B1711" s="3">
        <v>5.3192000000000004</v>
      </c>
    </row>
    <row r="1712" spans="1:2" x14ac:dyDescent="0.4">
      <c r="A1712" s="2">
        <v>45306</v>
      </c>
      <c r="B1712" s="3">
        <v>5.3144999999999998</v>
      </c>
    </row>
    <row r="1713" spans="1:2" x14ac:dyDescent="0.4">
      <c r="A1713" s="2">
        <v>45307</v>
      </c>
      <c r="B1713" s="3">
        <v>5.3113000000000001</v>
      </c>
    </row>
    <row r="1714" spans="1:2" x14ac:dyDescent="0.4">
      <c r="A1714" s="2">
        <v>45308</v>
      </c>
      <c r="B1714" s="3">
        <v>5.3022999999999998</v>
      </c>
    </row>
    <row r="1715" spans="1:2" x14ac:dyDescent="0.4">
      <c r="A1715" s="2">
        <v>45309</v>
      </c>
      <c r="B1715" s="3">
        <v>5.2925000000000004</v>
      </c>
    </row>
    <row r="1716" spans="1:2" x14ac:dyDescent="0.4">
      <c r="A1716" s="2">
        <v>45310</v>
      </c>
      <c r="B1716" s="3">
        <v>5.2954999999999997</v>
      </c>
    </row>
    <row r="1717" spans="1:2" x14ac:dyDescent="0.4">
      <c r="A1717" s="2">
        <v>45313</v>
      </c>
      <c r="B1717" s="3">
        <v>5.3106999999999998</v>
      </c>
    </row>
    <row r="1718" spans="1:2" x14ac:dyDescent="0.4">
      <c r="A1718" s="2">
        <v>45314</v>
      </c>
      <c r="B1718" s="3">
        <v>5.2967000000000004</v>
      </c>
    </row>
    <row r="1719" spans="1:2" x14ac:dyDescent="0.4">
      <c r="A1719" s="2">
        <v>45315</v>
      </c>
      <c r="B1719" s="3">
        <v>5.2991000000000001</v>
      </c>
    </row>
    <row r="1720" spans="1:2" x14ac:dyDescent="0.4">
      <c r="A1720" s="2">
        <v>45316</v>
      </c>
      <c r="B1720" s="3">
        <v>5.2643000000000004</v>
      </c>
    </row>
    <row r="1721" spans="1:2" x14ac:dyDescent="0.4">
      <c r="A1721" s="2">
        <v>45317</v>
      </c>
      <c r="B1721" s="3">
        <v>5.2896000000000001</v>
      </c>
    </row>
    <row r="1722" spans="1:2" x14ac:dyDescent="0.4">
      <c r="A1722" s="2">
        <v>45320</v>
      </c>
      <c r="B1722" s="3">
        <v>5.3030999999999997</v>
      </c>
    </row>
    <row r="1723" spans="1:2" x14ac:dyDescent="0.4">
      <c r="A1723" s="2">
        <v>45321</v>
      </c>
      <c r="B1723" s="3">
        <v>5.3158000000000003</v>
      </c>
    </row>
    <row r="1724" spans="1:2" x14ac:dyDescent="0.4">
      <c r="A1724" s="2">
        <v>45322</v>
      </c>
      <c r="B1724" s="3">
        <v>5.3173000000000004</v>
      </c>
    </row>
    <row r="1725" spans="1:2" x14ac:dyDescent="0.4">
      <c r="A1725" s="2">
        <v>45323</v>
      </c>
      <c r="B1725" s="3">
        <v>5.3079000000000001</v>
      </c>
    </row>
    <row r="1726" spans="1:2" x14ac:dyDescent="0.4">
      <c r="A1726" s="2">
        <v>45324</v>
      </c>
      <c r="B1726" s="3">
        <v>5.3188000000000004</v>
      </c>
    </row>
    <row r="1727" spans="1:2" x14ac:dyDescent="0.4">
      <c r="A1727" s="2">
        <v>45327</v>
      </c>
      <c r="B1727" s="3">
        <v>5.3017000000000003</v>
      </c>
    </row>
    <row r="1728" spans="1:2" x14ac:dyDescent="0.4">
      <c r="A1728" s="2">
        <v>45328</v>
      </c>
      <c r="B1728" s="3">
        <v>5.2760999999999996</v>
      </c>
    </row>
    <row r="1729" spans="1:2" x14ac:dyDescent="0.4">
      <c r="A1729" s="2">
        <v>45329</v>
      </c>
      <c r="B1729" s="3">
        <v>5.2826000000000004</v>
      </c>
    </row>
    <row r="1730" spans="1:2" x14ac:dyDescent="0.4">
      <c r="A1730" s="2">
        <v>45330</v>
      </c>
      <c r="B1730" s="3">
        <v>5.2971000000000004</v>
      </c>
    </row>
    <row r="1731" spans="1:2" x14ac:dyDescent="0.4">
      <c r="A1731" s="2">
        <v>45331</v>
      </c>
      <c r="B1731" s="3">
        <v>5.3034999999999997</v>
      </c>
    </row>
    <row r="1732" spans="1:2" x14ac:dyDescent="0.4">
      <c r="A1732" s="2">
        <v>45341</v>
      </c>
      <c r="B1732" s="3">
        <v>5.2946999999999997</v>
      </c>
    </row>
    <row r="1733" spans="1:2" x14ac:dyDescent="0.4">
      <c r="A1733" s="2">
        <v>45342</v>
      </c>
      <c r="B1733" s="3">
        <v>5.2851999999999997</v>
      </c>
    </row>
    <row r="1734" spans="1:2" x14ac:dyDescent="0.4">
      <c r="A1734" s="2">
        <v>45343</v>
      </c>
      <c r="B1734" s="3">
        <v>5.2714999999999996</v>
      </c>
    </row>
    <row r="1735" spans="1:2" x14ac:dyDescent="0.4">
      <c r="A1735" s="2">
        <v>45344</v>
      </c>
      <c r="B1735" s="3">
        <v>5.2801</v>
      </c>
    </row>
    <row r="1736" spans="1:2" x14ac:dyDescent="0.4">
      <c r="A1736" s="2">
        <v>45345</v>
      </c>
      <c r="B1736" s="3">
        <v>5.2881999999999998</v>
      </c>
    </row>
    <row r="1737" spans="1:2" x14ac:dyDescent="0.4">
      <c r="A1737" s="2">
        <v>45348</v>
      </c>
      <c r="B1737" s="3">
        <v>5.2864000000000004</v>
      </c>
    </row>
    <row r="1738" spans="1:2" x14ac:dyDescent="0.4">
      <c r="A1738" s="2">
        <v>45349</v>
      </c>
      <c r="B1738" s="3">
        <v>5.2793999999999999</v>
      </c>
    </row>
    <row r="1739" spans="1:2" x14ac:dyDescent="0.4">
      <c r="A1739" s="2">
        <v>45350</v>
      </c>
      <c r="B1739" s="3">
        <v>5.2716000000000003</v>
      </c>
    </row>
    <row r="1740" spans="1:2" x14ac:dyDescent="0.4">
      <c r="A1740" s="2">
        <v>45351</v>
      </c>
      <c r="B1740" s="3">
        <v>5.2548000000000004</v>
      </c>
    </row>
    <row r="1741" spans="1:2" x14ac:dyDescent="0.4">
      <c r="A1741" s="2">
        <v>45352</v>
      </c>
      <c r="B1741" s="3">
        <v>5.2530999999999999</v>
      </c>
    </row>
    <row r="1742" spans="1:2" x14ac:dyDescent="0.4">
      <c r="A1742" s="2">
        <v>45355</v>
      </c>
      <c r="B1742" s="3">
        <v>5.2586000000000004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6F7A-6C80-4482-8B86-4D4C70960372}">
  <dimension ref="A1:E30"/>
  <sheetViews>
    <sheetView showGridLines="0" topLeftCell="A7" workbookViewId="0">
      <selection activeCell="E30" sqref="E30"/>
    </sheetView>
  </sheetViews>
  <sheetFormatPr defaultRowHeight="13.9" x14ac:dyDescent="0.4"/>
  <cols>
    <col min="1" max="1" width="6.59765625" bestFit="1" customWidth="1"/>
    <col min="2" max="2" width="6.3984375" bestFit="1" customWidth="1"/>
    <col min="3" max="3" width="4.73046875" bestFit="1" customWidth="1"/>
    <col min="4" max="4" width="24" bestFit="1" customWidth="1"/>
    <col min="5" max="5" width="8.3984375" customWidth="1"/>
  </cols>
  <sheetData>
    <row r="1" spans="1:5" x14ac:dyDescent="0.4">
      <c r="A1" s="10" t="s">
        <v>12</v>
      </c>
      <c r="B1" s="10" t="s">
        <v>13</v>
      </c>
      <c r="C1" s="10" t="s">
        <v>15</v>
      </c>
      <c r="D1" s="10" t="s">
        <v>16</v>
      </c>
      <c r="E1" s="10">
        <v>5</v>
      </c>
    </row>
    <row r="2" spans="1:5" x14ac:dyDescent="0.4">
      <c r="A2" s="12" t="s">
        <v>0</v>
      </c>
      <c r="B2" s="21" t="s">
        <v>1</v>
      </c>
      <c r="C2" s="13">
        <v>1</v>
      </c>
      <c r="D2" s="10">
        <v>5.1989169491525429</v>
      </c>
      <c r="E2" s="14"/>
    </row>
    <row r="3" spans="1:5" x14ac:dyDescent="0.4">
      <c r="A3" s="15"/>
      <c r="B3" s="22" t="s">
        <v>2</v>
      </c>
      <c r="C3" s="11">
        <v>2</v>
      </c>
      <c r="D3" s="24">
        <v>5.0995966666666668</v>
      </c>
      <c r="E3" s="16" t="e">
        <v>#N/A</v>
      </c>
    </row>
    <row r="4" spans="1:5" x14ac:dyDescent="0.4">
      <c r="A4" s="15"/>
      <c r="B4" s="22" t="s">
        <v>3</v>
      </c>
      <c r="C4" s="11">
        <v>3</v>
      </c>
      <c r="D4" s="24">
        <v>5.315546153846153</v>
      </c>
      <c r="E4" s="16" t="e">
        <v>#N/A</v>
      </c>
    </row>
    <row r="5" spans="1:5" x14ac:dyDescent="0.4">
      <c r="A5" s="15"/>
      <c r="B5" s="22" t="s">
        <v>4</v>
      </c>
      <c r="C5" s="11">
        <v>4</v>
      </c>
      <c r="D5" s="24">
        <v>5.1953416666666667</v>
      </c>
      <c r="E5" s="16" t="e">
        <v>#N/A</v>
      </c>
    </row>
    <row r="6" spans="1:5" x14ac:dyDescent="0.4">
      <c r="A6" s="15" t="s">
        <v>5</v>
      </c>
      <c r="B6" s="22" t="s">
        <v>1</v>
      </c>
      <c r="C6" s="11">
        <v>5</v>
      </c>
      <c r="D6" s="24">
        <v>5.0304677966101696</v>
      </c>
      <c r="E6" s="16" t="e">
        <v>#N/A</v>
      </c>
    </row>
    <row r="7" spans="1:5" x14ac:dyDescent="0.4">
      <c r="A7" s="15"/>
      <c r="B7" s="22" t="s">
        <v>2</v>
      </c>
      <c r="C7" s="11">
        <v>6</v>
      </c>
      <c r="D7" s="24">
        <v>4.9424733333333331</v>
      </c>
      <c r="E7" s="17">
        <f>AVERAGE(D2:D6)</f>
        <v>5.1679738465884402</v>
      </c>
    </row>
    <row r="8" spans="1:5" x14ac:dyDescent="0.4">
      <c r="A8" s="15"/>
      <c r="B8" s="22" t="s">
        <v>3</v>
      </c>
      <c r="C8" s="11">
        <v>7</v>
      </c>
      <c r="D8" s="24">
        <v>5.199809375000001</v>
      </c>
      <c r="E8" s="17">
        <f t="shared" ref="E8:E30" si="0">AVERAGE(D3:D7)</f>
        <v>5.116685123424598</v>
      </c>
    </row>
    <row r="9" spans="1:5" x14ac:dyDescent="0.4">
      <c r="A9" s="15"/>
      <c r="B9" s="22" t="s">
        <v>4</v>
      </c>
      <c r="C9" s="11">
        <v>8</v>
      </c>
      <c r="D9" s="24">
        <v>5.2316200000000004</v>
      </c>
      <c r="E9" s="17">
        <f t="shared" si="0"/>
        <v>5.1367276650912652</v>
      </c>
    </row>
    <row r="10" spans="1:5" x14ac:dyDescent="0.4">
      <c r="A10" s="15" t="s">
        <v>6</v>
      </c>
      <c r="B10" s="22" t="s">
        <v>1</v>
      </c>
      <c r="C10" s="11">
        <v>9</v>
      </c>
      <c r="D10" s="24">
        <v>5.0708534482758623</v>
      </c>
      <c r="E10" s="17">
        <f t="shared" si="0"/>
        <v>5.1199424343220334</v>
      </c>
    </row>
    <row r="11" spans="1:5" x14ac:dyDescent="0.4">
      <c r="A11" s="15"/>
      <c r="B11" s="22" t="s">
        <v>2</v>
      </c>
      <c r="C11" s="11">
        <v>10</v>
      </c>
      <c r="D11" s="24">
        <v>5.0954749999999995</v>
      </c>
      <c r="E11" s="17">
        <f t="shared" si="0"/>
        <v>5.0950447906438736</v>
      </c>
    </row>
    <row r="12" spans="1:5" x14ac:dyDescent="0.4">
      <c r="A12" s="15"/>
      <c r="B12" s="22" t="s">
        <v>3</v>
      </c>
      <c r="C12" s="11">
        <v>11</v>
      </c>
      <c r="D12" s="24">
        <v>5.300206153846152</v>
      </c>
      <c r="E12" s="17">
        <f t="shared" si="0"/>
        <v>5.1080462313218389</v>
      </c>
    </row>
    <row r="13" spans="1:5" x14ac:dyDescent="0.4">
      <c r="A13" s="15"/>
      <c r="B13" s="22" t="s">
        <v>4</v>
      </c>
      <c r="C13" s="11">
        <v>12</v>
      </c>
      <c r="D13" s="24">
        <v>5.3303672131147524</v>
      </c>
      <c r="E13" s="17">
        <f t="shared" si="0"/>
        <v>5.1795927954244032</v>
      </c>
    </row>
    <row r="14" spans="1:5" x14ac:dyDescent="0.4">
      <c r="A14" s="15" t="s">
        <v>7</v>
      </c>
      <c r="B14" s="22" t="s">
        <v>1</v>
      </c>
      <c r="C14" s="11">
        <v>13</v>
      </c>
      <c r="D14" s="24">
        <v>5.1892362068965499</v>
      </c>
      <c r="E14" s="17">
        <f t="shared" si="0"/>
        <v>5.205704363047353</v>
      </c>
    </row>
    <row r="15" spans="1:5" x14ac:dyDescent="0.4">
      <c r="A15" s="15"/>
      <c r="B15" s="22" t="s">
        <v>2</v>
      </c>
      <c r="C15" s="11">
        <v>14</v>
      </c>
      <c r="D15" s="24">
        <v>5.1146508474576287</v>
      </c>
      <c r="E15" s="17">
        <f t="shared" si="0"/>
        <v>5.1972276044266632</v>
      </c>
    </row>
    <row r="16" spans="1:5" x14ac:dyDescent="0.4">
      <c r="A16" s="15"/>
      <c r="B16" s="22" t="s">
        <v>3</v>
      </c>
      <c r="C16" s="11">
        <v>15</v>
      </c>
      <c r="D16" s="24">
        <v>5.1932909090909112</v>
      </c>
      <c r="E16" s="17">
        <f t="shared" si="0"/>
        <v>5.2059870842630165</v>
      </c>
    </row>
    <row r="17" spans="1:5" x14ac:dyDescent="0.4">
      <c r="A17" s="15"/>
      <c r="B17" s="22" t="s">
        <v>4</v>
      </c>
      <c r="C17" s="11">
        <v>16</v>
      </c>
      <c r="D17" s="24">
        <v>5.0810416666666667</v>
      </c>
      <c r="E17" s="17">
        <f t="shared" si="0"/>
        <v>5.225550266081199</v>
      </c>
    </row>
    <row r="18" spans="1:5" x14ac:dyDescent="0.4">
      <c r="A18" s="15" t="s">
        <v>8</v>
      </c>
      <c r="B18" s="22" t="s">
        <v>1</v>
      </c>
      <c r="C18" s="11">
        <v>17</v>
      </c>
      <c r="D18" s="24">
        <v>5.1226103448275868</v>
      </c>
      <c r="E18" s="17">
        <f t="shared" si="0"/>
        <v>5.1817173686453017</v>
      </c>
    </row>
    <row r="19" spans="1:5" x14ac:dyDescent="0.4">
      <c r="A19" s="15"/>
      <c r="B19" s="22" t="s">
        <v>2</v>
      </c>
      <c r="C19" s="11">
        <v>18</v>
      </c>
      <c r="D19" s="24">
        <v>5.259031666666667</v>
      </c>
      <c r="E19" s="17">
        <f t="shared" si="0"/>
        <v>5.1401659949878695</v>
      </c>
    </row>
    <row r="20" spans="1:5" x14ac:dyDescent="0.4">
      <c r="A20" s="15"/>
      <c r="B20" s="22" t="s">
        <v>3</v>
      </c>
      <c r="C20" s="11">
        <v>19</v>
      </c>
      <c r="D20" s="24">
        <v>5.1413734375000004</v>
      </c>
      <c r="E20" s="17">
        <f t="shared" si="0"/>
        <v>5.1541250869418915</v>
      </c>
    </row>
    <row r="21" spans="1:5" x14ac:dyDescent="0.4">
      <c r="A21" s="15"/>
      <c r="B21" s="22" t="s">
        <v>4</v>
      </c>
      <c r="C21" s="11">
        <v>20</v>
      </c>
      <c r="D21" s="24">
        <v>5.0713245901639352</v>
      </c>
      <c r="E21" s="17">
        <f t="shared" si="0"/>
        <v>5.1594696049503668</v>
      </c>
    </row>
    <row r="22" spans="1:5" x14ac:dyDescent="0.4">
      <c r="A22" s="15" t="s">
        <v>9</v>
      </c>
      <c r="B22" s="22" t="s">
        <v>1</v>
      </c>
      <c r="C22" s="11">
        <v>21</v>
      </c>
      <c r="D22" s="24">
        <v>5.0129344827586211</v>
      </c>
      <c r="E22" s="17">
        <f t="shared" si="0"/>
        <v>5.1350763411649716</v>
      </c>
    </row>
    <row r="23" spans="1:5" x14ac:dyDescent="0.4">
      <c r="A23" s="15"/>
      <c r="B23" s="22" t="s">
        <v>2</v>
      </c>
      <c r="C23" s="11">
        <v>22</v>
      </c>
      <c r="D23" s="24">
        <v>5.1807084745762726</v>
      </c>
      <c r="E23" s="17">
        <f t="shared" si="0"/>
        <v>5.1214549043833619</v>
      </c>
    </row>
    <row r="24" spans="1:5" x14ac:dyDescent="0.4">
      <c r="A24" s="15"/>
      <c r="B24" s="22" t="s">
        <v>3</v>
      </c>
      <c r="C24" s="11">
        <v>23</v>
      </c>
      <c r="D24" s="24">
        <v>5.2415953846153842</v>
      </c>
      <c r="E24" s="17">
        <f t="shared" si="0"/>
        <v>5.1330745303330989</v>
      </c>
    </row>
    <row r="25" spans="1:5" x14ac:dyDescent="0.4">
      <c r="A25" s="15"/>
      <c r="B25" s="22" t="s">
        <v>4</v>
      </c>
      <c r="C25" s="11">
        <v>24</v>
      </c>
      <c r="D25" s="24">
        <v>5.2308066666666662</v>
      </c>
      <c r="E25" s="17">
        <f t="shared" si="0"/>
        <v>5.1295872739228425</v>
      </c>
    </row>
    <row r="26" spans="1:5" x14ac:dyDescent="0.4">
      <c r="A26" s="15" t="s">
        <v>10</v>
      </c>
      <c r="B26" s="22" t="s">
        <v>1</v>
      </c>
      <c r="C26" s="11">
        <v>25</v>
      </c>
      <c r="D26" s="24">
        <v>5.0595203389830514</v>
      </c>
      <c r="E26" s="17">
        <f t="shared" si="0"/>
        <v>5.1474739197561759</v>
      </c>
    </row>
    <row r="27" spans="1:5" x14ac:dyDescent="0.4">
      <c r="A27" s="15"/>
      <c r="B27" s="22" t="s">
        <v>2</v>
      </c>
      <c r="C27" s="11">
        <v>26</v>
      </c>
      <c r="D27" s="24">
        <v>5.2209627118644066</v>
      </c>
      <c r="E27" s="17">
        <f t="shared" si="0"/>
        <v>5.1451130695199989</v>
      </c>
    </row>
    <row r="28" spans="1:5" x14ac:dyDescent="0.4">
      <c r="A28" s="15"/>
      <c r="B28" s="22" t="s">
        <v>3</v>
      </c>
      <c r="C28" s="11">
        <v>27</v>
      </c>
      <c r="D28" s="24">
        <v>5.3927609374999985</v>
      </c>
      <c r="E28" s="17">
        <f t="shared" si="0"/>
        <v>5.186718715341156</v>
      </c>
    </row>
    <row r="29" spans="1:5" x14ac:dyDescent="0.4">
      <c r="A29" s="18"/>
      <c r="B29" s="23" t="s">
        <v>4</v>
      </c>
      <c r="C29" s="19">
        <v>28</v>
      </c>
      <c r="D29" s="25">
        <v>5.2669166666666651</v>
      </c>
      <c r="E29" s="20">
        <f t="shared" si="0"/>
        <v>5.2291292079259009</v>
      </c>
    </row>
    <row r="30" spans="1:5" x14ac:dyDescent="0.4">
      <c r="A30" s="18" t="s">
        <v>11</v>
      </c>
      <c r="B30" s="23" t="s">
        <v>1</v>
      </c>
      <c r="C30" s="19">
        <v>29</v>
      </c>
      <c r="D30" s="25"/>
      <c r="E30" s="20">
        <f t="shared" si="0"/>
        <v>5.2341934643361583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F542-FEA3-4229-B1BF-E986F82685C8}">
  <dimension ref="A1:L34"/>
  <sheetViews>
    <sheetView showGridLines="0" tabSelected="1" zoomScale="85" zoomScaleNormal="85" workbookViewId="0">
      <selection activeCell="H6" sqref="H6"/>
    </sheetView>
  </sheetViews>
  <sheetFormatPr defaultRowHeight="13.9" x14ac:dyDescent="0.4"/>
  <cols>
    <col min="1" max="1" width="6.59765625" bestFit="1" customWidth="1"/>
    <col min="2" max="2" width="6.3984375" bestFit="1" customWidth="1"/>
    <col min="3" max="3" width="4.73046875" bestFit="1" customWidth="1"/>
    <col min="4" max="4" width="22.86328125" customWidth="1"/>
    <col min="5" max="5" width="8" customWidth="1"/>
    <col min="6" max="6" width="1.3984375" customWidth="1"/>
    <col min="7" max="7" width="20.3984375" customWidth="1"/>
    <col min="8" max="8" width="8.1328125" customWidth="1"/>
    <col min="9" max="9" width="2.265625" customWidth="1"/>
    <col min="10" max="10" width="3.265625" bestFit="1" customWidth="1"/>
  </cols>
  <sheetData>
    <row r="1" spans="1:12" x14ac:dyDescent="0.4">
      <c r="A1" s="10" t="s">
        <v>12</v>
      </c>
      <c r="B1" s="10" t="s">
        <v>13</v>
      </c>
      <c r="C1" s="10" t="s">
        <v>15</v>
      </c>
      <c r="D1" s="10" t="s">
        <v>16</v>
      </c>
      <c r="E1" s="27" t="s">
        <v>34</v>
      </c>
      <c r="G1" s="28" t="s">
        <v>35</v>
      </c>
      <c r="H1" s="29">
        <v>3</v>
      </c>
      <c r="I1" s="26"/>
    </row>
    <row r="2" spans="1:12" x14ac:dyDescent="0.4">
      <c r="A2" s="12" t="s">
        <v>0</v>
      </c>
      <c r="B2" s="21" t="s">
        <v>1</v>
      </c>
      <c r="C2" s="13">
        <v>1</v>
      </c>
      <c r="D2" s="10">
        <v>5.1989169491525429</v>
      </c>
      <c r="E2" t="str">
        <f t="shared" ref="E2:E4" ca="1" si="0">IF(C2&gt;$H$1,AVERAGE(OFFSET(C2,-$H$1,1,$H$1,1)),"")</f>
        <v/>
      </c>
      <c r="G2" s="29" t="s">
        <v>36</v>
      </c>
      <c r="H2" s="29">
        <f ca="1">SUMXMY2(E2:E29,D2:D29)/COUNT(E2:E29)</f>
        <v>1.6304521571655E-2</v>
      </c>
      <c r="I2" s="26"/>
      <c r="J2" s="26"/>
      <c r="K2" s="9">
        <f ca="1">H2</f>
        <v>1.6304521571655E-2</v>
      </c>
    </row>
    <row r="3" spans="1:12" x14ac:dyDescent="0.4">
      <c r="A3" s="15"/>
      <c r="B3" s="22" t="s">
        <v>2</v>
      </c>
      <c r="C3" s="11">
        <v>2</v>
      </c>
      <c r="D3" s="24">
        <v>5.0995966666666668</v>
      </c>
      <c r="E3" t="str">
        <f t="shared" ca="1" si="0"/>
        <v/>
      </c>
      <c r="I3" s="26"/>
      <c r="J3" s="30">
        <v>1</v>
      </c>
      <c r="K3" s="30">
        <f t="dataTable" ref="K3:K29" dt2D="0" dtr="0" r1="H1" ca="1"/>
        <v>1.7106442117862535E-2</v>
      </c>
      <c r="L3" s="30">
        <v>1</v>
      </c>
    </row>
    <row r="4" spans="1:12" x14ac:dyDescent="0.4">
      <c r="A4" s="15"/>
      <c r="B4" s="22" t="s">
        <v>3</v>
      </c>
      <c r="C4" s="11">
        <v>3</v>
      </c>
      <c r="D4" s="24">
        <v>5.315546153846153</v>
      </c>
      <c r="E4" t="str">
        <f t="shared" ca="1" si="0"/>
        <v/>
      </c>
      <c r="G4" s="9" t="s">
        <v>37</v>
      </c>
      <c r="H4" s="9">
        <f>MIN(K3:K29)</f>
        <v>9.4247151302893351E-3</v>
      </c>
      <c r="I4" s="26"/>
      <c r="J4" s="31">
        <v>2</v>
      </c>
      <c r="K4" s="31">
        <v>1.9502293401655709E-2</v>
      </c>
      <c r="L4" s="31">
        <v>2</v>
      </c>
    </row>
    <row r="5" spans="1:12" x14ac:dyDescent="0.4">
      <c r="A5" s="15"/>
      <c r="B5" s="22" t="s">
        <v>4</v>
      </c>
      <c r="C5" s="11">
        <v>4</v>
      </c>
      <c r="D5" s="24">
        <v>5.1953416666666667</v>
      </c>
      <c r="E5">
        <f ca="1">IF(C5&gt;$H$1,AVERAGE(OFFSET(C5,-$H$1,1,$H$1,1)),"")</f>
        <v>5.2046865898884542</v>
      </c>
      <c r="G5" s="9" t="s">
        <v>38</v>
      </c>
      <c r="H5" s="29">
        <f>VLOOKUP(H4,K3:L29,2,FALSE)</f>
        <v>12</v>
      </c>
      <c r="I5" s="26"/>
      <c r="J5" s="31">
        <v>3</v>
      </c>
      <c r="K5" s="31">
        <v>1.6304521571655E-2</v>
      </c>
      <c r="L5" s="31">
        <v>3</v>
      </c>
    </row>
    <row r="6" spans="1:12" x14ac:dyDescent="0.4">
      <c r="A6" s="15" t="s">
        <v>5</v>
      </c>
      <c r="B6" s="22" t="s">
        <v>1</v>
      </c>
      <c r="C6" s="11">
        <v>5</v>
      </c>
      <c r="D6" s="24">
        <v>5.0304677966101696</v>
      </c>
      <c r="E6">
        <f t="shared" ref="E6:E29" ca="1" si="1">IF(C6&gt;$H$1,AVERAGE(OFFSET(C6,-$H$1,1,$H$1,1)),"")</f>
        <v>5.2034948290598289</v>
      </c>
      <c r="G6" s="9" t="s">
        <v>39</v>
      </c>
      <c r="H6" s="9">
        <f ca="1">AVERAGE(OFFSET(C30,-H5,1,H5,1))</f>
        <v>5.1833788085657719</v>
      </c>
      <c r="I6" s="26"/>
      <c r="J6" s="31">
        <v>4</v>
      </c>
      <c r="K6" s="31">
        <v>1.3132099320790033E-2</v>
      </c>
      <c r="L6" s="31">
        <v>4</v>
      </c>
    </row>
    <row r="7" spans="1:12" x14ac:dyDescent="0.4">
      <c r="A7" s="15"/>
      <c r="B7" s="22" t="s">
        <v>2</v>
      </c>
      <c r="C7" s="11">
        <v>6</v>
      </c>
      <c r="D7" s="24">
        <v>4.9424733333333331</v>
      </c>
      <c r="E7">
        <f t="shared" ca="1" si="1"/>
        <v>5.1804518723743298</v>
      </c>
      <c r="I7" s="26"/>
      <c r="J7" s="31">
        <v>5</v>
      </c>
      <c r="K7" s="31">
        <v>1.2188864707867404E-2</v>
      </c>
      <c r="L7" s="31">
        <v>5</v>
      </c>
    </row>
    <row r="8" spans="1:12" x14ac:dyDescent="0.4">
      <c r="A8" s="15"/>
      <c r="B8" s="22" t="s">
        <v>3</v>
      </c>
      <c r="C8" s="11">
        <v>7</v>
      </c>
      <c r="D8" s="24">
        <v>5.199809375000001</v>
      </c>
      <c r="E8">
        <f t="shared" ca="1" si="1"/>
        <v>5.0560942655367223</v>
      </c>
      <c r="I8" s="26"/>
      <c r="J8" s="31">
        <v>6</v>
      </c>
      <c r="K8" s="31">
        <v>1.1683588459297845E-2</v>
      </c>
      <c r="L8" s="31">
        <v>6</v>
      </c>
    </row>
    <row r="9" spans="1:12" x14ac:dyDescent="0.4">
      <c r="A9" s="15"/>
      <c r="B9" s="22" t="s">
        <v>4</v>
      </c>
      <c r="C9" s="11">
        <v>8</v>
      </c>
      <c r="D9" s="24">
        <v>5.2316200000000004</v>
      </c>
      <c r="E9">
        <f t="shared" ca="1" si="1"/>
        <v>5.0575835016478345</v>
      </c>
      <c r="G9" s="33" t="str">
        <f>G1&amp;"="&amp;H1</f>
        <v>移动平均跨度=3</v>
      </c>
      <c r="H9" s="34"/>
      <c r="I9" s="26"/>
      <c r="J9" s="31">
        <v>7</v>
      </c>
      <c r="K9" s="31">
        <v>1.2231775488778383E-2</v>
      </c>
      <c r="L9" s="31">
        <v>7</v>
      </c>
    </row>
    <row r="10" spans="1:12" x14ac:dyDescent="0.4">
      <c r="A10" s="15" t="s">
        <v>6</v>
      </c>
      <c r="B10" s="22" t="s">
        <v>1</v>
      </c>
      <c r="C10" s="11">
        <v>9</v>
      </c>
      <c r="D10" s="24">
        <v>5.0708534482758623</v>
      </c>
      <c r="E10">
        <f t="shared" ca="1" si="1"/>
        <v>5.1246342361111106</v>
      </c>
      <c r="G10" s="33" t="str">
        <f ca="1">G2&amp;"="&amp;ROUND(H2,2)</f>
        <v>MSE=0.02</v>
      </c>
      <c r="H10" s="34"/>
      <c r="I10" s="26"/>
      <c r="J10" s="31">
        <v>8</v>
      </c>
      <c r="K10" s="31">
        <v>1.2015784924016327E-2</v>
      </c>
      <c r="L10" s="31">
        <v>8</v>
      </c>
    </row>
    <row r="11" spans="1:12" x14ac:dyDescent="0.4">
      <c r="A11" s="15"/>
      <c r="B11" s="22" t="s">
        <v>2</v>
      </c>
      <c r="C11" s="11">
        <v>10</v>
      </c>
      <c r="D11" s="24">
        <v>5.0954749999999995</v>
      </c>
      <c r="E11">
        <f t="shared" ca="1" si="1"/>
        <v>5.1674276077586212</v>
      </c>
      <c r="I11" s="26"/>
      <c r="J11" s="31">
        <v>9</v>
      </c>
      <c r="K11" s="31">
        <v>1.210351009867933E-2</v>
      </c>
      <c r="L11" s="31">
        <v>9</v>
      </c>
    </row>
    <row r="12" spans="1:12" x14ac:dyDescent="0.4">
      <c r="A12" s="15"/>
      <c r="B12" s="22" t="s">
        <v>3</v>
      </c>
      <c r="C12" s="11">
        <v>11</v>
      </c>
      <c r="D12" s="24">
        <v>5.300206153846152</v>
      </c>
      <c r="E12">
        <f t="shared" ca="1" si="1"/>
        <v>5.1326494827586204</v>
      </c>
      <c r="I12" s="26"/>
      <c r="J12" s="31">
        <v>10</v>
      </c>
      <c r="K12" s="31">
        <v>1.237858865605581E-2</v>
      </c>
      <c r="L12" s="31">
        <v>10</v>
      </c>
    </row>
    <row r="13" spans="1:12" x14ac:dyDescent="0.4">
      <c r="A13" s="15"/>
      <c r="B13" s="22" t="s">
        <v>4</v>
      </c>
      <c r="C13" s="11">
        <v>12</v>
      </c>
      <c r="D13" s="24">
        <v>5.3303672131147524</v>
      </c>
      <c r="E13">
        <f t="shared" ca="1" si="1"/>
        <v>5.155511534040671</v>
      </c>
      <c r="I13" s="26"/>
      <c r="J13" s="31">
        <v>11</v>
      </c>
      <c r="K13" s="31">
        <v>1.0912477185246782E-2</v>
      </c>
      <c r="L13" s="31">
        <v>11</v>
      </c>
    </row>
    <row r="14" spans="1:12" x14ac:dyDescent="0.4">
      <c r="A14" s="15" t="s">
        <v>7</v>
      </c>
      <c r="B14" s="22" t="s">
        <v>1</v>
      </c>
      <c r="C14" s="11">
        <v>13</v>
      </c>
      <c r="D14" s="24">
        <v>5.1892362068965499</v>
      </c>
      <c r="E14">
        <f t="shared" ca="1" si="1"/>
        <v>5.242016122320301</v>
      </c>
      <c r="I14" s="26"/>
      <c r="J14" s="31">
        <v>12</v>
      </c>
      <c r="K14" s="31">
        <v>9.4247151302893351E-3</v>
      </c>
      <c r="L14" s="31">
        <v>12</v>
      </c>
    </row>
    <row r="15" spans="1:12" x14ac:dyDescent="0.4">
      <c r="A15" s="15"/>
      <c r="B15" s="22" t="s">
        <v>2</v>
      </c>
      <c r="C15" s="11">
        <v>14</v>
      </c>
      <c r="D15" s="24">
        <v>5.1146508474576287</v>
      </c>
      <c r="E15">
        <f t="shared" ca="1" si="1"/>
        <v>5.273269857952485</v>
      </c>
      <c r="I15" s="26"/>
      <c r="J15" s="31">
        <v>13</v>
      </c>
      <c r="K15" s="31">
        <v>1.0597536939719399E-2</v>
      </c>
      <c r="L15" s="31">
        <v>13</v>
      </c>
    </row>
    <row r="16" spans="1:12" x14ac:dyDescent="0.4">
      <c r="A16" s="15"/>
      <c r="B16" s="22" t="s">
        <v>3</v>
      </c>
      <c r="C16" s="11">
        <v>15</v>
      </c>
      <c r="D16" s="24">
        <v>5.1932909090909112</v>
      </c>
      <c r="E16">
        <f t="shared" ca="1" si="1"/>
        <v>5.21141808915631</v>
      </c>
      <c r="I16" s="26"/>
      <c r="J16" s="31">
        <v>14</v>
      </c>
      <c r="K16" s="31">
        <v>1.0940049711339574E-2</v>
      </c>
      <c r="L16" s="31">
        <v>14</v>
      </c>
    </row>
    <row r="17" spans="1:12" x14ac:dyDescent="0.4">
      <c r="A17" s="15"/>
      <c r="B17" s="22" t="s">
        <v>4</v>
      </c>
      <c r="C17" s="11">
        <v>16</v>
      </c>
      <c r="D17" s="24">
        <v>5.0810416666666667</v>
      </c>
      <c r="E17">
        <f t="shared" ca="1" si="1"/>
        <v>5.1657259878150299</v>
      </c>
      <c r="I17" s="26"/>
      <c r="J17" s="31">
        <v>15</v>
      </c>
      <c r="K17" s="31">
        <v>1.0440562641212774E-2</v>
      </c>
      <c r="L17" s="31">
        <v>15</v>
      </c>
    </row>
    <row r="18" spans="1:12" x14ac:dyDescent="0.4">
      <c r="A18" s="15" t="s">
        <v>8</v>
      </c>
      <c r="B18" s="22" t="s">
        <v>1</v>
      </c>
      <c r="C18" s="11">
        <v>17</v>
      </c>
      <c r="D18" s="24">
        <v>5.1226103448275868</v>
      </c>
      <c r="E18">
        <f t="shared" ca="1" si="1"/>
        <v>5.1296611410717361</v>
      </c>
      <c r="I18" s="26"/>
      <c r="J18" s="31">
        <v>16</v>
      </c>
      <c r="K18" s="31">
        <v>1.0083084441503541E-2</v>
      </c>
      <c r="L18" s="31">
        <v>16</v>
      </c>
    </row>
    <row r="19" spans="1:12" x14ac:dyDescent="0.4">
      <c r="A19" s="15"/>
      <c r="B19" s="22" t="s">
        <v>2</v>
      </c>
      <c r="C19" s="11">
        <v>18</v>
      </c>
      <c r="D19" s="24">
        <v>5.259031666666667</v>
      </c>
      <c r="E19">
        <f t="shared" ca="1" si="1"/>
        <v>5.1323143068617219</v>
      </c>
      <c r="I19" s="26"/>
      <c r="J19" s="31">
        <v>17</v>
      </c>
      <c r="K19" s="31">
        <v>1.1448864333552616E-2</v>
      </c>
      <c r="L19" s="31">
        <v>17</v>
      </c>
    </row>
    <row r="20" spans="1:12" x14ac:dyDescent="0.4">
      <c r="A20" s="15"/>
      <c r="B20" s="22" t="s">
        <v>3</v>
      </c>
      <c r="C20" s="11">
        <v>19</v>
      </c>
      <c r="D20" s="24">
        <v>5.1413734375000004</v>
      </c>
      <c r="E20">
        <f t="shared" ca="1" si="1"/>
        <v>5.1542278927203062</v>
      </c>
      <c r="I20" s="26"/>
      <c r="J20" s="31">
        <v>18</v>
      </c>
      <c r="K20" s="31">
        <v>1.2400466035482904E-2</v>
      </c>
      <c r="L20" s="31">
        <v>18</v>
      </c>
    </row>
    <row r="21" spans="1:12" x14ac:dyDescent="0.4">
      <c r="A21" s="15"/>
      <c r="B21" s="22" t="s">
        <v>4</v>
      </c>
      <c r="C21" s="11">
        <v>20</v>
      </c>
      <c r="D21" s="24">
        <v>5.0713245901639352</v>
      </c>
      <c r="E21">
        <f t="shared" ca="1" si="1"/>
        <v>5.1743384829980847</v>
      </c>
      <c r="I21" s="26"/>
      <c r="J21" s="31">
        <v>19</v>
      </c>
      <c r="K21" s="31">
        <v>1.326557676548528E-2</v>
      </c>
      <c r="L21" s="31">
        <v>19</v>
      </c>
    </row>
    <row r="22" spans="1:12" x14ac:dyDescent="0.4">
      <c r="A22" s="15" t="s">
        <v>9</v>
      </c>
      <c r="B22" s="22" t="s">
        <v>1</v>
      </c>
      <c r="C22" s="11">
        <v>21</v>
      </c>
      <c r="D22" s="24">
        <v>5.0129344827586211</v>
      </c>
      <c r="E22">
        <f t="shared" ca="1" si="1"/>
        <v>5.1572432314435339</v>
      </c>
      <c r="I22" s="26"/>
      <c r="J22" s="31">
        <v>20</v>
      </c>
      <c r="K22" s="31">
        <v>1.3563424005336215E-2</v>
      </c>
      <c r="L22" s="31">
        <v>20</v>
      </c>
    </row>
    <row r="23" spans="1:12" x14ac:dyDescent="0.4">
      <c r="A23" s="15"/>
      <c r="B23" s="22" t="s">
        <v>2</v>
      </c>
      <c r="C23" s="11">
        <v>22</v>
      </c>
      <c r="D23" s="24">
        <v>5.1807084745762726</v>
      </c>
      <c r="E23">
        <f t="shared" ca="1" si="1"/>
        <v>5.0752108368075186</v>
      </c>
      <c r="I23" s="26"/>
      <c r="J23" s="31">
        <v>21</v>
      </c>
      <c r="K23" s="31">
        <v>1.3171311388115278E-2</v>
      </c>
      <c r="L23" s="31">
        <v>21</v>
      </c>
    </row>
    <row r="24" spans="1:12" x14ac:dyDescent="0.4">
      <c r="A24" s="15"/>
      <c r="B24" s="22" t="s">
        <v>3</v>
      </c>
      <c r="C24" s="11">
        <v>23</v>
      </c>
      <c r="D24" s="24">
        <v>5.2415953846153842</v>
      </c>
      <c r="E24">
        <f t="shared" ca="1" si="1"/>
        <v>5.0883225158329433</v>
      </c>
      <c r="I24" s="26"/>
      <c r="J24" s="31">
        <v>22</v>
      </c>
      <c r="K24" s="31">
        <v>1.6213486093470841E-2</v>
      </c>
      <c r="L24" s="31">
        <v>22</v>
      </c>
    </row>
    <row r="25" spans="1:12" x14ac:dyDescent="0.4">
      <c r="A25" s="15"/>
      <c r="B25" s="22" t="s">
        <v>4</v>
      </c>
      <c r="C25" s="11">
        <v>24</v>
      </c>
      <c r="D25" s="24">
        <v>5.2308066666666662</v>
      </c>
      <c r="E25">
        <f t="shared" ca="1" si="1"/>
        <v>5.1450794473167596</v>
      </c>
      <c r="I25" s="26"/>
      <c r="J25" s="31">
        <v>23</v>
      </c>
      <c r="K25" s="31">
        <v>1.760261057941068E-2</v>
      </c>
      <c r="L25" s="31">
        <v>23</v>
      </c>
    </row>
    <row r="26" spans="1:12" x14ac:dyDescent="0.4">
      <c r="A26" s="15" t="s">
        <v>10</v>
      </c>
      <c r="B26" s="22" t="s">
        <v>1</v>
      </c>
      <c r="C26" s="11">
        <v>25</v>
      </c>
      <c r="D26" s="24">
        <v>5.0595203389830514</v>
      </c>
      <c r="E26">
        <f t="shared" ca="1" si="1"/>
        <v>5.217703508619441</v>
      </c>
      <c r="I26" s="26"/>
      <c r="J26" s="31">
        <v>24</v>
      </c>
      <c r="K26" s="31">
        <v>1.9939439038288379E-2</v>
      </c>
      <c r="L26" s="31">
        <v>24</v>
      </c>
    </row>
    <row r="27" spans="1:12" x14ac:dyDescent="0.4">
      <c r="A27" s="15"/>
      <c r="B27" s="22" t="s">
        <v>2</v>
      </c>
      <c r="C27" s="11">
        <v>26</v>
      </c>
      <c r="D27" s="24">
        <v>5.2209627118644066</v>
      </c>
      <c r="E27">
        <f t="shared" ca="1" si="1"/>
        <v>5.1773074634217009</v>
      </c>
      <c r="I27" s="26"/>
      <c r="J27" s="31">
        <v>25</v>
      </c>
      <c r="K27" s="31">
        <v>2.3081010398854764E-2</v>
      </c>
      <c r="L27" s="31">
        <v>25</v>
      </c>
    </row>
    <row r="28" spans="1:12" x14ac:dyDescent="0.4">
      <c r="A28" s="15"/>
      <c r="B28" s="22" t="s">
        <v>3</v>
      </c>
      <c r="C28" s="11">
        <v>27</v>
      </c>
      <c r="D28" s="24">
        <v>5.3927609374999985</v>
      </c>
      <c r="E28">
        <f t="shared" ca="1" si="1"/>
        <v>5.1704299058380414</v>
      </c>
      <c r="I28" s="26"/>
      <c r="J28" s="31">
        <v>26</v>
      </c>
      <c r="K28" s="31">
        <v>3.2422818524821054E-2</v>
      </c>
      <c r="L28" s="31">
        <v>26</v>
      </c>
    </row>
    <row r="29" spans="1:12" x14ac:dyDescent="0.4">
      <c r="A29" s="18"/>
      <c r="B29" s="23" t="s">
        <v>4</v>
      </c>
      <c r="C29" s="19">
        <v>28</v>
      </c>
      <c r="D29" s="25">
        <v>5.2669166666666651</v>
      </c>
      <c r="E29">
        <f t="shared" ca="1" si="1"/>
        <v>5.2244146627824852</v>
      </c>
      <c r="I29" s="26"/>
      <c r="J29" s="32">
        <v>27</v>
      </c>
      <c r="K29" s="32">
        <v>9.883508486264703E-3</v>
      </c>
      <c r="L29" s="32">
        <v>27</v>
      </c>
    </row>
    <row r="30" spans="1:12" x14ac:dyDescent="0.4">
      <c r="A30" s="23" t="s">
        <v>11</v>
      </c>
      <c r="B30" s="23" t="s">
        <v>1</v>
      </c>
      <c r="C30" s="25">
        <v>29</v>
      </c>
      <c r="D30" s="25"/>
      <c r="E30">
        <f ca="1">AVERAGE(OFFSET(C30,-H5,1,H5,1))</f>
        <v>5.1833788085657719</v>
      </c>
      <c r="I30" s="26"/>
    </row>
    <row r="31" spans="1:12" x14ac:dyDescent="0.4">
      <c r="I31" s="26"/>
    </row>
    <row r="32" spans="1:12" x14ac:dyDescent="0.4">
      <c r="I32" s="26"/>
    </row>
    <row r="33" spans="9:9" x14ac:dyDescent="0.4">
      <c r="I33" s="26"/>
    </row>
    <row r="34" spans="9:9" x14ac:dyDescent="0.4">
      <c r="I34" s="26"/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13</xdr:col>
                    <xdr:colOff>504825</xdr:colOff>
                    <xdr:row>19</xdr:row>
                    <xdr:rowOff>114300</xdr:rowOff>
                  </from>
                  <to>
                    <xdr:col>14</xdr:col>
                    <xdr:colOff>152400</xdr:colOff>
                    <xdr:row>21</xdr:row>
                    <xdr:rowOff>4763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0650-81AE-46B5-99C4-48B801FB86CC}">
  <dimension ref="A1:S1742"/>
  <sheetViews>
    <sheetView workbookViewId="0">
      <selection activeCell="D27" sqref="D27"/>
    </sheetView>
  </sheetViews>
  <sheetFormatPr defaultRowHeight="13.9" x14ac:dyDescent="0.4"/>
  <cols>
    <col min="1" max="1" width="11.59765625" bestFit="1" customWidth="1"/>
    <col min="2" max="2" width="19.73046875" bestFit="1" customWidth="1"/>
    <col min="5" max="5" width="9.265625" bestFit="1" customWidth="1"/>
    <col min="6" max="6" width="10.3984375" bestFit="1" customWidth="1"/>
    <col min="7" max="7" width="28.73046875" bestFit="1" customWidth="1"/>
    <col min="12" max="12" width="26.59765625" bestFit="1" customWidth="1"/>
  </cols>
  <sheetData>
    <row r="1" spans="1:19" x14ac:dyDescent="0.4">
      <c r="A1" s="1" t="s">
        <v>17</v>
      </c>
      <c r="B1" s="1" t="s">
        <v>18</v>
      </c>
      <c r="I1" s="5" t="s">
        <v>32</v>
      </c>
      <c r="J1" s="5" t="s">
        <v>33</v>
      </c>
      <c r="K1" s="5" t="s">
        <v>15</v>
      </c>
      <c r="L1" s="5" t="s">
        <v>19</v>
      </c>
      <c r="M1" s="8" t="s">
        <v>34</v>
      </c>
      <c r="Q1">
        <v>3</v>
      </c>
    </row>
    <row r="2" spans="1:19" x14ac:dyDescent="0.4">
      <c r="A2" s="2">
        <v>42738</v>
      </c>
      <c r="B2" s="3">
        <v>5.1791</v>
      </c>
      <c r="I2" s="6" t="s">
        <v>0</v>
      </c>
      <c r="J2" t="s">
        <v>20</v>
      </c>
      <c r="K2">
        <v>1</v>
      </c>
      <c r="L2">
        <v>5.2123888888888894</v>
      </c>
      <c r="M2" t="str">
        <f ca="1">IF(K2&lt;=$Q$1,"",AVERAGE(OFFSET(L2,-$Q$1,0,$Q$1,1)))</f>
        <v/>
      </c>
      <c r="Q2">
        <f ca="1">SUMXMY2(L2:L87,M2:M87)/COUNT(M2:M87)</f>
        <v>1.2255853707096181E-2</v>
      </c>
    </row>
    <row r="3" spans="1:19" x14ac:dyDescent="0.4">
      <c r="A3" s="2">
        <v>42739</v>
      </c>
      <c r="B3" s="3">
        <v>5.1893000000000002</v>
      </c>
      <c r="I3" s="6"/>
      <c r="J3" t="s">
        <v>21</v>
      </c>
      <c r="K3">
        <v>2</v>
      </c>
      <c r="L3">
        <v>5.2436555555555566</v>
      </c>
      <c r="M3" t="str">
        <f t="shared" ref="M3:M66" ca="1" si="0">IF(K3&lt;=$Q$1,"",AVERAGE(OFFSET(L3,-$Q$1,0,$Q$1,1)))</f>
        <v/>
      </c>
      <c r="S3">
        <f>MIN(Q6:Q90)</f>
        <v>6.5354949655577121E-3</v>
      </c>
    </row>
    <row r="4" spans="1:19" x14ac:dyDescent="0.4">
      <c r="A4" s="2">
        <v>42740</v>
      </c>
      <c r="B4" s="3">
        <v>5.2127999999999997</v>
      </c>
      <c r="E4" s="4" t="s">
        <v>32</v>
      </c>
      <c r="F4" s="4" t="s">
        <v>33</v>
      </c>
      <c r="G4" t="s">
        <v>14</v>
      </c>
      <c r="I4" s="6"/>
      <c r="J4" t="s">
        <v>22</v>
      </c>
      <c r="K4">
        <v>3</v>
      </c>
      <c r="L4">
        <v>5.1533608695652164</v>
      </c>
      <c r="M4" t="str">
        <f t="shared" ca="1" si="0"/>
        <v/>
      </c>
      <c r="S4">
        <f>_xlfn.XLOOKUP(S3,Q6:Q90,P6:P90)</f>
        <v>1</v>
      </c>
    </row>
    <row r="5" spans="1:19" x14ac:dyDescent="0.4">
      <c r="A5" s="2">
        <v>42741</v>
      </c>
      <c r="B5" s="3">
        <v>5.1829000000000001</v>
      </c>
      <c r="E5" t="s">
        <v>0</v>
      </c>
      <c r="F5" t="s">
        <v>20</v>
      </c>
      <c r="G5">
        <v>5.2123888888888894</v>
      </c>
      <c r="I5" s="6"/>
      <c r="J5" t="s">
        <v>23</v>
      </c>
      <c r="K5">
        <v>4</v>
      </c>
      <c r="L5">
        <v>5.1315666666666671</v>
      </c>
      <c r="M5">
        <f t="shared" ca="1" si="0"/>
        <v>5.2031351046698875</v>
      </c>
      <c r="Q5">
        <f ca="1">Q2</f>
        <v>1.2255853707096181E-2</v>
      </c>
    </row>
    <row r="6" spans="1:19" x14ac:dyDescent="0.4">
      <c r="A6" s="2">
        <v>42744</v>
      </c>
      <c r="B6" s="3">
        <v>5.2404999999999999</v>
      </c>
      <c r="F6" t="s">
        <v>21</v>
      </c>
      <c r="G6">
        <v>5.2436555555555566</v>
      </c>
      <c r="I6" s="6"/>
      <c r="J6" t="s">
        <v>24</v>
      </c>
      <c r="K6">
        <v>5</v>
      </c>
      <c r="L6">
        <v>5.060109999999999</v>
      </c>
      <c r="M6">
        <f t="shared" ca="1" si="0"/>
        <v>5.1761943639291461</v>
      </c>
      <c r="P6">
        <v>1</v>
      </c>
      <c r="Q6">
        <f t="dataTable" ref="Q6:Q90" dt2D="0" dtr="0" r1="Q1" ca="1"/>
        <v>6.5354949655577121E-3</v>
      </c>
    </row>
    <row r="7" spans="1:19" x14ac:dyDescent="0.4">
      <c r="A7" s="2">
        <v>42745</v>
      </c>
      <c r="B7" s="3">
        <v>5.2397</v>
      </c>
      <c r="F7" t="s">
        <v>22</v>
      </c>
      <c r="G7">
        <v>5.1533608695652164</v>
      </c>
      <c r="I7" s="6"/>
      <c r="J7" t="s">
        <v>25</v>
      </c>
      <c r="K7">
        <v>6</v>
      </c>
      <c r="L7">
        <v>5.1093363636363645</v>
      </c>
      <c r="M7">
        <f t="shared" ca="1" si="0"/>
        <v>5.1150125120772936</v>
      </c>
      <c r="P7">
        <v>2</v>
      </c>
      <c r="Q7">
        <v>9.4096633754387794E-3</v>
      </c>
    </row>
    <row r="8" spans="1:19" x14ac:dyDescent="0.4">
      <c r="A8" s="2">
        <v>42746</v>
      </c>
      <c r="B8" s="3">
        <v>5.2309000000000001</v>
      </c>
      <c r="F8" t="s">
        <v>23</v>
      </c>
      <c r="G8">
        <v>5.1315666666666671</v>
      </c>
      <c r="I8" s="6"/>
      <c r="J8" t="s">
        <v>26</v>
      </c>
      <c r="K8">
        <v>7</v>
      </c>
      <c r="L8">
        <v>5.3185190476190467</v>
      </c>
      <c r="M8">
        <f t="shared" ca="1" si="0"/>
        <v>5.1003376767676771</v>
      </c>
      <c r="P8">
        <v>3</v>
      </c>
      <c r="Q8">
        <v>1.2255853707096181E-2</v>
      </c>
    </row>
    <row r="9" spans="1:19" x14ac:dyDescent="0.4">
      <c r="A9" s="2">
        <v>42747</v>
      </c>
      <c r="B9" s="3">
        <v>5.2491000000000003</v>
      </c>
      <c r="F9" t="s">
        <v>24</v>
      </c>
      <c r="G9">
        <v>5.060109999999999</v>
      </c>
      <c r="I9" s="6"/>
      <c r="J9" t="s">
        <v>27</v>
      </c>
      <c r="K9">
        <v>8</v>
      </c>
      <c r="L9">
        <v>5.2927434782608698</v>
      </c>
      <c r="M9">
        <f t="shared" ca="1" si="0"/>
        <v>5.162655137085137</v>
      </c>
      <c r="P9">
        <v>4</v>
      </c>
      <c r="Q9">
        <v>1.5036048141493161E-2</v>
      </c>
    </row>
    <row r="10" spans="1:19" x14ac:dyDescent="0.4">
      <c r="A10" s="2">
        <v>42748</v>
      </c>
      <c r="B10" s="3">
        <v>5.2351999999999999</v>
      </c>
      <c r="F10" t="s">
        <v>25</v>
      </c>
      <c r="G10">
        <v>5.1093363636363645</v>
      </c>
      <c r="I10" s="6"/>
      <c r="J10" t="s">
        <v>28</v>
      </c>
      <c r="K10">
        <v>9</v>
      </c>
      <c r="L10">
        <v>5.3375476190476192</v>
      </c>
      <c r="M10">
        <f t="shared" ca="1" si="0"/>
        <v>5.2401996298387603</v>
      </c>
      <c r="P10">
        <v>5</v>
      </c>
      <c r="Q10">
        <v>1.7077973109367078E-2</v>
      </c>
    </row>
    <row r="11" spans="1:19" x14ac:dyDescent="0.4">
      <c r="A11" s="2">
        <v>42751</v>
      </c>
      <c r="B11" s="3">
        <v>5.2493999999999996</v>
      </c>
      <c r="F11" t="s">
        <v>26</v>
      </c>
      <c r="G11">
        <v>5.3185190476190467</v>
      </c>
      <c r="I11" s="6"/>
      <c r="J11" t="s">
        <v>29</v>
      </c>
      <c r="K11">
        <v>10</v>
      </c>
      <c r="L11">
        <v>5.2518470588235298</v>
      </c>
      <c r="M11">
        <f t="shared" ca="1" si="0"/>
        <v>5.3162700483091783</v>
      </c>
      <c r="P11">
        <v>6</v>
      </c>
      <c r="Q11">
        <v>1.845202539913357E-2</v>
      </c>
    </row>
    <row r="12" spans="1:19" x14ac:dyDescent="0.4">
      <c r="A12" s="2">
        <v>42752</v>
      </c>
      <c r="B12" s="3">
        <v>5.2446999999999999</v>
      </c>
      <c r="F12" t="s">
        <v>27</v>
      </c>
      <c r="G12">
        <v>5.2927434782608698</v>
      </c>
      <c r="I12" s="6"/>
      <c r="J12" t="s">
        <v>30</v>
      </c>
      <c r="K12">
        <v>11</v>
      </c>
      <c r="L12">
        <v>5.1850818181818186</v>
      </c>
      <c r="M12">
        <f t="shared" ca="1" si="0"/>
        <v>5.2940460520440062</v>
      </c>
      <c r="P12">
        <v>7</v>
      </c>
      <c r="Q12">
        <v>1.8861485823660887E-2</v>
      </c>
    </row>
    <row r="13" spans="1:19" x14ac:dyDescent="0.4">
      <c r="A13" s="2">
        <v>42753</v>
      </c>
      <c r="B13" s="3">
        <v>5.2442000000000002</v>
      </c>
      <c r="F13" t="s">
        <v>28</v>
      </c>
      <c r="G13">
        <v>5.3375476190476192</v>
      </c>
      <c r="I13" s="7"/>
      <c r="J13" t="s">
        <v>31</v>
      </c>
      <c r="K13">
        <v>12</v>
      </c>
      <c r="L13">
        <v>5.1603476190476201</v>
      </c>
      <c r="M13">
        <f t="shared" ca="1" si="0"/>
        <v>5.2581588320176555</v>
      </c>
      <c r="P13">
        <v>8</v>
      </c>
      <c r="Q13">
        <v>1.8908963573499842E-2</v>
      </c>
    </row>
    <row r="14" spans="1:19" x14ac:dyDescent="0.4">
      <c r="A14" s="2">
        <v>42754</v>
      </c>
      <c r="B14" s="3">
        <v>5.1700999999999997</v>
      </c>
      <c r="F14" t="s">
        <v>29</v>
      </c>
      <c r="G14">
        <v>5.2518470588235298</v>
      </c>
      <c r="I14" s="6" t="s">
        <v>5</v>
      </c>
      <c r="J14" t="s">
        <v>20</v>
      </c>
      <c r="K14">
        <v>13</v>
      </c>
      <c r="L14">
        <v>5.173513636363638</v>
      </c>
      <c r="M14">
        <f t="shared" ca="1" si="0"/>
        <v>5.1990921653509892</v>
      </c>
      <c r="P14">
        <v>9</v>
      </c>
      <c r="Q14">
        <v>1.8258333525291041E-2</v>
      </c>
    </row>
    <row r="15" spans="1:19" x14ac:dyDescent="0.4">
      <c r="A15" s="2">
        <v>42755</v>
      </c>
      <c r="B15" s="3">
        <v>5.1596000000000002</v>
      </c>
      <c r="F15" t="s">
        <v>30</v>
      </c>
      <c r="G15">
        <v>5.1850818181818186</v>
      </c>
      <c r="I15" s="6"/>
      <c r="J15" t="s">
        <v>21</v>
      </c>
      <c r="K15">
        <v>14</v>
      </c>
      <c r="L15">
        <v>5.0253133333333331</v>
      </c>
      <c r="M15">
        <f t="shared" ca="1" si="0"/>
        <v>5.1729810245310253</v>
      </c>
      <c r="P15">
        <v>10</v>
      </c>
      <c r="Q15">
        <v>1.7412670909763738E-2</v>
      </c>
    </row>
    <row r="16" spans="1:19" x14ac:dyDescent="0.4">
      <c r="A16" s="2">
        <v>42758</v>
      </c>
      <c r="B16" s="3">
        <v>5.1520000000000001</v>
      </c>
      <c r="F16" t="s">
        <v>31</v>
      </c>
      <c r="G16">
        <v>5.1603476190476201</v>
      </c>
      <c r="I16" s="6"/>
      <c r="J16" t="s">
        <v>22</v>
      </c>
      <c r="K16">
        <v>15</v>
      </c>
      <c r="L16">
        <v>4.8909363636363636</v>
      </c>
      <c r="M16">
        <f t="shared" ca="1" si="0"/>
        <v>5.1197248629148637</v>
      </c>
      <c r="P16">
        <v>11</v>
      </c>
      <c r="Q16">
        <v>1.6562719738591074E-2</v>
      </c>
    </row>
    <row r="17" spans="1:17" x14ac:dyDescent="0.4">
      <c r="A17" s="2">
        <v>42759</v>
      </c>
      <c r="B17" s="3">
        <v>5.1673</v>
      </c>
      <c r="E17" t="s">
        <v>5</v>
      </c>
      <c r="F17" t="s">
        <v>20</v>
      </c>
      <c r="G17">
        <v>5.173513636363638</v>
      </c>
      <c r="I17" s="6"/>
      <c r="J17" t="s">
        <v>23</v>
      </c>
      <c r="K17">
        <v>16</v>
      </c>
      <c r="L17">
        <v>4.9488055555555555</v>
      </c>
      <c r="M17">
        <f t="shared" ca="1" si="0"/>
        <v>5.0299211111111113</v>
      </c>
      <c r="P17">
        <v>12</v>
      </c>
      <c r="Q17">
        <v>1.5777400146044018E-2</v>
      </c>
    </row>
    <row r="18" spans="1:17" x14ac:dyDescent="0.4">
      <c r="A18" s="2">
        <v>42760</v>
      </c>
      <c r="B18" s="3">
        <v>5.2218</v>
      </c>
      <c r="F18" t="s">
        <v>21</v>
      </c>
      <c r="G18">
        <v>5.0253133333333331</v>
      </c>
      <c r="I18" s="6"/>
      <c r="J18" t="s">
        <v>24</v>
      </c>
      <c r="K18">
        <v>17</v>
      </c>
      <c r="L18">
        <v>4.9548681818181821</v>
      </c>
      <c r="M18">
        <f t="shared" ca="1" si="0"/>
        <v>4.9550184175084171</v>
      </c>
      <c r="P18">
        <v>13</v>
      </c>
      <c r="Q18">
        <v>1.5256908039443202E-2</v>
      </c>
    </row>
    <row r="19" spans="1:17" x14ac:dyDescent="0.4">
      <c r="A19" s="2">
        <v>42761</v>
      </c>
      <c r="B19" s="3">
        <v>5.2544000000000004</v>
      </c>
      <c r="F19" t="s">
        <v>22</v>
      </c>
      <c r="G19">
        <v>4.8909363636363636</v>
      </c>
      <c r="I19" s="6"/>
      <c r="J19" t="s">
        <v>25</v>
      </c>
      <c r="K19">
        <v>18</v>
      </c>
      <c r="L19">
        <v>4.9231399999999992</v>
      </c>
      <c r="M19">
        <f t="shared" ca="1" si="0"/>
        <v>4.9315367003367001</v>
      </c>
      <c r="P19">
        <v>14</v>
      </c>
      <c r="Q19">
        <v>1.4780604995298371E-2</v>
      </c>
    </row>
    <row r="20" spans="1:17" x14ac:dyDescent="0.4">
      <c r="A20" s="2">
        <v>42769</v>
      </c>
      <c r="B20" s="3">
        <v>5.2643000000000004</v>
      </c>
      <c r="F20" t="s">
        <v>23</v>
      </c>
      <c r="G20">
        <v>4.9488055555555555</v>
      </c>
      <c r="I20" s="6"/>
      <c r="J20" t="s">
        <v>26</v>
      </c>
      <c r="K20">
        <v>19</v>
      </c>
      <c r="L20">
        <v>5.1036136363636357</v>
      </c>
      <c r="M20">
        <f t="shared" ca="1" si="0"/>
        <v>4.9422712457912459</v>
      </c>
      <c r="P20">
        <v>15</v>
      </c>
      <c r="Q20">
        <v>1.3837951794999935E-2</v>
      </c>
    </row>
    <row r="21" spans="1:17" x14ac:dyDescent="0.4">
      <c r="A21" s="2">
        <v>42772</v>
      </c>
      <c r="B21" s="3">
        <v>5.2735000000000003</v>
      </c>
      <c r="F21" t="s">
        <v>24</v>
      </c>
      <c r="G21">
        <v>4.9548681818181821</v>
      </c>
      <c r="I21" s="6"/>
      <c r="J21" t="s">
        <v>27</v>
      </c>
      <c r="K21">
        <v>20</v>
      </c>
      <c r="L21">
        <v>5.2526913043478256</v>
      </c>
      <c r="M21">
        <f t="shared" ca="1" si="0"/>
        <v>4.9938739393939393</v>
      </c>
      <c r="P21">
        <v>16</v>
      </c>
      <c r="Q21">
        <v>1.3730643698912113E-2</v>
      </c>
    </row>
    <row r="22" spans="1:17" x14ac:dyDescent="0.4">
      <c r="A22" s="2">
        <v>42773</v>
      </c>
      <c r="B22" s="3">
        <v>5.2443</v>
      </c>
      <c r="F22" t="s">
        <v>25</v>
      </c>
      <c r="G22">
        <v>4.9231399999999992</v>
      </c>
      <c r="I22" s="6"/>
      <c r="J22" t="s">
        <v>28</v>
      </c>
      <c r="K22">
        <v>21</v>
      </c>
      <c r="L22">
        <v>5.2471789473684209</v>
      </c>
      <c r="M22">
        <f t="shared" ca="1" si="0"/>
        <v>5.0931483135704871</v>
      </c>
      <c r="P22">
        <v>17</v>
      </c>
      <c r="Q22">
        <v>1.3886256488419594E-2</v>
      </c>
    </row>
    <row r="23" spans="1:17" x14ac:dyDescent="0.4">
      <c r="A23" s="2">
        <v>42774</v>
      </c>
      <c r="B23" s="3">
        <v>5.2268999999999997</v>
      </c>
      <c r="F23" t="s">
        <v>26</v>
      </c>
      <c r="G23">
        <v>5.1036136363636357</v>
      </c>
      <c r="I23" s="6"/>
      <c r="J23" t="s">
        <v>29</v>
      </c>
      <c r="K23">
        <v>22</v>
      </c>
      <c r="L23">
        <v>5.3129388888888895</v>
      </c>
      <c r="M23">
        <f t="shared" ca="1" si="0"/>
        <v>5.2011612960266271</v>
      </c>
      <c r="P23">
        <v>18</v>
      </c>
      <c r="Q23">
        <v>1.391409361079546E-2</v>
      </c>
    </row>
    <row r="24" spans="1:17" x14ac:dyDescent="0.4">
      <c r="A24" s="2">
        <v>42775</v>
      </c>
      <c r="B24" s="3">
        <v>5.2281000000000004</v>
      </c>
      <c r="F24" t="s">
        <v>27</v>
      </c>
      <c r="G24">
        <v>5.2526913043478256</v>
      </c>
      <c r="I24" s="6"/>
      <c r="J24" t="s">
        <v>30</v>
      </c>
      <c r="K24">
        <v>23</v>
      </c>
      <c r="L24">
        <v>5.2572363636363626</v>
      </c>
      <c r="M24">
        <f t="shared" ca="1" si="0"/>
        <v>5.2709363802017117</v>
      </c>
      <c r="P24">
        <v>19</v>
      </c>
      <c r="Q24">
        <v>1.4538034411995566E-2</v>
      </c>
    </row>
    <row r="25" spans="1:17" x14ac:dyDescent="0.4">
      <c r="A25" s="2">
        <v>42776</v>
      </c>
      <c r="B25" s="3">
        <v>5.2347000000000001</v>
      </c>
      <c r="F25" t="s">
        <v>28</v>
      </c>
      <c r="G25">
        <v>5.2471789473684209</v>
      </c>
      <c r="I25" s="7"/>
      <c r="J25" t="s">
        <v>31</v>
      </c>
      <c r="K25">
        <v>24</v>
      </c>
      <c r="L25">
        <v>5.130255</v>
      </c>
      <c r="M25">
        <f t="shared" ca="1" si="0"/>
        <v>5.2724513999645577</v>
      </c>
      <c r="P25">
        <v>20</v>
      </c>
      <c r="Q25">
        <v>1.472330527405055E-2</v>
      </c>
    </row>
    <row r="26" spans="1:17" x14ac:dyDescent="0.4">
      <c r="A26" s="2">
        <v>42779</v>
      </c>
      <c r="B26" s="3">
        <v>5.2516999999999996</v>
      </c>
      <c r="F26" t="s">
        <v>29</v>
      </c>
      <c r="G26">
        <v>5.3129388888888895</v>
      </c>
      <c r="I26" s="6" t="s">
        <v>6</v>
      </c>
      <c r="J26" t="s">
        <v>20</v>
      </c>
      <c r="K26">
        <v>25</v>
      </c>
      <c r="L26">
        <v>5.0982999999999992</v>
      </c>
      <c r="M26">
        <f t="shared" ca="1" si="0"/>
        <v>5.233476750841751</v>
      </c>
      <c r="P26">
        <v>21</v>
      </c>
      <c r="Q26">
        <v>1.4766353999617319E-2</v>
      </c>
    </row>
    <row r="27" spans="1:17" x14ac:dyDescent="0.4">
      <c r="A27" s="2">
        <v>42780</v>
      </c>
      <c r="B27" s="3">
        <v>5.2657999999999996</v>
      </c>
      <c r="F27" t="s">
        <v>30</v>
      </c>
      <c r="G27">
        <v>5.2572363636363626</v>
      </c>
      <c r="I27" s="6"/>
      <c r="J27" t="s">
        <v>21</v>
      </c>
      <c r="K27">
        <v>26</v>
      </c>
      <c r="L27">
        <v>5.0977066666666673</v>
      </c>
      <c r="M27">
        <f t="shared" ca="1" si="0"/>
        <v>5.1619304545454545</v>
      </c>
      <c r="P27">
        <v>22</v>
      </c>
      <c r="Q27">
        <v>1.4448347957359216E-2</v>
      </c>
    </row>
    <row r="28" spans="1:17" x14ac:dyDescent="0.4">
      <c r="A28" s="2">
        <v>42781</v>
      </c>
      <c r="B28" s="3">
        <v>5.2470999999999997</v>
      </c>
      <c r="F28" t="s">
        <v>31</v>
      </c>
      <c r="G28">
        <v>5.130255</v>
      </c>
      <c r="I28" s="6"/>
      <c r="J28" t="s">
        <v>22</v>
      </c>
      <c r="K28">
        <v>27</v>
      </c>
      <c r="L28">
        <v>5.0229190476190482</v>
      </c>
      <c r="M28">
        <f t="shared" ca="1" si="0"/>
        <v>5.1087538888888888</v>
      </c>
      <c r="P28">
        <v>23</v>
      </c>
      <c r="Q28">
        <v>1.4355526913303565E-2</v>
      </c>
    </row>
    <row r="29" spans="1:17" x14ac:dyDescent="0.4">
      <c r="A29" s="2">
        <v>42782</v>
      </c>
      <c r="B29" s="3">
        <v>5.2503000000000002</v>
      </c>
      <c r="E29" t="s">
        <v>6</v>
      </c>
      <c r="F29" t="s">
        <v>20</v>
      </c>
      <c r="G29">
        <v>5.0982999999999992</v>
      </c>
      <c r="I29" s="6"/>
      <c r="J29" t="s">
        <v>23</v>
      </c>
      <c r="K29">
        <v>28</v>
      </c>
      <c r="L29">
        <v>5.0206</v>
      </c>
      <c r="M29">
        <f t="shared" ca="1" si="0"/>
        <v>5.0729752380952382</v>
      </c>
      <c r="P29">
        <v>24</v>
      </c>
      <c r="Q29">
        <v>1.4473269439480827E-2</v>
      </c>
    </row>
    <row r="30" spans="1:17" x14ac:dyDescent="0.4">
      <c r="A30" s="2">
        <v>42783</v>
      </c>
      <c r="B30" s="3">
        <v>5.2355999999999998</v>
      </c>
      <c r="F30" t="s">
        <v>21</v>
      </c>
      <c r="G30">
        <v>5.0977066666666673</v>
      </c>
      <c r="I30" s="6"/>
      <c r="J30" t="s">
        <v>24</v>
      </c>
      <c r="K30">
        <v>29</v>
      </c>
      <c r="L30">
        <v>5.0933950000000001</v>
      </c>
      <c r="M30">
        <f t="shared" ca="1" si="0"/>
        <v>5.0470752380952382</v>
      </c>
      <c r="P30">
        <v>25</v>
      </c>
      <c r="Q30">
        <v>1.4601701609163189E-2</v>
      </c>
    </row>
    <row r="31" spans="1:17" x14ac:dyDescent="0.4">
      <c r="A31" s="2">
        <v>42786</v>
      </c>
      <c r="B31" s="3">
        <v>5.2542</v>
      </c>
      <c r="F31" t="s">
        <v>22</v>
      </c>
      <c r="G31">
        <v>5.0229190476190482</v>
      </c>
      <c r="I31" s="6"/>
      <c r="J31" t="s">
        <v>25</v>
      </c>
      <c r="K31">
        <v>30</v>
      </c>
      <c r="L31">
        <v>5.1804210526315773</v>
      </c>
      <c r="M31">
        <f t="shared" ca="1" si="0"/>
        <v>5.0456380158730161</v>
      </c>
      <c r="P31">
        <v>26</v>
      </c>
      <c r="Q31">
        <v>1.4819303904701242E-2</v>
      </c>
    </row>
    <row r="32" spans="1:17" x14ac:dyDescent="0.4">
      <c r="A32" s="2">
        <v>42787</v>
      </c>
      <c r="B32" s="3">
        <v>5.2496999999999998</v>
      </c>
      <c r="F32" t="s">
        <v>23</v>
      </c>
      <c r="G32">
        <v>5.0206</v>
      </c>
      <c r="I32" s="6"/>
      <c r="J32" t="s">
        <v>26</v>
      </c>
      <c r="K32">
        <v>31</v>
      </c>
      <c r="L32">
        <v>5.2497782608695651</v>
      </c>
      <c r="M32">
        <f t="shared" ca="1" si="0"/>
        <v>5.0981386842105252</v>
      </c>
      <c r="P32">
        <v>27</v>
      </c>
      <c r="Q32">
        <v>1.4837222200675869E-2</v>
      </c>
    </row>
    <row r="33" spans="1:17" x14ac:dyDescent="0.4">
      <c r="A33" s="2">
        <v>42788</v>
      </c>
      <c r="B33" s="3">
        <v>5.2359</v>
      </c>
      <c r="F33" t="s">
        <v>24</v>
      </c>
      <c r="G33">
        <v>5.0933950000000001</v>
      </c>
      <c r="I33" s="6"/>
      <c r="J33" t="s">
        <v>27</v>
      </c>
      <c r="K33">
        <v>32</v>
      </c>
      <c r="L33">
        <v>5.2998227272727281</v>
      </c>
      <c r="M33">
        <f t="shared" ca="1" si="0"/>
        <v>5.1745314378337142</v>
      </c>
      <c r="P33">
        <v>28</v>
      </c>
      <c r="Q33">
        <v>1.4872006606897036E-2</v>
      </c>
    </row>
    <row r="34" spans="1:17" x14ac:dyDescent="0.4">
      <c r="A34" s="2">
        <v>42789</v>
      </c>
      <c r="B34" s="3">
        <v>5.2210000000000001</v>
      </c>
      <c r="F34" t="s">
        <v>25</v>
      </c>
      <c r="G34">
        <v>5.1804210526315773</v>
      </c>
      <c r="I34" s="6"/>
      <c r="J34" t="s">
        <v>28</v>
      </c>
      <c r="K34">
        <v>33</v>
      </c>
      <c r="L34">
        <v>5.3586199999999993</v>
      </c>
      <c r="M34">
        <f t="shared" ca="1" si="0"/>
        <v>5.2433406802579565</v>
      </c>
      <c r="P34">
        <v>29</v>
      </c>
      <c r="Q34">
        <v>1.5119216626561889E-2</v>
      </c>
    </row>
    <row r="35" spans="1:17" x14ac:dyDescent="0.4">
      <c r="A35" s="2">
        <v>42790</v>
      </c>
      <c r="B35" s="3">
        <v>5.242</v>
      </c>
      <c r="F35" t="s">
        <v>26</v>
      </c>
      <c r="G35">
        <v>5.2497782608695651</v>
      </c>
      <c r="I35" s="6"/>
      <c r="J35" t="s">
        <v>29</v>
      </c>
      <c r="K35">
        <v>34</v>
      </c>
      <c r="L35">
        <v>5.3727999999999998</v>
      </c>
      <c r="M35">
        <f t="shared" ca="1" si="0"/>
        <v>5.3027403293807645</v>
      </c>
      <c r="P35">
        <v>30</v>
      </c>
      <c r="Q35">
        <v>1.5351279272313152E-2</v>
      </c>
    </row>
    <row r="36" spans="1:17" x14ac:dyDescent="0.4">
      <c r="A36" s="2">
        <v>42793</v>
      </c>
      <c r="B36" s="3">
        <v>5.2483000000000004</v>
      </c>
      <c r="F36" t="s">
        <v>27</v>
      </c>
      <c r="G36">
        <v>5.2998227272727281</v>
      </c>
      <c r="I36" s="6"/>
      <c r="J36" t="s">
        <v>30</v>
      </c>
      <c r="K36">
        <v>35</v>
      </c>
      <c r="L36">
        <v>5.3033238095238104</v>
      </c>
      <c r="M36">
        <f t="shared" ca="1" si="0"/>
        <v>5.3437475757575754</v>
      </c>
      <c r="P36">
        <v>31</v>
      </c>
      <c r="Q36">
        <v>1.5317523737648369E-2</v>
      </c>
    </row>
    <row r="37" spans="1:17" x14ac:dyDescent="0.4">
      <c r="A37" s="2">
        <v>42794</v>
      </c>
      <c r="B37" s="3">
        <v>5.2123999999999997</v>
      </c>
      <c r="F37" t="s">
        <v>28</v>
      </c>
      <c r="G37">
        <v>5.3586199999999993</v>
      </c>
      <c r="I37" s="7"/>
      <c r="J37" t="s">
        <v>31</v>
      </c>
      <c r="K37">
        <v>36</v>
      </c>
      <c r="L37">
        <v>5.3214636363636361</v>
      </c>
      <c r="M37">
        <f t="shared" ca="1" si="0"/>
        <v>5.3449146031746038</v>
      </c>
      <c r="P37">
        <v>32</v>
      </c>
      <c r="Q37">
        <v>1.4980791157452933E-2</v>
      </c>
    </row>
    <row r="38" spans="1:17" x14ac:dyDescent="0.4">
      <c r="A38" s="2">
        <v>42795</v>
      </c>
      <c r="B38" s="3">
        <v>5.1691000000000003</v>
      </c>
      <c r="F38" t="s">
        <v>29</v>
      </c>
      <c r="G38">
        <v>5.3727999999999998</v>
      </c>
      <c r="I38" s="6" t="s">
        <v>7</v>
      </c>
      <c r="J38" t="s">
        <v>20</v>
      </c>
      <c r="K38">
        <v>37</v>
      </c>
      <c r="L38">
        <v>5.305593749999999</v>
      </c>
      <c r="M38">
        <f t="shared" ca="1" si="0"/>
        <v>5.3325291486291491</v>
      </c>
      <c r="P38">
        <v>33</v>
      </c>
      <c r="Q38">
        <v>1.4178802329498036E-2</v>
      </c>
    </row>
    <row r="39" spans="1:17" x14ac:dyDescent="0.4">
      <c r="A39" s="2">
        <v>42796</v>
      </c>
      <c r="B39" s="3">
        <v>5.1581999999999999</v>
      </c>
      <c r="F39" t="s">
        <v>30</v>
      </c>
      <c r="G39">
        <v>5.3033238095238104</v>
      </c>
      <c r="I39" s="6"/>
      <c r="J39" t="s">
        <v>21</v>
      </c>
      <c r="K39">
        <v>38</v>
      </c>
      <c r="L39">
        <v>5.2659849999999997</v>
      </c>
      <c r="M39">
        <f t="shared" ca="1" si="0"/>
        <v>5.3101270652958155</v>
      </c>
      <c r="P39">
        <v>34</v>
      </c>
      <c r="Q39">
        <v>1.3269286025740876E-2</v>
      </c>
    </row>
    <row r="40" spans="1:17" x14ac:dyDescent="0.4">
      <c r="A40" s="2">
        <v>42797</v>
      </c>
      <c r="B40" s="3">
        <v>5.1463999999999999</v>
      </c>
      <c r="F40" t="s">
        <v>31</v>
      </c>
      <c r="G40">
        <v>5.3214636363636361</v>
      </c>
      <c r="I40" s="6"/>
      <c r="J40" t="s">
        <v>22</v>
      </c>
      <c r="K40">
        <v>39</v>
      </c>
      <c r="L40">
        <v>5.0348409090909092</v>
      </c>
      <c r="M40">
        <f t="shared" ca="1" si="0"/>
        <v>5.2976807954545455</v>
      </c>
      <c r="P40">
        <v>35</v>
      </c>
      <c r="Q40">
        <v>1.2913382590814051E-2</v>
      </c>
    </row>
    <row r="41" spans="1:17" x14ac:dyDescent="0.4">
      <c r="A41" s="2">
        <v>42800</v>
      </c>
      <c r="B41" s="3">
        <v>5.1412000000000004</v>
      </c>
      <c r="E41" t="s">
        <v>7</v>
      </c>
      <c r="F41" t="s">
        <v>20</v>
      </c>
      <c r="G41">
        <v>5.305593749999999</v>
      </c>
      <c r="I41" s="6"/>
      <c r="J41" t="s">
        <v>23</v>
      </c>
      <c r="K41">
        <v>40</v>
      </c>
      <c r="L41">
        <v>5.0324619047619032</v>
      </c>
      <c r="M41">
        <f t="shared" ca="1" si="0"/>
        <v>5.2021398863636357</v>
      </c>
      <c r="P41">
        <v>36</v>
      </c>
      <c r="Q41">
        <v>1.2600769723839899E-2</v>
      </c>
    </row>
    <row r="42" spans="1:17" x14ac:dyDescent="0.4">
      <c r="A42" s="2">
        <v>42801</v>
      </c>
      <c r="B42" s="3">
        <v>5.1513</v>
      </c>
      <c r="F42" t="s">
        <v>21</v>
      </c>
      <c r="G42">
        <v>5.2659849999999997</v>
      </c>
      <c r="I42" s="6"/>
      <c r="J42" t="s">
        <v>24</v>
      </c>
      <c r="K42">
        <v>41</v>
      </c>
      <c r="L42">
        <v>5.0818500000000011</v>
      </c>
      <c r="M42">
        <f t="shared" ca="1" si="0"/>
        <v>5.111095937950938</v>
      </c>
      <c r="P42">
        <v>37</v>
      </c>
      <c r="Q42">
        <v>1.2582146310915683E-2</v>
      </c>
    </row>
    <row r="43" spans="1:17" x14ac:dyDescent="0.4">
      <c r="A43" s="2">
        <v>42802</v>
      </c>
      <c r="B43" s="3">
        <v>5.1462000000000003</v>
      </c>
      <c r="F43" t="s">
        <v>22</v>
      </c>
      <c r="G43">
        <v>5.0348409090909092</v>
      </c>
      <c r="I43" s="6"/>
      <c r="J43" t="s">
        <v>25</v>
      </c>
      <c r="K43">
        <v>42</v>
      </c>
      <c r="L43">
        <v>5.2304699999999995</v>
      </c>
      <c r="M43">
        <f t="shared" ca="1" si="0"/>
        <v>5.0497176046176042</v>
      </c>
      <c r="P43">
        <v>38</v>
      </c>
      <c r="Q43">
        <v>1.2918146163310565E-2</v>
      </c>
    </row>
    <row r="44" spans="1:17" x14ac:dyDescent="0.4">
      <c r="A44" s="2">
        <v>42803</v>
      </c>
      <c r="B44" s="3">
        <v>5.1280000000000001</v>
      </c>
      <c r="F44" t="s">
        <v>23</v>
      </c>
      <c r="G44">
        <v>5.0324619047619032</v>
      </c>
      <c r="I44" s="6"/>
      <c r="J44" t="s">
        <v>26</v>
      </c>
      <c r="K44">
        <v>43</v>
      </c>
      <c r="L44">
        <v>5.1881043478260871</v>
      </c>
      <c r="M44">
        <f t="shared" ca="1" si="0"/>
        <v>5.1149273015873016</v>
      </c>
      <c r="P44">
        <v>39</v>
      </c>
      <c r="Q44">
        <v>1.3079105047479054E-2</v>
      </c>
    </row>
    <row r="45" spans="1:17" x14ac:dyDescent="0.4">
      <c r="A45" s="2">
        <v>42804</v>
      </c>
      <c r="B45" s="3">
        <v>5.1176000000000004</v>
      </c>
      <c r="F45" t="s">
        <v>24</v>
      </c>
      <c r="G45">
        <v>5.0818500000000011</v>
      </c>
      <c r="I45" s="6"/>
      <c r="J45" t="s">
        <v>27</v>
      </c>
      <c r="K45">
        <v>44</v>
      </c>
      <c r="L45">
        <v>5.2348190476190473</v>
      </c>
      <c r="M45">
        <f t="shared" ca="1" si="0"/>
        <v>5.1668081159420289</v>
      </c>
      <c r="P45">
        <v>40</v>
      </c>
      <c r="Q45">
        <v>1.3177348213293336E-2</v>
      </c>
    </row>
    <row r="46" spans="1:17" x14ac:dyDescent="0.4">
      <c r="A46" s="2">
        <v>42807</v>
      </c>
      <c r="B46" s="3">
        <v>5.1245000000000003</v>
      </c>
      <c r="F46" t="s">
        <v>25</v>
      </c>
      <c r="G46">
        <v>5.2304699999999995</v>
      </c>
      <c r="I46" s="6"/>
      <c r="J46" t="s">
        <v>28</v>
      </c>
      <c r="K46">
        <v>45</v>
      </c>
      <c r="L46">
        <v>5.1590727272727266</v>
      </c>
      <c r="M46">
        <f t="shared" ca="1" si="0"/>
        <v>5.2177977984817119</v>
      </c>
      <c r="P46">
        <v>41</v>
      </c>
      <c r="Q46">
        <v>1.3394342055644376E-2</v>
      </c>
    </row>
    <row r="47" spans="1:17" x14ac:dyDescent="0.4">
      <c r="A47" s="2">
        <v>42808</v>
      </c>
      <c r="B47" s="3">
        <v>5.1397000000000004</v>
      </c>
      <c r="F47" t="s">
        <v>26</v>
      </c>
      <c r="G47">
        <v>5.1881043478260871</v>
      </c>
      <c r="I47" s="6"/>
      <c r="J47" t="s">
        <v>29</v>
      </c>
      <c r="K47">
        <v>46</v>
      </c>
      <c r="L47">
        <v>5.0897687500000011</v>
      </c>
      <c r="M47">
        <f t="shared" ca="1" si="0"/>
        <v>5.1939987075726206</v>
      </c>
      <c r="P47">
        <v>42</v>
      </c>
      <c r="Q47">
        <v>1.3532771045945568E-2</v>
      </c>
    </row>
    <row r="48" spans="1:17" x14ac:dyDescent="0.4">
      <c r="A48" s="2">
        <v>42809</v>
      </c>
      <c r="B48" s="3">
        <v>5.1296999999999997</v>
      </c>
      <c r="F48" t="s">
        <v>27</v>
      </c>
      <c r="G48">
        <v>5.2348190476190473</v>
      </c>
      <c r="I48" s="6"/>
      <c r="J48" t="s">
        <v>30</v>
      </c>
      <c r="K48">
        <v>47</v>
      </c>
      <c r="L48">
        <v>5.0508666666666659</v>
      </c>
      <c r="M48">
        <f t="shared" ca="1" si="0"/>
        <v>5.1612201749639253</v>
      </c>
      <c r="P48">
        <v>43</v>
      </c>
      <c r="Q48">
        <v>1.3642811746617956E-2</v>
      </c>
    </row>
    <row r="49" spans="1:17" x14ac:dyDescent="0.4">
      <c r="A49" s="2">
        <v>42810</v>
      </c>
      <c r="B49" s="3">
        <v>5.1792999999999996</v>
      </c>
      <c r="F49" t="s">
        <v>28</v>
      </c>
      <c r="G49">
        <v>5.1590727272727266</v>
      </c>
      <c r="I49" s="7"/>
      <c r="J49" t="s">
        <v>31</v>
      </c>
      <c r="K49">
        <v>48</v>
      </c>
      <c r="L49">
        <v>5.1025217391304345</v>
      </c>
      <c r="M49">
        <f t="shared" ca="1" si="0"/>
        <v>5.0999027146464639</v>
      </c>
      <c r="P49">
        <v>44</v>
      </c>
      <c r="Q49">
        <v>1.3534597289109496E-2</v>
      </c>
    </row>
    <row r="50" spans="1:17" x14ac:dyDescent="0.4">
      <c r="A50" s="2">
        <v>42811</v>
      </c>
      <c r="B50" s="3">
        <v>5.1694000000000004</v>
      </c>
      <c r="F50" t="s">
        <v>29</v>
      </c>
      <c r="G50">
        <v>5.0897687500000011</v>
      </c>
      <c r="I50" s="6" t="s">
        <v>8</v>
      </c>
      <c r="J50" t="s">
        <v>20</v>
      </c>
      <c r="K50">
        <v>49</v>
      </c>
      <c r="L50">
        <v>5.0925349999999998</v>
      </c>
      <c r="M50">
        <f t="shared" ca="1" si="0"/>
        <v>5.0810523852657008</v>
      </c>
      <c r="P50">
        <v>45</v>
      </c>
      <c r="Q50">
        <v>1.3448718404456262E-2</v>
      </c>
    </row>
    <row r="51" spans="1:17" x14ac:dyDescent="0.4">
      <c r="A51" s="2">
        <v>42814</v>
      </c>
      <c r="B51" s="3">
        <v>5.1764000000000001</v>
      </c>
      <c r="F51" t="s">
        <v>30</v>
      </c>
      <c r="G51">
        <v>5.0508666666666659</v>
      </c>
      <c r="I51" s="6"/>
      <c r="J51" t="s">
        <v>21</v>
      </c>
      <c r="K51">
        <v>50</v>
      </c>
      <c r="L51">
        <v>5.08514</v>
      </c>
      <c r="M51">
        <f t="shared" ca="1" si="0"/>
        <v>5.0819744685990331</v>
      </c>
      <c r="P51">
        <v>46</v>
      </c>
      <c r="Q51">
        <v>1.3217261604416866E-2</v>
      </c>
    </row>
    <row r="52" spans="1:17" x14ac:dyDescent="0.4">
      <c r="A52" s="2">
        <v>42815</v>
      </c>
      <c r="B52" s="3">
        <v>5.1764000000000001</v>
      </c>
      <c r="F52" t="s">
        <v>31</v>
      </c>
      <c r="G52">
        <v>5.1025217391304345</v>
      </c>
      <c r="I52" s="6"/>
      <c r="J52" t="s">
        <v>22</v>
      </c>
      <c r="K52">
        <v>51</v>
      </c>
      <c r="L52">
        <v>5.1732000000000014</v>
      </c>
      <c r="M52">
        <f t="shared" ca="1" si="0"/>
        <v>5.0933989130434787</v>
      </c>
      <c r="P52">
        <v>47</v>
      </c>
      <c r="Q52">
        <v>1.2873101223107808E-2</v>
      </c>
    </row>
    <row r="53" spans="1:17" x14ac:dyDescent="0.4">
      <c r="A53" s="2">
        <v>42816</v>
      </c>
      <c r="B53" s="3">
        <v>5.1574999999999998</v>
      </c>
      <c r="E53" t="s">
        <v>8</v>
      </c>
      <c r="F53" t="s">
        <v>20</v>
      </c>
      <c r="G53">
        <v>5.0925349999999998</v>
      </c>
      <c r="I53" s="6"/>
      <c r="J53" t="s">
        <v>23</v>
      </c>
      <c r="K53">
        <v>52</v>
      </c>
      <c r="L53">
        <v>5.2145047619047613</v>
      </c>
      <c r="M53">
        <f t="shared" ca="1" si="0"/>
        <v>5.1169583333333337</v>
      </c>
      <c r="P53">
        <v>48</v>
      </c>
      <c r="Q53">
        <v>1.2858933981402807E-2</v>
      </c>
    </row>
    <row r="54" spans="1:17" x14ac:dyDescent="0.4">
      <c r="A54" s="2">
        <v>42817</v>
      </c>
      <c r="B54" s="3">
        <v>5.1642000000000001</v>
      </c>
      <c r="F54" t="s">
        <v>21</v>
      </c>
      <c r="G54">
        <v>5.08514</v>
      </c>
      <c r="I54" s="6"/>
      <c r="J54" t="s">
        <v>24</v>
      </c>
      <c r="K54">
        <v>53</v>
      </c>
      <c r="L54">
        <v>5.3115944444444452</v>
      </c>
      <c r="M54">
        <f t="shared" ca="1" si="0"/>
        <v>5.1576149206349209</v>
      </c>
      <c r="P54">
        <v>49</v>
      </c>
      <c r="Q54">
        <v>1.2957205519619161E-2</v>
      </c>
    </row>
    <row r="55" spans="1:17" x14ac:dyDescent="0.4">
      <c r="A55" s="2">
        <v>42818</v>
      </c>
      <c r="B55" s="3">
        <v>5.1574999999999998</v>
      </c>
      <c r="F55" t="s">
        <v>22</v>
      </c>
      <c r="G55">
        <v>5.1732000000000014</v>
      </c>
      <c r="I55" s="6"/>
      <c r="J55" t="s">
        <v>25</v>
      </c>
      <c r="K55">
        <v>54</v>
      </c>
      <c r="L55">
        <v>5.2585047619047618</v>
      </c>
      <c r="M55">
        <f t="shared" ca="1" si="0"/>
        <v>5.2330997354497359</v>
      </c>
      <c r="P55">
        <v>50</v>
      </c>
      <c r="Q55">
        <v>1.3219838871581815E-2</v>
      </c>
    </row>
    <row r="56" spans="1:17" x14ac:dyDescent="0.4">
      <c r="A56" s="2">
        <v>42821</v>
      </c>
      <c r="B56" s="3">
        <v>5.1528</v>
      </c>
      <c r="F56" t="s">
        <v>23</v>
      </c>
      <c r="G56">
        <v>5.2145047619047613</v>
      </c>
      <c r="I56" s="6"/>
      <c r="J56" t="s">
        <v>26</v>
      </c>
      <c r="K56">
        <v>55</v>
      </c>
      <c r="L56">
        <v>5.17265</v>
      </c>
      <c r="M56">
        <f t="shared" ca="1" si="0"/>
        <v>5.2615346560846561</v>
      </c>
      <c r="P56">
        <v>51</v>
      </c>
      <c r="Q56">
        <v>1.3765281796097264E-2</v>
      </c>
    </row>
    <row r="57" spans="1:17" x14ac:dyDescent="0.4">
      <c r="A57" s="2">
        <v>42822</v>
      </c>
      <c r="B57" s="3">
        <v>5.1440999999999999</v>
      </c>
      <c r="F57" t="s">
        <v>24</v>
      </c>
      <c r="G57">
        <v>5.3115944444444452</v>
      </c>
      <c r="I57" s="6"/>
      <c r="J57" t="s">
        <v>27</v>
      </c>
      <c r="K57">
        <v>56</v>
      </c>
      <c r="L57">
        <v>5.1446227272727265</v>
      </c>
      <c r="M57">
        <f t="shared" ca="1" si="0"/>
        <v>5.2475830687830687</v>
      </c>
      <c r="P57">
        <v>52</v>
      </c>
      <c r="Q57">
        <v>1.4340111900660327E-2</v>
      </c>
    </row>
    <row r="58" spans="1:17" x14ac:dyDescent="0.4">
      <c r="A58" s="2">
        <v>42823</v>
      </c>
      <c r="B58" s="3">
        <v>5.1543000000000001</v>
      </c>
      <c r="F58" t="s">
        <v>25</v>
      </c>
      <c r="G58">
        <v>5.2585047619047618</v>
      </c>
      <c r="I58" s="6"/>
      <c r="J58" t="s">
        <v>28</v>
      </c>
      <c r="K58">
        <v>57</v>
      </c>
      <c r="L58">
        <v>5.1033950000000017</v>
      </c>
      <c r="M58">
        <f t="shared" ca="1" si="0"/>
        <v>5.1919258297258288</v>
      </c>
      <c r="P58">
        <v>53</v>
      </c>
      <c r="Q58">
        <v>1.4428906238779933E-2</v>
      </c>
    </row>
    <row r="59" spans="1:17" x14ac:dyDescent="0.4">
      <c r="A59" s="2">
        <v>42824</v>
      </c>
      <c r="B59" s="3">
        <v>5.1673</v>
      </c>
      <c r="F59" t="s">
        <v>26</v>
      </c>
      <c r="G59">
        <v>5.17265</v>
      </c>
      <c r="I59" s="6"/>
      <c r="J59" t="s">
        <v>29</v>
      </c>
      <c r="K59">
        <v>58</v>
      </c>
      <c r="L59">
        <v>5.1745812499999992</v>
      </c>
      <c r="M59">
        <f t="shared" ca="1" si="0"/>
        <v>5.1402225757575764</v>
      </c>
      <c r="P59">
        <v>54</v>
      </c>
      <c r="Q59">
        <v>1.4860247657782806E-2</v>
      </c>
    </row>
    <row r="60" spans="1:17" x14ac:dyDescent="0.4">
      <c r="A60" s="2">
        <v>42825</v>
      </c>
      <c r="B60" s="3">
        <v>5.1761999999999997</v>
      </c>
      <c r="F60" t="s">
        <v>27</v>
      </c>
      <c r="G60">
        <v>5.1446227272727265</v>
      </c>
      <c r="I60" s="6"/>
      <c r="J60" t="s">
        <v>30</v>
      </c>
      <c r="K60">
        <v>59</v>
      </c>
      <c r="L60">
        <v>5.0963227272727272</v>
      </c>
      <c r="M60">
        <f t="shared" ca="1" si="0"/>
        <v>5.1408663257575755</v>
      </c>
      <c r="P60">
        <v>55</v>
      </c>
      <c r="Q60">
        <v>1.5463942856761262E-2</v>
      </c>
    </row>
    <row r="61" spans="1:17" x14ac:dyDescent="0.4">
      <c r="A61" s="2">
        <v>42830</v>
      </c>
      <c r="B61" s="3">
        <v>5.1462000000000003</v>
      </c>
      <c r="F61" t="s">
        <v>28</v>
      </c>
      <c r="G61">
        <v>5.1033950000000017</v>
      </c>
      <c r="I61" s="7"/>
      <c r="J61" t="s">
        <v>31</v>
      </c>
      <c r="K61">
        <v>60</v>
      </c>
      <c r="L61">
        <v>4.9755826086956523</v>
      </c>
      <c r="M61">
        <f t="shared" ca="1" si="0"/>
        <v>5.1247663257575766</v>
      </c>
      <c r="P61">
        <v>56</v>
      </c>
      <c r="Q61">
        <v>1.5951894588063252E-2</v>
      </c>
    </row>
    <row r="62" spans="1:17" x14ac:dyDescent="0.4">
      <c r="A62" s="2">
        <v>42831</v>
      </c>
      <c r="B62" s="3">
        <v>5.1361999999999997</v>
      </c>
      <c r="F62" t="s">
        <v>29</v>
      </c>
      <c r="G62">
        <v>5.1745812499999992</v>
      </c>
      <c r="I62" s="6" t="s">
        <v>9</v>
      </c>
      <c r="J62" t="s">
        <v>20</v>
      </c>
      <c r="K62">
        <v>61</v>
      </c>
      <c r="L62">
        <v>5.0406105263157892</v>
      </c>
      <c r="M62">
        <f t="shared" ca="1" si="0"/>
        <v>5.0821621953227938</v>
      </c>
      <c r="P62">
        <v>57</v>
      </c>
      <c r="Q62">
        <v>1.6221490531990859E-2</v>
      </c>
    </row>
    <row r="63" spans="1:17" x14ac:dyDescent="0.4">
      <c r="A63" s="2">
        <v>42832</v>
      </c>
      <c r="B63" s="3">
        <v>5.1451000000000002</v>
      </c>
      <c r="F63" t="s">
        <v>30</v>
      </c>
      <c r="G63">
        <v>5.0963227272727272</v>
      </c>
      <c r="I63" s="6"/>
      <c r="J63" t="s">
        <v>21</v>
      </c>
      <c r="K63">
        <v>62</v>
      </c>
      <c r="L63">
        <v>4.9847687499999997</v>
      </c>
      <c r="M63">
        <f t="shared" ca="1" si="0"/>
        <v>5.0375052874280568</v>
      </c>
      <c r="P63">
        <v>58</v>
      </c>
      <c r="Q63">
        <v>1.6586218729822376E-2</v>
      </c>
    </row>
    <row r="64" spans="1:17" x14ac:dyDescent="0.4">
      <c r="A64" s="2">
        <v>42835</v>
      </c>
      <c r="B64" s="3">
        <v>5.1558000000000002</v>
      </c>
      <c r="F64" t="s">
        <v>31</v>
      </c>
      <c r="G64">
        <v>4.9755826086956523</v>
      </c>
      <c r="I64" s="6"/>
      <c r="J64" t="s">
        <v>22</v>
      </c>
      <c r="K64">
        <v>63</v>
      </c>
      <c r="L64">
        <v>5.0096652173913041</v>
      </c>
      <c r="M64">
        <f t="shared" ca="1" si="0"/>
        <v>5.0003206283371471</v>
      </c>
      <c r="P64">
        <v>59</v>
      </c>
      <c r="Q64">
        <v>1.6862421769878989E-2</v>
      </c>
    </row>
    <row r="65" spans="1:17" x14ac:dyDescent="0.4">
      <c r="A65" s="2">
        <v>42836</v>
      </c>
      <c r="B65" s="3">
        <v>5.1765999999999996</v>
      </c>
      <c r="E65" t="s">
        <v>9</v>
      </c>
      <c r="F65" t="s">
        <v>20</v>
      </c>
      <c r="G65">
        <v>5.0406105263157892</v>
      </c>
      <c r="I65" s="6"/>
      <c r="J65" t="s">
        <v>23</v>
      </c>
      <c r="K65">
        <v>64</v>
      </c>
      <c r="L65">
        <v>5.0894473684210526</v>
      </c>
      <c r="M65">
        <f t="shared" ca="1" si="0"/>
        <v>5.0116814979023649</v>
      </c>
      <c r="P65">
        <v>60</v>
      </c>
      <c r="Q65">
        <v>1.6110691329774409E-2</v>
      </c>
    </row>
    <row r="66" spans="1:17" x14ac:dyDescent="0.4">
      <c r="A66" s="2">
        <v>42837</v>
      </c>
      <c r="B66" s="3">
        <v>5.1726999999999999</v>
      </c>
      <c r="F66" t="s">
        <v>21</v>
      </c>
      <c r="G66">
        <v>4.9847687499999997</v>
      </c>
      <c r="I66" s="6"/>
      <c r="J66" t="s">
        <v>24</v>
      </c>
      <c r="K66">
        <v>65</v>
      </c>
      <c r="L66">
        <v>5.2195105263157879</v>
      </c>
      <c r="M66">
        <f t="shared" ca="1" si="0"/>
        <v>5.0279604452707858</v>
      </c>
      <c r="P66">
        <v>61</v>
      </c>
      <c r="Q66">
        <v>1.6246661067343904E-2</v>
      </c>
    </row>
    <row r="67" spans="1:17" x14ac:dyDescent="0.4">
      <c r="A67" s="2">
        <v>42838</v>
      </c>
      <c r="B67" s="3">
        <v>5.1913</v>
      </c>
      <c r="F67" t="s">
        <v>22</v>
      </c>
      <c r="G67">
        <v>5.0096652173913041</v>
      </c>
      <c r="I67" s="6"/>
      <c r="J67" t="s">
        <v>25</v>
      </c>
      <c r="K67">
        <v>66</v>
      </c>
      <c r="L67">
        <v>5.2281714285714278</v>
      </c>
      <c r="M67">
        <f t="shared" ref="M67:M88" ca="1" si="1">IF(K67&lt;=$Q$1,"",AVERAGE(OFFSET(L67,-$Q$1,0,$Q$1,1)))</f>
        <v>5.1062077040427143</v>
      </c>
      <c r="P67">
        <v>62</v>
      </c>
      <c r="Q67">
        <v>1.5810037065347046E-2</v>
      </c>
    </row>
    <row r="68" spans="1:17" x14ac:dyDescent="0.4">
      <c r="A68" s="2">
        <v>42839</v>
      </c>
      <c r="B68" s="3">
        <v>5.1681999999999997</v>
      </c>
      <c r="F68" t="s">
        <v>23</v>
      </c>
      <c r="G68">
        <v>5.0894473684210526</v>
      </c>
      <c r="I68" s="6"/>
      <c r="J68" t="s">
        <v>26</v>
      </c>
      <c r="K68">
        <v>67</v>
      </c>
      <c r="L68">
        <v>5.2048999999999994</v>
      </c>
      <c r="M68">
        <f t="shared" ca="1" si="1"/>
        <v>5.1790431077694228</v>
      </c>
      <c r="P68">
        <v>63</v>
      </c>
      <c r="Q68">
        <v>1.5809989135123645E-2</v>
      </c>
    </row>
    <row r="69" spans="1:17" x14ac:dyDescent="0.4">
      <c r="A69" s="2">
        <v>42842</v>
      </c>
      <c r="B69" s="3">
        <v>5.1715</v>
      </c>
      <c r="F69" t="s">
        <v>24</v>
      </c>
      <c r="G69">
        <v>5.2195105263157879</v>
      </c>
      <c r="I69" s="6"/>
      <c r="J69" t="s">
        <v>27</v>
      </c>
      <c r="K69">
        <v>68</v>
      </c>
      <c r="L69">
        <v>5.2651565217391303</v>
      </c>
      <c r="M69">
        <f t="shared" ca="1" si="1"/>
        <v>5.2175273182957378</v>
      </c>
      <c r="P69">
        <v>64</v>
      </c>
      <c r="Q69">
        <v>1.6618525436504644E-2</v>
      </c>
    </row>
    <row r="70" spans="1:17" x14ac:dyDescent="0.4">
      <c r="A70" s="2">
        <v>42843</v>
      </c>
      <c r="B70" s="3">
        <v>5.1706000000000003</v>
      </c>
      <c r="F70" t="s">
        <v>25</v>
      </c>
      <c r="G70">
        <v>5.2281714285714278</v>
      </c>
      <c r="I70" s="6"/>
      <c r="J70" t="s">
        <v>28</v>
      </c>
      <c r="K70">
        <v>69</v>
      </c>
      <c r="L70">
        <v>5.2524857142857151</v>
      </c>
      <c r="M70">
        <f t="shared" ca="1" si="1"/>
        <v>5.2327426501035186</v>
      </c>
      <c r="P70">
        <v>65</v>
      </c>
      <c r="Q70">
        <v>1.7512000104010224E-2</v>
      </c>
    </row>
    <row r="71" spans="1:17" x14ac:dyDescent="0.4">
      <c r="A71" s="2">
        <v>42844</v>
      </c>
      <c r="B71" s="3">
        <v>5.1315</v>
      </c>
      <c r="F71" t="s">
        <v>26</v>
      </c>
      <c r="G71">
        <v>5.2048999999999994</v>
      </c>
      <c r="I71" s="6"/>
      <c r="J71" t="s">
        <v>29</v>
      </c>
      <c r="K71">
        <v>70</v>
      </c>
      <c r="L71">
        <v>5.2191374999999995</v>
      </c>
      <c r="M71">
        <f t="shared" ca="1" si="1"/>
        <v>5.2408474120082813</v>
      </c>
      <c r="P71">
        <v>66</v>
      </c>
      <c r="Q71">
        <v>1.841678754321515E-2</v>
      </c>
    </row>
    <row r="72" spans="1:17" x14ac:dyDescent="0.4">
      <c r="A72" s="2">
        <v>42845</v>
      </c>
      <c r="B72" s="3">
        <v>5.1104000000000003</v>
      </c>
      <c r="F72" t="s">
        <v>27</v>
      </c>
      <c r="G72">
        <v>5.2651565217391303</v>
      </c>
      <c r="I72" s="6"/>
      <c r="J72" t="s">
        <v>30</v>
      </c>
      <c r="K72">
        <v>71</v>
      </c>
      <c r="L72">
        <v>5.3289136363636356</v>
      </c>
      <c r="M72">
        <f t="shared" ca="1" si="1"/>
        <v>5.2455932453416141</v>
      </c>
      <c r="P72">
        <v>67</v>
      </c>
      <c r="Q72">
        <v>1.9478565839398693E-2</v>
      </c>
    </row>
    <row r="73" spans="1:17" x14ac:dyDescent="0.4">
      <c r="A73" s="2">
        <v>42846</v>
      </c>
      <c r="B73" s="3">
        <v>5.1151</v>
      </c>
      <c r="F73" t="s">
        <v>28</v>
      </c>
      <c r="G73">
        <v>5.2524857142857151</v>
      </c>
      <c r="I73" s="7"/>
      <c r="J73" t="s">
        <v>31</v>
      </c>
      <c r="K73">
        <v>72</v>
      </c>
      <c r="L73">
        <v>5.1411863636363648</v>
      </c>
      <c r="M73">
        <f t="shared" ca="1" si="1"/>
        <v>5.2668456168831161</v>
      </c>
      <c r="P73">
        <v>68</v>
      </c>
      <c r="Q73">
        <v>2.0028074189025337E-2</v>
      </c>
    </row>
    <row r="74" spans="1:17" x14ac:dyDescent="0.4">
      <c r="A74" s="2">
        <v>42849</v>
      </c>
      <c r="B74" s="3">
        <v>5.0938999999999997</v>
      </c>
      <c r="F74" t="s">
        <v>29</v>
      </c>
      <c r="G74">
        <v>5.2191374999999995</v>
      </c>
      <c r="I74" s="6" t="s">
        <v>10</v>
      </c>
      <c r="J74" t="s">
        <v>20</v>
      </c>
      <c r="K74">
        <v>73</v>
      </c>
      <c r="L74">
        <v>5.0550687499999993</v>
      </c>
      <c r="M74">
        <f t="shared" ca="1" si="1"/>
        <v>5.2297458333333333</v>
      </c>
      <c r="P74">
        <v>69</v>
      </c>
      <c r="Q74">
        <v>2.0668256891961653E-2</v>
      </c>
    </row>
    <row r="75" spans="1:17" x14ac:dyDescent="0.4">
      <c r="A75" s="2">
        <v>42850</v>
      </c>
      <c r="B75" s="3">
        <v>5.0839999999999996</v>
      </c>
      <c r="F75" t="s">
        <v>30</v>
      </c>
      <c r="G75">
        <v>5.3289136363636356</v>
      </c>
      <c r="I75" s="6"/>
      <c r="J75" t="s">
        <v>21</v>
      </c>
      <c r="K75">
        <v>74</v>
      </c>
      <c r="L75">
        <v>5.0838900000000011</v>
      </c>
      <c r="M75">
        <f t="shared" ca="1" si="1"/>
        <v>5.1750562499999999</v>
      </c>
      <c r="P75">
        <v>70</v>
      </c>
      <c r="Q75">
        <v>2.1640786140077556E-2</v>
      </c>
    </row>
    <row r="76" spans="1:17" x14ac:dyDescent="0.4">
      <c r="A76" s="2">
        <v>42851</v>
      </c>
      <c r="B76" s="3">
        <v>5.0726000000000004</v>
      </c>
      <c r="F76" t="s">
        <v>31</v>
      </c>
      <c r="G76">
        <v>5.1411863636363648</v>
      </c>
      <c r="I76" s="6"/>
      <c r="J76" t="s">
        <v>22</v>
      </c>
      <c r="K76">
        <v>75</v>
      </c>
      <c r="L76">
        <v>5.0414260869565215</v>
      </c>
      <c r="M76">
        <f t="shared" ca="1" si="1"/>
        <v>5.0933817045454548</v>
      </c>
      <c r="P76">
        <v>71</v>
      </c>
      <c r="Q76">
        <v>2.1029684140022376E-2</v>
      </c>
    </row>
    <row r="77" spans="1:17" x14ac:dyDescent="0.4">
      <c r="A77" s="2">
        <v>42852</v>
      </c>
      <c r="B77" s="3">
        <v>5.0636999999999999</v>
      </c>
      <c r="E77" t="s">
        <v>10</v>
      </c>
      <c r="F77" t="s">
        <v>20</v>
      </c>
      <c r="G77">
        <v>5.0550687499999993</v>
      </c>
      <c r="I77" s="6"/>
      <c r="J77" t="s">
        <v>23</v>
      </c>
      <c r="K77">
        <v>76</v>
      </c>
      <c r="L77">
        <v>5.1069105263157892</v>
      </c>
      <c r="M77">
        <f t="shared" ca="1" si="1"/>
        <v>5.0601282789855073</v>
      </c>
      <c r="P77">
        <v>72</v>
      </c>
      <c r="Q77">
        <v>2.2342270475900466E-2</v>
      </c>
    </row>
    <row r="78" spans="1:17" x14ac:dyDescent="0.4">
      <c r="A78" s="2">
        <v>42853</v>
      </c>
      <c r="B78" s="3">
        <v>5.0628000000000002</v>
      </c>
      <c r="F78" t="s">
        <v>21</v>
      </c>
      <c r="G78">
        <v>5.0838900000000011</v>
      </c>
      <c r="I78" s="6"/>
      <c r="J78" t="s">
        <v>24</v>
      </c>
      <c r="K78">
        <v>77</v>
      </c>
      <c r="L78">
        <v>5.1760400000000004</v>
      </c>
      <c r="M78">
        <f t="shared" ca="1" si="1"/>
        <v>5.0774088710907712</v>
      </c>
      <c r="P78">
        <v>73</v>
      </c>
      <c r="Q78">
        <v>2.3108029288115863E-2</v>
      </c>
    </row>
    <row r="79" spans="1:17" x14ac:dyDescent="0.4">
      <c r="A79" s="2">
        <v>42857</v>
      </c>
      <c r="B79" s="3">
        <v>5.0434999999999999</v>
      </c>
      <c r="F79" t="s">
        <v>22</v>
      </c>
      <c r="G79">
        <v>5.0414260869565215</v>
      </c>
      <c r="I79" s="6"/>
      <c r="J79" t="s">
        <v>25</v>
      </c>
      <c r="K79">
        <v>78</v>
      </c>
      <c r="L79">
        <v>5.3742350000000005</v>
      </c>
      <c r="M79">
        <f t="shared" ca="1" si="1"/>
        <v>5.1081255377574371</v>
      </c>
      <c r="P79">
        <v>74</v>
      </c>
      <c r="Q79">
        <v>2.4520175044330225E-2</v>
      </c>
    </row>
    <row r="80" spans="1:17" x14ac:dyDescent="0.4">
      <c r="A80" s="2">
        <v>42858</v>
      </c>
      <c r="B80" s="3">
        <v>5.0289000000000001</v>
      </c>
      <c r="F80" t="s">
        <v>23</v>
      </c>
      <c r="G80">
        <v>5.1069105263157892</v>
      </c>
      <c r="I80" s="6"/>
      <c r="J80" t="s">
        <v>26</v>
      </c>
      <c r="K80">
        <v>79</v>
      </c>
      <c r="L80">
        <v>5.4389238095238097</v>
      </c>
      <c r="M80">
        <f t="shared" ca="1" si="1"/>
        <v>5.2190618421052637</v>
      </c>
      <c r="P80">
        <v>75</v>
      </c>
      <c r="Q80">
        <v>2.5441520264931173E-2</v>
      </c>
    </row>
    <row r="81" spans="1:17" x14ac:dyDescent="0.4">
      <c r="A81" s="2">
        <v>42859</v>
      </c>
      <c r="B81" s="3">
        <v>5.0278</v>
      </c>
      <c r="F81" t="s">
        <v>24</v>
      </c>
      <c r="G81">
        <v>5.1760400000000004</v>
      </c>
      <c r="I81" s="6"/>
      <c r="J81" t="s">
        <v>27</v>
      </c>
      <c r="K81">
        <v>80</v>
      </c>
      <c r="L81">
        <v>5.3803782608695645</v>
      </c>
      <c r="M81">
        <f t="shared" ca="1" si="1"/>
        <v>5.3297329365079369</v>
      </c>
      <c r="P81">
        <v>76</v>
      </c>
      <c r="Q81">
        <v>2.7607707385358386E-2</v>
      </c>
    </row>
    <row r="82" spans="1:17" x14ac:dyDescent="0.4">
      <c r="A82" s="2">
        <v>42860</v>
      </c>
      <c r="B82" s="3">
        <v>5.0095000000000001</v>
      </c>
      <c r="F82" t="s">
        <v>25</v>
      </c>
      <c r="G82">
        <v>5.3742350000000005</v>
      </c>
      <c r="I82" s="6"/>
      <c r="J82" t="s">
        <v>28</v>
      </c>
      <c r="K82">
        <v>81</v>
      </c>
      <c r="L82">
        <v>5.35853</v>
      </c>
      <c r="M82">
        <f t="shared" ca="1" si="1"/>
        <v>5.3978456901311249</v>
      </c>
      <c r="P82">
        <v>77</v>
      </c>
      <c r="Q82">
        <v>3.043857593898619E-2</v>
      </c>
    </row>
    <row r="83" spans="1:17" x14ac:dyDescent="0.4">
      <c r="A83" s="2">
        <v>42863</v>
      </c>
      <c r="B83" s="3">
        <v>5.0445000000000002</v>
      </c>
      <c r="F83" t="s">
        <v>26</v>
      </c>
      <c r="G83">
        <v>5.4389238095238097</v>
      </c>
      <c r="I83" s="6"/>
      <c r="J83" t="s">
        <v>29</v>
      </c>
      <c r="K83">
        <v>82</v>
      </c>
      <c r="L83">
        <v>5.2704176470588227</v>
      </c>
      <c r="M83">
        <f t="shared" ca="1" si="1"/>
        <v>5.3926106901311242</v>
      </c>
      <c r="P83">
        <v>78</v>
      </c>
      <c r="Q83">
        <v>2.8221179808922536E-2</v>
      </c>
    </row>
    <row r="84" spans="1:17" x14ac:dyDescent="0.4">
      <c r="A84" s="2">
        <v>42864</v>
      </c>
      <c r="B84" s="3">
        <v>5.0509000000000004</v>
      </c>
      <c r="F84" t="s">
        <v>27</v>
      </c>
      <c r="G84">
        <v>5.3803782608695645</v>
      </c>
      <c r="I84" s="6"/>
      <c r="J84" t="s">
        <v>30</v>
      </c>
      <c r="K84">
        <v>83</v>
      </c>
      <c r="L84">
        <v>5.2330499999999995</v>
      </c>
      <c r="M84">
        <f t="shared" ca="1" si="1"/>
        <v>5.3364419693094618</v>
      </c>
      <c r="P84">
        <v>79</v>
      </c>
      <c r="Q84">
        <v>2.1101596579949342E-2</v>
      </c>
    </row>
    <row r="85" spans="1:17" x14ac:dyDescent="0.4">
      <c r="A85" s="2">
        <v>42865</v>
      </c>
      <c r="B85" s="3">
        <v>5.0412999999999997</v>
      </c>
      <c r="F85" t="s">
        <v>28</v>
      </c>
      <c r="G85">
        <v>5.35853</v>
      </c>
      <c r="I85" s="7"/>
      <c r="J85" t="s">
        <v>31</v>
      </c>
      <c r="K85">
        <v>84</v>
      </c>
      <c r="L85">
        <v>5.2995619047619051</v>
      </c>
      <c r="M85">
        <f t="shared" ca="1" si="1"/>
        <v>5.2873325490196068</v>
      </c>
      <c r="P85">
        <v>80</v>
      </c>
      <c r="Q85">
        <v>1.6849009468066483E-2</v>
      </c>
    </row>
    <row r="86" spans="1:17" x14ac:dyDescent="0.4">
      <c r="A86" s="2">
        <v>42866</v>
      </c>
      <c r="B86" s="3">
        <v>5.0388000000000002</v>
      </c>
      <c r="F86" t="s">
        <v>29</v>
      </c>
      <c r="G86">
        <v>5.2704176470588227</v>
      </c>
      <c r="I86" s="6" t="s">
        <v>11</v>
      </c>
      <c r="J86" t="s">
        <v>20</v>
      </c>
      <c r="K86">
        <v>85</v>
      </c>
      <c r="L86">
        <v>5.3132909090909104</v>
      </c>
      <c r="M86">
        <f t="shared" ca="1" si="1"/>
        <v>5.2676765172735758</v>
      </c>
      <c r="P86">
        <v>81</v>
      </c>
      <c r="Q86">
        <v>1.2896692898883641E-2</v>
      </c>
    </row>
    <row r="87" spans="1:17" x14ac:dyDescent="0.4">
      <c r="A87" s="2">
        <v>42867</v>
      </c>
      <c r="B87" s="3">
        <v>5.0385</v>
      </c>
      <c r="F87" t="s">
        <v>30</v>
      </c>
      <c r="G87">
        <v>5.2330499999999995</v>
      </c>
      <c r="I87" s="6"/>
      <c r="J87" t="s">
        <v>21</v>
      </c>
      <c r="K87">
        <v>86</v>
      </c>
      <c r="L87">
        <v>5.2874749999999997</v>
      </c>
      <c r="M87">
        <f t="shared" ca="1" si="1"/>
        <v>5.2819676046176047</v>
      </c>
      <c r="P87">
        <v>82</v>
      </c>
      <c r="Q87">
        <v>1.3509805467449731E-2</v>
      </c>
    </row>
    <row r="88" spans="1:17" x14ac:dyDescent="0.4">
      <c r="A88" s="2">
        <v>42870</v>
      </c>
      <c r="B88" s="3">
        <v>5.0225999999999997</v>
      </c>
      <c r="F88" t="s">
        <v>31</v>
      </c>
      <c r="G88">
        <v>5.2995619047619051</v>
      </c>
      <c r="J88" t="s">
        <v>22</v>
      </c>
      <c r="K88">
        <v>87</v>
      </c>
      <c r="M88">
        <f t="shared" ca="1" si="1"/>
        <v>5.3001092712842715</v>
      </c>
      <c r="P88">
        <v>83</v>
      </c>
      <c r="Q88">
        <v>1.6582131150675781E-2</v>
      </c>
    </row>
    <row r="89" spans="1:17" x14ac:dyDescent="0.4">
      <c r="A89" s="2">
        <v>42871</v>
      </c>
      <c r="B89" s="3">
        <v>5.0542999999999996</v>
      </c>
      <c r="E89" t="s">
        <v>11</v>
      </c>
      <c r="F89" t="s">
        <v>20</v>
      </c>
      <c r="G89">
        <v>5.3132909090909104</v>
      </c>
      <c r="P89">
        <v>84</v>
      </c>
      <c r="Q89">
        <v>1.6421120103776676E-2</v>
      </c>
    </row>
    <row r="90" spans="1:17" x14ac:dyDescent="0.4">
      <c r="A90" s="2">
        <v>42872</v>
      </c>
      <c r="B90" s="3">
        <v>5.0517000000000003</v>
      </c>
      <c r="F90" t="s">
        <v>21</v>
      </c>
      <c r="G90">
        <v>5.2874749999999997</v>
      </c>
      <c r="P90">
        <v>85</v>
      </c>
      <c r="Q90">
        <v>1.2874410428709277E-2</v>
      </c>
    </row>
    <row r="91" spans="1:17" x14ac:dyDescent="0.4">
      <c r="A91" s="2">
        <v>42873</v>
      </c>
      <c r="B91" s="3">
        <v>5.0566000000000004</v>
      </c>
      <c r="F91" t="s">
        <v>22</v>
      </c>
      <c r="G91">
        <v>5.2558500000000006</v>
      </c>
    </row>
    <row r="92" spans="1:17" x14ac:dyDescent="0.4">
      <c r="A92" s="2">
        <v>42874</v>
      </c>
      <c r="B92" s="3">
        <v>5.0696000000000003</v>
      </c>
    </row>
    <row r="93" spans="1:17" x14ac:dyDescent="0.4">
      <c r="A93" s="2">
        <v>42877</v>
      </c>
      <c r="B93" s="3">
        <v>5.0898000000000003</v>
      </c>
    </row>
    <row r="94" spans="1:17" x14ac:dyDescent="0.4">
      <c r="A94" s="2">
        <v>42878</v>
      </c>
      <c r="B94" s="3">
        <v>5.0987</v>
      </c>
    </row>
    <row r="95" spans="1:17" x14ac:dyDescent="0.4">
      <c r="A95" s="2">
        <v>42879</v>
      </c>
      <c r="B95" s="3">
        <v>5.1050000000000004</v>
      </c>
    </row>
    <row r="96" spans="1:17" x14ac:dyDescent="0.4">
      <c r="A96" s="2">
        <v>42880</v>
      </c>
      <c r="B96" s="3">
        <v>5.1288</v>
      </c>
    </row>
    <row r="97" spans="1:2" x14ac:dyDescent="0.4">
      <c r="A97" s="2">
        <v>42881</v>
      </c>
      <c r="B97" s="3">
        <v>5.1001000000000003</v>
      </c>
    </row>
    <row r="98" spans="1:2" x14ac:dyDescent="0.4">
      <c r="A98" s="2">
        <v>42886</v>
      </c>
      <c r="B98" s="3">
        <v>5.1013000000000002</v>
      </c>
    </row>
    <row r="99" spans="1:2" x14ac:dyDescent="0.4">
      <c r="A99" s="2">
        <v>42887</v>
      </c>
      <c r="B99" s="3">
        <v>5.0486000000000004</v>
      </c>
    </row>
    <row r="100" spans="1:2" x14ac:dyDescent="0.4">
      <c r="A100" s="2">
        <v>42888</v>
      </c>
      <c r="B100" s="3">
        <v>5.0380000000000003</v>
      </c>
    </row>
    <row r="101" spans="1:2" x14ac:dyDescent="0.4">
      <c r="A101" s="2">
        <v>42891</v>
      </c>
      <c r="B101" s="3">
        <v>5.0338000000000003</v>
      </c>
    </row>
    <row r="102" spans="1:2" x14ac:dyDescent="0.4">
      <c r="A102" s="2">
        <v>42892</v>
      </c>
      <c r="B102" s="3">
        <v>5.0416999999999996</v>
      </c>
    </row>
    <row r="103" spans="1:2" x14ac:dyDescent="0.4">
      <c r="A103" s="2">
        <v>42893</v>
      </c>
      <c r="B103" s="3">
        <v>5.0458999999999996</v>
      </c>
    </row>
    <row r="104" spans="1:2" x14ac:dyDescent="0.4">
      <c r="A104" s="2">
        <v>42894</v>
      </c>
      <c r="B104" s="3">
        <v>5.0301</v>
      </c>
    </row>
    <row r="105" spans="1:2" x14ac:dyDescent="0.4">
      <c r="A105" s="2">
        <v>42895</v>
      </c>
      <c r="B105" s="3">
        <v>5.0294999999999996</v>
      </c>
    </row>
    <row r="106" spans="1:2" x14ac:dyDescent="0.4">
      <c r="A106" s="2">
        <v>42898</v>
      </c>
      <c r="B106" s="3">
        <v>5.0503</v>
      </c>
    </row>
    <row r="107" spans="1:2" x14ac:dyDescent="0.4">
      <c r="A107" s="2">
        <v>42899</v>
      </c>
      <c r="B107" s="3">
        <v>5.1044999999999998</v>
      </c>
    </row>
    <row r="108" spans="1:2" x14ac:dyDescent="0.4">
      <c r="A108" s="2">
        <v>42900</v>
      </c>
      <c r="B108" s="3">
        <v>5.1318999999999999</v>
      </c>
    </row>
    <row r="109" spans="1:2" x14ac:dyDescent="0.4">
      <c r="A109" s="2">
        <v>42901</v>
      </c>
      <c r="B109" s="3">
        <v>5.1238999999999999</v>
      </c>
    </row>
    <row r="110" spans="1:2" x14ac:dyDescent="0.4">
      <c r="A110" s="2">
        <v>42902</v>
      </c>
      <c r="B110" s="3">
        <v>5.1298000000000004</v>
      </c>
    </row>
    <row r="111" spans="1:2" x14ac:dyDescent="0.4">
      <c r="A111" s="2">
        <v>42905</v>
      </c>
      <c r="B111" s="3">
        <v>5.1433999999999997</v>
      </c>
    </row>
    <row r="112" spans="1:2" x14ac:dyDescent="0.4">
      <c r="A112" s="2">
        <v>42906</v>
      </c>
      <c r="B112" s="3">
        <v>5.1520000000000001</v>
      </c>
    </row>
    <row r="113" spans="1:2" x14ac:dyDescent="0.4">
      <c r="A113" s="2">
        <v>42907</v>
      </c>
      <c r="B113" s="3">
        <v>5.1405000000000003</v>
      </c>
    </row>
    <row r="114" spans="1:2" x14ac:dyDescent="0.4">
      <c r="A114" s="2">
        <v>42908</v>
      </c>
      <c r="B114" s="3">
        <v>5.1162000000000001</v>
      </c>
    </row>
    <row r="115" spans="1:2" x14ac:dyDescent="0.4">
      <c r="A115" s="2">
        <v>42909</v>
      </c>
      <c r="B115" s="3">
        <v>5.1567999999999996</v>
      </c>
    </row>
    <row r="116" spans="1:2" x14ac:dyDescent="0.4">
      <c r="A116" s="2">
        <v>42912</v>
      </c>
      <c r="B116" s="3">
        <v>5.1436999999999999</v>
      </c>
    </row>
    <row r="117" spans="1:2" x14ac:dyDescent="0.4">
      <c r="A117" s="2">
        <v>42913</v>
      </c>
      <c r="B117" s="3">
        <v>5.1536</v>
      </c>
    </row>
    <row r="118" spans="1:2" x14ac:dyDescent="0.4">
      <c r="A118" s="2">
        <v>42914</v>
      </c>
      <c r="B118" s="3">
        <v>5.1654</v>
      </c>
    </row>
    <row r="119" spans="1:2" x14ac:dyDescent="0.4">
      <c r="A119" s="2">
        <v>42915</v>
      </c>
      <c r="B119" s="3">
        <v>5.2114000000000003</v>
      </c>
    </row>
    <row r="120" spans="1:2" x14ac:dyDescent="0.4">
      <c r="A120" s="2">
        <v>42916</v>
      </c>
      <c r="B120" s="3">
        <v>5.2144000000000004</v>
      </c>
    </row>
    <row r="121" spans="1:2" x14ac:dyDescent="0.4">
      <c r="A121" s="2">
        <v>42919</v>
      </c>
      <c r="B121" s="3">
        <v>5.2239000000000004</v>
      </c>
    </row>
    <row r="122" spans="1:2" x14ac:dyDescent="0.4">
      <c r="A122" s="2">
        <v>42920</v>
      </c>
      <c r="B122" s="3">
        <v>5.2255000000000003</v>
      </c>
    </row>
    <row r="123" spans="1:2" x14ac:dyDescent="0.4">
      <c r="A123" s="2">
        <v>42921</v>
      </c>
      <c r="B123" s="3">
        <v>5.2534000000000001</v>
      </c>
    </row>
    <row r="124" spans="1:2" x14ac:dyDescent="0.4">
      <c r="A124" s="2">
        <v>42922</v>
      </c>
      <c r="B124" s="3">
        <v>5.2449000000000003</v>
      </c>
    </row>
    <row r="125" spans="1:2" x14ac:dyDescent="0.4">
      <c r="A125" s="2">
        <v>42923</v>
      </c>
      <c r="B125" s="3">
        <v>5.2327000000000004</v>
      </c>
    </row>
    <row r="126" spans="1:2" x14ac:dyDescent="0.4">
      <c r="A126" s="2">
        <v>42926</v>
      </c>
      <c r="B126" s="3">
        <v>5.2774999999999999</v>
      </c>
    </row>
    <row r="127" spans="1:2" x14ac:dyDescent="0.4">
      <c r="A127" s="2">
        <v>42927</v>
      </c>
      <c r="B127" s="3">
        <v>5.2727000000000004</v>
      </c>
    </row>
    <row r="128" spans="1:2" x14ac:dyDescent="0.4">
      <c r="A128" s="2">
        <v>42928</v>
      </c>
      <c r="B128" s="3">
        <v>5.2569999999999997</v>
      </c>
    </row>
    <row r="129" spans="1:2" x14ac:dyDescent="0.4">
      <c r="A129" s="2">
        <v>42929</v>
      </c>
      <c r="B129" s="3">
        <v>5.3150000000000004</v>
      </c>
    </row>
    <row r="130" spans="1:2" x14ac:dyDescent="0.4">
      <c r="A130" s="2">
        <v>42930</v>
      </c>
      <c r="B130" s="3">
        <v>5.3234000000000004</v>
      </c>
    </row>
    <row r="131" spans="1:2" x14ac:dyDescent="0.4">
      <c r="A131" s="2">
        <v>42933</v>
      </c>
      <c r="B131" s="3">
        <v>5.3438999999999997</v>
      </c>
    </row>
    <row r="132" spans="1:2" x14ac:dyDescent="0.4">
      <c r="A132" s="2">
        <v>42934</v>
      </c>
      <c r="B132" s="3">
        <v>5.3278999999999996</v>
      </c>
    </row>
    <row r="133" spans="1:2" x14ac:dyDescent="0.4">
      <c r="A133" s="2">
        <v>42935</v>
      </c>
      <c r="B133" s="3">
        <v>5.3394000000000004</v>
      </c>
    </row>
    <row r="134" spans="1:2" x14ac:dyDescent="0.4">
      <c r="A134" s="2">
        <v>42936</v>
      </c>
      <c r="B134" s="3">
        <v>5.3544</v>
      </c>
    </row>
    <row r="135" spans="1:2" x14ac:dyDescent="0.4">
      <c r="A135" s="2">
        <v>42937</v>
      </c>
      <c r="B135" s="3">
        <v>5.3520000000000003</v>
      </c>
    </row>
    <row r="136" spans="1:2" x14ac:dyDescent="0.4">
      <c r="A136" s="2">
        <v>42940</v>
      </c>
      <c r="B136" s="3">
        <v>5.3764000000000003</v>
      </c>
    </row>
    <row r="137" spans="1:2" x14ac:dyDescent="0.4">
      <c r="A137" s="2">
        <v>42941</v>
      </c>
      <c r="B137" s="3">
        <v>5.3937999999999997</v>
      </c>
    </row>
    <row r="138" spans="1:2" x14ac:dyDescent="0.4">
      <c r="A138" s="2">
        <v>42942</v>
      </c>
      <c r="B138" s="3">
        <v>5.3978999999999999</v>
      </c>
    </row>
    <row r="139" spans="1:2" x14ac:dyDescent="0.4">
      <c r="A139" s="2">
        <v>42943</v>
      </c>
      <c r="B139" s="3">
        <v>5.4053000000000004</v>
      </c>
    </row>
    <row r="140" spans="1:2" x14ac:dyDescent="0.4">
      <c r="A140" s="2">
        <v>42944</v>
      </c>
      <c r="B140" s="3">
        <v>5.3696000000000002</v>
      </c>
    </row>
    <row r="141" spans="1:2" x14ac:dyDescent="0.4">
      <c r="A141" s="2">
        <v>42947</v>
      </c>
      <c r="B141" s="3">
        <v>5.4023000000000003</v>
      </c>
    </row>
    <row r="142" spans="1:2" x14ac:dyDescent="0.4">
      <c r="A142" s="2">
        <v>42948</v>
      </c>
      <c r="B142" s="3">
        <v>5.3696000000000002</v>
      </c>
    </row>
    <row r="143" spans="1:2" x14ac:dyDescent="0.4">
      <c r="A143" s="2">
        <v>42949</v>
      </c>
      <c r="B143" s="3">
        <v>5.3571999999999997</v>
      </c>
    </row>
    <row r="144" spans="1:2" x14ac:dyDescent="0.4">
      <c r="A144" s="2">
        <v>42950</v>
      </c>
      <c r="B144" s="3">
        <v>5.3452999999999999</v>
      </c>
    </row>
    <row r="145" spans="1:2" x14ac:dyDescent="0.4">
      <c r="A145" s="2">
        <v>42951</v>
      </c>
      <c r="B145" s="3">
        <v>5.3400999999999996</v>
      </c>
    </row>
    <row r="146" spans="1:2" x14ac:dyDescent="0.4">
      <c r="A146" s="2">
        <v>42954</v>
      </c>
      <c r="B146" s="3">
        <v>5.3198999999999996</v>
      </c>
    </row>
    <row r="147" spans="1:2" x14ac:dyDescent="0.4">
      <c r="A147" s="2">
        <v>42955</v>
      </c>
      <c r="B147" s="3">
        <v>5.2991999999999999</v>
      </c>
    </row>
    <row r="148" spans="1:2" x14ac:dyDescent="0.4">
      <c r="A148" s="2">
        <v>42956</v>
      </c>
      <c r="B148" s="3">
        <v>5.2939999999999996</v>
      </c>
    </row>
    <row r="149" spans="1:2" x14ac:dyDescent="0.4">
      <c r="A149" s="2">
        <v>42957</v>
      </c>
      <c r="B149" s="3">
        <v>5.2595000000000001</v>
      </c>
    </row>
    <row r="150" spans="1:2" x14ac:dyDescent="0.4">
      <c r="A150" s="2">
        <v>42958</v>
      </c>
      <c r="B150" s="3">
        <v>5.2233999999999998</v>
      </c>
    </row>
    <row r="151" spans="1:2" x14ac:dyDescent="0.4">
      <c r="A151" s="2">
        <v>42961</v>
      </c>
      <c r="B151" s="3">
        <v>5.2491000000000003</v>
      </c>
    </row>
    <row r="152" spans="1:2" x14ac:dyDescent="0.4">
      <c r="A152" s="2">
        <v>42962</v>
      </c>
      <c r="B152" s="3">
        <v>5.2393999999999998</v>
      </c>
    </row>
    <row r="153" spans="1:2" x14ac:dyDescent="0.4">
      <c r="A153" s="2">
        <v>42963</v>
      </c>
      <c r="B153" s="3">
        <v>5.2355</v>
      </c>
    </row>
    <row r="154" spans="1:2" x14ac:dyDescent="0.4">
      <c r="A154" s="2">
        <v>42964</v>
      </c>
      <c r="B154" s="3">
        <v>5.2830000000000004</v>
      </c>
    </row>
    <row r="155" spans="1:2" x14ac:dyDescent="0.4">
      <c r="A155" s="2">
        <v>42965</v>
      </c>
      <c r="B155" s="3">
        <v>5.2637</v>
      </c>
    </row>
    <row r="156" spans="1:2" x14ac:dyDescent="0.4">
      <c r="A156" s="2">
        <v>42968</v>
      </c>
      <c r="B156" s="3">
        <v>5.2972999999999999</v>
      </c>
    </row>
    <row r="157" spans="1:2" x14ac:dyDescent="0.4">
      <c r="A157" s="2">
        <v>42969</v>
      </c>
      <c r="B157" s="3">
        <v>5.3021000000000003</v>
      </c>
    </row>
    <row r="158" spans="1:2" x14ac:dyDescent="0.4">
      <c r="A158" s="2">
        <v>42970</v>
      </c>
      <c r="B158" s="3">
        <v>5.3005000000000004</v>
      </c>
    </row>
    <row r="159" spans="1:2" x14ac:dyDescent="0.4">
      <c r="A159" s="2">
        <v>42971</v>
      </c>
      <c r="B159" s="3">
        <v>5.3037000000000001</v>
      </c>
    </row>
    <row r="160" spans="1:2" x14ac:dyDescent="0.4">
      <c r="A160" s="2">
        <v>42972</v>
      </c>
      <c r="B160" s="3">
        <v>5.3216999999999999</v>
      </c>
    </row>
    <row r="161" spans="1:2" x14ac:dyDescent="0.4">
      <c r="A161" s="2">
        <v>42975</v>
      </c>
      <c r="B161" s="3">
        <v>5.3197000000000001</v>
      </c>
    </row>
    <row r="162" spans="1:2" x14ac:dyDescent="0.4">
      <c r="A162" s="2">
        <v>42976</v>
      </c>
      <c r="B162" s="3">
        <v>5.2969999999999997</v>
      </c>
    </row>
    <row r="163" spans="1:2" x14ac:dyDescent="0.4">
      <c r="A163" s="2">
        <v>42977</v>
      </c>
      <c r="B163" s="3">
        <v>5.2824999999999998</v>
      </c>
    </row>
    <row r="164" spans="1:2" x14ac:dyDescent="0.4">
      <c r="A164" s="2">
        <v>42978</v>
      </c>
      <c r="B164" s="3">
        <v>5.2297000000000002</v>
      </c>
    </row>
    <row r="165" spans="1:2" x14ac:dyDescent="0.4">
      <c r="A165" s="2">
        <v>42979</v>
      </c>
      <c r="B165" s="3">
        <v>5.2821999999999996</v>
      </c>
    </row>
    <row r="166" spans="1:2" x14ac:dyDescent="0.4">
      <c r="A166" s="2">
        <v>42982</v>
      </c>
      <c r="B166" s="3">
        <v>5.3030999999999997</v>
      </c>
    </row>
    <row r="167" spans="1:2" x14ac:dyDescent="0.4">
      <c r="A167" s="2">
        <v>42983</v>
      </c>
      <c r="B167" s="3">
        <v>5.2554999999999996</v>
      </c>
    </row>
    <row r="168" spans="1:2" x14ac:dyDescent="0.4">
      <c r="A168" s="2">
        <v>42984</v>
      </c>
      <c r="B168" s="3">
        <v>5.2812000000000001</v>
      </c>
    </row>
    <row r="169" spans="1:2" x14ac:dyDescent="0.4">
      <c r="A169" s="2">
        <v>42985</v>
      </c>
      <c r="B169" s="3">
        <v>5.3337000000000003</v>
      </c>
    </row>
    <row r="170" spans="1:2" x14ac:dyDescent="0.4">
      <c r="A170" s="2">
        <v>42986</v>
      </c>
      <c r="B170" s="3">
        <v>5.3550000000000004</v>
      </c>
    </row>
    <row r="171" spans="1:2" x14ac:dyDescent="0.4">
      <c r="A171" s="2">
        <v>42989</v>
      </c>
      <c r="B171" s="3">
        <v>5.3273999999999999</v>
      </c>
    </row>
    <row r="172" spans="1:2" x14ac:dyDescent="0.4">
      <c r="A172" s="2">
        <v>42990</v>
      </c>
      <c r="B172" s="3">
        <v>5.3890000000000002</v>
      </c>
    </row>
    <row r="173" spans="1:2" x14ac:dyDescent="0.4">
      <c r="A173" s="2">
        <v>42991</v>
      </c>
      <c r="B173" s="3">
        <v>5.3680000000000003</v>
      </c>
    </row>
    <row r="174" spans="1:2" x14ac:dyDescent="0.4">
      <c r="A174" s="2">
        <v>42992</v>
      </c>
      <c r="B174" s="3">
        <v>5.3794000000000004</v>
      </c>
    </row>
    <row r="175" spans="1:2" x14ac:dyDescent="0.4">
      <c r="A175" s="2">
        <v>42993</v>
      </c>
      <c r="B175" s="3">
        <v>5.3769</v>
      </c>
    </row>
    <row r="176" spans="1:2" x14ac:dyDescent="0.4">
      <c r="A176" s="2">
        <v>42996</v>
      </c>
      <c r="B176" s="3">
        <v>5.367</v>
      </c>
    </row>
    <row r="177" spans="1:2" x14ac:dyDescent="0.4">
      <c r="A177" s="2">
        <v>42997</v>
      </c>
      <c r="B177" s="3">
        <v>5.3391000000000002</v>
      </c>
    </row>
    <row r="178" spans="1:2" x14ac:dyDescent="0.4">
      <c r="A178" s="2">
        <v>42998</v>
      </c>
      <c r="B178" s="3">
        <v>5.3441999999999998</v>
      </c>
    </row>
    <row r="179" spans="1:2" x14ac:dyDescent="0.4">
      <c r="A179" s="2">
        <v>42999</v>
      </c>
      <c r="B179" s="3">
        <v>5.3368000000000002</v>
      </c>
    </row>
    <row r="180" spans="1:2" x14ac:dyDescent="0.4">
      <c r="A180" s="2">
        <v>43000</v>
      </c>
      <c r="B180" s="3">
        <v>5.3433999999999999</v>
      </c>
    </row>
    <row r="181" spans="1:2" x14ac:dyDescent="0.4">
      <c r="A181" s="2">
        <v>43003</v>
      </c>
      <c r="B181" s="3">
        <v>5.3402000000000003</v>
      </c>
    </row>
    <row r="182" spans="1:2" x14ac:dyDescent="0.4">
      <c r="A182" s="2">
        <v>43004</v>
      </c>
      <c r="B182" s="3">
        <v>5.3449999999999998</v>
      </c>
    </row>
    <row r="183" spans="1:2" x14ac:dyDescent="0.4">
      <c r="A183" s="2">
        <v>43005</v>
      </c>
      <c r="B183" s="3">
        <v>5.3635000000000002</v>
      </c>
    </row>
    <row r="184" spans="1:2" x14ac:dyDescent="0.4">
      <c r="A184" s="2">
        <v>43006</v>
      </c>
      <c r="B184" s="3">
        <v>5.3159999999999998</v>
      </c>
    </row>
    <row r="185" spans="1:2" x14ac:dyDescent="0.4">
      <c r="A185" s="2">
        <v>43007</v>
      </c>
      <c r="B185" s="3">
        <v>5.3418999999999999</v>
      </c>
    </row>
    <row r="186" spans="1:2" x14ac:dyDescent="0.4">
      <c r="A186" s="2">
        <v>43017</v>
      </c>
      <c r="B186" s="3">
        <v>5.3090999999999999</v>
      </c>
    </row>
    <row r="187" spans="1:2" x14ac:dyDescent="0.4">
      <c r="A187" s="2">
        <v>43018</v>
      </c>
      <c r="B187" s="3">
        <v>5.2809999999999997</v>
      </c>
    </row>
    <row r="188" spans="1:2" x14ac:dyDescent="0.4">
      <c r="A188" s="2">
        <v>43019</v>
      </c>
      <c r="B188" s="3">
        <v>5.2617000000000003</v>
      </c>
    </row>
    <row r="189" spans="1:2" x14ac:dyDescent="0.4">
      <c r="A189" s="2">
        <v>43020</v>
      </c>
      <c r="B189" s="3">
        <v>5.2858000000000001</v>
      </c>
    </row>
    <row r="190" spans="1:2" x14ac:dyDescent="0.4">
      <c r="A190" s="2">
        <v>43021</v>
      </c>
      <c r="B190" s="3">
        <v>5.2812000000000001</v>
      </c>
    </row>
    <row r="191" spans="1:2" x14ac:dyDescent="0.4">
      <c r="A191" s="2">
        <v>43024</v>
      </c>
      <c r="B191" s="3">
        <v>5.2742000000000004</v>
      </c>
    </row>
    <row r="192" spans="1:2" x14ac:dyDescent="0.4">
      <c r="A192" s="2">
        <v>43025</v>
      </c>
      <c r="B192" s="3">
        <v>5.2645</v>
      </c>
    </row>
    <row r="193" spans="1:2" x14ac:dyDescent="0.4">
      <c r="A193" s="2">
        <v>43026</v>
      </c>
      <c r="B193" s="3">
        <v>5.2843999999999998</v>
      </c>
    </row>
    <row r="194" spans="1:2" x14ac:dyDescent="0.4">
      <c r="A194" s="2">
        <v>43027</v>
      </c>
      <c r="B194" s="3">
        <v>5.3047000000000004</v>
      </c>
    </row>
    <row r="195" spans="1:2" x14ac:dyDescent="0.4">
      <c r="A195" s="2">
        <v>43028</v>
      </c>
      <c r="B195" s="3">
        <v>5.2968000000000002</v>
      </c>
    </row>
    <row r="196" spans="1:2" x14ac:dyDescent="0.4">
      <c r="A196" s="2">
        <v>43031</v>
      </c>
      <c r="B196" s="3">
        <v>5.2469000000000001</v>
      </c>
    </row>
    <row r="197" spans="1:2" x14ac:dyDescent="0.4">
      <c r="A197" s="2">
        <v>43032</v>
      </c>
      <c r="B197" s="3">
        <v>5.2436999999999996</v>
      </c>
    </row>
    <row r="198" spans="1:2" x14ac:dyDescent="0.4">
      <c r="A198" s="2">
        <v>43033</v>
      </c>
      <c r="B198" s="3">
        <v>5.2356999999999996</v>
      </c>
    </row>
    <row r="199" spans="1:2" x14ac:dyDescent="0.4">
      <c r="A199" s="2">
        <v>43034</v>
      </c>
      <c r="B199" s="3">
        <v>5.1786000000000003</v>
      </c>
    </row>
    <row r="200" spans="1:2" x14ac:dyDescent="0.4">
      <c r="A200" s="2">
        <v>43035</v>
      </c>
      <c r="B200" s="3">
        <v>5.1756000000000002</v>
      </c>
    </row>
    <row r="201" spans="1:2" x14ac:dyDescent="0.4">
      <c r="A201" s="2">
        <v>43038</v>
      </c>
      <c r="B201" s="3">
        <v>5.1821000000000002</v>
      </c>
    </row>
    <row r="202" spans="1:2" x14ac:dyDescent="0.4">
      <c r="A202" s="2">
        <v>43039</v>
      </c>
      <c r="B202" s="3">
        <v>5.1753999999999998</v>
      </c>
    </row>
    <row r="203" spans="1:2" x14ac:dyDescent="0.4">
      <c r="A203" s="2">
        <v>43040</v>
      </c>
      <c r="B203" s="3">
        <v>5.1425999999999998</v>
      </c>
    </row>
    <row r="204" spans="1:2" x14ac:dyDescent="0.4">
      <c r="A204" s="2">
        <v>43041</v>
      </c>
      <c r="B204" s="3">
        <v>5.1435000000000004</v>
      </c>
    </row>
    <row r="205" spans="1:2" x14ac:dyDescent="0.4">
      <c r="A205" s="2">
        <v>43042</v>
      </c>
      <c r="B205" s="3">
        <v>5.1576000000000004</v>
      </c>
    </row>
    <row r="206" spans="1:2" x14ac:dyDescent="0.4">
      <c r="A206" s="2">
        <v>43045</v>
      </c>
      <c r="B206" s="3">
        <v>5.1921999999999997</v>
      </c>
    </row>
    <row r="207" spans="1:2" x14ac:dyDescent="0.4">
      <c r="A207" s="2">
        <v>43046</v>
      </c>
      <c r="B207" s="3">
        <v>5.2081999999999997</v>
      </c>
    </row>
    <row r="208" spans="1:2" x14ac:dyDescent="0.4">
      <c r="A208" s="2">
        <v>43047</v>
      </c>
      <c r="B208" s="3">
        <v>5.1943999999999999</v>
      </c>
    </row>
    <row r="209" spans="1:2" x14ac:dyDescent="0.4">
      <c r="A209" s="2">
        <v>43048</v>
      </c>
      <c r="B209" s="3">
        <v>5.2115</v>
      </c>
    </row>
    <row r="210" spans="1:2" x14ac:dyDescent="0.4">
      <c r="A210" s="2">
        <v>43049</v>
      </c>
      <c r="B210" s="3">
        <v>5.2275</v>
      </c>
    </row>
    <row r="211" spans="1:2" x14ac:dyDescent="0.4">
      <c r="A211" s="2">
        <v>43052</v>
      </c>
      <c r="B211" s="3">
        <v>5.2279999999999998</v>
      </c>
    </row>
    <row r="212" spans="1:2" x14ac:dyDescent="0.4">
      <c r="A212" s="2">
        <v>43053</v>
      </c>
      <c r="B212" s="3">
        <v>5.2129000000000003</v>
      </c>
    </row>
    <row r="213" spans="1:2" x14ac:dyDescent="0.4">
      <c r="A213" s="2">
        <v>43054</v>
      </c>
      <c r="B213" s="3">
        <v>5.2050999999999998</v>
      </c>
    </row>
    <row r="214" spans="1:2" x14ac:dyDescent="0.4">
      <c r="A214" s="2">
        <v>43055</v>
      </c>
      <c r="B214" s="3">
        <v>5.1936</v>
      </c>
    </row>
    <row r="215" spans="1:2" x14ac:dyDescent="0.4">
      <c r="A215" s="2">
        <v>43056</v>
      </c>
      <c r="B215" s="3">
        <v>5.1966000000000001</v>
      </c>
    </row>
    <row r="216" spans="1:2" x14ac:dyDescent="0.4">
      <c r="A216" s="2">
        <v>43059</v>
      </c>
      <c r="B216" s="3">
        <v>5.1843000000000004</v>
      </c>
    </row>
    <row r="217" spans="1:2" x14ac:dyDescent="0.4">
      <c r="A217" s="2">
        <v>43060</v>
      </c>
      <c r="B217" s="3">
        <v>5.1786000000000003</v>
      </c>
    </row>
    <row r="218" spans="1:2" x14ac:dyDescent="0.4">
      <c r="A218" s="2">
        <v>43061</v>
      </c>
      <c r="B218" s="3">
        <v>5.1872999999999996</v>
      </c>
    </row>
    <row r="219" spans="1:2" x14ac:dyDescent="0.4">
      <c r="A219" s="2">
        <v>43062</v>
      </c>
      <c r="B219" s="3">
        <v>5.1967999999999996</v>
      </c>
    </row>
    <row r="220" spans="1:2" x14ac:dyDescent="0.4">
      <c r="A220" s="2">
        <v>43063</v>
      </c>
      <c r="B220" s="3">
        <v>5.1760999999999999</v>
      </c>
    </row>
    <row r="221" spans="1:2" x14ac:dyDescent="0.4">
      <c r="A221" s="2">
        <v>43066</v>
      </c>
      <c r="B221" s="3">
        <v>5.1824000000000003</v>
      </c>
    </row>
    <row r="222" spans="1:2" x14ac:dyDescent="0.4">
      <c r="A222" s="2">
        <v>43067</v>
      </c>
      <c r="B222" s="3">
        <v>5.1683000000000003</v>
      </c>
    </row>
    <row r="223" spans="1:2" x14ac:dyDescent="0.4">
      <c r="A223" s="2">
        <v>43068</v>
      </c>
      <c r="B223" s="3">
        <v>5.1516999999999999</v>
      </c>
    </row>
    <row r="224" spans="1:2" x14ac:dyDescent="0.4">
      <c r="A224" s="2">
        <v>43069</v>
      </c>
      <c r="B224" s="3">
        <v>5.1326000000000001</v>
      </c>
    </row>
    <row r="225" spans="1:2" x14ac:dyDescent="0.4">
      <c r="A225" s="2">
        <v>43070</v>
      </c>
      <c r="B225" s="3">
        <v>5.1234999999999999</v>
      </c>
    </row>
    <row r="226" spans="1:2" x14ac:dyDescent="0.4">
      <c r="A226" s="2">
        <v>43073</v>
      </c>
      <c r="B226" s="3">
        <v>5.2020999999999997</v>
      </c>
    </row>
    <row r="227" spans="1:2" x14ac:dyDescent="0.4">
      <c r="A227" s="2">
        <v>43074</v>
      </c>
      <c r="B227" s="3">
        <v>5.2144000000000004</v>
      </c>
    </row>
    <row r="228" spans="1:2" x14ac:dyDescent="0.4">
      <c r="A228" s="2">
        <v>43075</v>
      </c>
      <c r="B228" s="3">
        <v>5.2122000000000002</v>
      </c>
    </row>
    <row r="229" spans="1:2" x14ac:dyDescent="0.4">
      <c r="A229" s="2">
        <v>43076</v>
      </c>
      <c r="B229" s="3">
        <v>5.1759000000000004</v>
      </c>
    </row>
    <row r="230" spans="1:2" x14ac:dyDescent="0.4">
      <c r="A230" s="2">
        <v>43077</v>
      </c>
      <c r="B230" s="3">
        <v>5.1498999999999997</v>
      </c>
    </row>
    <row r="231" spans="1:2" x14ac:dyDescent="0.4">
      <c r="A231" s="2">
        <v>43080</v>
      </c>
      <c r="B231" s="3">
        <v>5.1436000000000002</v>
      </c>
    </row>
    <row r="232" spans="1:2" x14ac:dyDescent="0.4">
      <c r="A232" s="2">
        <v>43081</v>
      </c>
      <c r="B232" s="3">
        <v>5.1467000000000001</v>
      </c>
    </row>
    <row r="233" spans="1:2" x14ac:dyDescent="0.4">
      <c r="A233" s="2">
        <v>43082</v>
      </c>
      <c r="B233" s="3">
        <v>5.1470000000000002</v>
      </c>
    </row>
    <row r="234" spans="1:2" x14ac:dyDescent="0.4">
      <c r="A234" s="2">
        <v>43083</v>
      </c>
      <c r="B234" s="3">
        <v>5.1513999999999998</v>
      </c>
    </row>
    <row r="235" spans="1:2" x14ac:dyDescent="0.4">
      <c r="A235" s="2">
        <v>43084</v>
      </c>
      <c r="B235" s="3">
        <v>5.1661999999999999</v>
      </c>
    </row>
    <row r="236" spans="1:2" x14ac:dyDescent="0.4">
      <c r="A236" s="2">
        <v>43087</v>
      </c>
      <c r="B236" s="3">
        <v>5.1402999999999999</v>
      </c>
    </row>
    <row r="237" spans="1:2" x14ac:dyDescent="0.4">
      <c r="A237" s="2">
        <v>43088</v>
      </c>
      <c r="B237" s="3">
        <v>5.1368999999999998</v>
      </c>
    </row>
    <row r="238" spans="1:2" x14ac:dyDescent="0.4">
      <c r="A238" s="2">
        <v>43089</v>
      </c>
      <c r="B238" s="3">
        <v>5.1323999999999996</v>
      </c>
    </row>
    <row r="239" spans="1:2" x14ac:dyDescent="0.4">
      <c r="A239" s="2">
        <v>43090</v>
      </c>
      <c r="B239" s="3">
        <v>5.1283000000000003</v>
      </c>
    </row>
    <row r="240" spans="1:2" x14ac:dyDescent="0.4">
      <c r="A240" s="2">
        <v>43091</v>
      </c>
      <c r="B240" s="3">
        <v>5.1666999999999996</v>
      </c>
    </row>
    <row r="241" spans="1:2" x14ac:dyDescent="0.4">
      <c r="A241" s="2">
        <v>43094</v>
      </c>
      <c r="B241" s="3">
        <v>5.1627000000000001</v>
      </c>
    </row>
    <row r="242" spans="1:2" x14ac:dyDescent="0.4">
      <c r="A242" s="2">
        <v>43095</v>
      </c>
      <c r="B242" s="3">
        <v>5.1397000000000004</v>
      </c>
    </row>
    <row r="243" spans="1:2" x14ac:dyDescent="0.4">
      <c r="A243" s="2">
        <v>43096</v>
      </c>
      <c r="B243" s="3">
        <v>5.1563999999999997</v>
      </c>
    </row>
    <row r="244" spans="1:2" x14ac:dyDescent="0.4">
      <c r="A244" s="2">
        <v>43097</v>
      </c>
      <c r="B244" s="3">
        <v>5.1700999999999997</v>
      </c>
    </row>
    <row r="245" spans="1:2" x14ac:dyDescent="0.4">
      <c r="A245" s="2">
        <v>43098</v>
      </c>
      <c r="B245" s="3">
        <v>5.2008999999999999</v>
      </c>
    </row>
    <row r="246" spans="1:2" x14ac:dyDescent="0.4">
      <c r="A246" s="2">
        <v>43102</v>
      </c>
      <c r="B246" s="3">
        <v>5.1841999999999997</v>
      </c>
    </row>
    <row r="247" spans="1:2" x14ac:dyDescent="0.4">
      <c r="A247" s="2">
        <v>43103</v>
      </c>
      <c r="B247" s="3">
        <v>5.1909000000000001</v>
      </c>
    </row>
    <row r="248" spans="1:2" x14ac:dyDescent="0.4">
      <c r="A248" s="2">
        <v>43104</v>
      </c>
      <c r="B248" s="3">
        <v>5.1864999999999997</v>
      </c>
    </row>
    <row r="249" spans="1:2" x14ac:dyDescent="0.4">
      <c r="A249" s="2">
        <v>43105</v>
      </c>
      <c r="B249" s="3">
        <v>5.1993</v>
      </c>
    </row>
    <row r="250" spans="1:2" x14ac:dyDescent="0.4">
      <c r="A250" s="2">
        <v>43108</v>
      </c>
      <c r="B250" s="3">
        <v>5.2297000000000002</v>
      </c>
    </row>
    <row r="251" spans="1:2" x14ac:dyDescent="0.4">
      <c r="A251" s="2">
        <v>43109</v>
      </c>
      <c r="B251" s="3">
        <v>5.2297000000000002</v>
      </c>
    </row>
    <row r="252" spans="1:2" x14ac:dyDescent="0.4">
      <c r="A252" s="2">
        <v>43110</v>
      </c>
      <c r="B252" s="3">
        <v>5.2286000000000001</v>
      </c>
    </row>
    <row r="253" spans="1:2" x14ac:dyDescent="0.4">
      <c r="A253" s="2">
        <v>43111</v>
      </c>
      <c r="B253" s="3">
        <v>5.1965000000000003</v>
      </c>
    </row>
    <row r="254" spans="1:2" x14ac:dyDescent="0.4">
      <c r="A254" s="2">
        <v>43112</v>
      </c>
      <c r="B254" s="3">
        <v>5.1856</v>
      </c>
    </row>
    <row r="255" spans="1:2" x14ac:dyDescent="0.4">
      <c r="A255" s="2">
        <v>43115</v>
      </c>
      <c r="B255" s="3">
        <v>5.1814999999999998</v>
      </c>
    </row>
    <row r="256" spans="1:2" x14ac:dyDescent="0.4">
      <c r="A256" s="2">
        <v>43116</v>
      </c>
      <c r="B256" s="3">
        <v>5.1795999999999998</v>
      </c>
    </row>
    <row r="257" spans="1:2" x14ac:dyDescent="0.4">
      <c r="A257" s="2">
        <v>43117</v>
      </c>
      <c r="B257" s="3">
        <v>5.1753999999999998</v>
      </c>
    </row>
    <row r="258" spans="1:2" x14ac:dyDescent="0.4">
      <c r="A258" s="2">
        <v>43118</v>
      </c>
      <c r="B258" s="3">
        <v>5.1746999999999996</v>
      </c>
    </row>
    <row r="259" spans="1:2" x14ac:dyDescent="0.4">
      <c r="A259" s="2">
        <v>43119</v>
      </c>
      <c r="B259" s="3">
        <v>5.1741999999999999</v>
      </c>
    </row>
    <row r="260" spans="1:2" x14ac:dyDescent="0.4">
      <c r="A260" s="2">
        <v>43122</v>
      </c>
      <c r="B260" s="3">
        <v>5.1321000000000003</v>
      </c>
    </row>
    <row r="261" spans="1:2" x14ac:dyDescent="0.4">
      <c r="A261" s="2">
        <v>43123</v>
      </c>
      <c r="B261" s="3">
        <v>5.1401000000000003</v>
      </c>
    </row>
    <row r="262" spans="1:2" x14ac:dyDescent="0.4">
      <c r="A262" s="2">
        <v>43124</v>
      </c>
      <c r="B262" s="3">
        <v>5.1460999999999997</v>
      </c>
    </row>
    <row r="263" spans="1:2" x14ac:dyDescent="0.4">
      <c r="A263" s="2">
        <v>43125</v>
      </c>
      <c r="B263" s="3">
        <v>5.1589999999999998</v>
      </c>
    </row>
    <row r="264" spans="1:2" x14ac:dyDescent="0.4">
      <c r="A264" s="2">
        <v>43126</v>
      </c>
      <c r="B264" s="3">
        <v>5.1238000000000001</v>
      </c>
    </row>
    <row r="265" spans="1:2" x14ac:dyDescent="0.4">
      <c r="A265" s="2">
        <v>43129</v>
      </c>
      <c r="B265" s="3">
        <v>5.1353999999999997</v>
      </c>
    </row>
    <row r="266" spans="1:2" x14ac:dyDescent="0.4">
      <c r="A266" s="2">
        <v>43130</v>
      </c>
      <c r="B266" s="3">
        <v>5.1311999999999998</v>
      </c>
    </row>
    <row r="267" spans="1:2" x14ac:dyDescent="0.4">
      <c r="A267" s="2">
        <v>43131</v>
      </c>
      <c r="B267" s="3">
        <v>5.1332000000000004</v>
      </c>
    </row>
    <row r="268" spans="1:2" x14ac:dyDescent="0.4">
      <c r="A268" s="2">
        <v>43132</v>
      </c>
      <c r="B268" s="3">
        <v>5.1174999999999997</v>
      </c>
    </row>
    <row r="269" spans="1:2" x14ac:dyDescent="0.4">
      <c r="A269" s="2">
        <v>43133</v>
      </c>
      <c r="B269" s="3">
        <v>5.1247999999999996</v>
      </c>
    </row>
    <row r="270" spans="1:2" x14ac:dyDescent="0.4">
      <c r="A270" s="2">
        <v>43136</v>
      </c>
      <c r="B270" s="3">
        <v>5.0636000000000001</v>
      </c>
    </row>
    <row r="271" spans="1:2" x14ac:dyDescent="0.4">
      <c r="A271" s="2">
        <v>43137</v>
      </c>
      <c r="B271" s="3">
        <v>5.0316999999999998</v>
      </c>
    </row>
    <row r="272" spans="1:2" x14ac:dyDescent="0.4">
      <c r="A272" s="2">
        <v>43138</v>
      </c>
      <c r="B272" s="3">
        <v>5.0228000000000002</v>
      </c>
    </row>
    <row r="273" spans="1:2" x14ac:dyDescent="0.4">
      <c r="A273" s="2">
        <v>43139</v>
      </c>
      <c r="B273" s="3">
        <v>4.9943999999999997</v>
      </c>
    </row>
    <row r="274" spans="1:2" x14ac:dyDescent="0.4">
      <c r="A274" s="2">
        <v>43140</v>
      </c>
      <c r="B274" s="3">
        <v>5.0204000000000004</v>
      </c>
    </row>
    <row r="275" spans="1:2" x14ac:dyDescent="0.4">
      <c r="A275" s="2">
        <v>43143</v>
      </c>
      <c r="B275" s="3">
        <v>5.0003000000000002</v>
      </c>
    </row>
    <row r="276" spans="1:2" x14ac:dyDescent="0.4">
      <c r="A276" s="2">
        <v>43144</v>
      </c>
      <c r="B276" s="3">
        <v>5.0274000000000001</v>
      </c>
    </row>
    <row r="277" spans="1:2" x14ac:dyDescent="0.4">
      <c r="A277" s="2">
        <v>43145</v>
      </c>
      <c r="B277" s="3">
        <v>5.0381</v>
      </c>
    </row>
    <row r="278" spans="1:2" x14ac:dyDescent="0.4">
      <c r="A278" s="2">
        <v>43153</v>
      </c>
      <c r="B278" s="3">
        <v>5.0033000000000003</v>
      </c>
    </row>
    <row r="279" spans="1:2" x14ac:dyDescent="0.4">
      <c r="A279" s="2">
        <v>43154</v>
      </c>
      <c r="B279" s="3">
        <v>4.9961000000000002</v>
      </c>
    </row>
    <row r="280" spans="1:2" x14ac:dyDescent="0.4">
      <c r="A280" s="2">
        <v>43157</v>
      </c>
      <c r="B280" s="3">
        <v>5.0118999999999998</v>
      </c>
    </row>
    <row r="281" spans="1:2" x14ac:dyDescent="0.4">
      <c r="A281" s="2">
        <v>43158</v>
      </c>
      <c r="B281" s="3">
        <v>4.9757999999999996</v>
      </c>
    </row>
    <row r="282" spans="1:2" x14ac:dyDescent="0.4">
      <c r="A282" s="2">
        <v>43159</v>
      </c>
      <c r="B282" s="3">
        <v>4.9516</v>
      </c>
    </row>
    <row r="283" spans="1:2" x14ac:dyDescent="0.4">
      <c r="A283" s="2">
        <v>43160</v>
      </c>
      <c r="B283" s="3">
        <v>4.9363000000000001</v>
      </c>
    </row>
    <row r="284" spans="1:2" x14ac:dyDescent="0.4">
      <c r="A284" s="2">
        <v>43161</v>
      </c>
      <c r="B284" s="3">
        <v>4.9355000000000002</v>
      </c>
    </row>
    <row r="285" spans="1:2" x14ac:dyDescent="0.4">
      <c r="A285" s="2">
        <v>43164</v>
      </c>
      <c r="B285" s="3">
        <v>4.9195000000000002</v>
      </c>
    </row>
    <row r="286" spans="1:2" x14ac:dyDescent="0.4">
      <c r="A286" s="2">
        <v>43165</v>
      </c>
      <c r="B286" s="3">
        <v>4.8849</v>
      </c>
    </row>
    <row r="287" spans="1:2" x14ac:dyDescent="0.4">
      <c r="A287" s="2">
        <v>43166</v>
      </c>
      <c r="B287" s="3">
        <v>4.8977000000000004</v>
      </c>
    </row>
    <row r="288" spans="1:2" x14ac:dyDescent="0.4">
      <c r="A288" s="2">
        <v>43167</v>
      </c>
      <c r="B288" s="3">
        <v>4.8993000000000002</v>
      </c>
    </row>
    <row r="289" spans="1:2" x14ac:dyDescent="0.4">
      <c r="A289" s="2">
        <v>43168</v>
      </c>
      <c r="B289" s="3">
        <v>4.9202000000000004</v>
      </c>
    </row>
    <row r="290" spans="1:2" x14ac:dyDescent="0.4">
      <c r="A290" s="2">
        <v>43171</v>
      </c>
      <c r="B290" s="3">
        <v>4.9416000000000002</v>
      </c>
    </row>
    <row r="291" spans="1:2" x14ac:dyDescent="0.4">
      <c r="A291" s="2">
        <v>43172</v>
      </c>
      <c r="B291" s="3">
        <v>4.9221000000000004</v>
      </c>
    </row>
    <row r="292" spans="1:2" x14ac:dyDescent="0.4">
      <c r="A292" s="2">
        <v>43173</v>
      </c>
      <c r="B292" s="3">
        <v>4.8766999999999996</v>
      </c>
    </row>
    <row r="293" spans="1:2" x14ac:dyDescent="0.4">
      <c r="A293" s="2">
        <v>43174</v>
      </c>
      <c r="B293" s="3">
        <v>4.8737000000000004</v>
      </c>
    </row>
    <row r="294" spans="1:2" x14ac:dyDescent="0.4">
      <c r="A294" s="2">
        <v>43175</v>
      </c>
      <c r="B294" s="3">
        <v>4.8529</v>
      </c>
    </row>
    <row r="295" spans="1:2" x14ac:dyDescent="0.4">
      <c r="A295" s="2">
        <v>43178</v>
      </c>
      <c r="B295" s="3">
        <v>4.8356000000000003</v>
      </c>
    </row>
    <row r="296" spans="1:2" x14ac:dyDescent="0.4">
      <c r="A296" s="2">
        <v>43179</v>
      </c>
      <c r="B296" s="3">
        <v>4.8339999999999996</v>
      </c>
    </row>
    <row r="297" spans="1:2" x14ac:dyDescent="0.4">
      <c r="A297" s="2">
        <v>43180</v>
      </c>
      <c r="B297" s="3">
        <v>4.8497000000000003</v>
      </c>
    </row>
    <row r="298" spans="1:2" x14ac:dyDescent="0.4">
      <c r="A298" s="2">
        <v>43181</v>
      </c>
      <c r="B298" s="3">
        <v>4.8978999999999999</v>
      </c>
    </row>
    <row r="299" spans="1:2" x14ac:dyDescent="0.4">
      <c r="A299" s="2">
        <v>43182</v>
      </c>
      <c r="B299" s="3">
        <v>4.8935000000000004</v>
      </c>
    </row>
    <row r="300" spans="1:2" x14ac:dyDescent="0.4">
      <c r="A300" s="2">
        <v>43185</v>
      </c>
      <c r="B300" s="3">
        <v>4.9077000000000002</v>
      </c>
    </row>
    <row r="301" spans="1:2" x14ac:dyDescent="0.4">
      <c r="A301" s="2">
        <v>43186</v>
      </c>
      <c r="B301" s="3">
        <v>4.8884999999999996</v>
      </c>
    </row>
    <row r="302" spans="1:2" x14ac:dyDescent="0.4">
      <c r="A302" s="2">
        <v>43187</v>
      </c>
      <c r="B302" s="3">
        <v>4.8745000000000003</v>
      </c>
    </row>
    <row r="303" spans="1:2" x14ac:dyDescent="0.4">
      <c r="A303" s="2">
        <v>43188</v>
      </c>
      <c r="B303" s="3">
        <v>4.88</v>
      </c>
    </row>
    <row r="304" spans="1:2" x14ac:dyDescent="0.4">
      <c r="A304" s="2">
        <v>43189</v>
      </c>
      <c r="B304" s="3">
        <v>4.8788</v>
      </c>
    </row>
    <row r="305" spans="1:2" x14ac:dyDescent="0.4">
      <c r="A305" s="2">
        <v>43192</v>
      </c>
      <c r="B305" s="3">
        <v>4.8677000000000001</v>
      </c>
    </row>
    <row r="306" spans="1:2" x14ac:dyDescent="0.4">
      <c r="A306" s="2">
        <v>43193</v>
      </c>
      <c r="B306" s="3">
        <v>4.8650000000000002</v>
      </c>
    </row>
    <row r="307" spans="1:2" x14ac:dyDescent="0.4">
      <c r="A307" s="2">
        <v>43194</v>
      </c>
      <c r="B307" s="3">
        <v>4.9151999999999996</v>
      </c>
    </row>
    <row r="308" spans="1:2" x14ac:dyDescent="0.4">
      <c r="A308" s="2">
        <v>43199</v>
      </c>
      <c r="B308" s="3">
        <v>4.9397000000000002</v>
      </c>
    </row>
    <row r="309" spans="1:2" x14ac:dyDescent="0.4">
      <c r="A309" s="2">
        <v>43200</v>
      </c>
      <c r="B309" s="3">
        <v>4.9650999999999996</v>
      </c>
    </row>
    <row r="310" spans="1:2" x14ac:dyDescent="0.4">
      <c r="A310" s="2">
        <v>43201</v>
      </c>
      <c r="B310" s="3">
        <v>4.9943</v>
      </c>
    </row>
    <row r="311" spans="1:2" x14ac:dyDescent="0.4">
      <c r="A311" s="2">
        <v>43202</v>
      </c>
      <c r="B311" s="3">
        <v>4.9965000000000002</v>
      </c>
    </row>
    <row r="312" spans="1:2" x14ac:dyDescent="0.4">
      <c r="A312" s="2">
        <v>43203</v>
      </c>
      <c r="B312" s="3">
        <v>4.9939</v>
      </c>
    </row>
    <row r="313" spans="1:2" x14ac:dyDescent="0.4">
      <c r="A313" s="2">
        <v>43206</v>
      </c>
      <c r="B313" s="3">
        <v>4.9877000000000002</v>
      </c>
    </row>
    <row r="314" spans="1:2" x14ac:dyDescent="0.4">
      <c r="A314" s="2">
        <v>43207</v>
      </c>
      <c r="B314" s="3">
        <v>4.9924999999999997</v>
      </c>
    </row>
    <row r="315" spans="1:2" x14ac:dyDescent="0.4">
      <c r="A315" s="2">
        <v>43208</v>
      </c>
      <c r="B315" s="3">
        <v>5.0007000000000001</v>
      </c>
    </row>
    <row r="316" spans="1:2" x14ac:dyDescent="0.4">
      <c r="A316" s="2">
        <v>43209</v>
      </c>
      <c r="B316" s="3">
        <v>4.9741999999999997</v>
      </c>
    </row>
    <row r="317" spans="1:2" x14ac:dyDescent="0.4">
      <c r="A317" s="2">
        <v>43210</v>
      </c>
      <c r="B317" s="3">
        <v>4.9644000000000004</v>
      </c>
    </row>
    <row r="318" spans="1:2" x14ac:dyDescent="0.4">
      <c r="A318" s="2">
        <v>43213</v>
      </c>
      <c r="B318" s="3">
        <v>4.9362000000000004</v>
      </c>
    </row>
    <row r="319" spans="1:2" x14ac:dyDescent="0.4">
      <c r="A319" s="2">
        <v>43214</v>
      </c>
      <c r="B319" s="3">
        <v>4.9180999999999999</v>
      </c>
    </row>
    <row r="320" spans="1:2" x14ac:dyDescent="0.4">
      <c r="A320" s="2">
        <v>43215</v>
      </c>
      <c r="B320" s="3">
        <v>4.9160000000000004</v>
      </c>
    </row>
    <row r="321" spans="1:2" x14ac:dyDescent="0.4">
      <c r="A321" s="2">
        <v>43216</v>
      </c>
      <c r="B321" s="3">
        <v>4.9284999999999997</v>
      </c>
    </row>
    <row r="322" spans="1:2" x14ac:dyDescent="0.4">
      <c r="A322" s="2">
        <v>43217</v>
      </c>
      <c r="B322" s="3">
        <v>4.9227999999999996</v>
      </c>
    </row>
    <row r="323" spans="1:2" x14ac:dyDescent="0.4">
      <c r="A323" s="2">
        <v>43222</v>
      </c>
      <c r="B323" s="3">
        <v>4.9516</v>
      </c>
    </row>
    <row r="324" spans="1:2" x14ac:dyDescent="0.4">
      <c r="A324" s="2">
        <v>43223</v>
      </c>
      <c r="B324" s="3">
        <v>4.9463999999999997</v>
      </c>
    </row>
    <row r="325" spans="1:2" x14ac:dyDescent="0.4">
      <c r="A325" s="2">
        <v>43224</v>
      </c>
      <c r="B325" s="3">
        <v>4.9417999999999997</v>
      </c>
    </row>
    <row r="326" spans="1:2" x14ac:dyDescent="0.4">
      <c r="A326" s="2">
        <v>43227</v>
      </c>
      <c r="B326" s="3">
        <v>4.9471999999999996</v>
      </c>
    </row>
    <row r="327" spans="1:2" x14ac:dyDescent="0.4">
      <c r="A327" s="2">
        <v>43228</v>
      </c>
      <c r="B327" s="3">
        <v>4.9400000000000004</v>
      </c>
    </row>
    <row r="328" spans="1:2" x14ac:dyDescent="0.4">
      <c r="A328" s="2">
        <v>43229</v>
      </c>
      <c r="B328" s="3">
        <v>4.9208999999999996</v>
      </c>
    </row>
    <row r="329" spans="1:2" x14ac:dyDescent="0.4">
      <c r="A329" s="2">
        <v>43230</v>
      </c>
      <c r="B329" s="3">
        <v>4.9619999999999997</v>
      </c>
    </row>
    <row r="330" spans="1:2" x14ac:dyDescent="0.4">
      <c r="A330" s="2">
        <v>43231</v>
      </c>
      <c r="B330" s="3">
        <v>4.9737</v>
      </c>
    </row>
    <row r="331" spans="1:2" x14ac:dyDescent="0.4">
      <c r="A331" s="2">
        <v>43234</v>
      </c>
      <c r="B331" s="3">
        <v>4.9549000000000003</v>
      </c>
    </row>
    <row r="332" spans="1:2" x14ac:dyDescent="0.4">
      <c r="A332" s="2">
        <v>43235</v>
      </c>
      <c r="B332" s="3">
        <v>4.9581</v>
      </c>
    </row>
    <row r="333" spans="1:2" x14ac:dyDescent="0.4">
      <c r="A333" s="2">
        <v>43236</v>
      </c>
      <c r="B333" s="3">
        <v>4.9494999999999996</v>
      </c>
    </row>
    <row r="334" spans="1:2" x14ac:dyDescent="0.4">
      <c r="A334" s="2">
        <v>43237</v>
      </c>
      <c r="B334" s="3">
        <v>4.9806999999999997</v>
      </c>
    </row>
    <row r="335" spans="1:2" x14ac:dyDescent="0.4">
      <c r="A335" s="2">
        <v>43238</v>
      </c>
      <c r="B335" s="3">
        <v>4.9668000000000001</v>
      </c>
    </row>
    <row r="336" spans="1:2" x14ac:dyDescent="0.4">
      <c r="A336" s="2">
        <v>43241</v>
      </c>
      <c r="B336" s="3">
        <v>4.9553000000000003</v>
      </c>
    </row>
    <row r="337" spans="1:2" x14ac:dyDescent="0.4">
      <c r="A337" s="2">
        <v>43242</v>
      </c>
      <c r="B337" s="3">
        <v>4.9913999999999996</v>
      </c>
    </row>
    <row r="338" spans="1:2" x14ac:dyDescent="0.4">
      <c r="A338" s="2">
        <v>43243</v>
      </c>
      <c r="B338" s="3">
        <v>4.9743000000000004</v>
      </c>
    </row>
    <row r="339" spans="1:2" x14ac:dyDescent="0.4">
      <c r="A339" s="2">
        <v>43244</v>
      </c>
      <c r="B339" s="3">
        <v>4.9722</v>
      </c>
    </row>
    <row r="340" spans="1:2" x14ac:dyDescent="0.4">
      <c r="A340" s="2">
        <v>43245</v>
      </c>
      <c r="B340" s="3">
        <v>4.9565000000000001</v>
      </c>
    </row>
    <row r="341" spans="1:2" x14ac:dyDescent="0.4">
      <c r="A341" s="2">
        <v>43248</v>
      </c>
      <c r="B341" s="3">
        <v>4.9290000000000003</v>
      </c>
    </row>
    <row r="342" spans="1:2" x14ac:dyDescent="0.4">
      <c r="A342" s="2">
        <v>43249</v>
      </c>
      <c r="B342" s="3">
        <v>4.9275000000000002</v>
      </c>
    </row>
    <row r="343" spans="1:2" x14ac:dyDescent="0.4">
      <c r="A343" s="2">
        <v>43250</v>
      </c>
      <c r="B343" s="3">
        <v>4.9290000000000003</v>
      </c>
    </row>
    <row r="344" spans="1:2" x14ac:dyDescent="0.4">
      <c r="A344" s="2">
        <v>43251</v>
      </c>
      <c r="B344" s="3">
        <v>4.9782999999999999</v>
      </c>
    </row>
    <row r="345" spans="1:2" x14ac:dyDescent="0.4">
      <c r="A345" s="2">
        <v>43252</v>
      </c>
      <c r="B345" s="3">
        <v>4.9511000000000003</v>
      </c>
    </row>
    <row r="346" spans="1:2" x14ac:dyDescent="0.4">
      <c r="A346" s="2">
        <v>43255</v>
      </c>
      <c r="B346" s="3">
        <v>4.9535999999999998</v>
      </c>
    </row>
    <row r="347" spans="1:2" x14ac:dyDescent="0.4">
      <c r="A347" s="2">
        <v>43256</v>
      </c>
      <c r="B347" s="3">
        <v>4.9630000000000001</v>
      </c>
    </row>
    <row r="348" spans="1:2" x14ac:dyDescent="0.4">
      <c r="A348" s="2">
        <v>43257</v>
      </c>
      <c r="B348" s="3">
        <v>4.9471999999999996</v>
      </c>
    </row>
    <row r="349" spans="1:2" x14ac:dyDescent="0.4">
      <c r="A349" s="2">
        <v>43258</v>
      </c>
      <c r="B349" s="3">
        <v>4.9372999999999996</v>
      </c>
    </row>
    <row r="350" spans="1:2" x14ac:dyDescent="0.4">
      <c r="A350" s="2">
        <v>43259</v>
      </c>
      <c r="B350" s="3">
        <v>4.9328000000000003</v>
      </c>
    </row>
    <row r="351" spans="1:2" x14ac:dyDescent="0.4">
      <c r="A351" s="2">
        <v>43262</v>
      </c>
      <c r="B351" s="3">
        <v>4.9367999999999999</v>
      </c>
    </row>
    <row r="352" spans="1:2" x14ac:dyDescent="0.4">
      <c r="A352" s="2">
        <v>43263</v>
      </c>
      <c r="B352" s="3">
        <v>4.9358000000000004</v>
      </c>
    </row>
    <row r="353" spans="1:2" x14ac:dyDescent="0.4">
      <c r="A353" s="2">
        <v>43264</v>
      </c>
      <c r="B353" s="3">
        <v>4.9287999999999998</v>
      </c>
    </row>
    <row r="354" spans="1:2" x14ac:dyDescent="0.4">
      <c r="A354" s="2">
        <v>43265</v>
      </c>
      <c r="B354" s="3">
        <v>4.9276</v>
      </c>
    </row>
    <row r="355" spans="1:2" x14ac:dyDescent="0.4">
      <c r="A355" s="2">
        <v>43266</v>
      </c>
      <c r="B355" s="3">
        <v>4.9044999999999996</v>
      </c>
    </row>
    <row r="356" spans="1:2" x14ac:dyDescent="0.4">
      <c r="A356" s="2">
        <v>43270</v>
      </c>
      <c r="B356" s="3">
        <v>4.8639000000000001</v>
      </c>
    </row>
    <row r="357" spans="1:2" x14ac:dyDescent="0.4">
      <c r="A357" s="2">
        <v>43271</v>
      </c>
      <c r="B357" s="3">
        <v>4.8734000000000002</v>
      </c>
    </row>
    <row r="358" spans="1:2" x14ac:dyDescent="0.4">
      <c r="A358" s="2">
        <v>43272</v>
      </c>
      <c r="B358" s="3">
        <v>4.8621999999999996</v>
      </c>
    </row>
    <row r="359" spans="1:2" x14ac:dyDescent="0.4">
      <c r="A359" s="2">
        <v>43273</v>
      </c>
      <c r="B359" s="3">
        <v>4.8665000000000003</v>
      </c>
    </row>
    <row r="360" spans="1:2" x14ac:dyDescent="0.4">
      <c r="A360" s="2">
        <v>43276</v>
      </c>
      <c r="B360" s="3">
        <v>4.8868</v>
      </c>
    </row>
    <row r="361" spans="1:2" x14ac:dyDescent="0.4">
      <c r="A361" s="2">
        <v>43277</v>
      </c>
      <c r="B361" s="3">
        <v>4.9065000000000003</v>
      </c>
    </row>
    <row r="362" spans="1:2" x14ac:dyDescent="0.4">
      <c r="A362" s="2">
        <v>43278</v>
      </c>
      <c r="B362" s="3">
        <v>4.9333</v>
      </c>
    </row>
    <row r="363" spans="1:2" x14ac:dyDescent="0.4">
      <c r="A363" s="2">
        <v>43279</v>
      </c>
      <c r="B363" s="3">
        <v>4.9569999999999999</v>
      </c>
    </row>
    <row r="364" spans="1:2" x14ac:dyDescent="0.4">
      <c r="A364" s="2">
        <v>43280</v>
      </c>
      <c r="B364" s="3">
        <v>4.9946999999999999</v>
      </c>
    </row>
    <row r="365" spans="1:2" x14ac:dyDescent="0.4">
      <c r="A365" s="2">
        <v>43283</v>
      </c>
      <c r="B365" s="3">
        <v>5.0340999999999996</v>
      </c>
    </row>
    <row r="366" spans="1:2" x14ac:dyDescent="0.4">
      <c r="A366" s="2">
        <v>43284</v>
      </c>
      <c r="B366" s="3">
        <v>5.0439999999999996</v>
      </c>
    </row>
    <row r="367" spans="1:2" x14ac:dyDescent="0.4">
      <c r="A367" s="2">
        <v>43285</v>
      </c>
      <c r="B367" s="3">
        <v>5.0690999999999997</v>
      </c>
    </row>
    <row r="368" spans="1:2" x14ac:dyDescent="0.4">
      <c r="A368" s="2">
        <v>43286</v>
      </c>
      <c r="B368" s="3">
        <v>5.0366999999999997</v>
      </c>
    </row>
    <row r="369" spans="1:2" x14ac:dyDescent="0.4">
      <c r="A369" s="2">
        <v>43287</v>
      </c>
      <c r="B369" s="3">
        <v>5.0510999999999999</v>
      </c>
    </row>
    <row r="370" spans="1:2" x14ac:dyDescent="0.4">
      <c r="A370" s="2">
        <v>43290</v>
      </c>
      <c r="B370" s="3">
        <v>5.0697000000000001</v>
      </c>
    </row>
    <row r="371" spans="1:2" x14ac:dyDescent="0.4">
      <c r="A371" s="2">
        <v>43291</v>
      </c>
      <c r="B371" s="3">
        <v>5.0532000000000004</v>
      </c>
    </row>
    <row r="372" spans="1:2" x14ac:dyDescent="0.4">
      <c r="A372" s="2">
        <v>43292</v>
      </c>
      <c r="B372" s="3">
        <v>5.0393999999999997</v>
      </c>
    </row>
    <row r="373" spans="1:2" x14ac:dyDescent="0.4">
      <c r="A373" s="2">
        <v>43293</v>
      </c>
      <c r="B373" s="3">
        <v>5.0595999999999997</v>
      </c>
    </row>
    <row r="374" spans="1:2" x14ac:dyDescent="0.4">
      <c r="A374" s="2">
        <v>43294</v>
      </c>
      <c r="B374" s="3">
        <v>5.0683999999999996</v>
      </c>
    </row>
    <row r="375" spans="1:2" x14ac:dyDescent="0.4">
      <c r="A375" s="2">
        <v>43297</v>
      </c>
      <c r="B375" s="3">
        <v>5.0773999999999999</v>
      </c>
    </row>
    <row r="376" spans="1:2" x14ac:dyDescent="0.4">
      <c r="A376" s="2">
        <v>43298</v>
      </c>
      <c r="B376" s="3">
        <v>5.0865</v>
      </c>
    </row>
    <row r="377" spans="1:2" x14ac:dyDescent="0.4">
      <c r="A377" s="2">
        <v>43299</v>
      </c>
      <c r="B377" s="3">
        <v>5.0702999999999996</v>
      </c>
    </row>
    <row r="378" spans="1:2" x14ac:dyDescent="0.4">
      <c r="A378" s="2">
        <v>43300</v>
      </c>
      <c r="B378" s="3">
        <v>5.0940000000000003</v>
      </c>
    </row>
    <row r="379" spans="1:2" x14ac:dyDescent="0.4">
      <c r="A379" s="2">
        <v>43301</v>
      </c>
      <c r="B379" s="3">
        <v>5.1024000000000003</v>
      </c>
    </row>
    <row r="380" spans="1:2" x14ac:dyDescent="0.4">
      <c r="A380" s="2">
        <v>43304</v>
      </c>
      <c r="B380" s="3">
        <v>5.1515000000000004</v>
      </c>
    </row>
    <row r="381" spans="1:2" x14ac:dyDescent="0.4">
      <c r="A381" s="2">
        <v>43305</v>
      </c>
      <c r="B381" s="3">
        <v>5.1553000000000004</v>
      </c>
    </row>
    <row r="382" spans="1:2" x14ac:dyDescent="0.4">
      <c r="A382" s="2">
        <v>43306</v>
      </c>
      <c r="B382" s="3">
        <v>5.1753999999999998</v>
      </c>
    </row>
    <row r="383" spans="1:2" x14ac:dyDescent="0.4">
      <c r="A383" s="2">
        <v>43307</v>
      </c>
      <c r="B383" s="3">
        <v>5.1898999999999997</v>
      </c>
    </row>
    <row r="384" spans="1:2" x14ac:dyDescent="0.4">
      <c r="A384" s="2">
        <v>43308</v>
      </c>
      <c r="B384" s="3">
        <v>5.1994999999999996</v>
      </c>
    </row>
    <row r="385" spans="1:2" x14ac:dyDescent="0.4">
      <c r="A385" s="2">
        <v>43311</v>
      </c>
      <c r="B385" s="3">
        <v>5.2191000000000001</v>
      </c>
    </row>
    <row r="386" spans="1:2" x14ac:dyDescent="0.4">
      <c r="A386" s="2">
        <v>43312</v>
      </c>
      <c r="B386" s="3">
        <v>5.2328999999999999</v>
      </c>
    </row>
    <row r="387" spans="1:2" x14ac:dyDescent="0.4">
      <c r="A387" s="2">
        <v>43313</v>
      </c>
      <c r="B387" s="3">
        <v>5.2491000000000003</v>
      </c>
    </row>
    <row r="388" spans="1:2" x14ac:dyDescent="0.4">
      <c r="A388" s="2">
        <v>43314</v>
      </c>
      <c r="B388" s="3">
        <v>5.2275</v>
      </c>
    </row>
    <row r="389" spans="1:2" x14ac:dyDescent="0.4">
      <c r="A389" s="2">
        <v>43315</v>
      </c>
      <c r="B389" s="3">
        <v>5.2530000000000001</v>
      </c>
    </row>
    <row r="390" spans="1:2" x14ac:dyDescent="0.4">
      <c r="A390" s="2">
        <v>43318</v>
      </c>
      <c r="B390" s="3">
        <v>5.2697000000000003</v>
      </c>
    </row>
    <row r="391" spans="1:2" x14ac:dyDescent="0.4">
      <c r="A391" s="2">
        <v>43319</v>
      </c>
      <c r="B391" s="3">
        <v>5.2653999999999996</v>
      </c>
    </row>
    <row r="392" spans="1:2" x14ac:dyDescent="0.4">
      <c r="A392" s="2">
        <v>43320</v>
      </c>
      <c r="B392" s="3">
        <v>5.2328000000000001</v>
      </c>
    </row>
    <row r="393" spans="1:2" x14ac:dyDescent="0.4">
      <c r="A393" s="2">
        <v>43321</v>
      </c>
      <c r="B393" s="3">
        <v>5.2480000000000002</v>
      </c>
    </row>
    <row r="394" spans="1:2" x14ac:dyDescent="0.4">
      <c r="A394" s="2">
        <v>43322</v>
      </c>
      <c r="B394" s="3">
        <v>5.2439999999999998</v>
      </c>
    </row>
    <row r="395" spans="1:2" x14ac:dyDescent="0.4">
      <c r="A395" s="2">
        <v>43325</v>
      </c>
      <c r="B395" s="3">
        <v>5.2256999999999998</v>
      </c>
    </row>
    <row r="396" spans="1:2" x14ac:dyDescent="0.4">
      <c r="A396" s="2">
        <v>43326</v>
      </c>
      <c r="B396" s="3">
        <v>5.2371999999999996</v>
      </c>
    </row>
    <row r="397" spans="1:2" x14ac:dyDescent="0.4">
      <c r="A397" s="2">
        <v>43327</v>
      </c>
      <c r="B397" s="3">
        <v>5.2781000000000002</v>
      </c>
    </row>
    <row r="398" spans="1:2" x14ac:dyDescent="0.4">
      <c r="A398" s="2">
        <v>43328</v>
      </c>
      <c r="B398" s="3">
        <v>5.2534000000000001</v>
      </c>
    </row>
    <row r="399" spans="1:2" x14ac:dyDescent="0.4">
      <c r="A399" s="2">
        <v>43329</v>
      </c>
      <c r="B399" s="3">
        <v>5.2424999999999997</v>
      </c>
    </row>
    <row r="400" spans="1:2" x14ac:dyDescent="0.4">
      <c r="A400" s="2">
        <v>43332</v>
      </c>
      <c r="B400" s="3">
        <v>5.2648000000000001</v>
      </c>
    </row>
    <row r="401" spans="1:2" x14ac:dyDescent="0.4">
      <c r="A401" s="2">
        <v>43333</v>
      </c>
      <c r="B401" s="3">
        <v>5.2439</v>
      </c>
    </row>
    <row r="402" spans="1:2" x14ac:dyDescent="0.4">
      <c r="A402" s="2">
        <v>43334</v>
      </c>
      <c r="B402" s="3">
        <v>5.2389000000000001</v>
      </c>
    </row>
    <row r="403" spans="1:2" x14ac:dyDescent="0.4">
      <c r="A403" s="2">
        <v>43335</v>
      </c>
      <c r="B403" s="3">
        <v>5.26</v>
      </c>
    </row>
    <row r="404" spans="1:2" x14ac:dyDescent="0.4">
      <c r="A404" s="2">
        <v>43336</v>
      </c>
      <c r="B404" s="3">
        <v>5.2533000000000003</v>
      </c>
    </row>
    <row r="405" spans="1:2" x14ac:dyDescent="0.4">
      <c r="A405" s="2">
        <v>43339</v>
      </c>
      <c r="B405" s="3">
        <v>5.2687999999999997</v>
      </c>
    </row>
    <row r="406" spans="1:2" x14ac:dyDescent="0.4">
      <c r="A406" s="2">
        <v>43340</v>
      </c>
      <c r="B406" s="3">
        <v>5.2514000000000003</v>
      </c>
    </row>
    <row r="407" spans="1:2" x14ac:dyDescent="0.4">
      <c r="A407" s="2">
        <v>43341</v>
      </c>
      <c r="B407" s="3">
        <v>5.2655000000000003</v>
      </c>
    </row>
    <row r="408" spans="1:2" x14ac:dyDescent="0.4">
      <c r="A408" s="2">
        <v>43342</v>
      </c>
      <c r="B408" s="3">
        <v>5.2792000000000003</v>
      </c>
    </row>
    <row r="409" spans="1:2" x14ac:dyDescent="0.4">
      <c r="A409" s="2">
        <v>43343</v>
      </c>
      <c r="B409" s="3">
        <v>5.2596999999999996</v>
      </c>
    </row>
    <row r="410" spans="1:2" x14ac:dyDescent="0.4">
      <c r="A410" s="2">
        <v>43346</v>
      </c>
      <c r="B410" s="3">
        <v>5.2363999999999997</v>
      </c>
    </row>
    <row r="411" spans="1:2" x14ac:dyDescent="0.4">
      <c r="A411" s="2">
        <v>43347</v>
      </c>
      <c r="B411" s="3">
        <v>5.2076000000000002</v>
      </c>
    </row>
    <row r="412" spans="1:2" x14ac:dyDescent="0.4">
      <c r="A412" s="2">
        <v>43348</v>
      </c>
      <c r="B412" s="3">
        <v>5.1821999999999999</v>
      </c>
    </row>
    <row r="413" spans="1:2" x14ac:dyDescent="0.4">
      <c r="A413" s="2">
        <v>43349</v>
      </c>
      <c r="B413" s="3">
        <v>5.1792999999999996</v>
      </c>
    </row>
    <row r="414" spans="1:2" x14ac:dyDescent="0.4">
      <c r="A414" s="2">
        <v>43350</v>
      </c>
      <c r="B414" s="3">
        <v>5.1886000000000001</v>
      </c>
    </row>
    <row r="415" spans="1:2" x14ac:dyDescent="0.4">
      <c r="A415" s="2">
        <v>43353</v>
      </c>
      <c r="B415" s="3">
        <v>5.1947000000000001</v>
      </c>
    </row>
    <row r="416" spans="1:2" x14ac:dyDescent="0.4">
      <c r="A416" s="2">
        <v>43354</v>
      </c>
      <c r="B416" s="3">
        <v>5.2042999999999999</v>
      </c>
    </row>
    <row r="417" spans="1:2" x14ac:dyDescent="0.4">
      <c r="A417" s="2">
        <v>43355</v>
      </c>
      <c r="B417" s="3">
        <v>5.2507999999999999</v>
      </c>
    </row>
    <row r="418" spans="1:2" x14ac:dyDescent="0.4">
      <c r="A418" s="2">
        <v>43356</v>
      </c>
      <c r="B418" s="3">
        <v>5.2705000000000002</v>
      </c>
    </row>
    <row r="419" spans="1:2" x14ac:dyDescent="0.4">
      <c r="A419" s="2">
        <v>43357</v>
      </c>
      <c r="B419" s="3">
        <v>5.2592999999999996</v>
      </c>
    </row>
    <row r="420" spans="1:2" x14ac:dyDescent="0.4">
      <c r="A420" s="2">
        <v>43360</v>
      </c>
      <c r="B420" s="3">
        <v>5.2560000000000002</v>
      </c>
    </row>
    <row r="421" spans="1:2" x14ac:dyDescent="0.4">
      <c r="A421" s="2">
        <v>43361</v>
      </c>
      <c r="B421" s="3">
        <v>5.2496</v>
      </c>
    </row>
    <row r="422" spans="1:2" x14ac:dyDescent="0.4">
      <c r="A422" s="2">
        <v>43362</v>
      </c>
      <c r="B422" s="3">
        <v>5.2862</v>
      </c>
    </row>
    <row r="423" spans="1:2" x14ac:dyDescent="0.4">
      <c r="A423" s="2">
        <v>43363</v>
      </c>
      <c r="B423" s="3">
        <v>5.3049999999999997</v>
      </c>
    </row>
    <row r="424" spans="1:2" x14ac:dyDescent="0.4">
      <c r="A424" s="2">
        <v>43364</v>
      </c>
      <c r="B424" s="3">
        <v>5.2976000000000001</v>
      </c>
    </row>
    <row r="425" spans="1:2" x14ac:dyDescent="0.4">
      <c r="A425" s="2">
        <v>43368</v>
      </c>
      <c r="B425" s="3">
        <v>5.2873000000000001</v>
      </c>
    </row>
    <row r="426" spans="1:2" x14ac:dyDescent="0.4">
      <c r="A426" s="2">
        <v>43369</v>
      </c>
      <c r="B426" s="3">
        <v>5.2933000000000003</v>
      </c>
    </row>
    <row r="427" spans="1:2" x14ac:dyDescent="0.4">
      <c r="A427" s="2">
        <v>43370</v>
      </c>
      <c r="B427" s="3">
        <v>5.2664999999999997</v>
      </c>
    </row>
    <row r="428" spans="1:2" x14ac:dyDescent="0.4">
      <c r="A428" s="2">
        <v>43371</v>
      </c>
      <c r="B428" s="3">
        <v>5.2812000000000001</v>
      </c>
    </row>
    <row r="429" spans="1:2" x14ac:dyDescent="0.4">
      <c r="A429" s="2">
        <v>43381</v>
      </c>
      <c r="B429" s="3">
        <v>5.3331999999999997</v>
      </c>
    </row>
    <row r="430" spans="1:2" x14ac:dyDescent="0.4">
      <c r="A430" s="2">
        <v>43382</v>
      </c>
      <c r="B430" s="3">
        <v>5.3261000000000003</v>
      </c>
    </row>
    <row r="431" spans="1:2" x14ac:dyDescent="0.4">
      <c r="A431" s="2">
        <v>43383</v>
      </c>
      <c r="B431" s="3">
        <v>5.3361000000000001</v>
      </c>
    </row>
    <row r="432" spans="1:2" x14ac:dyDescent="0.4">
      <c r="A432" s="2">
        <v>43384</v>
      </c>
      <c r="B432" s="3">
        <v>5.2930999999999999</v>
      </c>
    </row>
    <row r="433" spans="1:2" x14ac:dyDescent="0.4">
      <c r="A433" s="2">
        <v>43385</v>
      </c>
      <c r="B433" s="3">
        <v>5.3015999999999996</v>
      </c>
    </row>
    <row r="434" spans="1:2" x14ac:dyDescent="0.4">
      <c r="A434" s="2">
        <v>43388</v>
      </c>
      <c r="B434" s="3">
        <v>5.3125999999999998</v>
      </c>
    </row>
    <row r="435" spans="1:2" x14ac:dyDescent="0.4">
      <c r="A435" s="2">
        <v>43389</v>
      </c>
      <c r="B435" s="3">
        <v>5.3224</v>
      </c>
    </row>
    <row r="436" spans="1:2" x14ac:dyDescent="0.4">
      <c r="A436" s="2">
        <v>43390</v>
      </c>
      <c r="B436" s="3">
        <v>5.3434999999999997</v>
      </c>
    </row>
    <row r="437" spans="1:2" x14ac:dyDescent="0.4">
      <c r="A437" s="2">
        <v>43391</v>
      </c>
      <c r="B437" s="3">
        <v>5.3209</v>
      </c>
    </row>
    <row r="438" spans="1:2" x14ac:dyDescent="0.4">
      <c r="A438" s="2">
        <v>43392</v>
      </c>
      <c r="B438" s="3">
        <v>5.3098999999999998</v>
      </c>
    </row>
    <row r="439" spans="1:2" x14ac:dyDescent="0.4">
      <c r="A439" s="2">
        <v>43395</v>
      </c>
      <c r="B439" s="3">
        <v>5.2824</v>
      </c>
    </row>
    <row r="440" spans="1:2" x14ac:dyDescent="0.4">
      <c r="A440" s="2">
        <v>43396</v>
      </c>
      <c r="B440" s="3">
        <v>5.298</v>
      </c>
    </row>
    <row r="441" spans="1:2" x14ac:dyDescent="0.4">
      <c r="A441" s="2">
        <v>43397</v>
      </c>
      <c r="B441" s="3">
        <v>5.3017000000000003</v>
      </c>
    </row>
    <row r="442" spans="1:2" x14ac:dyDescent="0.4">
      <c r="A442" s="2">
        <v>43398</v>
      </c>
      <c r="B442" s="3">
        <v>5.3242000000000003</v>
      </c>
    </row>
    <row r="443" spans="1:2" x14ac:dyDescent="0.4">
      <c r="A443" s="2">
        <v>43399</v>
      </c>
      <c r="B443" s="3">
        <v>5.3175999999999997</v>
      </c>
    </row>
    <row r="444" spans="1:2" x14ac:dyDescent="0.4">
      <c r="A444" s="2">
        <v>43402</v>
      </c>
      <c r="B444" s="3">
        <v>5.2987000000000002</v>
      </c>
    </row>
    <row r="445" spans="1:2" x14ac:dyDescent="0.4">
      <c r="A445" s="2">
        <v>43403</v>
      </c>
      <c r="B445" s="3">
        <v>5.3003</v>
      </c>
    </row>
    <row r="446" spans="1:2" x14ac:dyDescent="0.4">
      <c r="A446" s="2">
        <v>43404</v>
      </c>
      <c r="B446" s="3">
        <v>5.3106</v>
      </c>
    </row>
    <row r="447" spans="1:2" x14ac:dyDescent="0.4">
      <c r="A447" s="2">
        <v>43405</v>
      </c>
      <c r="B447" s="3">
        <v>5.2998000000000003</v>
      </c>
    </row>
    <row r="448" spans="1:2" x14ac:dyDescent="0.4">
      <c r="A448" s="2">
        <v>43406</v>
      </c>
      <c r="B448" s="3">
        <v>5.3009000000000004</v>
      </c>
    </row>
    <row r="449" spans="1:2" x14ac:dyDescent="0.4">
      <c r="A449" s="2">
        <v>43409</v>
      </c>
      <c r="B449" s="3">
        <v>5.2659000000000002</v>
      </c>
    </row>
    <row r="450" spans="1:2" x14ac:dyDescent="0.4">
      <c r="A450" s="2">
        <v>43410</v>
      </c>
      <c r="B450" s="3">
        <v>5.2686000000000002</v>
      </c>
    </row>
    <row r="451" spans="1:2" x14ac:dyDescent="0.4">
      <c r="A451" s="2">
        <v>43411</v>
      </c>
      <c r="B451" s="3">
        <v>5.2641999999999998</v>
      </c>
    </row>
    <row r="452" spans="1:2" x14ac:dyDescent="0.4">
      <c r="A452" s="2">
        <v>43412</v>
      </c>
      <c r="B452" s="3">
        <v>5.2729999999999997</v>
      </c>
    </row>
    <row r="453" spans="1:2" x14ac:dyDescent="0.4">
      <c r="A453" s="2">
        <v>43413</v>
      </c>
      <c r="B453" s="3">
        <v>5.2765000000000004</v>
      </c>
    </row>
    <row r="454" spans="1:2" x14ac:dyDescent="0.4">
      <c r="A454" s="2">
        <v>43416</v>
      </c>
      <c r="B454" s="3">
        <v>5.266</v>
      </c>
    </row>
    <row r="455" spans="1:2" x14ac:dyDescent="0.4">
      <c r="A455" s="2">
        <v>43417</v>
      </c>
      <c r="B455" s="3">
        <v>5.2619999999999996</v>
      </c>
    </row>
    <row r="456" spans="1:2" x14ac:dyDescent="0.4">
      <c r="A456" s="2">
        <v>43418</v>
      </c>
      <c r="B456" s="3">
        <v>5.2478999999999996</v>
      </c>
    </row>
    <row r="457" spans="1:2" x14ac:dyDescent="0.4">
      <c r="A457" s="2">
        <v>43419</v>
      </c>
      <c r="B457" s="3">
        <v>5.2411000000000003</v>
      </c>
    </row>
    <row r="458" spans="1:2" x14ac:dyDescent="0.4">
      <c r="A458" s="2">
        <v>43420</v>
      </c>
      <c r="B458" s="3">
        <v>5.2652999999999999</v>
      </c>
    </row>
    <row r="459" spans="1:2" x14ac:dyDescent="0.4">
      <c r="A459" s="2">
        <v>43423</v>
      </c>
      <c r="B459" s="3">
        <v>5.2686999999999999</v>
      </c>
    </row>
    <row r="460" spans="1:2" x14ac:dyDescent="0.4">
      <c r="A460" s="2">
        <v>43424</v>
      </c>
      <c r="B460" s="3">
        <v>5.2594000000000003</v>
      </c>
    </row>
    <row r="461" spans="1:2" x14ac:dyDescent="0.4">
      <c r="A461" s="2">
        <v>43425</v>
      </c>
      <c r="B461" s="3">
        <v>5.2240000000000002</v>
      </c>
    </row>
    <row r="462" spans="1:2" x14ac:dyDescent="0.4">
      <c r="A462" s="2">
        <v>43426</v>
      </c>
      <c r="B462" s="3">
        <v>5.2465999999999999</v>
      </c>
    </row>
    <row r="463" spans="1:2" x14ac:dyDescent="0.4">
      <c r="A463" s="2">
        <v>43427</v>
      </c>
      <c r="B463" s="3">
        <v>5.2563000000000004</v>
      </c>
    </row>
    <row r="464" spans="1:2" x14ac:dyDescent="0.4">
      <c r="A464" s="2">
        <v>43430</v>
      </c>
      <c r="B464" s="3">
        <v>5.2541000000000002</v>
      </c>
    </row>
    <row r="465" spans="1:2" x14ac:dyDescent="0.4">
      <c r="A465" s="2">
        <v>43431</v>
      </c>
      <c r="B465" s="3">
        <v>5.2427000000000001</v>
      </c>
    </row>
    <row r="466" spans="1:2" x14ac:dyDescent="0.4">
      <c r="A466" s="2">
        <v>43432</v>
      </c>
      <c r="B466" s="3">
        <v>5.2291999999999996</v>
      </c>
    </row>
    <row r="467" spans="1:2" x14ac:dyDescent="0.4">
      <c r="A467" s="2">
        <v>43433</v>
      </c>
      <c r="B467" s="3">
        <v>5.2249999999999996</v>
      </c>
    </row>
    <row r="468" spans="1:2" x14ac:dyDescent="0.4">
      <c r="A468" s="2">
        <v>43434</v>
      </c>
      <c r="B468" s="3">
        <v>5.2220000000000004</v>
      </c>
    </row>
    <row r="469" spans="1:2" x14ac:dyDescent="0.4">
      <c r="A469" s="2">
        <v>43437</v>
      </c>
      <c r="B469" s="3">
        <v>5.2397999999999998</v>
      </c>
    </row>
    <row r="470" spans="1:2" x14ac:dyDescent="0.4">
      <c r="A470" s="2">
        <v>43438</v>
      </c>
      <c r="B470" s="3">
        <v>5.2233000000000001</v>
      </c>
    </row>
    <row r="471" spans="1:2" x14ac:dyDescent="0.4">
      <c r="A471" s="2">
        <v>43439</v>
      </c>
      <c r="B471" s="3">
        <v>5.1647999999999996</v>
      </c>
    </row>
    <row r="472" spans="1:2" x14ac:dyDescent="0.4">
      <c r="A472" s="2">
        <v>43440</v>
      </c>
      <c r="B472" s="3">
        <v>5.1337000000000002</v>
      </c>
    </row>
    <row r="473" spans="1:2" x14ac:dyDescent="0.4">
      <c r="A473" s="2">
        <v>43441</v>
      </c>
      <c r="B473" s="3">
        <v>5.1269</v>
      </c>
    </row>
    <row r="474" spans="1:2" x14ac:dyDescent="0.4">
      <c r="A474" s="2">
        <v>43444</v>
      </c>
      <c r="B474" s="3">
        <v>5.157</v>
      </c>
    </row>
    <row r="475" spans="1:2" x14ac:dyDescent="0.4">
      <c r="A475" s="2">
        <v>43445</v>
      </c>
      <c r="B475" s="3">
        <v>5.1555999999999997</v>
      </c>
    </row>
    <row r="476" spans="1:2" x14ac:dyDescent="0.4">
      <c r="A476" s="2">
        <v>43446</v>
      </c>
      <c r="B476" s="3">
        <v>5.1612</v>
      </c>
    </row>
    <row r="477" spans="1:2" x14ac:dyDescent="0.4">
      <c r="A477" s="2">
        <v>43447</v>
      </c>
      <c r="B477" s="3">
        <v>5.1517999999999997</v>
      </c>
    </row>
    <row r="478" spans="1:2" x14ac:dyDescent="0.4">
      <c r="A478" s="2">
        <v>43448</v>
      </c>
      <c r="B478" s="3">
        <v>5.1498999999999997</v>
      </c>
    </row>
    <row r="479" spans="1:2" x14ac:dyDescent="0.4">
      <c r="A479" s="2">
        <v>43451</v>
      </c>
      <c r="B479" s="3">
        <v>5.1509</v>
      </c>
    </row>
    <row r="480" spans="1:2" x14ac:dyDescent="0.4">
      <c r="A480" s="2">
        <v>43452</v>
      </c>
      <c r="B480" s="3">
        <v>5.1336000000000004</v>
      </c>
    </row>
    <row r="481" spans="1:2" x14ac:dyDescent="0.4">
      <c r="A481" s="2">
        <v>43453</v>
      </c>
      <c r="B481" s="3">
        <v>5.1186999999999996</v>
      </c>
    </row>
    <row r="482" spans="1:2" x14ac:dyDescent="0.4">
      <c r="A482" s="2">
        <v>43454</v>
      </c>
      <c r="B482" s="3">
        <v>5.1154999999999999</v>
      </c>
    </row>
    <row r="483" spans="1:2" x14ac:dyDescent="0.4">
      <c r="A483" s="2">
        <v>43455</v>
      </c>
      <c r="B483" s="3">
        <v>5.0991</v>
      </c>
    </row>
    <row r="484" spans="1:2" x14ac:dyDescent="0.4">
      <c r="A484" s="2">
        <v>43458</v>
      </c>
      <c r="B484" s="3">
        <v>5.08</v>
      </c>
    </row>
    <row r="485" spans="1:2" x14ac:dyDescent="0.4">
      <c r="A485" s="2">
        <v>43459</v>
      </c>
      <c r="B485" s="3">
        <v>5.0658000000000003</v>
      </c>
    </row>
    <row r="486" spans="1:2" x14ac:dyDescent="0.4">
      <c r="A486" s="2">
        <v>43460</v>
      </c>
      <c r="B486" s="3">
        <v>5.0632999999999999</v>
      </c>
    </row>
    <row r="487" spans="1:2" x14ac:dyDescent="0.4">
      <c r="A487" s="2">
        <v>43461</v>
      </c>
      <c r="B487" s="3">
        <v>5.0761000000000003</v>
      </c>
    </row>
    <row r="488" spans="1:2" x14ac:dyDescent="0.4">
      <c r="A488" s="2">
        <v>43462</v>
      </c>
      <c r="B488" s="3">
        <v>5.0381</v>
      </c>
    </row>
    <row r="489" spans="1:2" x14ac:dyDescent="0.4">
      <c r="A489" s="2">
        <v>43467</v>
      </c>
      <c r="B489" s="3">
        <v>5.0256999999999996</v>
      </c>
    </row>
    <row r="490" spans="1:2" x14ac:dyDescent="0.4">
      <c r="A490" s="2">
        <v>43468</v>
      </c>
      <c r="B490" s="3">
        <v>5.0305</v>
      </c>
    </row>
    <row r="491" spans="1:2" x14ac:dyDescent="0.4">
      <c r="A491" s="2">
        <v>43469</v>
      </c>
      <c r="B491" s="3">
        <v>5.0896999999999997</v>
      </c>
    </row>
    <row r="492" spans="1:2" x14ac:dyDescent="0.4">
      <c r="A492" s="2">
        <v>43472</v>
      </c>
      <c r="B492" s="3">
        <v>5.1238000000000001</v>
      </c>
    </row>
    <row r="493" spans="1:2" x14ac:dyDescent="0.4">
      <c r="A493" s="2">
        <v>43473</v>
      </c>
      <c r="B493" s="3">
        <v>5.1455000000000002</v>
      </c>
    </row>
    <row r="494" spans="1:2" x14ac:dyDescent="0.4">
      <c r="A494" s="2">
        <v>43474</v>
      </c>
      <c r="B494" s="3">
        <v>5.1649000000000003</v>
      </c>
    </row>
    <row r="495" spans="1:2" x14ac:dyDescent="0.4">
      <c r="A495" s="2">
        <v>43475</v>
      </c>
      <c r="B495" s="3">
        <v>5.1592000000000002</v>
      </c>
    </row>
    <row r="496" spans="1:2" x14ac:dyDescent="0.4">
      <c r="A496" s="2">
        <v>43476</v>
      </c>
      <c r="B496" s="3">
        <v>5.1284000000000001</v>
      </c>
    </row>
    <row r="497" spans="1:2" x14ac:dyDescent="0.4">
      <c r="A497" s="2">
        <v>43479</v>
      </c>
      <c r="B497" s="3">
        <v>5.0918000000000001</v>
      </c>
    </row>
    <row r="498" spans="1:2" x14ac:dyDescent="0.4">
      <c r="A498" s="2">
        <v>43480</v>
      </c>
      <c r="B498" s="3">
        <v>5.0869</v>
      </c>
    </row>
    <row r="499" spans="1:2" x14ac:dyDescent="0.4">
      <c r="A499" s="2">
        <v>43481</v>
      </c>
      <c r="B499" s="3">
        <v>5.0971000000000002</v>
      </c>
    </row>
    <row r="500" spans="1:2" x14ac:dyDescent="0.4">
      <c r="A500" s="2">
        <v>43482</v>
      </c>
      <c r="B500" s="3">
        <v>5.0991999999999997</v>
      </c>
    </row>
    <row r="501" spans="1:2" x14ac:dyDescent="0.4">
      <c r="A501" s="2">
        <v>43483</v>
      </c>
      <c r="B501" s="3">
        <v>5.0953999999999997</v>
      </c>
    </row>
    <row r="502" spans="1:2" x14ac:dyDescent="0.4">
      <c r="A502" s="2">
        <v>43486</v>
      </c>
      <c r="B502" s="3">
        <v>5.1073000000000004</v>
      </c>
    </row>
    <row r="503" spans="1:2" x14ac:dyDescent="0.4">
      <c r="A503" s="2">
        <v>43487</v>
      </c>
      <c r="B503" s="3">
        <v>5.1032000000000002</v>
      </c>
    </row>
    <row r="504" spans="1:2" x14ac:dyDescent="0.4">
      <c r="A504" s="2">
        <v>43488</v>
      </c>
      <c r="B504" s="3">
        <v>5.0895000000000001</v>
      </c>
    </row>
    <row r="505" spans="1:2" x14ac:dyDescent="0.4">
      <c r="A505" s="2">
        <v>43489</v>
      </c>
      <c r="B505" s="3">
        <v>5.0819999999999999</v>
      </c>
    </row>
    <row r="506" spans="1:2" x14ac:dyDescent="0.4">
      <c r="A506" s="2">
        <v>43490</v>
      </c>
      <c r="B506" s="3">
        <v>5.0865999999999998</v>
      </c>
    </row>
    <row r="507" spans="1:2" x14ac:dyDescent="0.4">
      <c r="A507" s="2">
        <v>43493</v>
      </c>
      <c r="B507" s="3">
        <v>5.1054000000000004</v>
      </c>
    </row>
    <row r="508" spans="1:2" x14ac:dyDescent="0.4">
      <c r="A508" s="2">
        <v>43494</v>
      </c>
      <c r="B508" s="3">
        <v>5.0789999999999997</v>
      </c>
    </row>
    <row r="509" spans="1:2" x14ac:dyDescent="0.4">
      <c r="A509" s="2">
        <v>43495</v>
      </c>
      <c r="B509" s="3">
        <v>5.0743</v>
      </c>
    </row>
    <row r="510" spans="1:2" x14ac:dyDescent="0.4">
      <c r="A510" s="2">
        <v>43496</v>
      </c>
      <c r="B510" s="3">
        <v>5.0972</v>
      </c>
    </row>
    <row r="511" spans="1:2" x14ac:dyDescent="0.4">
      <c r="A511" s="2">
        <v>43497</v>
      </c>
      <c r="B511" s="3">
        <v>5.1093999999999999</v>
      </c>
    </row>
    <row r="512" spans="1:2" x14ac:dyDescent="0.4">
      <c r="A512" s="2">
        <v>43507</v>
      </c>
      <c r="B512" s="3">
        <v>5.0838999999999999</v>
      </c>
    </row>
    <row r="513" spans="1:2" x14ac:dyDescent="0.4">
      <c r="A513" s="2">
        <v>43508</v>
      </c>
      <c r="B513" s="3">
        <v>5.0946999999999996</v>
      </c>
    </row>
    <row r="514" spans="1:2" x14ac:dyDescent="0.4">
      <c r="A514" s="2">
        <v>43509</v>
      </c>
      <c r="B514" s="3">
        <v>5.1166999999999998</v>
      </c>
    </row>
    <row r="515" spans="1:2" x14ac:dyDescent="0.4">
      <c r="A515" s="2">
        <v>43510</v>
      </c>
      <c r="B515" s="3">
        <v>5.1086</v>
      </c>
    </row>
    <row r="516" spans="1:2" x14ac:dyDescent="0.4">
      <c r="A516" s="2">
        <v>43511</v>
      </c>
      <c r="B516" s="3">
        <v>5.0869</v>
      </c>
    </row>
    <row r="517" spans="1:2" x14ac:dyDescent="0.4">
      <c r="A517" s="2">
        <v>43514</v>
      </c>
      <c r="B517" s="3">
        <v>5.1082999999999998</v>
      </c>
    </row>
    <row r="518" spans="1:2" x14ac:dyDescent="0.4">
      <c r="A518" s="2">
        <v>43515</v>
      </c>
      <c r="B518" s="3">
        <v>5.1100000000000003</v>
      </c>
    </row>
    <row r="519" spans="1:2" x14ac:dyDescent="0.4">
      <c r="A519" s="2">
        <v>43516</v>
      </c>
      <c r="B519" s="3">
        <v>5.1146000000000003</v>
      </c>
    </row>
    <row r="520" spans="1:2" x14ac:dyDescent="0.4">
      <c r="A520" s="2">
        <v>43517</v>
      </c>
      <c r="B520" s="3">
        <v>5.1029999999999998</v>
      </c>
    </row>
    <row r="521" spans="1:2" x14ac:dyDescent="0.4">
      <c r="A521" s="2">
        <v>43518</v>
      </c>
      <c r="B521" s="3">
        <v>5.0744999999999996</v>
      </c>
    </row>
    <row r="522" spans="1:2" x14ac:dyDescent="0.4">
      <c r="A522" s="2">
        <v>43521</v>
      </c>
      <c r="B522" s="3">
        <v>5.1116999999999999</v>
      </c>
    </row>
    <row r="523" spans="1:2" x14ac:dyDescent="0.4">
      <c r="A523" s="2">
        <v>43522</v>
      </c>
      <c r="B523" s="3">
        <v>5.077</v>
      </c>
    </row>
    <row r="524" spans="1:2" x14ac:dyDescent="0.4">
      <c r="A524" s="2">
        <v>43523</v>
      </c>
      <c r="B524" s="3">
        <v>5.0781000000000001</v>
      </c>
    </row>
    <row r="525" spans="1:2" x14ac:dyDescent="0.4">
      <c r="A525" s="2">
        <v>43524</v>
      </c>
      <c r="B525" s="3">
        <v>5.0881999999999996</v>
      </c>
    </row>
    <row r="526" spans="1:2" x14ac:dyDescent="0.4">
      <c r="A526" s="2">
        <v>43525</v>
      </c>
      <c r="B526" s="3">
        <v>5.0853000000000002</v>
      </c>
    </row>
    <row r="527" spans="1:2" x14ac:dyDescent="0.4">
      <c r="A527" s="2">
        <v>43528</v>
      </c>
      <c r="B527" s="3">
        <v>5.0480999999999998</v>
      </c>
    </row>
    <row r="528" spans="1:2" x14ac:dyDescent="0.4">
      <c r="A528" s="2">
        <v>43529</v>
      </c>
      <c r="B528" s="3">
        <v>5.0332999999999997</v>
      </c>
    </row>
    <row r="529" spans="1:2" x14ac:dyDescent="0.4">
      <c r="A529" s="2">
        <v>43530</v>
      </c>
      <c r="B529" s="3">
        <v>5.0209999999999999</v>
      </c>
    </row>
    <row r="530" spans="1:2" x14ac:dyDescent="0.4">
      <c r="A530" s="2">
        <v>43531</v>
      </c>
      <c r="B530" s="3">
        <v>4.9927000000000001</v>
      </c>
    </row>
    <row r="531" spans="1:2" x14ac:dyDescent="0.4">
      <c r="A531" s="2">
        <v>43532</v>
      </c>
      <c r="B531" s="3">
        <v>5.0007999999999999</v>
      </c>
    </row>
    <row r="532" spans="1:2" x14ac:dyDescent="0.4">
      <c r="A532" s="2">
        <v>43535</v>
      </c>
      <c r="B532" s="3">
        <v>5.0084</v>
      </c>
    </row>
    <row r="533" spans="1:2" x14ac:dyDescent="0.4">
      <c r="A533" s="2">
        <v>43536</v>
      </c>
      <c r="B533" s="3">
        <v>5.0122999999999998</v>
      </c>
    </row>
    <row r="534" spans="1:2" x14ac:dyDescent="0.4">
      <c r="A534" s="2">
        <v>43537</v>
      </c>
      <c r="B534" s="3">
        <v>5.0248999999999997</v>
      </c>
    </row>
    <row r="535" spans="1:2" x14ac:dyDescent="0.4">
      <c r="A535" s="2">
        <v>43538</v>
      </c>
      <c r="B535" s="3">
        <v>5.0399000000000003</v>
      </c>
    </row>
    <row r="536" spans="1:2" x14ac:dyDescent="0.4">
      <c r="A536" s="2">
        <v>43539</v>
      </c>
      <c r="B536" s="3">
        <v>5.0407999999999999</v>
      </c>
    </row>
    <row r="537" spans="1:2" x14ac:dyDescent="0.4">
      <c r="A537" s="2">
        <v>43542</v>
      </c>
      <c r="B537" s="3">
        <v>5.0282999999999998</v>
      </c>
    </row>
    <row r="538" spans="1:2" x14ac:dyDescent="0.4">
      <c r="A538" s="2">
        <v>43543</v>
      </c>
      <c r="B538" s="3">
        <v>5.0269000000000004</v>
      </c>
    </row>
    <row r="539" spans="1:2" x14ac:dyDescent="0.4">
      <c r="A539" s="2">
        <v>43544</v>
      </c>
      <c r="B539" s="3">
        <v>5.0362999999999998</v>
      </c>
    </row>
    <row r="540" spans="1:2" x14ac:dyDescent="0.4">
      <c r="A540" s="2">
        <v>43545</v>
      </c>
      <c r="B540" s="3">
        <v>5.0273000000000003</v>
      </c>
    </row>
    <row r="541" spans="1:2" x14ac:dyDescent="0.4">
      <c r="A541" s="2">
        <v>43546</v>
      </c>
      <c r="B541" s="3">
        <v>5.0091000000000001</v>
      </c>
    </row>
    <row r="542" spans="1:2" x14ac:dyDescent="0.4">
      <c r="A542" s="2">
        <v>43549</v>
      </c>
      <c r="B542" s="3">
        <v>4.9969999999999999</v>
      </c>
    </row>
    <row r="543" spans="1:2" x14ac:dyDescent="0.4">
      <c r="A543" s="2">
        <v>43550</v>
      </c>
      <c r="B543" s="3">
        <v>5.0035999999999996</v>
      </c>
    </row>
    <row r="544" spans="1:2" x14ac:dyDescent="0.4">
      <c r="A544" s="2">
        <v>43551</v>
      </c>
      <c r="B544" s="3">
        <v>5.0183</v>
      </c>
    </row>
    <row r="545" spans="1:2" x14ac:dyDescent="0.4">
      <c r="A545" s="2">
        <v>43552</v>
      </c>
      <c r="B545" s="3">
        <v>5.0143000000000004</v>
      </c>
    </row>
    <row r="546" spans="1:2" x14ac:dyDescent="0.4">
      <c r="A546" s="2">
        <v>43553</v>
      </c>
      <c r="B546" s="3">
        <v>5.0126999999999997</v>
      </c>
    </row>
    <row r="547" spans="1:2" x14ac:dyDescent="0.4">
      <c r="A547" s="2">
        <v>43556</v>
      </c>
      <c r="B547" s="3">
        <v>5.0327000000000002</v>
      </c>
    </row>
    <row r="548" spans="1:2" x14ac:dyDescent="0.4">
      <c r="A548" s="2">
        <v>43557</v>
      </c>
      <c r="B548" s="3">
        <v>5.0449999999999999</v>
      </c>
    </row>
    <row r="549" spans="1:2" x14ac:dyDescent="0.4">
      <c r="A549" s="2">
        <v>43558</v>
      </c>
      <c r="B549" s="3">
        <v>5.0362999999999998</v>
      </c>
    </row>
    <row r="550" spans="1:2" x14ac:dyDescent="0.4">
      <c r="A550" s="2">
        <v>43559</v>
      </c>
      <c r="B550" s="3">
        <v>5.0262000000000002</v>
      </c>
    </row>
    <row r="551" spans="1:2" x14ac:dyDescent="0.4">
      <c r="A551" s="2">
        <v>43563</v>
      </c>
      <c r="B551" s="3">
        <v>5.0246000000000004</v>
      </c>
    </row>
    <row r="552" spans="1:2" x14ac:dyDescent="0.4">
      <c r="A552" s="2">
        <v>43564</v>
      </c>
      <c r="B552" s="3">
        <v>5.0438000000000001</v>
      </c>
    </row>
    <row r="553" spans="1:2" x14ac:dyDescent="0.4">
      <c r="A553" s="2">
        <v>43565</v>
      </c>
      <c r="B553" s="3">
        <v>5.0350000000000001</v>
      </c>
    </row>
    <row r="554" spans="1:2" x14ac:dyDescent="0.4">
      <c r="A554" s="2">
        <v>43566</v>
      </c>
      <c r="B554" s="3">
        <v>5.0354999999999999</v>
      </c>
    </row>
    <row r="555" spans="1:2" x14ac:dyDescent="0.4">
      <c r="A555" s="2">
        <v>43567</v>
      </c>
      <c r="B555" s="3">
        <v>5.0263999999999998</v>
      </c>
    </row>
    <row r="556" spans="1:2" x14ac:dyDescent="0.4">
      <c r="A556" s="2">
        <v>43570</v>
      </c>
      <c r="B556" s="3">
        <v>5.0343999999999998</v>
      </c>
    </row>
    <row r="557" spans="1:2" x14ac:dyDescent="0.4">
      <c r="A557" s="2">
        <v>43571</v>
      </c>
      <c r="B557" s="3">
        <v>5.0175999999999998</v>
      </c>
    </row>
    <row r="558" spans="1:2" x14ac:dyDescent="0.4">
      <c r="A558" s="2">
        <v>43572</v>
      </c>
      <c r="B558" s="3">
        <v>5.0236000000000001</v>
      </c>
    </row>
    <row r="559" spans="1:2" x14ac:dyDescent="0.4">
      <c r="A559" s="2">
        <v>43573</v>
      </c>
      <c r="B559" s="3">
        <v>5.0119999999999996</v>
      </c>
    </row>
    <row r="560" spans="1:2" x14ac:dyDescent="0.4">
      <c r="A560" s="2">
        <v>43574</v>
      </c>
      <c r="B560" s="3">
        <v>5.0111999999999997</v>
      </c>
    </row>
    <row r="561" spans="1:2" x14ac:dyDescent="0.4">
      <c r="A561" s="2">
        <v>43577</v>
      </c>
      <c r="B561" s="3">
        <v>5.0103999999999997</v>
      </c>
    </row>
    <row r="562" spans="1:2" x14ac:dyDescent="0.4">
      <c r="A562" s="2">
        <v>43578</v>
      </c>
      <c r="B562" s="3">
        <v>5.0266000000000002</v>
      </c>
    </row>
    <row r="563" spans="1:2" x14ac:dyDescent="0.4">
      <c r="A563" s="2">
        <v>43579</v>
      </c>
      <c r="B563" s="3">
        <v>5.0046999999999997</v>
      </c>
    </row>
    <row r="564" spans="1:2" x14ac:dyDescent="0.4">
      <c r="A564" s="2">
        <v>43580</v>
      </c>
      <c r="B564" s="3">
        <v>4.9871999999999996</v>
      </c>
    </row>
    <row r="565" spans="1:2" x14ac:dyDescent="0.4">
      <c r="A565" s="2">
        <v>43581</v>
      </c>
      <c r="B565" s="3">
        <v>4.9969999999999999</v>
      </c>
    </row>
    <row r="566" spans="1:2" x14ac:dyDescent="0.4">
      <c r="A566" s="2">
        <v>43584</v>
      </c>
      <c r="B566" s="3">
        <v>5.0011000000000001</v>
      </c>
    </row>
    <row r="567" spans="1:2" x14ac:dyDescent="0.4">
      <c r="A567" s="2">
        <v>43585</v>
      </c>
      <c r="B567" s="3">
        <v>5.0012999999999996</v>
      </c>
    </row>
    <row r="568" spans="1:2" x14ac:dyDescent="0.4">
      <c r="A568" s="2">
        <v>43591</v>
      </c>
      <c r="B568" s="3">
        <v>5.0019</v>
      </c>
    </row>
    <row r="569" spans="1:2" x14ac:dyDescent="0.4">
      <c r="A569" s="2">
        <v>43592</v>
      </c>
      <c r="B569" s="3">
        <v>5.0199999999999996</v>
      </c>
    </row>
    <row r="570" spans="1:2" x14ac:dyDescent="0.4">
      <c r="A570" s="2">
        <v>43593</v>
      </c>
      <c r="B570" s="3">
        <v>5.0179</v>
      </c>
    </row>
    <row r="571" spans="1:2" x14ac:dyDescent="0.4">
      <c r="A571" s="2">
        <v>43594</v>
      </c>
      <c r="B571" s="3">
        <v>5.0231000000000003</v>
      </c>
    </row>
    <row r="572" spans="1:2" x14ac:dyDescent="0.4">
      <c r="A572" s="2">
        <v>43595</v>
      </c>
      <c r="B572" s="3">
        <v>5.0437000000000003</v>
      </c>
    </row>
    <row r="573" spans="1:2" x14ac:dyDescent="0.4">
      <c r="A573" s="2">
        <v>43598</v>
      </c>
      <c r="B573" s="3">
        <v>5.0583</v>
      </c>
    </row>
    <row r="574" spans="1:2" x14ac:dyDescent="0.4">
      <c r="A574" s="2">
        <v>43599</v>
      </c>
      <c r="B574" s="3">
        <v>5.0721999999999996</v>
      </c>
    </row>
    <row r="575" spans="1:2" x14ac:dyDescent="0.4">
      <c r="A575" s="2">
        <v>43600</v>
      </c>
      <c r="B575" s="3">
        <v>5.1005000000000003</v>
      </c>
    </row>
    <row r="576" spans="1:2" x14ac:dyDescent="0.4">
      <c r="A576" s="2">
        <v>43601</v>
      </c>
      <c r="B576" s="3">
        <v>5.1109</v>
      </c>
    </row>
    <row r="577" spans="1:2" x14ac:dyDescent="0.4">
      <c r="A577" s="2">
        <v>43602</v>
      </c>
      <c r="B577" s="3">
        <v>5.1154000000000002</v>
      </c>
    </row>
    <row r="578" spans="1:2" x14ac:dyDescent="0.4">
      <c r="A578" s="2">
        <v>43605</v>
      </c>
      <c r="B578" s="3">
        <v>5.1351000000000004</v>
      </c>
    </row>
    <row r="579" spans="1:2" x14ac:dyDescent="0.4">
      <c r="A579" s="2">
        <v>43606</v>
      </c>
      <c r="B579" s="3">
        <v>5.1429999999999998</v>
      </c>
    </row>
    <row r="580" spans="1:2" x14ac:dyDescent="0.4">
      <c r="A580" s="2">
        <v>43607</v>
      </c>
      <c r="B580" s="3">
        <v>5.1555999999999997</v>
      </c>
    </row>
    <row r="581" spans="1:2" x14ac:dyDescent="0.4">
      <c r="A581" s="2">
        <v>43608</v>
      </c>
      <c r="B581" s="3">
        <v>5.1379999999999999</v>
      </c>
    </row>
    <row r="582" spans="1:2" x14ac:dyDescent="0.4">
      <c r="A582" s="2">
        <v>43609</v>
      </c>
      <c r="B582" s="3">
        <v>5.1200999999999999</v>
      </c>
    </row>
    <row r="583" spans="1:2" x14ac:dyDescent="0.4">
      <c r="A583" s="2">
        <v>43612</v>
      </c>
      <c r="B583" s="3">
        <v>5.1306000000000003</v>
      </c>
    </row>
    <row r="584" spans="1:2" x14ac:dyDescent="0.4">
      <c r="A584" s="2">
        <v>43613</v>
      </c>
      <c r="B584" s="3">
        <v>5.1319999999999997</v>
      </c>
    </row>
    <row r="585" spans="1:2" x14ac:dyDescent="0.4">
      <c r="A585" s="2">
        <v>43614</v>
      </c>
      <c r="B585" s="3">
        <v>5.1223999999999998</v>
      </c>
    </row>
    <row r="586" spans="1:2" x14ac:dyDescent="0.4">
      <c r="A586" s="2">
        <v>43615</v>
      </c>
      <c r="B586" s="3">
        <v>5.1135000000000002</v>
      </c>
    </row>
    <row r="587" spans="1:2" x14ac:dyDescent="0.4">
      <c r="A587" s="2">
        <v>43616</v>
      </c>
      <c r="B587" s="3">
        <v>5.1136999999999997</v>
      </c>
    </row>
    <row r="588" spans="1:2" x14ac:dyDescent="0.4">
      <c r="A588" s="2">
        <v>43619</v>
      </c>
      <c r="B588" s="3">
        <v>5.0957999999999997</v>
      </c>
    </row>
    <row r="589" spans="1:2" x14ac:dyDescent="0.4">
      <c r="A589" s="2">
        <v>43620</v>
      </c>
      <c r="B589" s="3">
        <v>5.1199000000000003</v>
      </c>
    </row>
    <row r="590" spans="1:2" x14ac:dyDescent="0.4">
      <c r="A590" s="2">
        <v>43621</v>
      </c>
      <c r="B590" s="3">
        <v>5.1490999999999998</v>
      </c>
    </row>
    <row r="591" spans="1:2" x14ac:dyDescent="0.4">
      <c r="A591" s="2">
        <v>43622</v>
      </c>
      <c r="B591" s="3">
        <v>5.1448</v>
      </c>
    </row>
    <row r="592" spans="1:2" x14ac:dyDescent="0.4">
      <c r="A592" s="2">
        <v>43626</v>
      </c>
      <c r="B592" s="3">
        <v>5.194</v>
      </c>
    </row>
    <row r="593" spans="1:2" x14ac:dyDescent="0.4">
      <c r="A593" s="2">
        <v>43627</v>
      </c>
      <c r="B593" s="3">
        <v>5.2102000000000004</v>
      </c>
    </row>
    <row r="594" spans="1:2" x14ac:dyDescent="0.4">
      <c r="A594" s="2">
        <v>43628</v>
      </c>
      <c r="B594" s="3">
        <v>5.1943999999999999</v>
      </c>
    </row>
    <row r="595" spans="1:2" x14ac:dyDescent="0.4">
      <c r="A595" s="2">
        <v>43629</v>
      </c>
      <c r="B595" s="3">
        <v>5.1839000000000004</v>
      </c>
    </row>
    <row r="596" spans="1:2" x14ac:dyDescent="0.4">
      <c r="A596" s="2">
        <v>43630</v>
      </c>
      <c r="B596" s="3">
        <v>5.1840999999999999</v>
      </c>
    </row>
    <row r="597" spans="1:2" x14ac:dyDescent="0.4">
      <c r="A597" s="2">
        <v>43633</v>
      </c>
      <c r="B597" s="3">
        <v>5.1593</v>
      </c>
    </row>
    <row r="598" spans="1:2" x14ac:dyDescent="0.4">
      <c r="A598" s="2">
        <v>43634</v>
      </c>
      <c r="B598" s="3">
        <v>5.1532999999999998</v>
      </c>
    </row>
    <row r="599" spans="1:2" x14ac:dyDescent="0.4">
      <c r="A599" s="2">
        <v>43635</v>
      </c>
      <c r="B599" s="3">
        <v>5.1638999999999999</v>
      </c>
    </row>
    <row r="600" spans="1:2" x14ac:dyDescent="0.4">
      <c r="A600" s="2">
        <v>43636</v>
      </c>
      <c r="B600" s="3">
        <v>5.1858000000000004</v>
      </c>
    </row>
    <row r="601" spans="1:2" x14ac:dyDescent="0.4">
      <c r="A601" s="2">
        <v>43637</v>
      </c>
      <c r="B601" s="3">
        <v>5.1929999999999996</v>
      </c>
    </row>
    <row r="602" spans="1:2" x14ac:dyDescent="0.4">
      <c r="A602" s="2">
        <v>43640</v>
      </c>
      <c r="B602" s="3">
        <v>5.1868999999999996</v>
      </c>
    </row>
    <row r="603" spans="1:2" x14ac:dyDescent="0.4">
      <c r="A603" s="2">
        <v>43641</v>
      </c>
      <c r="B603" s="3">
        <v>5.2037000000000004</v>
      </c>
    </row>
    <row r="604" spans="1:2" x14ac:dyDescent="0.4">
      <c r="A604" s="2">
        <v>43642</v>
      </c>
      <c r="B604" s="3">
        <v>5.2164999999999999</v>
      </c>
    </row>
    <row r="605" spans="1:2" x14ac:dyDescent="0.4">
      <c r="A605" s="2">
        <v>43643</v>
      </c>
      <c r="B605" s="3">
        <v>5.2404000000000002</v>
      </c>
    </row>
    <row r="606" spans="1:2" x14ac:dyDescent="0.4">
      <c r="A606" s="2">
        <v>43644</v>
      </c>
      <c r="B606" s="3">
        <v>5.2489999999999997</v>
      </c>
    </row>
    <row r="607" spans="1:2" x14ac:dyDescent="0.4">
      <c r="A607" s="2">
        <v>43647</v>
      </c>
      <c r="B607" s="3">
        <v>5.2511000000000001</v>
      </c>
    </row>
    <row r="608" spans="1:2" x14ac:dyDescent="0.4">
      <c r="A608" s="2">
        <v>43648</v>
      </c>
      <c r="B608" s="3">
        <v>5.2168999999999999</v>
      </c>
    </row>
    <row r="609" spans="1:2" x14ac:dyDescent="0.4">
      <c r="A609" s="2">
        <v>43649</v>
      </c>
      <c r="B609" s="3">
        <v>5.2389999999999999</v>
      </c>
    </row>
    <row r="610" spans="1:2" x14ac:dyDescent="0.4">
      <c r="A610" s="2">
        <v>43650</v>
      </c>
      <c r="B610" s="3">
        <v>5.2615999999999996</v>
      </c>
    </row>
    <row r="611" spans="1:2" x14ac:dyDescent="0.4">
      <c r="A611" s="2">
        <v>43651</v>
      </c>
      <c r="B611" s="3">
        <v>5.2648000000000001</v>
      </c>
    </row>
    <row r="612" spans="1:2" x14ac:dyDescent="0.4">
      <c r="A612" s="2">
        <v>43654</v>
      </c>
      <c r="B612" s="3">
        <v>5.2691999999999997</v>
      </c>
    </row>
    <row r="613" spans="1:2" x14ac:dyDescent="0.4">
      <c r="A613" s="2">
        <v>43655</v>
      </c>
      <c r="B613" s="3">
        <v>5.2556000000000003</v>
      </c>
    </row>
    <row r="614" spans="1:2" x14ac:dyDescent="0.4">
      <c r="A614" s="2">
        <v>43656</v>
      </c>
      <c r="B614" s="3">
        <v>5.2454999999999998</v>
      </c>
    </row>
    <row r="615" spans="1:2" x14ac:dyDescent="0.4">
      <c r="A615" s="2">
        <v>43657</v>
      </c>
      <c r="B615" s="3">
        <v>5.2522000000000002</v>
      </c>
    </row>
    <row r="616" spans="1:2" x14ac:dyDescent="0.4">
      <c r="A616" s="2">
        <v>43658</v>
      </c>
      <c r="B616" s="3">
        <v>5.2561999999999998</v>
      </c>
    </row>
    <row r="617" spans="1:2" x14ac:dyDescent="0.4">
      <c r="A617" s="2">
        <v>43661</v>
      </c>
      <c r="B617" s="3">
        <v>5.2690999999999999</v>
      </c>
    </row>
    <row r="618" spans="1:2" x14ac:dyDescent="0.4">
      <c r="A618" s="2">
        <v>43662</v>
      </c>
      <c r="B618" s="3">
        <v>5.2668999999999997</v>
      </c>
    </row>
    <row r="619" spans="1:2" x14ac:dyDescent="0.4">
      <c r="A619" s="2">
        <v>43663</v>
      </c>
      <c r="B619" s="3">
        <v>5.2601000000000004</v>
      </c>
    </row>
    <row r="620" spans="1:2" x14ac:dyDescent="0.4">
      <c r="A620" s="2">
        <v>43664</v>
      </c>
      <c r="B620" s="3">
        <v>5.2664999999999997</v>
      </c>
    </row>
    <row r="621" spans="1:2" x14ac:dyDescent="0.4">
      <c r="A621" s="2">
        <v>43665</v>
      </c>
      <c r="B621" s="3">
        <v>5.2643000000000004</v>
      </c>
    </row>
    <row r="622" spans="1:2" x14ac:dyDescent="0.4">
      <c r="A622" s="2">
        <v>43668</v>
      </c>
      <c r="B622" s="3">
        <v>5.2675000000000001</v>
      </c>
    </row>
    <row r="623" spans="1:2" x14ac:dyDescent="0.4">
      <c r="A623" s="2">
        <v>43669</v>
      </c>
      <c r="B623" s="3">
        <v>5.2439</v>
      </c>
    </row>
    <row r="624" spans="1:2" x14ac:dyDescent="0.4">
      <c r="A624" s="2">
        <v>43670</v>
      </c>
      <c r="B624" s="3">
        <v>5.2417999999999996</v>
      </c>
    </row>
    <row r="625" spans="1:2" x14ac:dyDescent="0.4">
      <c r="A625" s="2">
        <v>43671</v>
      </c>
      <c r="B625" s="3">
        <v>5.2305000000000001</v>
      </c>
    </row>
    <row r="626" spans="1:2" x14ac:dyDescent="0.4">
      <c r="A626" s="2">
        <v>43672</v>
      </c>
      <c r="B626" s="3">
        <v>5.2282000000000002</v>
      </c>
    </row>
    <row r="627" spans="1:2" x14ac:dyDescent="0.4">
      <c r="A627" s="2">
        <v>43675</v>
      </c>
      <c r="B627" s="3">
        <v>5.2262000000000004</v>
      </c>
    </row>
    <row r="628" spans="1:2" x14ac:dyDescent="0.4">
      <c r="A628" s="2">
        <v>43676</v>
      </c>
      <c r="B628" s="3">
        <v>5.2328000000000001</v>
      </c>
    </row>
    <row r="629" spans="1:2" x14ac:dyDescent="0.4">
      <c r="A629" s="2">
        <v>43677</v>
      </c>
      <c r="B629" s="3">
        <v>5.2350000000000003</v>
      </c>
    </row>
    <row r="630" spans="1:2" x14ac:dyDescent="0.4">
      <c r="A630" s="2">
        <v>43678</v>
      </c>
      <c r="B630" s="3">
        <v>5.2290999999999999</v>
      </c>
    </row>
    <row r="631" spans="1:2" x14ac:dyDescent="0.4">
      <c r="A631" s="2">
        <v>43679</v>
      </c>
      <c r="B631" s="3">
        <v>5.2153999999999998</v>
      </c>
    </row>
    <row r="632" spans="1:2" x14ac:dyDescent="0.4">
      <c r="A632" s="2">
        <v>43682</v>
      </c>
      <c r="B632" s="3">
        <v>5.2403000000000004</v>
      </c>
    </row>
    <row r="633" spans="1:2" x14ac:dyDescent="0.4">
      <c r="A633" s="2">
        <v>43683</v>
      </c>
      <c r="B633" s="3">
        <v>5.2728000000000002</v>
      </c>
    </row>
    <row r="634" spans="1:2" x14ac:dyDescent="0.4">
      <c r="A634" s="2">
        <v>43684</v>
      </c>
      <c r="B634" s="3">
        <v>5.2723000000000004</v>
      </c>
    </row>
    <row r="635" spans="1:2" x14ac:dyDescent="0.4">
      <c r="A635" s="2">
        <v>43685</v>
      </c>
      <c r="B635" s="3">
        <v>5.2760999999999996</v>
      </c>
    </row>
    <row r="636" spans="1:2" x14ac:dyDescent="0.4">
      <c r="A636" s="2">
        <v>43686</v>
      </c>
      <c r="B636" s="3">
        <v>5.3056999999999999</v>
      </c>
    </row>
    <row r="637" spans="1:2" x14ac:dyDescent="0.4">
      <c r="A637" s="2">
        <v>43689</v>
      </c>
      <c r="B637" s="3">
        <v>5.32</v>
      </c>
    </row>
    <row r="638" spans="1:2" x14ac:dyDescent="0.4">
      <c r="A638" s="2">
        <v>43690</v>
      </c>
      <c r="B638" s="3">
        <v>5.3196000000000003</v>
      </c>
    </row>
    <row r="639" spans="1:2" x14ac:dyDescent="0.4">
      <c r="A639" s="2">
        <v>43691</v>
      </c>
      <c r="B639" s="3">
        <v>5.3371000000000004</v>
      </c>
    </row>
    <row r="640" spans="1:2" x14ac:dyDescent="0.4">
      <c r="A640" s="2">
        <v>43692</v>
      </c>
      <c r="B640" s="3">
        <v>5.2762000000000002</v>
      </c>
    </row>
    <row r="641" spans="1:2" x14ac:dyDescent="0.4">
      <c r="A641" s="2">
        <v>43693</v>
      </c>
      <c r="B641" s="3">
        <v>5.2805</v>
      </c>
    </row>
    <row r="642" spans="1:2" x14ac:dyDescent="0.4">
      <c r="A642" s="2">
        <v>43696</v>
      </c>
      <c r="B642" s="3">
        <v>5.3053999999999997</v>
      </c>
    </row>
    <row r="643" spans="1:2" x14ac:dyDescent="0.4">
      <c r="A643" s="2">
        <v>43697</v>
      </c>
      <c r="B643" s="3">
        <v>5.2876000000000003</v>
      </c>
    </row>
    <row r="644" spans="1:2" x14ac:dyDescent="0.4">
      <c r="A644" s="2">
        <v>43698</v>
      </c>
      <c r="B644" s="3">
        <v>5.29</v>
      </c>
    </row>
    <row r="645" spans="1:2" x14ac:dyDescent="0.4">
      <c r="A645" s="2">
        <v>43699</v>
      </c>
      <c r="B645" s="3">
        <v>5.3074000000000003</v>
      </c>
    </row>
    <row r="646" spans="1:2" x14ac:dyDescent="0.4">
      <c r="A646" s="2">
        <v>43700</v>
      </c>
      <c r="B646" s="3">
        <v>5.3160999999999996</v>
      </c>
    </row>
    <row r="647" spans="1:2" x14ac:dyDescent="0.4">
      <c r="A647" s="2">
        <v>43703</v>
      </c>
      <c r="B647" s="3">
        <v>5.3007999999999997</v>
      </c>
    </row>
    <row r="648" spans="1:2" x14ac:dyDescent="0.4">
      <c r="A648" s="2">
        <v>43704</v>
      </c>
      <c r="B648" s="3">
        <v>5.3655999999999997</v>
      </c>
    </row>
    <row r="649" spans="1:2" x14ac:dyDescent="0.4">
      <c r="A649" s="2">
        <v>43705</v>
      </c>
      <c r="B649" s="3">
        <v>5.3601999999999999</v>
      </c>
    </row>
    <row r="650" spans="1:2" x14ac:dyDescent="0.4">
      <c r="A650" s="2">
        <v>43706</v>
      </c>
      <c r="B650" s="3">
        <v>5.3563999999999998</v>
      </c>
    </row>
    <row r="651" spans="1:2" x14ac:dyDescent="0.4">
      <c r="A651" s="2">
        <v>43707</v>
      </c>
      <c r="B651" s="3">
        <v>5.3615000000000004</v>
      </c>
    </row>
    <row r="652" spans="1:2" x14ac:dyDescent="0.4">
      <c r="A652" s="2">
        <v>43710</v>
      </c>
      <c r="B652" s="3">
        <v>5.3456999999999999</v>
      </c>
    </row>
    <row r="653" spans="1:2" x14ac:dyDescent="0.4">
      <c r="A653" s="2">
        <v>43711</v>
      </c>
      <c r="B653" s="3">
        <v>5.3506</v>
      </c>
    </row>
    <row r="654" spans="1:2" x14ac:dyDescent="0.4">
      <c r="A654" s="2">
        <v>43712</v>
      </c>
      <c r="B654" s="3">
        <v>5.3409000000000004</v>
      </c>
    </row>
    <row r="655" spans="1:2" x14ac:dyDescent="0.4">
      <c r="A655" s="2">
        <v>43713</v>
      </c>
      <c r="B655" s="3">
        <v>5.3701999999999996</v>
      </c>
    </row>
    <row r="656" spans="1:2" x14ac:dyDescent="0.4">
      <c r="A656" s="2">
        <v>43714</v>
      </c>
      <c r="B656" s="3">
        <v>5.3789999999999996</v>
      </c>
    </row>
    <row r="657" spans="1:2" x14ac:dyDescent="0.4">
      <c r="A657" s="2">
        <v>43717</v>
      </c>
      <c r="B657" s="3">
        <v>5.3922999999999996</v>
      </c>
    </row>
    <row r="658" spans="1:2" x14ac:dyDescent="0.4">
      <c r="A658" s="2">
        <v>43718</v>
      </c>
      <c r="B658" s="3">
        <v>5.3933999999999997</v>
      </c>
    </row>
    <row r="659" spans="1:2" x14ac:dyDescent="0.4">
      <c r="A659" s="2">
        <v>43719</v>
      </c>
      <c r="B659" s="3">
        <v>5.3966000000000003</v>
      </c>
    </row>
    <row r="660" spans="1:2" x14ac:dyDescent="0.4">
      <c r="A660" s="2">
        <v>43720</v>
      </c>
      <c r="B660" s="3">
        <v>5.3855000000000004</v>
      </c>
    </row>
    <row r="661" spans="1:2" x14ac:dyDescent="0.4">
      <c r="A661" s="2">
        <v>43724</v>
      </c>
      <c r="B661" s="3">
        <v>5.3464</v>
      </c>
    </row>
    <row r="662" spans="1:2" x14ac:dyDescent="0.4">
      <c r="A662" s="2">
        <v>43725</v>
      </c>
      <c r="B662" s="3">
        <v>5.3419999999999996</v>
      </c>
    </row>
    <row r="663" spans="1:2" x14ac:dyDescent="0.4">
      <c r="A663" s="2">
        <v>43726</v>
      </c>
      <c r="B663" s="3">
        <v>5.3415999999999997</v>
      </c>
    </row>
    <row r="664" spans="1:2" x14ac:dyDescent="0.4">
      <c r="A664" s="2">
        <v>43727</v>
      </c>
      <c r="B664" s="3">
        <v>5.3296999999999999</v>
      </c>
    </row>
    <row r="665" spans="1:2" x14ac:dyDescent="0.4">
      <c r="A665" s="2">
        <v>43728</v>
      </c>
      <c r="B665" s="3">
        <v>5.3428000000000004</v>
      </c>
    </row>
    <row r="666" spans="1:2" x14ac:dyDescent="0.4">
      <c r="A666" s="2">
        <v>43731</v>
      </c>
      <c r="B666" s="3">
        <v>5.3383000000000003</v>
      </c>
    </row>
    <row r="667" spans="1:2" x14ac:dyDescent="0.4">
      <c r="A667" s="2">
        <v>43732</v>
      </c>
      <c r="B667" s="3">
        <v>5.3547000000000002</v>
      </c>
    </row>
    <row r="668" spans="1:2" x14ac:dyDescent="0.4">
      <c r="A668" s="2">
        <v>43733</v>
      </c>
      <c r="B668" s="3">
        <v>5.3476999999999997</v>
      </c>
    </row>
    <row r="669" spans="1:2" x14ac:dyDescent="0.4">
      <c r="A669" s="2">
        <v>43734</v>
      </c>
      <c r="B669" s="3">
        <v>5.3620999999999999</v>
      </c>
    </row>
    <row r="670" spans="1:2" x14ac:dyDescent="0.4">
      <c r="A670" s="2">
        <v>43735</v>
      </c>
      <c r="B670" s="3">
        <v>5.3543000000000003</v>
      </c>
    </row>
    <row r="671" spans="1:2" x14ac:dyDescent="0.4">
      <c r="A671" s="2">
        <v>43738</v>
      </c>
      <c r="B671" s="3">
        <v>5.3586</v>
      </c>
    </row>
    <row r="672" spans="1:2" x14ac:dyDescent="0.4">
      <c r="A672" s="2">
        <v>43746</v>
      </c>
      <c r="B672" s="3">
        <v>5.3341000000000003</v>
      </c>
    </row>
    <row r="673" spans="1:2" x14ac:dyDescent="0.4">
      <c r="A673" s="2">
        <v>43747</v>
      </c>
      <c r="B673" s="3">
        <v>5.3303000000000003</v>
      </c>
    </row>
    <row r="674" spans="1:2" x14ac:dyDescent="0.4">
      <c r="A674" s="2">
        <v>43748</v>
      </c>
      <c r="B674" s="3">
        <v>5.3224999999999998</v>
      </c>
    </row>
    <row r="675" spans="1:2" x14ac:dyDescent="0.4">
      <c r="A675" s="2">
        <v>43749</v>
      </c>
      <c r="B675" s="3">
        <v>5.3339999999999996</v>
      </c>
    </row>
    <row r="676" spans="1:2" x14ac:dyDescent="0.4">
      <c r="A676" s="2">
        <v>43752</v>
      </c>
      <c r="B676" s="3">
        <v>5.3605999999999998</v>
      </c>
    </row>
    <row r="677" spans="1:2" x14ac:dyDescent="0.4">
      <c r="A677" s="2">
        <v>43753</v>
      </c>
      <c r="B677" s="3">
        <v>5.3414999999999999</v>
      </c>
    </row>
    <row r="678" spans="1:2" x14ac:dyDescent="0.4">
      <c r="A678" s="2">
        <v>43754</v>
      </c>
      <c r="B678" s="3">
        <v>5.3586999999999998</v>
      </c>
    </row>
    <row r="679" spans="1:2" x14ac:dyDescent="0.4">
      <c r="A679" s="2">
        <v>43755</v>
      </c>
      <c r="B679" s="3">
        <v>5.3621999999999996</v>
      </c>
    </row>
    <row r="680" spans="1:2" x14ac:dyDescent="0.4">
      <c r="A680" s="2">
        <v>43756</v>
      </c>
      <c r="B680" s="3">
        <v>5.3803000000000001</v>
      </c>
    </row>
    <row r="681" spans="1:2" x14ac:dyDescent="0.4">
      <c r="A681" s="2">
        <v>43759</v>
      </c>
      <c r="B681" s="3">
        <v>5.3815999999999997</v>
      </c>
    </row>
    <row r="682" spans="1:2" x14ac:dyDescent="0.4">
      <c r="A682" s="2">
        <v>43760</v>
      </c>
      <c r="B682" s="3">
        <v>5.4006999999999996</v>
      </c>
    </row>
    <row r="683" spans="1:2" x14ac:dyDescent="0.4">
      <c r="A683" s="2">
        <v>43761</v>
      </c>
      <c r="B683" s="3">
        <v>5.4039000000000001</v>
      </c>
    </row>
    <row r="684" spans="1:2" x14ac:dyDescent="0.4">
      <c r="A684" s="2">
        <v>43762</v>
      </c>
      <c r="B684" s="3">
        <v>5.4100999999999999</v>
      </c>
    </row>
    <row r="685" spans="1:2" x14ac:dyDescent="0.4">
      <c r="A685" s="2">
        <v>43763</v>
      </c>
      <c r="B685" s="3">
        <v>5.4130000000000003</v>
      </c>
    </row>
    <row r="686" spans="1:2" x14ac:dyDescent="0.4">
      <c r="A686" s="2">
        <v>43766</v>
      </c>
      <c r="B686" s="3">
        <v>5.4175000000000004</v>
      </c>
    </row>
    <row r="687" spans="1:2" x14ac:dyDescent="0.4">
      <c r="A687" s="2">
        <v>43767</v>
      </c>
      <c r="B687" s="3">
        <v>5.4084000000000003</v>
      </c>
    </row>
    <row r="688" spans="1:2" x14ac:dyDescent="0.4">
      <c r="A688" s="2">
        <v>43768</v>
      </c>
      <c r="B688" s="3">
        <v>5.3922999999999996</v>
      </c>
    </row>
    <row r="689" spans="1:2" x14ac:dyDescent="0.4">
      <c r="A689" s="2">
        <v>43769</v>
      </c>
      <c r="B689" s="3">
        <v>5.3586999999999998</v>
      </c>
    </row>
    <row r="690" spans="1:2" x14ac:dyDescent="0.4">
      <c r="A690" s="2">
        <v>43770</v>
      </c>
      <c r="B690" s="3">
        <v>5.3438999999999997</v>
      </c>
    </row>
    <row r="691" spans="1:2" x14ac:dyDescent="0.4">
      <c r="A691" s="2">
        <v>43773</v>
      </c>
      <c r="B691" s="3">
        <v>5.3533999999999997</v>
      </c>
    </row>
    <row r="692" spans="1:2" x14ac:dyDescent="0.4">
      <c r="A692" s="2">
        <v>43774</v>
      </c>
      <c r="B692" s="3">
        <v>5.3517999999999999</v>
      </c>
    </row>
    <row r="693" spans="1:2" x14ac:dyDescent="0.4">
      <c r="A693" s="2">
        <v>43775</v>
      </c>
      <c r="B693" s="3">
        <v>5.3288000000000002</v>
      </c>
    </row>
    <row r="694" spans="1:2" x14ac:dyDescent="0.4">
      <c r="A694" s="2">
        <v>43776</v>
      </c>
      <c r="B694" s="3">
        <v>5.3101000000000003</v>
      </c>
    </row>
    <row r="695" spans="1:2" x14ac:dyDescent="0.4">
      <c r="A695" s="2">
        <v>43777</v>
      </c>
      <c r="B695" s="3">
        <v>5.3085000000000004</v>
      </c>
    </row>
    <row r="696" spans="1:2" x14ac:dyDescent="0.4">
      <c r="A696" s="2">
        <v>43780</v>
      </c>
      <c r="B696" s="3">
        <v>5.2876000000000003</v>
      </c>
    </row>
    <row r="697" spans="1:2" x14ac:dyDescent="0.4">
      <c r="A697" s="2">
        <v>43781</v>
      </c>
      <c r="B697" s="3">
        <v>5.2872000000000003</v>
      </c>
    </row>
    <row r="698" spans="1:2" x14ac:dyDescent="0.4">
      <c r="A698" s="2">
        <v>43782</v>
      </c>
      <c r="B698" s="3">
        <v>5.2914000000000003</v>
      </c>
    </row>
    <row r="699" spans="1:2" x14ac:dyDescent="0.4">
      <c r="A699" s="2">
        <v>43783</v>
      </c>
      <c r="B699" s="3">
        <v>5.2884000000000002</v>
      </c>
    </row>
    <row r="700" spans="1:2" x14ac:dyDescent="0.4">
      <c r="A700" s="2">
        <v>43784</v>
      </c>
      <c r="B700" s="3">
        <v>5.2908999999999997</v>
      </c>
    </row>
    <row r="701" spans="1:2" x14ac:dyDescent="0.4">
      <c r="A701" s="2">
        <v>43787</v>
      </c>
      <c r="B701" s="3">
        <v>5.2968999999999999</v>
      </c>
    </row>
    <row r="702" spans="1:2" x14ac:dyDescent="0.4">
      <c r="A702" s="2">
        <v>43788</v>
      </c>
      <c r="B702" s="3">
        <v>5.3047000000000004</v>
      </c>
    </row>
    <row r="703" spans="1:2" x14ac:dyDescent="0.4">
      <c r="A703" s="2">
        <v>43789</v>
      </c>
      <c r="B703" s="3">
        <v>5.2839</v>
      </c>
    </row>
    <row r="704" spans="1:2" x14ac:dyDescent="0.4">
      <c r="A704" s="2">
        <v>43790</v>
      </c>
      <c r="B704" s="3">
        <v>5.2788000000000004</v>
      </c>
    </row>
    <row r="705" spans="1:2" x14ac:dyDescent="0.4">
      <c r="A705" s="2">
        <v>43791</v>
      </c>
      <c r="B705" s="3">
        <v>5.2957000000000001</v>
      </c>
    </row>
    <row r="706" spans="1:2" x14ac:dyDescent="0.4">
      <c r="A706" s="2">
        <v>43794</v>
      </c>
      <c r="B706" s="3">
        <v>5.2957000000000001</v>
      </c>
    </row>
    <row r="707" spans="1:2" x14ac:dyDescent="0.4">
      <c r="A707" s="2">
        <v>43795</v>
      </c>
      <c r="B707" s="3">
        <v>5.2896000000000001</v>
      </c>
    </row>
    <row r="708" spans="1:2" x14ac:dyDescent="0.4">
      <c r="A708" s="2">
        <v>43796</v>
      </c>
      <c r="B708" s="3">
        <v>5.3005000000000004</v>
      </c>
    </row>
    <row r="709" spans="1:2" x14ac:dyDescent="0.4">
      <c r="A709" s="2">
        <v>43797</v>
      </c>
      <c r="B709" s="3">
        <v>5.2887000000000004</v>
      </c>
    </row>
    <row r="710" spans="1:2" x14ac:dyDescent="0.4">
      <c r="A710" s="2">
        <v>43798</v>
      </c>
      <c r="B710" s="3">
        <v>5.2933000000000003</v>
      </c>
    </row>
    <row r="711" spans="1:2" x14ac:dyDescent="0.4">
      <c r="A711" s="2">
        <v>43801</v>
      </c>
      <c r="B711" s="3">
        <v>5.2881</v>
      </c>
    </row>
    <row r="712" spans="1:2" x14ac:dyDescent="0.4">
      <c r="A712" s="2">
        <v>43802</v>
      </c>
      <c r="B712" s="3">
        <v>5.2771999999999997</v>
      </c>
    </row>
    <row r="713" spans="1:2" x14ac:dyDescent="0.4">
      <c r="A713" s="2">
        <v>43803</v>
      </c>
      <c r="B713" s="3">
        <v>5.2884000000000002</v>
      </c>
    </row>
    <row r="714" spans="1:2" x14ac:dyDescent="0.4">
      <c r="A714" s="2">
        <v>43804</v>
      </c>
      <c r="B714" s="3">
        <v>5.3448000000000002</v>
      </c>
    </row>
    <row r="715" spans="1:2" x14ac:dyDescent="0.4">
      <c r="A715" s="2">
        <v>43805</v>
      </c>
      <c r="B715" s="3">
        <v>5.3402000000000003</v>
      </c>
    </row>
    <row r="716" spans="1:2" x14ac:dyDescent="0.4">
      <c r="A716" s="2">
        <v>43808</v>
      </c>
      <c r="B716" s="3">
        <v>5.3108000000000004</v>
      </c>
    </row>
    <row r="717" spans="1:2" x14ac:dyDescent="0.4">
      <c r="A717" s="2">
        <v>43809</v>
      </c>
      <c r="B717" s="3">
        <v>5.3179999999999996</v>
      </c>
    </row>
    <row r="718" spans="1:2" x14ac:dyDescent="0.4">
      <c r="A718" s="2">
        <v>43810</v>
      </c>
      <c r="B718" s="3">
        <v>5.3185000000000002</v>
      </c>
    </row>
    <row r="719" spans="1:2" x14ac:dyDescent="0.4">
      <c r="A719" s="2">
        <v>43811</v>
      </c>
      <c r="B719" s="3">
        <v>5.3326000000000002</v>
      </c>
    </row>
    <row r="720" spans="1:2" x14ac:dyDescent="0.4">
      <c r="A720" s="2">
        <v>43812</v>
      </c>
      <c r="B720" s="3">
        <v>5.3329000000000004</v>
      </c>
    </row>
    <row r="721" spans="1:2" x14ac:dyDescent="0.4">
      <c r="A721" s="2">
        <v>43815</v>
      </c>
      <c r="B721" s="3">
        <v>5.3040000000000003</v>
      </c>
    </row>
    <row r="722" spans="1:2" x14ac:dyDescent="0.4">
      <c r="A722" s="2">
        <v>43816</v>
      </c>
      <c r="B722" s="3">
        <v>5.3151999999999999</v>
      </c>
    </row>
    <row r="723" spans="1:2" x14ac:dyDescent="0.4">
      <c r="A723" s="2">
        <v>43817</v>
      </c>
      <c r="B723" s="3">
        <v>5.3188000000000004</v>
      </c>
    </row>
    <row r="724" spans="1:2" x14ac:dyDescent="0.4">
      <c r="A724" s="2">
        <v>43818</v>
      </c>
      <c r="B724" s="3">
        <v>5.3395000000000001</v>
      </c>
    </row>
    <row r="725" spans="1:2" x14ac:dyDescent="0.4">
      <c r="A725" s="2">
        <v>43819</v>
      </c>
      <c r="B725" s="3">
        <v>5.3352000000000004</v>
      </c>
    </row>
    <row r="726" spans="1:2" x14ac:dyDescent="0.4">
      <c r="A726" s="2">
        <v>43822</v>
      </c>
      <c r="B726" s="3">
        <v>5.3335999999999997</v>
      </c>
    </row>
    <row r="727" spans="1:2" x14ac:dyDescent="0.4">
      <c r="A727" s="2">
        <v>43823</v>
      </c>
      <c r="B727" s="3">
        <v>5.3338000000000001</v>
      </c>
    </row>
    <row r="728" spans="1:2" x14ac:dyDescent="0.4">
      <c r="A728" s="2">
        <v>43824</v>
      </c>
      <c r="B728" s="3">
        <v>5.3231999999999999</v>
      </c>
    </row>
    <row r="729" spans="1:2" x14ac:dyDescent="0.4">
      <c r="A729" s="2">
        <v>43825</v>
      </c>
      <c r="B729" s="3">
        <v>5.3068999999999997</v>
      </c>
    </row>
    <row r="730" spans="1:2" x14ac:dyDescent="0.4">
      <c r="A730" s="2">
        <v>43826</v>
      </c>
      <c r="B730" s="3">
        <v>5.33</v>
      </c>
    </row>
    <row r="731" spans="1:2" x14ac:dyDescent="0.4">
      <c r="A731" s="2">
        <v>43829</v>
      </c>
      <c r="B731" s="3">
        <v>5.3384</v>
      </c>
    </row>
    <row r="732" spans="1:2" x14ac:dyDescent="0.4">
      <c r="A732" s="2">
        <v>43830</v>
      </c>
      <c r="B732" s="3">
        <v>5.3421000000000003</v>
      </c>
    </row>
    <row r="733" spans="1:2" x14ac:dyDescent="0.4">
      <c r="A733" s="2">
        <v>43832</v>
      </c>
      <c r="B733" s="3">
        <v>5.3647</v>
      </c>
    </row>
    <row r="734" spans="1:2" x14ac:dyDescent="0.4">
      <c r="A734" s="2">
        <v>43833</v>
      </c>
      <c r="B734" s="3">
        <v>5.3670999999999998</v>
      </c>
    </row>
    <row r="735" spans="1:2" x14ac:dyDescent="0.4">
      <c r="A735" s="2">
        <v>43836</v>
      </c>
      <c r="B735" s="3">
        <v>5.3677999999999999</v>
      </c>
    </row>
    <row r="736" spans="1:2" x14ac:dyDescent="0.4">
      <c r="A736" s="2">
        <v>43837</v>
      </c>
      <c r="B736" s="3">
        <v>5.3760000000000003</v>
      </c>
    </row>
    <row r="737" spans="1:2" x14ac:dyDescent="0.4">
      <c r="A737" s="2">
        <v>43838</v>
      </c>
      <c r="B737" s="3">
        <v>5.3413000000000004</v>
      </c>
    </row>
    <row r="738" spans="1:2" x14ac:dyDescent="0.4">
      <c r="A738" s="2">
        <v>43839</v>
      </c>
      <c r="B738" s="3">
        <v>5.3285999999999998</v>
      </c>
    </row>
    <row r="739" spans="1:2" x14ac:dyDescent="0.4">
      <c r="A739" s="2">
        <v>43840</v>
      </c>
      <c r="B739" s="3">
        <v>5.3108000000000004</v>
      </c>
    </row>
    <row r="740" spans="1:2" x14ac:dyDescent="0.4">
      <c r="A740" s="2">
        <v>43843</v>
      </c>
      <c r="B740" s="3">
        <v>5.3017000000000003</v>
      </c>
    </row>
    <row r="741" spans="1:2" x14ac:dyDescent="0.4">
      <c r="A741" s="2">
        <v>43844</v>
      </c>
      <c r="B741" s="3">
        <v>5.2816999999999998</v>
      </c>
    </row>
    <row r="742" spans="1:2" x14ac:dyDescent="0.4">
      <c r="A742" s="2">
        <v>43845</v>
      </c>
      <c r="B742" s="3">
        <v>5.27</v>
      </c>
    </row>
    <row r="743" spans="1:2" x14ac:dyDescent="0.4">
      <c r="A743" s="2">
        <v>43846</v>
      </c>
      <c r="B743" s="3">
        <v>5.2759999999999998</v>
      </c>
    </row>
    <row r="744" spans="1:2" x14ac:dyDescent="0.4">
      <c r="A744" s="2">
        <v>43847</v>
      </c>
      <c r="B744" s="3">
        <v>5.2812999999999999</v>
      </c>
    </row>
    <row r="745" spans="1:2" x14ac:dyDescent="0.4">
      <c r="A745" s="2">
        <v>43850</v>
      </c>
      <c r="B745" s="3">
        <v>5.2556000000000003</v>
      </c>
    </row>
    <row r="746" spans="1:2" x14ac:dyDescent="0.4">
      <c r="A746" s="2">
        <v>43851</v>
      </c>
      <c r="B746" s="3">
        <v>5.2591000000000001</v>
      </c>
    </row>
    <row r="747" spans="1:2" x14ac:dyDescent="0.4">
      <c r="A747" s="2">
        <v>43852</v>
      </c>
      <c r="B747" s="3">
        <v>5.2660999999999998</v>
      </c>
    </row>
    <row r="748" spans="1:2" x14ac:dyDescent="0.4">
      <c r="A748" s="2">
        <v>43853</v>
      </c>
      <c r="B748" s="3">
        <v>5.2416999999999998</v>
      </c>
    </row>
    <row r="749" spans="1:2" x14ac:dyDescent="0.4">
      <c r="A749" s="2">
        <v>43864</v>
      </c>
      <c r="B749" s="3">
        <v>5.2298999999999998</v>
      </c>
    </row>
    <row r="750" spans="1:2" x14ac:dyDescent="0.4">
      <c r="A750" s="2">
        <v>43865</v>
      </c>
      <c r="B750" s="3">
        <v>5.2496999999999998</v>
      </c>
    </row>
    <row r="751" spans="1:2" x14ac:dyDescent="0.4">
      <c r="A751" s="2">
        <v>43866</v>
      </c>
      <c r="B751" s="3">
        <v>5.2582000000000004</v>
      </c>
    </row>
    <row r="752" spans="1:2" x14ac:dyDescent="0.4">
      <c r="A752" s="2">
        <v>43867</v>
      </c>
      <c r="B752" s="3">
        <v>5.2683999999999997</v>
      </c>
    </row>
    <row r="753" spans="1:2" x14ac:dyDescent="0.4">
      <c r="A753" s="2">
        <v>43868</v>
      </c>
      <c r="B753" s="3">
        <v>5.2515999999999998</v>
      </c>
    </row>
    <row r="754" spans="1:2" x14ac:dyDescent="0.4">
      <c r="A754" s="2">
        <v>43871</v>
      </c>
      <c r="B754" s="3">
        <v>5.2542</v>
      </c>
    </row>
    <row r="755" spans="1:2" x14ac:dyDescent="0.4">
      <c r="A755" s="2">
        <v>43872</v>
      </c>
      <c r="B755" s="3">
        <v>5.2481999999999998</v>
      </c>
    </row>
    <row r="756" spans="1:2" x14ac:dyDescent="0.4">
      <c r="A756" s="2">
        <v>43873</v>
      </c>
      <c r="B756" s="3">
        <v>5.2466999999999997</v>
      </c>
    </row>
    <row r="757" spans="1:2" x14ac:dyDescent="0.4">
      <c r="A757" s="2">
        <v>43874</v>
      </c>
      <c r="B757" s="3">
        <v>5.2652999999999999</v>
      </c>
    </row>
    <row r="758" spans="1:2" x14ac:dyDescent="0.4">
      <c r="A758" s="2">
        <v>43875</v>
      </c>
      <c r="B758" s="3">
        <v>5.2659000000000002</v>
      </c>
    </row>
    <row r="759" spans="1:2" x14ac:dyDescent="0.4">
      <c r="A759" s="2">
        <v>43878</v>
      </c>
      <c r="B759" s="3">
        <v>5.2693000000000003</v>
      </c>
    </row>
    <row r="760" spans="1:2" x14ac:dyDescent="0.4">
      <c r="A760" s="2">
        <v>43879</v>
      </c>
      <c r="B760" s="3">
        <v>5.2754000000000003</v>
      </c>
    </row>
    <row r="761" spans="1:2" x14ac:dyDescent="0.4">
      <c r="A761" s="2">
        <v>43880</v>
      </c>
      <c r="B761" s="3">
        <v>5.2821999999999996</v>
      </c>
    </row>
    <row r="762" spans="1:2" x14ac:dyDescent="0.4">
      <c r="A762" s="2">
        <v>43881</v>
      </c>
      <c r="B762" s="3">
        <v>5.2979000000000003</v>
      </c>
    </row>
    <row r="763" spans="1:2" x14ac:dyDescent="0.4">
      <c r="A763" s="2">
        <v>43882</v>
      </c>
      <c r="B763" s="3">
        <v>5.2961999999999998</v>
      </c>
    </row>
    <row r="764" spans="1:2" x14ac:dyDescent="0.4">
      <c r="A764" s="2">
        <v>43885</v>
      </c>
      <c r="B764" s="3">
        <v>5.3005000000000004</v>
      </c>
    </row>
    <row r="765" spans="1:2" x14ac:dyDescent="0.4">
      <c r="A765" s="2">
        <v>43886</v>
      </c>
      <c r="B765" s="3">
        <v>5.2831999999999999</v>
      </c>
    </row>
    <row r="766" spans="1:2" x14ac:dyDescent="0.4">
      <c r="A766" s="2">
        <v>43887</v>
      </c>
      <c r="B766" s="3">
        <v>5.2774999999999999</v>
      </c>
    </row>
    <row r="767" spans="1:2" x14ac:dyDescent="0.4">
      <c r="A767" s="2">
        <v>43888</v>
      </c>
      <c r="B767" s="3">
        <v>5.2633999999999999</v>
      </c>
    </row>
    <row r="768" spans="1:2" x14ac:dyDescent="0.4">
      <c r="A768" s="2">
        <v>43889</v>
      </c>
      <c r="B768" s="3">
        <v>5.2359999999999998</v>
      </c>
    </row>
    <row r="769" spans="1:2" x14ac:dyDescent="0.4">
      <c r="A769" s="2">
        <v>43892</v>
      </c>
      <c r="B769" s="3">
        <v>5.2038000000000002</v>
      </c>
    </row>
    <row r="770" spans="1:2" x14ac:dyDescent="0.4">
      <c r="A770" s="2">
        <v>43893</v>
      </c>
      <c r="B770" s="3">
        <v>5.2163000000000004</v>
      </c>
    </row>
    <row r="771" spans="1:2" x14ac:dyDescent="0.4">
      <c r="A771" s="2">
        <v>43894</v>
      </c>
      <c r="B771" s="3">
        <v>5.1948999999999996</v>
      </c>
    </row>
    <row r="772" spans="1:2" x14ac:dyDescent="0.4">
      <c r="A772" s="2">
        <v>43895</v>
      </c>
      <c r="B772" s="3">
        <v>5.1822999999999997</v>
      </c>
    </row>
    <row r="773" spans="1:2" x14ac:dyDescent="0.4">
      <c r="A773" s="2">
        <v>43896</v>
      </c>
      <c r="B773" s="3">
        <v>5.1704999999999997</v>
      </c>
    </row>
    <row r="774" spans="1:2" x14ac:dyDescent="0.4">
      <c r="A774" s="2">
        <v>43899</v>
      </c>
      <c r="B774" s="3">
        <v>5.0884</v>
      </c>
    </row>
    <row r="775" spans="1:2" x14ac:dyDescent="0.4">
      <c r="A775" s="2">
        <v>43900</v>
      </c>
      <c r="B775" s="3">
        <v>5.0823</v>
      </c>
    </row>
    <row r="776" spans="1:2" x14ac:dyDescent="0.4">
      <c r="A776" s="2">
        <v>43901</v>
      </c>
      <c r="B776" s="3">
        <v>5.0724999999999998</v>
      </c>
    </row>
    <row r="777" spans="1:2" x14ac:dyDescent="0.4">
      <c r="A777" s="2">
        <v>43902</v>
      </c>
      <c r="B777" s="3">
        <v>5.0561999999999996</v>
      </c>
    </row>
    <row r="778" spans="1:2" x14ac:dyDescent="0.4">
      <c r="A778" s="2">
        <v>43903</v>
      </c>
      <c r="B778" s="3">
        <v>5.0251000000000001</v>
      </c>
    </row>
    <row r="779" spans="1:2" x14ac:dyDescent="0.4">
      <c r="A779" s="2">
        <v>43906</v>
      </c>
      <c r="B779" s="3">
        <v>5.0594999999999999</v>
      </c>
    </row>
    <row r="780" spans="1:2" x14ac:dyDescent="0.4">
      <c r="A780" s="2">
        <v>43907</v>
      </c>
      <c r="B780" s="3">
        <v>5.0079000000000002</v>
      </c>
    </row>
    <row r="781" spans="1:2" x14ac:dyDescent="0.4">
      <c r="A781" s="2">
        <v>43908</v>
      </c>
      <c r="B781" s="3">
        <v>4.9413999999999998</v>
      </c>
    </row>
    <row r="782" spans="1:2" x14ac:dyDescent="0.4">
      <c r="A782" s="2">
        <v>43909</v>
      </c>
      <c r="B782" s="3">
        <v>4.8760000000000003</v>
      </c>
    </row>
    <row r="783" spans="1:2" x14ac:dyDescent="0.4">
      <c r="A783" s="2">
        <v>43910</v>
      </c>
      <c r="B783" s="3">
        <v>4.9005000000000001</v>
      </c>
    </row>
    <row r="784" spans="1:2" x14ac:dyDescent="0.4">
      <c r="A784" s="2">
        <v>43913</v>
      </c>
      <c r="B784" s="3">
        <v>4.9043000000000001</v>
      </c>
    </row>
    <row r="785" spans="1:2" x14ac:dyDescent="0.4">
      <c r="A785" s="2">
        <v>43914</v>
      </c>
      <c r="B785" s="3">
        <v>4.9024999999999999</v>
      </c>
    </row>
    <row r="786" spans="1:2" x14ac:dyDescent="0.4">
      <c r="A786" s="2">
        <v>43915</v>
      </c>
      <c r="B786" s="3">
        <v>4.8967999999999998</v>
      </c>
    </row>
    <row r="787" spans="1:2" x14ac:dyDescent="0.4">
      <c r="A787" s="2">
        <v>43916</v>
      </c>
      <c r="B787" s="3">
        <v>4.9706999999999999</v>
      </c>
    </row>
    <row r="788" spans="1:2" x14ac:dyDescent="0.4">
      <c r="A788" s="2">
        <v>43917</v>
      </c>
      <c r="B788" s="3">
        <v>5.0125999999999999</v>
      </c>
    </row>
    <row r="789" spans="1:2" x14ac:dyDescent="0.4">
      <c r="A789" s="2">
        <v>43920</v>
      </c>
      <c r="B789" s="3">
        <v>5.0068000000000001</v>
      </c>
    </row>
    <row r="790" spans="1:2" x14ac:dyDescent="0.4">
      <c r="A790" s="2">
        <v>43921</v>
      </c>
      <c r="B790" s="3">
        <v>4.9951999999999996</v>
      </c>
    </row>
    <row r="791" spans="1:2" x14ac:dyDescent="0.4">
      <c r="A791" s="2">
        <v>43922</v>
      </c>
      <c r="B791" s="3">
        <v>5.0278999999999998</v>
      </c>
    </row>
    <row r="792" spans="1:2" x14ac:dyDescent="0.4">
      <c r="A792" s="2">
        <v>43923</v>
      </c>
      <c r="B792" s="3">
        <v>5.0119999999999996</v>
      </c>
    </row>
    <row r="793" spans="1:2" x14ac:dyDescent="0.4">
      <c r="A793" s="2">
        <v>43924</v>
      </c>
      <c r="B793" s="3">
        <v>5.0309999999999997</v>
      </c>
    </row>
    <row r="794" spans="1:2" x14ac:dyDescent="0.4">
      <c r="A794" s="2">
        <v>43928</v>
      </c>
      <c r="B794" s="3">
        <v>5.0228000000000002</v>
      </c>
    </row>
    <row r="795" spans="1:2" x14ac:dyDescent="0.4">
      <c r="A795" s="2">
        <v>43929</v>
      </c>
      <c r="B795" s="3">
        <v>5.0336999999999996</v>
      </c>
    </row>
    <row r="796" spans="1:2" x14ac:dyDescent="0.4">
      <c r="A796" s="2">
        <v>43930</v>
      </c>
      <c r="B796" s="3">
        <v>5.0353000000000003</v>
      </c>
    </row>
    <row r="797" spans="1:2" x14ac:dyDescent="0.4">
      <c r="A797" s="2">
        <v>43931</v>
      </c>
      <c r="B797" s="3">
        <v>5.0305999999999997</v>
      </c>
    </row>
    <row r="798" spans="1:2" x14ac:dyDescent="0.4">
      <c r="A798" s="2">
        <v>43934</v>
      </c>
      <c r="B798" s="3">
        <v>5.0345000000000004</v>
      </c>
    </row>
    <row r="799" spans="1:2" x14ac:dyDescent="0.4">
      <c r="A799" s="2">
        <v>43935</v>
      </c>
      <c r="B799" s="3">
        <v>5.0717999999999996</v>
      </c>
    </row>
    <row r="800" spans="1:2" x14ac:dyDescent="0.4">
      <c r="A800" s="2">
        <v>43936</v>
      </c>
      <c r="B800" s="3">
        <v>5.0675999999999997</v>
      </c>
    </row>
    <row r="801" spans="1:2" x14ac:dyDescent="0.4">
      <c r="A801" s="2">
        <v>43937</v>
      </c>
      <c r="B801" s="3">
        <v>5.0075000000000003</v>
      </c>
    </row>
    <row r="802" spans="1:2" x14ac:dyDescent="0.4">
      <c r="A802" s="2">
        <v>43938</v>
      </c>
      <c r="B802" s="3">
        <v>5.0404999999999998</v>
      </c>
    </row>
    <row r="803" spans="1:2" x14ac:dyDescent="0.4">
      <c r="A803" s="2">
        <v>43941</v>
      </c>
      <c r="B803" s="3">
        <v>5.0305999999999997</v>
      </c>
    </row>
    <row r="804" spans="1:2" x14ac:dyDescent="0.4">
      <c r="A804" s="2">
        <v>43942</v>
      </c>
      <c r="B804" s="3">
        <v>5.0091999999999999</v>
      </c>
    </row>
    <row r="805" spans="1:2" x14ac:dyDescent="0.4">
      <c r="A805" s="2">
        <v>43943</v>
      </c>
      <c r="B805" s="3">
        <v>4.9954999999999998</v>
      </c>
    </row>
    <row r="806" spans="1:2" x14ac:dyDescent="0.4">
      <c r="A806" s="2">
        <v>43944</v>
      </c>
      <c r="B806" s="3">
        <v>5.0027999999999997</v>
      </c>
    </row>
    <row r="807" spans="1:2" x14ac:dyDescent="0.4">
      <c r="A807" s="2">
        <v>43945</v>
      </c>
      <c r="B807" s="3">
        <v>5.0340999999999996</v>
      </c>
    </row>
    <row r="808" spans="1:2" x14ac:dyDescent="0.4">
      <c r="A808" s="2">
        <v>43948</v>
      </c>
      <c r="B808" s="3">
        <v>5.0106999999999999</v>
      </c>
    </row>
    <row r="809" spans="1:2" x14ac:dyDescent="0.4">
      <c r="A809" s="2">
        <v>43949</v>
      </c>
      <c r="B809" s="3">
        <v>5.0406000000000004</v>
      </c>
    </row>
    <row r="810" spans="1:2" x14ac:dyDescent="0.4">
      <c r="A810" s="2">
        <v>43950</v>
      </c>
      <c r="B810" s="3">
        <v>5.0571000000000002</v>
      </c>
    </row>
    <row r="811" spans="1:2" x14ac:dyDescent="0.4">
      <c r="A811" s="2">
        <v>43951</v>
      </c>
      <c r="B811" s="3">
        <v>5.0858999999999996</v>
      </c>
    </row>
    <row r="812" spans="1:2" x14ac:dyDescent="0.4">
      <c r="A812" s="2">
        <v>43957</v>
      </c>
      <c r="B812" s="3">
        <v>5.0323000000000002</v>
      </c>
    </row>
    <row r="813" spans="1:2" x14ac:dyDescent="0.4">
      <c r="A813" s="2">
        <v>43958</v>
      </c>
      <c r="B813" s="3">
        <v>5.0060000000000002</v>
      </c>
    </row>
    <row r="814" spans="1:2" x14ac:dyDescent="0.4">
      <c r="A814" s="2">
        <v>43959</v>
      </c>
      <c r="B814" s="3">
        <v>5.0652999999999997</v>
      </c>
    </row>
    <row r="815" spans="1:2" x14ac:dyDescent="0.4">
      <c r="A815" s="2">
        <v>43962</v>
      </c>
      <c r="B815" s="3">
        <v>5.0772000000000004</v>
      </c>
    </row>
    <row r="816" spans="1:2" x14ac:dyDescent="0.4">
      <c r="A816" s="2">
        <v>43963</v>
      </c>
      <c r="B816" s="3">
        <v>5.0580999999999996</v>
      </c>
    </row>
    <row r="817" spans="1:2" x14ac:dyDescent="0.4">
      <c r="A817" s="2">
        <v>43964</v>
      </c>
      <c r="B817" s="3">
        <v>5.0373000000000001</v>
      </c>
    </row>
    <row r="818" spans="1:2" x14ac:dyDescent="0.4">
      <c r="A818" s="2">
        <v>43965</v>
      </c>
      <c r="B818" s="3">
        <v>5.0345000000000004</v>
      </c>
    </row>
    <row r="819" spans="1:2" x14ac:dyDescent="0.4">
      <c r="A819" s="2">
        <v>43966</v>
      </c>
      <c r="B819" s="3">
        <v>5.0542999999999996</v>
      </c>
    </row>
    <row r="820" spans="1:2" x14ac:dyDescent="0.4">
      <c r="A820" s="2">
        <v>43969</v>
      </c>
      <c r="B820" s="3">
        <v>5.0404</v>
      </c>
    </row>
    <row r="821" spans="1:2" x14ac:dyDescent="0.4">
      <c r="A821" s="2">
        <v>43970</v>
      </c>
      <c r="B821" s="3">
        <v>5.0858999999999996</v>
      </c>
    </row>
    <row r="822" spans="1:2" x14ac:dyDescent="0.4">
      <c r="A822" s="2">
        <v>43971</v>
      </c>
      <c r="B822" s="3">
        <v>5.0928000000000004</v>
      </c>
    </row>
    <row r="823" spans="1:2" x14ac:dyDescent="0.4">
      <c r="A823" s="2">
        <v>43972</v>
      </c>
      <c r="B823" s="3">
        <v>5.0952000000000002</v>
      </c>
    </row>
    <row r="824" spans="1:2" x14ac:dyDescent="0.4">
      <c r="A824" s="2">
        <v>43973</v>
      </c>
      <c r="B824" s="3">
        <v>5.0860000000000003</v>
      </c>
    </row>
    <row r="825" spans="1:2" x14ac:dyDescent="0.4">
      <c r="A825" s="2">
        <v>43976</v>
      </c>
      <c r="B825" s="3">
        <v>5.0913000000000004</v>
      </c>
    </row>
    <row r="826" spans="1:2" x14ac:dyDescent="0.4">
      <c r="A826" s="2">
        <v>43977</v>
      </c>
      <c r="B826" s="3">
        <v>5.1002999999999998</v>
      </c>
    </row>
    <row r="827" spans="1:2" x14ac:dyDescent="0.4">
      <c r="A827" s="2">
        <v>43978</v>
      </c>
      <c r="B827" s="3">
        <v>5.1577000000000002</v>
      </c>
    </row>
    <row r="828" spans="1:2" x14ac:dyDescent="0.4">
      <c r="A828" s="2">
        <v>43979</v>
      </c>
      <c r="B828" s="3">
        <v>5.1820000000000004</v>
      </c>
    </row>
    <row r="829" spans="1:2" x14ac:dyDescent="0.4">
      <c r="A829" s="2">
        <v>43980</v>
      </c>
      <c r="B829" s="3">
        <v>5.1767000000000003</v>
      </c>
    </row>
    <row r="830" spans="1:2" x14ac:dyDescent="0.4">
      <c r="A830" s="2">
        <v>43983</v>
      </c>
      <c r="B830" s="3">
        <v>5.1792999999999996</v>
      </c>
    </row>
    <row r="831" spans="1:2" x14ac:dyDescent="0.4">
      <c r="A831" s="2">
        <v>43984</v>
      </c>
      <c r="B831" s="3">
        <v>5.2446000000000002</v>
      </c>
    </row>
    <row r="832" spans="1:2" x14ac:dyDescent="0.4">
      <c r="A832" s="2">
        <v>43985</v>
      </c>
      <c r="B832" s="3">
        <v>5.2590000000000003</v>
      </c>
    </row>
    <row r="833" spans="1:2" x14ac:dyDescent="0.4">
      <c r="A833" s="2">
        <v>43986</v>
      </c>
      <c r="B833" s="3">
        <v>5.2611999999999997</v>
      </c>
    </row>
    <row r="834" spans="1:2" x14ac:dyDescent="0.4">
      <c r="A834" s="2">
        <v>43987</v>
      </c>
      <c r="B834" s="3">
        <v>5.2588999999999997</v>
      </c>
    </row>
    <row r="835" spans="1:2" x14ac:dyDescent="0.4">
      <c r="A835" s="2">
        <v>43990</v>
      </c>
      <c r="B835" s="3">
        <v>5.2874999999999996</v>
      </c>
    </row>
    <row r="836" spans="1:2" x14ac:dyDescent="0.4">
      <c r="A836" s="2">
        <v>43991</v>
      </c>
      <c r="B836" s="3">
        <v>5.2835999999999999</v>
      </c>
    </row>
    <row r="837" spans="1:2" x14ac:dyDescent="0.4">
      <c r="A837" s="2">
        <v>43992</v>
      </c>
      <c r="B837" s="3">
        <v>5.2693000000000003</v>
      </c>
    </row>
    <row r="838" spans="1:2" x14ac:dyDescent="0.4">
      <c r="A838" s="2">
        <v>43993</v>
      </c>
      <c r="B838" s="3">
        <v>5.2622999999999998</v>
      </c>
    </row>
    <row r="839" spans="1:2" x14ac:dyDescent="0.4">
      <c r="A839" s="2">
        <v>43994</v>
      </c>
      <c r="B839" s="3">
        <v>5.1986999999999997</v>
      </c>
    </row>
    <row r="840" spans="1:2" x14ac:dyDescent="0.4">
      <c r="A840" s="2">
        <v>43997</v>
      </c>
      <c r="B840" s="3">
        <v>5.2020999999999997</v>
      </c>
    </row>
    <row r="841" spans="1:2" x14ac:dyDescent="0.4">
      <c r="A841" s="2">
        <v>43998</v>
      </c>
      <c r="B841" s="3">
        <v>5.2252000000000001</v>
      </c>
    </row>
    <row r="842" spans="1:2" x14ac:dyDescent="0.4">
      <c r="A842" s="2">
        <v>43999</v>
      </c>
      <c r="B842" s="3">
        <v>5.2335000000000003</v>
      </c>
    </row>
    <row r="843" spans="1:2" x14ac:dyDescent="0.4">
      <c r="A843" s="2">
        <v>44000</v>
      </c>
      <c r="B843" s="3">
        <v>5.2228000000000003</v>
      </c>
    </row>
    <row r="844" spans="1:2" x14ac:dyDescent="0.4">
      <c r="A844" s="2">
        <v>44001</v>
      </c>
      <c r="B844" s="3">
        <v>5.2168999999999999</v>
      </c>
    </row>
    <row r="845" spans="1:2" x14ac:dyDescent="0.4">
      <c r="A845" s="2">
        <v>44004</v>
      </c>
      <c r="B845" s="3">
        <v>5.2034000000000002</v>
      </c>
    </row>
    <row r="846" spans="1:2" x14ac:dyDescent="0.4">
      <c r="A846" s="2">
        <v>44005</v>
      </c>
      <c r="B846" s="3">
        <v>5.2302</v>
      </c>
    </row>
    <row r="847" spans="1:2" x14ac:dyDescent="0.4">
      <c r="A847" s="2">
        <v>44006</v>
      </c>
      <c r="B847" s="3">
        <v>5.21</v>
      </c>
    </row>
    <row r="848" spans="1:2" x14ac:dyDescent="0.4">
      <c r="A848" s="2">
        <v>44011</v>
      </c>
      <c r="B848" s="3">
        <v>5.1765999999999996</v>
      </c>
    </row>
    <row r="849" spans="1:2" x14ac:dyDescent="0.4">
      <c r="A849" s="2">
        <v>44012</v>
      </c>
      <c r="B849" s="3">
        <v>5.1843000000000004</v>
      </c>
    </row>
    <row r="850" spans="1:2" x14ac:dyDescent="0.4">
      <c r="A850" s="2">
        <v>44013</v>
      </c>
      <c r="B850" s="3">
        <v>5.2088999999999999</v>
      </c>
    </row>
    <row r="851" spans="1:2" x14ac:dyDescent="0.4">
      <c r="A851" s="2">
        <v>44014</v>
      </c>
      <c r="B851" s="3">
        <v>5.1938000000000004</v>
      </c>
    </row>
    <row r="852" spans="1:2" x14ac:dyDescent="0.4">
      <c r="A852" s="2">
        <v>44015</v>
      </c>
      <c r="B852" s="3">
        <v>5.2073999999999998</v>
      </c>
    </row>
    <row r="853" spans="1:2" x14ac:dyDescent="0.4">
      <c r="A853" s="2">
        <v>44018</v>
      </c>
      <c r="B853" s="3">
        <v>5.2140000000000004</v>
      </c>
    </row>
    <row r="854" spans="1:2" x14ac:dyDescent="0.4">
      <c r="A854" s="2">
        <v>44019</v>
      </c>
      <c r="B854" s="3">
        <v>5.1916000000000002</v>
      </c>
    </row>
    <row r="855" spans="1:2" x14ac:dyDescent="0.4">
      <c r="A855" s="2">
        <v>44020</v>
      </c>
      <c r="B855" s="3">
        <v>5.1604000000000001</v>
      </c>
    </row>
    <row r="856" spans="1:2" x14ac:dyDescent="0.4">
      <c r="A856" s="2">
        <v>44021</v>
      </c>
      <c r="B856" s="3">
        <v>5.1837999999999997</v>
      </c>
    </row>
    <row r="857" spans="1:2" x14ac:dyDescent="0.4">
      <c r="A857" s="2">
        <v>44022</v>
      </c>
      <c r="B857" s="3">
        <v>5.1502999999999997</v>
      </c>
    </row>
    <row r="858" spans="1:2" x14ac:dyDescent="0.4">
      <c r="A858" s="2">
        <v>44025</v>
      </c>
      <c r="B858" s="3">
        <v>5.1470000000000002</v>
      </c>
    </row>
    <row r="859" spans="1:2" x14ac:dyDescent="0.4">
      <c r="A859" s="2">
        <v>44026</v>
      </c>
      <c r="B859" s="3">
        <v>5.1448</v>
      </c>
    </row>
    <row r="860" spans="1:2" x14ac:dyDescent="0.4">
      <c r="A860" s="2">
        <v>44027</v>
      </c>
      <c r="B860" s="3">
        <v>5.1460999999999997</v>
      </c>
    </row>
    <row r="861" spans="1:2" x14ac:dyDescent="0.4">
      <c r="A861" s="2">
        <v>44028</v>
      </c>
      <c r="B861" s="3">
        <v>5.1767000000000003</v>
      </c>
    </row>
    <row r="862" spans="1:2" x14ac:dyDescent="0.4">
      <c r="A862" s="2">
        <v>44029</v>
      </c>
      <c r="B862" s="3">
        <v>5.1588000000000003</v>
      </c>
    </row>
    <row r="863" spans="1:2" x14ac:dyDescent="0.4">
      <c r="A863" s="2">
        <v>44032</v>
      </c>
      <c r="B863" s="3">
        <v>5.1502999999999997</v>
      </c>
    </row>
    <row r="864" spans="1:2" x14ac:dyDescent="0.4">
      <c r="A864" s="2">
        <v>44033</v>
      </c>
      <c r="B864" s="3">
        <v>5.1642000000000001</v>
      </c>
    </row>
    <row r="865" spans="1:2" x14ac:dyDescent="0.4">
      <c r="A865" s="2">
        <v>44034</v>
      </c>
      <c r="B865" s="3">
        <v>5.1821000000000002</v>
      </c>
    </row>
    <row r="866" spans="1:2" x14ac:dyDescent="0.4">
      <c r="A866" s="2">
        <v>44035</v>
      </c>
      <c r="B866" s="3">
        <v>5.2054</v>
      </c>
    </row>
    <row r="867" spans="1:2" x14ac:dyDescent="0.4">
      <c r="A867" s="2">
        <v>44036</v>
      </c>
      <c r="B867" s="3">
        <v>5.2183000000000002</v>
      </c>
    </row>
    <row r="868" spans="1:2" x14ac:dyDescent="0.4">
      <c r="A868" s="2">
        <v>44039</v>
      </c>
      <c r="B868" s="3">
        <v>5.2131999999999996</v>
      </c>
    </row>
    <row r="869" spans="1:2" x14ac:dyDescent="0.4">
      <c r="A869" s="2">
        <v>44040</v>
      </c>
      <c r="B869" s="3">
        <v>5.2331000000000003</v>
      </c>
    </row>
    <row r="870" spans="1:2" x14ac:dyDescent="0.4">
      <c r="A870" s="2">
        <v>44041</v>
      </c>
      <c r="B870" s="3">
        <v>5.23</v>
      </c>
    </row>
    <row r="871" spans="1:2" x14ac:dyDescent="0.4">
      <c r="A871" s="2">
        <v>44042</v>
      </c>
      <c r="B871" s="3">
        <v>5.2408000000000001</v>
      </c>
    </row>
    <row r="872" spans="1:2" x14ac:dyDescent="0.4">
      <c r="A872" s="2">
        <v>44043</v>
      </c>
      <c r="B872" s="3">
        <v>5.2054</v>
      </c>
    </row>
    <row r="873" spans="1:2" x14ac:dyDescent="0.4">
      <c r="A873" s="2">
        <v>44046</v>
      </c>
      <c r="B873" s="3">
        <v>5.2211999999999996</v>
      </c>
    </row>
    <row r="874" spans="1:2" x14ac:dyDescent="0.4">
      <c r="A874" s="2">
        <v>44047</v>
      </c>
      <c r="B874" s="3">
        <v>5.2100999999999997</v>
      </c>
    </row>
    <row r="875" spans="1:2" x14ac:dyDescent="0.4">
      <c r="A875" s="2">
        <v>44048</v>
      </c>
      <c r="B875" s="3">
        <v>5.2396000000000003</v>
      </c>
    </row>
    <row r="876" spans="1:2" x14ac:dyDescent="0.4">
      <c r="A876" s="2">
        <v>44049</v>
      </c>
      <c r="B876" s="3">
        <v>5.2339000000000002</v>
      </c>
    </row>
    <row r="877" spans="1:2" x14ac:dyDescent="0.4">
      <c r="A877" s="2">
        <v>44050</v>
      </c>
      <c r="B877" s="3">
        <v>5.2137000000000002</v>
      </c>
    </row>
    <row r="878" spans="1:2" x14ac:dyDescent="0.4">
      <c r="A878" s="2">
        <v>44053</v>
      </c>
      <c r="B878" s="3">
        <v>5.2019000000000002</v>
      </c>
    </row>
    <row r="879" spans="1:2" x14ac:dyDescent="0.4">
      <c r="A879" s="2">
        <v>44054</v>
      </c>
      <c r="B879" s="3">
        <v>5.2191999999999998</v>
      </c>
    </row>
    <row r="880" spans="1:2" x14ac:dyDescent="0.4">
      <c r="A880" s="2">
        <v>44055</v>
      </c>
      <c r="B880" s="3">
        <v>5.23</v>
      </c>
    </row>
    <row r="881" spans="1:2" x14ac:dyDescent="0.4">
      <c r="A881" s="2">
        <v>44056</v>
      </c>
      <c r="B881" s="3">
        <v>5.2420999999999998</v>
      </c>
    </row>
    <row r="882" spans="1:2" x14ac:dyDescent="0.4">
      <c r="A882" s="2">
        <v>44057</v>
      </c>
      <c r="B882" s="3">
        <v>5.2495000000000003</v>
      </c>
    </row>
    <row r="883" spans="1:2" x14ac:dyDescent="0.4">
      <c r="A883" s="2">
        <v>44060</v>
      </c>
      <c r="B883" s="3">
        <v>5.2324000000000002</v>
      </c>
    </row>
    <row r="884" spans="1:2" x14ac:dyDescent="0.4">
      <c r="A884" s="2">
        <v>44061</v>
      </c>
      <c r="B884" s="3">
        <v>5.2413999999999996</v>
      </c>
    </row>
    <row r="885" spans="1:2" x14ac:dyDescent="0.4">
      <c r="A885" s="2">
        <v>44062</v>
      </c>
      <c r="B885" s="3">
        <v>5.2549000000000001</v>
      </c>
    </row>
    <row r="886" spans="1:2" x14ac:dyDescent="0.4">
      <c r="A886" s="2">
        <v>44063</v>
      </c>
      <c r="B886" s="3">
        <v>5.2428999999999997</v>
      </c>
    </row>
    <row r="887" spans="1:2" x14ac:dyDescent="0.4">
      <c r="A887" s="2">
        <v>44064</v>
      </c>
      <c r="B887" s="3">
        <v>5.2427999999999999</v>
      </c>
    </row>
    <row r="888" spans="1:2" x14ac:dyDescent="0.4">
      <c r="A888" s="2">
        <v>44067</v>
      </c>
      <c r="B888" s="3">
        <v>5.2523</v>
      </c>
    </row>
    <row r="889" spans="1:2" x14ac:dyDescent="0.4">
      <c r="A889" s="2">
        <v>44068</v>
      </c>
      <c r="B889" s="3">
        <v>5.2327000000000004</v>
      </c>
    </row>
    <row r="890" spans="1:2" x14ac:dyDescent="0.4">
      <c r="A890" s="2">
        <v>44069</v>
      </c>
      <c r="B890" s="3">
        <v>5.2460000000000004</v>
      </c>
    </row>
    <row r="891" spans="1:2" x14ac:dyDescent="0.4">
      <c r="A891" s="2">
        <v>44070</v>
      </c>
      <c r="B891" s="3">
        <v>5.2382999999999997</v>
      </c>
    </row>
    <row r="892" spans="1:2" x14ac:dyDescent="0.4">
      <c r="A892" s="2">
        <v>44071</v>
      </c>
      <c r="B892" s="3">
        <v>5.2469999999999999</v>
      </c>
    </row>
    <row r="893" spans="1:2" x14ac:dyDescent="0.4">
      <c r="A893" s="2">
        <v>44074</v>
      </c>
      <c r="B893" s="3">
        <v>5.2393000000000001</v>
      </c>
    </row>
    <row r="894" spans="1:2" x14ac:dyDescent="0.4">
      <c r="A894" s="2">
        <v>44075</v>
      </c>
      <c r="B894" s="3">
        <v>5.2511999999999999</v>
      </c>
    </row>
    <row r="895" spans="1:2" x14ac:dyDescent="0.4">
      <c r="A895" s="2">
        <v>44076</v>
      </c>
      <c r="B895" s="3">
        <v>5.2346000000000004</v>
      </c>
    </row>
    <row r="896" spans="1:2" x14ac:dyDescent="0.4">
      <c r="A896" s="2">
        <v>44077</v>
      </c>
      <c r="B896" s="3">
        <v>5.2365000000000004</v>
      </c>
    </row>
    <row r="897" spans="1:2" x14ac:dyDescent="0.4">
      <c r="A897" s="2">
        <v>44078</v>
      </c>
      <c r="B897" s="3">
        <v>5.2041000000000004</v>
      </c>
    </row>
    <row r="898" spans="1:2" x14ac:dyDescent="0.4">
      <c r="A898" s="2">
        <v>44081</v>
      </c>
      <c r="B898" s="3">
        <v>5.2304000000000004</v>
      </c>
    </row>
    <row r="899" spans="1:2" x14ac:dyDescent="0.4">
      <c r="A899" s="2">
        <v>44082</v>
      </c>
      <c r="B899" s="3">
        <v>5.2211999999999996</v>
      </c>
    </row>
    <row r="900" spans="1:2" x14ac:dyDescent="0.4">
      <c r="A900" s="2">
        <v>44083</v>
      </c>
      <c r="B900" s="3">
        <v>5.1684000000000001</v>
      </c>
    </row>
    <row r="901" spans="1:2" x14ac:dyDescent="0.4">
      <c r="A901" s="2">
        <v>44084</v>
      </c>
      <c r="B901" s="3">
        <v>5.1948999999999996</v>
      </c>
    </row>
    <row r="902" spans="1:2" x14ac:dyDescent="0.4">
      <c r="A902" s="2">
        <v>44085</v>
      </c>
      <c r="B902" s="3">
        <v>5.1859000000000002</v>
      </c>
    </row>
    <row r="903" spans="1:2" x14ac:dyDescent="0.4">
      <c r="A903" s="2">
        <v>44088</v>
      </c>
      <c r="B903" s="3">
        <v>5.1832000000000003</v>
      </c>
    </row>
    <row r="904" spans="1:2" x14ac:dyDescent="0.4">
      <c r="A904" s="2">
        <v>44089</v>
      </c>
      <c r="B904" s="3">
        <v>5.1768999999999998</v>
      </c>
    </row>
    <row r="905" spans="1:2" x14ac:dyDescent="0.4">
      <c r="A905" s="2">
        <v>44090</v>
      </c>
      <c r="B905" s="3">
        <v>5.1388999999999996</v>
      </c>
    </row>
    <row r="906" spans="1:2" x14ac:dyDescent="0.4">
      <c r="A906" s="2">
        <v>44091</v>
      </c>
      <c r="B906" s="3">
        <v>5.1344000000000003</v>
      </c>
    </row>
    <row r="907" spans="1:2" x14ac:dyDescent="0.4">
      <c r="A907" s="2">
        <v>44092</v>
      </c>
      <c r="B907" s="3">
        <v>5.1393000000000004</v>
      </c>
    </row>
    <row r="908" spans="1:2" x14ac:dyDescent="0.4">
      <c r="A908" s="2">
        <v>44095</v>
      </c>
      <c r="B908" s="3">
        <v>5.1235999999999997</v>
      </c>
    </row>
    <row r="909" spans="1:2" x14ac:dyDescent="0.4">
      <c r="A909" s="2">
        <v>44096</v>
      </c>
      <c r="B909" s="3">
        <v>5.0975999999999999</v>
      </c>
    </row>
    <row r="910" spans="1:2" x14ac:dyDescent="0.4">
      <c r="A910" s="2">
        <v>44097</v>
      </c>
      <c r="B910" s="3">
        <v>5.1093999999999999</v>
      </c>
    </row>
    <row r="911" spans="1:2" x14ac:dyDescent="0.4">
      <c r="A911" s="2">
        <v>44098</v>
      </c>
      <c r="B911" s="3">
        <v>5.0808</v>
      </c>
    </row>
    <row r="912" spans="1:2" x14ac:dyDescent="0.4">
      <c r="A912" s="2">
        <v>44099</v>
      </c>
      <c r="B912" s="3">
        <v>5.1018999999999997</v>
      </c>
    </row>
    <row r="913" spans="1:2" x14ac:dyDescent="0.4">
      <c r="A913" s="2">
        <v>44102</v>
      </c>
      <c r="B913" s="3">
        <v>5.1009000000000002</v>
      </c>
    </row>
    <row r="914" spans="1:2" x14ac:dyDescent="0.4">
      <c r="A914" s="2">
        <v>44103</v>
      </c>
      <c r="B914" s="3">
        <v>5.0991</v>
      </c>
    </row>
    <row r="915" spans="1:2" x14ac:dyDescent="0.4">
      <c r="A915" s="2">
        <v>44104</v>
      </c>
      <c r="B915" s="3">
        <v>5.0864000000000003</v>
      </c>
    </row>
    <row r="916" spans="1:2" x14ac:dyDescent="0.4">
      <c r="A916" s="2">
        <v>44113</v>
      </c>
      <c r="B916" s="3">
        <v>5.1463000000000001</v>
      </c>
    </row>
    <row r="917" spans="1:2" x14ac:dyDescent="0.4">
      <c r="A917" s="2">
        <v>44116</v>
      </c>
      <c r="B917" s="3">
        <v>5.1056999999999997</v>
      </c>
    </row>
    <row r="918" spans="1:2" x14ac:dyDescent="0.4">
      <c r="A918" s="2">
        <v>44117</v>
      </c>
      <c r="B918" s="3">
        <v>5.1262999999999996</v>
      </c>
    </row>
    <row r="919" spans="1:2" x14ac:dyDescent="0.4">
      <c r="A919" s="2">
        <v>44118</v>
      </c>
      <c r="B919" s="3">
        <v>5.1334</v>
      </c>
    </row>
    <row r="920" spans="1:2" x14ac:dyDescent="0.4">
      <c r="A920" s="2">
        <v>44119</v>
      </c>
      <c r="B920" s="3">
        <v>5.1228999999999996</v>
      </c>
    </row>
    <row r="921" spans="1:2" x14ac:dyDescent="0.4">
      <c r="A921" s="2">
        <v>44120</v>
      </c>
      <c r="B921" s="3">
        <v>5.0914999999999999</v>
      </c>
    </row>
    <row r="922" spans="1:2" x14ac:dyDescent="0.4">
      <c r="A922" s="2">
        <v>44123</v>
      </c>
      <c r="B922" s="3">
        <v>5.0815999999999999</v>
      </c>
    </row>
    <row r="923" spans="1:2" x14ac:dyDescent="0.4">
      <c r="A923" s="2">
        <v>44124</v>
      </c>
      <c r="B923" s="3">
        <v>5.0735000000000001</v>
      </c>
    </row>
    <row r="924" spans="1:2" x14ac:dyDescent="0.4">
      <c r="A924" s="2">
        <v>44125</v>
      </c>
      <c r="B924" s="3">
        <v>5.0868000000000002</v>
      </c>
    </row>
    <row r="925" spans="1:2" x14ac:dyDescent="0.4">
      <c r="A925" s="2">
        <v>44126</v>
      </c>
      <c r="B925" s="3">
        <v>5.0587</v>
      </c>
    </row>
    <row r="926" spans="1:2" x14ac:dyDescent="0.4">
      <c r="A926" s="2">
        <v>44127</v>
      </c>
      <c r="B926" s="3">
        <v>5.0759999999999996</v>
      </c>
    </row>
    <row r="927" spans="1:2" x14ac:dyDescent="0.4">
      <c r="A927" s="2">
        <v>44130</v>
      </c>
      <c r="B927" s="3">
        <v>5.0724999999999998</v>
      </c>
    </row>
    <row r="928" spans="1:2" x14ac:dyDescent="0.4">
      <c r="A928" s="2">
        <v>44131</v>
      </c>
      <c r="B928" s="3">
        <v>5.0720999999999998</v>
      </c>
    </row>
    <row r="929" spans="1:2" x14ac:dyDescent="0.4">
      <c r="A929" s="2">
        <v>44132</v>
      </c>
      <c r="B929" s="3">
        <v>5.0926</v>
      </c>
    </row>
    <row r="930" spans="1:2" x14ac:dyDescent="0.4">
      <c r="A930" s="2">
        <v>44133</v>
      </c>
      <c r="B930" s="3">
        <v>5.0502000000000002</v>
      </c>
    </row>
    <row r="931" spans="1:2" x14ac:dyDescent="0.4">
      <c r="A931" s="2">
        <v>44134</v>
      </c>
      <c r="B931" s="3">
        <v>5.0461999999999998</v>
      </c>
    </row>
    <row r="932" spans="1:2" x14ac:dyDescent="0.4">
      <c r="A932" s="2">
        <v>44137</v>
      </c>
      <c r="B932" s="3">
        <v>5.0220000000000002</v>
      </c>
    </row>
    <row r="933" spans="1:2" x14ac:dyDescent="0.4">
      <c r="A933" s="2">
        <v>44138</v>
      </c>
      <c r="B933" s="3">
        <v>5.0632999999999999</v>
      </c>
    </row>
    <row r="934" spans="1:2" x14ac:dyDescent="0.4">
      <c r="A934" s="2">
        <v>44139</v>
      </c>
      <c r="B934" s="3">
        <v>5.0918999999999999</v>
      </c>
    </row>
    <row r="935" spans="1:2" x14ac:dyDescent="0.4">
      <c r="A935" s="2">
        <v>44140</v>
      </c>
      <c r="B935" s="3">
        <v>5.1002999999999998</v>
      </c>
    </row>
    <row r="936" spans="1:2" x14ac:dyDescent="0.4">
      <c r="A936" s="2">
        <v>44141</v>
      </c>
      <c r="B936" s="3">
        <v>5.0670000000000002</v>
      </c>
    </row>
    <row r="937" spans="1:2" x14ac:dyDescent="0.4">
      <c r="A937" s="2">
        <v>44144</v>
      </c>
      <c r="B937" s="3">
        <v>5.0778999999999996</v>
      </c>
    </row>
    <row r="938" spans="1:2" x14ac:dyDescent="0.4">
      <c r="A938" s="2">
        <v>44145</v>
      </c>
      <c r="B938" s="3">
        <v>5.0663999999999998</v>
      </c>
    </row>
    <row r="939" spans="1:2" x14ac:dyDescent="0.4">
      <c r="A939" s="2">
        <v>44146</v>
      </c>
      <c r="B939" s="3">
        <v>5.0697000000000001</v>
      </c>
    </row>
    <row r="940" spans="1:2" x14ac:dyDescent="0.4">
      <c r="A940" s="2">
        <v>44147</v>
      </c>
      <c r="B940" s="3">
        <v>5.0705999999999998</v>
      </c>
    </row>
    <row r="941" spans="1:2" x14ac:dyDescent="0.4">
      <c r="A941" s="2">
        <v>44148</v>
      </c>
      <c r="B941" s="3">
        <v>5.0439999999999996</v>
      </c>
    </row>
    <row r="942" spans="1:2" x14ac:dyDescent="0.4">
      <c r="A942" s="2">
        <v>44151</v>
      </c>
      <c r="B942" s="3">
        <v>5.0338000000000003</v>
      </c>
    </row>
    <row r="943" spans="1:2" x14ac:dyDescent="0.4">
      <c r="A943" s="2">
        <v>44152</v>
      </c>
      <c r="B943" s="3">
        <v>5.0301</v>
      </c>
    </row>
    <row r="944" spans="1:2" x14ac:dyDescent="0.4">
      <c r="A944" s="2">
        <v>44153</v>
      </c>
      <c r="B944" s="3">
        <v>5.0034999999999998</v>
      </c>
    </row>
    <row r="945" spans="1:2" x14ac:dyDescent="0.4">
      <c r="A945" s="2">
        <v>44154</v>
      </c>
      <c r="B945" s="3">
        <v>5.0072999999999999</v>
      </c>
    </row>
    <row r="946" spans="1:2" x14ac:dyDescent="0.4">
      <c r="A946" s="2">
        <v>44155</v>
      </c>
      <c r="B946" s="3">
        <v>5.0298999999999996</v>
      </c>
    </row>
    <row r="947" spans="1:2" x14ac:dyDescent="0.4">
      <c r="A947" s="2">
        <v>44158</v>
      </c>
      <c r="B947" s="3">
        <v>5.0210999999999997</v>
      </c>
    </row>
    <row r="948" spans="1:2" x14ac:dyDescent="0.4">
      <c r="A948" s="2">
        <v>44159</v>
      </c>
      <c r="B948" s="3">
        <v>5.0340999999999996</v>
      </c>
    </row>
    <row r="949" spans="1:2" x14ac:dyDescent="0.4">
      <c r="A949" s="2">
        <v>44160</v>
      </c>
      <c r="B949" s="3">
        <v>5.0591999999999997</v>
      </c>
    </row>
    <row r="950" spans="1:2" x14ac:dyDescent="0.4">
      <c r="A950" s="2">
        <v>44161</v>
      </c>
      <c r="B950" s="3">
        <v>5.0583</v>
      </c>
    </row>
    <row r="951" spans="1:2" x14ac:dyDescent="0.4">
      <c r="A951" s="2">
        <v>44162</v>
      </c>
      <c r="B951" s="3">
        <v>5.0492999999999997</v>
      </c>
    </row>
    <row r="952" spans="1:2" x14ac:dyDescent="0.4">
      <c r="A952" s="2">
        <v>44165</v>
      </c>
      <c r="B952" s="3">
        <v>5.0685000000000002</v>
      </c>
    </row>
    <row r="953" spans="1:2" x14ac:dyDescent="0.4">
      <c r="A953" s="2">
        <v>44166</v>
      </c>
      <c r="B953" s="3">
        <v>5.0717999999999996</v>
      </c>
    </row>
    <row r="954" spans="1:2" x14ac:dyDescent="0.4">
      <c r="A954" s="2">
        <v>44167</v>
      </c>
      <c r="B954" s="3">
        <v>5.0705</v>
      </c>
    </row>
    <row r="955" spans="1:2" x14ac:dyDescent="0.4">
      <c r="A955" s="2">
        <v>44168</v>
      </c>
      <c r="B955" s="3">
        <v>5.0768000000000004</v>
      </c>
    </row>
    <row r="956" spans="1:2" x14ac:dyDescent="0.4">
      <c r="A956" s="2">
        <v>44169</v>
      </c>
      <c r="B956" s="3">
        <v>5.0915999999999997</v>
      </c>
    </row>
    <row r="957" spans="1:2" x14ac:dyDescent="0.4">
      <c r="A957" s="2">
        <v>44172</v>
      </c>
      <c r="B957" s="3">
        <v>5.1132999999999997</v>
      </c>
    </row>
    <row r="958" spans="1:2" x14ac:dyDescent="0.4">
      <c r="A958" s="2">
        <v>44173</v>
      </c>
      <c r="B958" s="3">
        <v>5.1006999999999998</v>
      </c>
    </row>
    <row r="959" spans="1:2" x14ac:dyDescent="0.4">
      <c r="A959" s="2">
        <v>44174</v>
      </c>
      <c r="B959" s="3">
        <v>5.0964</v>
      </c>
    </row>
    <row r="960" spans="1:2" x14ac:dyDescent="0.4">
      <c r="A960" s="2">
        <v>44175</v>
      </c>
      <c r="B960" s="3">
        <v>5.1040000000000001</v>
      </c>
    </row>
    <row r="961" spans="1:2" x14ac:dyDescent="0.4">
      <c r="A961" s="2">
        <v>44176</v>
      </c>
      <c r="B961" s="3">
        <v>5.1326000000000001</v>
      </c>
    </row>
    <row r="962" spans="1:2" x14ac:dyDescent="0.4">
      <c r="A962" s="2">
        <v>44179</v>
      </c>
      <c r="B962" s="3">
        <v>5.1258999999999997</v>
      </c>
    </row>
    <row r="963" spans="1:2" x14ac:dyDescent="0.4">
      <c r="A963" s="2">
        <v>44180</v>
      </c>
      <c r="B963" s="3">
        <v>5.1280000000000001</v>
      </c>
    </row>
    <row r="964" spans="1:2" x14ac:dyDescent="0.4">
      <c r="A964" s="2">
        <v>44181</v>
      </c>
      <c r="B964" s="3">
        <v>5.1467000000000001</v>
      </c>
    </row>
    <row r="965" spans="1:2" x14ac:dyDescent="0.4">
      <c r="A965" s="2">
        <v>44182</v>
      </c>
      <c r="B965" s="3">
        <v>5.1288999999999998</v>
      </c>
    </row>
    <row r="966" spans="1:2" x14ac:dyDescent="0.4">
      <c r="A966" s="2">
        <v>44183</v>
      </c>
      <c r="B966" s="3">
        <v>5.1315</v>
      </c>
    </row>
    <row r="967" spans="1:2" x14ac:dyDescent="0.4">
      <c r="A967" s="2">
        <v>44186</v>
      </c>
      <c r="B967" s="3">
        <v>5.1166999999999998</v>
      </c>
    </row>
    <row r="968" spans="1:2" x14ac:dyDescent="0.4">
      <c r="A968" s="2">
        <v>44187</v>
      </c>
      <c r="B968" s="3">
        <v>5.0858999999999996</v>
      </c>
    </row>
    <row r="969" spans="1:2" x14ac:dyDescent="0.4">
      <c r="A969" s="2">
        <v>44188</v>
      </c>
      <c r="B969" s="3">
        <v>5.0820999999999996</v>
      </c>
    </row>
    <row r="970" spans="1:2" x14ac:dyDescent="0.4">
      <c r="A970" s="2">
        <v>44189</v>
      </c>
      <c r="B970" s="3">
        <v>5.0854999999999997</v>
      </c>
    </row>
    <row r="971" spans="1:2" x14ac:dyDescent="0.4">
      <c r="A971" s="2">
        <v>44190</v>
      </c>
      <c r="B971" s="3">
        <v>5.0807000000000002</v>
      </c>
    </row>
    <row r="972" spans="1:2" x14ac:dyDescent="0.4">
      <c r="A972" s="2">
        <v>44193</v>
      </c>
      <c r="B972" s="3">
        <v>5.0811999999999999</v>
      </c>
    </row>
    <row r="973" spans="1:2" x14ac:dyDescent="0.4">
      <c r="A973" s="2">
        <v>44194</v>
      </c>
      <c r="B973" s="3">
        <v>5.0952000000000002</v>
      </c>
    </row>
    <row r="974" spans="1:2" x14ac:dyDescent="0.4">
      <c r="A974" s="2">
        <v>44195</v>
      </c>
      <c r="B974" s="3">
        <v>5.0959000000000003</v>
      </c>
    </row>
    <row r="975" spans="1:2" x14ac:dyDescent="0.4">
      <c r="A975" s="2">
        <v>44196</v>
      </c>
      <c r="B975" s="3">
        <v>5.1161000000000003</v>
      </c>
    </row>
    <row r="976" spans="1:2" x14ac:dyDescent="0.4">
      <c r="A976" s="2">
        <v>44200</v>
      </c>
      <c r="B976" s="3">
        <v>5.1417999999999999</v>
      </c>
    </row>
    <row r="977" spans="1:2" x14ac:dyDescent="0.4">
      <c r="A977" s="2">
        <v>44201</v>
      </c>
      <c r="B977" s="3">
        <v>5.0647000000000002</v>
      </c>
    </row>
    <row r="978" spans="1:2" x14ac:dyDescent="0.4">
      <c r="A978" s="2">
        <v>44202</v>
      </c>
      <c r="B978" s="3">
        <v>5.0949999999999998</v>
      </c>
    </row>
    <row r="979" spans="1:2" x14ac:dyDescent="0.4">
      <c r="A979" s="2">
        <v>44203</v>
      </c>
      <c r="B979" s="3">
        <v>5.1002999999999998</v>
      </c>
    </row>
    <row r="980" spans="1:2" x14ac:dyDescent="0.4">
      <c r="A980" s="2">
        <v>44204</v>
      </c>
      <c r="B980" s="3">
        <v>5.1012000000000004</v>
      </c>
    </row>
    <row r="981" spans="1:2" x14ac:dyDescent="0.4">
      <c r="A981" s="2">
        <v>44207</v>
      </c>
      <c r="B981" s="3">
        <v>5.0926999999999998</v>
      </c>
    </row>
    <row r="982" spans="1:2" x14ac:dyDescent="0.4">
      <c r="A982" s="2">
        <v>44208</v>
      </c>
      <c r="B982" s="3">
        <v>5.0743999999999998</v>
      </c>
    </row>
    <row r="983" spans="1:2" x14ac:dyDescent="0.4">
      <c r="A983" s="2">
        <v>44209</v>
      </c>
      <c r="B983" s="3">
        <v>5.0776000000000003</v>
      </c>
    </row>
    <row r="984" spans="1:2" x14ac:dyDescent="0.4">
      <c r="A984" s="2">
        <v>44210</v>
      </c>
      <c r="B984" s="3">
        <v>5.0978000000000003</v>
      </c>
    </row>
    <row r="985" spans="1:2" x14ac:dyDescent="0.4">
      <c r="A985" s="2">
        <v>44211</v>
      </c>
      <c r="B985" s="3">
        <v>5.1111000000000004</v>
      </c>
    </row>
    <row r="986" spans="1:2" x14ac:dyDescent="0.4">
      <c r="A986" s="2">
        <v>44214</v>
      </c>
      <c r="B986" s="3">
        <v>5.0933000000000002</v>
      </c>
    </row>
    <row r="987" spans="1:2" x14ac:dyDescent="0.4">
      <c r="A987" s="2">
        <v>44215</v>
      </c>
      <c r="B987" s="3">
        <v>5.0887000000000002</v>
      </c>
    </row>
    <row r="988" spans="1:2" x14ac:dyDescent="0.4">
      <c r="A988" s="2">
        <v>44216</v>
      </c>
      <c r="B988" s="3">
        <v>5.0956999999999999</v>
      </c>
    </row>
    <row r="989" spans="1:2" x14ac:dyDescent="0.4">
      <c r="A989" s="2">
        <v>44217</v>
      </c>
      <c r="B989" s="3">
        <v>5.1242000000000001</v>
      </c>
    </row>
    <row r="990" spans="1:2" x14ac:dyDescent="0.4">
      <c r="A990" s="2">
        <v>44218</v>
      </c>
      <c r="B990" s="3">
        <v>5.1105999999999998</v>
      </c>
    </row>
    <row r="991" spans="1:2" x14ac:dyDescent="0.4">
      <c r="A991" s="2">
        <v>44221</v>
      </c>
      <c r="B991" s="3">
        <v>5.0933000000000002</v>
      </c>
    </row>
    <row r="992" spans="1:2" x14ac:dyDescent="0.4">
      <c r="A992" s="2">
        <v>44222</v>
      </c>
      <c r="B992" s="3">
        <v>5.0885999999999996</v>
      </c>
    </row>
    <row r="993" spans="1:2" x14ac:dyDescent="0.4">
      <c r="A993" s="2">
        <v>44223</v>
      </c>
      <c r="B993" s="3">
        <v>5.0937999999999999</v>
      </c>
    </row>
    <row r="994" spans="1:2" x14ac:dyDescent="0.4">
      <c r="A994" s="2">
        <v>44224</v>
      </c>
      <c r="B994" s="3">
        <v>5.0597000000000003</v>
      </c>
    </row>
    <row r="995" spans="1:2" x14ac:dyDescent="0.4">
      <c r="A995" s="2">
        <v>44225</v>
      </c>
      <c r="B995" s="3">
        <v>5.0461999999999998</v>
      </c>
    </row>
    <row r="996" spans="1:2" x14ac:dyDescent="0.4">
      <c r="A996" s="2">
        <v>44228</v>
      </c>
      <c r="B996" s="3">
        <v>5.0419999999999998</v>
      </c>
    </row>
    <row r="997" spans="1:2" x14ac:dyDescent="0.4">
      <c r="A997" s="2">
        <v>44229</v>
      </c>
      <c r="B997" s="3">
        <v>5.0388999999999999</v>
      </c>
    </row>
    <row r="998" spans="1:2" x14ac:dyDescent="0.4">
      <c r="A998" s="2">
        <v>44230</v>
      </c>
      <c r="B998" s="3">
        <v>5.0582000000000003</v>
      </c>
    </row>
    <row r="999" spans="1:2" x14ac:dyDescent="0.4">
      <c r="A999" s="2">
        <v>44231</v>
      </c>
      <c r="B999" s="3">
        <v>5.0541999999999998</v>
      </c>
    </row>
    <row r="1000" spans="1:2" x14ac:dyDescent="0.4">
      <c r="A1000" s="2">
        <v>44232</v>
      </c>
      <c r="B1000" s="3">
        <v>5.0461999999999998</v>
      </c>
    </row>
    <row r="1001" spans="1:2" x14ac:dyDescent="0.4">
      <c r="A1001" s="2">
        <v>44235</v>
      </c>
      <c r="B1001" s="3">
        <v>5.0698999999999996</v>
      </c>
    </row>
    <row r="1002" spans="1:2" x14ac:dyDescent="0.4">
      <c r="A1002" s="2">
        <v>44236</v>
      </c>
      <c r="B1002" s="3">
        <v>5.0643000000000002</v>
      </c>
    </row>
    <row r="1003" spans="1:2" x14ac:dyDescent="0.4">
      <c r="A1003" s="2">
        <v>44237</v>
      </c>
      <c r="B1003" s="3">
        <v>5.0711000000000004</v>
      </c>
    </row>
    <row r="1004" spans="1:2" x14ac:dyDescent="0.4">
      <c r="A1004" s="2">
        <v>44245</v>
      </c>
      <c r="B1004" s="3">
        <v>5.0796000000000001</v>
      </c>
    </row>
    <row r="1005" spans="1:2" x14ac:dyDescent="0.4">
      <c r="A1005" s="2">
        <v>44246</v>
      </c>
      <c r="B1005" s="3">
        <v>5.0987</v>
      </c>
    </row>
    <row r="1006" spans="1:2" x14ac:dyDescent="0.4">
      <c r="A1006" s="2">
        <v>44249</v>
      </c>
      <c r="B1006" s="3">
        <v>5.1184000000000003</v>
      </c>
    </row>
    <row r="1007" spans="1:2" x14ac:dyDescent="0.4">
      <c r="A1007" s="2">
        <v>44250</v>
      </c>
      <c r="B1007" s="3">
        <v>5.117</v>
      </c>
    </row>
    <row r="1008" spans="1:2" x14ac:dyDescent="0.4">
      <c r="A1008" s="2">
        <v>44251</v>
      </c>
      <c r="B1008" s="3">
        <v>5.1303999999999998</v>
      </c>
    </row>
    <row r="1009" spans="1:2" x14ac:dyDescent="0.4">
      <c r="A1009" s="2">
        <v>44252</v>
      </c>
      <c r="B1009" s="3">
        <v>5.1563999999999997</v>
      </c>
    </row>
    <row r="1010" spans="1:2" x14ac:dyDescent="0.4">
      <c r="A1010" s="2">
        <v>44253</v>
      </c>
      <c r="B1010" s="3">
        <v>5.1318000000000001</v>
      </c>
    </row>
    <row r="1011" spans="1:2" x14ac:dyDescent="0.4">
      <c r="A1011" s="2">
        <v>44256</v>
      </c>
      <c r="B1011" s="3">
        <v>5.0986000000000002</v>
      </c>
    </row>
    <row r="1012" spans="1:2" x14ac:dyDescent="0.4">
      <c r="A1012" s="2">
        <v>44257</v>
      </c>
      <c r="B1012" s="3">
        <v>5.1105</v>
      </c>
    </row>
    <row r="1013" spans="1:2" x14ac:dyDescent="0.4">
      <c r="A1013" s="2">
        <v>44258</v>
      </c>
      <c r="B1013" s="3">
        <v>5.1081000000000003</v>
      </c>
    </row>
    <row r="1014" spans="1:2" x14ac:dyDescent="0.4">
      <c r="A1014" s="2">
        <v>44259</v>
      </c>
      <c r="B1014" s="3">
        <v>5.1101000000000001</v>
      </c>
    </row>
    <row r="1015" spans="1:2" x14ac:dyDescent="0.4">
      <c r="A1015" s="2">
        <v>44260</v>
      </c>
      <c r="B1015" s="3">
        <v>5.1193999999999997</v>
      </c>
    </row>
    <row r="1016" spans="1:2" x14ac:dyDescent="0.4">
      <c r="A1016" s="2">
        <v>44263</v>
      </c>
      <c r="B1016" s="3">
        <v>5.1284000000000001</v>
      </c>
    </row>
    <row r="1017" spans="1:2" x14ac:dyDescent="0.4">
      <c r="A1017" s="2">
        <v>44264</v>
      </c>
      <c r="B1017" s="3">
        <v>5.1623000000000001</v>
      </c>
    </row>
    <row r="1018" spans="1:2" x14ac:dyDescent="0.4">
      <c r="A1018" s="2">
        <v>44265</v>
      </c>
      <c r="B1018" s="3">
        <v>5.1520000000000001</v>
      </c>
    </row>
    <row r="1019" spans="1:2" x14ac:dyDescent="0.4">
      <c r="A1019" s="2">
        <v>44266</v>
      </c>
      <c r="B1019" s="3">
        <v>5.1498999999999997</v>
      </c>
    </row>
    <row r="1020" spans="1:2" x14ac:dyDescent="0.4">
      <c r="A1020" s="2">
        <v>44267</v>
      </c>
      <c r="B1020" s="3">
        <v>5.1767000000000003</v>
      </c>
    </row>
    <row r="1021" spans="1:2" x14ac:dyDescent="0.4">
      <c r="A1021" s="2">
        <v>44270</v>
      </c>
      <c r="B1021" s="3">
        <v>5.2108999999999996</v>
      </c>
    </row>
    <row r="1022" spans="1:2" x14ac:dyDescent="0.4">
      <c r="A1022" s="2">
        <v>44271</v>
      </c>
      <c r="B1022" s="3">
        <v>5.2118000000000002</v>
      </c>
    </row>
    <row r="1023" spans="1:2" x14ac:dyDescent="0.4">
      <c r="A1023" s="2">
        <v>44272</v>
      </c>
      <c r="B1023" s="3">
        <v>5.2226999999999997</v>
      </c>
    </row>
    <row r="1024" spans="1:2" x14ac:dyDescent="0.4">
      <c r="A1024" s="2">
        <v>44273</v>
      </c>
      <c r="B1024" s="3">
        <v>5.2346000000000004</v>
      </c>
    </row>
    <row r="1025" spans="1:2" x14ac:dyDescent="0.4">
      <c r="A1025" s="2">
        <v>44274</v>
      </c>
      <c r="B1025" s="3">
        <v>5.2115999999999998</v>
      </c>
    </row>
    <row r="1026" spans="1:2" x14ac:dyDescent="0.4">
      <c r="A1026" s="2">
        <v>44277</v>
      </c>
      <c r="B1026" s="3">
        <v>5.2070999999999996</v>
      </c>
    </row>
    <row r="1027" spans="1:2" x14ac:dyDescent="0.4">
      <c r="A1027" s="2">
        <v>44278</v>
      </c>
      <c r="B1027" s="3">
        <v>5.1925999999999997</v>
      </c>
    </row>
    <row r="1028" spans="1:2" x14ac:dyDescent="0.4">
      <c r="A1028" s="2">
        <v>44279</v>
      </c>
      <c r="B1028" s="3">
        <v>5.1805000000000003</v>
      </c>
    </row>
    <row r="1029" spans="1:2" x14ac:dyDescent="0.4">
      <c r="A1029" s="2">
        <v>44280</v>
      </c>
      <c r="B1029" s="3">
        <v>5.1890000000000001</v>
      </c>
    </row>
    <row r="1030" spans="1:2" x14ac:dyDescent="0.4">
      <c r="A1030" s="2">
        <v>44281</v>
      </c>
      <c r="B1030" s="3">
        <v>5.1886999999999999</v>
      </c>
    </row>
    <row r="1031" spans="1:2" x14ac:dyDescent="0.4">
      <c r="A1031" s="2">
        <v>44284</v>
      </c>
      <c r="B1031" s="3">
        <v>5.1988000000000003</v>
      </c>
    </row>
    <row r="1032" spans="1:2" x14ac:dyDescent="0.4">
      <c r="A1032" s="2">
        <v>44285</v>
      </c>
      <c r="B1032" s="3">
        <v>5.2141000000000002</v>
      </c>
    </row>
    <row r="1033" spans="1:2" x14ac:dyDescent="0.4">
      <c r="A1033" s="2">
        <v>44286</v>
      </c>
      <c r="B1033" s="3">
        <v>5.2051999999999996</v>
      </c>
    </row>
    <row r="1034" spans="1:2" x14ac:dyDescent="0.4">
      <c r="A1034" s="2">
        <v>44287</v>
      </c>
      <c r="B1034" s="3">
        <v>5.2201000000000004</v>
      </c>
    </row>
    <row r="1035" spans="1:2" x14ac:dyDescent="0.4">
      <c r="A1035" s="2">
        <v>44288</v>
      </c>
      <c r="B1035" s="3">
        <v>5.2328000000000001</v>
      </c>
    </row>
    <row r="1036" spans="1:2" x14ac:dyDescent="0.4">
      <c r="A1036" s="2">
        <v>44292</v>
      </c>
      <c r="B1036" s="3">
        <v>5.2348999999999997</v>
      </c>
    </row>
    <row r="1037" spans="1:2" x14ac:dyDescent="0.4">
      <c r="A1037" s="2">
        <v>44293</v>
      </c>
      <c r="B1037" s="3">
        <v>5.2001999999999997</v>
      </c>
    </row>
    <row r="1038" spans="1:2" x14ac:dyDescent="0.4">
      <c r="A1038" s="2">
        <v>44294</v>
      </c>
      <c r="B1038" s="3">
        <v>5.1894</v>
      </c>
    </row>
    <row r="1039" spans="1:2" x14ac:dyDescent="0.4">
      <c r="A1039" s="2">
        <v>44295</v>
      </c>
      <c r="B1039" s="3">
        <v>5.2062999999999997</v>
      </c>
    </row>
    <row r="1040" spans="1:2" x14ac:dyDescent="0.4">
      <c r="A1040" s="2">
        <v>44298</v>
      </c>
      <c r="B1040" s="3">
        <v>5.2336</v>
      </c>
    </row>
    <row r="1041" spans="1:2" x14ac:dyDescent="0.4">
      <c r="A1041" s="2">
        <v>44299</v>
      </c>
      <c r="B1041" s="3">
        <v>5.2099000000000002</v>
      </c>
    </row>
    <row r="1042" spans="1:2" x14ac:dyDescent="0.4">
      <c r="A1042" s="2">
        <v>44300</v>
      </c>
      <c r="B1042" s="3">
        <v>5.2142999999999997</v>
      </c>
    </row>
    <row r="1043" spans="1:2" x14ac:dyDescent="0.4">
      <c r="A1043" s="2">
        <v>44301</v>
      </c>
      <c r="B1043" s="3">
        <v>5.2171000000000003</v>
      </c>
    </row>
    <row r="1044" spans="1:2" x14ac:dyDescent="0.4">
      <c r="A1044" s="2">
        <v>44302</v>
      </c>
      <c r="B1044" s="3">
        <v>5.2050000000000001</v>
      </c>
    </row>
    <row r="1045" spans="1:2" x14ac:dyDescent="0.4">
      <c r="A1045" s="2">
        <v>44305</v>
      </c>
      <c r="B1045" s="3">
        <v>5.2123999999999997</v>
      </c>
    </row>
    <row r="1046" spans="1:2" x14ac:dyDescent="0.4">
      <c r="A1046" s="2">
        <v>44306</v>
      </c>
      <c r="B1046" s="3">
        <v>5.1962000000000002</v>
      </c>
    </row>
    <row r="1047" spans="1:2" x14ac:dyDescent="0.4">
      <c r="A1047" s="2">
        <v>44307</v>
      </c>
      <c r="B1047" s="3">
        <v>5.1577000000000002</v>
      </c>
    </row>
    <row r="1048" spans="1:2" x14ac:dyDescent="0.4">
      <c r="A1048" s="2">
        <v>44308</v>
      </c>
      <c r="B1048" s="3">
        <v>5.1902999999999997</v>
      </c>
    </row>
    <row r="1049" spans="1:2" x14ac:dyDescent="0.4">
      <c r="A1049" s="2">
        <v>44309</v>
      </c>
      <c r="B1049" s="3">
        <v>5.1947999999999999</v>
      </c>
    </row>
    <row r="1050" spans="1:2" x14ac:dyDescent="0.4">
      <c r="A1050" s="2">
        <v>44312</v>
      </c>
      <c r="B1050" s="3">
        <v>5.1976000000000004</v>
      </c>
    </row>
    <row r="1051" spans="1:2" x14ac:dyDescent="0.4">
      <c r="A1051" s="2">
        <v>44313</v>
      </c>
      <c r="B1051" s="3">
        <v>5.2369000000000003</v>
      </c>
    </row>
    <row r="1052" spans="1:2" x14ac:dyDescent="0.4">
      <c r="A1052" s="2">
        <v>44314</v>
      </c>
      <c r="B1052" s="3">
        <v>5.2282000000000002</v>
      </c>
    </row>
    <row r="1053" spans="1:2" x14ac:dyDescent="0.4">
      <c r="A1053" s="2">
        <v>44315</v>
      </c>
      <c r="B1053" s="3">
        <v>5.2592999999999996</v>
      </c>
    </row>
    <row r="1054" spans="1:2" x14ac:dyDescent="0.4">
      <c r="A1054" s="2">
        <v>44316</v>
      </c>
      <c r="B1054" s="3">
        <v>5.2675999999999998</v>
      </c>
    </row>
    <row r="1055" spans="1:2" x14ac:dyDescent="0.4">
      <c r="A1055" s="2">
        <v>44322</v>
      </c>
      <c r="B1055" s="3">
        <v>5.2885999999999997</v>
      </c>
    </row>
    <row r="1056" spans="1:2" x14ac:dyDescent="0.4">
      <c r="A1056" s="2">
        <v>44323</v>
      </c>
      <c r="B1056" s="3">
        <v>5.319</v>
      </c>
    </row>
    <row r="1057" spans="1:2" x14ac:dyDescent="0.4">
      <c r="A1057" s="2">
        <v>44326</v>
      </c>
      <c r="B1057" s="3">
        <v>5.3131000000000004</v>
      </c>
    </row>
    <row r="1058" spans="1:2" x14ac:dyDescent="0.4">
      <c r="A1058" s="2">
        <v>44327</v>
      </c>
      <c r="B1058" s="3">
        <v>5.3090999999999999</v>
      </c>
    </row>
    <row r="1059" spans="1:2" x14ac:dyDescent="0.4">
      <c r="A1059" s="2">
        <v>44328</v>
      </c>
      <c r="B1059" s="3">
        <v>5.3117000000000001</v>
      </c>
    </row>
    <row r="1060" spans="1:2" x14ac:dyDescent="0.4">
      <c r="A1060" s="2">
        <v>44329</v>
      </c>
      <c r="B1060" s="3">
        <v>5.3293999999999997</v>
      </c>
    </row>
    <row r="1061" spans="1:2" x14ac:dyDescent="0.4">
      <c r="A1061" s="2">
        <v>44330</v>
      </c>
      <c r="B1061" s="3">
        <v>5.3028000000000004</v>
      </c>
    </row>
    <row r="1062" spans="1:2" x14ac:dyDescent="0.4">
      <c r="A1062" s="2">
        <v>44333</v>
      </c>
      <c r="B1062" s="3">
        <v>5.3089000000000004</v>
      </c>
    </row>
    <row r="1063" spans="1:2" x14ac:dyDescent="0.4">
      <c r="A1063" s="2">
        <v>44334</v>
      </c>
      <c r="B1063" s="3">
        <v>5.3343999999999996</v>
      </c>
    </row>
    <row r="1064" spans="1:2" x14ac:dyDescent="0.4">
      <c r="A1064" s="2">
        <v>44335</v>
      </c>
      <c r="B1064" s="3">
        <v>5.3249000000000004</v>
      </c>
    </row>
    <row r="1065" spans="1:2" x14ac:dyDescent="0.4">
      <c r="A1065" s="2">
        <v>44336</v>
      </c>
      <c r="B1065" s="3">
        <v>5.3140000000000001</v>
      </c>
    </row>
    <row r="1066" spans="1:2" x14ac:dyDescent="0.4">
      <c r="A1066" s="2">
        <v>44337</v>
      </c>
      <c r="B1066" s="3">
        <v>5.3299000000000003</v>
      </c>
    </row>
    <row r="1067" spans="1:2" x14ac:dyDescent="0.4">
      <c r="A1067" s="2">
        <v>44340</v>
      </c>
      <c r="B1067" s="3">
        <v>5.3369</v>
      </c>
    </row>
    <row r="1068" spans="1:2" x14ac:dyDescent="0.4">
      <c r="A1068" s="2">
        <v>44341</v>
      </c>
      <c r="B1068" s="3">
        <v>5.3342999999999998</v>
      </c>
    </row>
    <row r="1069" spans="1:2" x14ac:dyDescent="0.4">
      <c r="A1069" s="2">
        <v>44342</v>
      </c>
      <c r="B1069" s="3">
        <v>5.3129999999999997</v>
      </c>
    </row>
    <row r="1070" spans="1:2" x14ac:dyDescent="0.4">
      <c r="A1070" s="2">
        <v>44343</v>
      </c>
      <c r="B1070" s="3">
        <v>5.2797000000000001</v>
      </c>
    </row>
    <row r="1071" spans="1:2" x14ac:dyDescent="0.4">
      <c r="A1071" s="2">
        <v>44344</v>
      </c>
      <c r="B1071" s="3">
        <v>5.2881</v>
      </c>
    </row>
    <row r="1072" spans="1:2" x14ac:dyDescent="0.4">
      <c r="A1072" s="2">
        <v>44347</v>
      </c>
      <c r="B1072" s="3">
        <v>5.2709000000000001</v>
      </c>
    </row>
    <row r="1073" spans="1:2" x14ac:dyDescent="0.4">
      <c r="A1073" s="2">
        <v>44348</v>
      </c>
      <c r="B1073" s="3">
        <v>5.2693000000000003</v>
      </c>
    </row>
    <row r="1074" spans="1:2" x14ac:dyDescent="0.4">
      <c r="A1074" s="2">
        <v>44349</v>
      </c>
      <c r="B1074" s="3">
        <v>5.2812999999999999</v>
      </c>
    </row>
    <row r="1075" spans="1:2" x14ac:dyDescent="0.4">
      <c r="A1075" s="2">
        <v>44350</v>
      </c>
      <c r="B1075" s="3">
        <v>5.2998000000000003</v>
      </c>
    </row>
    <row r="1076" spans="1:2" x14ac:dyDescent="0.4">
      <c r="A1076" s="2">
        <v>44351</v>
      </c>
      <c r="B1076" s="3">
        <v>5.2911000000000001</v>
      </c>
    </row>
    <row r="1077" spans="1:2" x14ac:dyDescent="0.4">
      <c r="A1077" s="2">
        <v>44354</v>
      </c>
      <c r="B1077" s="3">
        <v>5.2944000000000004</v>
      </c>
    </row>
    <row r="1078" spans="1:2" x14ac:dyDescent="0.4">
      <c r="A1078" s="2">
        <v>44355</v>
      </c>
      <c r="B1078" s="3">
        <v>5.2885</v>
      </c>
    </row>
    <row r="1079" spans="1:2" x14ac:dyDescent="0.4">
      <c r="A1079" s="2">
        <v>44356</v>
      </c>
      <c r="B1079" s="3">
        <v>5.2798999999999996</v>
      </c>
    </row>
    <row r="1080" spans="1:2" x14ac:dyDescent="0.4">
      <c r="A1080" s="2">
        <v>44357</v>
      </c>
      <c r="B1080" s="3">
        <v>5.28</v>
      </c>
    </row>
    <row r="1081" spans="1:2" x14ac:dyDescent="0.4">
      <c r="A1081" s="2">
        <v>44358</v>
      </c>
      <c r="B1081" s="3">
        <v>5.2797000000000001</v>
      </c>
    </row>
    <row r="1082" spans="1:2" x14ac:dyDescent="0.4">
      <c r="A1082" s="2">
        <v>44362</v>
      </c>
      <c r="B1082" s="3">
        <v>5.2766000000000002</v>
      </c>
    </row>
    <row r="1083" spans="1:2" x14ac:dyDescent="0.4">
      <c r="A1083" s="2">
        <v>44363</v>
      </c>
      <c r="B1083" s="3">
        <v>5.2586000000000004</v>
      </c>
    </row>
    <row r="1084" spans="1:2" x14ac:dyDescent="0.4">
      <c r="A1084" s="2">
        <v>44364</v>
      </c>
      <c r="B1084" s="3">
        <v>5.2333999999999996</v>
      </c>
    </row>
    <row r="1085" spans="1:2" x14ac:dyDescent="0.4">
      <c r="A1085" s="2">
        <v>44365</v>
      </c>
      <c r="B1085" s="3">
        <v>5.2134999999999998</v>
      </c>
    </row>
    <row r="1086" spans="1:2" x14ac:dyDescent="0.4">
      <c r="A1086" s="2">
        <v>44368</v>
      </c>
      <c r="B1086" s="3">
        <v>5.1871999999999998</v>
      </c>
    </row>
    <row r="1087" spans="1:2" x14ac:dyDescent="0.4">
      <c r="A1087" s="2">
        <v>44369</v>
      </c>
      <c r="B1087" s="3">
        <v>5.2248999999999999</v>
      </c>
    </row>
    <row r="1088" spans="1:2" x14ac:dyDescent="0.4">
      <c r="A1088" s="2">
        <v>44370</v>
      </c>
      <c r="B1088" s="3">
        <v>5.2504999999999997</v>
      </c>
    </row>
    <row r="1089" spans="1:2" x14ac:dyDescent="0.4">
      <c r="A1089" s="2">
        <v>44371</v>
      </c>
      <c r="B1089" s="3">
        <v>5.2691999999999997</v>
      </c>
    </row>
    <row r="1090" spans="1:2" x14ac:dyDescent="0.4">
      <c r="A1090" s="2">
        <v>44372</v>
      </c>
      <c r="B1090" s="3">
        <v>5.2548000000000004</v>
      </c>
    </row>
    <row r="1091" spans="1:2" x14ac:dyDescent="0.4">
      <c r="A1091" s="2">
        <v>44375</v>
      </c>
      <c r="B1091" s="3">
        <v>5.2525000000000004</v>
      </c>
    </row>
    <row r="1092" spans="1:2" x14ac:dyDescent="0.4">
      <c r="A1092" s="2">
        <v>44376</v>
      </c>
      <c r="B1092" s="3">
        <v>5.2336999999999998</v>
      </c>
    </row>
    <row r="1093" spans="1:2" x14ac:dyDescent="0.4">
      <c r="A1093" s="2">
        <v>44377</v>
      </c>
      <c r="B1093" s="3">
        <v>5.2096999999999998</v>
      </c>
    </row>
    <row r="1094" spans="1:2" x14ac:dyDescent="0.4">
      <c r="A1094" s="2">
        <v>44378</v>
      </c>
      <c r="B1094" s="3">
        <v>5.2202000000000002</v>
      </c>
    </row>
    <row r="1095" spans="1:2" x14ac:dyDescent="0.4">
      <c r="A1095" s="2">
        <v>44379</v>
      </c>
      <c r="B1095" s="3">
        <v>5.2004000000000001</v>
      </c>
    </row>
    <row r="1096" spans="1:2" x14ac:dyDescent="0.4">
      <c r="A1096" s="2">
        <v>44382</v>
      </c>
      <c r="B1096" s="3">
        <v>5.2473999999999998</v>
      </c>
    </row>
    <row r="1097" spans="1:2" x14ac:dyDescent="0.4">
      <c r="A1097" s="2">
        <v>44383</v>
      </c>
      <c r="B1097" s="3">
        <v>5.2367999999999997</v>
      </c>
    </row>
    <row r="1098" spans="1:2" x14ac:dyDescent="0.4">
      <c r="A1098" s="2">
        <v>44384</v>
      </c>
      <c r="B1098" s="3">
        <v>5.1970000000000001</v>
      </c>
    </row>
    <row r="1099" spans="1:2" x14ac:dyDescent="0.4">
      <c r="A1099" s="2">
        <v>44385</v>
      </c>
      <c r="B1099" s="3">
        <v>5.1845999999999997</v>
      </c>
    </row>
    <row r="1100" spans="1:2" x14ac:dyDescent="0.4">
      <c r="A1100" s="2">
        <v>44386</v>
      </c>
      <c r="B1100" s="3">
        <v>5.1657999999999999</v>
      </c>
    </row>
    <row r="1101" spans="1:2" x14ac:dyDescent="0.4">
      <c r="A1101" s="2">
        <v>44389</v>
      </c>
      <c r="B1101" s="3">
        <v>5.2004000000000001</v>
      </c>
    </row>
    <row r="1102" spans="1:2" x14ac:dyDescent="0.4">
      <c r="A1102" s="2">
        <v>44390</v>
      </c>
      <c r="B1102" s="3">
        <v>5.1993999999999998</v>
      </c>
    </row>
    <row r="1103" spans="1:2" x14ac:dyDescent="0.4">
      <c r="A1103" s="2">
        <v>44391</v>
      </c>
      <c r="B1103" s="3">
        <v>5.1765999999999996</v>
      </c>
    </row>
    <row r="1104" spans="1:2" x14ac:dyDescent="0.4">
      <c r="A1104" s="2">
        <v>44392</v>
      </c>
      <c r="B1104" s="3">
        <v>5.1641000000000004</v>
      </c>
    </row>
    <row r="1105" spans="1:2" x14ac:dyDescent="0.4">
      <c r="A1105" s="2">
        <v>44393</v>
      </c>
      <c r="B1105" s="3">
        <v>5.1361999999999997</v>
      </c>
    </row>
    <row r="1106" spans="1:2" x14ac:dyDescent="0.4">
      <c r="A1106" s="2">
        <v>44396</v>
      </c>
      <c r="B1106" s="3">
        <v>5.1276000000000002</v>
      </c>
    </row>
    <row r="1107" spans="1:2" x14ac:dyDescent="0.4">
      <c r="A1107" s="2">
        <v>44397</v>
      </c>
      <c r="B1107" s="3">
        <v>5.0875000000000004</v>
      </c>
    </row>
    <row r="1108" spans="1:2" x14ac:dyDescent="0.4">
      <c r="A1108" s="2">
        <v>44398</v>
      </c>
      <c r="B1108" s="3">
        <v>5.1139999999999999</v>
      </c>
    </row>
    <row r="1109" spans="1:2" x14ac:dyDescent="0.4">
      <c r="A1109" s="2">
        <v>44399</v>
      </c>
      <c r="B1109" s="3">
        <v>5.1444999999999999</v>
      </c>
    </row>
    <row r="1110" spans="1:2" x14ac:dyDescent="0.4">
      <c r="A1110" s="2">
        <v>44400</v>
      </c>
      <c r="B1110" s="3">
        <v>5.1459000000000001</v>
      </c>
    </row>
    <row r="1111" spans="1:2" x14ac:dyDescent="0.4">
      <c r="A1111" s="2">
        <v>44403</v>
      </c>
      <c r="B1111" s="3">
        <v>5.1539999999999999</v>
      </c>
    </row>
    <row r="1112" spans="1:2" x14ac:dyDescent="0.4">
      <c r="A1112" s="2">
        <v>44404</v>
      </c>
      <c r="B1112" s="3">
        <v>5.1619000000000002</v>
      </c>
    </row>
    <row r="1113" spans="1:2" x14ac:dyDescent="0.4">
      <c r="A1113" s="2">
        <v>44405</v>
      </c>
      <c r="B1113" s="3">
        <v>5.1566000000000001</v>
      </c>
    </row>
    <row r="1114" spans="1:2" x14ac:dyDescent="0.4">
      <c r="A1114" s="2">
        <v>44406</v>
      </c>
      <c r="B1114" s="3">
        <v>5.1879999999999997</v>
      </c>
    </row>
    <row r="1115" spans="1:2" x14ac:dyDescent="0.4">
      <c r="A1115" s="2">
        <v>44407</v>
      </c>
      <c r="B1115" s="3">
        <v>5.1894</v>
      </c>
    </row>
    <row r="1116" spans="1:2" x14ac:dyDescent="0.4">
      <c r="A1116" s="2">
        <v>44410</v>
      </c>
      <c r="B1116" s="3">
        <v>5.1852</v>
      </c>
    </row>
    <row r="1117" spans="1:2" x14ac:dyDescent="0.4">
      <c r="A1117" s="2">
        <v>44411</v>
      </c>
      <c r="B1117" s="3">
        <v>5.1685999999999996</v>
      </c>
    </row>
    <row r="1118" spans="1:2" x14ac:dyDescent="0.4">
      <c r="A1118" s="2">
        <v>44412</v>
      </c>
      <c r="B1118" s="3">
        <v>5.1580000000000004</v>
      </c>
    </row>
    <row r="1119" spans="1:2" x14ac:dyDescent="0.4">
      <c r="A1119" s="2">
        <v>44413</v>
      </c>
      <c r="B1119" s="3">
        <v>5.1574999999999998</v>
      </c>
    </row>
    <row r="1120" spans="1:2" x14ac:dyDescent="0.4">
      <c r="A1120" s="2">
        <v>44414</v>
      </c>
      <c r="B1120" s="3">
        <v>5.1711</v>
      </c>
    </row>
    <row r="1121" spans="1:2" x14ac:dyDescent="0.4">
      <c r="A1121" s="2">
        <v>44417</v>
      </c>
      <c r="B1121" s="3">
        <v>5.1573000000000002</v>
      </c>
    </row>
    <row r="1122" spans="1:2" x14ac:dyDescent="0.4">
      <c r="A1122" s="2">
        <v>44418</v>
      </c>
      <c r="B1122" s="3">
        <v>5.1558999999999999</v>
      </c>
    </row>
    <row r="1123" spans="1:2" x14ac:dyDescent="0.4">
      <c r="A1123" s="2">
        <v>44419</v>
      </c>
      <c r="B1123" s="3">
        <v>5.1783999999999999</v>
      </c>
    </row>
    <row r="1124" spans="1:2" x14ac:dyDescent="0.4">
      <c r="A1124" s="2">
        <v>44420</v>
      </c>
      <c r="B1124" s="3">
        <v>5.1787999999999998</v>
      </c>
    </row>
    <row r="1125" spans="1:2" x14ac:dyDescent="0.4">
      <c r="A1125" s="2">
        <v>44421</v>
      </c>
      <c r="B1125" s="3">
        <v>5.1761999999999997</v>
      </c>
    </row>
    <row r="1126" spans="1:2" x14ac:dyDescent="0.4">
      <c r="A1126" s="2">
        <v>44424</v>
      </c>
      <c r="B1126" s="3">
        <v>5.1680999999999999</v>
      </c>
    </row>
    <row r="1127" spans="1:2" x14ac:dyDescent="0.4">
      <c r="A1127" s="2">
        <v>44425</v>
      </c>
      <c r="B1127" s="3">
        <v>5.1519000000000004</v>
      </c>
    </row>
    <row r="1128" spans="1:2" x14ac:dyDescent="0.4">
      <c r="A1128" s="2">
        <v>44426</v>
      </c>
      <c r="B1128" s="3">
        <v>5.1436999999999999</v>
      </c>
    </row>
    <row r="1129" spans="1:2" x14ac:dyDescent="0.4">
      <c r="A1129" s="2">
        <v>44427</v>
      </c>
      <c r="B1129" s="3">
        <v>5.1228999999999996</v>
      </c>
    </row>
    <row r="1130" spans="1:2" x14ac:dyDescent="0.4">
      <c r="A1130" s="2">
        <v>44428</v>
      </c>
      <c r="B1130" s="3">
        <v>5.0662000000000003</v>
      </c>
    </row>
    <row r="1131" spans="1:2" x14ac:dyDescent="0.4">
      <c r="A1131" s="2">
        <v>44431</v>
      </c>
      <c r="B1131" s="3">
        <v>5.0674000000000001</v>
      </c>
    </row>
    <row r="1132" spans="1:2" x14ac:dyDescent="0.4">
      <c r="A1132" s="2">
        <v>44432</v>
      </c>
      <c r="B1132" s="3">
        <v>5.1226000000000003</v>
      </c>
    </row>
    <row r="1133" spans="1:2" x14ac:dyDescent="0.4">
      <c r="A1133" s="2">
        <v>44433</v>
      </c>
      <c r="B1133" s="3">
        <v>5.1387999999999998</v>
      </c>
    </row>
    <row r="1134" spans="1:2" x14ac:dyDescent="0.4">
      <c r="A1134" s="2">
        <v>44434</v>
      </c>
      <c r="B1134" s="3">
        <v>5.1406999999999998</v>
      </c>
    </row>
    <row r="1135" spans="1:2" x14ac:dyDescent="0.4">
      <c r="A1135" s="2">
        <v>44435</v>
      </c>
      <c r="B1135" s="3">
        <v>5.1140999999999996</v>
      </c>
    </row>
    <row r="1136" spans="1:2" x14ac:dyDescent="0.4">
      <c r="A1136" s="2">
        <v>44438</v>
      </c>
      <c r="B1136" s="3">
        <v>5.1279000000000003</v>
      </c>
    </row>
    <row r="1137" spans="1:2" x14ac:dyDescent="0.4">
      <c r="A1137" s="2">
        <v>44439</v>
      </c>
      <c r="B1137" s="3">
        <v>5.1303999999999998</v>
      </c>
    </row>
    <row r="1138" spans="1:2" x14ac:dyDescent="0.4">
      <c r="A1138" s="2">
        <v>44440</v>
      </c>
      <c r="B1138" s="3">
        <v>5.1272000000000002</v>
      </c>
    </row>
    <row r="1139" spans="1:2" x14ac:dyDescent="0.4">
      <c r="A1139" s="2">
        <v>44441</v>
      </c>
      <c r="B1139" s="3">
        <v>5.1158000000000001</v>
      </c>
    </row>
    <row r="1140" spans="1:2" x14ac:dyDescent="0.4">
      <c r="A1140" s="2">
        <v>44442</v>
      </c>
      <c r="B1140" s="3">
        <v>5.1441999999999997</v>
      </c>
    </row>
    <row r="1141" spans="1:2" x14ac:dyDescent="0.4">
      <c r="A1141" s="2">
        <v>44445</v>
      </c>
      <c r="B1141" s="3">
        <v>5.1502999999999997</v>
      </c>
    </row>
    <row r="1142" spans="1:2" x14ac:dyDescent="0.4">
      <c r="A1142" s="2">
        <v>44446</v>
      </c>
      <c r="B1142" s="3">
        <v>5.1494999999999997</v>
      </c>
    </row>
    <row r="1143" spans="1:2" x14ac:dyDescent="0.4">
      <c r="A1143" s="2">
        <v>44447</v>
      </c>
      <c r="B1143" s="3">
        <v>5.1132999999999997</v>
      </c>
    </row>
    <row r="1144" spans="1:2" x14ac:dyDescent="0.4">
      <c r="A1144" s="2">
        <v>44448</v>
      </c>
      <c r="B1144" s="3">
        <v>5.0915999999999997</v>
      </c>
    </row>
    <row r="1145" spans="1:2" x14ac:dyDescent="0.4">
      <c r="A1145" s="2">
        <v>44449</v>
      </c>
      <c r="B1145" s="3">
        <v>5.0991</v>
      </c>
    </row>
    <row r="1146" spans="1:2" x14ac:dyDescent="0.4">
      <c r="A1146" s="2">
        <v>44452</v>
      </c>
      <c r="B1146" s="3">
        <v>5.0858999999999996</v>
      </c>
    </row>
    <row r="1147" spans="1:2" x14ac:dyDescent="0.4">
      <c r="A1147" s="2">
        <v>44453</v>
      </c>
      <c r="B1147" s="3">
        <v>5.1010999999999997</v>
      </c>
    </row>
    <row r="1148" spans="1:2" x14ac:dyDescent="0.4">
      <c r="A1148" s="2">
        <v>44454</v>
      </c>
      <c r="B1148" s="3">
        <v>5.0808</v>
      </c>
    </row>
    <row r="1149" spans="1:2" x14ac:dyDescent="0.4">
      <c r="A1149" s="2">
        <v>44455</v>
      </c>
      <c r="B1149" s="3">
        <v>5.0959000000000003</v>
      </c>
    </row>
    <row r="1150" spans="1:2" x14ac:dyDescent="0.4">
      <c r="A1150" s="2">
        <v>44456</v>
      </c>
      <c r="B1150" s="3">
        <v>5.0873999999999997</v>
      </c>
    </row>
    <row r="1151" spans="1:2" x14ac:dyDescent="0.4">
      <c r="A1151" s="2">
        <v>44461</v>
      </c>
      <c r="B1151" s="3">
        <v>5.0434000000000001</v>
      </c>
    </row>
    <row r="1152" spans="1:2" x14ac:dyDescent="0.4">
      <c r="A1152" s="2">
        <v>44462</v>
      </c>
      <c r="B1152" s="3">
        <v>5.0667999999999997</v>
      </c>
    </row>
    <row r="1153" spans="1:2" x14ac:dyDescent="0.4">
      <c r="A1153" s="2">
        <v>44463</v>
      </c>
      <c r="B1153" s="3">
        <v>5.1029</v>
      </c>
    </row>
    <row r="1154" spans="1:2" x14ac:dyDescent="0.4">
      <c r="A1154" s="2">
        <v>44466</v>
      </c>
      <c r="B1154" s="3">
        <v>5.1132</v>
      </c>
    </row>
    <row r="1155" spans="1:2" x14ac:dyDescent="0.4">
      <c r="A1155" s="2">
        <v>44467</v>
      </c>
      <c r="B1155" s="3">
        <v>5.1161000000000003</v>
      </c>
    </row>
    <row r="1156" spans="1:2" x14ac:dyDescent="0.4">
      <c r="A1156" s="2">
        <v>44468</v>
      </c>
      <c r="B1156" s="3">
        <v>5.0982000000000003</v>
      </c>
    </row>
    <row r="1157" spans="1:2" x14ac:dyDescent="0.4">
      <c r="A1157" s="2">
        <v>44469</v>
      </c>
      <c r="B1157" s="3">
        <v>5.0852000000000004</v>
      </c>
    </row>
    <row r="1158" spans="1:2" x14ac:dyDescent="0.4">
      <c r="A1158" s="2">
        <v>44477</v>
      </c>
      <c r="B1158" s="3">
        <v>5.1448999999999998</v>
      </c>
    </row>
    <row r="1159" spans="1:2" x14ac:dyDescent="0.4">
      <c r="A1159" s="2">
        <v>44480</v>
      </c>
      <c r="B1159" s="3">
        <v>5.1670999999999996</v>
      </c>
    </row>
    <row r="1160" spans="1:2" x14ac:dyDescent="0.4">
      <c r="A1160" s="2">
        <v>44481</v>
      </c>
      <c r="B1160" s="3">
        <v>5.1611000000000002</v>
      </c>
    </row>
    <row r="1161" spans="1:2" x14ac:dyDescent="0.4">
      <c r="A1161" s="2">
        <v>44482</v>
      </c>
      <c r="B1161" s="3">
        <v>5.1807999999999996</v>
      </c>
    </row>
    <row r="1162" spans="1:2" x14ac:dyDescent="0.4">
      <c r="A1162" s="2">
        <v>44483</v>
      </c>
      <c r="B1162" s="3">
        <v>5.1741999999999999</v>
      </c>
    </row>
    <row r="1163" spans="1:2" x14ac:dyDescent="0.4">
      <c r="A1163" s="2">
        <v>44484</v>
      </c>
      <c r="B1163" s="3">
        <v>5.2035</v>
      </c>
    </row>
    <row r="1164" spans="1:2" x14ac:dyDescent="0.4">
      <c r="A1164" s="2">
        <v>44487</v>
      </c>
      <c r="B1164" s="3">
        <v>5.1992000000000003</v>
      </c>
    </row>
    <row r="1165" spans="1:2" x14ac:dyDescent="0.4">
      <c r="A1165" s="2">
        <v>44488</v>
      </c>
      <c r="B1165" s="3">
        <v>5.1952999999999996</v>
      </c>
    </row>
    <row r="1166" spans="1:2" x14ac:dyDescent="0.4">
      <c r="A1166" s="2">
        <v>44489</v>
      </c>
      <c r="B1166" s="3">
        <v>5.1806000000000001</v>
      </c>
    </row>
    <row r="1167" spans="1:2" x14ac:dyDescent="0.4">
      <c r="A1167" s="2">
        <v>44490</v>
      </c>
      <c r="B1167" s="3">
        <v>5.1840000000000002</v>
      </c>
    </row>
    <row r="1168" spans="1:2" x14ac:dyDescent="0.4">
      <c r="A1168" s="2">
        <v>44491</v>
      </c>
      <c r="B1168" s="3">
        <v>5.1772999999999998</v>
      </c>
    </row>
    <row r="1169" spans="1:2" x14ac:dyDescent="0.4">
      <c r="A1169" s="2">
        <v>44494</v>
      </c>
      <c r="B1169" s="3">
        <v>5.1670999999999996</v>
      </c>
    </row>
    <row r="1170" spans="1:2" x14ac:dyDescent="0.4">
      <c r="A1170" s="2">
        <v>44495</v>
      </c>
      <c r="B1170" s="3">
        <v>5.1590999999999996</v>
      </c>
    </row>
    <row r="1171" spans="1:2" x14ac:dyDescent="0.4">
      <c r="A1171" s="2">
        <v>44496</v>
      </c>
      <c r="B1171" s="3">
        <v>5.1532</v>
      </c>
    </row>
    <row r="1172" spans="1:2" x14ac:dyDescent="0.4">
      <c r="A1172" s="2">
        <v>44497</v>
      </c>
      <c r="B1172" s="3">
        <v>5.1715999999999998</v>
      </c>
    </row>
    <row r="1173" spans="1:2" x14ac:dyDescent="0.4">
      <c r="A1173" s="2">
        <v>44498</v>
      </c>
      <c r="B1173" s="3">
        <v>5.1742999999999997</v>
      </c>
    </row>
    <row r="1174" spans="1:2" x14ac:dyDescent="0.4">
      <c r="A1174" s="2">
        <v>44501</v>
      </c>
      <c r="B1174" s="3">
        <v>5.1839000000000004</v>
      </c>
    </row>
    <row r="1175" spans="1:2" x14ac:dyDescent="0.4">
      <c r="A1175" s="2">
        <v>44502</v>
      </c>
      <c r="B1175" s="3">
        <v>5.1715</v>
      </c>
    </row>
    <row r="1176" spans="1:2" x14ac:dyDescent="0.4">
      <c r="A1176" s="2">
        <v>44503</v>
      </c>
      <c r="B1176" s="3">
        <v>5.1627999999999998</v>
      </c>
    </row>
    <row r="1177" spans="1:2" x14ac:dyDescent="0.4">
      <c r="A1177" s="2">
        <v>44504</v>
      </c>
      <c r="B1177" s="3">
        <v>5.1630000000000003</v>
      </c>
    </row>
    <row r="1178" spans="1:2" x14ac:dyDescent="0.4">
      <c r="A1178" s="2">
        <v>44505</v>
      </c>
      <c r="B1178" s="3">
        <v>5.1375000000000002</v>
      </c>
    </row>
    <row r="1179" spans="1:2" x14ac:dyDescent="0.4">
      <c r="A1179" s="2">
        <v>44508</v>
      </c>
      <c r="B1179" s="3">
        <v>5.1345999999999998</v>
      </c>
    </row>
    <row r="1180" spans="1:2" x14ac:dyDescent="0.4">
      <c r="A1180" s="2">
        <v>44509</v>
      </c>
      <c r="B1180" s="3">
        <v>5.1341999999999999</v>
      </c>
    </row>
    <row r="1181" spans="1:2" x14ac:dyDescent="0.4">
      <c r="A1181" s="2">
        <v>44510</v>
      </c>
      <c r="B1181" s="3">
        <v>5.1410999999999998</v>
      </c>
    </row>
    <row r="1182" spans="1:2" x14ac:dyDescent="0.4">
      <c r="A1182" s="2">
        <v>44511</v>
      </c>
      <c r="B1182" s="3">
        <v>5.1356999999999999</v>
      </c>
    </row>
    <row r="1183" spans="1:2" x14ac:dyDescent="0.4">
      <c r="A1183" s="2">
        <v>44512</v>
      </c>
      <c r="B1183" s="3">
        <v>5.0894000000000004</v>
      </c>
    </row>
    <row r="1184" spans="1:2" x14ac:dyDescent="0.4">
      <c r="A1184" s="2">
        <v>44515</v>
      </c>
      <c r="B1184" s="3">
        <v>5.0922999999999998</v>
      </c>
    </row>
    <row r="1185" spans="1:2" x14ac:dyDescent="0.4">
      <c r="A1185" s="2">
        <v>44516</v>
      </c>
      <c r="B1185" s="3">
        <v>5.1094999999999997</v>
      </c>
    </row>
    <row r="1186" spans="1:2" x14ac:dyDescent="0.4">
      <c r="A1186" s="2">
        <v>44517</v>
      </c>
      <c r="B1186" s="3">
        <v>5.0890000000000004</v>
      </c>
    </row>
    <row r="1187" spans="1:2" x14ac:dyDescent="0.4">
      <c r="A1187" s="2">
        <v>44518</v>
      </c>
      <c r="B1187" s="3">
        <v>5.0579999999999998</v>
      </c>
    </row>
    <row r="1188" spans="1:2" x14ac:dyDescent="0.4">
      <c r="A1188" s="2">
        <v>44519</v>
      </c>
      <c r="B1188" s="3">
        <v>5.0646000000000004</v>
      </c>
    </row>
    <row r="1189" spans="1:2" x14ac:dyDescent="0.4">
      <c r="A1189" s="2">
        <v>44522</v>
      </c>
      <c r="B1189" s="3">
        <v>5.0549999999999997</v>
      </c>
    </row>
    <row r="1190" spans="1:2" x14ac:dyDescent="0.4">
      <c r="A1190" s="2">
        <v>44523</v>
      </c>
      <c r="B1190" s="3">
        <v>5.0311000000000003</v>
      </c>
    </row>
    <row r="1191" spans="1:2" x14ac:dyDescent="0.4">
      <c r="A1191" s="2">
        <v>44524</v>
      </c>
      <c r="B1191" s="3">
        <v>5.0411999999999999</v>
      </c>
    </row>
    <row r="1192" spans="1:2" x14ac:dyDescent="0.4">
      <c r="A1192" s="2">
        <v>44525</v>
      </c>
      <c r="B1192" s="3">
        <v>5.0522999999999998</v>
      </c>
    </row>
    <row r="1193" spans="1:2" x14ac:dyDescent="0.4">
      <c r="A1193" s="2">
        <v>44526</v>
      </c>
      <c r="B1193" s="3">
        <v>5.0526999999999997</v>
      </c>
    </row>
    <row r="1194" spans="1:2" x14ac:dyDescent="0.4">
      <c r="A1194" s="2">
        <v>44529</v>
      </c>
      <c r="B1194" s="3">
        <v>5.0117000000000003</v>
      </c>
    </row>
    <row r="1195" spans="1:2" x14ac:dyDescent="0.4">
      <c r="A1195" s="2">
        <v>44530</v>
      </c>
      <c r="B1195" s="3">
        <v>5.008</v>
      </c>
    </row>
    <row r="1196" spans="1:2" x14ac:dyDescent="0.4">
      <c r="A1196" s="2">
        <v>44531</v>
      </c>
      <c r="B1196" s="3">
        <v>4.9839000000000002</v>
      </c>
    </row>
    <row r="1197" spans="1:2" x14ac:dyDescent="0.4">
      <c r="A1197" s="2">
        <v>44532</v>
      </c>
      <c r="B1197" s="3">
        <v>4.9710999999999999</v>
      </c>
    </row>
    <row r="1198" spans="1:2" x14ac:dyDescent="0.4">
      <c r="A1198" s="2">
        <v>44533</v>
      </c>
      <c r="B1198" s="3">
        <v>4.9726999999999997</v>
      </c>
    </row>
    <row r="1199" spans="1:2" x14ac:dyDescent="0.4">
      <c r="A1199" s="2">
        <v>44536</v>
      </c>
      <c r="B1199" s="3">
        <v>4.9669999999999996</v>
      </c>
    </row>
    <row r="1200" spans="1:2" x14ac:dyDescent="0.4">
      <c r="A1200" s="2">
        <v>44537</v>
      </c>
      <c r="B1200" s="3">
        <v>4.9935999999999998</v>
      </c>
    </row>
    <row r="1201" spans="1:2" x14ac:dyDescent="0.4">
      <c r="A1201" s="2">
        <v>44538</v>
      </c>
      <c r="B1201" s="3">
        <v>5.0357000000000003</v>
      </c>
    </row>
    <row r="1202" spans="1:2" x14ac:dyDescent="0.4">
      <c r="A1202" s="2">
        <v>44539</v>
      </c>
      <c r="B1202" s="3">
        <v>5.0152000000000001</v>
      </c>
    </row>
    <row r="1203" spans="1:2" x14ac:dyDescent="0.4">
      <c r="A1203" s="2">
        <v>44540</v>
      </c>
      <c r="B1203" s="3">
        <v>4.9968000000000004</v>
      </c>
    </row>
    <row r="1204" spans="1:2" x14ac:dyDescent="0.4">
      <c r="A1204" s="2">
        <v>44543</v>
      </c>
      <c r="B1204" s="3">
        <v>5.0030999999999999</v>
      </c>
    </row>
    <row r="1205" spans="1:2" x14ac:dyDescent="0.4">
      <c r="A1205" s="2">
        <v>44544</v>
      </c>
      <c r="B1205" s="3">
        <v>4.9701000000000004</v>
      </c>
    </row>
    <row r="1206" spans="1:2" x14ac:dyDescent="0.4">
      <c r="A1206" s="2">
        <v>44545</v>
      </c>
      <c r="B1206" s="3">
        <v>4.9524999999999997</v>
      </c>
    </row>
    <row r="1207" spans="1:2" x14ac:dyDescent="0.4">
      <c r="A1207" s="2">
        <v>44546</v>
      </c>
      <c r="B1207" s="3">
        <v>4.9572000000000003</v>
      </c>
    </row>
    <row r="1208" spans="1:2" x14ac:dyDescent="0.4">
      <c r="A1208" s="2">
        <v>44547</v>
      </c>
      <c r="B1208" s="3">
        <v>4.9794</v>
      </c>
    </row>
    <row r="1209" spans="1:2" x14ac:dyDescent="0.4">
      <c r="A1209" s="2">
        <v>44550</v>
      </c>
      <c r="B1209" s="3">
        <v>4.9562999999999997</v>
      </c>
    </row>
    <row r="1210" spans="1:2" x14ac:dyDescent="0.4">
      <c r="A1210" s="2">
        <v>44551</v>
      </c>
      <c r="B1210" s="3">
        <v>4.9225000000000003</v>
      </c>
    </row>
    <row r="1211" spans="1:2" x14ac:dyDescent="0.4">
      <c r="A1211" s="2">
        <v>44552</v>
      </c>
      <c r="B1211" s="3">
        <v>4.9310999999999998</v>
      </c>
    </row>
    <row r="1212" spans="1:2" x14ac:dyDescent="0.4">
      <c r="A1212" s="2">
        <v>44553</v>
      </c>
      <c r="B1212" s="3">
        <v>4.9512999999999998</v>
      </c>
    </row>
    <row r="1213" spans="1:2" x14ac:dyDescent="0.4">
      <c r="A1213" s="2">
        <v>44554</v>
      </c>
      <c r="B1213" s="3">
        <v>4.9714999999999998</v>
      </c>
    </row>
    <row r="1214" spans="1:2" x14ac:dyDescent="0.4">
      <c r="A1214" s="2">
        <v>44557</v>
      </c>
      <c r="B1214" s="3">
        <v>4.9703999999999997</v>
      </c>
    </row>
    <row r="1215" spans="1:2" x14ac:dyDescent="0.4">
      <c r="A1215" s="2">
        <v>44558</v>
      </c>
      <c r="B1215" s="3">
        <v>4.9824999999999999</v>
      </c>
    </row>
    <row r="1216" spans="1:2" x14ac:dyDescent="0.4">
      <c r="A1216" s="2">
        <v>44559</v>
      </c>
      <c r="B1216" s="3">
        <v>4.9730999999999996</v>
      </c>
    </row>
    <row r="1217" spans="1:2" x14ac:dyDescent="0.4">
      <c r="A1217" s="2">
        <v>44560</v>
      </c>
      <c r="B1217" s="3">
        <v>4.9767999999999999</v>
      </c>
    </row>
    <row r="1218" spans="1:2" x14ac:dyDescent="0.4">
      <c r="A1218" s="2">
        <v>44561</v>
      </c>
      <c r="B1218" s="3">
        <v>5.0045999999999999</v>
      </c>
    </row>
    <row r="1219" spans="1:2" x14ac:dyDescent="0.4">
      <c r="A1219" s="2">
        <v>44565</v>
      </c>
      <c r="B1219" s="3">
        <v>5.0048000000000004</v>
      </c>
    </row>
    <row r="1220" spans="1:2" x14ac:dyDescent="0.4">
      <c r="A1220" s="2">
        <v>44566</v>
      </c>
      <c r="B1220" s="3">
        <v>5.0209000000000001</v>
      </c>
    </row>
    <row r="1221" spans="1:2" x14ac:dyDescent="0.4">
      <c r="A1221" s="2">
        <v>44567</v>
      </c>
      <c r="B1221" s="3">
        <v>4.9958999999999998</v>
      </c>
    </row>
    <row r="1222" spans="1:2" x14ac:dyDescent="0.4">
      <c r="A1222" s="2">
        <v>44568</v>
      </c>
      <c r="B1222" s="3">
        <v>5.0088999999999997</v>
      </c>
    </row>
    <row r="1223" spans="1:2" x14ac:dyDescent="0.4">
      <c r="A1223" s="2">
        <v>44571</v>
      </c>
      <c r="B1223" s="3">
        <v>5.0305999999999997</v>
      </c>
    </row>
    <row r="1224" spans="1:2" x14ac:dyDescent="0.4">
      <c r="A1224" s="2">
        <v>44572</v>
      </c>
      <c r="B1224" s="3">
        <v>5.0259999999999998</v>
      </c>
    </row>
    <row r="1225" spans="1:2" x14ac:dyDescent="0.4">
      <c r="A1225" s="2">
        <v>44573</v>
      </c>
      <c r="B1225" s="3">
        <v>5.0636000000000001</v>
      </c>
    </row>
    <row r="1226" spans="1:2" x14ac:dyDescent="0.4">
      <c r="A1226" s="2">
        <v>44574</v>
      </c>
      <c r="B1226" s="3">
        <v>5.0762</v>
      </c>
    </row>
    <row r="1227" spans="1:2" x14ac:dyDescent="0.4">
      <c r="A1227" s="2">
        <v>44575</v>
      </c>
      <c r="B1227" s="3">
        <v>5.0891999999999999</v>
      </c>
    </row>
    <row r="1228" spans="1:2" x14ac:dyDescent="0.4">
      <c r="A1228" s="2">
        <v>44578</v>
      </c>
      <c r="B1228" s="3">
        <v>5.0660999999999996</v>
      </c>
    </row>
    <row r="1229" spans="1:2" x14ac:dyDescent="0.4">
      <c r="A1229" s="2">
        <v>44579</v>
      </c>
      <c r="B1229" s="3">
        <v>5.0743999999999998</v>
      </c>
    </row>
    <row r="1230" spans="1:2" x14ac:dyDescent="0.4">
      <c r="A1230" s="2">
        <v>44580</v>
      </c>
      <c r="B1230" s="3">
        <v>5.0879000000000003</v>
      </c>
    </row>
    <row r="1231" spans="1:2" x14ac:dyDescent="0.4">
      <c r="A1231" s="2">
        <v>44581</v>
      </c>
      <c r="B1231" s="3">
        <v>5.0721999999999996</v>
      </c>
    </row>
    <row r="1232" spans="1:2" x14ac:dyDescent="0.4">
      <c r="A1232" s="2">
        <v>44582</v>
      </c>
      <c r="B1232" s="3">
        <v>5.0742000000000003</v>
      </c>
    </row>
    <row r="1233" spans="1:2" x14ac:dyDescent="0.4">
      <c r="A1233" s="2">
        <v>44585</v>
      </c>
      <c r="B1233" s="3">
        <v>5.0435999999999996</v>
      </c>
    </row>
    <row r="1234" spans="1:2" x14ac:dyDescent="0.4">
      <c r="A1234" s="2">
        <v>44586</v>
      </c>
      <c r="B1234" s="3">
        <v>5.0187999999999997</v>
      </c>
    </row>
    <row r="1235" spans="1:2" x14ac:dyDescent="0.4">
      <c r="A1235" s="2">
        <v>44587</v>
      </c>
      <c r="B1235" s="3">
        <v>5.0102000000000002</v>
      </c>
    </row>
    <row r="1236" spans="1:2" x14ac:dyDescent="0.4">
      <c r="A1236" s="2">
        <v>44588</v>
      </c>
      <c r="B1236" s="3">
        <v>5.0030999999999999</v>
      </c>
    </row>
    <row r="1237" spans="1:2" x14ac:dyDescent="0.4">
      <c r="A1237" s="2">
        <v>44589</v>
      </c>
      <c r="B1237" s="3">
        <v>5.0049999999999999</v>
      </c>
    </row>
    <row r="1238" spans="1:2" x14ac:dyDescent="0.4">
      <c r="A1238" s="2">
        <v>44599</v>
      </c>
      <c r="B1238" s="3">
        <v>4.9629000000000003</v>
      </c>
    </row>
    <row r="1239" spans="1:2" x14ac:dyDescent="0.4">
      <c r="A1239" s="2">
        <v>44600</v>
      </c>
      <c r="B1239" s="3">
        <v>5.0171000000000001</v>
      </c>
    </row>
    <row r="1240" spans="1:2" x14ac:dyDescent="0.4">
      <c r="A1240" s="2">
        <v>44601</v>
      </c>
      <c r="B1240" s="3">
        <v>5.0105000000000004</v>
      </c>
    </row>
    <row r="1241" spans="1:2" x14ac:dyDescent="0.4">
      <c r="A1241" s="2">
        <v>44602</v>
      </c>
      <c r="B1241" s="3">
        <v>5.0194999999999999</v>
      </c>
    </row>
    <row r="1242" spans="1:2" x14ac:dyDescent="0.4">
      <c r="A1242" s="2">
        <v>44603</v>
      </c>
      <c r="B1242" s="3">
        <v>5.0030000000000001</v>
      </c>
    </row>
    <row r="1243" spans="1:2" x14ac:dyDescent="0.4">
      <c r="A1243" s="2">
        <v>44606</v>
      </c>
      <c r="B1243" s="3">
        <v>5.0019999999999998</v>
      </c>
    </row>
    <row r="1244" spans="1:2" x14ac:dyDescent="0.4">
      <c r="A1244" s="2">
        <v>44607</v>
      </c>
      <c r="B1244" s="3">
        <v>4.9981999999999998</v>
      </c>
    </row>
    <row r="1245" spans="1:2" x14ac:dyDescent="0.4">
      <c r="A1245" s="2">
        <v>44608</v>
      </c>
      <c r="B1245" s="3">
        <v>4.9897999999999998</v>
      </c>
    </row>
    <row r="1246" spans="1:2" x14ac:dyDescent="0.4">
      <c r="A1246" s="2">
        <v>44609</v>
      </c>
      <c r="B1246" s="3">
        <v>4.9923000000000002</v>
      </c>
    </row>
    <row r="1247" spans="1:2" x14ac:dyDescent="0.4">
      <c r="A1247" s="2">
        <v>44610</v>
      </c>
      <c r="B1247" s="3">
        <v>4.9862000000000002</v>
      </c>
    </row>
    <row r="1248" spans="1:2" x14ac:dyDescent="0.4">
      <c r="A1248" s="2">
        <v>44613</v>
      </c>
      <c r="B1248" s="3">
        <v>4.9695999999999998</v>
      </c>
    </row>
    <row r="1249" spans="1:2" x14ac:dyDescent="0.4">
      <c r="A1249" s="2">
        <v>44614</v>
      </c>
      <c r="B1249" s="3">
        <v>4.9752000000000001</v>
      </c>
    </row>
    <row r="1250" spans="1:2" x14ac:dyDescent="0.4">
      <c r="A1250" s="2">
        <v>44615</v>
      </c>
      <c r="B1250" s="3">
        <v>4.9602000000000004</v>
      </c>
    </row>
    <row r="1251" spans="1:2" x14ac:dyDescent="0.4">
      <c r="A1251" s="2">
        <v>44616</v>
      </c>
      <c r="B1251" s="3">
        <v>4.9695999999999998</v>
      </c>
    </row>
    <row r="1252" spans="1:2" x14ac:dyDescent="0.4">
      <c r="A1252" s="2">
        <v>44617</v>
      </c>
      <c r="B1252" s="3">
        <v>4.9447999999999999</v>
      </c>
    </row>
    <row r="1253" spans="1:2" x14ac:dyDescent="0.4">
      <c r="A1253" s="2">
        <v>44620</v>
      </c>
      <c r="B1253" s="3">
        <v>4.9554</v>
      </c>
    </row>
    <row r="1254" spans="1:2" x14ac:dyDescent="0.4">
      <c r="A1254" s="2">
        <v>44621</v>
      </c>
      <c r="B1254" s="3">
        <v>4.9668999999999999</v>
      </c>
    </row>
    <row r="1255" spans="1:2" x14ac:dyDescent="0.4">
      <c r="A1255" s="2">
        <v>44622</v>
      </c>
      <c r="B1255" s="3">
        <v>4.9739000000000004</v>
      </c>
    </row>
    <row r="1256" spans="1:2" x14ac:dyDescent="0.4">
      <c r="A1256" s="2">
        <v>44623</v>
      </c>
      <c r="B1256" s="3">
        <v>4.9823000000000004</v>
      </c>
    </row>
    <row r="1257" spans="1:2" x14ac:dyDescent="0.4">
      <c r="A1257" s="2">
        <v>44624</v>
      </c>
      <c r="B1257" s="3">
        <v>4.9869000000000003</v>
      </c>
    </row>
    <row r="1258" spans="1:2" x14ac:dyDescent="0.4">
      <c r="A1258" s="2">
        <v>44627</v>
      </c>
      <c r="B1258" s="3">
        <v>4.9821999999999997</v>
      </c>
    </row>
    <row r="1259" spans="1:2" x14ac:dyDescent="0.4">
      <c r="A1259" s="2">
        <v>44628</v>
      </c>
      <c r="B1259" s="3">
        <v>4.9332000000000003</v>
      </c>
    </row>
    <row r="1260" spans="1:2" x14ac:dyDescent="0.4">
      <c r="A1260" s="2">
        <v>44629</v>
      </c>
      <c r="B1260" s="3">
        <v>4.9004000000000003</v>
      </c>
    </row>
    <row r="1261" spans="1:2" x14ac:dyDescent="0.4">
      <c r="A1261" s="2">
        <v>44630</v>
      </c>
      <c r="B1261" s="3">
        <v>4.9203000000000001</v>
      </c>
    </row>
    <row r="1262" spans="1:2" x14ac:dyDescent="0.4">
      <c r="A1262" s="2">
        <v>44631</v>
      </c>
      <c r="B1262" s="3">
        <v>4.9591000000000003</v>
      </c>
    </row>
    <row r="1263" spans="1:2" x14ac:dyDescent="0.4">
      <c r="A1263" s="2">
        <v>44634</v>
      </c>
      <c r="B1263" s="3">
        <v>4.9751000000000003</v>
      </c>
    </row>
    <row r="1264" spans="1:2" x14ac:dyDescent="0.4">
      <c r="A1264" s="2">
        <v>44635</v>
      </c>
      <c r="B1264" s="3">
        <v>4.9646999999999997</v>
      </c>
    </row>
    <row r="1265" spans="1:2" x14ac:dyDescent="0.4">
      <c r="A1265" s="2">
        <v>44636</v>
      </c>
      <c r="B1265" s="3">
        <v>4.9945000000000004</v>
      </c>
    </row>
    <row r="1266" spans="1:2" x14ac:dyDescent="0.4">
      <c r="A1266" s="2">
        <v>44637</v>
      </c>
      <c r="B1266" s="3">
        <v>4.9936999999999996</v>
      </c>
    </row>
    <row r="1267" spans="1:2" x14ac:dyDescent="0.4">
      <c r="A1267" s="2">
        <v>44638</v>
      </c>
      <c r="B1267" s="3">
        <v>5.0199999999999996</v>
      </c>
    </row>
    <row r="1268" spans="1:2" x14ac:dyDescent="0.4">
      <c r="A1268" s="2">
        <v>44641</v>
      </c>
      <c r="B1268" s="3">
        <v>5.0514000000000001</v>
      </c>
    </row>
    <row r="1269" spans="1:2" x14ac:dyDescent="0.4">
      <c r="A1269" s="2">
        <v>44642</v>
      </c>
      <c r="B1269" s="3">
        <v>5.0556000000000001</v>
      </c>
    </row>
    <row r="1270" spans="1:2" x14ac:dyDescent="0.4">
      <c r="A1270" s="2">
        <v>44643</v>
      </c>
      <c r="B1270" s="3">
        <v>5.0525000000000002</v>
      </c>
    </row>
    <row r="1271" spans="1:2" x14ac:dyDescent="0.4">
      <c r="A1271" s="2">
        <v>44644</v>
      </c>
      <c r="B1271" s="3">
        <v>5.0651999999999999</v>
      </c>
    </row>
    <row r="1272" spans="1:2" x14ac:dyDescent="0.4">
      <c r="A1272" s="2">
        <v>44645</v>
      </c>
      <c r="B1272" s="3">
        <v>5.0884999999999998</v>
      </c>
    </row>
    <row r="1273" spans="1:2" x14ac:dyDescent="0.4">
      <c r="A1273" s="2">
        <v>44648</v>
      </c>
      <c r="B1273" s="3">
        <v>5.1059000000000001</v>
      </c>
    </row>
    <row r="1274" spans="1:2" x14ac:dyDescent="0.4">
      <c r="A1274" s="2">
        <v>44649</v>
      </c>
      <c r="B1274" s="3">
        <v>5.0834999999999999</v>
      </c>
    </row>
    <row r="1275" spans="1:2" x14ac:dyDescent="0.4">
      <c r="A1275" s="2">
        <v>44650</v>
      </c>
      <c r="B1275" s="3">
        <v>5.0815999999999999</v>
      </c>
    </row>
    <row r="1276" spans="1:2" x14ac:dyDescent="0.4">
      <c r="A1276" s="2">
        <v>44651</v>
      </c>
      <c r="B1276" s="3">
        <v>5.0849000000000002</v>
      </c>
    </row>
    <row r="1277" spans="1:2" x14ac:dyDescent="0.4">
      <c r="A1277" s="2">
        <v>44652</v>
      </c>
      <c r="B1277" s="3">
        <v>5.0784000000000002</v>
      </c>
    </row>
    <row r="1278" spans="1:2" x14ac:dyDescent="0.4">
      <c r="A1278" s="2">
        <v>44657</v>
      </c>
      <c r="B1278" s="3">
        <v>5.1100000000000003</v>
      </c>
    </row>
    <row r="1279" spans="1:2" x14ac:dyDescent="0.4">
      <c r="A1279" s="2">
        <v>44658</v>
      </c>
      <c r="B1279" s="3">
        <v>5.0681000000000003</v>
      </c>
    </row>
    <row r="1280" spans="1:2" x14ac:dyDescent="0.4">
      <c r="A1280" s="2">
        <v>44659</v>
      </c>
      <c r="B1280" s="3">
        <v>5.0568</v>
      </c>
    </row>
    <row r="1281" spans="1:2" x14ac:dyDescent="0.4">
      <c r="A1281" s="2">
        <v>44662</v>
      </c>
      <c r="B1281" s="3">
        <v>5.0618999999999996</v>
      </c>
    </row>
    <row r="1282" spans="1:2" x14ac:dyDescent="0.4">
      <c r="A1282" s="2">
        <v>44663</v>
      </c>
      <c r="B1282" s="3">
        <v>5.0469999999999997</v>
      </c>
    </row>
    <row r="1283" spans="1:2" x14ac:dyDescent="0.4">
      <c r="A1283" s="2">
        <v>44664</v>
      </c>
      <c r="B1283" s="3">
        <v>5.0450999999999997</v>
      </c>
    </row>
    <row r="1284" spans="1:2" x14ac:dyDescent="0.4">
      <c r="A1284" s="2">
        <v>44665</v>
      </c>
      <c r="B1284" s="3">
        <v>5.0568</v>
      </c>
    </row>
    <row r="1285" spans="1:2" x14ac:dyDescent="0.4">
      <c r="A1285" s="2">
        <v>44666</v>
      </c>
      <c r="B1285" s="3">
        <v>5.0639000000000003</v>
      </c>
    </row>
    <row r="1286" spans="1:2" x14ac:dyDescent="0.4">
      <c r="A1286" s="2">
        <v>44669</v>
      </c>
      <c r="B1286" s="3">
        <v>5.0537999999999998</v>
      </c>
    </row>
    <row r="1287" spans="1:2" x14ac:dyDescent="0.4">
      <c r="A1287" s="2">
        <v>44670</v>
      </c>
      <c r="B1287" s="3">
        <v>5.0548999999999999</v>
      </c>
    </row>
    <row r="1288" spans="1:2" x14ac:dyDescent="0.4">
      <c r="A1288" s="2">
        <v>44671</v>
      </c>
      <c r="B1288" s="3">
        <v>5.0671999999999997</v>
      </c>
    </row>
    <row r="1289" spans="1:2" x14ac:dyDescent="0.4">
      <c r="A1289" s="2">
        <v>44672</v>
      </c>
      <c r="B1289" s="3">
        <v>5.1300999999999997</v>
      </c>
    </row>
    <row r="1290" spans="1:2" x14ac:dyDescent="0.4">
      <c r="A1290" s="2">
        <v>44673</v>
      </c>
      <c r="B1290" s="3">
        <v>5.1357999999999997</v>
      </c>
    </row>
    <row r="1291" spans="1:2" x14ac:dyDescent="0.4">
      <c r="A1291" s="2">
        <v>44676</v>
      </c>
      <c r="B1291" s="3">
        <v>5.1024000000000003</v>
      </c>
    </row>
    <row r="1292" spans="1:2" x14ac:dyDescent="0.4">
      <c r="A1292" s="2">
        <v>44677</v>
      </c>
      <c r="B1292" s="3">
        <v>5.1513999999999998</v>
      </c>
    </row>
    <row r="1293" spans="1:2" x14ac:dyDescent="0.4">
      <c r="A1293" s="2">
        <v>44678</v>
      </c>
      <c r="B1293" s="3">
        <v>5.1220999999999997</v>
      </c>
    </row>
    <row r="1294" spans="1:2" x14ac:dyDescent="0.4">
      <c r="A1294" s="2">
        <v>44679</v>
      </c>
      <c r="B1294" s="3">
        <v>5.1231</v>
      </c>
    </row>
    <row r="1295" spans="1:2" x14ac:dyDescent="0.4">
      <c r="A1295" s="2">
        <v>44680</v>
      </c>
      <c r="B1295" s="3">
        <v>5.1707000000000001</v>
      </c>
    </row>
    <row r="1296" spans="1:2" x14ac:dyDescent="0.4">
      <c r="A1296" s="2">
        <v>44686</v>
      </c>
      <c r="B1296" s="3">
        <v>5.1561000000000003</v>
      </c>
    </row>
    <row r="1297" spans="1:2" x14ac:dyDescent="0.4">
      <c r="A1297" s="2">
        <v>44687</v>
      </c>
      <c r="B1297" s="3">
        <v>5.1757</v>
      </c>
    </row>
    <row r="1298" spans="1:2" x14ac:dyDescent="0.4">
      <c r="A1298" s="2">
        <v>44690</v>
      </c>
      <c r="B1298" s="3">
        <v>5.1821999999999999</v>
      </c>
    </row>
    <row r="1299" spans="1:2" x14ac:dyDescent="0.4">
      <c r="A1299" s="2">
        <v>44691</v>
      </c>
      <c r="B1299" s="3">
        <v>5.1585000000000001</v>
      </c>
    </row>
    <row r="1300" spans="1:2" x14ac:dyDescent="0.4">
      <c r="A1300" s="2">
        <v>44692</v>
      </c>
      <c r="B1300" s="3">
        <v>5.1649000000000003</v>
      </c>
    </row>
    <row r="1301" spans="1:2" x14ac:dyDescent="0.4">
      <c r="A1301" s="2">
        <v>44693</v>
      </c>
      <c r="B1301" s="3">
        <v>5.1795999999999998</v>
      </c>
    </row>
    <row r="1302" spans="1:2" x14ac:dyDescent="0.4">
      <c r="A1302" s="2">
        <v>44694</v>
      </c>
      <c r="B1302" s="3">
        <v>5.2161999999999997</v>
      </c>
    </row>
    <row r="1303" spans="1:2" x14ac:dyDescent="0.4">
      <c r="A1303" s="2">
        <v>44697</v>
      </c>
      <c r="B1303" s="3">
        <v>5.2573999999999996</v>
      </c>
    </row>
    <row r="1304" spans="1:2" x14ac:dyDescent="0.4">
      <c r="A1304" s="2">
        <v>44698</v>
      </c>
      <c r="B1304" s="3">
        <v>5.2809999999999997</v>
      </c>
    </row>
    <row r="1305" spans="1:2" x14ac:dyDescent="0.4">
      <c r="A1305" s="2">
        <v>44699</v>
      </c>
      <c r="B1305" s="3">
        <v>5.2636000000000003</v>
      </c>
    </row>
    <row r="1306" spans="1:2" x14ac:dyDescent="0.4">
      <c r="A1306" s="2">
        <v>44700</v>
      </c>
      <c r="B1306" s="3">
        <v>5.2439999999999998</v>
      </c>
    </row>
    <row r="1307" spans="1:2" x14ac:dyDescent="0.4">
      <c r="A1307" s="2">
        <v>44701</v>
      </c>
      <c r="B1307" s="3">
        <v>5.2644000000000002</v>
      </c>
    </row>
    <row r="1308" spans="1:2" x14ac:dyDescent="0.4">
      <c r="A1308" s="2">
        <v>44704</v>
      </c>
      <c r="B1308" s="3">
        <v>5.2108999999999996</v>
      </c>
    </row>
    <row r="1309" spans="1:2" x14ac:dyDescent="0.4">
      <c r="A1309" s="2">
        <v>44705</v>
      </c>
      <c r="B1309" s="3">
        <v>5.2041000000000004</v>
      </c>
    </row>
    <row r="1310" spans="1:2" x14ac:dyDescent="0.4">
      <c r="A1310" s="2">
        <v>44706</v>
      </c>
      <c r="B1310" s="3">
        <v>5.1932999999999998</v>
      </c>
    </row>
    <row r="1311" spans="1:2" x14ac:dyDescent="0.4">
      <c r="A1311" s="2">
        <v>44707</v>
      </c>
      <c r="B1311" s="3">
        <v>5.2112999999999996</v>
      </c>
    </row>
    <row r="1312" spans="1:2" x14ac:dyDescent="0.4">
      <c r="A1312" s="2">
        <v>44708</v>
      </c>
      <c r="B1312" s="3">
        <v>5.2755000000000001</v>
      </c>
    </row>
    <row r="1313" spans="1:2" x14ac:dyDescent="0.4">
      <c r="A1313" s="2">
        <v>44711</v>
      </c>
      <c r="B1313" s="3">
        <v>5.2702</v>
      </c>
    </row>
    <row r="1314" spans="1:2" x14ac:dyDescent="0.4">
      <c r="A1314" s="2">
        <v>44712</v>
      </c>
      <c r="B1314" s="3">
        <v>5.2618</v>
      </c>
    </row>
    <row r="1315" spans="1:2" x14ac:dyDescent="0.4">
      <c r="A1315" s="2">
        <v>44713</v>
      </c>
      <c r="B1315" s="3">
        <v>5.2740999999999998</v>
      </c>
    </row>
    <row r="1316" spans="1:2" x14ac:dyDescent="0.4">
      <c r="A1316" s="2">
        <v>44714</v>
      </c>
      <c r="B1316" s="3">
        <v>5.2991999999999999</v>
      </c>
    </row>
    <row r="1317" spans="1:2" x14ac:dyDescent="0.4">
      <c r="A1317" s="2">
        <v>44718</v>
      </c>
      <c r="B1317" s="3">
        <v>5.3033000000000001</v>
      </c>
    </row>
    <row r="1318" spans="1:2" x14ac:dyDescent="0.4">
      <c r="A1318" s="2">
        <v>44719</v>
      </c>
      <c r="B1318" s="3">
        <v>5.2953000000000001</v>
      </c>
    </row>
    <row r="1319" spans="1:2" x14ac:dyDescent="0.4">
      <c r="A1319" s="2">
        <v>44720</v>
      </c>
      <c r="B1319" s="3">
        <v>5.3152999999999997</v>
      </c>
    </row>
    <row r="1320" spans="1:2" x14ac:dyDescent="0.4">
      <c r="A1320" s="2">
        <v>44721</v>
      </c>
      <c r="B1320" s="3">
        <v>5.3236999999999997</v>
      </c>
    </row>
    <row r="1321" spans="1:2" x14ac:dyDescent="0.4">
      <c r="A1321" s="2">
        <v>44722</v>
      </c>
      <c r="B1321" s="3">
        <v>5.2756999999999996</v>
      </c>
    </row>
    <row r="1322" spans="1:2" x14ac:dyDescent="0.4">
      <c r="A1322" s="2">
        <v>44725</v>
      </c>
      <c r="B1322" s="3">
        <v>5.2511000000000001</v>
      </c>
    </row>
    <row r="1323" spans="1:2" x14ac:dyDescent="0.4">
      <c r="A1323" s="2">
        <v>44726</v>
      </c>
      <c r="B1323" s="3">
        <v>5.2350000000000003</v>
      </c>
    </row>
    <row r="1324" spans="1:2" x14ac:dyDescent="0.4">
      <c r="A1324" s="2">
        <v>44727</v>
      </c>
      <c r="B1324" s="3">
        <v>5.2133000000000003</v>
      </c>
    </row>
    <row r="1325" spans="1:2" x14ac:dyDescent="0.4">
      <c r="A1325" s="2">
        <v>44728</v>
      </c>
      <c r="B1325" s="3">
        <v>5.2077999999999998</v>
      </c>
    </row>
    <row r="1326" spans="1:2" x14ac:dyDescent="0.4">
      <c r="A1326" s="2">
        <v>44729</v>
      </c>
      <c r="B1326" s="3">
        <v>5.1668000000000003</v>
      </c>
    </row>
    <row r="1327" spans="1:2" x14ac:dyDescent="0.4">
      <c r="A1327" s="2">
        <v>44732</v>
      </c>
      <c r="B1327" s="3">
        <v>5.1590999999999996</v>
      </c>
    </row>
    <row r="1328" spans="1:2" x14ac:dyDescent="0.4">
      <c r="A1328" s="2">
        <v>44733</v>
      </c>
      <c r="B1328" s="3">
        <v>5.1487999999999996</v>
      </c>
    </row>
    <row r="1329" spans="1:2" x14ac:dyDescent="0.4">
      <c r="A1329" s="2">
        <v>44734</v>
      </c>
      <c r="B1329" s="3">
        <v>5.1862000000000004</v>
      </c>
    </row>
    <row r="1330" spans="1:2" x14ac:dyDescent="0.4">
      <c r="A1330" s="2">
        <v>44735</v>
      </c>
      <c r="B1330" s="3">
        <v>5.1768000000000001</v>
      </c>
    </row>
    <row r="1331" spans="1:2" x14ac:dyDescent="0.4">
      <c r="A1331" s="2">
        <v>44736</v>
      </c>
      <c r="B1331" s="3">
        <v>5.1612</v>
      </c>
    </row>
    <row r="1332" spans="1:2" x14ac:dyDescent="0.4">
      <c r="A1332" s="2">
        <v>44739</v>
      </c>
      <c r="B1332" s="3">
        <v>5.1853999999999996</v>
      </c>
    </row>
    <row r="1333" spans="1:2" x14ac:dyDescent="0.4">
      <c r="A1333" s="2">
        <v>44740</v>
      </c>
      <c r="B1333" s="3">
        <v>5.2000999999999999</v>
      </c>
    </row>
    <row r="1334" spans="1:2" x14ac:dyDescent="0.4">
      <c r="A1334" s="2">
        <v>44741</v>
      </c>
      <c r="B1334" s="3">
        <v>5.2076000000000002</v>
      </c>
    </row>
    <row r="1335" spans="1:2" x14ac:dyDescent="0.4">
      <c r="A1335" s="2">
        <v>44742</v>
      </c>
      <c r="B1335" s="3">
        <v>5.2058</v>
      </c>
    </row>
    <row r="1336" spans="1:2" x14ac:dyDescent="0.4">
      <c r="A1336" s="2">
        <v>44743</v>
      </c>
      <c r="B1336" s="3">
        <v>5.1948999999999996</v>
      </c>
    </row>
    <row r="1337" spans="1:2" x14ac:dyDescent="0.4">
      <c r="A1337" s="2">
        <v>44746</v>
      </c>
      <c r="B1337" s="3">
        <v>5.2050999999999998</v>
      </c>
    </row>
    <row r="1338" spans="1:2" x14ac:dyDescent="0.4">
      <c r="A1338" s="2">
        <v>44747</v>
      </c>
      <c r="B1338" s="3">
        <v>5.2119999999999997</v>
      </c>
    </row>
    <row r="1339" spans="1:2" x14ac:dyDescent="0.4">
      <c r="A1339" s="2">
        <v>44748</v>
      </c>
      <c r="B1339" s="3">
        <v>5.1604999999999999</v>
      </c>
    </row>
    <row r="1340" spans="1:2" x14ac:dyDescent="0.4">
      <c r="A1340" s="2">
        <v>44749</v>
      </c>
      <c r="B1340" s="3">
        <v>5.1490999999999998</v>
      </c>
    </row>
    <row r="1341" spans="1:2" x14ac:dyDescent="0.4">
      <c r="A1341" s="2">
        <v>44750</v>
      </c>
      <c r="B1341" s="3">
        <v>5.1729000000000003</v>
      </c>
    </row>
    <row r="1342" spans="1:2" x14ac:dyDescent="0.4">
      <c r="A1342" s="2">
        <v>44753</v>
      </c>
      <c r="B1342" s="3">
        <v>5.1722000000000001</v>
      </c>
    </row>
    <row r="1343" spans="1:2" x14ac:dyDescent="0.4">
      <c r="A1343" s="2">
        <v>44754</v>
      </c>
      <c r="B1343" s="3">
        <v>5.1755000000000004</v>
      </c>
    </row>
    <row r="1344" spans="1:2" x14ac:dyDescent="0.4">
      <c r="A1344" s="2">
        <v>44755</v>
      </c>
      <c r="B1344" s="3">
        <v>5.1634000000000002</v>
      </c>
    </row>
    <row r="1345" spans="1:2" x14ac:dyDescent="0.4">
      <c r="A1345" s="2">
        <v>44756</v>
      </c>
      <c r="B1345" s="3">
        <v>5.1767000000000003</v>
      </c>
    </row>
    <row r="1346" spans="1:2" x14ac:dyDescent="0.4">
      <c r="A1346" s="2">
        <v>44757</v>
      </c>
      <c r="B1346" s="3">
        <v>5.1471999999999998</v>
      </c>
    </row>
    <row r="1347" spans="1:2" x14ac:dyDescent="0.4">
      <c r="A1347" s="2">
        <v>44760</v>
      </c>
      <c r="B1347" s="3">
        <v>5.1826999999999996</v>
      </c>
    </row>
    <row r="1348" spans="1:2" x14ac:dyDescent="0.4">
      <c r="A1348" s="2">
        <v>44761</v>
      </c>
      <c r="B1348" s="3">
        <v>5.1947000000000001</v>
      </c>
    </row>
    <row r="1349" spans="1:2" x14ac:dyDescent="0.4">
      <c r="A1349" s="2">
        <v>44762</v>
      </c>
      <c r="B1349" s="3">
        <v>5.2408000000000001</v>
      </c>
    </row>
    <row r="1350" spans="1:2" x14ac:dyDescent="0.4">
      <c r="A1350" s="2">
        <v>44763</v>
      </c>
      <c r="B1350" s="3">
        <v>5.2469000000000001</v>
      </c>
    </row>
    <row r="1351" spans="1:2" x14ac:dyDescent="0.4">
      <c r="A1351" s="2">
        <v>44764</v>
      </c>
      <c r="B1351" s="3">
        <v>5.2438000000000002</v>
      </c>
    </row>
    <row r="1352" spans="1:2" x14ac:dyDescent="0.4">
      <c r="A1352" s="2">
        <v>44767</v>
      </c>
      <c r="B1352" s="3">
        <v>5.2270000000000003</v>
      </c>
    </row>
    <row r="1353" spans="1:2" x14ac:dyDescent="0.4">
      <c r="A1353" s="2">
        <v>44768</v>
      </c>
      <c r="B1353" s="3">
        <v>5.2511000000000001</v>
      </c>
    </row>
    <row r="1354" spans="1:2" x14ac:dyDescent="0.4">
      <c r="A1354" s="2">
        <v>44769</v>
      </c>
      <c r="B1354" s="3">
        <v>5.2610000000000001</v>
      </c>
    </row>
    <row r="1355" spans="1:2" x14ac:dyDescent="0.4">
      <c r="A1355" s="2">
        <v>44770</v>
      </c>
      <c r="B1355" s="3">
        <v>5.2591999999999999</v>
      </c>
    </row>
    <row r="1356" spans="1:2" x14ac:dyDescent="0.4">
      <c r="A1356" s="2">
        <v>44771</v>
      </c>
      <c r="B1356" s="3">
        <v>5.2662000000000004</v>
      </c>
    </row>
    <row r="1357" spans="1:2" x14ac:dyDescent="0.4">
      <c r="A1357" s="2">
        <v>44774</v>
      </c>
      <c r="B1357" s="3">
        <v>5.2653999999999996</v>
      </c>
    </row>
    <row r="1358" spans="1:2" x14ac:dyDescent="0.4">
      <c r="A1358" s="2">
        <v>44775</v>
      </c>
      <c r="B1358" s="3">
        <v>5.2526000000000002</v>
      </c>
    </row>
    <row r="1359" spans="1:2" x14ac:dyDescent="0.4">
      <c r="A1359" s="2">
        <v>44776</v>
      </c>
      <c r="B1359" s="3">
        <v>5.2637999999999998</v>
      </c>
    </row>
    <row r="1360" spans="1:2" x14ac:dyDescent="0.4">
      <c r="A1360" s="2">
        <v>44777</v>
      </c>
      <c r="B1360" s="3">
        <v>5.2622999999999998</v>
      </c>
    </row>
    <row r="1361" spans="1:2" x14ac:dyDescent="0.4">
      <c r="A1361" s="2">
        <v>44778</v>
      </c>
      <c r="B1361" s="3">
        <v>5.2381000000000002</v>
      </c>
    </row>
    <row r="1362" spans="1:2" x14ac:dyDescent="0.4">
      <c r="A1362" s="2">
        <v>44781</v>
      </c>
      <c r="B1362" s="3">
        <v>5.2305999999999999</v>
      </c>
    </row>
    <row r="1363" spans="1:2" x14ac:dyDescent="0.4">
      <c r="A1363" s="2">
        <v>44782</v>
      </c>
      <c r="B1363" s="3">
        <v>5.2557999999999998</v>
      </c>
    </row>
    <row r="1364" spans="1:2" x14ac:dyDescent="0.4">
      <c r="A1364" s="2">
        <v>44783</v>
      </c>
      <c r="B1364" s="3">
        <v>5.2462999999999997</v>
      </c>
    </row>
    <row r="1365" spans="1:2" x14ac:dyDescent="0.4">
      <c r="A1365" s="2">
        <v>44784</v>
      </c>
      <c r="B1365" s="3">
        <v>5.2694999999999999</v>
      </c>
    </row>
    <row r="1366" spans="1:2" x14ac:dyDescent="0.4">
      <c r="A1366" s="2">
        <v>44785</v>
      </c>
      <c r="B1366" s="3">
        <v>5.2809999999999997</v>
      </c>
    </row>
    <row r="1367" spans="1:2" x14ac:dyDescent="0.4">
      <c r="A1367" s="2">
        <v>44788</v>
      </c>
      <c r="B1367" s="3">
        <v>5.2763999999999998</v>
      </c>
    </row>
    <row r="1368" spans="1:2" x14ac:dyDescent="0.4">
      <c r="A1368" s="2">
        <v>44789</v>
      </c>
      <c r="B1368" s="3">
        <v>5.2474999999999996</v>
      </c>
    </row>
    <row r="1369" spans="1:2" x14ac:dyDescent="0.4">
      <c r="A1369" s="2">
        <v>44790</v>
      </c>
      <c r="B1369" s="3">
        <v>5.2827999999999999</v>
      </c>
    </row>
    <row r="1370" spans="1:2" x14ac:dyDescent="0.4">
      <c r="A1370" s="2">
        <v>44791</v>
      </c>
      <c r="B1370" s="3">
        <v>5.2484999999999999</v>
      </c>
    </row>
    <row r="1371" spans="1:2" x14ac:dyDescent="0.4">
      <c r="A1371" s="2">
        <v>44792</v>
      </c>
      <c r="B1371" s="3">
        <v>5.2565</v>
      </c>
    </row>
    <row r="1372" spans="1:2" x14ac:dyDescent="0.4">
      <c r="A1372" s="2">
        <v>44795</v>
      </c>
      <c r="B1372" s="3">
        <v>5.2469999999999999</v>
      </c>
    </row>
    <row r="1373" spans="1:2" x14ac:dyDescent="0.4">
      <c r="A1373" s="2">
        <v>44796</v>
      </c>
      <c r="B1373" s="3">
        <v>5.2497999999999996</v>
      </c>
    </row>
    <row r="1374" spans="1:2" x14ac:dyDescent="0.4">
      <c r="A1374" s="2">
        <v>44797</v>
      </c>
      <c r="B1374" s="3">
        <v>5.2786999999999997</v>
      </c>
    </row>
    <row r="1375" spans="1:2" x14ac:dyDescent="0.4">
      <c r="A1375" s="2">
        <v>44798</v>
      </c>
      <c r="B1375" s="3">
        <v>5.2935999999999996</v>
      </c>
    </row>
    <row r="1376" spans="1:2" x14ac:dyDescent="0.4">
      <c r="A1376" s="2">
        <v>44799</v>
      </c>
      <c r="B1376" s="3">
        <v>5.2987000000000002</v>
      </c>
    </row>
    <row r="1377" spans="1:2" x14ac:dyDescent="0.4">
      <c r="A1377" s="2">
        <v>44802</v>
      </c>
      <c r="B1377" s="3">
        <v>5.2662000000000004</v>
      </c>
    </row>
    <row r="1378" spans="1:2" x14ac:dyDescent="0.4">
      <c r="A1378" s="2">
        <v>44803</v>
      </c>
      <c r="B1378" s="3">
        <v>5.3087</v>
      </c>
    </row>
    <row r="1379" spans="1:2" x14ac:dyDescent="0.4">
      <c r="A1379" s="2">
        <v>44804</v>
      </c>
      <c r="B1379" s="3">
        <v>5.2788000000000004</v>
      </c>
    </row>
    <row r="1380" spans="1:2" x14ac:dyDescent="0.4">
      <c r="A1380" s="2">
        <v>44805</v>
      </c>
      <c r="B1380" s="3">
        <v>5.2430000000000003</v>
      </c>
    </row>
    <row r="1381" spans="1:2" x14ac:dyDescent="0.4">
      <c r="A1381" s="2">
        <v>44806</v>
      </c>
      <c r="B1381" s="3">
        <v>5.2587999999999999</v>
      </c>
    </row>
    <row r="1382" spans="1:2" x14ac:dyDescent="0.4">
      <c r="A1382" s="2">
        <v>44809</v>
      </c>
      <c r="B1382" s="3">
        <v>5.2602000000000002</v>
      </c>
    </row>
    <row r="1383" spans="1:2" x14ac:dyDescent="0.4">
      <c r="A1383" s="2">
        <v>44810</v>
      </c>
      <c r="B1383" s="3">
        <v>5.2769000000000004</v>
      </c>
    </row>
    <row r="1384" spans="1:2" x14ac:dyDescent="0.4">
      <c r="A1384" s="2">
        <v>44811</v>
      </c>
      <c r="B1384" s="3">
        <v>5.2906000000000004</v>
      </c>
    </row>
    <row r="1385" spans="1:2" x14ac:dyDescent="0.4">
      <c r="A1385" s="2">
        <v>44812</v>
      </c>
      <c r="B1385" s="3">
        <v>5.2957000000000001</v>
      </c>
    </row>
    <row r="1386" spans="1:2" x14ac:dyDescent="0.4">
      <c r="A1386" s="2">
        <v>44813</v>
      </c>
      <c r="B1386" s="3">
        <v>5.3034999999999997</v>
      </c>
    </row>
    <row r="1387" spans="1:2" x14ac:dyDescent="0.4">
      <c r="A1387" s="2">
        <v>44817</v>
      </c>
      <c r="B1387" s="3">
        <v>5.3192000000000004</v>
      </c>
    </row>
    <row r="1388" spans="1:2" x14ac:dyDescent="0.4">
      <c r="A1388" s="2">
        <v>44818</v>
      </c>
      <c r="B1388" s="3">
        <v>5.2713999999999999</v>
      </c>
    </row>
    <row r="1389" spans="1:2" x14ac:dyDescent="0.4">
      <c r="A1389" s="2">
        <v>44819</v>
      </c>
      <c r="B1389" s="3">
        <v>5.2747000000000002</v>
      </c>
    </row>
    <row r="1390" spans="1:2" x14ac:dyDescent="0.4">
      <c r="A1390" s="2">
        <v>44820</v>
      </c>
      <c r="B1390" s="3">
        <v>5.2525000000000004</v>
      </c>
    </row>
    <row r="1391" spans="1:2" x14ac:dyDescent="0.4">
      <c r="A1391" s="2">
        <v>44823</v>
      </c>
      <c r="B1391" s="3">
        <v>5.2590000000000003</v>
      </c>
    </row>
    <row r="1392" spans="1:2" x14ac:dyDescent="0.4">
      <c r="A1392" s="2">
        <v>44824</v>
      </c>
      <c r="B1392" s="3">
        <v>5.2728000000000002</v>
      </c>
    </row>
    <row r="1393" spans="1:2" x14ac:dyDescent="0.4">
      <c r="A1393" s="2">
        <v>44825</v>
      </c>
      <c r="B1393" s="3">
        <v>5.2328999999999999</v>
      </c>
    </row>
    <row r="1394" spans="1:2" x14ac:dyDescent="0.4">
      <c r="A1394" s="2">
        <v>44826</v>
      </c>
      <c r="B1394" s="3">
        <v>5.2173999999999996</v>
      </c>
    </row>
    <row r="1395" spans="1:2" x14ac:dyDescent="0.4">
      <c r="A1395" s="2">
        <v>44827</v>
      </c>
      <c r="B1395" s="3">
        <v>5.2244000000000002</v>
      </c>
    </row>
    <row r="1396" spans="1:2" x14ac:dyDescent="0.4">
      <c r="A1396" s="2">
        <v>44830</v>
      </c>
      <c r="B1396" s="3">
        <v>5.2142999999999997</v>
      </c>
    </row>
    <row r="1397" spans="1:2" x14ac:dyDescent="0.4">
      <c r="A1397" s="2">
        <v>44831</v>
      </c>
      <c r="B1397" s="3">
        <v>5.1821000000000002</v>
      </c>
    </row>
    <row r="1398" spans="1:2" x14ac:dyDescent="0.4">
      <c r="A1398" s="2">
        <v>44832</v>
      </c>
      <c r="B1398" s="3">
        <v>5.1971999999999996</v>
      </c>
    </row>
    <row r="1399" spans="1:2" x14ac:dyDescent="0.4">
      <c r="A1399" s="2">
        <v>44833</v>
      </c>
      <c r="B1399" s="3">
        <v>5.2472000000000003</v>
      </c>
    </row>
    <row r="1400" spans="1:2" x14ac:dyDescent="0.4">
      <c r="A1400" s="2">
        <v>44834</v>
      </c>
      <c r="B1400" s="3">
        <v>5.2084000000000001</v>
      </c>
    </row>
    <row r="1401" spans="1:2" x14ac:dyDescent="0.4">
      <c r="A1401" s="2">
        <v>44844</v>
      </c>
      <c r="B1401" s="3">
        <v>5.1776</v>
      </c>
    </row>
    <row r="1402" spans="1:2" x14ac:dyDescent="0.4">
      <c r="A1402" s="2">
        <v>44845</v>
      </c>
      <c r="B1402" s="3">
        <v>5.1702000000000004</v>
      </c>
    </row>
    <row r="1403" spans="1:2" x14ac:dyDescent="0.4">
      <c r="A1403" s="2">
        <v>44846</v>
      </c>
      <c r="B1403" s="3">
        <v>5.1784999999999997</v>
      </c>
    </row>
    <row r="1404" spans="1:2" x14ac:dyDescent="0.4">
      <c r="A1404" s="2">
        <v>44847</v>
      </c>
      <c r="B1404" s="3">
        <v>5.1601999999999997</v>
      </c>
    </row>
    <row r="1405" spans="1:2" x14ac:dyDescent="0.4">
      <c r="A1405" s="2">
        <v>44848</v>
      </c>
      <c r="B1405" s="3">
        <v>5.1844999999999999</v>
      </c>
    </row>
    <row r="1406" spans="1:2" x14ac:dyDescent="0.4">
      <c r="A1406" s="2">
        <v>44851</v>
      </c>
      <c r="B1406" s="3">
        <v>5.1571999999999996</v>
      </c>
    </row>
    <row r="1407" spans="1:2" x14ac:dyDescent="0.4">
      <c r="A1407" s="2">
        <v>44852</v>
      </c>
      <c r="B1407" s="3">
        <v>5.1997999999999998</v>
      </c>
    </row>
    <row r="1408" spans="1:2" x14ac:dyDescent="0.4">
      <c r="A1408" s="2">
        <v>44853</v>
      </c>
      <c r="B1408" s="3">
        <v>5.2016999999999998</v>
      </c>
    </row>
    <row r="1409" spans="1:2" x14ac:dyDescent="0.4">
      <c r="A1409" s="2">
        <v>44854</v>
      </c>
      <c r="B1409" s="3">
        <v>5.2073999999999998</v>
      </c>
    </row>
    <row r="1410" spans="1:2" x14ac:dyDescent="0.4">
      <c r="A1410" s="2">
        <v>44855</v>
      </c>
      <c r="B1410" s="3">
        <v>5.1946000000000003</v>
      </c>
    </row>
    <row r="1411" spans="1:2" x14ac:dyDescent="0.4">
      <c r="A1411" s="2">
        <v>44858</v>
      </c>
      <c r="B1411" s="3">
        <v>5.2515999999999998</v>
      </c>
    </row>
    <row r="1412" spans="1:2" x14ac:dyDescent="0.4">
      <c r="A1412" s="2">
        <v>44859</v>
      </c>
      <c r="B1412" s="3">
        <v>5.2515999999999998</v>
      </c>
    </row>
    <row r="1413" spans="1:2" x14ac:dyDescent="0.4">
      <c r="A1413" s="2">
        <v>44860</v>
      </c>
      <c r="B1413" s="3">
        <v>5.2927</v>
      </c>
    </row>
    <row r="1414" spans="1:2" x14ac:dyDescent="0.4">
      <c r="A1414" s="2">
        <v>44861</v>
      </c>
      <c r="B1414" s="3">
        <v>5.2792000000000003</v>
      </c>
    </row>
    <row r="1415" spans="1:2" x14ac:dyDescent="0.4">
      <c r="A1415" s="2">
        <v>44862</v>
      </c>
      <c r="B1415" s="3">
        <v>5.3018999999999998</v>
      </c>
    </row>
    <row r="1416" spans="1:2" x14ac:dyDescent="0.4">
      <c r="A1416" s="2">
        <v>44865</v>
      </c>
      <c r="B1416" s="3">
        <v>5.2975000000000003</v>
      </c>
    </row>
    <row r="1417" spans="1:2" x14ac:dyDescent="0.4">
      <c r="A1417" s="2">
        <v>44866</v>
      </c>
      <c r="B1417" s="3">
        <v>5.3132999999999999</v>
      </c>
    </row>
    <row r="1418" spans="1:2" x14ac:dyDescent="0.4">
      <c r="A1418" s="2">
        <v>44867</v>
      </c>
      <c r="B1418" s="3">
        <v>5.3127000000000004</v>
      </c>
    </row>
    <row r="1419" spans="1:2" x14ac:dyDescent="0.4">
      <c r="A1419" s="2">
        <v>44868</v>
      </c>
      <c r="B1419" s="3">
        <v>5.2893999999999997</v>
      </c>
    </row>
    <row r="1420" spans="1:2" x14ac:dyDescent="0.4">
      <c r="A1420" s="2">
        <v>44869</v>
      </c>
      <c r="B1420" s="3">
        <v>5.3019999999999996</v>
      </c>
    </row>
    <row r="1421" spans="1:2" x14ac:dyDescent="0.4">
      <c r="A1421" s="2">
        <v>44872</v>
      </c>
      <c r="B1421" s="3">
        <v>5.3470000000000004</v>
      </c>
    </row>
    <row r="1422" spans="1:2" x14ac:dyDescent="0.4">
      <c r="A1422" s="2">
        <v>44873</v>
      </c>
      <c r="B1422" s="3">
        <v>5.3486000000000002</v>
      </c>
    </row>
    <row r="1423" spans="1:2" x14ac:dyDescent="0.4">
      <c r="A1423" s="2">
        <v>44874</v>
      </c>
      <c r="B1423" s="3">
        <v>5.3726000000000003</v>
      </c>
    </row>
    <row r="1424" spans="1:2" x14ac:dyDescent="0.4">
      <c r="A1424" s="2">
        <v>44875</v>
      </c>
      <c r="B1424" s="3">
        <v>5.3525</v>
      </c>
    </row>
    <row r="1425" spans="1:2" x14ac:dyDescent="0.4">
      <c r="A1425" s="2">
        <v>44876</v>
      </c>
      <c r="B1425" s="3">
        <v>5.3912000000000004</v>
      </c>
    </row>
    <row r="1426" spans="1:2" x14ac:dyDescent="0.4">
      <c r="A1426" s="2">
        <v>44879</v>
      </c>
      <c r="B1426" s="3">
        <v>5.3426999999999998</v>
      </c>
    </row>
    <row r="1427" spans="1:2" x14ac:dyDescent="0.4">
      <c r="A1427" s="2">
        <v>44880</v>
      </c>
      <c r="B1427" s="3">
        <v>5.2882999999999996</v>
      </c>
    </row>
    <row r="1428" spans="1:2" x14ac:dyDescent="0.4">
      <c r="A1428" s="2">
        <v>44881</v>
      </c>
      <c r="B1428" s="3">
        <v>5.2991999999999999</v>
      </c>
    </row>
    <row r="1429" spans="1:2" x14ac:dyDescent="0.4">
      <c r="A1429" s="2">
        <v>44882</v>
      </c>
      <c r="B1429" s="3">
        <v>5.3033000000000001</v>
      </c>
    </row>
    <row r="1430" spans="1:2" x14ac:dyDescent="0.4">
      <c r="A1430" s="2">
        <v>44883</v>
      </c>
      <c r="B1430" s="3">
        <v>5.3369</v>
      </c>
    </row>
    <row r="1431" spans="1:2" x14ac:dyDescent="0.4">
      <c r="A1431" s="2">
        <v>44886</v>
      </c>
      <c r="B1431" s="3">
        <v>5.3251999999999997</v>
      </c>
    </row>
    <row r="1432" spans="1:2" x14ac:dyDescent="0.4">
      <c r="A1432" s="2">
        <v>44887</v>
      </c>
      <c r="B1432" s="3">
        <v>5.3278999999999996</v>
      </c>
    </row>
    <row r="1433" spans="1:2" x14ac:dyDescent="0.4">
      <c r="A1433" s="2">
        <v>44888</v>
      </c>
      <c r="B1433" s="3">
        <v>5.3330000000000002</v>
      </c>
    </row>
    <row r="1434" spans="1:2" x14ac:dyDescent="0.4">
      <c r="A1434" s="2">
        <v>44889</v>
      </c>
      <c r="B1434" s="3">
        <v>5.335</v>
      </c>
    </row>
    <row r="1435" spans="1:2" x14ac:dyDescent="0.4">
      <c r="A1435" s="2">
        <v>44890</v>
      </c>
      <c r="B1435" s="3">
        <v>5.3494000000000002</v>
      </c>
    </row>
    <row r="1436" spans="1:2" x14ac:dyDescent="0.4">
      <c r="A1436" s="2">
        <v>44893</v>
      </c>
      <c r="B1436" s="3">
        <v>5.3456999999999999</v>
      </c>
    </row>
    <row r="1437" spans="1:2" x14ac:dyDescent="0.4">
      <c r="A1437" s="2">
        <v>44894</v>
      </c>
      <c r="B1437" s="3">
        <v>5.3396999999999997</v>
      </c>
    </row>
    <row r="1438" spans="1:2" x14ac:dyDescent="0.4">
      <c r="A1438" s="2">
        <v>44895</v>
      </c>
      <c r="B1438" s="3">
        <v>5.2805</v>
      </c>
    </row>
    <row r="1439" spans="1:2" x14ac:dyDescent="0.4">
      <c r="A1439" s="2">
        <v>44896</v>
      </c>
      <c r="B1439" s="3">
        <v>5.3087</v>
      </c>
    </row>
    <row r="1440" spans="1:2" x14ac:dyDescent="0.4">
      <c r="A1440" s="2">
        <v>44897</v>
      </c>
      <c r="B1440" s="3">
        <v>5.2538999999999998</v>
      </c>
    </row>
    <row r="1441" spans="1:2" x14ac:dyDescent="0.4">
      <c r="A1441" s="2">
        <v>44900</v>
      </c>
      <c r="B1441" s="3">
        <v>5.2286000000000001</v>
      </c>
    </row>
    <row r="1442" spans="1:2" x14ac:dyDescent="0.4">
      <c r="A1442" s="2">
        <v>44901</v>
      </c>
      <c r="B1442" s="3">
        <v>5.1315999999999997</v>
      </c>
    </row>
    <row r="1443" spans="1:2" x14ac:dyDescent="0.4">
      <c r="A1443" s="2">
        <v>44902</v>
      </c>
      <c r="B1443" s="3">
        <v>5.1288999999999998</v>
      </c>
    </row>
    <row r="1444" spans="1:2" x14ac:dyDescent="0.4">
      <c r="A1444" s="2">
        <v>44903</v>
      </c>
      <c r="B1444" s="3">
        <v>5.0990000000000002</v>
      </c>
    </row>
    <row r="1445" spans="1:2" x14ac:dyDescent="0.4">
      <c r="A1445" s="2">
        <v>44904</v>
      </c>
      <c r="B1445" s="3">
        <v>5.12</v>
      </c>
    </row>
    <row r="1446" spans="1:2" x14ac:dyDescent="0.4">
      <c r="A1446" s="2">
        <v>44907</v>
      </c>
      <c r="B1446" s="3">
        <v>5.0948000000000002</v>
      </c>
    </row>
    <row r="1447" spans="1:2" x14ac:dyDescent="0.4">
      <c r="A1447" s="2">
        <v>44908</v>
      </c>
      <c r="B1447" s="3">
        <v>5.1166999999999998</v>
      </c>
    </row>
    <row r="1448" spans="1:2" x14ac:dyDescent="0.4">
      <c r="A1448" s="2">
        <v>44909</v>
      </c>
      <c r="B1448" s="3">
        <v>5.1313000000000004</v>
      </c>
    </row>
    <row r="1449" spans="1:2" x14ac:dyDescent="0.4">
      <c r="A1449" s="2">
        <v>44910</v>
      </c>
      <c r="B1449" s="3">
        <v>5.1195000000000004</v>
      </c>
    </row>
    <row r="1450" spans="1:2" x14ac:dyDescent="0.4">
      <c r="A1450" s="2">
        <v>44911</v>
      </c>
      <c r="B1450" s="3">
        <v>5.1102999999999996</v>
      </c>
    </row>
    <row r="1451" spans="1:2" x14ac:dyDescent="0.4">
      <c r="A1451" s="2">
        <v>44914</v>
      </c>
      <c r="B1451" s="3">
        <v>5.0971000000000002</v>
      </c>
    </row>
    <row r="1452" spans="1:2" x14ac:dyDescent="0.4">
      <c r="A1452" s="2">
        <v>44915</v>
      </c>
      <c r="B1452" s="3">
        <v>5.1215999999999999</v>
      </c>
    </row>
    <row r="1453" spans="1:2" x14ac:dyDescent="0.4">
      <c r="A1453" s="2">
        <v>44916</v>
      </c>
      <c r="B1453" s="3">
        <v>5.1208</v>
      </c>
    </row>
    <row r="1454" spans="1:2" x14ac:dyDescent="0.4">
      <c r="A1454" s="2">
        <v>44917</v>
      </c>
      <c r="B1454" s="3">
        <v>5.1224999999999996</v>
      </c>
    </row>
    <row r="1455" spans="1:2" x14ac:dyDescent="0.4">
      <c r="A1455" s="2">
        <v>44918</v>
      </c>
      <c r="B1455" s="3">
        <v>5.1169000000000002</v>
      </c>
    </row>
    <row r="1456" spans="1:2" x14ac:dyDescent="0.4">
      <c r="A1456" s="2">
        <v>44921</v>
      </c>
      <c r="B1456" s="3">
        <v>5.1329000000000002</v>
      </c>
    </row>
    <row r="1457" spans="1:2" x14ac:dyDescent="0.4">
      <c r="A1457" s="2">
        <v>44922</v>
      </c>
      <c r="B1457" s="3">
        <v>5.1273</v>
      </c>
    </row>
    <row r="1458" spans="1:2" x14ac:dyDescent="0.4">
      <c r="A1458" s="2">
        <v>44923</v>
      </c>
      <c r="B1458" s="3">
        <v>5.1529999999999996</v>
      </c>
    </row>
    <row r="1459" spans="1:2" x14ac:dyDescent="0.4">
      <c r="A1459" s="2">
        <v>44924</v>
      </c>
      <c r="B1459" s="3">
        <v>5.1322000000000001</v>
      </c>
    </row>
    <row r="1460" spans="1:2" x14ac:dyDescent="0.4">
      <c r="A1460" s="2">
        <v>44925</v>
      </c>
      <c r="B1460" s="3">
        <v>5.1384999999999996</v>
      </c>
    </row>
    <row r="1461" spans="1:2" x14ac:dyDescent="0.4">
      <c r="A1461" s="2">
        <v>44929</v>
      </c>
      <c r="B1461" s="3">
        <v>5.1243999999999996</v>
      </c>
    </row>
    <row r="1462" spans="1:2" x14ac:dyDescent="0.4">
      <c r="A1462" s="2">
        <v>44930</v>
      </c>
      <c r="B1462" s="3">
        <v>5.0555000000000003</v>
      </c>
    </row>
    <row r="1463" spans="1:2" x14ac:dyDescent="0.4">
      <c r="A1463" s="2">
        <v>44931</v>
      </c>
      <c r="B1463" s="3">
        <v>5.1144999999999996</v>
      </c>
    </row>
    <row r="1464" spans="1:2" x14ac:dyDescent="0.4">
      <c r="A1464" s="2">
        <v>44932</v>
      </c>
      <c r="B1464" s="3">
        <v>5.0799000000000003</v>
      </c>
    </row>
    <row r="1465" spans="1:2" x14ac:dyDescent="0.4">
      <c r="A1465" s="2">
        <v>44935</v>
      </c>
      <c r="B1465" s="3">
        <v>5.0789999999999997</v>
      </c>
    </row>
    <row r="1466" spans="1:2" x14ac:dyDescent="0.4">
      <c r="A1466" s="2">
        <v>44936</v>
      </c>
      <c r="B1466" s="3">
        <v>5.0491000000000001</v>
      </c>
    </row>
    <row r="1467" spans="1:2" x14ac:dyDescent="0.4">
      <c r="A1467" s="2">
        <v>44937</v>
      </c>
      <c r="B1467" s="3">
        <v>5.0473999999999997</v>
      </c>
    </row>
    <row r="1468" spans="1:2" x14ac:dyDescent="0.4">
      <c r="A1468" s="2">
        <v>44938</v>
      </c>
      <c r="B1468" s="3">
        <v>5.0430999999999999</v>
      </c>
    </row>
    <row r="1469" spans="1:2" x14ac:dyDescent="0.4">
      <c r="A1469" s="2">
        <v>44939</v>
      </c>
      <c r="B1469" s="3">
        <v>5.0323000000000002</v>
      </c>
    </row>
    <row r="1470" spans="1:2" x14ac:dyDescent="0.4">
      <c r="A1470" s="2">
        <v>44942</v>
      </c>
      <c r="B1470" s="3">
        <v>5.0119999999999996</v>
      </c>
    </row>
    <row r="1471" spans="1:2" x14ac:dyDescent="0.4">
      <c r="A1471" s="2">
        <v>44943</v>
      </c>
      <c r="B1471" s="3">
        <v>5.0171000000000001</v>
      </c>
    </row>
    <row r="1472" spans="1:2" x14ac:dyDescent="0.4">
      <c r="A1472" s="2">
        <v>44944</v>
      </c>
      <c r="B1472" s="3">
        <v>5.0505000000000004</v>
      </c>
    </row>
    <row r="1473" spans="1:2" x14ac:dyDescent="0.4">
      <c r="A1473" s="2">
        <v>44945</v>
      </c>
      <c r="B1473" s="3">
        <v>5.0145999999999997</v>
      </c>
    </row>
    <row r="1474" spans="1:2" x14ac:dyDescent="0.4">
      <c r="A1474" s="2">
        <v>44946</v>
      </c>
      <c r="B1474" s="3">
        <v>5.0296000000000003</v>
      </c>
    </row>
    <row r="1475" spans="1:2" x14ac:dyDescent="0.4">
      <c r="A1475" s="2">
        <v>44956</v>
      </c>
      <c r="B1475" s="3">
        <v>5.0824999999999996</v>
      </c>
    </row>
    <row r="1476" spans="1:2" x14ac:dyDescent="0.4">
      <c r="A1476" s="2">
        <v>44957</v>
      </c>
      <c r="B1476" s="3">
        <v>5.0495999999999999</v>
      </c>
    </row>
    <row r="1477" spans="1:2" x14ac:dyDescent="0.4">
      <c r="A1477" s="2">
        <v>44958</v>
      </c>
      <c r="B1477" s="3">
        <v>5.0728999999999997</v>
      </c>
    </row>
    <row r="1478" spans="1:2" x14ac:dyDescent="0.4">
      <c r="A1478" s="2">
        <v>44959</v>
      </c>
      <c r="B1478" s="3">
        <v>5.0599999999999996</v>
      </c>
    </row>
    <row r="1479" spans="1:2" x14ac:dyDescent="0.4">
      <c r="A1479" s="2">
        <v>44960</v>
      </c>
      <c r="B1479" s="3">
        <v>5.0589000000000004</v>
      </c>
    </row>
    <row r="1480" spans="1:2" x14ac:dyDescent="0.4">
      <c r="A1480" s="2">
        <v>44963</v>
      </c>
      <c r="B1480" s="3">
        <v>5.0506000000000002</v>
      </c>
    </row>
    <row r="1481" spans="1:2" x14ac:dyDescent="0.4">
      <c r="A1481" s="2">
        <v>44964</v>
      </c>
      <c r="B1481" s="3">
        <v>5.0548999999999999</v>
      </c>
    </row>
    <row r="1482" spans="1:2" x14ac:dyDescent="0.4">
      <c r="A1482" s="2">
        <v>44965</v>
      </c>
      <c r="B1482" s="3">
        <v>5.0571000000000002</v>
      </c>
    </row>
    <row r="1483" spans="1:2" x14ac:dyDescent="0.4">
      <c r="A1483" s="2">
        <v>44966</v>
      </c>
      <c r="B1483" s="3">
        <v>5.0495999999999999</v>
      </c>
    </row>
    <row r="1484" spans="1:2" x14ac:dyDescent="0.4">
      <c r="A1484" s="2">
        <v>44967</v>
      </c>
      <c r="B1484" s="3">
        <v>5.0465</v>
      </c>
    </row>
    <row r="1485" spans="1:2" x14ac:dyDescent="0.4">
      <c r="A1485" s="2">
        <v>44970</v>
      </c>
      <c r="B1485" s="3">
        <v>5.1035000000000004</v>
      </c>
    </row>
    <row r="1486" spans="1:2" x14ac:dyDescent="0.4">
      <c r="A1486" s="2">
        <v>44971</v>
      </c>
      <c r="B1486" s="3">
        <v>5.1098999999999997</v>
      </c>
    </row>
    <row r="1487" spans="1:2" x14ac:dyDescent="0.4">
      <c r="A1487" s="2">
        <v>44972</v>
      </c>
      <c r="B1487" s="3">
        <v>5.1119000000000003</v>
      </c>
    </row>
    <row r="1488" spans="1:2" x14ac:dyDescent="0.4">
      <c r="A1488" s="2">
        <v>44973</v>
      </c>
      <c r="B1488" s="3">
        <v>5.1148999999999996</v>
      </c>
    </row>
    <row r="1489" spans="1:2" x14ac:dyDescent="0.4">
      <c r="A1489" s="2">
        <v>44974</v>
      </c>
      <c r="B1489" s="3">
        <v>5.0974000000000004</v>
      </c>
    </row>
    <row r="1490" spans="1:2" x14ac:dyDescent="0.4">
      <c r="A1490" s="2">
        <v>44977</v>
      </c>
      <c r="B1490" s="3">
        <v>5.0904999999999996</v>
      </c>
    </row>
    <row r="1491" spans="1:2" x14ac:dyDescent="0.4">
      <c r="A1491" s="2">
        <v>44978</v>
      </c>
      <c r="B1491" s="3">
        <v>5.0968999999999998</v>
      </c>
    </row>
    <row r="1492" spans="1:2" x14ac:dyDescent="0.4">
      <c r="A1492" s="2">
        <v>44979</v>
      </c>
      <c r="B1492" s="3">
        <v>5.0804999999999998</v>
      </c>
    </row>
    <row r="1493" spans="1:2" x14ac:dyDescent="0.4">
      <c r="A1493" s="2">
        <v>44980</v>
      </c>
      <c r="B1493" s="3">
        <v>5.0952999999999999</v>
      </c>
    </row>
    <row r="1494" spans="1:2" x14ac:dyDescent="0.4">
      <c r="A1494" s="2">
        <v>44981</v>
      </c>
      <c r="B1494" s="3">
        <v>5.0898000000000003</v>
      </c>
    </row>
    <row r="1495" spans="1:2" x14ac:dyDescent="0.4">
      <c r="A1495" s="2">
        <v>44984</v>
      </c>
      <c r="B1495" s="3">
        <v>5.1148999999999996</v>
      </c>
    </row>
    <row r="1496" spans="1:2" x14ac:dyDescent="0.4">
      <c r="A1496" s="2">
        <v>44985</v>
      </c>
      <c r="B1496" s="3">
        <v>5.1218000000000004</v>
      </c>
    </row>
    <row r="1497" spans="1:2" x14ac:dyDescent="0.4">
      <c r="A1497" s="2">
        <v>44986</v>
      </c>
      <c r="B1497" s="3">
        <v>5.0865</v>
      </c>
    </row>
    <row r="1498" spans="1:2" x14ac:dyDescent="0.4">
      <c r="A1498" s="2">
        <v>44987</v>
      </c>
      <c r="B1498" s="3">
        <v>5.0629</v>
      </c>
    </row>
    <row r="1499" spans="1:2" x14ac:dyDescent="0.4">
      <c r="A1499" s="2">
        <v>44988</v>
      </c>
      <c r="B1499" s="3">
        <v>5.0831</v>
      </c>
    </row>
    <row r="1500" spans="1:2" x14ac:dyDescent="0.4">
      <c r="A1500" s="2">
        <v>44991</v>
      </c>
      <c r="B1500" s="3">
        <v>5.0685000000000002</v>
      </c>
    </row>
    <row r="1501" spans="1:2" x14ac:dyDescent="0.4">
      <c r="A1501" s="2">
        <v>44992</v>
      </c>
      <c r="B1501" s="3">
        <v>5.0804999999999998</v>
      </c>
    </row>
    <row r="1502" spans="1:2" x14ac:dyDescent="0.4">
      <c r="A1502" s="2">
        <v>44993</v>
      </c>
      <c r="B1502" s="3">
        <v>5.0545</v>
      </c>
    </row>
    <row r="1503" spans="1:2" x14ac:dyDescent="0.4">
      <c r="A1503" s="2">
        <v>44994</v>
      </c>
      <c r="B1503" s="3">
        <v>5.0486000000000004</v>
      </c>
    </row>
    <row r="1504" spans="1:2" x14ac:dyDescent="0.4">
      <c r="A1504" s="2">
        <v>44995</v>
      </c>
      <c r="B1504" s="3">
        <v>5.0357000000000003</v>
      </c>
    </row>
    <row r="1505" spans="1:2" x14ac:dyDescent="0.4">
      <c r="A1505" s="2">
        <v>44998</v>
      </c>
      <c r="B1505" s="3">
        <v>5.0400999999999998</v>
      </c>
    </row>
    <row r="1506" spans="1:2" x14ac:dyDescent="0.4">
      <c r="A1506" s="2">
        <v>44999</v>
      </c>
      <c r="B1506" s="3">
        <v>5.0167999999999999</v>
      </c>
    </row>
    <row r="1507" spans="1:2" x14ac:dyDescent="0.4">
      <c r="A1507" s="2">
        <v>45000</v>
      </c>
      <c r="B1507" s="3">
        <v>5.0175000000000001</v>
      </c>
    </row>
    <row r="1508" spans="1:2" x14ac:dyDescent="0.4">
      <c r="A1508" s="2">
        <v>45001</v>
      </c>
      <c r="B1508" s="3">
        <v>5.0260999999999996</v>
      </c>
    </row>
    <row r="1509" spans="1:2" x14ac:dyDescent="0.4">
      <c r="A1509" s="2">
        <v>45002</v>
      </c>
      <c r="B1509" s="3">
        <v>5.0335999999999999</v>
      </c>
    </row>
    <row r="1510" spans="1:2" x14ac:dyDescent="0.4">
      <c r="A1510" s="2">
        <v>45005</v>
      </c>
      <c r="B1510" s="3">
        <v>5.0087999999999999</v>
      </c>
    </row>
    <row r="1511" spans="1:2" x14ac:dyDescent="0.4">
      <c r="A1511" s="2">
        <v>45006</v>
      </c>
      <c r="B1511" s="3">
        <v>5.0307000000000004</v>
      </c>
    </row>
    <row r="1512" spans="1:2" x14ac:dyDescent="0.4">
      <c r="A1512" s="2">
        <v>45007</v>
      </c>
      <c r="B1512" s="3">
        <v>5.0110000000000001</v>
      </c>
    </row>
    <row r="1513" spans="1:2" x14ac:dyDescent="0.4">
      <c r="A1513" s="2">
        <v>45008</v>
      </c>
      <c r="B1513" s="3">
        <v>5.0072000000000001</v>
      </c>
    </row>
    <row r="1514" spans="1:2" x14ac:dyDescent="0.4">
      <c r="A1514" s="2">
        <v>45009</v>
      </c>
      <c r="B1514" s="3">
        <v>4.9813999999999998</v>
      </c>
    </row>
    <row r="1515" spans="1:2" x14ac:dyDescent="0.4">
      <c r="A1515" s="2">
        <v>45012</v>
      </c>
      <c r="B1515" s="3">
        <v>5.0049000000000001</v>
      </c>
    </row>
    <row r="1516" spans="1:2" x14ac:dyDescent="0.4">
      <c r="A1516" s="2">
        <v>45013</v>
      </c>
      <c r="B1516" s="3">
        <v>5.0343</v>
      </c>
    </row>
    <row r="1517" spans="1:2" x14ac:dyDescent="0.4">
      <c r="A1517" s="2">
        <v>45014</v>
      </c>
      <c r="B1517" s="3">
        <v>5.0582000000000003</v>
      </c>
    </row>
    <row r="1518" spans="1:2" x14ac:dyDescent="0.4">
      <c r="A1518" s="2">
        <v>45015</v>
      </c>
      <c r="B1518" s="3">
        <v>5.0795000000000003</v>
      </c>
    </row>
    <row r="1519" spans="1:2" x14ac:dyDescent="0.4">
      <c r="A1519" s="2">
        <v>45016</v>
      </c>
      <c r="B1519" s="3">
        <v>5.0823999999999998</v>
      </c>
    </row>
    <row r="1520" spans="1:2" x14ac:dyDescent="0.4">
      <c r="A1520" s="2">
        <v>45019</v>
      </c>
      <c r="B1520" s="3">
        <v>5.0984999999999996</v>
      </c>
    </row>
    <row r="1521" spans="1:2" x14ac:dyDescent="0.4">
      <c r="A1521" s="2">
        <v>45020</v>
      </c>
      <c r="B1521" s="3">
        <v>5.1154000000000002</v>
      </c>
    </row>
    <row r="1522" spans="1:2" x14ac:dyDescent="0.4">
      <c r="A1522" s="2">
        <v>45022</v>
      </c>
      <c r="B1522" s="3">
        <v>5.1111000000000004</v>
      </c>
    </row>
    <row r="1523" spans="1:2" x14ac:dyDescent="0.4">
      <c r="A1523" s="2">
        <v>45023</v>
      </c>
      <c r="B1523" s="3">
        <v>5.0999999999999996</v>
      </c>
    </row>
    <row r="1524" spans="1:2" x14ac:dyDescent="0.4">
      <c r="A1524" s="2">
        <v>45026</v>
      </c>
      <c r="B1524" s="3">
        <v>5.0907999999999998</v>
      </c>
    </row>
    <row r="1525" spans="1:2" x14ac:dyDescent="0.4">
      <c r="A1525" s="2">
        <v>45027</v>
      </c>
      <c r="B1525" s="3">
        <v>5.0995999999999997</v>
      </c>
    </row>
    <row r="1526" spans="1:2" x14ac:dyDescent="0.4">
      <c r="A1526" s="2">
        <v>45028</v>
      </c>
      <c r="B1526" s="3">
        <v>5.1139999999999999</v>
      </c>
    </row>
    <row r="1527" spans="1:2" x14ac:dyDescent="0.4">
      <c r="A1527" s="2">
        <v>45029</v>
      </c>
      <c r="B1527" s="3">
        <v>5.1087999999999996</v>
      </c>
    </row>
    <row r="1528" spans="1:2" x14ac:dyDescent="0.4">
      <c r="A1528" s="2">
        <v>45030</v>
      </c>
      <c r="B1528" s="3">
        <v>5.1425999999999998</v>
      </c>
    </row>
    <row r="1529" spans="1:2" x14ac:dyDescent="0.4">
      <c r="A1529" s="2">
        <v>45033</v>
      </c>
      <c r="B1529" s="3">
        <v>5.1379000000000001</v>
      </c>
    </row>
    <row r="1530" spans="1:2" x14ac:dyDescent="0.4">
      <c r="A1530" s="2">
        <v>45034</v>
      </c>
      <c r="B1530" s="3">
        <v>5.1372</v>
      </c>
    </row>
    <row r="1531" spans="1:2" x14ac:dyDescent="0.4">
      <c r="A1531" s="2">
        <v>45035</v>
      </c>
      <c r="B1531" s="3">
        <v>5.1325000000000003</v>
      </c>
    </row>
    <row r="1532" spans="1:2" x14ac:dyDescent="0.4">
      <c r="A1532" s="2">
        <v>45036</v>
      </c>
      <c r="B1532" s="3">
        <v>5.1219999999999999</v>
      </c>
    </row>
    <row r="1533" spans="1:2" x14ac:dyDescent="0.4">
      <c r="A1533" s="2">
        <v>45037</v>
      </c>
      <c r="B1533" s="3">
        <v>5.0998999999999999</v>
      </c>
    </row>
    <row r="1534" spans="1:2" x14ac:dyDescent="0.4">
      <c r="A1534" s="2">
        <v>45040</v>
      </c>
      <c r="B1534" s="3">
        <v>5.0842999999999998</v>
      </c>
    </row>
    <row r="1535" spans="1:2" x14ac:dyDescent="0.4">
      <c r="A1535" s="2">
        <v>45041</v>
      </c>
      <c r="B1535" s="3">
        <v>5.0868000000000002</v>
      </c>
    </row>
    <row r="1536" spans="1:2" x14ac:dyDescent="0.4">
      <c r="A1536" s="2">
        <v>45042</v>
      </c>
      <c r="B1536" s="3">
        <v>5.0831</v>
      </c>
    </row>
    <row r="1537" spans="1:2" x14ac:dyDescent="0.4">
      <c r="A1537" s="2">
        <v>45043</v>
      </c>
      <c r="B1537" s="3">
        <v>5.0774999999999997</v>
      </c>
    </row>
    <row r="1538" spans="1:2" x14ac:dyDescent="0.4">
      <c r="A1538" s="2">
        <v>45044</v>
      </c>
      <c r="B1538" s="3">
        <v>5.0892999999999997</v>
      </c>
    </row>
    <row r="1539" spans="1:2" x14ac:dyDescent="0.4">
      <c r="A1539" s="2">
        <v>45050</v>
      </c>
      <c r="B1539" s="3">
        <v>5.0671999999999997</v>
      </c>
    </row>
    <row r="1540" spans="1:2" x14ac:dyDescent="0.4">
      <c r="A1540" s="2">
        <v>45051</v>
      </c>
      <c r="B1540" s="3">
        <v>5.1111000000000004</v>
      </c>
    </row>
    <row r="1541" spans="1:2" x14ac:dyDescent="0.4">
      <c r="A1541" s="2">
        <v>45054</v>
      </c>
      <c r="B1541" s="3">
        <v>5.1712999999999996</v>
      </c>
    </row>
    <row r="1542" spans="1:2" x14ac:dyDescent="0.4">
      <c r="A1542" s="2">
        <v>45055</v>
      </c>
      <c r="B1542" s="3">
        <v>5.1784999999999997</v>
      </c>
    </row>
    <row r="1543" spans="1:2" x14ac:dyDescent="0.4">
      <c r="A1543" s="2">
        <v>45056</v>
      </c>
      <c r="B1543" s="3">
        <v>5.18</v>
      </c>
    </row>
    <row r="1544" spans="1:2" x14ac:dyDescent="0.4">
      <c r="A1544" s="2">
        <v>45057</v>
      </c>
      <c r="B1544" s="3">
        <v>5.1687000000000003</v>
      </c>
    </row>
    <row r="1545" spans="1:2" x14ac:dyDescent="0.4">
      <c r="A1545" s="2">
        <v>45058</v>
      </c>
      <c r="B1545" s="3">
        <v>5.1496000000000004</v>
      </c>
    </row>
    <row r="1546" spans="1:2" x14ac:dyDescent="0.4">
      <c r="A1546" s="2">
        <v>45061</v>
      </c>
      <c r="B1546" s="3">
        <v>5.1371000000000002</v>
      </c>
    </row>
    <row r="1547" spans="1:2" x14ac:dyDescent="0.4">
      <c r="A1547" s="2">
        <v>45062</v>
      </c>
      <c r="B1547" s="3">
        <v>5.1619999999999999</v>
      </c>
    </row>
    <row r="1548" spans="1:2" x14ac:dyDescent="0.4">
      <c r="A1548" s="2">
        <v>45063</v>
      </c>
      <c r="B1548" s="3">
        <v>5.1749000000000001</v>
      </c>
    </row>
    <row r="1549" spans="1:2" x14ac:dyDescent="0.4">
      <c r="A1549" s="2">
        <v>45064</v>
      </c>
      <c r="B1549" s="3">
        <v>5.1988000000000003</v>
      </c>
    </row>
    <row r="1550" spans="1:2" x14ac:dyDescent="0.4">
      <c r="A1550" s="2">
        <v>45065</v>
      </c>
      <c r="B1550" s="3">
        <v>5.2126999999999999</v>
      </c>
    </row>
    <row r="1551" spans="1:2" x14ac:dyDescent="0.4">
      <c r="A1551" s="2">
        <v>45068</v>
      </c>
      <c r="B1551" s="3">
        <v>5.1985000000000001</v>
      </c>
    </row>
    <row r="1552" spans="1:2" x14ac:dyDescent="0.4">
      <c r="A1552" s="2">
        <v>45069</v>
      </c>
      <c r="B1552" s="3">
        <v>5.2083000000000004</v>
      </c>
    </row>
    <row r="1553" spans="1:2" x14ac:dyDescent="0.4">
      <c r="A1553" s="2">
        <v>45070</v>
      </c>
      <c r="B1553" s="3">
        <v>5.226</v>
      </c>
    </row>
    <row r="1554" spans="1:2" x14ac:dyDescent="0.4">
      <c r="A1554" s="2">
        <v>45071</v>
      </c>
      <c r="B1554" s="3">
        <v>5.1887999999999996</v>
      </c>
    </row>
    <row r="1555" spans="1:2" x14ac:dyDescent="0.4">
      <c r="A1555" s="2">
        <v>45072</v>
      </c>
      <c r="B1555" s="3">
        <v>5.1853999999999996</v>
      </c>
    </row>
    <row r="1556" spans="1:2" x14ac:dyDescent="0.4">
      <c r="A1556" s="2">
        <v>45075</v>
      </c>
      <c r="B1556" s="3">
        <v>5.1863999999999999</v>
      </c>
    </row>
    <row r="1557" spans="1:2" x14ac:dyDescent="0.4">
      <c r="A1557" s="2">
        <v>45076</v>
      </c>
      <c r="B1557" s="3">
        <v>5.2081999999999997</v>
      </c>
    </row>
    <row r="1558" spans="1:2" x14ac:dyDescent="0.4">
      <c r="A1558" s="2">
        <v>45077</v>
      </c>
      <c r="B1558" s="3">
        <v>5.2073</v>
      </c>
    </row>
    <row r="1559" spans="1:2" x14ac:dyDescent="0.4">
      <c r="A1559" s="2">
        <v>45078</v>
      </c>
      <c r="B1559" s="3">
        <v>5.2316000000000003</v>
      </c>
    </row>
    <row r="1560" spans="1:2" x14ac:dyDescent="0.4">
      <c r="A1560" s="2">
        <v>45079</v>
      </c>
      <c r="B1560" s="3">
        <v>5.2763</v>
      </c>
    </row>
    <row r="1561" spans="1:2" x14ac:dyDescent="0.4">
      <c r="A1561" s="2">
        <v>45082</v>
      </c>
      <c r="B1561" s="3">
        <v>5.28</v>
      </c>
    </row>
    <row r="1562" spans="1:2" x14ac:dyDescent="0.4">
      <c r="A1562" s="2">
        <v>45083</v>
      </c>
      <c r="B1562" s="3">
        <v>5.2869000000000002</v>
      </c>
    </row>
    <row r="1563" spans="1:2" x14ac:dyDescent="0.4">
      <c r="A1563" s="2">
        <v>45084</v>
      </c>
      <c r="B1563" s="3">
        <v>5.3125999999999998</v>
      </c>
    </row>
    <row r="1564" spans="1:2" x14ac:dyDescent="0.4">
      <c r="A1564" s="2">
        <v>45085</v>
      </c>
      <c r="B1564" s="3">
        <v>5.3296000000000001</v>
      </c>
    </row>
    <row r="1565" spans="1:2" x14ac:dyDescent="0.4">
      <c r="A1565" s="2">
        <v>45086</v>
      </c>
      <c r="B1565" s="3">
        <v>5.3231999999999999</v>
      </c>
    </row>
    <row r="1566" spans="1:2" x14ac:dyDescent="0.4">
      <c r="A1566" s="2">
        <v>45089</v>
      </c>
      <c r="B1566" s="3">
        <v>5.3391000000000002</v>
      </c>
    </row>
    <row r="1567" spans="1:2" x14ac:dyDescent="0.4">
      <c r="A1567" s="2">
        <v>45090</v>
      </c>
      <c r="B1567" s="3">
        <v>5.3497000000000003</v>
      </c>
    </row>
    <row r="1568" spans="1:2" x14ac:dyDescent="0.4">
      <c r="A1568" s="2">
        <v>45091</v>
      </c>
      <c r="B1568" s="3">
        <v>5.3749000000000002</v>
      </c>
    </row>
    <row r="1569" spans="1:2" x14ac:dyDescent="0.4">
      <c r="A1569" s="2">
        <v>45092</v>
      </c>
      <c r="B1569" s="3">
        <v>5.3640999999999996</v>
      </c>
    </row>
    <row r="1570" spans="1:2" x14ac:dyDescent="0.4">
      <c r="A1570" s="2">
        <v>45093</v>
      </c>
      <c r="B1570" s="3">
        <v>5.3916000000000004</v>
      </c>
    </row>
    <row r="1571" spans="1:2" x14ac:dyDescent="0.4">
      <c r="A1571" s="2">
        <v>45096</v>
      </c>
      <c r="B1571" s="3">
        <v>5.3955000000000002</v>
      </c>
    </row>
    <row r="1572" spans="1:2" x14ac:dyDescent="0.4">
      <c r="A1572" s="2">
        <v>45097</v>
      </c>
      <c r="B1572" s="3">
        <v>5.4223999999999997</v>
      </c>
    </row>
    <row r="1573" spans="1:2" x14ac:dyDescent="0.4">
      <c r="A1573" s="2">
        <v>45098</v>
      </c>
      <c r="B1573" s="3">
        <v>5.4276</v>
      </c>
    </row>
    <row r="1574" spans="1:2" x14ac:dyDescent="0.4">
      <c r="A1574" s="2">
        <v>45103</v>
      </c>
      <c r="B1574" s="3">
        <v>5.4778000000000002</v>
      </c>
    </row>
    <row r="1575" spans="1:2" x14ac:dyDescent="0.4">
      <c r="A1575" s="2">
        <v>45104</v>
      </c>
      <c r="B1575" s="3">
        <v>5.4912000000000001</v>
      </c>
    </row>
    <row r="1576" spans="1:2" x14ac:dyDescent="0.4">
      <c r="A1576" s="2">
        <v>45105</v>
      </c>
      <c r="B1576" s="3">
        <v>5.4649000000000001</v>
      </c>
    </row>
    <row r="1577" spans="1:2" x14ac:dyDescent="0.4">
      <c r="A1577" s="2">
        <v>45106</v>
      </c>
      <c r="B1577" s="3">
        <v>5.4736000000000002</v>
      </c>
    </row>
    <row r="1578" spans="1:2" x14ac:dyDescent="0.4">
      <c r="A1578" s="2">
        <v>45107</v>
      </c>
      <c r="B1578" s="3">
        <v>5.4721000000000002</v>
      </c>
    </row>
    <row r="1579" spans="1:2" x14ac:dyDescent="0.4">
      <c r="A1579" s="2">
        <v>45110</v>
      </c>
      <c r="B1579" s="3">
        <v>5.4684999999999997</v>
      </c>
    </row>
    <row r="1580" spans="1:2" x14ac:dyDescent="0.4">
      <c r="A1580" s="2">
        <v>45111</v>
      </c>
      <c r="B1580" s="3">
        <v>5.4637000000000002</v>
      </c>
    </row>
    <row r="1581" spans="1:2" x14ac:dyDescent="0.4">
      <c r="A1581" s="2">
        <v>45112</v>
      </c>
      <c r="B1581" s="3">
        <v>5.4566999999999997</v>
      </c>
    </row>
    <row r="1582" spans="1:2" x14ac:dyDescent="0.4">
      <c r="A1582" s="2">
        <v>45113</v>
      </c>
      <c r="B1582" s="3">
        <v>5.4562999999999997</v>
      </c>
    </row>
    <row r="1583" spans="1:2" x14ac:dyDescent="0.4">
      <c r="A1583" s="2">
        <v>45114</v>
      </c>
      <c r="B1583" s="3">
        <v>5.42</v>
      </c>
    </row>
    <row r="1584" spans="1:2" x14ac:dyDescent="0.4">
      <c r="A1584" s="2">
        <v>45117</v>
      </c>
      <c r="B1584" s="3">
        <v>5.4306000000000001</v>
      </c>
    </row>
    <row r="1585" spans="1:2" x14ac:dyDescent="0.4">
      <c r="A1585" s="2">
        <v>45118</v>
      </c>
      <c r="B1585" s="3">
        <v>5.4363999999999999</v>
      </c>
    </row>
    <row r="1586" spans="1:2" x14ac:dyDescent="0.4">
      <c r="A1586" s="2">
        <v>45119</v>
      </c>
      <c r="B1586" s="3">
        <v>5.4371999999999998</v>
      </c>
    </row>
    <row r="1587" spans="1:2" x14ac:dyDescent="0.4">
      <c r="A1587" s="2">
        <v>45120</v>
      </c>
      <c r="B1587" s="3">
        <v>5.4322999999999997</v>
      </c>
    </row>
    <row r="1588" spans="1:2" x14ac:dyDescent="0.4">
      <c r="A1588" s="2">
        <v>45121</v>
      </c>
      <c r="B1588" s="3">
        <v>5.4485000000000001</v>
      </c>
    </row>
    <row r="1589" spans="1:2" x14ac:dyDescent="0.4">
      <c r="A1589" s="2">
        <v>45124</v>
      </c>
      <c r="B1589" s="3">
        <v>5.3970000000000002</v>
      </c>
    </row>
    <row r="1590" spans="1:2" x14ac:dyDescent="0.4">
      <c r="A1590" s="2">
        <v>45125</v>
      </c>
      <c r="B1590" s="3">
        <v>5.4328000000000003</v>
      </c>
    </row>
    <row r="1591" spans="1:2" x14ac:dyDescent="0.4">
      <c r="A1591" s="2">
        <v>45126</v>
      </c>
      <c r="B1591" s="3">
        <v>5.4523000000000001</v>
      </c>
    </row>
    <row r="1592" spans="1:2" x14ac:dyDescent="0.4">
      <c r="A1592" s="2">
        <v>45127</v>
      </c>
      <c r="B1592" s="3">
        <v>5.4865000000000004</v>
      </c>
    </row>
    <row r="1593" spans="1:2" x14ac:dyDescent="0.4">
      <c r="A1593" s="2">
        <v>45128</v>
      </c>
      <c r="B1593" s="3">
        <v>5.4607999999999999</v>
      </c>
    </row>
    <row r="1594" spans="1:2" x14ac:dyDescent="0.4">
      <c r="A1594" s="2">
        <v>45131</v>
      </c>
      <c r="B1594" s="3">
        <v>5.4306000000000001</v>
      </c>
    </row>
    <row r="1595" spans="1:2" x14ac:dyDescent="0.4">
      <c r="A1595" s="2">
        <v>45132</v>
      </c>
      <c r="B1595" s="3">
        <v>5.468</v>
      </c>
    </row>
    <row r="1596" spans="1:2" x14ac:dyDescent="0.4">
      <c r="A1596" s="2">
        <v>45133</v>
      </c>
      <c r="B1596" s="3">
        <v>5.4108999999999998</v>
      </c>
    </row>
    <row r="1597" spans="1:2" x14ac:dyDescent="0.4">
      <c r="A1597" s="2">
        <v>45134</v>
      </c>
      <c r="B1597" s="3">
        <v>5.4123999999999999</v>
      </c>
    </row>
    <row r="1598" spans="1:2" x14ac:dyDescent="0.4">
      <c r="A1598" s="2">
        <v>45135</v>
      </c>
      <c r="B1598" s="3">
        <v>5.4150999999999998</v>
      </c>
    </row>
    <row r="1599" spans="1:2" x14ac:dyDescent="0.4">
      <c r="A1599" s="2">
        <v>45138</v>
      </c>
      <c r="B1599" s="3">
        <v>5.4008000000000003</v>
      </c>
    </row>
    <row r="1600" spans="1:2" x14ac:dyDescent="0.4">
      <c r="A1600" s="2">
        <v>45139</v>
      </c>
      <c r="B1600" s="3">
        <v>5.4188999999999998</v>
      </c>
    </row>
    <row r="1601" spans="1:2" x14ac:dyDescent="0.4">
      <c r="A1601" s="2">
        <v>45140</v>
      </c>
      <c r="B1601" s="3">
        <v>5.3994999999999997</v>
      </c>
    </row>
    <row r="1602" spans="1:2" x14ac:dyDescent="0.4">
      <c r="A1602" s="2">
        <v>45141</v>
      </c>
      <c r="B1602" s="3">
        <v>5.3890000000000002</v>
      </c>
    </row>
    <row r="1603" spans="1:2" x14ac:dyDescent="0.4">
      <c r="A1603" s="2">
        <v>45142</v>
      </c>
      <c r="B1603" s="3">
        <v>5.3789999999999996</v>
      </c>
    </row>
    <row r="1604" spans="1:2" x14ac:dyDescent="0.4">
      <c r="A1604" s="2">
        <v>45145</v>
      </c>
      <c r="B1604" s="3">
        <v>5.3569000000000004</v>
      </c>
    </row>
    <row r="1605" spans="1:2" x14ac:dyDescent="0.4">
      <c r="A1605" s="2">
        <v>45146</v>
      </c>
      <c r="B1605" s="3">
        <v>5.3727999999999998</v>
      </c>
    </row>
    <row r="1606" spans="1:2" x14ac:dyDescent="0.4">
      <c r="A1606" s="2">
        <v>45147</v>
      </c>
      <c r="B1606" s="3">
        <v>5.3764000000000003</v>
      </c>
    </row>
    <row r="1607" spans="1:2" x14ac:dyDescent="0.4">
      <c r="A1607" s="2">
        <v>45148</v>
      </c>
      <c r="B1607" s="3">
        <v>5.3663999999999996</v>
      </c>
    </row>
    <row r="1608" spans="1:2" x14ac:dyDescent="0.4">
      <c r="A1608" s="2">
        <v>45149</v>
      </c>
      <c r="B1608" s="3">
        <v>5.3678999999999997</v>
      </c>
    </row>
    <row r="1609" spans="1:2" x14ac:dyDescent="0.4">
      <c r="A1609" s="2">
        <v>45152</v>
      </c>
      <c r="B1609" s="3">
        <v>5.3883000000000001</v>
      </c>
    </row>
    <row r="1610" spans="1:2" x14ac:dyDescent="0.4">
      <c r="A1610" s="2">
        <v>45153</v>
      </c>
      <c r="B1610" s="3">
        <v>5.3939000000000004</v>
      </c>
    </row>
    <row r="1611" spans="1:2" x14ac:dyDescent="0.4">
      <c r="A1611" s="2">
        <v>45154</v>
      </c>
      <c r="B1611" s="3">
        <v>5.3989000000000003</v>
      </c>
    </row>
    <row r="1612" spans="1:2" x14ac:dyDescent="0.4">
      <c r="A1612" s="2">
        <v>45155</v>
      </c>
      <c r="B1612" s="3">
        <v>5.3924000000000003</v>
      </c>
    </row>
    <row r="1613" spans="1:2" x14ac:dyDescent="0.4">
      <c r="A1613" s="2">
        <v>45156</v>
      </c>
      <c r="B1613" s="3">
        <v>5.3918999999999997</v>
      </c>
    </row>
    <row r="1614" spans="1:2" x14ac:dyDescent="0.4">
      <c r="A1614" s="2">
        <v>45159</v>
      </c>
      <c r="B1614" s="3">
        <v>5.3785999999999996</v>
      </c>
    </row>
    <row r="1615" spans="1:2" x14ac:dyDescent="0.4">
      <c r="A1615" s="2">
        <v>45160</v>
      </c>
      <c r="B1615" s="3">
        <v>5.3928000000000003</v>
      </c>
    </row>
    <row r="1616" spans="1:2" x14ac:dyDescent="0.4">
      <c r="A1616" s="2">
        <v>45161</v>
      </c>
      <c r="B1616" s="3">
        <v>5.3868</v>
      </c>
    </row>
    <row r="1617" spans="1:2" x14ac:dyDescent="0.4">
      <c r="A1617" s="2">
        <v>45162</v>
      </c>
      <c r="B1617" s="3">
        <v>5.3781999999999996</v>
      </c>
    </row>
    <row r="1618" spans="1:2" x14ac:dyDescent="0.4">
      <c r="A1618" s="2">
        <v>45163</v>
      </c>
      <c r="B1618" s="3">
        <v>5.3647999999999998</v>
      </c>
    </row>
    <row r="1619" spans="1:2" x14ac:dyDescent="0.4">
      <c r="A1619" s="2">
        <v>45166</v>
      </c>
      <c r="B1619" s="3">
        <v>5.3578000000000001</v>
      </c>
    </row>
    <row r="1620" spans="1:2" x14ac:dyDescent="0.4">
      <c r="A1620" s="2">
        <v>45167</v>
      </c>
      <c r="B1620" s="3">
        <v>5.3556999999999997</v>
      </c>
    </row>
    <row r="1621" spans="1:2" x14ac:dyDescent="0.4">
      <c r="A1621" s="2">
        <v>45168</v>
      </c>
      <c r="B1621" s="3">
        <v>5.3662999999999998</v>
      </c>
    </row>
    <row r="1622" spans="1:2" x14ac:dyDescent="0.4">
      <c r="A1622" s="2">
        <v>45169</v>
      </c>
      <c r="B1622" s="3">
        <v>5.3754999999999997</v>
      </c>
    </row>
    <row r="1623" spans="1:2" x14ac:dyDescent="0.4">
      <c r="A1623" s="2">
        <v>45170</v>
      </c>
      <c r="B1623" s="3">
        <v>5.3977000000000004</v>
      </c>
    </row>
    <row r="1624" spans="1:2" x14ac:dyDescent="0.4">
      <c r="A1624" s="2">
        <v>45173</v>
      </c>
      <c r="B1624" s="3">
        <v>5.3498999999999999</v>
      </c>
    </row>
    <row r="1625" spans="1:2" x14ac:dyDescent="0.4">
      <c r="A1625" s="2">
        <v>45174</v>
      </c>
      <c r="B1625" s="3">
        <v>5.3464999999999998</v>
      </c>
    </row>
    <row r="1626" spans="1:2" x14ac:dyDescent="0.4">
      <c r="A1626" s="2">
        <v>45175</v>
      </c>
      <c r="B1626" s="3">
        <v>5.3582000000000001</v>
      </c>
    </row>
    <row r="1627" spans="1:2" x14ac:dyDescent="0.4">
      <c r="A1627" s="2">
        <v>45176</v>
      </c>
      <c r="B1627" s="3">
        <v>5.3594999999999997</v>
      </c>
    </row>
    <row r="1628" spans="1:2" x14ac:dyDescent="0.4">
      <c r="A1628" s="2">
        <v>45177</v>
      </c>
      <c r="B1628" s="3">
        <v>5.3522999999999996</v>
      </c>
    </row>
    <row r="1629" spans="1:2" x14ac:dyDescent="0.4">
      <c r="A1629" s="2">
        <v>45180</v>
      </c>
      <c r="B1629" s="3">
        <v>5.3682999999999996</v>
      </c>
    </row>
    <row r="1630" spans="1:2" x14ac:dyDescent="0.4">
      <c r="A1630" s="2">
        <v>45181</v>
      </c>
      <c r="B1630" s="3">
        <v>5.3480999999999996</v>
      </c>
    </row>
    <row r="1631" spans="1:2" x14ac:dyDescent="0.4">
      <c r="A1631" s="2">
        <v>45182</v>
      </c>
      <c r="B1631" s="3">
        <v>5.3532999999999999</v>
      </c>
    </row>
    <row r="1632" spans="1:2" x14ac:dyDescent="0.4">
      <c r="A1632" s="2">
        <v>45183</v>
      </c>
      <c r="B1632" s="3">
        <v>5.3436000000000003</v>
      </c>
    </row>
    <row r="1633" spans="1:2" x14ac:dyDescent="0.4">
      <c r="A1633" s="2">
        <v>45184</v>
      </c>
      <c r="B1633" s="3">
        <v>5.3578999999999999</v>
      </c>
    </row>
    <row r="1634" spans="1:2" x14ac:dyDescent="0.4">
      <c r="A1634" s="2">
        <v>45187</v>
      </c>
      <c r="B1634" s="3">
        <v>5.3446999999999996</v>
      </c>
    </row>
    <row r="1635" spans="1:2" x14ac:dyDescent="0.4">
      <c r="A1635" s="2">
        <v>45188</v>
      </c>
      <c r="B1635" s="3">
        <v>5.3625999999999996</v>
      </c>
    </row>
    <row r="1636" spans="1:2" x14ac:dyDescent="0.4">
      <c r="A1636" s="2">
        <v>45189</v>
      </c>
      <c r="B1636" s="3">
        <v>5.3723000000000001</v>
      </c>
    </row>
    <row r="1637" spans="1:2" x14ac:dyDescent="0.4">
      <c r="A1637" s="2">
        <v>45190</v>
      </c>
      <c r="B1637" s="3">
        <v>5.3642000000000003</v>
      </c>
    </row>
    <row r="1638" spans="1:2" x14ac:dyDescent="0.4">
      <c r="A1638" s="2">
        <v>45191</v>
      </c>
      <c r="B1638" s="3">
        <v>5.36</v>
      </c>
    </row>
    <row r="1639" spans="1:2" x14ac:dyDescent="0.4">
      <c r="A1639" s="2">
        <v>45194</v>
      </c>
      <c r="B1639" s="3">
        <v>5.3558000000000003</v>
      </c>
    </row>
    <row r="1640" spans="1:2" x14ac:dyDescent="0.4">
      <c r="A1640" s="2">
        <v>45195</v>
      </c>
      <c r="B1640" s="3">
        <v>5.3733000000000004</v>
      </c>
    </row>
    <row r="1641" spans="1:2" x14ac:dyDescent="0.4">
      <c r="A1641" s="2">
        <v>45196</v>
      </c>
      <c r="B1641" s="3">
        <v>5.3465999999999996</v>
      </c>
    </row>
    <row r="1642" spans="1:2" x14ac:dyDescent="0.4">
      <c r="A1642" s="2">
        <v>45197</v>
      </c>
      <c r="B1642" s="3">
        <v>5.3558000000000003</v>
      </c>
    </row>
    <row r="1643" spans="1:2" x14ac:dyDescent="0.4">
      <c r="A1643" s="2">
        <v>45208</v>
      </c>
      <c r="B1643" s="3">
        <v>5.2857000000000003</v>
      </c>
    </row>
    <row r="1644" spans="1:2" x14ac:dyDescent="0.4">
      <c r="A1644" s="2">
        <v>45209</v>
      </c>
      <c r="B1644" s="3">
        <v>5.3076999999999996</v>
      </c>
    </row>
    <row r="1645" spans="1:2" x14ac:dyDescent="0.4">
      <c r="A1645" s="2">
        <v>45210</v>
      </c>
      <c r="B1645" s="3">
        <v>5.3109999999999999</v>
      </c>
    </row>
    <row r="1646" spans="1:2" x14ac:dyDescent="0.4">
      <c r="A1646" s="2">
        <v>45211</v>
      </c>
      <c r="B1646" s="3">
        <v>5.3075000000000001</v>
      </c>
    </row>
    <row r="1647" spans="1:2" x14ac:dyDescent="0.4">
      <c r="A1647" s="2">
        <v>45212</v>
      </c>
      <c r="B1647" s="3">
        <v>5.2808999999999999</v>
      </c>
    </row>
    <row r="1648" spans="1:2" x14ac:dyDescent="0.4">
      <c r="A1648" s="2">
        <v>45215</v>
      </c>
      <c r="B1648" s="3">
        <v>5.2916999999999996</v>
      </c>
    </row>
    <row r="1649" spans="1:2" x14ac:dyDescent="0.4">
      <c r="A1649" s="2">
        <v>45216</v>
      </c>
      <c r="B1649" s="3">
        <v>5.3015999999999996</v>
      </c>
    </row>
    <row r="1650" spans="1:2" x14ac:dyDescent="0.4">
      <c r="A1650" s="2">
        <v>45217</v>
      </c>
      <c r="B1650" s="3">
        <v>5.2908999999999997</v>
      </c>
    </row>
    <row r="1651" spans="1:2" x14ac:dyDescent="0.4">
      <c r="A1651" s="2">
        <v>45218</v>
      </c>
      <c r="B1651" s="3">
        <v>5.2732000000000001</v>
      </c>
    </row>
    <row r="1652" spans="1:2" x14ac:dyDescent="0.4">
      <c r="A1652" s="2">
        <v>45219</v>
      </c>
      <c r="B1652" s="3">
        <v>5.2614999999999998</v>
      </c>
    </row>
    <row r="1653" spans="1:2" x14ac:dyDescent="0.4">
      <c r="A1653" s="2">
        <v>45222</v>
      </c>
      <c r="B1653" s="3">
        <v>5.2695999999999996</v>
      </c>
    </row>
    <row r="1654" spans="1:2" x14ac:dyDescent="0.4">
      <c r="A1654" s="2">
        <v>45223</v>
      </c>
      <c r="B1654" s="3">
        <v>5.2709000000000001</v>
      </c>
    </row>
    <row r="1655" spans="1:2" x14ac:dyDescent="0.4">
      <c r="A1655" s="2">
        <v>45224</v>
      </c>
      <c r="B1655" s="3">
        <v>5.2572000000000001</v>
      </c>
    </row>
    <row r="1656" spans="1:2" x14ac:dyDescent="0.4">
      <c r="A1656" s="2">
        <v>45225</v>
      </c>
      <c r="B1656" s="3">
        <v>5.2378</v>
      </c>
    </row>
    <row r="1657" spans="1:2" x14ac:dyDescent="0.4">
      <c r="A1657" s="2">
        <v>45226</v>
      </c>
      <c r="B1657" s="3">
        <v>5.2248000000000001</v>
      </c>
    </row>
    <row r="1658" spans="1:2" x14ac:dyDescent="0.4">
      <c r="A1658" s="2">
        <v>45229</v>
      </c>
      <c r="B1658" s="3">
        <v>5.2080000000000002</v>
      </c>
    </row>
    <row r="1659" spans="1:2" x14ac:dyDescent="0.4">
      <c r="A1659" s="2">
        <v>45230</v>
      </c>
      <c r="B1659" s="3">
        <v>5.2171000000000003</v>
      </c>
    </row>
    <row r="1660" spans="1:2" x14ac:dyDescent="0.4">
      <c r="A1660" s="2">
        <v>45231</v>
      </c>
      <c r="B1660" s="3">
        <v>5.2142999999999997</v>
      </c>
    </row>
    <row r="1661" spans="1:2" x14ac:dyDescent="0.4">
      <c r="A1661" s="2">
        <v>45232</v>
      </c>
      <c r="B1661" s="3">
        <v>5.2156000000000002</v>
      </c>
    </row>
    <row r="1662" spans="1:2" x14ac:dyDescent="0.4">
      <c r="A1662" s="2">
        <v>45233</v>
      </c>
      <c r="B1662" s="3">
        <v>5.25</v>
      </c>
    </row>
    <row r="1663" spans="1:2" x14ac:dyDescent="0.4">
      <c r="A1663" s="2">
        <v>45236</v>
      </c>
      <c r="B1663" s="3">
        <v>5.2773000000000003</v>
      </c>
    </row>
    <row r="1664" spans="1:2" x14ac:dyDescent="0.4">
      <c r="A1664" s="2">
        <v>45237</v>
      </c>
      <c r="B1664" s="3">
        <v>5.2640000000000002</v>
      </c>
    </row>
    <row r="1665" spans="1:2" x14ac:dyDescent="0.4">
      <c r="A1665" s="2">
        <v>45238</v>
      </c>
      <c r="B1665" s="3">
        <v>5.2439999999999998</v>
      </c>
    </row>
    <row r="1666" spans="1:2" x14ac:dyDescent="0.4">
      <c r="A1666" s="2">
        <v>45239</v>
      </c>
      <c r="B1666" s="3">
        <v>5.2286999999999999</v>
      </c>
    </row>
    <row r="1667" spans="1:2" x14ac:dyDescent="0.4">
      <c r="A1667" s="2">
        <v>45240</v>
      </c>
      <c r="B1667" s="3">
        <v>5.2281000000000004</v>
      </c>
    </row>
    <row r="1668" spans="1:2" x14ac:dyDescent="0.4">
      <c r="A1668" s="2">
        <v>45243</v>
      </c>
      <c r="B1668" s="3">
        <v>5.2291999999999996</v>
      </c>
    </row>
    <row r="1669" spans="1:2" x14ac:dyDescent="0.4">
      <c r="A1669" s="2">
        <v>45244</v>
      </c>
      <c r="B1669" s="3">
        <v>5.2252000000000001</v>
      </c>
    </row>
    <row r="1670" spans="1:2" x14ac:dyDescent="0.4">
      <c r="A1670" s="2">
        <v>45245</v>
      </c>
      <c r="B1670" s="3">
        <v>5.2478999999999996</v>
      </c>
    </row>
    <row r="1671" spans="1:2" x14ac:dyDescent="0.4">
      <c r="A1671" s="2">
        <v>45246</v>
      </c>
      <c r="B1671" s="3">
        <v>5.2575000000000003</v>
      </c>
    </row>
    <row r="1672" spans="1:2" x14ac:dyDescent="0.4">
      <c r="A1672" s="2">
        <v>45247</v>
      </c>
      <c r="B1672" s="3">
        <v>5.2319000000000004</v>
      </c>
    </row>
    <row r="1673" spans="1:2" x14ac:dyDescent="0.4">
      <c r="A1673" s="2">
        <v>45250</v>
      </c>
      <c r="B1673" s="3">
        <v>5.2386999999999997</v>
      </c>
    </row>
    <row r="1674" spans="1:2" x14ac:dyDescent="0.4">
      <c r="A1674" s="2">
        <v>45251</v>
      </c>
      <c r="B1674" s="3">
        <v>5.2130999999999998</v>
      </c>
    </row>
    <row r="1675" spans="1:2" x14ac:dyDescent="0.4">
      <c r="A1675" s="2">
        <v>45252</v>
      </c>
      <c r="B1675" s="3">
        <v>5.2123999999999997</v>
      </c>
    </row>
    <row r="1676" spans="1:2" x14ac:dyDescent="0.4">
      <c r="A1676" s="2">
        <v>45253</v>
      </c>
      <c r="B1676" s="3">
        <v>5.2183999999999999</v>
      </c>
    </row>
    <row r="1677" spans="1:2" x14ac:dyDescent="0.4">
      <c r="A1677" s="2">
        <v>45254</v>
      </c>
      <c r="B1677" s="3">
        <v>5.2031000000000001</v>
      </c>
    </row>
    <row r="1678" spans="1:2" x14ac:dyDescent="0.4">
      <c r="A1678" s="2">
        <v>45257</v>
      </c>
      <c r="B1678" s="3">
        <v>5.2229000000000001</v>
      </c>
    </row>
    <row r="1679" spans="1:2" x14ac:dyDescent="0.4">
      <c r="A1679" s="2">
        <v>45258</v>
      </c>
      <c r="B1679" s="3">
        <v>5.2294</v>
      </c>
    </row>
    <row r="1680" spans="1:2" x14ac:dyDescent="0.4">
      <c r="A1680" s="2">
        <v>45259</v>
      </c>
      <c r="B1680" s="3">
        <v>5.2405999999999997</v>
      </c>
    </row>
    <row r="1681" spans="1:2" x14ac:dyDescent="0.4">
      <c r="A1681" s="2">
        <v>45260</v>
      </c>
      <c r="B1681" s="3">
        <v>5.2347999999999999</v>
      </c>
    </row>
    <row r="1682" spans="1:2" x14ac:dyDescent="0.4">
      <c r="A1682" s="2">
        <v>45261</v>
      </c>
      <c r="B1682" s="3">
        <v>5.2557999999999998</v>
      </c>
    </row>
    <row r="1683" spans="1:2" x14ac:dyDescent="0.4">
      <c r="A1683" s="2">
        <v>45264</v>
      </c>
      <c r="B1683" s="3">
        <v>5.2725999999999997</v>
      </c>
    </row>
    <row r="1684" spans="1:2" x14ac:dyDescent="0.4">
      <c r="A1684" s="2">
        <v>45265</v>
      </c>
      <c r="B1684" s="3">
        <v>5.2622999999999998</v>
      </c>
    </row>
    <row r="1685" spans="1:2" x14ac:dyDescent="0.4">
      <c r="A1685" s="2">
        <v>45266</v>
      </c>
      <c r="B1685" s="3">
        <v>5.2469999999999999</v>
      </c>
    </row>
    <row r="1686" spans="1:2" x14ac:dyDescent="0.4">
      <c r="A1686" s="2">
        <v>45267</v>
      </c>
      <c r="B1686" s="3">
        <v>5.2466999999999997</v>
      </c>
    </row>
    <row r="1687" spans="1:2" x14ac:dyDescent="0.4">
      <c r="A1687" s="2">
        <v>45268</v>
      </c>
      <c r="B1687" s="3">
        <v>5.2336</v>
      </c>
    </row>
    <row r="1688" spans="1:2" x14ac:dyDescent="0.4">
      <c r="A1688" s="2">
        <v>45271</v>
      </c>
      <c r="B1688" s="3">
        <v>5.2472000000000003</v>
      </c>
    </row>
    <row r="1689" spans="1:2" x14ac:dyDescent="0.4">
      <c r="A1689" s="2">
        <v>45272</v>
      </c>
      <c r="B1689" s="3">
        <v>5.2587000000000002</v>
      </c>
    </row>
    <row r="1690" spans="1:2" x14ac:dyDescent="0.4">
      <c r="A1690" s="2">
        <v>45273</v>
      </c>
      <c r="B1690" s="3">
        <v>5.2458999999999998</v>
      </c>
    </row>
    <row r="1691" spans="1:2" x14ac:dyDescent="0.4">
      <c r="A1691" s="2">
        <v>45274</v>
      </c>
      <c r="B1691" s="3">
        <v>5.2663000000000002</v>
      </c>
    </row>
    <row r="1692" spans="1:2" x14ac:dyDescent="0.4">
      <c r="A1692" s="2">
        <v>45275</v>
      </c>
      <c r="B1692" s="3">
        <v>5.2896999999999998</v>
      </c>
    </row>
    <row r="1693" spans="1:2" x14ac:dyDescent="0.4">
      <c r="A1693" s="2">
        <v>45278</v>
      </c>
      <c r="B1693" s="3">
        <v>5.3132999999999999</v>
      </c>
    </row>
    <row r="1694" spans="1:2" x14ac:dyDescent="0.4">
      <c r="A1694" s="2">
        <v>45279</v>
      </c>
      <c r="B1694" s="3">
        <v>5.3040000000000003</v>
      </c>
    </row>
    <row r="1695" spans="1:2" x14ac:dyDescent="0.4">
      <c r="A1695" s="2">
        <v>45280</v>
      </c>
      <c r="B1695" s="3">
        <v>5.3273999999999999</v>
      </c>
    </row>
    <row r="1696" spans="1:2" x14ac:dyDescent="0.4">
      <c r="A1696" s="2">
        <v>45281</v>
      </c>
      <c r="B1696" s="3">
        <v>5.3223000000000003</v>
      </c>
    </row>
    <row r="1697" spans="1:2" x14ac:dyDescent="0.4">
      <c r="A1697" s="2">
        <v>45282</v>
      </c>
      <c r="B1697" s="3">
        <v>5.3468</v>
      </c>
    </row>
    <row r="1698" spans="1:2" x14ac:dyDescent="0.4">
      <c r="A1698" s="2">
        <v>45285</v>
      </c>
      <c r="B1698" s="3">
        <v>5.3554000000000004</v>
      </c>
    </row>
    <row r="1699" spans="1:2" x14ac:dyDescent="0.4">
      <c r="A1699" s="2">
        <v>45286</v>
      </c>
      <c r="B1699" s="3">
        <v>5.3636999999999997</v>
      </c>
    </row>
    <row r="1700" spans="1:2" x14ac:dyDescent="0.4">
      <c r="A1700" s="2">
        <v>45287</v>
      </c>
      <c r="B1700" s="3">
        <v>5.3857999999999997</v>
      </c>
    </row>
    <row r="1701" spans="1:2" x14ac:dyDescent="0.4">
      <c r="A1701" s="2">
        <v>45288</v>
      </c>
      <c r="B1701" s="3">
        <v>5.3789999999999996</v>
      </c>
    </row>
    <row r="1702" spans="1:2" x14ac:dyDescent="0.4">
      <c r="A1702" s="2">
        <v>45289</v>
      </c>
      <c r="B1702" s="3">
        <v>5.3673000000000002</v>
      </c>
    </row>
    <row r="1703" spans="1:2" x14ac:dyDescent="0.4">
      <c r="A1703" s="2">
        <v>45293</v>
      </c>
      <c r="B1703" s="3">
        <v>5.3520000000000003</v>
      </c>
    </row>
    <row r="1704" spans="1:2" x14ac:dyDescent="0.4">
      <c r="A1704" s="2">
        <v>45294</v>
      </c>
      <c r="B1704" s="3">
        <v>5.3426999999999998</v>
      </c>
    </row>
    <row r="1705" spans="1:2" x14ac:dyDescent="0.4">
      <c r="A1705" s="2">
        <v>45295</v>
      </c>
      <c r="B1705" s="3">
        <v>5.3357000000000001</v>
      </c>
    </row>
    <row r="1706" spans="1:2" x14ac:dyDescent="0.4">
      <c r="A1706" s="2">
        <v>45296</v>
      </c>
      <c r="B1706" s="3">
        <v>5.3322000000000003</v>
      </c>
    </row>
    <row r="1707" spans="1:2" x14ac:dyDescent="0.4">
      <c r="A1707" s="2">
        <v>45299</v>
      </c>
      <c r="B1707" s="3">
        <v>5.3265000000000002</v>
      </c>
    </row>
    <row r="1708" spans="1:2" x14ac:dyDescent="0.4">
      <c r="A1708" s="2">
        <v>45300</v>
      </c>
      <c r="B1708" s="3">
        <v>5.3277999999999999</v>
      </c>
    </row>
    <row r="1709" spans="1:2" x14ac:dyDescent="0.4">
      <c r="A1709" s="2">
        <v>45301</v>
      </c>
      <c r="B1709" s="3">
        <v>5.3183999999999996</v>
      </c>
    </row>
    <row r="1710" spans="1:2" x14ac:dyDescent="0.4">
      <c r="A1710" s="2">
        <v>45302</v>
      </c>
      <c r="B1710" s="3">
        <v>5.3251999999999997</v>
      </c>
    </row>
    <row r="1711" spans="1:2" x14ac:dyDescent="0.4">
      <c r="A1711" s="2">
        <v>45303</v>
      </c>
      <c r="B1711" s="3">
        <v>5.3192000000000004</v>
      </c>
    </row>
    <row r="1712" spans="1:2" x14ac:dyDescent="0.4">
      <c r="A1712" s="2">
        <v>45306</v>
      </c>
      <c r="B1712" s="3">
        <v>5.3144999999999998</v>
      </c>
    </row>
    <row r="1713" spans="1:2" x14ac:dyDescent="0.4">
      <c r="A1713" s="2">
        <v>45307</v>
      </c>
      <c r="B1713" s="3">
        <v>5.3113000000000001</v>
      </c>
    </row>
    <row r="1714" spans="1:2" x14ac:dyDescent="0.4">
      <c r="A1714" s="2">
        <v>45308</v>
      </c>
      <c r="B1714" s="3">
        <v>5.3022999999999998</v>
      </c>
    </row>
    <row r="1715" spans="1:2" x14ac:dyDescent="0.4">
      <c r="A1715" s="2">
        <v>45309</v>
      </c>
      <c r="B1715" s="3">
        <v>5.2925000000000004</v>
      </c>
    </row>
    <row r="1716" spans="1:2" x14ac:dyDescent="0.4">
      <c r="A1716" s="2">
        <v>45310</v>
      </c>
      <c r="B1716" s="3">
        <v>5.2954999999999997</v>
      </c>
    </row>
    <row r="1717" spans="1:2" x14ac:dyDescent="0.4">
      <c r="A1717" s="2">
        <v>45313</v>
      </c>
      <c r="B1717" s="3">
        <v>5.3106999999999998</v>
      </c>
    </row>
    <row r="1718" spans="1:2" x14ac:dyDescent="0.4">
      <c r="A1718" s="2">
        <v>45314</v>
      </c>
      <c r="B1718" s="3">
        <v>5.2967000000000004</v>
      </c>
    </row>
    <row r="1719" spans="1:2" x14ac:dyDescent="0.4">
      <c r="A1719" s="2">
        <v>45315</v>
      </c>
      <c r="B1719" s="3">
        <v>5.2991000000000001</v>
      </c>
    </row>
    <row r="1720" spans="1:2" x14ac:dyDescent="0.4">
      <c r="A1720" s="2">
        <v>45316</v>
      </c>
      <c r="B1720" s="3">
        <v>5.2643000000000004</v>
      </c>
    </row>
    <row r="1721" spans="1:2" x14ac:dyDescent="0.4">
      <c r="A1721" s="2">
        <v>45317</v>
      </c>
      <c r="B1721" s="3">
        <v>5.2896000000000001</v>
      </c>
    </row>
    <row r="1722" spans="1:2" x14ac:dyDescent="0.4">
      <c r="A1722" s="2">
        <v>45320</v>
      </c>
      <c r="B1722" s="3">
        <v>5.3030999999999997</v>
      </c>
    </row>
    <row r="1723" spans="1:2" x14ac:dyDescent="0.4">
      <c r="A1723" s="2">
        <v>45321</v>
      </c>
      <c r="B1723" s="3">
        <v>5.3158000000000003</v>
      </c>
    </row>
    <row r="1724" spans="1:2" x14ac:dyDescent="0.4">
      <c r="A1724" s="2">
        <v>45322</v>
      </c>
      <c r="B1724" s="3">
        <v>5.3173000000000004</v>
      </c>
    </row>
    <row r="1725" spans="1:2" x14ac:dyDescent="0.4">
      <c r="A1725" s="2">
        <v>45323</v>
      </c>
      <c r="B1725" s="3">
        <v>5.3079000000000001</v>
      </c>
    </row>
    <row r="1726" spans="1:2" x14ac:dyDescent="0.4">
      <c r="A1726" s="2">
        <v>45324</v>
      </c>
      <c r="B1726" s="3">
        <v>5.3188000000000004</v>
      </c>
    </row>
    <row r="1727" spans="1:2" x14ac:dyDescent="0.4">
      <c r="A1727" s="2">
        <v>45327</v>
      </c>
      <c r="B1727" s="3">
        <v>5.3017000000000003</v>
      </c>
    </row>
    <row r="1728" spans="1:2" x14ac:dyDescent="0.4">
      <c r="A1728" s="2">
        <v>45328</v>
      </c>
      <c r="B1728" s="3">
        <v>5.2760999999999996</v>
      </c>
    </row>
    <row r="1729" spans="1:2" x14ac:dyDescent="0.4">
      <c r="A1729" s="2">
        <v>45329</v>
      </c>
      <c r="B1729" s="3">
        <v>5.2826000000000004</v>
      </c>
    </row>
    <row r="1730" spans="1:2" x14ac:dyDescent="0.4">
      <c r="A1730" s="2">
        <v>45330</v>
      </c>
      <c r="B1730" s="3">
        <v>5.2971000000000004</v>
      </c>
    </row>
    <row r="1731" spans="1:2" x14ac:dyDescent="0.4">
      <c r="A1731" s="2">
        <v>45331</v>
      </c>
      <c r="B1731" s="3">
        <v>5.3034999999999997</v>
      </c>
    </row>
    <row r="1732" spans="1:2" x14ac:dyDescent="0.4">
      <c r="A1732" s="2">
        <v>45341</v>
      </c>
      <c r="B1732" s="3">
        <v>5.2946999999999997</v>
      </c>
    </row>
    <row r="1733" spans="1:2" x14ac:dyDescent="0.4">
      <c r="A1733" s="2">
        <v>45342</v>
      </c>
      <c r="B1733" s="3">
        <v>5.2851999999999997</v>
      </c>
    </row>
    <row r="1734" spans="1:2" x14ac:dyDescent="0.4">
      <c r="A1734" s="2">
        <v>45343</v>
      </c>
      <c r="B1734" s="3">
        <v>5.2714999999999996</v>
      </c>
    </row>
    <row r="1735" spans="1:2" x14ac:dyDescent="0.4">
      <c r="A1735" s="2">
        <v>45344</v>
      </c>
      <c r="B1735" s="3">
        <v>5.2801</v>
      </c>
    </row>
    <row r="1736" spans="1:2" x14ac:dyDescent="0.4">
      <c r="A1736" s="2">
        <v>45345</v>
      </c>
      <c r="B1736" s="3">
        <v>5.2881999999999998</v>
      </c>
    </row>
    <row r="1737" spans="1:2" x14ac:dyDescent="0.4">
      <c r="A1737" s="2">
        <v>45348</v>
      </c>
      <c r="B1737" s="3">
        <v>5.2864000000000004</v>
      </c>
    </row>
    <row r="1738" spans="1:2" x14ac:dyDescent="0.4">
      <c r="A1738" s="2">
        <v>45349</v>
      </c>
      <c r="B1738" s="3">
        <v>5.2793999999999999</v>
      </c>
    </row>
    <row r="1739" spans="1:2" x14ac:dyDescent="0.4">
      <c r="A1739" s="2">
        <v>45350</v>
      </c>
      <c r="B1739" s="3">
        <v>5.2716000000000003</v>
      </c>
    </row>
    <row r="1740" spans="1:2" x14ac:dyDescent="0.4">
      <c r="A1740" s="2">
        <v>45351</v>
      </c>
      <c r="B1740" s="3">
        <v>5.2548000000000004</v>
      </c>
    </row>
    <row r="1741" spans="1:2" x14ac:dyDescent="0.4">
      <c r="A1741" s="2">
        <v>45352</v>
      </c>
      <c r="B1741" s="3">
        <v>5.2530999999999999</v>
      </c>
    </row>
    <row r="1742" spans="1:2" x14ac:dyDescent="0.4">
      <c r="A1742" s="2">
        <v>45355</v>
      </c>
      <c r="B1742" s="3">
        <v>5.2586000000000004</v>
      </c>
    </row>
  </sheetData>
  <phoneticPr fontId="2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例5-1</vt:lpstr>
      <vt:lpstr>数据分析工具</vt:lpstr>
      <vt:lpstr>移动平均模型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xiemp@126.com</dc:creator>
  <cp:lastModifiedBy>a77111</cp:lastModifiedBy>
  <dcterms:created xsi:type="dcterms:W3CDTF">2024-03-20T13:34:50Z</dcterms:created>
  <dcterms:modified xsi:type="dcterms:W3CDTF">2026-06-19T11:58:35Z</dcterms:modified>
</cp:coreProperties>
</file>