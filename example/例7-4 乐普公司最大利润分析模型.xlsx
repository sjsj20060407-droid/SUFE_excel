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trlProps/ctrlProp3.xml" ContentType="application/vnd.ms-excel.controlproperties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000-ThinkPad\教材编写\财经管理中的计算机应用（第四版）\例题\"/>
    </mc:Choice>
  </mc:AlternateContent>
  <bookViews>
    <workbookView xWindow="320" yWindow="30" windowWidth="9520" windowHeight="7410" tabRatio="696"/>
  </bookViews>
  <sheets>
    <sheet name="例7-4" sheetId="65299" r:id="rId1"/>
    <sheet name="最大利润分析模型" sheetId="17" r:id="rId2"/>
    <sheet name="最大利润分析图形" sheetId="5" r:id="rId3"/>
    <sheet name="最大利润情景分析图形" sheetId="65300" r:id="rId4"/>
    <sheet name="空间曲面图形" sheetId="65302" state="hidden" r:id="rId5"/>
  </sheets>
  <definedNames>
    <definedName name="solver_adj" localSheetId="0" hidden="1">'例7-4'!$D$8</definedName>
    <definedName name="solver_adj" localSheetId="1" hidden="1">最大利润分析模型!$C$7</definedName>
    <definedName name="solver_cvg" localSheetId="1" hidden="1">0.001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100</definedName>
    <definedName name="solver_lhs1" localSheetId="1" hidden="1">最大利润分析模型!$C$7</definedName>
    <definedName name="solver_lhs2" localSheetId="1" hidden="1">最大利润分析模型!$C$7</definedName>
    <definedName name="solver_lin" localSheetId="0" hidden="1">0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0" hidden="1">0</definedName>
    <definedName name="solver_num" localSheetId="1" hidden="1">2</definedName>
    <definedName name="solver_nwt" localSheetId="1" hidden="1">1</definedName>
    <definedName name="solver_opt" localSheetId="0" hidden="1">'例7-4'!$D$11</definedName>
    <definedName name="solver_opt" localSheetId="1" hidden="1">最大利润分析模型!$C$11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3</definedName>
    <definedName name="solver_rhs1" localSheetId="1" hidden="1">250</definedName>
    <definedName name="solver_rhs2" localSheetId="1" hidden="1">50</definedName>
    <definedName name="solver_rlx" localSheetId="1" hidden="1">1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100</definedName>
    <definedName name="solver_tol" localSheetId="1" hidden="1">0.05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1" hidden="1">3</definedName>
  </definedNames>
  <calcPr calcId="162913"/>
</workbook>
</file>

<file path=xl/calcChain.xml><?xml version="1.0" encoding="utf-8"?>
<calcChain xmlns="http://schemas.openxmlformats.org/spreadsheetml/2006/main">
  <c r="C14" i="17" l="1"/>
  <c r="AA15" i="17" l="1"/>
  <c r="AA14" i="17"/>
  <c r="AA3" i="17"/>
  <c r="I12" i="17"/>
  <c r="J12" i="17"/>
  <c r="B17" i="17" l="1"/>
  <c r="I7" i="17" l="1" a="1"/>
  <c r="I7" i="17" s="1"/>
  <c r="C8" i="17"/>
  <c r="C9" i="17" s="1"/>
  <c r="C13" i="17"/>
  <c r="B19" i="17" s="1"/>
  <c r="Z3" i="17" l="1"/>
  <c r="Z15" i="17"/>
  <c r="Z16" i="17"/>
  <c r="I8" i="17"/>
  <c r="I2" i="17" a="1"/>
  <c r="I4" i="17" s="1"/>
  <c r="I9" i="17"/>
  <c r="J3" i="17"/>
  <c r="C10" i="17"/>
  <c r="C11" i="17" s="1"/>
  <c r="N2" i="17" s="1"/>
  <c r="I2" i="17" l="1"/>
  <c r="I3" i="17"/>
  <c r="G2" i="17"/>
  <c r="B18" i="17"/>
  <c r="J8" i="17"/>
</calcChain>
</file>

<file path=xl/sharedStrings.xml><?xml version="1.0" encoding="utf-8"?>
<sst xmlns="http://schemas.openxmlformats.org/spreadsheetml/2006/main" count="23" uniqueCount="22">
  <si>
    <t>利润</t>
  </si>
  <si>
    <t>单价</t>
  </si>
  <si>
    <t xml:space="preserve"> </t>
  </si>
  <si>
    <t>结论文字：</t>
    <phoneticPr fontId="3" type="noConversion"/>
  </si>
  <si>
    <r>
      <t xml:space="preserve"> </t>
    </r>
    <r>
      <rPr>
        <sz val="10"/>
        <color theme="1"/>
        <rFont val="宋体"/>
        <family val="3"/>
        <charset val="134"/>
      </rPr>
      <t>单位：元</t>
    </r>
    <phoneticPr fontId="3" type="noConversion"/>
  </si>
  <si>
    <r>
      <t>固定成本</t>
    </r>
    <r>
      <rPr>
        <sz val="10"/>
        <color theme="1"/>
        <rFont val="Times New Roman"/>
        <family val="1"/>
      </rPr>
      <t xml:space="preserve"> (F)</t>
    </r>
    <phoneticPr fontId="3" type="noConversion"/>
  </si>
  <si>
    <r>
      <t>单位变动成本</t>
    </r>
    <r>
      <rPr>
        <sz val="10"/>
        <color theme="1"/>
        <rFont val="Times New Roman"/>
        <family val="1"/>
      </rPr>
      <t xml:space="preserve"> (v)</t>
    </r>
    <phoneticPr fontId="3" type="noConversion"/>
  </si>
  <si>
    <r>
      <t>单价截距</t>
    </r>
    <r>
      <rPr>
        <sz val="10"/>
        <color theme="1"/>
        <rFont val="Arial"/>
        <family val="2"/>
      </rPr>
      <t xml:space="preserve"> (a)</t>
    </r>
    <phoneticPr fontId="3" type="noConversion"/>
  </si>
  <si>
    <r>
      <t>单价斜率</t>
    </r>
    <r>
      <rPr>
        <sz val="10"/>
        <color theme="1"/>
        <rFont val="Arial"/>
        <family val="2"/>
      </rPr>
      <t xml:space="preserve"> (b)</t>
    </r>
  </si>
  <si>
    <r>
      <t>单价</t>
    </r>
    <r>
      <rPr>
        <sz val="10"/>
        <color theme="1"/>
        <rFont val="Times New Roman"/>
        <family val="1"/>
      </rPr>
      <t xml:space="preserve"> (p)</t>
    </r>
    <phoneticPr fontId="3" type="noConversion"/>
  </si>
  <si>
    <r>
      <t>销售数量</t>
    </r>
    <r>
      <rPr>
        <sz val="10"/>
        <color theme="1"/>
        <rFont val="Times New Roman"/>
        <family val="1"/>
      </rPr>
      <t xml:space="preserve"> (Q)</t>
    </r>
    <phoneticPr fontId="3" type="noConversion"/>
  </si>
  <si>
    <r>
      <t>总成本</t>
    </r>
    <r>
      <rPr>
        <sz val="10"/>
        <color theme="1"/>
        <rFont val="Times New Roman"/>
        <family val="1"/>
      </rPr>
      <t xml:space="preserve"> (C)</t>
    </r>
    <phoneticPr fontId="3" type="noConversion"/>
  </si>
  <si>
    <r>
      <t>利润</t>
    </r>
    <r>
      <rPr>
        <sz val="10"/>
        <color theme="1"/>
        <rFont val="Times New Roman"/>
        <family val="1"/>
      </rPr>
      <t xml:space="preserve"> (</t>
    </r>
    <r>
      <rPr>
        <sz val="10"/>
        <color theme="1"/>
        <rFont val="宋体"/>
        <family val="3"/>
        <charset val="134"/>
      </rPr>
      <t>π</t>
    </r>
    <r>
      <rPr>
        <sz val="10"/>
        <color theme="1"/>
        <rFont val="Times New Roman"/>
        <family val="1"/>
      </rPr>
      <t>)</t>
    </r>
    <phoneticPr fontId="3" type="noConversion"/>
  </si>
  <si>
    <r>
      <t>最优单价</t>
    </r>
    <r>
      <rPr>
        <sz val="10"/>
        <color theme="1"/>
        <rFont val="Times New Roman"/>
        <family val="1"/>
      </rPr>
      <t xml:space="preserve"> (p</t>
    </r>
    <r>
      <rPr>
        <vertAlign val="subscript"/>
        <sz val="10"/>
        <color theme="1"/>
        <rFont val="Times New Roman"/>
        <family val="1"/>
      </rPr>
      <t>opt</t>
    </r>
    <r>
      <rPr>
        <sz val="10"/>
        <color theme="1"/>
        <rFont val="Times New Roman"/>
        <family val="1"/>
      </rPr>
      <t>)</t>
    </r>
    <phoneticPr fontId="3" type="noConversion"/>
  </si>
  <si>
    <r>
      <t>利润极大值</t>
    </r>
    <r>
      <rPr>
        <sz val="10"/>
        <color theme="1"/>
        <rFont val="Times New Roman"/>
        <family val="1"/>
      </rPr>
      <t xml:space="preserve"> (</t>
    </r>
    <r>
      <rPr>
        <sz val="10"/>
        <color theme="1"/>
        <rFont val="宋体"/>
        <family val="3"/>
        <charset val="134"/>
      </rPr>
      <t>π</t>
    </r>
    <r>
      <rPr>
        <sz val="10"/>
        <color theme="1"/>
        <rFont val="Times New Roman"/>
        <family val="1"/>
      </rPr>
      <t>max)</t>
    </r>
    <phoneticPr fontId="3" type="noConversion"/>
  </si>
  <si>
    <t>最优单价</t>
    <phoneticPr fontId="3" type="noConversion"/>
  </si>
  <si>
    <t>最大利润</t>
    <phoneticPr fontId="3" type="noConversion"/>
  </si>
  <si>
    <t>最优单价垂直参考线</t>
    <phoneticPr fontId="3" type="noConversion"/>
  </si>
  <si>
    <t>当前单价垂直参考线</t>
    <phoneticPr fontId="3" type="noConversion"/>
  </si>
  <si>
    <r>
      <t>销售收入</t>
    </r>
    <r>
      <rPr>
        <sz val="10"/>
        <color theme="1"/>
        <rFont val="Times New Roman"/>
        <family val="1"/>
      </rPr>
      <t xml:space="preserve"> (R)</t>
    </r>
    <phoneticPr fontId="3" type="noConversion"/>
  </si>
  <si>
    <t>最优单价与最优利润交点</t>
    <phoneticPr fontId="3" type="noConversion"/>
  </si>
  <si>
    <t>折线参考线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</si>
</sst>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name val="Arial"/>
      <family val="2"/>
    </font>
    <font>
      <sz val="8"/>
      <name val="Arial"/>
      <family val="2"/>
    </font>
    <font>
      <sz val="8"/>
      <name val="仿宋_GB2312"/>
      <family val="3"/>
      <charset val="134"/>
    </font>
    <font>
      <sz val="9"/>
      <name val="宋体"/>
      <family val="3"/>
      <charset val="134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10"/>
      <color theme="1"/>
      <name val="Times New Roman"/>
      <family val="1"/>
    </font>
    <font>
      <vertAlign val="subscript"/>
      <sz val="10"/>
      <color theme="1"/>
      <name val="Times New Roman"/>
      <family val="1"/>
    </font>
    <font>
      <sz val="10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4" fillId="9" borderId="0" xfId="0" applyFont="1" applyFill="1"/>
    <xf numFmtId="0" fontId="4" fillId="0" borderId="0" xfId="0" applyFont="1"/>
    <xf numFmtId="0" fontId="5" fillId="0" borderId="0" xfId="0" applyFont="1"/>
    <xf numFmtId="0" fontId="5" fillId="5" borderId="1" xfId="0" applyFont="1" applyFill="1" applyBorder="1"/>
    <xf numFmtId="0" fontId="4" fillId="5" borderId="1" xfId="0" applyFont="1" applyFill="1" applyBorder="1" applyAlignment="1">
      <alignment horizontal="right"/>
    </xf>
    <xf numFmtId="1" fontId="4" fillId="6" borderId="1" xfId="0" applyNumberFormat="1" applyFont="1" applyFill="1" applyBorder="1"/>
    <xf numFmtId="2" fontId="4" fillId="7" borderId="1" xfId="0" applyNumberFormat="1" applyFont="1" applyFill="1" applyBorder="1"/>
    <xf numFmtId="0" fontId="8" fillId="0" borderId="0" xfId="1" applyFont="1" applyFill="1" applyAlignment="1">
      <alignment horizontal="right"/>
    </xf>
    <xf numFmtId="0" fontId="8" fillId="0" borderId="0" xfId="1" applyFont="1" applyFill="1"/>
    <xf numFmtId="0" fontId="4" fillId="0" borderId="0" xfId="0" applyFont="1" applyFill="1"/>
    <xf numFmtId="0" fontId="5" fillId="0" borderId="0" xfId="0" applyFont="1" applyFill="1"/>
    <xf numFmtId="0" fontId="4" fillId="0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1" fontId="4" fillId="4" borderId="1" xfId="0" applyNumberFormat="1" applyFont="1" applyFill="1" applyBorder="1"/>
    <xf numFmtId="1" fontId="4" fillId="2" borderId="1" xfId="0" applyNumberFormat="1" applyFont="1" applyFill="1" applyBorder="1"/>
    <xf numFmtId="1" fontId="4" fillId="7" borderId="1" xfId="0" applyNumberFormat="1" applyFont="1" applyFill="1" applyBorder="1"/>
    <xf numFmtId="2" fontId="5" fillId="3" borderId="1" xfId="0" applyNumberFormat="1" applyFont="1" applyFill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4" fillId="0" borderId="1" xfId="0" applyFont="1" applyBorder="1" applyAlignment="1"/>
  </cellXfs>
  <cellStyles count="2">
    <cellStyle name="Normal_Calculation (3)" xfId="1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99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99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CC"/>
      <rgbColor rgb="0099CCFF"/>
      <rgbColor rgb="00FF99CC"/>
      <rgbColor rgb="00CC99FF"/>
      <rgbColor rgb="00DDDDDD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zh-CN" altLang="en-US" sz="1400"/>
              <a:t>利润极大值分析模型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514691712676354"/>
          <c:y val="0.26584338823718728"/>
          <c:w val="0.79685031681169571"/>
          <c:h val="0.6943117014607130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最大利润分析模型!$G$1</c:f>
              <c:strCache>
                <c:ptCount val="1"/>
                <c:pt idx="0">
                  <c:v>利润</c:v>
                </c:pt>
              </c:strCache>
            </c:strRef>
          </c:tx>
          <c:marker>
            <c:symbol val="none"/>
          </c:marker>
          <c:xVal>
            <c:numRef>
              <c:f>最大利润分析模型!$F$3:$F$23</c:f>
              <c:numCache>
                <c:formatCode>General</c:formatCode>
                <c:ptCount val="2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</c:numCache>
            </c:numRef>
          </c:xVal>
          <c:yVal>
            <c:numRef>
              <c:f>最大利润分析模型!$G$3:$G$23</c:f>
              <c:numCache>
                <c:formatCode>General</c:formatCode>
                <c:ptCount val="21"/>
                <c:pt idx="0">
                  <c:v>700</c:v>
                </c:pt>
                <c:pt idx="1">
                  <c:v>24600</c:v>
                </c:pt>
                <c:pt idx="2">
                  <c:v>45500</c:v>
                </c:pt>
                <c:pt idx="3">
                  <c:v>63400</c:v>
                </c:pt>
                <c:pt idx="4">
                  <c:v>78300</c:v>
                </c:pt>
                <c:pt idx="5">
                  <c:v>90200</c:v>
                </c:pt>
                <c:pt idx="6">
                  <c:v>99100</c:v>
                </c:pt>
                <c:pt idx="7">
                  <c:v>105000</c:v>
                </c:pt>
                <c:pt idx="8">
                  <c:v>107900</c:v>
                </c:pt>
                <c:pt idx="9">
                  <c:v>107800</c:v>
                </c:pt>
                <c:pt idx="10">
                  <c:v>104700</c:v>
                </c:pt>
                <c:pt idx="11">
                  <c:v>98600</c:v>
                </c:pt>
                <c:pt idx="12">
                  <c:v>89500</c:v>
                </c:pt>
                <c:pt idx="13">
                  <c:v>77400</c:v>
                </c:pt>
                <c:pt idx="14">
                  <c:v>62300</c:v>
                </c:pt>
                <c:pt idx="15">
                  <c:v>44200</c:v>
                </c:pt>
                <c:pt idx="16">
                  <c:v>23100</c:v>
                </c:pt>
                <c:pt idx="17">
                  <c:v>-1000</c:v>
                </c:pt>
                <c:pt idx="18">
                  <c:v>-28100</c:v>
                </c:pt>
                <c:pt idx="19">
                  <c:v>-58200</c:v>
                </c:pt>
                <c:pt idx="20">
                  <c:v>-91300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20-4748-A321-FF61C22B5463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</a:ln>
          </c:spPr>
          <c:marker>
            <c:symbol val="square"/>
            <c:size val="7"/>
            <c:spPr>
              <a:solidFill>
                <a:srgbClr val="FF0000"/>
              </a:solidFill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0320-4748-A321-FF61C22B5463}"/>
              </c:ext>
            </c:extLst>
          </c:dPt>
          <c:dPt>
            <c:idx val="1"/>
            <c:marker>
              <c:spPr>
                <a:solidFill>
                  <a:srgbClr val="FF0000"/>
                </a:solidFill>
                <a:ln>
                  <a:noFill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320-4748-A321-FF61C22B5463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0320-4748-A321-FF61C22B5463}"/>
              </c:ext>
            </c:extLst>
          </c:dPt>
          <c:dLbls>
            <c:dLbl>
              <c:idx val="1"/>
              <c:layout>
                <c:manualLayout>
                  <c:x val="-1.771634517179773E-2"/>
                  <c:y val="-3.40620694048190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320-4748-A321-FF61C22B546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最大利润分析模型!$I$2:$I$4</c:f>
              <c:numCache>
                <c:formatCode>0.00</c:formatCode>
                <c:ptCount val="3"/>
                <c:pt idx="0">
                  <c:v>134.66666666666666</c:v>
                </c:pt>
                <c:pt idx="1">
                  <c:v>134.66666666666666</c:v>
                </c:pt>
                <c:pt idx="2">
                  <c:v>134.66666666666666</c:v>
                </c:pt>
              </c:numCache>
            </c:numRef>
          </c:xVal>
          <c:yVal>
            <c:numRef>
              <c:f>最大利润分析模型!$J$2:$J$4</c:f>
              <c:numCache>
                <c:formatCode>0.00</c:formatCode>
                <c:ptCount val="3"/>
                <c:pt idx="0">
                  <c:v>150000</c:v>
                </c:pt>
                <c:pt idx="1">
                  <c:v>108226.66666666669</c:v>
                </c:pt>
                <c:pt idx="2">
                  <c:v>-50000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320-4748-A321-FF61C22B5463}"/>
            </c:ext>
          </c:extLst>
        </c:ser>
        <c:ser>
          <c:idx val="2"/>
          <c:order val="2"/>
          <c:spPr>
            <a:ln w="12700">
              <a:solidFill>
                <a:srgbClr val="C00000"/>
              </a:solidFill>
            </a:ln>
          </c:spPr>
          <c:marker>
            <c:symbol val="none"/>
          </c:marker>
          <c:dPt>
            <c:idx val="1"/>
            <c:marker>
              <c:symbol val="square"/>
              <c:size val="7"/>
              <c:spPr>
                <a:solidFill>
                  <a:schemeClr val="bg1"/>
                </a:solidFill>
                <a:ln>
                  <a:solidFill>
                    <a:srgbClr val="C000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0320-4748-A321-FF61C22B5463}"/>
              </c:ext>
            </c:extLst>
          </c:dPt>
          <c:dLbls>
            <c:dLbl>
              <c:idx val="1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0320-4748-A321-FF61C22B546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最大利润分析模型!$I$7:$I$9</c:f>
              <c:numCache>
                <c:formatCode>0</c:formatCode>
                <c:ptCount val="3"/>
                <c:pt idx="0">
                  <c:v>90</c:v>
                </c:pt>
                <c:pt idx="1">
                  <c:v>90</c:v>
                </c:pt>
                <c:pt idx="2">
                  <c:v>90</c:v>
                </c:pt>
              </c:numCache>
            </c:numRef>
          </c:xVal>
          <c:yVal>
            <c:numRef>
              <c:f>最大利润分析模型!$J$7:$J$9</c:f>
              <c:numCache>
                <c:formatCode>0.00</c:formatCode>
                <c:ptCount val="3"/>
                <c:pt idx="0">
                  <c:v>150000</c:v>
                </c:pt>
                <c:pt idx="1">
                  <c:v>78300</c:v>
                </c:pt>
                <c:pt idx="2">
                  <c:v>-50000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320-4748-A321-FF61C22B5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89312"/>
        <c:axId val="158389888"/>
      </c:scatterChart>
      <c:valAx>
        <c:axId val="158389312"/>
        <c:scaling>
          <c:orientation val="minMax"/>
          <c:max val="250"/>
          <c:min val="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单价</a:t>
                </a:r>
              </a:p>
            </c:rich>
          </c:tx>
          <c:layout>
            <c:manualLayout>
              <c:xMode val="edge"/>
              <c:yMode val="edge"/>
              <c:x val="0.92377985896673254"/>
              <c:y val="0.68833038866296326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crossAx val="158389888"/>
        <c:crosses val="autoZero"/>
        <c:crossBetween val="midCat"/>
        <c:majorUnit val="50"/>
      </c:valAx>
      <c:valAx>
        <c:axId val="158389888"/>
        <c:scaling>
          <c:orientation val="minMax"/>
          <c:max val="150000"/>
          <c:min val="-50000"/>
        </c:scaling>
        <c:delete val="0"/>
        <c:axPos val="l"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zh-CN" altLang="en-US"/>
                  <a:t>利润</a:t>
                </a:r>
              </a:p>
            </c:rich>
          </c:tx>
          <c:layout>
            <c:manualLayout>
              <c:xMode val="edge"/>
              <c:yMode val="edge"/>
              <c:x val="8.6479279947149906E-3"/>
              <c:y val="0.45501493568102347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crossAx val="158389312"/>
        <c:crosses val="autoZero"/>
        <c:crossBetween val="midCat"/>
        <c:majorUnit val="50000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zh-CN" altLang="en-US" sz="1400"/>
              <a:t>利润最大值情景分析模型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74455191241577"/>
          <c:y val="0.25329681094353373"/>
          <c:w val="0.83054245455236164"/>
          <c:h val="0.71471814468212891"/>
        </c:manualLayout>
      </c:layout>
      <c:scatterChart>
        <c:scatterStyle val="lineMarker"/>
        <c:varyColors val="0"/>
        <c:ser>
          <c:idx val="10"/>
          <c:order val="10"/>
          <c:spPr>
            <a:ln w="12700">
              <a:solidFill>
                <a:srgbClr val="FF0000"/>
              </a:solidFill>
            </a:ln>
            <a:effectLst/>
          </c:spPr>
          <c:marker>
            <c:symbol val="none"/>
          </c:marker>
          <c:xVal>
            <c:numRef>
              <c:f>最大利润分析模型!$Z$14:$Z$16</c:f>
              <c:numCache>
                <c:formatCode>General</c:formatCode>
                <c:ptCount val="3"/>
                <c:pt idx="0">
                  <c:v>0</c:v>
                </c:pt>
                <c:pt idx="1">
                  <c:v>134.66666666666666</c:v>
                </c:pt>
                <c:pt idx="2">
                  <c:v>134.66666666666666</c:v>
                </c:pt>
              </c:numCache>
            </c:numRef>
          </c:xVal>
          <c:yVal>
            <c:numRef>
              <c:f>最大利润分析模型!$AA$14:$AA$16</c:f>
              <c:numCache>
                <c:formatCode>General</c:formatCode>
                <c:ptCount val="3"/>
                <c:pt idx="0">
                  <c:v>108226.66666666669</c:v>
                </c:pt>
                <c:pt idx="1">
                  <c:v>108226.66666666669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73-4A9B-ABAE-C1CC84FF3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913088"/>
        <c:axId val="227910784"/>
      </c:scatterChart>
      <c:scatterChart>
        <c:scatterStyle val="smoothMarker"/>
        <c:varyColors val="0"/>
        <c:ser>
          <c:idx val="0"/>
          <c:order val="0"/>
          <c:spPr>
            <a:ln w="19050">
              <a:solidFill>
                <a:schemeClr val="bg1">
                  <a:lumMod val="65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最大利润分析模型!$N$3:$N$23</c:f>
              <c:numCache>
                <c:formatCode>General</c:formatCode>
                <c:ptCount val="2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</c:numCache>
            </c:numRef>
          </c:xVal>
          <c:yVal>
            <c:numRef>
              <c:f>最大利润分析模型!$O$3:$O$23</c:f>
              <c:numCache>
                <c:formatCode>General</c:formatCode>
                <c:ptCount val="21"/>
                <c:pt idx="0">
                  <c:v>30950</c:v>
                </c:pt>
                <c:pt idx="1">
                  <c:v>53200</c:v>
                </c:pt>
                <c:pt idx="2">
                  <c:v>72450</c:v>
                </c:pt>
                <c:pt idx="3">
                  <c:v>88700</c:v>
                </c:pt>
                <c:pt idx="4">
                  <c:v>101950</c:v>
                </c:pt>
                <c:pt idx="5">
                  <c:v>112200</c:v>
                </c:pt>
                <c:pt idx="6">
                  <c:v>119450</c:v>
                </c:pt>
                <c:pt idx="7">
                  <c:v>123700</c:v>
                </c:pt>
                <c:pt idx="8">
                  <c:v>124950</c:v>
                </c:pt>
                <c:pt idx="9">
                  <c:v>123200</c:v>
                </c:pt>
                <c:pt idx="10">
                  <c:v>118450</c:v>
                </c:pt>
                <c:pt idx="11">
                  <c:v>110700</c:v>
                </c:pt>
                <c:pt idx="12">
                  <c:v>99950</c:v>
                </c:pt>
                <c:pt idx="13">
                  <c:v>86200</c:v>
                </c:pt>
                <c:pt idx="14">
                  <c:v>69450</c:v>
                </c:pt>
                <c:pt idx="15">
                  <c:v>49700</c:v>
                </c:pt>
                <c:pt idx="16">
                  <c:v>26950</c:v>
                </c:pt>
                <c:pt idx="17">
                  <c:v>1200</c:v>
                </c:pt>
                <c:pt idx="18">
                  <c:v>-27550</c:v>
                </c:pt>
                <c:pt idx="19">
                  <c:v>-59300</c:v>
                </c:pt>
                <c:pt idx="20">
                  <c:v>-94050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73-4A9B-ABAE-C1CC84FF3E4D}"/>
            </c:ext>
          </c:extLst>
        </c:ser>
        <c:ser>
          <c:idx val="1"/>
          <c:order val="1"/>
          <c:spPr>
            <a:ln w="19050">
              <a:solidFill>
                <a:schemeClr val="bg1">
                  <a:lumMod val="65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最大利润分析模型!$N$3:$N$23</c:f>
              <c:numCache>
                <c:formatCode>General</c:formatCode>
                <c:ptCount val="2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</c:numCache>
            </c:numRef>
          </c:xVal>
          <c:yVal>
            <c:numRef>
              <c:f>最大利润分析模型!$P$3:$P$23</c:f>
              <c:numCache>
                <c:formatCode>General</c:formatCode>
                <c:ptCount val="21"/>
                <c:pt idx="0">
                  <c:v>17200</c:v>
                </c:pt>
                <c:pt idx="1">
                  <c:v>40200</c:v>
                </c:pt>
                <c:pt idx="2">
                  <c:v>60200</c:v>
                </c:pt>
                <c:pt idx="3">
                  <c:v>77200</c:v>
                </c:pt>
                <c:pt idx="4">
                  <c:v>91200</c:v>
                </c:pt>
                <c:pt idx="5">
                  <c:v>102200</c:v>
                </c:pt>
                <c:pt idx="6">
                  <c:v>110200</c:v>
                </c:pt>
                <c:pt idx="7">
                  <c:v>115200</c:v>
                </c:pt>
                <c:pt idx="8">
                  <c:v>117200</c:v>
                </c:pt>
                <c:pt idx="9">
                  <c:v>116200</c:v>
                </c:pt>
                <c:pt idx="10">
                  <c:v>112200</c:v>
                </c:pt>
                <c:pt idx="11">
                  <c:v>105200</c:v>
                </c:pt>
                <c:pt idx="12">
                  <c:v>95200</c:v>
                </c:pt>
                <c:pt idx="13">
                  <c:v>82200</c:v>
                </c:pt>
                <c:pt idx="14">
                  <c:v>66200</c:v>
                </c:pt>
                <c:pt idx="15">
                  <c:v>47200</c:v>
                </c:pt>
                <c:pt idx="16">
                  <c:v>25200</c:v>
                </c:pt>
                <c:pt idx="17">
                  <c:v>200</c:v>
                </c:pt>
                <c:pt idx="18">
                  <c:v>-27800</c:v>
                </c:pt>
                <c:pt idx="19">
                  <c:v>-58800</c:v>
                </c:pt>
                <c:pt idx="20">
                  <c:v>-92800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873-4A9B-ABAE-C1CC84FF3E4D}"/>
            </c:ext>
          </c:extLst>
        </c:ser>
        <c:ser>
          <c:idx val="2"/>
          <c:order val="2"/>
          <c:spPr>
            <a:ln w="19050">
              <a:solidFill>
                <a:schemeClr val="bg1">
                  <a:lumMod val="65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最大利润分析模型!$N$3:$N$23</c:f>
              <c:numCache>
                <c:formatCode>General</c:formatCode>
                <c:ptCount val="2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</c:numCache>
            </c:numRef>
          </c:xVal>
          <c:yVal>
            <c:numRef>
              <c:f>最大利润分析模型!$Q$3:$Q$23</c:f>
              <c:numCache>
                <c:formatCode>General</c:formatCode>
                <c:ptCount val="21"/>
                <c:pt idx="0">
                  <c:v>3450</c:v>
                </c:pt>
                <c:pt idx="1">
                  <c:v>27200</c:v>
                </c:pt>
                <c:pt idx="2">
                  <c:v>47950</c:v>
                </c:pt>
                <c:pt idx="3">
                  <c:v>65700</c:v>
                </c:pt>
                <c:pt idx="4">
                  <c:v>80450</c:v>
                </c:pt>
                <c:pt idx="5">
                  <c:v>92200</c:v>
                </c:pt>
                <c:pt idx="6">
                  <c:v>100950</c:v>
                </c:pt>
                <c:pt idx="7">
                  <c:v>106700</c:v>
                </c:pt>
                <c:pt idx="8">
                  <c:v>109450</c:v>
                </c:pt>
                <c:pt idx="9">
                  <c:v>109200</c:v>
                </c:pt>
                <c:pt idx="10">
                  <c:v>105950</c:v>
                </c:pt>
                <c:pt idx="11">
                  <c:v>99700</c:v>
                </c:pt>
                <c:pt idx="12">
                  <c:v>90450</c:v>
                </c:pt>
                <c:pt idx="13">
                  <c:v>78200</c:v>
                </c:pt>
                <c:pt idx="14">
                  <c:v>62950</c:v>
                </c:pt>
                <c:pt idx="15">
                  <c:v>44700</c:v>
                </c:pt>
                <c:pt idx="16">
                  <c:v>23450</c:v>
                </c:pt>
                <c:pt idx="17">
                  <c:v>-800</c:v>
                </c:pt>
                <c:pt idx="18">
                  <c:v>-28050</c:v>
                </c:pt>
                <c:pt idx="19">
                  <c:v>-58300</c:v>
                </c:pt>
                <c:pt idx="20">
                  <c:v>-91550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873-4A9B-ABAE-C1CC84FF3E4D}"/>
            </c:ext>
          </c:extLst>
        </c:ser>
        <c:ser>
          <c:idx val="3"/>
          <c:order val="3"/>
          <c:spPr>
            <a:ln w="19050">
              <a:solidFill>
                <a:schemeClr val="bg1">
                  <a:lumMod val="65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最大利润分析模型!$N$3:$N$23</c:f>
              <c:numCache>
                <c:formatCode>General</c:formatCode>
                <c:ptCount val="2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</c:numCache>
            </c:numRef>
          </c:xVal>
          <c:yVal>
            <c:numRef>
              <c:f>最大利润分析模型!$R$3:$R$23</c:f>
              <c:numCache>
                <c:formatCode>General</c:formatCode>
                <c:ptCount val="21"/>
                <c:pt idx="0">
                  <c:v>-10300</c:v>
                </c:pt>
                <c:pt idx="1">
                  <c:v>14200</c:v>
                </c:pt>
                <c:pt idx="2">
                  <c:v>35700</c:v>
                </c:pt>
                <c:pt idx="3">
                  <c:v>54200</c:v>
                </c:pt>
                <c:pt idx="4">
                  <c:v>69700</c:v>
                </c:pt>
                <c:pt idx="5">
                  <c:v>82200</c:v>
                </c:pt>
                <c:pt idx="6">
                  <c:v>91700</c:v>
                </c:pt>
                <c:pt idx="7">
                  <c:v>98200</c:v>
                </c:pt>
                <c:pt idx="8">
                  <c:v>101700</c:v>
                </c:pt>
                <c:pt idx="9">
                  <c:v>102200</c:v>
                </c:pt>
                <c:pt idx="10">
                  <c:v>99700</c:v>
                </c:pt>
                <c:pt idx="11">
                  <c:v>94200</c:v>
                </c:pt>
                <c:pt idx="12">
                  <c:v>85700</c:v>
                </c:pt>
                <c:pt idx="13">
                  <c:v>74200</c:v>
                </c:pt>
                <c:pt idx="14">
                  <c:v>59700</c:v>
                </c:pt>
                <c:pt idx="15">
                  <c:v>42200</c:v>
                </c:pt>
                <c:pt idx="16">
                  <c:v>21700</c:v>
                </c:pt>
                <c:pt idx="17">
                  <c:v>-1800</c:v>
                </c:pt>
                <c:pt idx="18">
                  <c:v>-28300</c:v>
                </c:pt>
                <c:pt idx="19">
                  <c:v>-57800</c:v>
                </c:pt>
                <c:pt idx="20">
                  <c:v>-90300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873-4A9B-ABAE-C1CC84FF3E4D}"/>
            </c:ext>
          </c:extLst>
        </c:ser>
        <c:ser>
          <c:idx val="4"/>
          <c:order val="4"/>
          <c:spPr>
            <a:ln w="19050">
              <a:solidFill>
                <a:schemeClr val="bg1">
                  <a:lumMod val="65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最大利润分析模型!$N$3:$N$23</c:f>
              <c:numCache>
                <c:formatCode>General</c:formatCode>
                <c:ptCount val="2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</c:numCache>
            </c:numRef>
          </c:xVal>
          <c:yVal>
            <c:numRef>
              <c:f>最大利润分析模型!$S$3:$S$23</c:f>
              <c:numCache>
                <c:formatCode>General</c:formatCode>
                <c:ptCount val="21"/>
                <c:pt idx="0">
                  <c:v>-24050</c:v>
                </c:pt>
                <c:pt idx="1">
                  <c:v>1200</c:v>
                </c:pt>
                <c:pt idx="2">
                  <c:v>23450</c:v>
                </c:pt>
                <c:pt idx="3">
                  <c:v>42700</c:v>
                </c:pt>
                <c:pt idx="4">
                  <c:v>58950</c:v>
                </c:pt>
                <c:pt idx="5">
                  <c:v>72200</c:v>
                </c:pt>
                <c:pt idx="6">
                  <c:v>82450</c:v>
                </c:pt>
                <c:pt idx="7">
                  <c:v>89700</c:v>
                </c:pt>
                <c:pt idx="8">
                  <c:v>93950</c:v>
                </c:pt>
                <c:pt idx="9">
                  <c:v>95200</c:v>
                </c:pt>
                <c:pt idx="10">
                  <c:v>93450</c:v>
                </c:pt>
                <c:pt idx="11">
                  <c:v>88700</c:v>
                </c:pt>
                <c:pt idx="12">
                  <c:v>80950</c:v>
                </c:pt>
                <c:pt idx="13">
                  <c:v>70200</c:v>
                </c:pt>
                <c:pt idx="14">
                  <c:v>56450</c:v>
                </c:pt>
                <c:pt idx="15">
                  <c:v>39700</c:v>
                </c:pt>
                <c:pt idx="16">
                  <c:v>19950</c:v>
                </c:pt>
                <c:pt idx="17">
                  <c:v>-2800</c:v>
                </c:pt>
                <c:pt idx="18">
                  <c:v>-28550</c:v>
                </c:pt>
                <c:pt idx="19">
                  <c:v>-57300</c:v>
                </c:pt>
                <c:pt idx="20">
                  <c:v>-89050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873-4A9B-ABAE-C1CC84FF3E4D}"/>
            </c:ext>
          </c:extLst>
        </c:ser>
        <c:ser>
          <c:idx val="5"/>
          <c:order val="5"/>
          <c:spPr>
            <a:ln w="19050">
              <a:solidFill>
                <a:schemeClr val="bg1">
                  <a:lumMod val="65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最大利润分析模型!$N$3:$N$23</c:f>
              <c:numCache>
                <c:formatCode>General</c:formatCode>
                <c:ptCount val="2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</c:numCache>
            </c:numRef>
          </c:xVal>
          <c:yVal>
            <c:numRef>
              <c:f>最大利润分析模型!$T$3:$T$23</c:f>
              <c:numCache>
                <c:formatCode>General</c:formatCode>
                <c:ptCount val="21"/>
                <c:pt idx="0">
                  <c:v>-37800</c:v>
                </c:pt>
                <c:pt idx="1">
                  <c:v>-11800</c:v>
                </c:pt>
                <c:pt idx="2">
                  <c:v>11200</c:v>
                </c:pt>
                <c:pt idx="3">
                  <c:v>31200</c:v>
                </c:pt>
                <c:pt idx="4">
                  <c:v>48200</c:v>
                </c:pt>
                <c:pt idx="5">
                  <c:v>62200</c:v>
                </c:pt>
                <c:pt idx="6">
                  <c:v>73200</c:v>
                </c:pt>
                <c:pt idx="7">
                  <c:v>81200</c:v>
                </c:pt>
                <c:pt idx="8">
                  <c:v>86200</c:v>
                </c:pt>
                <c:pt idx="9">
                  <c:v>88200</c:v>
                </c:pt>
                <c:pt idx="10">
                  <c:v>87200</c:v>
                </c:pt>
                <c:pt idx="11">
                  <c:v>83200</c:v>
                </c:pt>
                <c:pt idx="12">
                  <c:v>76200</c:v>
                </c:pt>
                <c:pt idx="13">
                  <c:v>66200</c:v>
                </c:pt>
                <c:pt idx="14">
                  <c:v>53200</c:v>
                </c:pt>
                <c:pt idx="15">
                  <c:v>37200</c:v>
                </c:pt>
                <c:pt idx="16">
                  <c:v>18200</c:v>
                </c:pt>
                <c:pt idx="17">
                  <c:v>-3800</c:v>
                </c:pt>
                <c:pt idx="18">
                  <c:v>-28800</c:v>
                </c:pt>
                <c:pt idx="19">
                  <c:v>-56800</c:v>
                </c:pt>
                <c:pt idx="20">
                  <c:v>-87800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873-4A9B-ABAE-C1CC84FF3E4D}"/>
            </c:ext>
          </c:extLst>
        </c:ser>
        <c:ser>
          <c:idx val="6"/>
          <c:order val="6"/>
          <c:spPr>
            <a:ln w="19050">
              <a:solidFill>
                <a:schemeClr val="bg1">
                  <a:lumMod val="65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最大利润分析模型!$N$3:$N$23</c:f>
              <c:numCache>
                <c:formatCode>General</c:formatCode>
                <c:ptCount val="2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</c:numCache>
            </c:numRef>
          </c:xVal>
          <c:yVal>
            <c:numRef>
              <c:f>最大利润分析模型!$U$3:$U$23</c:f>
              <c:numCache>
                <c:formatCode>General</c:formatCode>
                <c:ptCount val="21"/>
                <c:pt idx="0">
                  <c:v>-51550</c:v>
                </c:pt>
                <c:pt idx="1">
                  <c:v>-24800</c:v>
                </c:pt>
                <c:pt idx="2">
                  <c:v>-1050</c:v>
                </c:pt>
                <c:pt idx="3">
                  <c:v>19700</c:v>
                </c:pt>
                <c:pt idx="4">
                  <c:v>37450</c:v>
                </c:pt>
                <c:pt idx="5">
                  <c:v>52200</c:v>
                </c:pt>
                <c:pt idx="6">
                  <c:v>63950</c:v>
                </c:pt>
                <c:pt idx="7">
                  <c:v>72700</c:v>
                </c:pt>
                <c:pt idx="8">
                  <c:v>78450</c:v>
                </c:pt>
                <c:pt idx="9">
                  <c:v>81200</c:v>
                </c:pt>
                <c:pt idx="10">
                  <c:v>80950</c:v>
                </c:pt>
                <c:pt idx="11">
                  <c:v>77700</c:v>
                </c:pt>
                <c:pt idx="12">
                  <c:v>71450</c:v>
                </c:pt>
                <c:pt idx="13">
                  <c:v>62200</c:v>
                </c:pt>
                <c:pt idx="14">
                  <c:v>49950</c:v>
                </c:pt>
                <c:pt idx="15">
                  <c:v>34700</c:v>
                </c:pt>
                <c:pt idx="16">
                  <c:v>16450</c:v>
                </c:pt>
                <c:pt idx="17">
                  <c:v>-4800</c:v>
                </c:pt>
                <c:pt idx="18">
                  <c:v>-29050</c:v>
                </c:pt>
                <c:pt idx="19">
                  <c:v>-56300</c:v>
                </c:pt>
                <c:pt idx="20">
                  <c:v>-86550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873-4A9B-ABAE-C1CC84FF3E4D}"/>
            </c:ext>
          </c:extLst>
        </c:ser>
        <c:ser>
          <c:idx val="7"/>
          <c:order val="7"/>
          <c:spPr>
            <a:ln w="19050">
              <a:solidFill>
                <a:schemeClr val="bg1">
                  <a:lumMod val="65000"/>
                </a:schemeClr>
              </a:solidFill>
              <a:prstDash val="sysDash"/>
            </a:ln>
          </c:spPr>
          <c:marker>
            <c:symbol val="none"/>
          </c:marker>
          <c:xVal>
            <c:numRef>
              <c:f>最大利润分析模型!$N$3:$N$23</c:f>
              <c:numCache>
                <c:formatCode>General</c:formatCode>
                <c:ptCount val="2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</c:numCache>
            </c:numRef>
          </c:xVal>
          <c:yVal>
            <c:numRef>
              <c:f>最大利润分析模型!$V$3:$V$23</c:f>
              <c:numCache>
                <c:formatCode>General</c:formatCode>
                <c:ptCount val="21"/>
                <c:pt idx="0">
                  <c:v>-65300</c:v>
                </c:pt>
                <c:pt idx="1">
                  <c:v>-37800</c:v>
                </c:pt>
                <c:pt idx="2">
                  <c:v>-13300</c:v>
                </c:pt>
                <c:pt idx="3">
                  <c:v>8200</c:v>
                </c:pt>
                <c:pt idx="4">
                  <c:v>26700</c:v>
                </c:pt>
                <c:pt idx="5">
                  <c:v>42200</c:v>
                </c:pt>
                <c:pt idx="6">
                  <c:v>54700</c:v>
                </c:pt>
                <c:pt idx="7">
                  <c:v>64200</c:v>
                </c:pt>
                <c:pt idx="8">
                  <c:v>70700</c:v>
                </c:pt>
                <c:pt idx="9">
                  <c:v>74200</c:v>
                </c:pt>
                <c:pt idx="10">
                  <c:v>74700</c:v>
                </c:pt>
                <c:pt idx="11">
                  <c:v>72200</c:v>
                </c:pt>
                <c:pt idx="12">
                  <c:v>66700</c:v>
                </c:pt>
                <c:pt idx="13">
                  <c:v>58200</c:v>
                </c:pt>
                <c:pt idx="14">
                  <c:v>46700</c:v>
                </c:pt>
                <c:pt idx="15">
                  <c:v>32200</c:v>
                </c:pt>
                <c:pt idx="16">
                  <c:v>14700</c:v>
                </c:pt>
                <c:pt idx="17">
                  <c:v>-5800</c:v>
                </c:pt>
                <c:pt idx="18">
                  <c:v>-29300</c:v>
                </c:pt>
                <c:pt idx="19">
                  <c:v>-55800</c:v>
                </c:pt>
                <c:pt idx="20">
                  <c:v>-85300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873-4A9B-ABAE-C1CC84FF3E4D}"/>
            </c:ext>
          </c:extLst>
        </c:ser>
        <c:ser>
          <c:idx val="8"/>
          <c:order val="8"/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最大利润分析模型!$F$3:$F$23</c:f>
              <c:numCache>
                <c:formatCode>General</c:formatCode>
                <c:ptCount val="2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</c:numCache>
            </c:numRef>
          </c:xVal>
          <c:yVal>
            <c:numRef>
              <c:f>最大利润分析模型!$G$3:$G$24</c:f>
              <c:numCache>
                <c:formatCode>General</c:formatCode>
                <c:ptCount val="22"/>
                <c:pt idx="0">
                  <c:v>700</c:v>
                </c:pt>
                <c:pt idx="1">
                  <c:v>24600</c:v>
                </c:pt>
                <c:pt idx="2">
                  <c:v>45500</c:v>
                </c:pt>
                <c:pt idx="3">
                  <c:v>63400</c:v>
                </c:pt>
                <c:pt idx="4">
                  <c:v>78300</c:v>
                </c:pt>
                <c:pt idx="5">
                  <c:v>90200</c:v>
                </c:pt>
                <c:pt idx="6">
                  <c:v>99100</c:v>
                </c:pt>
                <c:pt idx="7">
                  <c:v>105000</c:v>
                </c:pt>
                <c:pt idx="8">
                  <c:v>107900</c:v>
                </c:pt>
                <c:pt idx="9">
                  <c:v>107800</c:v>
                </c:pt>
                <c:pt idx="10">
                  <c:v>104700</c:v>
                </c:pt>
                <c:pt idx="11">
                  <c:v>98600</c:v>
                </c:pt>
                <c:pt idx="12">
                  <c:v>89500</c:v>
                </c:pt>
                <c:pt idx="13">
                  <c:v>77400</c:v>
                </c:pt>
                <c:pt idx="14">
                  <c:v>62300</c:v>
                </c:pt>
                <c:pt idx="15">
                  <c:v>44200</c:v>
                </c:pt>
                <c:pt idx="16">
                  <c:v>23100</c:v>
                </c:pt>
                <c:pt idx="17">
                  <c:v>-1000</c:v>
                </c:pt>
                <c:pt idx="18">
                  <c:v>-28100</c:v>
                </c:pt>
                <c:pt idx="19">
                  <c:v>-58200</c:v>
                </c:pt>
                <c:pt idx="20">
                  <c:v>-91300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873-4A9B-ABAE-C1CC84FF3E4D}"/>
            </c:ext>
          </c:extLst>
        </c:ser>
        <c:ser>
          <c:idx val="9"/>
          <c:order val="9"/>
          <c:spPr>
            <a:ln>
              <a:solidFill>
                <a:srgbClr val="00B050"/>
              </a:solidFill>
            </a:ln>
          </c:spPr>
          <c:marker>
            <c:symbol val="square"/>
            <c:size val="7"/>
            <c:spPr>
              <a:solidFill>
                <a:schemeClr val="bg1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最大利润分析模型!$Z$4:$Z$11</c:f>
              <c:numCache>
                <c:formatCode>0.00</c:formatCode>
                <c:ptCount val="8"/>
                <c:pt idx="0">
                  <c:v>129.16666666666666</c:v>
                </c:pt>
                <c:pt idx="1">
                  <c:v>131.66666666666666</c:v>
                </c:pt>
                <c:pt idx="2">
                  <c:v>134.16666666666666</c:v>
                </c:pt>
                <c:pt idx="3">
                  <c:v>136.66666666666666</c:v>
                </c:pt>
                <c:pt idx="4">
                  <c:v>139.16666666666666</c:v>
                </c:pt>
                <c:pt idx="5">
                  <c:v>141.66666666666666</c:v>
                </c:pt>
                <c:pt idx="6">
                  <c:v>144.16666666666666</c:v>
                </c:pt>
                <c:pt idx="7">
                  <c:v>146.66666666666666</c:v>
                </c:pt>
              </c:numCache>
            </c:numRef>
          </c:xVal>
          <c:yVal>
            <c:numRef>
              <c:f>最大利润分析模型!$AA$4:$AA$11</c:f>
              <c:numCache>
                <c:formatCode>General</c:formatCode>
                <c:ptCount val="8"/>
                <c:pt idx="0">
                  <c:v>124960.41666666666</c:v>
                </c:pt>
                <c:pt idx="1">
                  <c:v>117241.66666666666</c:v>
                </c:pt>
                <c:pt idx="2">
                  <c:v>109710.41666666669</c:v>
                </c:pt>
                <c:pt idx="3">
                  <c:v>102366.66666666669</c:v>
                </c:pt>
                <c:pt idx="4">
                  <c:v>95210.416666666686</c:v>
                </c:pt>
                <c:pt idx="5">
                  <c:v>88241.666666666686</c:v>
                </c:pt>
                <c:pt idx="6">
                  <c:v>81460.416666666686</c:v>
                </c:pt>
                <c:pt idx="7">
                  <c:v>74866.666666666686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873-4A9B-ABAE-C1CC84FF3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913088"/>
        <c:axId val="227910784"/>
      </c:scatterChart>
      <c:valAx>
        <c:axId val="227913088"/>
        <c:scaling>
          <c:orientation val="minMax"/>
          <c:max val="250"/>
          <c:min val="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单价</a:t>
                </a:r>
              </a:p>
            </c:rich>
          </c:tx>
          <c:layout>
            <c:manualLayout>
              <c:xMode val="edge"/>
              <c:yMode val="edge"/>
              <c:x val="0.92855913530852485"/>
              <c:y val="0.68543858910297384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crossAx val="227910784"/>
        <c:crosses val="autoZero"/>
        <c:crossBetween val="midCat"/>
        <c:majorUnit val="50"/>
      </c:valAx>
      <c:valAx>
        <c:axId val="227910784"/>
        <c:scaling>
          <c:orientation val="minMax"/>
          <c:max val="150000"/>
          <c:min val="-50000"/>
        </c:scaling>
        <c:delete val="0"/>
        <c:axPos val="l"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zh-CN" altLang="en-US"/>
                  <a:t>利润</a:t>
                </a:r>
              </a:p>
            </c:rich>
          </c:tx>
          <c:layout>
            <c:manualLayout>
              <c:xMode val="edge"/>
              <c:yMode val="edge"/>
              <c:x val="1.4120799701708134E-2"/>
              <c:y val="0.46474789846726811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crossAx val="227913088"/>
        <c:crosses val="autoZero"/>
        <c:crossBetween val="midCat"/>
        <c:majorUnit val="50000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25"/>
      <c:hPercent val="100"/>
      <c:rotY val="310"/>
      <c:depthPercent val="1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3020866447109089"/>
          <c:y val="0.101562693715465"/>
          <c:w val="0.85677301221977797"/>
          <c:h val="0.75000143051420309"/>
        </c:manualLayout>
      </c:layout>
      <c:surface3DChart>
        <c:wireframe val="0"/>
        <c:ser>
          <c:idx val="1"/>
          <c:order val="0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E6A-4830-B942-6EC6AD77BF4B}"/>
            </c:ext>
          </c:extLst>
        </c:ser>
        <c:ser>
          <c:idx val="2"/>
          <c:order val="1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E6A-4830-B942-6EC6AD77BF4B}"/>
            </c:ext>
          </c:extLst>
        </c:ser>
        <c:ser>
          <c:idx val="3"/>
          <c:order val="2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E6A-4830-B942-6EC6AD77BF4B}"/>
            </c:ext>
          </c:extLst>
        </c:ser>
        <c:ser>
          <c:idx val="4"/>
          <c:order val="3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1E6A-4830-B942-6EC6AD77BF4B}"/>
            </c:ext>
          </c:extLst>
        </c:ser>
        <c:ser>
          <c:idx val="5"/>
          <c:order val="4"/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E6A-4830-B942-6EC6AD77BF4B}"/>
            </c:ext>
          </c:extLst>
        </c:ser>
        <c:ser>
          <c:idx val="6"/>
          <c:order val="5"/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1E6A-4830-B942-6EC6AD77BF4B}"/>
            </c:ext>
          </c:extLst>
        </c:ser>
        <c:ser>
          <c:idx val="7"/>
          <c:order val="6"/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1E6A-4830-B942-6EC6AD77BF4B}"/>
            </c:ext>
          </c:extLst>
        </c:ser>
        <c:ser>
          <c:idx val="8"/>
          <c:order val="7"/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1E6A-4830-B942-6EC6AD77BF4B}"/>
            </c:ext>
          </c:extLst>
        </c:ser>
        <c:bandFmts>
          <c:bandFmt>
            <c:idx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2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3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</c:bandFmts>
        <c:axId val="228100096"/>
        <c:axId val="227915968"/>
        <c:axId val="207473152"/>
      </c:surface3DChart>
      <c:catAx>
        <c:axId val="2281000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227915968"/>
        <c:crosses val="autoZero"/>
        <c:auto val="1"/>
        <c:lblAlgn val="ctr"/>
        <c:lblOffset val="100"/>
        <c:tickLblSkip val="3"/>
        <c:tickMarkSkip val="1"/>
        <c:noMultiLvlLbl val="1"/>
      </c:catAx>
      <c:valAx>
        <c:axId val="2279159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228100096"/>
        <c:crosses val="autoZero"/>
        <c:crossBetween val="between"/>
      </c:valAx>
      <c:serAx>
        <c:axId val="207473152"/>
        <c:scaling>
          <c:orientation val="minMax"/>
        </c:scaling>
        <c:delete val="0"/>
        <c:axPos val="b"/>
        <c:numFmt formatCode="0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zh-CN"/>
          </a:p>
        </c:txPr>
        <c:crossAx val="227915968"/>
        <c:crosses val="autoZero"/>
        <c:tickLblSkip val="3"/>
        <c:tickMarkSkip val="1"/>
      </c:ser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ctrlProps/ctrlProp1.xml><?xml version="1.0" encoding="utf-8"?>
<formControlPr xmlns="http://schemas.microsoft.com/office/spreadsheetml/2009/9/main" objectType="Spin" dx="16" fmlaLink="最大利润分析模型!$C$7" max="250" min="50" page="10" val="90"/>
</file>

<file path=xl/ctrlProps/ctrlProp2.xml><?xml version="1.0" encoding="utf-8"?>
<formControlPr xmlns="http://schemas.microsoft.com/office/spreadsheetml/2009/9/main" objectType="Spin" dx="16" fmlaLink="最大利润分析模型!$C$4" max="60" min="25" page="10" val="36"/>
</file>

<file path=xl/ctrlProps/ctrlProp3.xml><?xml version="1.0" encoding="utf-8"?>
<formControlPr xmlns="http://schemas.microsoft.com/office/spreadsheetml/2009/9/main" objectType="Spin" dx="16" fmlaLink="最大利润分析模型!$C$4" max="60" min="25" page="10" val="36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225425</xdr:colOff>
      <xdr:row>0</xdr:row>
      <xdr:rowOff>111125</xdr:rowOff>
    </xdr:from>
    <xdr:to>
      <xdr:col>8</xdr:col>
      <xdr:colOff>482600</xdr:colOff>
      <xdr:row>43</xdr:row>
      <xdr:rowOff>57150</xdr:rowOff>
    </xdr:to>
    <xdr:sp macro="" textlink="">
      <xdr:nvSpPr>
        <xdr:cNvPr id="55303" name="Text Box 7"/>
        <xdr:cNvSpPr txBox="1">
          <a:spLocks noChangeArrowheads="1"/>
        </xdr:cNvSpPr>
      </xdr:nvSpPr>
      <xdr:spPr bwMode="auto">
        <a:xfrm>
          <a:off x="225425" y="111125"/>
          <a:ext cx="5718175" cy="67722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【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例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7-4】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乐普公司生产和销售一种垄断产品，固定成本为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37800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元。单位变动成本估计在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25—60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元，销量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Q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与单价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p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之间的关系为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Q=3500 -15p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。根据市场分析，该产品销售单价可能的在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50—250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元之间，销售经理希望借助于利润极大值分析模型进行销售单价分析，以判断销售单价定为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90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+mn-ea"/>
            </a:rPr>
            <a:t>元是否合适。</a:t>
          </a:r>
          <a:r>
            <a:rPr lang="zh-CN" altLang="zh-CN" sz="1000">
              <a:effectLst/>
              <a:latin typeface="+mn-lt"/>
              <a:ea typeface="+mn-ea"/>
              <a:cs typeface="+mn-cs"/>
            </a:rPr>
            <a:t>参照下</a:t>
          </a:r>
          <a:r>
            <a:rPr lang="zh-CN" altLang="en-US" sz="1000">
              <a:effectLst/>
              <a:latin typeface="+mn-lt"/>
              <a:ea typeface="+mn-ea"/>
              <a:cs typeface="+mn-cs"/>
            </a:rPr>
            <a:t>面两</a:t>
          </a:r>
          <a:r>
            <a:rPr lang="zh-CN" altLang="zh-CN" sz="1000">
              <a:effectLst/>
              <a:latin typeface="+mn-lt"/>
              <a:ea typeface="+mn-ea"/>
              <a:cs typeface="+mn-cs"/>
            </a:rPr>
            <a:t>图建立模型</a:t>
          </a:r>
          <a:r>
            <a:rPr lang="zh-CN" altLang="en-US" sz="1000">
              <a:effectLst/>
              <a:latin typeface="+mn-lt"/>
              <a:ea typeface="+mn-ea"/>
              <a:cs typeface="+mn-cs"/>
            </a:rPr>
            <a:t>。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476249</xdr:colOff>
      <xdr:row>24</xdr:row>
      <xdr:rowOff>120650</xdr:rowOff>
    </xdr:from>
    <xdr:to>
      <xdr:col>8</xdr:col>
      <xdr:colOff>273050</xdr:colOff>
      <xdr:row>42</xdr:row>
      <xdr:rowOff>101600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49" y="3930650"/>
          <a:ext cx="5257801" cy="2838450"/>
        </a:xfrm>
        <a:prstGeom prst="rect">
          <a:avLst/>
        </a:prstGeom>
      </xdr:spPr>
    </xdr:pic>
    <xdr:clientData/>
  </xdr:twoCellAnchor>
  <xdr:twoCellAnchor editAs="oneCell">
    <xdr:from>
      <xdr:col>0</xdr:col>
      <xdr:colOff>482600</xdr:colOff>
      <xdr:row>5</xdr:row>
      <xdr:rowOff>25400</xdr:rowOff>
    </xdr:from>
    <xdr:to>
      <xdr:col>8</xdr:col>
      <xdr:colOff>292100</xdr:colOff>
      <xdr:row>24</xdr:row>
      <xdr:rowOff>6350</xdr:rowOff>
    </xdr:to>
    <xdr:pic>
      <xdr:nvPicPr>
        <xdr:cNvPr id="5" name="图片 4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600" y="819150"/>
          <a:ext cx="5270500" cy="2997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63500</xdr:colOff>
          <xdr:row>15</xdr:row>
          <xdr:rowOff>101600</xdr:rowOff>
        </xdr:from>
        <xdr:to>
          <xdr:col>11</xdr:col>
          <xdr:colOff>444500</xdr:colOff>
          <xdr:row>18</xdr:row>
          <xdr:rowOff>107950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82550</xdr:colOff>
          <xdr:row>19</xdr:row>
          <xdr:rowOff>76200</xdr:rowOff>
        </xdr:from>
        <xdr:to>
          <xdr:col>9</xdr:col>
          <xdr:colOff>107950</xdr:colOff>
          <xdr:row>24</xdr:row>
          <xdr:rowOff>82550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CFFFF" mc:Ignorable="a14" a14:legacySpreadsheetColorIndex="41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198560</xdr:colOff>
      <xdr:row>0</xdr:row>
      <xdr:rowOff>114056</xdr:rowOff>
    </xdr:from>
    <xdr:to>
      <xdr:col>8</xdr:col>
      <xdr:colOff>331910</xdr:colOff>
      <xdr:row>19</xdr:row>
      <xdr:rowOff>34192</xdr:rowOff>
    </xdr:to>
    <xdr:grpSp>
      <xdr:nvGrpSpPr>
        <xdr:cNvPr id="8" name="组合 7"/>
        <xdr:cNvGrpSpPr/>
      </xdr:nvGrpSpPr>
      <xdr:grpSpPr>
        <a:xfrm>
          <a:off x="198560" y="114056"/>
          <a:ext cx="5017965" cy="2982790"/>
          <a:chOff x="198560" y="114056"/>
          <a:chExt cx="5017965" cy="2982790"/>
        </a:xfrm>
      </xdr:grpSpPr>
      <xdr:graphicFrame macro="">
        <xdr:nvGraphicFramePr>
          <xdr:cNvPr id="10" name="图表 9"/>
          <xdr:cNvGraphicFramePr>
            <a:graphicFrameLocks/>
          </xdr:cNvGraphicFramePr>
        </xdr:nvGraphicFramePr>
        <xdr:xfrm>
          <a:off x="198560" y="114056"/>
          <a:ext cx="5017965" cy="29827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7" name="组合 6"/>
          <xdr:cNvGrpSpPr/>
        </xdr:nvGrpSpPr>
        <xdr:grpSpPr>
          <a:xfrm>
            <a:off x="2970796" y="844070"/>
            <a:ext cx="2022908" cy="220776"/>
            <a:chOff x="2970796" y="844070"/>
            <a:chExt cx="2022908" cy="220776"/>
          </a:xfrm>
        </xdr:grpSpPr>
        <xdr:sp macro="" textlink="最大利润分析模型!B18">
          <xdr:nvSpPr>
            <xdr:cNvPr id="2" name="TextBox 1"/>
            <xdr:cNvSpPr txBox="1"/>
          </xdr:nvSpPr>
          <xdr:spPr>
            <a:xfrm>
              <a:off x="3190671" y="848366"/>
              <a:ext cx="1803033" cy="21648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A867513D-DDF6-4BBF-885C-B08A7E9E893C}" type="TxLink">
                <a:rPr lang="zh-CN" altLang="en-US" sz="1000"/>
                <a:pPr algn="ctr"/>
                <a:t>单价=90元时，利润=78300元</a:t>
              </a:fld>
              <a:endParaRPr lang="zh-CN" altLang="en-US" sz="1000"/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2097" name="Spinner 49" hidden="1">
                  <a:extLst>
                    <a:ext uri="{63B3BB69-23CF-44E3-9099-C40C66FF867C}">
                      <a14:compatExt spid="_x0000_s2097"/>
                    </a:ext>
                  </a:extLst>
                </xdr:cNvPr>
                <xdr:cNvSpPr/>
              </xdr:nvSpPr>
              <xdr:spPr bwMode="auto">
                <a:xfrm>
                  <a:off x="2970796" y="844070"/>
                  <a:ext cx="219417" cy="215892"/>
                </a:xfrm>
                <a:prstGeom prst="rect">
                  <a:avLst/>
                </a:prstGeom>
                <a:noFill/>
                <a:ln w="9525">
                  <a:miter lim="800000"/>
                  <a:headEnd/>
                  <a:tailEnd/>
                </a:ln>
              </xdr:spPr>
            </xdr:sp>
          </mc:Choice>
          <mc:Fallback/>
        </mc:AlternateContent>
      </xdr:grpSp>
      <xdr:grpSp>
        <xdr:nvGrpSpPr>
          <xdr:cNvPr id="6" name="组合 5"/>
          <xdr:cNvGrpSpPr/>
        </xdr:nvGrpSpPr>
        <xdr:grpSpPr>
          <a:xfrm>
            <a:off x="982585" y="506443"/>
            <a:ext cx="1484020" cy="231134"/>
            <a:chOff x="982585" y="506443"/>
            <a:chExt cx="1484020" cy="231134"/>
          </a:xfrm>
        </xdr:grpSpPr>
        <xdr:sp macro="" textlink="最大利润分析模型!B17">
          <xdr:nvSpPr>
            <xdr:cNvPr id="3" name="TextBox 2"/>
            <xdr:cNvSpPr txBox="1"/>
          </xdr:nvSpPr>
          <xdr:spPr>
            <a:xfrm>
              <a:off x="1197803" y="507033"/>
              <a:ext cx="1268802" cy="23054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fld id="{737061D8-B731-4800-99DE-2EF0F1D5B0A8}" type="TxLink">
                <a:rPr lang="zh-CN" altLang="en-US" sz="1000"/>
                <a:pPr/>
                <a:t>单位变动成本=36元</a:t>
              </a:fld>
              <a:endParaRPr lang="zh-CN" altLang="en-US" sz="1000"/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2098" name="Spinner 50" hidden="1">
                  <a:extLst>
                    <a:ext uri="{63B3BB69-23CF-44E3-9099-C40C66FF867C}">
                      <a14:compatExt spid="_x0000_s2098"/>
                    </a:ext>
                  </a:extLst>
                </xdr:cNvPr>
                <xdr:cNvSpPr/>
              </xdr:nvSpPr>
              <xdr:spPr bwMode="auto">
                <a:xfrm>
                  <a:off x="982585" y="506443"/>
                  <a:ext cx="209877" cy="231134"/>
                </a:xfrm>
                <a:prstGeom prst="rect">
                  <a:avLst/>
                </a:prstGeom>
                <a:noFill/>
                <a:ln w="9525">
                  <a:miter lim="800000"/>
                  <a:headEnd/>
                  <a:tailEnd/>
                </a:ln>
              </xdr:spPr>
            </xdr:sp>
          </mc:Choice>
          <mc:Fallback/>
        </mc:AlternateContent>
      </xdr:grpSp>
      <xdr:sp macro="" textlink="最大利润分析模型!B19">
        <xdr:nvSpPr>
          <xdr:cNvPr id="5" name="TextBox 4"/>
          <xdr:cNvSpPr txBox="1"/>
        </xdr:nvSpPr>
        <xdr:spPr>
          <a:xfrm>
            <a:off x="2574192" y="527537"/>
            <a:ext cx="2569308" cy="200271"/>
          </a:xfrm>
          <a:prstGeom prst="rect">
            <a:avLst/>
          </a:prstGeom>
          <a:solidFill>
            <a:schemeClr val="lt1"/>
          </a:solidFill>
          <a:ln w="25400" cmpd="dbl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F1709FC1-AF78-41B4-A79C-BB21FD97B27F}" type="TxLink">
              <a:rPr lang="zh-CN" altLang="en-US" sz="1000"/>
              <a:pPr algn="l"/>
              <a:t>最优单价=134.67元，最大利润=108226.67元</a:t>
            </a:fld>
            <a:endParaRPr lang="zh-CN" altLang="en-US" sz="10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160948</xdr:colOff>
      <xdr:row>1</xdr:row>
      <xdr:rowOff>67163</xdr:rowOff>
    </xdr:from>
    <xdr:to>
      <xdr:col>8</xdr:col>
      <xdr:colOff>473808</xdr:colOff>
      <xdr:row>18</xdr:row>
      <xdr:rowOff>57638</xdr:rowOff>
    </xdr:to>
    <xdr:grpSp>
      <xdr:nvGrpSpPr>
        <xdr:cNvPr id="5" name="组合 4"/>
        <xdr:cNvGrpSpPr/>
      </xdr:nvGrpSpPr>
      <xdr:grpSpPr>
        <a:xfrm>
          <a:off x="160948" y="228355"/>
          <a:ext cx="5197475" cy="2730745"/>
          <a:chOff x="195148" y="185016"/>
          <a:chExt cx="5400675" cy="2743200"/>
        </a:xfrm>
      </xdr:grpSpPr>
      <xdr:graphicFrame macro="">
        <xdr:nvGraphicFramePr>
          <xdr:cNvPr id="6" name="图表 5"/>
          <xdr:cNvGraphicFramePr>
            <a:graphicFrameLocks/>
          </xdr:cNvGraphicFramePr>
        </xdr:nvGraphicFramePr>
        <xdr:xfrm>
          <a:off x="195148" y="185016"/>
          <a:ext cx="5400675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最大利润分析模型!B17">
        <xdr:nvSpPr>
          <xdr:cNvPr id="2" name="TextBox 1"/>
          <xdr:cNvSpPr txBox="1"/>
        </xdr:nvSpPr>
        <xdr:spPr>
          <a:xfrm>
            <a:off x="1303379" y="628074"/>
            <a:ext cx="1257300" cy="1905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fld id="{2A668360-758B-4EE5-8F96-7DCCC5947AA1}" type="TxLink">
              <a:rPr lang="zh-CN" altLang="en-US" sz="1000"/>
              <a:pPr/>
              <a:t>单位变动成本=36元</a:t>
            </a:fld>
            <a:endParaRPr lang="zh-CN" altLang="en-US" sz="1000"/>
          </a:p>
        </xdr:txBody>
      </xdr:sp>
      <xdr:sp macro="" textlink="最大利润分析模型!B19">
        <xdr:nvSpPr>
          <xdr:cNvPr id="3" name="TextBox 2"/>
          <xdr:cNvSpPr txBox="1"/>
        </xdr:nvSpPr>
        <xdr:spPr>
          <a:xfrm>
            <a:off x="2621142" y="618050"/>
            <a:ext cx="2675221" cy="189842"/>
          </a:xfrm>
          <a:prstGeom prst="rect">
            <a:avLst/>
          </a:prstGeom>
          <a:solidFill>
            <a:schemeClr val="lt1"/>
          </a:solidFill>
          <a:ln w="25400" cmpd="dbl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83084F1C-ED15-40CA-87DB-520D6BD65C12}" type="TxLink">
              <a:rPr lang="zh-CN" altLang="en-US" sz="1000"/>
              <a:pPr algn="ctr"/>
              <a:t>最优单价=134.67元，最大利润=108226.67元</a:t>
            </a:fld>
            <a:endParaRPr lang="zh-CN" altLang="en-US" sz="1000"/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1269" name="Spinner 5" hidden="1">
                <a:extLst>
                  <a:ext uri="{63B3BB69-23CF-44E3-9099-C40C66FF867C}">
                    <a14:compatExt spid="_x0000_s11269"/>
                  </a:ext>
                </a:extLst>
              </xdr:cNvPr>
              <xdr:cNvSpPr/>
            </xdr:nvSpPr>
            <xdr:spPr bwMode="auto">
              <a:xfrm>
                <a:off x="1063327" y="613143"/>
                <a:ext cx="249804" cy="206090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</mc:Choice>
        <mc:Fallback/>
      </mc:AlternateContent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15</xdr:row>
      <xdr:rowOff>9525</xdr:rowOff>
    </xdr:to>
    <xdr:graphicFrame macro="">
      <xdr:nvGraphicFramePr>
        <xdr:cNvPr id="34819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4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showGridLines="0" tabSelected="1" topLeftCell="A24" workbookViewId="0">
      <selection activeCell="O39" sqref="O39"/>
    </sheetView>
  </sheetViews>
  <sheetFormatPr defaultColWidth="8.81640625" defaultRowHeight="12.75" customHeight="1"/>
  <cols>
    <col min="1" max="2" width="8.81640625" style="9" customWidth="1"/>
    <col min="3" max="3" width="16.453125" style="9" customWidth="1"/>
    <col min="4" max="16384" width="8.81640625" style="9"/>
  </cols>
  <sheetData>
    <row r="2" s="8" customFormat="1" ht="12.75" customHeight="1"/>
  </sheetData>
  <phoneticPr fontId="2" type="noConversion"/>
  <printOptions headings="1" gridLinesSet="0"/>
  <pageMargins left="0.75" right="0.75" top="1" bottom="1" header="0.5" footer="0.5"/>
  <pageSetup orientation="portrait" horizontalDpi="180" verticalDpi="180" r:id="rId1"/>
  <headerFooter alignWithMargins="0">
    <oddHeader>&amp;A</oddHead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30"/>
  <sheetViews>
    <sheetView showGridLines="0" workbookViewId="0">
      <selection activeCell="B21" sqref="B21"/>
    </sheetView>
  </sheetViews>
  <sheetFormatPr defaultColWidth="9.1796875" defaultRowHeight="12.75" customHeight="1"/>
  <cols>
    <col min="1" max="1" width="1.7265625" style="2" customWidth="1"/>
    <col min="2" max="2" width="22.1796875" style="2" customWidth="1"/>
    <col min="3" max="3" width="13.90625" style="2" customWidth="1"/>
    <col min="4" max="4" width="2.81640625" style="2" customWidth="1"/>
    <col min="5" max="5" width="3" style="2" customWidth="1"/>
    <col min="6" max="7" width="9.1796875" style="2"/>
    <col min="8" max="8" width="2.6328125" style="2" customWidth="1"/>
    <col min="9" max="9" width="11" style="2" customWidth="1"/>
    <col min="10" max="10" width="10.7265625" style="2" bestFit="1" customWidth="1"/>
    <col min="11" max="11" width="9.1796875" style="2"/>
    <col min="12" max="12" width="6.90625" style="2" customWidth="1"/>
    <col min="13" max="13" width="2" style="2" customWidth="1"/>
    <col min="14" max="14" width="6.26953125" style="10" bestFit="1" customWidth="1"/>
    <col min="15" max="18" width="7.26953125" style="10" bestFit="1" customWidth="1"/>
    <col min="19" max="22" width="6.90625" style="10" bestFit="1" customWidth="1"/>
    <col min="23" max="23" width="1.81640625" style="10" customWidth="1"/>
    <col min="24" max="24" width="1.453125" style="10" customWidth="1"/>
    <col min="25" max="25" width="6.54296875" style="10" customWidth="1"/>
    <col min="26" max="26" width="7.36328125" style="10" customWidth="1"/>
    <col min="27" max="27" width="10.26953125" style="10" bestFit="1" customWidth="1"/>
    <col min="28" max="16384" width="9.1796875" style="2"/>
  </cols>
  <sheetData>
    <row r="1" spans="1:27" ht="13">
      <c r="A1" s="1"/>
      <c r="B1" s="1"/>
      <c r="C1" s="1"/>
      <c r="D1" s="1"/>
      <c r="F1" s="3" t="s">
        <v>1</v>
      </c>
      <c r="G1" s="3" t="s">
        <v>0</v>
      </c>
      <c r="I1" s="24" t="s">
        <v>17</v>
      </c>
      <c r="J1" s="3"/>
    </row>
    <row r="2" spans="1:27" ht="13">
      <c r="A2" s="1"/>
      <c r="B2" s="4"/>
      <c r="C2" s="5" t="s">
        <v>4</v>
      </c>
      <c r="D2" s="1"/>
      <c r="F2" s="16"/>
      <c r="G2" s="17">
        <f>C11</f>
        <v>78300</v>
      </c>
      <c r="I2" s="22">
        <f t="array" ref="I2:I4">C13</f>
        <v>134.66666666666666</v>
      </c>
      <c r="J2" s="22">
        <v>150000</v>
      </c>
      <c r="N2" s="17">
        <f>C11</f>
        <v>78300</v>
      </c>
      <c r="O2" s="18">
        <v>25</v>
      </c>
      <c r="P2" s="18">
        <v>30</v>
      </c>
      <c r="Q2" s="18">
        <v>35</v>
      </c>
      <c r="R2" s="18">
        <v>40</v>
      </c>
      <c r="S2" s="18">
        <v>45</v>
      </c>
      <c r="T2" s="18">
        <v>50</v>
      </c>
      <c r="U2" s="18">
        <v>55</v>
      </c>
      <c r="V2" s="18">
        <v>60</v>
      </c>
      <c r="Y2" s="11" t="s">
        <v>20</v>
      </c>
    </row>
    <row r="3" spans="1:27" ht="13.5">
      <c r="A3" s="1"/>
      <c r="B3" s="4" t="s">
        <v>5</v>
      </c>
      <c r="C3" s="6">
        <v>37800</v>
      </c>
      <c r="D3" s="1"/>
      <c r="F3" s="18">
        <v>50</v>
      </c>
      <c r="G3" s="12">
        <f t="dataTable" ref="G3:G23" dt2D="0" dtr="0" r1="C7"/>
        <v>700</v>
      </c>
      <c r="I3" s="22">
        <v>134.66666666666666</v>
      </c>
      <c r="J3" s="22">
        <f>C14</f>
        <v>108226.66666666669</v>
      </c>
      <c r="N3" s="18">
        <v>50</v>
      </c>
      <c r="O3" s="12">
        <v>30950</v>
      </c>
      <c r="P3" s="12">
        <v>17200</v>
      </c>
      <c r="Q3" s="12">
        <v>3450</v>
      </c>
      <c r="R3" s="12">
        <v>-10300</v>
      </c>
      <c r="S3" s="12">
        <v>-24050</v>
      </c>
      <c r="T3" s="12">
        <v>-37800</v>
      </c>
      <c r="U3" s="12">
        <v>-51550</v>
      </c>
      <c r="V3" s="12">
        <v>-65300</v>
      </c>
      <c r="Y3" s="14"/>
      <c r="Z3" s="13">
        <f>C13</f>
        <v>134.66666666666666</v>
      </c>
      <c r="AA3" s="12">
        <f>C14</f>
        <v>108226.66666666669</v>
      </c>
    </row>
    <row r="4" spans="1:27" ht="13.5">
      <c r="A4" s="1"/>
      <c r="B4" s="4" t="s">
        <v>6</v>
      </c>
      <c r="C4" s="6">
        <v>36</v>
      </c>
      <c r="D4" s="1">
        <v>60</v>
      </c>
      <c r="F4" s="18">
        <v>60</v>
      </c>
      <c r="G4" s="12">
        <v>24600</v>
      </c>
      <c r="I4" s="22">
        <v>134.66666666666666</v>
      </c>
      <c r="J4" s="22">
        <v>-50000</v>
      </c>
      <c r="N4" s="18">
        <v>60</v>
      </c>
      <c r="O4" s="12">
        <v>53200</v>
      </c>
      <c r="P4" s="12">
        <v>40200</v>
      </c>
      <c r="Q4" s="12">
        <v>27200</v>
      </c>
      <c r="R4" s="12">
        <v>14200</v>
      </c>
      <c r="S4" s="12">
        <v>1200</v>
      </c>
      <c r="T4" s="12">
        <v>-11800</v>
      </c>
      <c r="U4" s="12">
        <v>-24800</v>
      </c>
      <c r="V4" s="12">
        <v>-37800</v>
      </c>
      <c r="Y4" s="18">
        <v>25</v>
      </c>
      <c r="Z4" s="13">
        <v>129.16666666666666</v>
      </c>
      <c r="AA4" s="12">
        <v>124960.41666666666</v>
      </c>
    </row>
    <row r="5" spans="1:27" ht="13">
      <c r="A5" s="1"/>
      <c r="B5" s="4" t="s">
        <v>7</v>
      </c>
      <c r="C5" s="6">
        <v>3500</v>
      </c>
      <c r="D5" s="1"/>
      <c r="F5" s="18">
        <v>70</v>
      </c>
      <c r="G5" s="12">
        <v>45500</v>
      </c>
      <c r="I5" s="15"/>
      <c r="J5" s="15"/>
      <c r="N5" s="18">
        <v>70</v>
      </c>
      <c r="O5" s="12">
        <v>72450</v>
      </c>
      <c r="P5" s="12">
        <v>60200</v>
      </c>
      <c r="Q5" s="12">
        <v>47950</v>
      </c>
      <c r="R5" s="12">
        <v>35700</v>
      </c>
      <c r="S5" s="12">
        <v>23450</v>
      </c>
      <c r="T5" s="12">
        <v>11200</v>
      </c>
      <c r="U5" s="12">
        <v>-1050</v>
      </c>
      <c r="V5" s="12">
        <v>-13300</v>
      </c>
      <c r="Y5" s="18">
        <v>30</v>
      </c>
      <c r="Z5" s="13">
        <v>131.66666666666666</v>
      </c>
      <c r="AA5" s="12">
        <v>117241.66666666666</v>
      </c>
    </row>
    <row r="6" spans="1:27" ht="13">
      <c r="A6" s="1"/>
      <c r="B6" s="4" t="s">
        <v>8</v>
      </c>
      <c r="C6" s="6">
        <v>-15</v>
      </c>
      <c r="D6" s="1"/>
      <c r="F6" s="18">
        <v>80</v>
      </c>
      <c r="G6" s="12">
        <v>63400</v>
      </c>
      <c r="I6" s="24" t="s">
        <v>18</v>
      </c>
      <c r="J6" s="15"/>
      <c r="N6" s="18">
        <v>80</v>
      </c>
      <c r="O6" s="12">
        <v>88700</v>
      </c>
      <c r="P6" s="12">
        <v>77200</v>
      </c>
      <c r="Q6" s="12">
        <v>65700</v>
      </c>
      <c r="R6" s="12">
        <v>54200</v>
      </c>
      <c r="S6" s="12">
        <v>42700</v>
      </c>
      <c r="T6" s="12">
        <v>31200</v>
      </c>
      <c r="U6" s="12">
        <v>19700</v>
      </c>
      <c r="V6" s="12">
        <v>8200</v>
      </c>
      <c r="Y6" s="18">
        <v>35</v>
      </c>
      <c r="Z6" s="13">
        <v>134.16666666666666</v>
      </c>
      <c r="AA6" s="12">
        <v>109710.41666666669</v>
      </c>
    </row>
    <row r="7" spans="1:27" ht="13.5">
      <c r="A7" s="1"/>
      <c r="B7" s="4" t="s">
        <v>9</v>
      </c>
      <c r="C7" s="19">
        <v>90</v>
      </c>
      <c r="D7" s="1"/>
      <c r="F7" s="18">
        <v>90</v>
      </c>
      <c r="G7" s="12">
        <v>78300</v>
      </c>
      <c r="I7" s="23">
        <f t="array" ref="I7:I9">C7</f>
        <v>90</v>
      </c>
      <c r="J7" s="22">
        <v>150000</v>
      </c>
      <c r="N7" s="18">
        <v>90</v>
      </c>
      <c r="O7" s="12">
        <v>101950</v>
      </c>
      <c r="P7" s="12">
        <v>91200</v>
      </c>
      <c r="Q7" s="12">
        <v>80450</v>
      </c>
      <c r="R7" s="12">
        <v>69700</v>
      </c>
      <c r="S7" s="12">
        <v>58950</v>
      </c>
      <c r="T7" s="12">
        <v>48200</v>
      </c>
      <c r="U7" s="12">
        <v>37450</v>
      </c>
      <c r="V7" s="12">
        <v>26700</v>
      </c>
      <c r="Y7" s="18">
        <v>40</v>
      </c>
      <c r="Z7" s="13">
        <v>136.66666666666666</v>
      </c>
      <c r="AA7" s="12">
        <v>102366.66666666669</v>
      </c>
    </row>
    <row r="8" spans="1:27" ht="13.5">
      <c r="A8" s="1"/>
      <c r="B8" s="4" t="s">
        <v>10</v>
      </c>
      <c r="C8" s="20">
        <f>C5+C6*C7</f>
        <v>2150</v>
      </c>
      <c r="D8" s="1"/>
      <c r="F8" s="18">
        <v>100</v>
      </c>
      <c r="G8" s="12">
        <v>90200</v>
      </c>
      <c r="I8" s="23">
        <v>90</v>
      </c>
      <c r="J8" s="22">
        <f>C11</f>
        <v>78300</v>
      </c>
      <c r="N8" s="18">
        <v>100</v>
      </c>
      <c r="O8" s="12">
        <v>112200</v>
      </c>
      <c r="P8" s="12">
        <v>102200</v>
      </c>
      <c r="Q8" s="12">
        <v>92200</v>
      </c>
      <c r="R8" s="12">
        <v>82200</v>
      </c>
      <c r="S8" s="12">
        <v>72200</v>
      </c>
      <c r="T8" s="12">
        <v>62200</v>
      </c>
      <c r="U8" s="12">
        <v>52200</v>
      </c>
      <c r="V8" s="12">
        <v>42200</v>
      </c>
      <c r="Y8" s="18">
        <v>45</v>
      </c>
      <c r="Z8" s="13">
        <v>139.16666666666666</v>
      </c>
      <c r="AA8" s="12">
        <v>95210.416666666686</v>
      </c>
    </row>
    <row r="9" spans="1:27" ht="13.5">
      <c r="A9" s="1"/>
      <c r="B9" s="4" t="s">
        <v>11</v>
      </c>
      <c r="C9" s="20">
        <f>C3+C4*C8</f>
        <v>115200</v>
      </c>
      <c r="D9" s="1"/>
      <c r="F9" s="18">
        <v>110</v>
      </c>
      <c r="G9" s="12">
        <v>99100</v>
      </c>
      <c r="I9" s="23">
        <v>90</v>
      </c>
      <c r="J9" s="22">
        <v>-50000</v>
      </c>
      <c r="N9" s="18">
        <v>110</v>
      </c>
      <c r="O9" s="12">
        <v>119450</v>
      </c>
      <c r="P9" s="12">
        <v>110200</v>
      </c>
      <c r="Q9" s="12">
        <v>100950</v>
      </c>
      <c r="R9" s="12">
        <v>91700</v>
      </c>
      <c r="S9" s="12">
        <v>82450</v>
      </c>
      <c r="T9" s="12">
        <v>73200</v>
      </c>
      <c r="U9" s="12">
        <v>63950</v>
      </c>
      <c r="V9" s="12">
        <v>54700</v>
      </c>
      <c r="Y9" s="18">
        <v>50</v>
      </c>
      <c r="Z9" s="13">
        <v>141.66666666666666</v>
      </c>
      <c r="AA9" s="12">
        <v>88241.666666666686</v>
      </c>
    </row>
    <row r="10" spans="1:27" ht="13.5">
      <c r="A10" s="1"/>
      <c r="B10" s="4" t="s">
        <v>19</v>
      </c>
      <c r="C10" s="20">
        <f>C7*C8</f>
        <v>193500</v>
      </c>
      <c r="D10" s="1"/>
      <c r="F10" s="18">
        <v>120</v>
      </c>
      <c r="G10" s="12">
        <v>105000</v>
      </c>
      <c r="I10" s="2" t="s">
        <v>2</v>
      </c>
      <c r="N10" s="18">
        <v>120</v>
      </c>
      <c r="O10" s="12">
        <v>123700</v>
      </c>
      <c r="P10" s="12">
        <v>115200</v>
      </c>
      <c r="Q10" s="12">
        <v>106700</v>
      </c>
      <c r="R10" s="12">
        <v>98200</v>
      </c>
      <c r="S10" s="12">
        <v>89700</v>
      </c>
      <c r="T10" s="12">
        <v>81200</v>
      </c>
      <c r="U10" s="12">
        <v>72700</v>
      </c>
      <c r="V10" s="12">
        <v>64200</v>
      </c>
      <c r="Y10" s="18">
        <v>55</v>
      </c>
      <c r="Z10" s="13">
        <v>144.16666666666666</v>
      </c>
      <c r="AA10" s="12">
        <v>81460.416666666686</v>
      </c>
    </row>
    <row r="11" spans="1:27" ht="13.5">
      <c r="A11" s="1"/>
      <c r="B11" s="4" t="s">
        <v>12</v>
      </c>
      <c r="C11" s="21">
        <f>C10-C9</f>
        <v>78300</v>
      </c>
      <c r="D11" s="1"/>
      <c r="F11" s="18">
        <v>130</v>
      </c>
      <c r="G11" s="12">
        <v>107900</v>
      </c>
      <c r="I11" s="15" t="s">
        <v>15</v>
      </c>
      <c r="J11" s="15" t="s">
        <v>16</v>
      </c>
      <c r="N11" s="18">
        <v>130</v>
      </c>
      <c r="O11" s="12">
        <v>124950</v>
      </c>
      <c r="P11" s="12">
        <v>117200</v>
      </c>
      <c r="Q11" s="12">
        <v>109450</v>
      </c>
      <c r="R11" s="12">
        <v>101700</v>
      </c>
      <c r="S11" s="12">
        <v>93950</v>
      </c>
      <c r="T11" s="12">
        <v>86200</v>
      </c>
      <c r="U11" s="12">
        <v>78450</v>
      </c>
      <c r="V11" s="12">
        <v>70700</v>
      </c>
      <c r="Y11" s="18">
        <v>60</v>
      </c>
      <c r="Z11" s="13">
        <v>146.66666666666666</v>
      </c>
      <c r="AA11" s="12">
        <v>74866.666666666686</v>
      </c>
    </row>
    <row r="12" spans="1:27" ht="13">
      <c r="A12" s="1"/>
      <c r="B12" s="1"/>
      <c r="C12" s="1"/>
      <c r="D12" s="1"/>
      <c r="F12" s="18">
        <v>140</v>
      </c>
      <c r="G12" s="12">
        <v>107800</v>
      </c>
      <c r="I12" s="23">
        <f>INDEX(F3:F27,MATCH(MAX(G3:G27),G3:G27,0))</f>
        <v>130</v>
      </c>
      <c r="J12" s="22">
        <f>MAX(G3:G27)</f>
        <v>107900</v>
      </c>
      <c r="N12" s="18">
        <v>140</v>
      </c>
      <c r="O12" s="12">
        <v>123200</v>
      </c>
      <c r="P12" s="12">
        <v>116200</v>
      </c>
      <c r="Q12" s="12">
        <v>109200</v>
      </c>
      <c r="R12" s="12">
        <v>102200</v>
      </c>
      <c r="S12" s="12">
        <v>95200</v>
      </c>
      <c r="T12" s="12">
        <v>88200</v>
      </c>
      <c r="U12" s="12">
        <v>81200</v>
      </c>
      <c r="V12" s="12">
        <v>74200</v>
      </c>
    </row>
    <row r="13" spans="1:27" ht="15">
      <c r="A13" s="1"/>
      <c r="B13" s="4" t="s">
        <v>13</v>
      </c>
      <c r="C13" s="7">
        <f>(C6*C4-C5)/(2*C6)</f>
        <v>134.66666666666666</v>
      </c>
      <c r="D13" s="1"/>
      <c r="F13" s="18">
        <v>150</v>
      </c>
      <c r="G13" s="12">
        <v>104700</v>
      </c>
      <c r="N13" s="18">
        <v>150</v>
      </c>
      <c r="O13" s="12">
        <v>118450</v>
      </c>
      <c r="P13" s="12">
        <v>112200</v>
      </c>
      <c r="Q13" s="12">
        <v>105950</v>
      </c>
      <c r="R13" s="12">
        <v>99700</v>
      </c>
      <c r="S13" s="12">
        <v>93450</v>
      </c>
      <c r="T13" s="12">
        <v>87200</v>
      </c>
      <c r="U13" s="12">
        <v>80950</v>
      </c>
      <c r="V13" s="12">
        <v>74700</v>
      </c>
      <c r="Z13" s="11" t="s">
        <v>21</v>
      </c>
    </row>
    <row r="14" spans="1:27" ht="13.5">
      <c r="A14" s="1"/>
      <c r="B14" s="4" t="s">
        <v>14</v>
      </c>
      <c r="C14" s="7">
        <f>(-1)/(4*C6)*(C6*C4-C5)^2-C3-C5*C4</f>
        <v>108226.66666666669</v>
      </c>
      <c r="D14" s="1"/>
      <c r="F14" s="18">
        <v>160</v>
      </c>
      <c r="G14" s="12">
        <v>98600</v>
      </c>
      <c r="N14" s="18">
        <v>160</v>
      </c>
      <c r="O14" s="12">
        <v>110700</v>
      </c>
      <c r="P14" s="12">
        <v>105200</v>
      </c>
      <c r="Q14" s="12">
        <v>99700</v>
      </c>
      <c r="R14" s="12">
        <v>94200</v>
      </c>
      <c r="S14" s="12">
        <v>88700</v>
      </c>
      <c r="T14" s="12">
        <v>83200</v>
      </c>
      <c r="U14" s="12">
        <v>77700</v>
      </c>
      <c r="V14" s="12">
        <v>72200</v>
      </c>
      <c r="Z14" s="12">
        <v>0</v>
      </c>
      <c r="AA14" s="12">
        <f>C14</f>
        <v>108226.66666666669</v>
      </c>
    </row>
    <row r="15" spans="1:27" ht="12.5">
      <c r="A15" s="1"/>
      <c r="B15" s="1"/>
      <c r="C15" s="1"/>
      <c r="D15" s="1"/>
      <c r="F15" s="18">
        <v>170</v>
      </c>
      <c r="G15" s="12">
        <v>89500</v>
      </c>
      <c r="N15" s="18">
        <v>170</v>
      </c>
      <c r="O15" s="12">
        <v>99950</v>
      </c>
      <c r="P15" s="12">
        <v>95200</v>
      </c>
      <c r="Q15" s="12">
        <v>90450</v>
      </c>
      <c r="R15" s="12">
        <v>85700</v>
      </c>
      <c r="S15" s="12">
        <v>80950</v>
      </c>
      <c r="T15" s="12">
        <v>76200</v>
      </c>
      <c r="U15" s="12">
        <v>71450</v>
      </c>
      <c r="V15" s="12">
        <v>66700</v>
      </c>
      <c r="Z15" s="12">
        <f>C13</f>
        <v>134.66666666666666</v>
      </c>
      <c r="AA15" s="12">
        <f>C14</f>
        <v>108226.66666666669</v>
      </c>
    </row>
    <row r="16" spans="1:27" ht="13">
      <c r="B16" s="3" t="s">
        <v>3</v>
      </c>
      <c r="F16" s="18">
        <v>180</v>
      </c>
      <c r="G16" s="12">
        <v>77400</v>
      </c>
      <c r="N16" s="18">
        <v>180</v>
      </c>
      <c r="O16" s="12">
        <v>86200</v>
      </c>
      <c r="P16" s="12">
        <v>82200</v>
      </c>
      <c r="Q16" s="12">
        <v>78200</v>
      </c>
      <c r="R16" s="12">
        <v>74200</v>
      </c>
      <c r="S16" s="12">
        <v>70200</v>
      </c>
      <c r="T16" s="12">
        <v>66200</v>
      </c>
      <c r="U16" s="12">
        <v>62200</v>
      </c>
      <c r="V16" s="12">
        <v>58200</v>
      </c>
      <c r="Z16" s="12">
        <f>C13</f>
        <v>134.66666666666666</v>
      </c>
      <c r="AA16" s="12">
        <v>0</v>
      </c>
    </row>
    <row r="17" spans="2:23" ht="12.5">
      <c r="B17" s="25" t="str">
        <f>"单位变动成本=" &amp; ROUND($C$4,2) &amp; "元"</f>
        <v>单位变动成本=36元</v>
      </c>
      <c r="C17" s="25"/>
      <c r="F17" s="18">
        <v>190</v>
      </c>
      <c r="G17" s="12">
        <v>62300</v>
      </c>
      <c r="N17" s="18">
        <v>190</v>
      </c>
      <c r="O17" s="12">
        <v>69450</v>
      </c>
      <c r="P17" s="12">
        <v>66200</v>
      </c>
      <c r="Q17" s="12">
        <v>62950</v>
      </c>
      <c r="R17" s="12">
        <v>59700</v>
      </c>
      <c r="S17" s="12">
        <v>56450</v>
      </c>
      <c r="T17" s="12">
        <v>53200</v>
      </c>
      <c r="U17" s="12">
        <v>49950</v>
      </c>
      <c r="V17" s="12">
        <v>46700</v>
      </c>
    </row>
    <row r="18" spans="2:23" ht="12.5">
      <c r="B18" s="25" t="str">
        <f>"单价=" &amp; ROUND($C$7,2) &amp; "元时，利润=" &amp; ROUND($C$11,2) &amp; "元"</f>
        <v>单价=90元时，利润=78300元</v>
      </c>
      <c r="C18" s="25"/>
      <c r="F18" s="18">
        <v>200</v>
      </c>
      <c r="G18" s="12">
        <v>44200</v>
      </c>
      <c r="N18" s="18">
        <v>200</v>
      </c>
      <c r="O18" s="12">
        <v>49700</v>
      </c>
      <c r="P18" s="12">
        <v>47200</v>
      </c>
      <c r="Q18" s="12">
        <v>44700</v>
      </c>
      <c r="R18" s="12">
        <v>42200</v>
      </c>
      <c r="S18" s="12">
        <v>39700</v>
      </c>
      <c r="T18" s="12">
        <v>37200</v>
      </c>
      <c r="U18" s="12">
        <v>34700</v>
      </c>
      <c r="V18" s="12">
        <v>32200</v>
      </c>
    </row>
    <row r="19" spans="2:23" ht="12.5">
      <c r="B19" s="25" t="str">
        <f>"最优单价=" &amp; ROUND($C$13,2) &amp; "元，最大利润="&amp;ROUND($C$14,2)&amp; "元"</f>
        <v>最优单价=134.67元，最大利润=108226.67元</v>
      </c>
      <c r="C19" s="25"/>
      <c r="F19" s="18">
        <v>210</v>
      </c>
      <c r="G19" s="12">
        <v>23100</v>
      </c>
      <c r="N19" s="18">
        <v>210</v>
      </c>
      <c r="O19" s="12">
        <v>26950</v>
      </c>
      <c r="P19" s="12">
        <v>25200</v>
      </c>
      <c r="Q19" s="12">
        <v>23450</v>
      </c>
      <c r="R19" s="12">
        <v>21700</v>
      </c>
      <c r="S19" s="12">
        <v>19950</v>
      </c>
      <c r="T19" s="12">
        <v>18200</v>
      </c>
      <c r="U19" s="12">
        <v>16450</v>
      </c>
      <c r="V19" s="12">
        <v>14700</v>
      </c>
    </row>
    <row r="20" spans="2:23" ht="12.5">
      <c r="F20" s="18">
        <v>220</v>
      </c>
      <c r="G20" s="12">
        <v>-1000</v>
      </c>
      <c r="N20" s="18">
        <v>220</v>
      </c>
      <c r="O20" s="12">
        <v>1200</v>
      </c>
      <c r="P20" s="12">
        <v>200</v>
      </c>
      <c r="Q20" s="12">
        <v>-800</v>
      </c>
      <c r="R20" s="12">
        <v>-1800</v>
      </c>
      <c r="S20" s="12">
        <v>-2800</v>
      </c>
      <c r="T20" s="12">
        <v>-3800</v>
      </c>
      <c r="U20" s="12">
        <v>-4800</v>
      </c>
      <c r="V20" s="12">
        <v>-5800</v>
      </c>
    </row>
    <row r="21" spans="2:23" ht="12.5">
      <c r="F21" s="18">
        <v>230</v>
      </c>
      <c r="G21" s="12">
        <v>-28100</v>
      </c>
      <c r="N21" s="18">
        <v>230</v>
      </c>
      <c r="O21" s="12">
        <v>-27550</v>
      </c>
      <c r="P21" s="12">
        <v>-27800</v>
      </c>
      <c r="Q21" s="12">
        <v>-28050</v>
      </c>
      <c r="R21" s="12">
        <v>-28300</v>
      </c>
      <c r="S21" s="12">
        <v>-28550</v>
      </c>
      <c r="T21" s="12">
        <v>-28800</v>
      </c>
      <c r="U21" s="12">
        <v>-29050</v>
      </c>
      <c r="V21" s="12">
        <v>-29300</v>
      </c>
    </row>
    <row r="22" spans="2:23" ht="12.5">
      <c r="F22" s="18">
        <v>240</v>
      </c>
      <c r="G22" s="12">
        <v>-58200</v>
      </c>
      <c r="N22" s="18">
        <v>240</v>
      </c>
      <c r="O22" s="12">
        <v>-59300</v>
      </c>
      <c r="P22" s="12">
        <v>-58800</v>
      </c>
      <c r="Q22" s="12">
        <v>-58300</v>
      </c>
      <c r="R22" s="12">
        <v>-57800</v>
      </c>
      <c r="S22" s="12">
        <v>-57300</v>
      </c>
      <c r="T22" s="12">
        <v>-56800</v>
      </c>
      <c r="U22" s="12">
        <v>-56300</v>
      </c>
      <c r="V22" s="12">
        <v>-55800</v>
      </c>
    </row>
    <row r="23" spans="2:23" ht="12.75" customHeight="1">
      <c r="F23" s="18">
        <v>250</v>
      </c>
      <c r="G23" s="12">
        <v>-91300</v>
      </c>
      <c r="N23" s="18">
        <v>250</v>
      </c>
      <c r="O23" s="12">
        <v>-94050</v>
      </c>
      <c r="P23" s="12">
        <v>-92800</v>
      </c>
      <c r="Q23" s="12">
        <v>-91550</v>
      </c>
      <c r="R23" s="12">
        <v>-90300</v>
      </c>
      <c r="S23" s="12">
        <v>-89050</v>
      </c>
      <c r="T23" s="12">
        <v>-87800</v>
      </c>
      <c r="U23" s="12">
        <v>-86550</v>
      </c>
      <c r="V23" s="12">
        <v>-85300</v>
      </c>
    </row>
    <row r="24" spans="2:23" ht="12.75" customHeight="1">
      <c r="F24"/>
      <c r="G24"/>
      <c r="N24"/>
      <c r="O24"/>
      <c r="P24"/>
      <c r="Q24"/>
      <c r="R24"/>
      <c r="S24"/>
      <c r="T24"/>
      <c r="U24"/>
      <c r="V24"/>
      <c r="W24"/>
    </row>
    <row r="25" spans="2:23" ht="12.75" customHeight="1">
      <c r="F25"/>
      <c r="G25"/>
      <c r="N25"/>
      <c r="O25"/>
      <c r="P25"/>
      <c r="Q25"/>
      <c r="R25"/>
      <c r="S25"/>
      <c r="T25"/>
      <c r="U25"/>
      <c r="V25"/>
      <c r="W25"/>
    </row>
    <row r="26" spans="2:23" ht="12.75" customHeight="1">
      <c r="F26"/>
      <c r="G26"/>
      <c r="N26"/>
      <c r="O26"/>
      <c r="P26"/>
      <c r="Q26"/>
      <c r="R26"/>
      <c r="S26"/>
      <c r="T26"/>
      <c r="U26"/>
      <c r="V26"/>
      <c r="W26"/>
    </row>
    <row r="27" spans="2:23" ht="12.75" customHeight="1">
      <c r="F27"/>
      <c r="G27"/>
      <c r="N27"/>
      <c r="O27"/>
      <c r="P27"/>
      <c r="Q27"/>
      <c r="R27"/>
      <c r="S27"/>
      <c r="T27"/>
      <c r="U27"/>
      <c r="V27"/>
      <c r="W27"/>
    </row>
    <row r="28" spans="2:23" ht="12.75" customHeight="1">
      <c r="N28"/>
      <c r="O28"/>
      <c r="P28"/>
      <c r="Q28"/>
      <c r="R28"/>
      <c r="S28"/>
      <c r="T28"/>
      <c r="U28"/>
      <c r="V28"/>
      <c r="W28"/>
    </row>
    <row r="29" spans="2:23" ht="12.75" customHeight="1">
      <c r="N29"/>
      <c r="O29"/>
      <c r="P29"/>
      <c r="Q29"/>
      <c r="R29"/>
      <c r="S29"/>
      <c r="T29"/>
      <c r="U29"/>
      <c r="V29"/>
      <c r="W29"/>
    </row>
    <row r="30" spans="2:23" ht="12.75" customHeight="1">
      <c r="N30"/>
      <c r="O30"/>
      <c r="P30"/>
      <c r="Q30"/>
      <c r="R30"/>
      <c r="S30"/>
      <c r="T30"/>
      <c r="U30"/>
      <c r="V30"/>
      <c r="W30"/>
    </row>
  </sheetData>
  <mergeCells count="3">
    <mergeCell ref="B17:C17"/>
    <mergeCell ref="B18:C18"/>
    <mergeCell ref="B19:C19"/>
  </mergeCells>
  <phoneticPr fontId="3" type="noConversion"/>
  <printOptions headings="1" gridLinesSet="0"/>
  <pageMargins left="0.75" right="0.75" top="1" bottom="1" header="0.5" footer="0.5"/>
  <pageSetup orientation="portrait" horizontalDpi="180" verticalDpi="180" r:id="rId1"/>
  <headerFooter alignWithMargins="0">
    <oddHeader>&amp;A</oddHeader>
    <oddFooter>Page &amp;P</oddFooter>
  </headerFooter>
  <drawing r:id="rId2"/>
  <legacyDrawing r:id="rId3"/>
  <oleObjects>
    <mc:AlternateContent xmlns:mc="http://schemas.openxmlformats.org/markup-compatibility/2006">
      <mc:Choice Requires="x14">
        <oleObject progId="Equation.3" shapeId="1043" r:id="rId4">
          <objectPr defaultSize="0" autoPict="0" r:id="rId5">
            <anchor moveWithCells="1">
              <from>
                <xdr:col>8</xdr:col>
                <xdr:colOff>63500</xdr:colOff>
                <xdr:row>15</xdr:row>
                <xdr:rowOff>101600</xdr:rowOff>
              </from>
              <to>
                <xdr:col>11</xdr:col>
                <xdr:colOff>444500</xdr:colOff>
                <xdr:row>18</xdr:row>
                <xdr:rowOff>107950</xdr:rowOff>
              </to>
            </anchor>
          </objectPr>
        </oleObject>
      </mc:Choice>
      <mc:Fallback>
        <oleObject progId="Equation.3" shapeId="1043" r:id="rId4"/>
      </mc:Fallback>
    </mc:AlternateContent>
    <mc:AlternateContent xmlns:mc="http://schemas.openxmlformats.org/markup-compatibility/2006">
      <mc:Choice Requires="x14">
        <oleObject progId="Equation.3" shapeId="1053" r:id="rId6">
          <objectPr defaultSize="0" autoPict="0" r:id="rId7">
            <anchor moveWithCells="1">
              <from>
                <xdr:col>8</xdr:col>
                <xdr:colOff>82550</xdr:colOff>
                <xdr:row>19</xdr:row>
                <xdr:rowOff>76200</xdr:rowOff>
              </from>
              <to>
                <xdr:col>9</xdr:col>
                <xdr:colOff>107950</xdr:colOff>
                <xdr:row>24</xdr:row>
                <xdr:rowOff>82550</xdr:rowOff>
              </to>
            </anchor>
          </objectPr>
        </oleObject>
      </mc:Choice>
      <mc:Fallback>
        <oleObject progId="Equation.3" shapeId="1053" r:id="rId6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G8"/>
  <sheetViews>
    <sheetView showGridLines="0" zoomScale="130" zoomScaleNormal="130" workbookViewId="0">
      <selection activeCell="J4" sqref="J4"/>
    </sheetView>
  </sheetViews>
  <sheetFormatPr defaultRowHeight="12.5"/>
  <sheetData>
    <row r="8" spans="7:7">
      <c r="G8" t="s">
        <v>2</v>
      </c>
    </row>
  </sheetData>
  <phoneticPr fontId="3" type="noConversion"/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97" r:id="rId3" name="Spinner 49">
              <controlPr defaultSize="0" autoPict="0">
                <anchor moveWithCells="1" sizeWithCells="1">
                  <from>
                    <xdr:col>4</xdr:col>
                    <xdr:colOff>527050</xdr:colOff>
                    <xdr:row>5</xdr:row>
                    <xdr:rowOff>38100</xdr:rowOff>
                  </from>
                  <to>
                    <xdr:col>5</xdr:col>
                    <xdr:colOff>139700</xdr:colOff>
                    <xdr:row>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4" name="Spinner 50">
              <controlPr defaultSize="0" autoPict="0">
                <anchor moveWithCells="1" sizeWithCells="1">
                  <from>
                    <xdr:col>1</xdr:col>
                    <xdr:colOff>374650</xdr:colOff>
                    <xdr:row>3</xdr:row>
                    <xdr:rowOff>25400</xdr:rowOff>
                  </from>
                  <to>
                    <xdr:col>1</xdr:col>
                    <xdr:colOff>584200</xdr:colOff>
                    <xdr:row>4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showGridLines="0" zoomScale="130" zoomScaleNormal="130" workbookViewId="0">
      <selection activeCell="I20" sqref="I20"/>
    </sheetView>
  </sheetViews>
  <sheetFormatPr defaultRowHeight="12.5"/>
  <sheetData/>
  <phoneticPr fontId="3" type="noConversion"/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9" r:id="rId3" name="Spinner 5">
              <controlPr defaultSize="0" autoPict="0">
                <anchor moveWithCells="1" sizeWithCells="1">
                  <from>
                    <xdr:col>1</xdr:col>
                    <xdr:colOff>387350</xdr:colOff>
                    <xdr:row>4</xdr:row>
                    <xdr:rowOff>12700</xdr:rowOff>
                  </from>
                  <to>
                    <xdr:col>2</xdr:col>
                    <xdr:colOff>12700</xdr:colOff>
                    <xdr:row>5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D17" sqref="D17"/>
    </sheetView>
  </sheetViews>
  <sheetFormatPr defaultRowHeight="12.5"/>
  <sheetData/>
  <phoneticPr fontId="3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例7-4</vt:lpstr>
      <vt:lpstr>最大利润分析模型</vt:lpstr>
      <vt:lpstr>最大利润分析图形</vt:lpstr>
      <vt:lpstr>最大利润情景分析图形</vt:lpstr>
      <vt:lpstr>空间曲面图形</vt:lpstr>
    </vt:vector>
  </TitlesOfParts>
  <Company>SUFE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Xingde Wang</dc:creator>
  <cp:lastModifiedBy>张喆</cp:lastModifiedBy>
  <dcterms:created xsi:type="dcterms:W3CDTF">2000-03-12T08:16:58Z</dcterms:created>
  <dcterms:modified xsi:type="dcterms:W3CDTF">2020-07-30T09:56:54Z</dcterms:modified>
</cp:coreProperties>
</file>