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arl_\Desktop\1-第五版PPT&amp;数据源&amp;例题-0724\3-第五版例题答案-0723\第九章例题答案\"/>
    </mc:Choice>
  </mc:AlternateContent>
  <xr:revisionPtr revIDLastSave="0" documentId="13_ncr:1_{6F251AED-13AA-44CF-B0DE-171B6C14288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例9-8" sheetId="3" r:id="rId1"/>
    <sheet name="基于净现值的蒙特卡洛模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G6" i="2" l="1"/>
  <c r="L8" i="2"/>
  <c r="G5" i="2"/>
  <c r="L7" i="2"/>
  <c r="C15" i="2"/>
  <c r="C16" i="2" s="1"/>
  <c r="C17" i="2" s="1"/>
  <c r="C18" i="2" s="1"/>
  <c r="C19" i="2" s="1"/>
  <c r="I31" i="2" l="1"/>
  <c r="I28" i="2"/>
  <c r="C23" i="2" l="1"/>
  <c r="A30" i="2"/>
  <c r="A29" i="2"/>
  <c r="C21" i="2"/>
  <c r="D21" i="2"/>
  <c r="C22" i="2"/>
  <c r="D22" i="2"/>
  <c r="D23" i="2"/>
  <c r="C24" i="2"/>
  <c r="D24" i="2"/>
  <c r="C26" i="2" l="1"/>
  <c r="S35" i="2" s="1"/>
  <c r="G14" i="2"/>
  <c r="G16" i="2" s="1"/>
  <c r="H14" i="2"/>
  <c r="I14" i="2"/>
  <c r="J14" i="2"/>
  <c r="K14" i="2"/>
  <c r="F14" i="2"/>
  <c r="F16" i="2" s="1"/>
  <c r="F4" i="2"/>
  <c r="F9" i="2" s="1"/>
  <c r="H5" i="2"/>
  <c r="I5" i="2" s="1"/>
  <c r="J5" i="2" s="1"/>
  <c r="K5" i="2" s="1"/>
  <c r="L5" i="2" s="1"/>
  <c r="H6" i="2"/>
  <c r="H15" i="2" s="1"/>
  <c r="G9" i="2"/>
  <c r="S4" i="2" l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H16" i="2"/>
  <c r="H9" i="2"/>
  <c r="I6" i="2"/>
  <c r="I15" i="2" s="1"/>
  <c r="I16" i="2" s="1"/>
  <c r="S20" i="2" l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F28" i="2" s="1"/>
  <c r="E30" i="2" s="1" a="1"/>
  <c r="V4" i="2"/>
  <c r="W4" i="2" s="1"/>
  <c r="T4" i="2"/>
  <c r="U4" i="2" s="1"/>
  <c r="J6" i="2"/>
  <c r="J15" i="2" s="1"/>
  <c r="J16" i="2" s="1"/>
  <c r="I9" i="2"/>
  <c r="S31" i="2" l="1"/>
  <c r="S32" i="2" s="1"/>
  <c r="S33" i="2" s="1"/>
  <c r="S34" i="2" s="1"/>
  <c r="V33" i="2"/>
  <c r="T5" i="2"/>
  <c r="U5" i="2" s="1"/>
  <c r="V5" i="2"/>
  <c r="W5" i="2" s="1"/>
  <c r="V6" i="2"/>
  <c r="K6" i="2"/>
  <c r="K15" i="2" s="1"/>
  <c r="K16" i="2" s="1"/>
  <c r="J9" i="2"/>
  <c r="T33" i="2" l="1"/>
  <c r="H28" i="2"/>
  <c r="H29" i="2"/>
  <c r="H30" i="2"/>
  <c r="H31" i="2"/>
  <c r="E30" i="2"/>
  <c r="E31" i="2"/>
  <c r="A31" i="2"/>
  <c r="W6" i="2"/>
  <c r="T6" i="2"/>
  <c r="U6" i="2" s="1"/>
  <c r="V7" i="2"/>
  <c r="L6" i="2"/>
  <c r="L15" i="2" s="1"/>
  <c r="L16" i="2" s="1"/>
  <c r="K9" i="2"/>
  <c r="W7" i="2" l="1"/>
  <c r="T7" i="2"/>
  <c r="U7" i="2" s="1"/>
  <c r="L9" i="2"/>
  <c r="F10" i="2" s="1"/>
  <c r="O4" i="2" s="1"/>
  <c r="T8" i="2" l="1"/>
  <c r="U8" i="2" s="1"/>
  <c r="V8" i="2"/>
  <c r="W8" i="2" s="1"/>
  <c r="F11" i="2"/>
  <c r="T9" i="2" l="1"/>
  <c r="U9" i="2" s="1"/>
  <c r="V9" i="2"/>
  <c r="W9" i="2" s="1"/>
  <c r="T10" i="2" l="1"/>
  <c r="U10" i="2" s="1"/>
  <c r="V10" i="2"/>
  <c r="W10" i="2" s="1"/>
  <c r="T11" i="2" l="1"/>
  <c r="U11" i="2" s="1"/>
  <c r="V11" i="2"/>
  <c r="W11" i="2" s="1"/>
  <c r="T12" i="2" l="1"/>
  <c r="U12" i="2" s="1"/>
  <c r="V12" i="2"/>
  <c r="W12" i="2" s="1"/>
  <c r="T13" i="2" l="1"/>
  <c r="U13" i="2" s="1"/>
  <c r="V13" i="2"/>
  <c r="W13" i="2" s="1"/>
  <c r="T14" i="2" l="1"/>
  <c r="U14" i="2" s="1"/>
  <c r="V14" i="2"/>
  <c r="W14" i="2" s="1"/>
  <c r="T15" i="2" l="1"/>
  <c r="U15" i="2" s="1"/>
  <c r="V15" i="2"/>
  <c r="W15" i="2" s="1"/>
  <c r="T16" i="2" l="1"/>
  <c r="U16" i="2" s="1"/>
  <c r="V16" i="2"/>
  <c r="W16" i="2" s="1"/>
  <c r="T17" i="2" l="1"/>
  <c r="U17" i="2" s="1"/>
  <c r="V17" i="2"/>
  <c r="W17" i="2" s="1"/>
  <c r="T18" i="2" l="1"/>
  <c r="U18" i="2" s="1"/>
  <c r="V18" i="2"/>
  <c r="W18" i="2" s="1"/>
  <c r="T19" i="2" l="1"/>
  <c r="U19" i="2" s="1"/>
  <c r="V19" i="2"/>
  <c r="W19" i="2" s="1"/>
  <c r="T20" i="2" l="1"/>
  <c r="U20" i="2" s="1"/>
  <c r="V20" i="2"/>
  <c r="W20" i="2" s="1"/>
  <c r="T21" i="2" l="1"/>
  <c r="U21" i="2" s="1"/>
  <c r="V21" i="2"/>
  <c r="W21" i="2" s="1"/>
  <c r="T22" i="2" l="1"/>
  <c r="U22" i="2" s="1"/>
  <c r="V22" i="2"/>
  <c r="W22" i="2" s="1"/>
  <c r="T23" i="2" l="1"/>
  <c r="U23" i="2" s="1"/>
  <c r="V23" i="2"/>
  <c r="W23" i="2" s="1"/>
  <c r="T24" i="2" l="1"/>
  <c r="U24" i="2" s="1"/>
  <c r="V24" i="2"/>
  <c r="W24" i="2" s="1"/>
  <c r="T25" i="2" l="1"/>
  <c r="U25" i="2" s="1"/>
  <c r="V25" i="2"/>
  <c r="W25" i="2" s="1"/>
  <c r="T26" i="2" l="1"/>
  <c r="U26" i="2" s="1"/>
  <c r="V26" i="2"/>
  <c r="W26" i="2" s="1"/>
  <c r="T27" i="2" l="1"/>
  <c r="U27" i="2" s="1"/>
  <c r="V27" i="2"/>
  <c r="W27" i="2" s="1"/>
  <c r="T28" i="2" l="1"/>
  <c r="U28" i="2" s="1"/>
  <c r="V28" i="2"/>
  <c r="V29" i="2"/>
  <c r="W28" i="2" l="1"/>
  <c r="W29" i="2"/>
  <c r="T29" i="2"/>
  <c r="U29" i="2" s="1"/>
  <c r="V30" i="2"/>
  <c r="W30" i="2" l="1"/>
  <c r="I30" i="2" s="1"/>
  <c r="T30" i="2"/>
  <c r="U30" i="2" s="1"/>
  <c r="I29" i="2" s="1"/>
  <c r="V32" i="2" l="1"/>
  <c r="V31" i="2"/>
  <c r="W31" i="2" s="1"/>
  <c r="T31" i="2"/>
  <c r="U31" i="2" s="1"/>
  <c r="T32" i="2" l="1"/>
  <c r="U32" i="2" s="1"/>
  <c r="W32" i="2"/>
  <c r="U33" i="2"/>
  <c r="W33" i="2"/>
  <c r="T35" i="2" l="1"/>
  <c r="U35" i="2" s="1"/>
  <c r="V35" i="2"/>
  <c r="W35" i="2" s="1"/>
  <c r="T34" i="2"/>
  <c r="U34" i="2" s="1"/>
  <c r="V34" i="2"/>
  <c r="W34" i="2" s="1"/>
  <c r="F18" i="2" l="1"/>
  <c r="F17" i="2"/>
  <c r="P4" i="2" s="1"/>
  <c r="A32" i="2" l="1"/>
</calcChain>
</file>

<file path=xl/sharedStrings.xml><?xml version="1.0" encoding="utf-8"?>
<sst xmlns="http://schemas.openxmlformats.org/spreadsheetml/2006/main" count="67" uniqueCount="56">
  <si>
    <t>净现值</t>
    <phoneticPr fontId="1" type="noConversion"/>
  </si>
  <si>
    <t>内部报酬率</t>
    <phoneticPr fontId="1" type="noConversion"/>
  </si>
  <si>
    <t>购置成本</t>
    <phoneticPr fontId="1" type="noConversion"/>
  </si>
  <si>
    <t>设备维护</t>
    <phoneticPr fontId="1" type="noConversion"/>
  </si>
  <si>
    <t>租赁成本</t>
    <phoneticPr fontId="1" type="noConversion"/>
  </si>
  <si>
    <t>到期出售设备</t>
    <phoneticPr fontId="1" type="noConversion"/>
  </si>
  <si>
    <t>第0年末</t>
    <phoneticPr fontId="1" type="noConversion"/>
  </si>
  <si>
    <t>处置费用</t>
    <phoneticPr fontId="1" type="noConversion"/>
  </si>
  <si>
    <t>净现金流</t>
    <phoneticPr fontId="1" type="noConversion"/>
  </si>
  <si>
    <t>收入</t>
    <phoneticPr fontId="1" type="noConversion"/>
  </si>
  <si>
    <t>方案二</t>
  </si>
  <si>
    <t>贴现率</t>
  </si>
  <si>
    <t>收入增长率均值</t>
  </si>
  <si>
    <t>到期出售设备价格</t>
  </si>
  <si>
    <t>价格</t>
  </si>
  <si>
    <t>收入增长率标准差</t>
  </si>
  <si>
    <t>设备维护费增长率</t>
  </si>
  <si>
    <t>设备购置费</t>
  </si>
  <si>
    <t>方案一</t>
  </si>
  <si>
    <t>次数</t>
  </si>
  <si>
    <t>最小值和最大值之间的行数(K)</t>
    <phoneticPr fontId="2" type="noConversion"/>
  </si>
  <si>
    <t>分段统计点之间间隔(H)</t>
    <phoneticPr fontId="2" type="noConversion"/>
  </si>
  <si>
    <t>区号</t>
  </si>
  <si>
    <t>刻度</t>
  </si>
  <si>
    <t>&gt;某净值</t>
  </si>
  <si>
    <t>年租赁费</t>
  </si>
  <si>
    <t>第1年</t>
    <phoneticPr fontId="1" type="noConversion"/>
  </si>
  <si>
    <t>第2年</t>
    <phoneticPr fontId="1" type="noConversion"/>
  </si>
  <si>
    <t>第3年</t>
    <phoneticPr fontId="1" type="noConversion"/>
  </si>
  <si>
    <t>第4年</t>
    <phoneticPr fontId="1" type="noConversion"/>
  </si>
  <si>
    <t>第5年</t>
    <phoneticPr fontId="1" type="noConversion"/>
  </si>
  <si>
    <t>第6年</t>
    <phoneticPr fontId="1" type="noConversion"/>
  </si>
  <si>
    <t>方案二、设备租赁</t>
    <phoneticPr fontId="1" type="noConversion"/>
  </si>
  <si>
    <t>方案一、设备购置</t>
    <phoneticPr fontId="1" type="noConversion"/>
  </si>
  <si>
    <t>风险</t>
    <phoneticPr fontId="1" type="noConversion"/>
  </si>
  <si>
    <r>
      <t>1000</t>
    </r>
    <r>
      <rPr>
        <sz val="11"/>
        <rFont val="宋体"/>
        <family val="3"/>
        <charset val="134"/>
      </rPr>
      <t>次模拟净现值均值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1" type="noConversion"/>
  </si>
  <si>
    <r>
      <t>1000</t>
    </r>
    <r>
      <rPr>
        <sz val="11"/>
        <rFont val="宋体"/>
        <family val="3"/>
        <charset val="134"/>
      </rPr>
      <t>次模拟净现值标准差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1" type="noConversion"/>
  </si>
  <si>
    <r>
      <t>1000</t>
    </r>
    <r>
      <rPr>
        <sz val="11"/>
        <rFont val="宋体"/>
        <family val="3"/>
        <charset val="134"/>
      </rPr>
      <t>次模拟净现值最大值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1" type="noConversion"/>
  </si>
  <si>
    <r>
      <t>1000</t>
    </r>
    <r>
      <rPr>
        <sz val="11"/>
        <rFont val="宋体"/>
        <family val="3"/>
        <charset val="134"/>
      </rPr>
      <t>次模拟净现值最小值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1" type="noConversion"/>
  </si>
  <si>
    <t>指定净现值参考线</t>
  </si>
  <si>
    <t>指定净现值</t>
  </si>
  <si>
    <t>指定净现值的风险</t>
    <phoneticPr fontId="1" type="noConversion"/>
  </si>
  <si>
    <t>方案一</t>
    <phoneticPr fontId="1" type="noConversion"/>
  </si>
  <si>
    <t>方案二</t>
    <phoneticPr fontId="1" type="noConversion"/>
  </si>
  <si>
    <t>·</t>
    <phoneticPr fontId="1" type="noConversion"/>
  </si>
  <si>
    <t>输入区-初始参数</t>
    <phoneticPr fontId="1" type="noConversion"/>
  </si>
  <si>
    <t>设备维护费</t>
    <phoneticPr fontId="1" type="noConversion"/>
  </si>
  <si>
    <t>到期处置费</t>
    <phoneticPr fontId="1" type="noConversion"/>
  </si>
  <si>
    <t>概率</t>
    <phoneticPr fontId="2" type="noConversion"/>
  </si>
  <si>
    <t>累积概率</t>
    <phoneticPr fontId="2" type="noConversion"/>
  </si>
  <si>
    <t>第一年收入</t>
    <phoneticPr fontId="1" type="noConversion"/>
  </si>
  <si>
    <t>输出区</t>
    <phoneticPr fontId="1" type="noConversion"/>
  </si>
  <si>
    <t>试验区</t>
    <phoneticPr fontId="1" type="noConversion"/>
  </si>
  <si>
    <t>图形区-图形数据表</t>
    <phoneticPr fontId="1" type="noConversion"/>
  </si>
  <si>
    <t>图形区-控制参数区</t>
    <phoneticPr fontId="1" type="noConversion"/>
  </si>
  <si>
    <t>统计区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</si>
</sst>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"/>
    <numFmt numFmtId="178" formatCode="0.00;[Red]0.00"/>
    <numFmt numFmtId="179" formatCode="0.0%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0" xfId="0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3" xfId="0" applyFont="1" applyBorder="1"/>
    <xf numFmtId="0" fontId="0" fillId="0" borderId="3" xfId="0" applyBorder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79" fontId="5" fillId="0" borderId="2" xfId="1" applyNumberFormat="1" applyFont="1" applyBorder="1" applyAlignment="1">
      <alignment vertical="center"/>
    </xf>
    <xf numFmtId="0" fontId="2" fillId="0" borderId="0" xfId="0" applyFont="1"/>
    <xf numFmtId="2" fontId="5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ill="1" applyBorder="1"/>
    <xf numFmtId="176" fontId="8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1" fontId="0" fillId="0" borderId="1" xfId="0" applyNumberFormat="1" applyBorder="1"/>
    <xf numFmtId="179" fontId="0" fillId="0" borderId="1" xfId="0" applyNumberFormat="1" applyBorder="1"/>
    <xf numFmtId="179" fontId="0" fillId="0" borderId="9" xfId="0" applyNumberFormat="1" applyBorder="1"/>
    <xf numFmtId="9" fontId="0" fillId="0" borderId="1" xfId="0" applyNumberFormat="1" applyBorder="1"/>
    <xf numFmtId="179" fontId="5" fillId="0" borderId="1" xfId="1" applyNumberFormat="1" applyFont="1" applyBorder="1" applyAlignment="1">
      <alignment vertical="center"/>
    </xf>
    <xf numFmtId="179" fontId="0" fillId="0" borderId="4" xfId="0" applyNumberFormat="1" applyBorder="1"/>
    <xf numFmtId="0" fontId="0" fillId="0" borderId="1" xfId="0" applyFill="1" applyBorder="1"/>
    <xf numFmtId="0" fontId="2" fillId="0" borderId="1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left" vertical="center"/>
    </xf>
    <xf numFmtId="0" fontId="0" fillId="0" borderId="0" xfId="0" applyFill="1"/>
    <xf numFmtId="1" fontId="0" fillId="0" borderId="1" xfId="1" applyNumberFormat="1" applyFont="1" applyFill="1" applyBorder="1"/>
    <xf numFmtId="0" fontId="0" fillId="0" borderId="0" xfId="0" applyFont="1" applyFill="1"/>
    <xf numFmtId="2" fontId="0" fillId="0" borderId="1" xfId="0" applyNumberFormat="1" applyFill="1" applyBorder="1"/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3" fillId="0" borderId="0" xfId="0" applyFont="1" applyBorder="1"/>
    <xf numFmtId="0" fontId="14" fillId="0" borderId="0" xfId="0" applyFont="1"/>
    <xf numFmtId="0" fontId="0" fillId="0" borderId="2" xfId="0" applyBorder="1"/>
    <xf numFmtId="179" fontId="0" fillId="0" borderId="0" xfId="0" applyNumberFormat="1" applyBorder="1"/>
    <xf numFmtId="177" fontId="0" fillId="0" borderId="0" xfId="0" applyNumberFormat="1" applyBorder="1"/>
    <xf numFmtId="9" fontId="0" fillId="0" borderId="1" xfId="1" applyFont="1" applyBorder="1"/>
    <xf numFmtId="0" fontId="14" fillId="0" borderId="1" xfId="0" applyFont="1" applyBorder="1"/>
    <xf numFmtId="1" fontId="5" fillId="0" borderId="1" xfId="0" applyNumberFormat="1" applyFont="1" applyBorder="1" applyAlignment="1">
      <alignment horizontal="right" vertical="center"/>
    </xf>
    <xf numFmtId="0" fontId="0" fillId="0" borderId="0" xfId="0" applyFill="1" applyBorder="1"/>
    <xf numFmtId="0" fontId="2" fillId="0" borderId="1" xfId="0" applyFont="1" applyBorder="1"/>
    <xf numFmtId="0" fontId="14" fillId="0" borderId="0" xfId="0" applyFont="1" applyBorder="1"/>
    <xf numFmtId="0" fontId="0" fillId="0" borderId="1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066219670562075E-2"/>
          <c:y val="0.23157460808542296"/>
          <c:w val="0.77647362113572826"/>
          <c:h val="0.589691204510381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基于净现值的蒙特卡洛模拟!$E$3</c:f>
              <c:strCache>
                <c:ptCount val="1"/>
                <c:pt idx="0">
                  <c:v>方案一、设备购置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基于净现值的蒙特卡洛模拟!$S$4:$S$35</c:f>
              <c:numCache>
                <c:formatCode>0</c:formatCode>
                <c:ptCount val="32"/>
                <c:pt idx="0">
                  <c:v>17.80221145254356</c:v>
                </c:pt>
                <c:pt idx="1">
                  <c:v>19.80221145254356</c:v>
                </c:pt>
                <c:pt idx="2">
                  <c:v>21.80221145254356</c:v>
                </c:pt>
                <c:pt idx="3">
                  <c:v>23.80221145254356</c:v>
                </c:pt>
                <c:pt idx="4">
                  <c:v>25.80221145254356</c:v>
                </c:pt>
                <c:pt idx="5">
                  <c:v>27.80221145254356</c:v>
                </c:pt>
                <c:pt idx="6">
                  <c:v>29.80221145254356</c:v>
                </c:pt>
                <c:pt idx="7">
                  <c:v>31.80221145254356</c:v>
                </c:pt>
                <c:pt idx="8">
                  <c:v>33.80221145254356</c:v>
                </c:pt>
                <c:pt idx="9">
                  <c:v>35.80221145254356</c:v>
                </c:pt>
                <c:pt idx="10">
                  <c:v>37.80221145254356</c:v>
                </c:pt>
                <c:pt idx="11">
                  <c:v>39.80221145254356</c:v>
                </c:pt>
                <c:pt idx="12">
                  <c:v>41.80221145254356</c:v>
                </c:pt>
                <c:pt idx="13">
                  <c:v>43.80221145254356</c:v>
                </c:pt>
                <c:pt idx="14">
                  <c:v>45.80221145254356</c:v>
                </c:pt>
                <c:pt idx="15">
                  <c:v>47.80221145254356</c:v>
                </c:pt>
                <c:pt idx="16">
                  <c:v>49.80221145254356</c:v>
                </c:pt>
                <c:pt idx="17">
                  <c:v>51.80221145254356</c:v>
                </c:pt>
                <c:pt idx="18">
                  <c:v>53.80221145254356</c:v>
                </c:pt>
                <c:pt idx="19">
                  <c:v>55.80221145254356</c:v>
                </c:pt>
                <c:pt idx="20">
                  <c:v>57.80221145254356</c:v>
                </c:pt>
                <c:pt idx="21">
                  <c:v>59.80221145254356</c:v>
                </c:pt>
                <c:pt idx="22">
                  <c:v>61.80221145254356</c:v>
                </c:pt>
                <c:pt idx="23">
                  <c:v>63.80221145254356</c:v>
                </c:pt>
                <c:pt idx="24">
                  <c:v>65.80221145254356</c:v>
                </c:pt>
                <c:pt idx="25">
                  <c:v>67.80221145254356</c:v>
                </c:pt>
                <c:pt idx="26">
                  <c:v>69.80221145254356</c:v>
                </c:pt>
                <c:pt idx="27">
                  <c:v>71.80221145254356</c:v>
                </c:pt>
                <c:pt idx="28">
                  <c:v>73.80221145254356</c:v>
                </c:pt>
                <c:pt idx="29">
                  <c:v>75.80221145254356</c:v>
                </c:pt>
                <c:pt idx="30">
                  <c:v>77.80221145254356</c:v>
                </c:pt>
                <c:pt idx="31">
                  <c:v>84.519647777426087</c:v>
                </c:pt>
              </c:numCache>
            </c:numRef>
          </c:xVal>
          <c:yVal>
            <c:numRef>
              <c:f>基于净现值的蒙特卡洛模拟!$T$4:$T$35</c:f>
              <c:numCache>
                <c:formatCode>0.0%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0.99299999999999999</c:v>
                </c:pt>
                <c:pt idx="5">
                  <c:v>0.98899999999999999</c:v>
                </c:pt>
                <c:pt idx="6">
                  <c:v>0.98099999999999998</c:v>
                </c:pt>
                <c:pt idx="7">
                  <c:v>0.97299999999999998</c:v>
                </c:pt>
                <c:pt idx="8">
                  <c:v>0.96099999999999997</c:v>
                </c:pt>
                <c:pt idx="9">
                  <c:v>0.93</c:v>
                </c:pt>
                <c:pt idx="10">
                  <c:v>0.89500000000000002</c:v>
                </c:pt>
                <c:pt idx="11">
                  <c:v>0.85499999999999998</c:v>
                </c:pt>
                <c:pt idx="12">
                  <c:v>0.80900000000000005</c:v>
                </c:pt>
                <c:pt idx="13">
                  <c:v>0.73699999999999999</c:v>
                </c:pt>
                <c:pt idx="14">
                  <c:v>0.67900000000000005</c:v>
                </c:pt>
                <c:pt idx="15">
                  <c:v>0.61399999999999999</c:v>
                </c:pt>
                <c:pt idx="16">
                  <c:v>0.55200000000000005</c:v>
                </c:pt>
                <c:pt idx="17">
                  <c:v>0.49199999999999999</c:v>
                </c:pt>
                <c:pt idx="18">
                  <c:v>0.42599999999999999</c:v>
                </c:pt>
                <c:pt idx="19">
                  <c:v>0.35399999999999998</c:v>
                </c:pt>
                <c:pt idx="20">
                  <c:v>0.29599999999999999</c:v>
                </c:pt>
                <c:pt idx="21">
                  <c:v>0.247</c:v>
                </c:pt>
                <c:pt idx="22">
                  <c:v>0.19900000000000001</c:v>
                </c:pt>
                <c:pt idx="23">
                  <c:v>0.13700000000000001</c:v>
                </c:pt>
                <c:pt idx="24">
                  <c:v>9.5000000000000001E-2</c:v>
                </c:pt>
                <c:pt idx="25">
                  <c:v>6.7000000000000004E-2</c:v>
                </c:pt>
                <c:pt idx="26">
                  <c:v>4.9000000000000002E-2</c:v>
                </c:pt>
                <c:pt idx="27">
                  <c:v>3.5000000000000003E-2</c:v>
                </c:pt>
                <c:pt idx="28">
                  <c:v>2.1000000000000001E-2</c:v>
                </c:pt>
                <c:pt idx="29">
                  <c:v>1.2E-2</c:v>
                </c:pt>
                <c:pt idx="30">
                  <c:v>6.0000000000000001E-3</c:v>
                </c:pt>
                <c:pt idx="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07-47D6-A245-82AE00282BA9}"/>
            </c:ext>
          </c:extLst>
        </c:ser>
        <c:ser>
          <c:idx val="1"/>
          <c:order val="1"/>
          <c:tx>
            <c:strRef>
              <c:f>基于净现值的蒙特卡洛模拟!$E$13</c:f>
              <c:strCache>
                <c:ptCount val="1"/>
                <c:pt idx="0">
                  <c:v>方案二、设备租赁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基于净现值的蒙特卡洛模拟!$S$4:$S$35</c:f>
              <c:numCache>
                <c:formatCode>0</c:formatCode>
                <c:ptCount val="32"/>
                <c:pt idx="0">
                  <c:v>17.80221145254356</c:v>
                </c:pt>
                <c:pt idx="1">
                  <c:v>19.80221145254356</c:v>
                </c:pt>
                <c:pt idx="2">
                  <c:v>21.80221145254356</c:v>
                </c:pt>
                <c:pt idx="3">
                  <c:v>23.80221145254356</c:v>
                </c:pt>
                <c:pt idx="4">
                  <c:v>25.80221145254356</c:v>
                </c:pt>
                <c:pt idx="5">
                  <c:v>27.80221145254356</c:v>
                </c:pt>
                <c:pt idx="6">
                  <c:v>29.80221145254356</c:v>
                </c:pt>
                <c:pt idx="7">
                  <c:v>31.80221145254356</c:v>
                </c:pt>
                <c:pt idx="8">
                  <c:v>33.80221145254356</c:v>
                </c:pt>
                <c:pt idx="9">
                  <c:v>35.80221145254356</c:v>
                </c:pt>
                <c:pt idx="10">
                  <c:v>37.80221145254356</c:v>
                </c:pt>
                <c:pt idx="11">
                  <c:v>39.80221145254356</c:v>
                </c:pt>
                <c:pt idx="12">
                  <c:v>41.80221145254356</c:v>
                </c:pt>
                <c:pt idx="13">
                  <c:v>43.80221145254356</c:v>
                </c:pt>
                <c:pt idx="14">
                  <c:v>45.80221145254356</c:v>
                </c:pt>
                <c:pt idx="15">
                  <c:v>47.80221145254356</c:v>
                </c:pt>
                <c:pt idx="16">
                  <c:v>49.80221145254356</c:v>
                </c:pt>
                <c:pt idx="17">
                  <c:v>51.80221145254356</c:v>
                </c:pt>
                <c:pt idx="18">
                  <c:v>53.80221145254356</c:v>
                </c:pt>
                <c:pt idx="19">
                  <c:v>55.80221145254356</c:v>
                </c:pt>
                <c:pt idx="20">
                  <c:v>57.80221145254356</c:v>
                </c:pt>
                <c:pt idx="21">
                  <c:v>59.80221145254356</c:v>
                </c:pt>
                <c:pt idx="22">
                  <c:v>61.80221145254356</c:v>
                </c:pt>
                <c:pt idx="23">
                  <c:v>63.80221145254356</c:v>
                </c:pt>
                <c:pt idx="24">
                  <c:v>65.80221145254356</c:v>
                </c:pt>
                <c:pt idx="25">
                  <c:v>67.80221145254356</c:v>
                </c:pt>
                <c:pt idx="26">
                  <c:v>69.80221145254356</c:v>
                </c:pt>
                <c:pt idx="27">
                  <c:v>71.80221145254356</c:v>
                </c:pt>
                <c:pt idx="28">
                  <c:v>73.80221145254356</c:v>
                </c:pt>
                <c:pt idx="29">
                  <c:v>75.80221145254356</c:v>
                </c:pt>
                <c:pt idx="30">
                  <c:v>77.80221145254356</c:v>
                </c:pt>
                <c:pt idx="31">
                  <c:v>84.519647777426087</c:v>
                </c:pt>
              </c:numCache>
            </c:numRef>
          </c:xVal>
          <c:yVal>
            <c:numRef>
              <c:f>基于净现值的蒙特卡洛模拟!$V$4:$V$35</c:f>
              <c:numCache>
                <c:formatCode>0.0%</c:formatCode>
                <c:ptCount val="32"/>
                <c:pt idx="0">
                  <c:v>1</c:v>
                </c:pt>
                <c:pt idx="1">
                  <c:v>0.998</c:v>
                </c:pt>
                <c:pt idx="2">
                  <c:v>0.997</c:v>
                </c:pt>
                <c:pt idx="3">
                  <c:v>0.98799999999999999</c:v>
                </c:pt>
                <c:pt idx="4">
                  <c:v>0.97199999999999998</c:v>
                </c:pt>
                <c:pt idx="5">
                  <c:v>0.95</c:v>
                </c:pt>
                <c:pt idx="6">
                  <c:v>0.90700000000000003</c:v>
                </c:pt>
                <c:pt idx="7">
                  <c:v>0.84799999999999998</c:v>
                </c:pt>
                <c:pt idx="8">
                  <c:v>0.77300000000000002</c:v>
                </c:pt>
                <c:pt idx="9">
                  <c:v>0.67300000000000004</c:v>
                </c:pt>
                <c:pt idx="10">
                  <c:v>0.58099999999999996</c:v>
                </c:pt>
                <c:pt idx="11">
                  <c:v>0.48399999999999999</c:v>
                </c:pt>
                <c:pt idx="12">
                  <c:v>0.38800000000000001</c:v>
                </c:pt>
                <c:pt idx="13">
                  <c:v>0.28799999999999998</c:v>
                </c:pt>
                <c:pt idx="14">
                  <c:v>0.21</c:v>
                </c:pt>
                <c:pt idx="15">
                  <c:v>0.14799999999999999</c:v>
                </c:pt>
                <c:pt idx="16">
                  <c:v>8.7999999999999995E-2</c:v>
                </c:pt>
                <c:pt idx="17">
                  <c:v>5.3999999999999999E-2</c:v>
                </c:pt>
                <c:pt idx="18">
                  <c:v>0.03</c:v>
                </c:pt>
                <c:pt idx="19">
                  <c:v>1.2E-2</c:v>
                </c:pt>
                <c:pt idx="20">
                  <c:v>8.0000000000000002E-3</c:v>
                </c:pt>
                <c:pt idx="21">
                  <c:v>2E-3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07-47D6-A245-82AE00282BA9}"/>
            </c:ext>
          </c:extLst>
        </c:ser>
        <c:ser>
          <c:idx val="2"/>
          <c:order val="2"/>
          <c:tx>
            <c:v>目标净现值参考线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基于净现值的蒙特卡洛模拟!$E$30:$E$31</c:f>
              <c:numCache>
                <c:formatCode>General</c:formatCode>
                <c:ptCount val="2"/>
                <c:pt idx="0" formatCode="0">
                  <c:v>70</c:v>
                </c:pt>
                <c:pt idx="1">
                  <c:v>70</c:v>
                </c:pt>
              </c:numCache>
            </c:numRef>
          </c:xVal>
          <c:yVal>
            <c:numRef>
              <c:f>基于净现值的蒙特卡洛模拟!$F$30:$F$31</c:f>
              <c:numCache>
                <c:formatCode>0.0%</c:formatCode>
                <c:ptCount val="2"/>
                <c:pt idx="0" formatCode="General">
                  <c:v>1.2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E3-4ADD-BC75-32921DC9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619952"/>
        <c:axId val="366620368"/>
      </c:scatterChart>
      <c:valAx>
        <c:axId val="366619952"/>
        <c:scaling>
          <c:orientation val="minMax"/>
          <c:max val="13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净现值</a:t>
                </a:r>
              </a:p>
            </c:rich>
          </c:tx>
          <c:layout>
            <c:manualLayout>
              <c:xMode val="edge"/>
              <c:yMode val="edge"/>
              <c:x val="0.88227116949086271"/>
              <c:y val="0.82614494111232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620368"/>
        <c:crosses val="autoZero"/>
        <c:crossBetween val="midCat"/>
        <c:majorUnit val="10"/>
      </c:valAx>
      <c:valAx>
        <c:axId val="366620368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可能性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619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75798618137216"/>
          <c:y val="0.89535504752783601"/>
          <c:w val="0.54268871537499441"/>
          <c:h val="7.4909951397348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solidFill>
                  <a:sysClr val="windowText" lastClr="000000"/>
                </a:solidFill>
              </a:rPr>
              <a:t>两种方案的风险比较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2370369353511239E-2"/>
          <c:y val="0.25338002434589058"/>
          <c:w val="0.95406724817604938"/>
          <c:h val="0.64316340748200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基于净现值的蒙特卡洛模拟!$E$3</c:f>
              <c:strCache>
                <c:ptCount val="1"/>
                <c:pt idx="0">
                  <c:v>方案一、设备购置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基于净现值的蒙特卡洛模拟!$S$4:$S$35</c:f>
              <c:numCache>
                <c:formatCode>0</c:formatCode>
                <c:ptCount val="32"/>
                <c:pt idx="0">
                  <c:v>17.80221145254356</c:v>
                </c:pt>
                <c:pt idx="1">
                  <c:v>19.80221145254356</c:v>
                </c:pt>
                <c:pt idx="2">
                  <c:v>21.80221145254356</c:v>
                </c:pt>
                <c:pt idx="3">
                  <c:v>23.80221145254356</c:v>
                </c:pt>
                <c:pt idx="4">
                  <c:v>25.80221145254356</c:v>
                </c:pt>
                <c:pt idx="5">
                  <c:v>27.80221145254356</c:v>
                </c:pt>
                <c:pt idx="6">
                  <c:v>29.80221145254356</c:v>
                </c:pt>
                <c:pt idx="7">
                  <c:v>31.80221145254356</c:v>
                </c:pt>
                <c:pt idx="8">
                  <c:v>33.80221145254356</c:v>
                </c:pt>
                <c:pt idx="9">
                  <c:v>35.80221145254356</c:v>
                </c:pt>
                <c:pt idx="10">
                  <c:v>37.80221145254356</c:v>
                </c:pt>
                <c:pt idx="11">
                  <c:v>39.80221145254356</c:v>
                </c:pt>
                <c:pt idx="12">
                  <c:v>41.80221145254356</c:v>
                </c:pt>
                <c:pt idx="13">
                  <c:v>43.80221145254356</c:v>
                </c:pt>
                <c:pt idx="14">
                  <c:v>45.80221145254356</c:v>
                </c:pt>
                <c:pt idx="15">
                  <c:v>47.80221145254356</c:v>
                </c:pt>
                <c:pt idx="16">
                  <c:v>49.80221145254356</c:v>
                </c:pt>
                <c:pt idx="17">
                  <c:v>51.80221145254356</c:v>
                </c:pt>
                <c:pt idx="18">
                  <c:v>53.80221145254356</c:v>
                </c:pt>
                <c:pt idx="19">
                  <c:v>55.80221145254356</c:v>
                </c:pt>
                <c:pt idx="20">
                  <c:v>57.80221145254356</c:v>
                </c:pt>
                <c:pt idx="21">
                  <c:v>59.80221145254356</c:v>
                </c:pt>
                <c:pt idx="22">
                  <c:v>61.80221145254356</c:v>
                </c:pt>
                <c:pt idx="23">
                  <c:v>63.80221145254356</c:v>
                </c:pt>
                <c:pt idx="24">
                  <c:v>65.80221145254356</c:v>
                </c:pt>
                <c:pt idx="25">
                  <c:v>67.80221145254356</c:v>
                </c:pt>
                <c:pt idx="26">
                  <c:v>69.80221145254356</c:v>
                </c:pt>
                <c:pt idx="27">
                  <c:v>71.80221145254356</c:v>
                </c:pt>
                <c:pt idx="28">
                  <c:v>73.80221145254356</c:v>
                </c:pt>
                <c:pt idx="29">
                  <c:v>75.80221145254356</c:v>
                </c:pt>
                <c:pt idx="30">
                  <c:v>77.80221145254356</c:v>
                </c:pt>
                <c:pt idx="31">
                  <c:v>84.519647777426087</c:v>
                </c:pt>
              </c:numCache>
            </c:numRef>
          </c:xVal>
          <c:yVal>
            <c:numRef>
              <c:f>基于净现值的蒙特卡洛模拟!$U$4:$U$35</c:f>
              <c:numCache>
                <c:formatCode>0.0%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2.0000000000000018E-3</c:v>
                </c:pt>
                <c:pt idx="4">
                  <c:v>7.0000000000000062E-3</c:v>
                </c:pt>
                <c:pt idx="5">
                  <c:v>1.100000000000001E-2</c:v>
                </c:pt>
                <c:pt idx="6">
                  <c:v>1.9000000000000017E-2</c:v>
                </c:pt>
                <c:pt idx="7">
                  <c:v>2.7000000000000024E-2</c:v>
                </c:pt>
                <c:pt idx="8">
                  <c:v>3.9000000000000035E-2</c:v>
                </c:pt>
                <c:pt idx="9">
                  <c:v>6.9999999999999951E-2</c:v>
                </c:pt>
                <c:pt idx="10">
                  <c:v>0.10499999999999998</c:v>
                </c:pt>
                <c:pt idx="11">
                  <c:v>0.14500000000000002</c:v>
                </c:pt>
                <c:pt idx="12">
                  <c:v>0.19099999999999995</c:v>
                </c:pt>
                <c:pt idx="13">
                  <c:v>0.26300000000000001</c:v>
                </c:pt>
                <c:pt idx="14">
                  <c:v>0.32099999999999995</c:v>
                </c:pt>
                <c:pt idx="15">
                  <c:v>0.38600000000000001</c:v>
                </c:pt>
                <c:pt idx="16">
                  <c:v>0.44799999999999995</c:v>
                </c:pt>
                <c:pt idx="17">
                  <c:v>0.50800000000000001</c:v>
                </c:pt>
                <c:pt idx="18">
                  <c:v>0.57400000000000007</c:v>
                </c:pt>
                <c:pt idx="19">
                  <c:v>0.64600000000000002</c:v>
                </c:pt>
                <c:pt idx="20">
                  <c:v>0.70399999999999996</c:v>
                </c:pt>
                <c:pt idx="21">
                  <c:v>0.753</c:v>
                </c:pt>
                <c:pt idx="22">
                  <c:v>0.80099999999999993</c:v>
                </c:pt>
                <c:pt idx="23">
                  <c:v>0.86299999999999999</c:v>
                </c:pt>
                <c:pt idx="24">
                  <c:v>0.90500000000000003</c:v>
                </c:pt>
                <c:pt idx="25">
                  <c:v>0.93300000000000005</c:v>
                </c:pt>
                <c:pt idx="26">
                  <c:v>0.95099999999999996</c:v>
                </c:pt>
                <c:pt idx="27">
                  <c:v>0.96499999999999997</c:v>
                </c:pt>
                <c:pt idx="28">
                  <c:v>0.97899999999999998</c:v>
                </c:pt>
                <c:pt idx="29">
                  <c:v>0.98799999999999999</c:v>
                </c:pt>
                <c:pt idx="30">
                  <c:v>0.99399999999999999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89-4F52-B732-285A58C02090}"/>
            </c:ext>
          </c:extLst>
        </c:ser>
        <c:ser>
          <c:idx val="1"/>
          <c:order val="1"/>
          <c:tx>
            <c:strRef>
              <c:f>基于净现值的蒙特卡洛模拟!$E$13</c:f>
              <c:strCache>
                <c:ptCount val="1"/>
                <c:pt idx="0">
                  <c:v>方案二、设备租赁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基于净现值的蒙特卡洛模拟!$S$4:$S$35</c:f>
              <c:numCache>
                <c:formatCode>0</c:formatCode>
                <c:ptCount val="32"/>
                <c:pt idx="0">
                  <c:v>17.80221145254356</c:v>
                </c:pt>
                <c:pt idx="1">
                  <c:v>19.80221145254356</c:v>
                </c:pt>
                <c:pt idx="2">
                  <c:v>21.80221145254356</c:v>
                </c:pt>
                <c:pt idx="3">
                  <c:v>23.80221145254356</c:v>
                </c:pt>
                <c:pt idx="4">
                  <c:v>25.80221145254356</c:v>
                </c:pt>
                <c:pt idx="5">
                  <c:v>27.80221145254356</c:v>
                </c:pt>
                <c:pt idx="6">
                  <c:v>29.80221145254356</c:v>
                </c:pt>
                <c:pt idx="7">
                  <c:v>31.80221145254356</c:v>
                </c:pt>
                <c:pt idx="8">
                  <c:v>33.80221145254356</c:v>
                </c:pt>
                <c:pt idx="9">
                  <c:v>35.80221145254356</c:v>
                </c:pt>
                <c:pt idx="10">
                  <c:v>37.80221145254356</c:v>
                </c:pt>
                <c:pt idx="11">
                  <c:v>39.80221145254356</c:v>
                </c:pt>
                <c:pt idx="12">
                  <c:v>41.80221145254356</c:v>
                </c:pt>
                <c:pt idx="13">
                  <c:v>43.80221145254356</c:v>
                </c:pt>
                <c:pt idx="14">
                  <c:v>45.80221145254356</c:v>
                </c:pt>
                <c:pt idx="15">
                  <c:v>47.80221145254356</c:v>
                </c:pt>
                <c:pt idx="16">
                  <c:v>49.80221145254356</c:v>
                </c:pt>
                <c:pt idx="17">
                  <c:v>51.80221145254356</c:v>
                </c:pt>
                <c:pt idx="18">
                  <c:v>53.80221145254356</c:v>
                </c:pt>
                <c:pt idx="19">
                  <c:v>55.80221145254356</c:v>
                </c:pt>
                <c:pt idx="20">
                  <c:v>57.80221145254356</c:v>
                </c:pt>
                <c:pt idx="21">
                  <c:v>59.80221145254356</c:v>
                </c:pt>
                <c:pt idx="22">
                  <c:v>61.80221145254356</c:v>
                </c:pt>
                <c:pt idx="23">
                  <c:v>63.80221145254356</c:v>
                </c:pt>
                <c:pt idx="24">
                  <c:v>65.80221145254356</c:v>
                </c:pt>
                <c:pt idx="25">
                  <c:v>67.80221145254356</c:v>
                </c:pt>
                <c:pt idx="26">
                  <c:v>69.80221145254356</c:v>
                </c:pt>
                <c:pt idx="27">
                  <c:v>71.80221145254356</c:v>
                </c:pt>
                <c:pt idx="28">
                  <c:v>73.80221145254356</c:v>
                </c:pt>
                <c:pt idx="29">
                  <c:v>75.80221145254356</c:v>
                </c:pt>
                <c:pt idx="30">
                  <c:v>77.80221145254356</c:v>
                </c:pt>
                <c:pt idx="31">
                  <c:v>84.519647777426087</c:v>
                </c:pt>
              </c:numCache>
            </c:numRef>
          </c:xVal>
          <c:yVal>
            <c:numRef>
              <c:f>基于净现值的蒙特卡洛模拟!$W$4:$W$35</c:f>
              <c:numCache>
                <c:formatCode>0.0%</c:formatCode>
                <c:ptCount val="32"/>
                <c:pt idx="0">
                  <c:v>0</c:v>
                </c:pt>
                <c:pt idx="1">
                  <c:v>2.0000000000000018E-3</c:v>
                </c:pt>
                <c:pt idx="2">
                  <c:v>3.0000000000000027E-3</c:v>
                </c:pt>
                <c:pt idx="3">
                  <c:v>1.2000000000000011E-2</c:v>
                </c:pt>
                <c:pt idx="4">
                  <c:v>2.8000000000000025E-2</c:v>
                </c:pt>
                <c:pt idx="5">
                  <c:v>5.0000000000000044E-2</c:v>
                </c:pt>
                <c:pt idx="6">
                  <c:v>9.2999999999999972E-2</c:v>
                </c:pt>
                <c:pt idx="7">
                  <c:v>0.15200000000000002</c:v>
                </c:pt>
                <c:pt idx="8">
                  <c:v>0.22699999999999998</c:v>
                </c:pt>
                <c:pt idx="9">
                  <c:v>0.32699999999999996</c:v>
                </c:pt>
                <c:pt idx="10">
                  <c:v>0.41900000000000004</c:v>
                </c:pt>
                <c:pt idx="11">
                  <c:v>0.51600000000000001</c:v>
                </c:pt>
                <c:pt idx="12">
                  <c:v>0.61199999999999999</c:v>
                </c:pt>
                <c:pt idx="13">
                  <c:v>0.71199999999999997</c:v>
                </c:pt>
                <c:pt idx="14">
                  <c:v>0.79</c:v>
                </c:pt>
                <c:pt idx="15">
                  <c:v>0.85199999999999998</c:v>
                </c:pt>
                <c:pt idx="16">
                  <c:v>0.91200000000000003</c:v>
                </c:pt>
                <c:pt idx="17">
                  <c:v>0.94599999999999995</c:v>
                </c:pt>
                <c:pt idx="18">
                  <c:v>0.97</c:v>
                </c:pt>
                <c:pt idx="19">
                  <c:v>0.98799999999999999</c:v>
                </c:pt>
                <c:pt idx="20">
                  <c:v>0.99199999999999999</c:v>
                </c:pt>
                <c:pt idx="21">
                  <c:v>0.998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89-4F52-B732-285A58C02090}"/>
            </c:ext>
          </c:extLst>
        </c:ser>
        <c:ser>
          <c:idx val="2"/>
          <c:order val="2"/>
          <c:tx>
            <c:strRef>
              <c:f>基于净现值的蒙特卡洛模拟!$E$29</c:f>
              <c:strCache>
                <c:ptCount val="1"/>
                <c:pt idx="0">
                  <c:v>指定净现值参考线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基于净现值的蒙特卡洛模拟!$E$30:$E$31</c:f>
              <c:numCache>
                <c:formatCode>General</c:formatCode>
                <c:ptCount val="2"/>
                <c:pt idx="0" formatCode="0">
                  <c:v>70</c:v>
                </c:pt>
                <c:pt idx="1">
                  <c:v>70</c:v>
                </c:pt>
              </c:numCache>
            </c:numRef>
          </c:xVal>
          <c:yVal>
            <c:numRef>
              <c:f>基于净现值的蒙特卡洛模拟!$F$30:$F$31</c:f>
              <c:numCache>
                <c:formatCode>0.0%</c:formatCode>
                <c:ptCount val="2"/>
                <c:pt idx="0" formatCode="General">
                  <c:v>1.2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68-431A-B49A-2CC351BFA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566080"/>
        <c:axId val="2028559008"/>
      </c:scatterChart>
      <c:valAx>
        <c:axId val="202856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净现值</a:t>
                </a:r>
              </a:p>
            </c:rich>
          </c:tx>
          <c:layout>
            <c:manualLayout>
              <c:xMode val="edge"/>
              <c:yMode val="edge"/>
              <c:x val="0.89617934147499745"/>
              <c:y val="0.89654360914196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8559008"/>
        <c:crosses val="autoZero"/>
        <c:crossBetween val="midCat"/>
        <c:majorUnit val="10"/>
      </c:valAx>
      <c:valAx>
        <c:axId val="2028559008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风险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856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B$4" inc="20" max="400" min="200" page="10" val="320"/>
</file>

<file path=xl/ctrlProps/ctrlProp2.xml><?xml version="1.0" encoding="utf-8"?>
<formControlPr xmlns="http://schemas.microsoft.com/office/spreadsheetml/2009/9/main" objectType="Spin" dx="26" fmlaLink="$B$3" inc="2" max="70" min="40" page="10" val="56"/>
</file>

<file path=xl/ctrlProps/ctrlProp3.xml><?xml version="1.0" encoding="utf-8"?>
<formControlPr xmlns="http://schemas.microsoft.com/office/spreadsheetml/2009/9/main" objectType="Spin" dx="31" fmlaLink="$F$28" inc="2" max="110" min="30" page="10" val="70"/>
</file>

<file path=xl/ctrlProps/ctrlProp4.xml><?xml version="1.0" encoding="utf-8"?>
<formControlPr xmlns="http://schemas.microsoft.com/office/spreadsheetml/2009/9/main" objectType="Spin" dx="26" fmlaLink="$B$4" inc="20" max="400" min="200" page="10" val="320"/>
</file>

<file path=xl/ctrlProps/ctrlProp5.xml><?xml version="1.0" encoding="utf-8"?>
<formControlPr xmlns="http://schemas.microsoft.com/office/spreadsheetml/2009/9/main" objectType="Spin" dx="26" fmlaLink="$B$3" inc="2" max="70" min="40" page="10" val="56"/>
</file>

<file path=xl/ctrlProps/ctrlProp6.xml><?xml version="1.0" encoding="utf-8"?>
<formControlPr xmlns="http://schemas.microsoft.com/office/spreadsheetml/2009/9/main" objectType="Spin" dx="31" fmlaLink="#REF!" max="10" min="1" page="10" val="0"/>
</file>

<file path=xl/ctrlProps/ctrlProp7.xml><?xml version="1.0" encoding="utf-8"?>
<formControlPr xmlns="http://schemas.microsoft.com/office/spreadsheetml/2009/9/main" objectType="Spin" dx="31" fmlaLink="$G$28" max="32" min="1" page="10" val="27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</xdr:row>
      <xdr:rowOff>21590</xdr:rowOff>
    </xdr:from>
    <xdr:to>
      <xdr:col>12</xdr:col>
      <xdr:colOff>480060</xdr:colOff>
      <xdr:row>17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1980" y="199390"/>
          <a:ext cx="7802880" cy="295021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CN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例</a:t>
          </a:r>
          <a:r>
            <a:rPr lang="en-AU" altLang="zh-CN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9-</a:t>
          </a:r>
          <a:r>
            <a:rPr lang="en-US" altLang="zh-CN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8】</a:t>
          </a:r>
          <a:r>
            <a:rPr lang="zh-CN" altLang="en-US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甲公司是一家制造业企业，产品市场需求处于上升阶段。为提高产能，公司拟新建一个生产车间。该车间运营期 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年，第一年收入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60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万元，之后每年收入较上年增加，增加率服从均值为</a:t>
          </a:r>
          <a:r>
            <a:rPr lang="en-AU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、标准差为</a:t>
          </a:r>
          <a:r>
            <a:rPr lang="en-AU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的正态分布，贴现率为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。有两 个方案可供选择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zh-CN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方案一：设备购置。预计购置成本 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320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万元，首年年初支付；设备维护费用第一年 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万元，之后每年较上一年增加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到期处置费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万元，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到期后出售设备的价格服从下表所示的离散分布。</a:t>
          </a:r>
          <a:endParaRPr lang="en-AU" altLang="zh-CN" sz="12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AU" altLang="zh-CN" sz="12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AU" altLang="zh-CN" sz="12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AU" altLang="zh-CN" sz="12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zh-CN" altLang="en-US" sz="12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方案二：设备租赁。租赁期 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年，租赁费每年 </a:t>
          </a:r>
          <a:r>
            <a:rPr lang="en-US" altLang="zh-C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56 </a:t>
          </a:r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万元。租赁公司负责设备的维护，不再另外收费，租赁期内不得撤租。</a:t>
          </a:r>
          <a:endParaRPr lang="en-US" altLang="zh-CN" sz="12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请计算两种方案的净现值，并基于净现值做出方案选择决策。进一步，考虑购置成本、租赁费在一定范围内变动情形下，如果公司有既定的目标净现值，如何做出投资方案的选择决策？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175260</xdr:colOff>
      <xdr:row>7</xdr:row>
      <xdr:rowOff>67310</xdr:rowOff>
    </xdr:from>
    <xdr:to>
      <xdr:col>8</xdr:col>
      <xdr:colOff>182880</xdr:colOff>
      <xdr:row>9</xdr:row>
      <xdr:rowOff>74930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" y="1347470"/>
          <a:ext cx="36652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156600</xdr:colOff>
      <xdr:row>2</xdr:row>
      <xdr:rowOff>50680</xdr:rowOff>
    </xdr:from>
    <xdr:to>
      <xdr:col>39</xdr:col>
      <xdr:colOff>326457</xdr:colOff>
      <xdr:row>34</xdr:row>
      <xdr:rowOff>36246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3320150" y="403105"/>
          <a:ext cx="9104307" cy="5638654"/>
          <a:chOff x="21932913" y="413741"/>
          <a:chExt cx="9646960" cy="579128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21932913" y="413741"/>
          <a:ext cx="9646960" cy="5791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0" name="Spinner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100-000006040000}"/>
                  </a:ext>
                </a:extLst>
              </xdr:cNvPr>
              <xdr:cNvSpPr/>
            </xdr:nvSpPr>
            <xdr:spPr bwMode="auto">
              <a:xfrm>
                <a:off x="22898539" y="1043838"/>
                <a:ext cx="371316" cy="30078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$A$29">
        <xdr:nvSpPr>
          <xdr:cNvPr id="5" name="文本框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23274212" y="1048592"/>
            <a:ext cx="1487654" cy="295400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1D3931D-CF6F-4C65-8080-422311882077}" type="TxLink">
              <a:rPr lang="zh-CN" alt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设备购置费=320万元</a:t>
            </a:fld>
            <a:endParaRPr lang="en-AU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1" name="Spinner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100-000007040000}"/>
                  </a:ext>
                </a:extLst>
              </xdr:cNvPr>
              <xdr:cNvSpPr/>
            </xdr:nvSpPr>
            <xdr:spPr bwMode="auto">
              <a:xfrm>
                <a:off x="25284685" y="1033839"/>
                <a:ext cx="339846" cy="31644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$A$30">
        <xdr:nvSpPr>
          <xdr:cNvPr id="6" name="文本框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5625223" y="1029716"/>
            <a:ext cx="1481726" cy="33208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E6C3620-8EA7-4BC8-B896-47B511931E86}" type="TxLink">
              <a:rPr lang="zh-CN" altLang="en-US" sz="1100" b="0" i="0" u="none" strike="noStrike">
                <a:solidFill>
                  <a:srgbClr val="000000"/>
                </a:solidFill>
                <a:latin typeface="等线"/>
                <a:ea typeface="等线"/>
                <a:cs typeface="Calibri"/>
              </a:rPr>
              <a:pPr/>
              <a:t>年租赁费=56万元</a:t>
            </a:fld>
            <a:endParaRPr lang="en-AU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3" name="Spinner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100-00003B040000}"/>
                  </a:ext>
                </a:extLst>
              </xdr:cNvPr>
              <xdr:cNvSpPr/>
            </xdr:nvSpPr>
            <xdr:spPr bwMode="auto">
              <a:xfrm>
                <a:off x="27484506" y="1060609"/>
                <a:ext cx="320115" cy="27470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$A$31">
        <xdr:nvSpPr>
          <xdr:cNvPr id="7" name="文本框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27794079" y="1030782"/>
            <a:ext cx="2491656" cy="48257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A6CE2C5C-2D25-4088-A920-2D15530D3A2E}" type="TxLink">
              <a:rPr lang="zh-CN" altLang="en-US" sz="1100" b="0" i="0" u="none" strike="noStrike">
                <a:solidFill>
                  <a:srgbClr val="000000"/>
                </a:solidFill>
                <a:latin typeface="等线"/>
                <a:ea typeface="等线"/>
              </a:rPr>
              <a:pPr/>
              <a:t>指定净现值=70万元时，方案一更可能实现指定净现值</a:t>
            </a:fld>
            <a:endParaRPr lang="zh-CN" altLang="en-US" sz="1100"/>
          </a:p>
        </xdr:txBody>
      </xdr:sp>
    </xdr:grpSp>
    <xdr:clientData/>
  </xdr:twoCellAnchor>
  <xdr:twoCellAnchor>
    <xdr:from>
      <xdr:col>26</xdr:col>
      <xdr:colOff>159014</xdr:colOff>
      <xdr:row>34</xdr:row>
      <xdr:rowOff>143543</xdr:rowOff>
    </xdr:from>
    <xdr:to>
      <xdr:col>40</xdr:col>
      <xdr:colOff>364457</xdr:colOff>
      <xdr:row>1024</xdr:row>
      <xdr:rowOff>154214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419100</xdr:colOff>
          <xdr:row>37</xdr:row>
          <xdr:rowOff>114300</xdr:rowOff>
        </xdr:from>
        <xdr:to>
          <xdr:col>29</xdr:col>
          <xdr:colOff>114300</xdr:colOff>
          <xdr:row>39</xdr:row>
          <xdr:rowOff>52388</xdr:rowOff>
        </xdr:to>
        <xdr:sp macro="" textlink="">
          <xdr:nvSpPr>
            <xdr:cNvPr id="1085" name="Spinner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29</xdr:col>
      <xdr:colOff>124587</xdr:colOff>
      <xdr:row>37</xdr:row>
      <xdr:rowOff>136501</xdr:rowOff>
    </xdr:from>
    <xdr:to>
      <xdr:col>31</xdr:col>
      <xdr:colOff>251442</xdr:colOff>
      <xdr:row>39</xdr:row>
      <xdr:rowOff>69829</xdr:rowOff>
    </xdr:to>
    <xdr:sp macro="" textlink="$A$29">
      <xdr:nvSpPr>
        <xdr:cNvPr id="13" name="文本框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22839444" y="6867501"/>
          <a:ext cx="1487569" cy="29618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D3931D-CF6F-4C65-8080-422311882077}" type="TxLink">
            <a:rPr lang="zh-CN" alt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设备购置费=320万元</a:t>
          </a:fld>
          <a:endParaRPr lang="en-AU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152400</xdr:colOff>
          <xdr:row>37</xdr:row>
          <xdr:rowOff>100013</xdr:rowOff>
        </xdr:from>
        <xdr:to>
          <xdr:col>32</xdr:col>
          <xdr:colOff>490538</xdr:colOff>
          <xdr:row>39</xdr:row>
          <xdr:rowOff>52388</xdr:rowOff>
        </xdr:to>
        <xdr:sp macro="" textlink="">
          <xdr:nvSpPr>
            <xdr:cNvPr id="1086" name="Spinner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32</xdr:col>
      <xdr:colOff>485409</xdr:colOff>
      <xdr:row>37</xdr:row>
      <xdr:rowOff>116862</xdr:rowOff>
    </xdr:from>
    <xdr:to>
      <xdr:col>34</xdr:col>
      <xdr:colOff>501914</xdr:colOff>
      <xdr:row>39</xdr:row>
      <xdr:rowOff>72635</xdr:rowOff>
    </xdr:to>
    <xdr:sp macro="" textlink="$A$30">
      <xdr:nvSpPr>
        <xdr:cNvPr id="15" name="文本框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25241338" y="6847862"/>
          <a:ext cx="1377219" cy="3186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D487ED-3758-452D-AEDD-80D5450D0E28}" type="TxLink">
            <a:rPr lang="zh-CN" altLang="en-US" sz="1100" b="0" i="0" u="none" strike="noStrike">
              <a:solidFill>
                <a:srgbClr val="000000"/>
              </a:solidFill>
              <a:latin typeface="等线"/>
              <a:ea typeface="等线"/>
              <a:cs typeface="Calibri"/>
            </a:rPr>
            <a:pPr/>
            <a:t>年租赁费=56万元</a:t>
          </a:fld>
          <a:endParaRPr lang="en-AU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35</xdr:col>
          <xdr:colOff>452438</xdr:colOff>
          <xdr:row>37</xdr:row>
          <xdr:rowOff>61913</xdr:rowOff>
        </xdr:from>
        <xdr:to>
          <xdr:col>36</xdr:col>
          <xdr:colOff>147638</xdr:colOff>
          <xdr:row>39</xdr:row>
          <xdr:rowOff>42863</xdr:rowOff>
        </xdr:to>
        <xdr:sp macro="" textlink="">
          <xdr:nvSpPr>
            <xdr:cNvPr id="1087" name="Spinner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36</xdr:col>
      <xdr:colOff>157841</xdr:colOff>
      <xdr:row>37</xdr:row>
      <xdr:rowOff>78014</xdr:rowOff>
    </xdr:from>
    <xdr:to>
      <xdr:col>39</xdr:col>
      <xdr:colOff>533400</xdr:colOff>
      <xdr:row>40</xdr:row>
      <xdr:rowOff>9071</xdr:rowOff>
    </xdr:to>
    <xdr:sp macro="" textlink="$A$32">
      <xdr:nvSpPr>
        <xdr:cNvPr id="2" name="文本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078698" y="6968671"/>
          <a:ext cx="2204359" cy="48622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A5AF45-307F-4F88-8649-1FA221765590}" type="TxLink">
            <a:rPr lang="zh-CN" altLang="en-US" sz="1100" b="0" i="0" u="none" strike="noStrike">
              <a:solidFill>
                <a:srgbClr val="000000"/>
              </a:solidFill>
              <a:latin typeface="等线"/>
              <a:ea typeface="等线"/>
            </a:rPr>
            <a:pPr/>
            <a:t>指定净现值=70万元时，方案一实现指定净现值的风险更低</a:t>
          </a:fld>
          <a:endParaRPr lang="en-US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61913</xdr:colOff>
          <xdr:row>27</xdr:row>
          <xdr:rowOff>4763</xdr:rowOff>
        </xdr:from>
        <xdr:to>
          <xdr:col>6</xdr:col>
          <xdr:colOff>228600</xdr:colOff>
          <xdr:row>28</xdr:row>
          <xdr:rowOff>0</xdr:rowOff>
        </xdr:to>
        <xdr:sp macro="" textlink="">
          <xdr:nvSpPr>
            <xdr:cNvPr id="1088" name="Spinner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0.35149</cdr:x>
      <cdr:y>0.02452</cdr:y>
    </cdr:from>
    <cdr:to>
      <cdr:x>0.64802</cdr:x>
      <cdr:y>0.09149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D73DA799-BB7B-4CC5-85B8-092D072EC181}"/>
            </a:ext>
          </a:extLst>
        </cdr:cNvPr>
        <cdr:cNvSpPr txBox="1"/>
      </cdr:nvSpPr>
      <cdr:spPr>
        <a:xfrm xmlns:a="http://schemas.openxmlformats.org/drawingml/2006/main">
          <a:off x="3415640" y="141989"/>
          <a:ext cx="2881595" cy="3878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zh-CN" altLang="en-US" sz="1400" b="1"/>
            <a:t>两种方案的净现值比较</a:t>
          </a:r>
          <a:endParaRPr lang="en-AU" sz="1100"/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"/>
  <sheetViews>
    <sheetView tabSelected="1" topLeftCell="B1" workbookViewId="0">
      <selection activeCell="G22" sqref="G22"/>
    </sheetView>
  </sheetViews>
  <sheetFormatPr defaultRowHeight="13.9" x14ac:dyDescent="0.4"/>
  <sheetData>
    <row r="20" spans="2:2" x14ac:dyDescent="0.4">
      <c r="B20" s="4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4"/>
  <sheetViews>
    <sheetView showGridLines="0" zoomScaleNormal="100" workbookViewId="0">
      <selection activeCell="H5" sqref="H5"/>
    </sheetView>
  </sheetViews>
  <sheetFormatPr defaultRowHeight="13.9" x14ac:dyDescent="0.4"/>
  <cols>
    <col min="1" max="1" width="19" customWidth="1"/>
    <col min="2" max="2" width="6.06640625" customWidth="1"/>
    <col min="3" max="3" width="9.3984375" customWidth="1"/>
    <col min="4" max="4" width="9.73046875" customWidth="1"/>
    <col min="5" max="5" width="15.73046875" customWidth="1"/>
    <col min="6" max="6" width="6.3984375" customWidth="1"/>
    <col min="7" max="7" width="7.33203125" customWidth="1"/>
    <col min="8" max="8" width="5.265625" customWidth="1"/>
    <col min="9" max="9" width="6.06640625" customWidth="1"/>
    <col min="10" max="12" width="5.9296875" customWidth="1"/>
    <col min="13" max="13" width="3.3984375" customWidth="1"/>
    <col min="14" max="14" width="5.6640625" customWidth="1"/>
    <col min="15" max="15" width="7" customWidth="1"/>
    <col min="16" max="16" width="7.33203125" customWidth="1"/>
    <col min="17" max="17" width="2.6640625" customWidth="1"/>
    <col min="18" max="18" width="4.06640625" customWidth="1"/>
    <col min="19" max="19" width="6.265625" customWidth="1"/>
    <col min="20" max="20" width="7.3984375" customWidth="1"/>
    <col min="21" max="21" width="6.265625" customWidth="1"/>
    <col min="22" max="22" width="7.33203125" customWidth="1"/>
    <col min="23" max="23" width="6.06640625" customWidth="1"/>
    <col min="25" max="113" width="8.9296875" customWidth="1"/>
  </cols>
  <sheetData>
    <row r="1" spans="1:23" x14ac:dyDescent="0.4">
      <c r="E1" s="5" t="s">
        <v>51</v>
      </c>
      <c r="N1" s="5" t="s">
        <v>52</v>
      </c>
      <c r="O1" s="5"/>
      <c r="R1" s="18" t="s">
        <v>53</v>
      </c>
    </row>
    <row r="2" spans="1:23" x14ac:dyDescent="0.4">
      <c r="A2" s="5" t="s">
        <v>45</v>
      </c>
      <c r="B2" s="6"/>
      <c r="E2" s="1"/>
      <c r="F2" s="25" t="s">
        <v>6</v>
      </c>
      <c r="G2" s="25" t="s">
        <v>26</v>
      </c>
      <c r="H2" s="25" t="s">
        <v>27</v>
      </c>
      <c r="I2" s="25" t="s">
        <v>28</v>
      </c>
      <c r="J2" s="25" t="s">
        <v>29</v>
      </c>
      <c r="K2" s="25" t="s">
        <v>30</v>
      </c>
      <c r="L2" s="25" t="s">
        <v>31</v>
      </c>
      <c r="O2" s="62" t="s">
        <v>0</v>
      </c>
      <c r="P2" s="63"/>
      <c r="R2" s="64" t="s">
        <v>22</v>
      </c>
      <c r="S2" s="64" t="s">
        <v>23</v>
      </c>
      <c r="T2" s="61" t="s">
        <v>18</v>
      </c>
      <c r="U2" s="61"/>
      <c r="V2" s="60" t="s">
        <v>10</v>
      </c>
      <c r="W2" s="60"/>
    </row>
    <row r="3" spans="1:23" x14ac:dyDescent="0.4">
      <c r="A3" s="33" t="s">
        <v>25</v>
      </c>
      <c r="B3" s="33">
        <v>56</v>
      </c>
      <c r="C3" s="39"/>
      <c r="D3" s="39"/>
      <c r="E3" s="34" t="s">
        <v>33</v>
      </c>
      <c r="F3" s="33"/>
      <c r="G3" s="33"/>
      <c r="H3" s="33"/>
      <c r="I3" s="33"/>
      <c r="J3" s="33"/>
      <c r="K3" s="33"/>
      <c r="L3" s="33"/>
      <c r="N3" s="26" t="s">
        <v>19</v>
      </c>
      <c r="O3" s="26" t="s">
        <v>18</v>
      </c>
      <c r="P3" s="26" t="s">
        <v>10</v>
      </c>
      <c r="R3" s="65"/>
      <c r="S3" s="65"/>
      <c r="T3" s="35" t="s">
        <v>24</v>
      </c>
      <c r="U3" s="36" t="s">
        <v>34</v>
      </c>
      <c r="V3" s="35" t="s">
        <v>24</v>
      </c>
      <c r="W3" s="37" t="s">
        <v>34</v>
      </c>
    </row>
    <row r="4" spans="1:23" x14ac:dyDescent="0.4">
      <c r="A4" s="33" t="s">
        <v>17</v>
      </c>
      <c r="B4" s="33">
        <v>320</v>
      </c>
      <c r="C4" s="39"/>
      <c r="D4" s="39"/>
      <c r="E4" s="33" t="s">
        <v>2</v>
      </c>
      <c r="F4" s="33">
        <f>-B4</f>
        <v>-320</v>
      </c>
      <c r="G4" s="33"/>
      <c r="H4" s="33"/>
      <c r="I4" s="33"/>
      <c r="J4" s="33"/>
      <c r="K4" s="33"/>
      <c r="L4" s="33"/>
      <c r="N4" s="21"/>
      <c r="O4" s="20">
        <f ca="1">F10</f>
        <v>44.426944442354625</v>
      </c>
      <c r="P4" s="20">
        <f ca="1">F17</f>
        <v>30.719622506528111</v>
      </c>
      <c r="R4" s="16">
        <v>1</v>
      </c>
      <c r="S4" s="53">
        <f>MIN(C24:D24)-C26/2</f>
        <v>17.80221145254356</v>
      </c>
      <c r="T4" s="17">
        <f>COUNTIF($O$5:$O$1004,"&gt;"&amp;S4)/1000</f>
        <v>1</v>
      </c>
      <c r="U4" s="29">
        <f>1-T4</f>
        <v>0</v>
      </c>
      <c r="V4" s="17">
        <f>COUNTIF($P$5:$P$1004,"&gt;"&amp;S4)/1000</f>
        <v>1</v>
      </c>
      <c r="W4" s="28">
        <f t="shared" ref="W4:W35" si="0">1-V4</f>
        <v>0</v>
      </c>
    </row>
    <row r="5" spans="1:23" x14ac:dyDescent="0.4">
      <c r="A5" s="33" t="s">
        <v>16</v>
      </c>
      <c r="B5" s="23">
        <v>0.05</v>
      </c>
      <c r="C5" s="39"/>
      <c r="D5" s="39"/>
      <c r="E5" s="33" t="s">
        <v>3</v>
      </c>
      <c r="F5" s="33"/>
      <c r="G5" s="33">
        <f>-B9</f>
        <v>-2</v>
      </c>
      <c r="H5" s="33">
        <f>G5*(1+$B$5)</f>
        <v>-2.1</v>
      </c>
      <c r="I5" s="33">
        <f>H5*(1+$B$5)</f>
        <v>-2.2050000000000001</v>
      </c>
      <c r="J5" s="33">
        <f>I5*(1+$B$5)</f>
        <v>-2.3152500000000003</v>
      </c>
      <c r="K5" s="33">
        <f>J5*(1+$B$5)</f>
        <v>-2.4310125000000005</v>
      </c>
      <c r="L5" s="33">
        <f>K5*(1+$B$5)</f>
        <v>-2.5525631250000007</v>
      </c>
      <c r="N5" s="22">
        <v>1</v>
      </c>
      <c r="O5" s="19">
        <f t="dataTable" ref="O5:P1004" dt2D="0" dtr="0" r1="Q3" ca="1"/>
        <v>46.804915822164617</v>
      </c>
      <c r="P5" s="19">
        <v>33.097593886338032</v>
      </c>
      <c r="R5" s="14">
        <v>2</v>
      </c>
      <c r="S5" s="53">
        <f>S4+$C$26</f>
        <v>19.80221145254356</v>
      </c>
      <c r="T5" s="17">
        <f t="shared" ref="T5:T35" si="1">COUNTIF($O$5:$O$1004,"&gt;"&amp;S5)/1000</f>
        <v>1</v>
      </c>
      <c r="U5" s="29">
        <f t="shared" ref="U5:U35" si="2">1-T5</f>
        <v>0</v>
      </c>
      <c r="V5" s="17">
        <f t="shared" ref="V5:V35" si="3">COUNTIF($P$5:$P$1004,"&gt;"&amp;S5)/1000</f>
        <v>0.998</v>
      </c>
      <c r="W5" s="28">
        <f t="shared" si="0"/>
        <v>2.0000000000000018E-3</v>
      </c>
    </row>
    <row r="6" spans="1:23" x14ac:dyDescent="0.4">
      <c r="A6" s="33" t="s">
        <v>11</v>
      </c>
      <c r="B6" s="23">
        <v>0.06</v>
      </c>
      <c r="C6" s="39"/>
      <c r="D6" s="39"/>
      <c r="E6" s="33" t="s">
        <v>9</v>
      </c>
      <c r="F6" s="33"/>
      <c r="G6" s="33">
        <f>B11</f>
        <v>60</v>
      </c>
      <c r="H6" s="33">
        <f ca="1">G6*(1+_xlfn.NORM.INV(RAND(),$B$7,$B$8)/100)</f>
        <v>62.829719883272958</v>
      </c>
      <c r="I6" s="33">
        <f ca="1">H6*(1+_xlfn.NORM.INV(RAND(),$B$7,$B$8)/100)</f>
        <v>63.824076628345303</v>
      </c>
      <c r="J6" s="33">
        <f ca="1">I6*(1+_xlfn.NORM.INV(RAND(),$B$7,$B$8)/100)</f>
        <v>65.337271129190171</v>
      </c>
      <c r="K6" s="33">
        <f ca="1">J6*(1+_xlfn.NORM.INV(RAND(),$B$7,$B$8)/100)</f>
        <v>70.59782262202053</v>
      </c>
      <c r="L6" s="33">
        <f ca="1">K6*(1+_xlfn.NORM.INV(RAND(),$B$7,$B$8)/100)</f>
        <v>73.754525357164582</v>
      </c>
      <c r="N6" s="22">
        <v>2</v>
      </c>
      <c r="O6" s="19">
        <v>44.044078839353404</v>
      </c>
      <c r="P6" s="19">
        <v>37.386362307923591</v>
      </c>
      <c r="R6" s="14">
        <v>3</v>
      </c>
      <c r="S6" s="53">
        <f t="shared" ref="S6:S34" si="4">S5+$C$26</f>
        <v>21.80221145254356</v>
      </c>
      <c r="T6" s="17">
        <f t="shared" si="1"/>
        <v>1</v>
      </c>
      <c r="U6" s="29">
        <f t="shared" si="2"/>
        <v>0</v>
      </c>
      <c r="V6" s="17">
        <f t="shared" si="3"/>
        <v>0.997</v>
      </c>
      <c r="W6" s="28">
        <f t="shared" si="0"/>
        <v>3.0000000000000027E-3</v>
      </c>
    </row>
    <row r="7" spans="1:23" x14ac:dyDescent="0.4">
      <c r="A7" s="33" t="s">
        <v>12</v>
      </c>
      <c r="B7" s="40">
        <v>5</v>
      </c>
      <c r="C7" s="39"/>
      <c r="D7" s="39"/>
      <c r="E7" s="33" t="s">
        <v>5</v>
      </c>
      <c r="F7" s="33"/>
      <c r="G7" s="33"/>
      <c r="H7" s="33"/>
      <c r="I7" s="33"/>
      <c r="J7" s="33"/>
      <c r="K7" s="33"/>
      <c r="L7" s="33">
        <f ca="1">INDEX(A15:A19,MATCH(RAND(),C14:C19,1))</f>
        <v>80</v>
      </c>
      <c r="N7" s="22">
        <v>3</v>
      </c>
      <c r="O7" s="19">
        <v>46.615302430348493</v>
      </c>
      <c r="P7" s="19">
        <v>47.007191303315409</v>
      </c>
      <c r="R7" s="14">
        <v>4</v>
      </c>
      <c r="S7" s="53">
        <f t="shared" si="4"/>
        <v>23.80221145254356</v>
      </c>
      <c r="T7" s="17">
        <f t="shared" si="1"/>
        <v>0.998</v>
      </c>
      <c r="U7" s="29">
        <f t="shared" si="2"/>
        <v>2.0000000000000018E-3</v>
      </c>
      <c r="V7" s="17">
        <f t="shared" si="3"/>
        <v>0.98799999999999999</v>
      </c>
      <c r="W7" s="28">
        <f t="shared" si="0"/>
        <v>1.2000000000000011E-2</v>
      </c>
    </row>
    <row r="8" spans="1:23" x14ac:dyDescent="0.4">
      <c r="A8" s="33" t="s">
        <v>15</v>
      </c>
      <c r="B8" s="33">
        <v>2</v>
      </c>
      <c r="C8" s="39"/>
      <c r="D8" s="39"/>
      <c r="E8" s="33" t="s">
        <v>7</v>
      </c>
      <c r="F8" s="33"/>
      <c r="G8" s="33"/>
      <c r="H8" s="33"/>
      <c r="I8" s="33"/>
      <c r="J8" s="33"/>
      <c r="K8" s="33"/>
      <c r="L8" s="33">
        <f>-B10</f>
        <v>-5</v>
      </c>
      <c r="N8" s="22">
        <v>4</v>
      </c>
      <c r="O8" s="19">
        <v>53.782241977349429</v>
      </c>
      <c r="P8" s="19">
        <v>40.074920041522816</v>
      </c>
      <c r="R8" s="14">
        <v>5</v>
      </c>
      <c r="S8" s="53">
        <f t="shared" si="4"/>
        <v>25.80221145254356</v>
      </c>
      <c r="T8" s="17">
        <f t="shared" si="1"/>
        <v>0.99299999999999999</v>
      </c>
      <c r="U8" s="29">
        <f t="shared" si="2"/>
        <v>7.0000000000000062E-3</v>
      </c>
      <c r="V8" s="17">
        <f t="shared" si="3"/>
        <v>0.97199999999999998</v>
      </c>
      <c r="W8" s="28">
        <f t="shared" si="0"/>
        <v>2.8000000000000025E-2</v>
      </c>
    </row>
    <row r="9" spans="1:23" x14ac:dyDescent="0.4">
      <c r="A9" s="57" t="s">
        <v>46</v>
      </c>
      <c r="B9" s="33">
        <v>2</v>
      </c>
      <c r="C9" s="39"/>
      <c r="D9" s="39"/>
      <c r="E9" s="33" t="s">
        <v>8</v>
      </c>
      <c r="F9" s="33">
        <f>SUM(F4:F8)</f>
        <v>-320</v>
      </c>
      <c r="G9" s="33">
        <f t="shared" ref="G9:L9" si="5">SUM(G4:G8)</f>
        <v>58</v>
      </c>
      <c r="H9" s="33">
        <f t="shared" ca="1" si="5"/>
        <v>60.729719883272956</v>
      </c>
      <c r="I9" s="33">
        <f t="shared" ca="1" si="5"/>
        <v>61.619076628345304</v>
      </c>
      <c r="J9" s="33">
        <f t="shared" ca="1" si="5"/>
        <v>63.022021129190172</v>
      </c>
      <c r="K9" s="33">
        <f t="shared" ca="1" si="5"/>
        <v>68.166810122020536</v>
      </c>
      <c r="L9" s="33">
        <f t="shared" ca="1" si="5"/>
        <v>146.20196223216459</v>
      </c>
      <c r="N9" s="22">
        <v>5</v>
      </c>
      <c r="O9" s="19">
        <v>62.228366280496232</v>
      </c>
      <c r="P9" s="19">
        <v>34.421833535876118</v>
      </c>
      <c r="R9" s="14">
        <v>6</v>
      </c>
      <c r="S9" s="53">
        <f t="shared" si="4"/>
        <v>27.80221145254356</v>
      </c>
      <c r="T9" s="17">
        <f t="shared" si="1"/>
        <v>0.98899999999999999</v>
      </c>
      <c r="U9" s="29">
        <f t="shared" si="2"/>
        <v>1.100000000000001E-2</v>
      </c>
      <c r="V9" s="17">
        <f t="shared" si="3"/>
        <v>0.95</v>
      </c>
      <c r="W9" s="28">
        <f t="shared" si="0"/>
        <v>5.0000000000000044E-2</v>
      </c>
    </row>
    <row r="10" spans="1:23" x14ac:dyDescent="0.4">
      <c r="A10" s="57" t="s">
        <v>47</v>
      </c>
      <c r="B10" s="33">
        <v>5</v>
      </c>
      <c r="C10" s="58"/>
      <c r="D10" s="39"/>
      <c r="E10" s="33" t="s">
        <v>0</v>
      </c>
      <c r="F10" s="42">
        <f ca="1">F9+NPV(B6,G9:L9)</f>
        <v>44.426944442354625</v>
      </c>
      <c r="G10" s="33"/>
      <c r="H10" s="33"/>
      <c r="I10" s="33"/>
      <c r="J10" s="33"/>
      <c r="K10" s="33"/>
      <c r="L10" s="33"/>
      <c r="N10" s="22">
        <v>6</v>
      </c>
      <c r="O10" s="19">
        <v>40.348158069505189</v>
      </c>
      <c r="P10" s="19">
        <v>40.740046942472162</v>
      </c>
      <c r="R10" s="14">
        <v>7</v>
      </c>
      <c r="S10" s="53">
        <f t="shared" si="4"/>
        <v>29.80221145254356</v>
      </c>
      <c r="T10" s="17">
        <f t="shared" si="1"/>
        <v>0.98099999999999998</v>
      </c>
      <c r="U10" s="29">
        <f t="shared" si="2"/>
        <v>1.9000000000000017E-2</v>
      </c>
      <c r="V10" s="17">
        <f t="shared" si="3"/>
        <v>0.90700000000000003</v>
      </c>
      <c r="W10" s="28">
        <f t="shared" si="0"/>
        <v>9.2999999999999972E-2</v>
      </c>
    </row>
    <row r="11" spans="1:23" x14ac:dyDescent="0.4">
      <c r="A11" s="57" t="s">
        <v>50</v>
      </c>
      <c r="B11" s="33">
        <v>60</v>
      </c>
      <c r="C11" s="58"/>
      <c r="D11" s="39"/>
      <c r="E11" s="33" t="s">
        <v>1</v>
      </c>
      <c r="F11" s="23">
        <f ca="1">IRR(F9:L9)</f>
        <v>9.7304468154164381E-2</v>
      </c>
      <c r="G11" s="33"/>
      <c r="H11" s="33"/>
      <c r="I11" s="33"/>
      <c r="J11" s="33"/>
      <c r="K11" s="33"/>
      <c r="L11" s="33"/>
      <c r="N11" s="22">
        <v>7</v>
      </c>
      <c r="O11" s="19">
        <v>36.30680048120189</v>
      </c>
      <c r="P11" s="19">
        <v>36.698689354168835</v>
      </c>
      <c r="R11" s="14">
        <v>8</v>
      </c>
      <c r="S11" s="53">
        <f t="shared" si="4"/>
        <v>31.80221145254356</v>
      </c>
      <c r="T11" s="17">
        <f t="shared" si="1"/>
        <v>0.97299999999999998</v>
      </c>
      <c r="U11" s="29">
        <f t="shared" si="2"/>
        <v>2.7000000000000024E-2</v>
      </c>
      <c r="V11" s="17">
        <f t="shared" si="3"/>
        <v>0.84799999999999998</v>
      </c>
      <c r="W11" s="28">
        <f t="shared" si="0"/>
        <v>0.15200000000000002</v>
      </c>
    </row>
    <row r="12" spans="1:23" x14ac:dyDescent="0.4">
      <c r="A12" s="41" t="s">
        <v>13</v>
      </c>
      <c r="B12" s="54"/>
      <c r="C12" s="39"/>
      <c r="D12" s="39"/>
      <c r="E12" s="59"/>
      <c r="F12" s="59"/>
      <c r="G12" s="59"/>
      <c r="H12" s="59"/>
      <c r="I12" s="59"/>
      <c r="J12" s="59"/>
      <c r="K12" s="59"/>
      <c r="L12" s="59"/>
      <c r="M12" s="2"/>
      <c r="N12" s="22">
        <v>8</v>
      </c>
      <c r="O12" s="19">
        <v>60.604983965736949</v>
      </c>
      <c r="P12" s="19">
        <v>39.848056625513607</v>
      </c>
      <c r="R12" s="14">
        <v>9</v>
      </c>
      <c r="S12" s="53">
        <f t="shared" si="4"/>
        <v>33.80221145254356</v>
      </c>
      <c r="T12" s="17">
        <f t="shared" si="1"/>
        <v>0.96099999999999997</v>
      </c>
      <c r="U12" s="29">
        <f t="shared" si="2"/>
        <v>3.9000000000000035E-2</v>
      </c>
      <c r="V12" s="17">
        <f t="shared" si="3"/>
        <v>0.77300000000000002</v>
      </c>
      <c r="W12" s="28">
        <f t="shared" si="0"/>
        <v>0.22699999999999998</v>
      </c>
    </row>
    <row r="13" spans="1:23" x14ac:dyDescent="0.4">
      <c r="A13" s="43" t="s">
        <v>14</v>
      </c>
      <c r="B13" s="43" t="s">
        <v>48</v>
      </c>
      <c r="C13" s="43" t="s">
        <v>49</v>
      </c>
      <c r="D13" s="39"/>
      <c r="E13" s="34" t="s">
        <v>32</v>
      </c>
      <c r="F13" s="33"/>
      <c r="G13" s="33"/>
      <c r="H13" s="33"/>
      <c r="I13" s="33"/>
      <c r="J13" s="33"/>
      <c r="K13" s="33"/>
      <c r="L13" s="33"/>
      <c r="N13" s="22">
        <v>9</v>
      </c>
      <c r="O13" s="19">
        <v>44.394668176608036</v>
      </c>
      <c r="P13" s="19">
        <v>37.736951645178294</v>
      </c>
      <c r="R13" s="14">
        <v>10</v>
      </c>
      <c r="S13" s="53">
        <f t="shared" si="4"/>
        <v>35.80221145254356</v>
      </c>
      <c r="T13" s="17">
        <f t="shared" si="1"/>
        <v>0.93</v>
      </c>
      <c r="U13" s="29">
        <f t="shared" si="2"/>
        <v>6.9999999999999951E-2</v>
      </c>
      <c r="V13" s="17">
        <f t="shared" si="3"/>
        <v>0.67300000000000004</v>
      </c>
      <c r="W13" s="28">
        <f t="shared" si="0"/>
        <v>0.32699999999999996</v>
      </c>
    </row>
    <row r="14" spans="1:23" x14ac:dyDescent="0.4">
      <c r="A14" s="43"/>
      <c r="B14" s="43"/>
      <c r="C14" s="43">
        <v>0</v>
      </c>
      <c r="D14" s="39"/>
      <c r="E14" s="33" t="s">
        <v>4</v>
      </c>
      <c r="F14" s="33">
        <f t="shared" ref="F14:K14" si="6">-$B$3</f>
        <v>-56</v>
      </c>
      <c r="G14" s="33">
        <f t="shared" si="6"/>
        <v>-56</v>
      </c>
      <c r="H14" s="33">
        <f t="shared" si="6"/>
        <v>-56</v>
      </c>
      <c r="I14" s="33">
        <f t="shared" si="6"/>
        <v>-56</v>
      </c>
      <c r="J14" s="33">
        <f t="shared" si="6"/>
        <v>-56</v>
      </c>
      <c r="K14" s="33">
        <f t="shared" si="6"/>
        <v>-56</v>
      </c>
      <c r="L14" s="33"/>
      <c r="N14" s="22">
        <v>10</v>
      </c>
      <c r="O14" s="19">
        <v>35.4561970744669</v>
      </c>
      <c r="P14" s="19">
        <v>28.798480543037101</v>
      </c>
      <c r="R14" s="14">
        <v>11</v>
      </c>
      <c r="S14" s="53">
        <f t="shared" si="4"/>
        <v>37.80221145254356</v>
      </c>
      <c r="T14" s="17">
        <f t="shared" si="1"/>
        <v>0.89500000000000002</v>
      </c>
      <c r="U14" s="29">
        <f t="shared" si="2"/>
        <v>0.10499999999999998</v>
      </c>
      <c r="V14" s="17">
        <f t="shared" si="3"/>
        <v>0.58099999999999996</v>
      </c>
      <c r="W14" s="28">
        <f t="shared" si="0"/>
        <v>0.41900000000000004</v>
      </c>
    </row>
    <row r="15" spans="1:23" x14ac:dyDescent="0.4">
      <c r="A15" s="43">
        <v>60</v>
      </c>
      <c r="B15" s="44">
        <v>0.15</v>
      </c>
      <c r="C15" s="44">
        <f>B15+C14</f>
        <v>0.15</v>
      </c>
      <c r="D15" s="39"/>
      <c r="E15" s="33" t="s">
        <v>9</v>
      </c>
      <c r="F15" s="33"/>
      <c r="G15" s="33">
        <f>B11</f>
        <v>60</v>
      </c>
      <c r="H15" s="33">
        <f ca="1">H6</f>
        <v>62.829719883272958</v>
      </c>
      <c r="I15" s="33">
        <f t="shared" ref="I15:L15" ca="1" si="7">I6</f>
        <v>63.824076628345303</v>
      </c>
      <c r="J15" s="33">
        <f t="shared" ca="1" si="7"/>
        <v>65.337271129190171</v>
      </c>
      <c r="K15" s="33">
        <f t="shared" ca="1" si="7"/>
        <v>70.59782262202053</v>
      </c>
      <c r="L15" s="33">
        <f t="shared" ca="1" si="7"/>
        <v>73.754525357164582</v>
      </c>
      <c r="N15" s="22">
        <v>11</v>
      </c>
      <c r="O15" s="19">
        <v>36.862705201773792</v>
      </c>
      <c r="P15" s="19">
        <v>30.204988670344022</v>
      </c>
      <c r="R15" s="14">
        <v>12</v>
      </c>
      <c r="S15" s="53">
        <f t="shared" si="4"/>
        <v>39.80221145254356</v>
      </c>
      <c r="T15" s="17">
        <f t="shared" si="1"/>
        <v>0.85499999999999998</v>
      </c>
      <c r="U15" s="29">
        <f t="shared" si="2"/>
        <v>0.14500000000000002</v>
      </c>
      <c r="V15" s="17">
        <f t="shared" si="3"/>
        <v>0.48399999999999999</v>
      </c>
      <c r="W15" s="28">
        <f t="shared" si="0"/>
        <v>0.51600000000000001</v>
      </c>
    </row>
    <row r="16" spans="1:23" x14ac:dyDescent="0.4">
      <c r="A16" s="43">
        <v>70</v>
      </c>
      <c r="B16" s="44">
        <v>0.25</v>
      </c>
      <c r="C16" s="44">
        <f t="shared" ref="C16:C19" si="8">B16+C15</f>
        <v>0.4</v>
      </c>
      <c r="D16" s="39"/>
      <c r="E16" s="33" t="s">
        <v>8</v>
      </c>
      <c r="F16" s="33">
        <f>SUM(F14:F15)</f>
        <v>-56</v>
      </c>
      <c r="G16" s="33">
        <f t="shared" ref="G16:L16" si="9">SUM(G14:G15)</f>
        <v>4</v>
      </c>
      <c r="H16" s="33">
        <f t="shared" ca="1" si="9"/>
        <v>6.8297198832729578</v>
      </c>
      <c r="I16" s="33">
        <f t="shared" ca="1" si="9"/>
        <v>7.8240766283453027</v>
      </c>
      <c r="J16" s="33">
        <f t="shared" ca="1" si="9"/>
        <v>9.3372711291901709</v>
      </c>
      <c r="K16" s="33">
        <f t="shared" ca="1" si="9"/>
        <v>14.59782262202053</v>
      </c>
      <c r="L16" s="33">
        <f t="shared" ca="1" si="9"/>
        <v>73.754525357164582</v>
      </c>
      <c r="N16" s="22">
        <v>12</v>
      </c>
      <c r="O16" s="19">
        <v>56.548212362440552</v>
      </c>
      <c r="P16" s="19">
        <v>42.840890426613939</v>
      </c>
      <c r="R16" s="14">
        <v>13</v>
      </c>
      <c r="S16" s="53">
        <f t="shared" si="4"/>
        <v>41.80221145254356</v>
      </c>
      <c r="T16" s="17">
        <f t="shared" si="1"/>
        <v>0.80900000000000005</v>
      </c>
      <c r="U16" s="29">
        <f t="shared" si="2"/>
        <v>0.19099999999999995</v>
      </c>
      <c r="V16" s="17">
        <f t="shared" si="3"/>
        <v>0.38800000000000001</v>
      </c>
      <c r="W16" s="28">
        <f t="shared" si="0"/>
        <v>0.61199999999999999</v>
      </c>
    </row>
    <row r="17" spans="1:23" x14ac:dyDescent="0.4">
      <c r="A17" s="43">
        <v>80</v>
      </c>
      <c r="B17" s="44">
        <v>0.35</v>
      </c>
      <c r="C17" s="44">
        <f t="shared" si="8"/>
        <v>0.75</v>
      </c>
      <c r="D17" s="39"/>
      <c r="E17" s="33" t="s">
        <v>0</v>
      </c>
      <c r="F17" s="42">
        <f ca="1">F16+NPV(B6,G16:L16)</f>
        <v>30.719622506528111</v>
      </c>
      <c r="G17" s="33"/>
      <c r="H17" s="33"/>
      <c r="I17" s="33"/>
      <c r="J17" s="33"/>
      <c r="K17" s="33"/>
      <c r="L17" s="33"/>
      <c r="N17" s="22">
        <v>13</v>
      </c>
      <c r="O17" s="19">
        <v>43.392659256992772</v>
      </c>
      <c r="P17" s="19">
        <v>36.734942725562945</v>
      </c>
      <c r="R17" s="14">
        <v>14</v>
      </c>
      <c r="S17" s="53">
        <f t="shared" si="4"/>
        <v>43.80221145254356</v>
      </c>
      <c r="T17" s="17">
        <f t="shared" si="1"/>
        <v>0.73699999999999999</v>
      </c>
      <c r="U17" s="29">
        <f t="shared" si="2"/>
        <v>0.26300000000000001</v>
      </c>
      <c r="V17" s="17">
        <f t="shared" si="3"/>
        <v>0.28799999999999998</v>
      </c>
      <c r="W17" s="28">
        <f t="shared" si="0"/>
        <v>0.71199999999999997</v>
      </c>
    </row>
    <row r="18" spans="1:23" x14ac:dyDescent="0.4">
      <c r="A18" s="43">
        <v>90</v>
      </c>
      <c r="B18" s="44">
        <v>0.15</v>
      </c>
      <c r="C18" s="44">
        <f t="shared" si="8"/>
        <v>0.9</v>
      </c>
      <c r="D18" s="45"/>
      <c r="E18" s="33" t="s">
        <v>1</v>
      </c>
      <c r="F18" s="23">
        <f ca="1">IRR(F16:L16)</f>
        <v>0.15963140223960837</v>
      </c>
      <c r="G18" s="33"/>
      <c r="H18" s="33"/>
      <c r="I18" s="33"/>
      <c r="J18" s="33"/>
      <c r="K18" s="33"/>
      <c r="L18" s="33"/>
      <c r="N18" s="22">
        <v>14</v>
      </c>
      <c r="O18" s="19">
        <v>44.158384265784491</v>
      </c>
      <c r="P18" s="19">
        <v>44.550273138751493</v>
      </c>
      <c r="R18" s="14">
        <v>15</v>
      </c>
      <c r="S18" s="53">
        <f t="shared" si="4"/>
        <v>45.80221145254356</v>
      </c>
      <c r="T18" s="17">
        <f t="shared" si="1"/>
        <v>0.67900000000000005</v>
      </c>
      <c r="U18" s="29">
        <f t="shared" si="2"/>
        <v>0.32099999999999995</v>
      </c>
      <c r="V18" s="17">
        <f t="shared" si="3"/>
        <v>0.21</v>
      </c>
      <c r="W18" s="28">
        <f t="shared" si="0"/>
        <v>0.79</v>
      </c>
    </row>
    <row r="19" spans="1:23" x14ac:dyDescent="0.4">
      <c r="A19" s="43">
        <v>100</v>
      </c>
      <c r="B19" s="44">
        <v>0.1</v>
      </c>
      <c r="C19" s="44">
        <f t="shared" si="8"/>
        <v>1</v>
      </c>
      <c r="D19" s="45"/>
      <c r="E19" s="39"/>
      <c r="F19" s="39"/>
      <c r="G19" s="39"/>
      <c r="H19" s="39"/>
      <c r="I19" s="39"/>
      <c r="J19" s="39"/>
      <c r="K19" s="39"/>
      <c r="L19" s="39"/>
      <c r="N19" s="22">
        <v>15</v>
      </c>
      <c r="O19" s="19">
        <v>59.307192651225307</v>
      </c>
      <c r="P19" s="19">
        <v>38.550265311001937</v>
      </c>
      <c r="R19" s="14">
        <v>16</v>
      </c>
      <c r="S19" s="53">
        <f t="shared" si="4"/>
        <v>47.80221145254356</v>
      </c>
      <c r="T19" s="17">
        <f t="shared" si="1"/>
        <v>0.61399999999999999</v>
      </c>
      <c r="U19" s="29">
        <f t="shared" si="2"/>
        <v>0.38600000000000001</v>
      </c>
      <c r="V19" s="17">
        <f t="shared" si="3"/>
        <v>0.14799999999999999</v>
      </c>
      <c r="W19" s="28">
        <f t="shared" si="0"/>
        <v>0.85199999999999998</v>
      </c>
    </row>
    <row r="20" spans="1:23" x14ac:dyDescent="0.4">
      <c r="A20" s="7" t="s">
        <v>55</v>
      </c>
      <c r="B20" s="8"/>
      <c r="C20" s="12" t="s">
        <v>18</v>
      </c>
      <c r="D20" s="12" t="s">
        <v>10</v>
      </c>
      <c r="N20" s="22">
        <v>16</v>
      </c>
      <c r="O20" s="19">
        <v>62.523694963546461</v>
      </c>
      <c r="P20" s="19">
        <v>48.816373027719877</v>
      </c>
      <c r="R20" s="14">
        <v>17</v>
      </c>
      <c r="S20" s="53">
        <f t="shared" si="4"/>
        <v>49.80221145254356</v>
      </c>
      <c r="T20" s="17">
        <f t="shared" si="1"/>
        <v>0.55200000000000005</v>
      </c>
      <c r="U20" s="29">
        <f t="shared" si="2"/>
        <v>0.44799999999999995</v>
      </c>
      <c r="V20" s="17">
        <f t="shared" si="3"/>
        <v>8.7999999999999995E-2</v>
      </c>
      <c r="W20" s="28">
        <f t="shared" si="0"/>
        <v>0.91200000000000003</v>
      </c>
    </row>
    <row r="21" spans="1:23" x14ac:dyDescent="0.4">
      <c r="A21" s="9" t="s">
        <v>35</v>
      </c>
      <c r="B21" s="10"/>
      <c r="C21" s="24">
        <f>AVERAGE(O7:O1006)</f>
        <v>51.631698884255989</v>
      </c>
      <c r="D21" s="24">
        <f>AVERAGE(P7:P1006)</f>
        <v>39.598481638651904</v>
      </c>
      <c r="N21" s="22">
        <v>17</v>
      </c>
      <c r="O21" s="19">
        <v>43.315600929330799</v>
      </c>
      <c r="P21" s="19">
        <v>36.657884397900972</v>
      </c>
      <c r="R21" s="14">
        <v>18</v>
      </c>
      <c r="S21" s="53">
        <f t="shared" si="4"/>
        <v>51.80221145254356</v>
      </c>
      <c r="T21" s="17">
        <f t="shared" si="1"/>
        <v>0.49199999999999999</v>
      </c>
      <c r="U21" s="29">
        <f t="shared" si="2"/>
        <v>0.50800000000000001</v>
      </c>
      <c r="V21" s="17">
        <f t="shared" si="3"/>
        <v>5.3999999999999999E-2</v>
      </c>
      <c r="W21" s="28">
        <f t="shared" si="0"/>
        <v>0.94599999999999995</v>
      </c>
    </row>
    <row r="22" spans="1:23" x14ac:dyDescent="0.4">
      <c r="A22" s="9" t="s">
        <v>36</v>
      </c>
      <c r="B22" s="10"/>
      <c r="C22" s="24">
        <f>STDEV(O7:O1006)</f>
        <v>10.907527939137154</v>
      </c>
      <c r="D22" s="24">
        <f>STDEV(P7:P1006)</f>
        <v>7.4204023481070056</v>
      </c>
      <c r="N22" s="22">
        <v>18</v>
      </c>
      <c r="O22" s="19">
        <v>52.068668924726978</v>
      </c>
      <c r="P22" s="19">
        <v>38.361346988900394</v>
      </c>
      <c r="R22" s="14">
        <v>19</v>
      </c>
      <c r="S22" s="53">
        <f t="shared" si="4"/>
        <v>53.80221145254356</v>
      </c>
      <c r="T22" s="17">
        <f t="shared" si="1"/>
        <v>0.42599999999999999</v>
      </c>
      <c r="U22" s="29">
        <f t="shared" si="2"/>
        <v>0.57400000000000007</v>
      </c>
      <c r="V22" s="17">
        <f t="shared" si="3"/>
        <v>0.03</v>
      </c>
      <c r="W22" s="28">
        <f t="shared" si="0"/>
        <v>0.97</v>
      </c>
    </row>
    <row r="23" spans="1:23" x14ac:dyDescent="0.4">
      <c r="A23" s="9" t="s">
        <v>37</v>
      </c>
      <c r="B23" s="10"/>
      <c r="C23" s="24">
        <f>(MAX(O5:O1004))</f>
        <v>82.519647777426087</v>
      </c>
      <c r="D23" s="24">
        <f>MAX(P7:P1006)</f>
        <v>61.417963155387767</v>
      </c>
      <c r="N23" s="22">
        <v>19</v>
      </c>
      <c r="O23" s="19">
        <v>45.536148129013611</v>
      </c>
      <c r="P23" s="19">
        <v>45.928037001980542</v>
      </c>
      <c r="R23" s="14">
        <v>20</v>
      </c>
      <c r="S23" s="53">
        <f t="shared" si="4"/>
        <v>55.80221145254356</v>
      </c>
      <c r="T23" s="17">
        <f t="shared" si="1"/>
        <v>0.35399999999999998</v>
      </c>
      <c r="U23" s="29">
        <f t="shared" si="2"/>
        <v>0.64600000000000002</v>
      </c>
      <c r="V23" s="17">
        <f t="shared" si="3"/>
        <v>1.2E-2</v>
      </c>
      <c r="W23" s="28">
        <f t="shared" si="0"/>
        <v>0.98799999999999999</v>
      </c>
    </row>
    <row r="24" spans="1:23" x14ac:dyDescent="0.4">
      <c r="A24" s="9" t="s">
        <v>38</v>
      </c>
      <c r="B24" s="10"/>
      <c r="C24" s="11">
        <f>MIN(O7:O1006)</f>
        <v>22.72208726407348</v>
      </c>
      <c r="D24" s="11">
        <f>MIN(P7:P1006)</f>
        <v>18.80221145254356</v>
      </c>
      <c r="N24" s="22">
        <v>20</v>
      </c>
      <c r="O24" s="19">
        <v>53.454734182552784</v>
      </c>
      <c r="P24" s="19">
        <v>53.846623055519785</v>
      </c>
      <c r="R24" s="14">
        <v>21</v>
      </c>
      <c r="S24" s="53">
        <f t="shared" si="4"/>
        <v>57.80221145254356</v>
      </c>
      <c r="T24" s="17">
        <f t="shared" si="1"/>
        <v>0.29599999999999999</v>
      </c>
      <c r="U24" s="29">
        <f t="shared" si="2"/>
        <v>0.70399999999999996</v>
      </c>
      <c r="V24" s="17">
        <f t="shared" si="3"/>
        <v>8.0000000000000002E-3</v>
      </c>
      <c r="W24" s="28">
        <f t="shared" si="0"/>
        <v>0.99199999999999999</v>
      </c>
    </row>
    <row r="25" spans="1:23" x14ac:dyDescent="0.4">
      <c r="A25" s="38" t="s">
        <v>20</v>
      </c>
      <c r="B25" s="38"/>
      <c r="C25" s="3">
        <v>30</v>
      </c>
      <c r="D25" s="12"/>
      <c r="N25" s="22">
        <v>21</v>
      </c>
      <c r="O25" s="19">
        <v>46.795822026151257</v>
      </c>
      <c r="P25" s="19">
        <v>33.088500090324672</v>
      </c>
      <c r="R25" s="14">
        <v>22</v>
      </c>
      <c r="S25" s="53">
        <f t="shared" si="4"/>
        <v>59.80221145254356</v>
      </c>
      <c r="T25" s="17">
        <f t="shared" si="1"/>
        <v>0.247</v>
      </c>
      <c r="U25" s="29">
        <f t="shared" si="2"/>
        <v>0.753</v>
      </c>
      <c r="V25" s="17">
        <f t="shared" si="3"/>
        <v>2E-3</v>
      </c>
      <c r="W25" s="28">
        <f t="shared" si="0"/>
        <v>0.998</v>
      </c>
    </row>
    <row r="26" spans="1:23" x14ac:dyDescent="0.4">
      <c r="A26" s="38" t="s">
        <v>21</v>
      </c>
      <c r="B26" s="38"/>
      <c r="C26" s="13">
        <f>INT((MAX(C23:D23)-MIN(C24:D24))/C25)</f>
        <v>2</v>
      </c>
      <c r="D26" s="12"/>
      <c r="N26" s="22">
        <v>22</v>
      </c>
      <c r="O26" s="19">
        <v>51.716268116206663</v>
      </c>
      <c r="P26" s="19">
        <v>30.959340775983307</v>
      </c>
      <c r="R26" s="14">
        <v>23</v>
      </c>
      <c r="S26" s="53">
        <f t="shared" si="4"/>
        <v>61.80221145254356</v>
      </c>
      <c r="T26" s="17">
        <f t="shared" si="1"/>
        <v>0.19900000000000001</v>
      </c>
      <c r="U26" s="29">
        <f t="shared" si="2"/>
        <v>0.80099999999999993</v>
      </c>
      <c r="V26" s="17">
        <f t="shared" si="3"/>
        <v>0</v>
      </c>
      <c r="W26" s="28">
        <f t="shared" si="0"/>
        <v>1</v>
      </c>
    </row>
    <row r="27" spans="1:23" ht="14.25" x14ac:dyDescent="0.4">
      <c r="H27" s="47" t="s">
        <v>41</v>
      </c>
      <c r="N27" s="22">
        <v>23</v>
      </c>
      <c r="O27" s="19">
        <v>51.492929423798159</v>
      </c>
      <c r="P27" s="19">
        <v>37.785607487971603</v>
      </c>
      <c r="R27" s="14">
        <v>24</v>
      </c>
      <c r="S27" s="53">
        <f t="shared" si="4"/>
        <v>63.80221145254356</v>
      </c>
      <c r="T27" s="17">
        <f t="shared" si="1"/>
        <v>0.13700000000000001</v>
      </c>
      <c r="U27" s="29">
        <f t="shared" si="2"/>
        <v>0.86299999999999999</v>
      </c>
      <c r="V27" s="17">
        <f t="shared" si="3"/>
        <v>0</v>
      </c>
      <c r="W27" s="28">
        <f t="shared" si="0"/>
        <v>1</v>
      </c>
    </row>
    <row r="28" spans="1:23" ht="14.25" x14ac:dyDescent="0.4">
      <c r="A28" s="46" t="s">
        <v>54</v>
      </c>
      <c r="E28" s="52" t="s">
        <v>40</v>
      </c>
      <c r="F28" s="1">
        <f>ROUND(INDEX(S4:S35,G28),0)</f>
        <v>70</v>
      </c>
      <c r="G28">
        <v>27</v>
      </c>
      <c r="H28" s="27">
        <f>$F$28</f>
        <v>70</v>
      </c>
      <c r="I28" s="30">
        <f>F30</f>
        <v>1.2</v>
      </c>
      <c r="J28" s="1"/>
      <c r="N28" s="22">
        <v>24</v>
      </c>
      <c r="O28" s="19">
        <v>42.898880183264737</v>
      </c>
      <c r="P28" s="19">
        <v>29.191558247438138</v>
      </c>
      <c r="R28" s="14">
        <v>25</v>
      </c>
      <c r="S28" s="53">
        <f t="shared" si="4"/>
        <v>65.80221145254356</v>
      </c>
      <c r="T28" s="17">
        <f t="shared" si="1"/>
        <v>9.5000000000000001E-2</v>
      </c>
      <c r="U28" s="29">
        <f t="shared" si="2"/>
        <v>0.90500000000000003</v>
      </c>
      <c r="V28" s="17">
        <f t="shared" si="3"/>
        <v>0</v>
      </c>
      <c r="W28" s="28">
        <f t="shared" si="0"/>
        <v>1</v>
      </c>
    </row>
    <row r="29" spans="1:23" ht="14.25" x14ac:dyDescent="0.4">
      <c r="A29" s="1" t="str">
        <f>A4&amp;"="&amp;B4&amp;"万元"</f>
        <v>设备购置费=320万元</v>
      </c>
      <c r="E29" s="56" t="s">
        <v>39</v>
      </c>
      <c r="F29" s="2"/>
      <c r="H29" s="27">
        <f t="shared" ref="H29:H31" si="10">$F$28</f>
        <v>70</v>
      </c>
      <c r="I29" s="30">
        <f>INDEX(U4:U35,G28)</f>
        <v>0.95099999999999996</v>
      </c>
      <c r="J29" s="55" t="s">
        <v>42</v>
      </c>
      <c r="N29" s="22">
        <v>25</v>
      </c>
      <c r="O29" s="19">
        <v>37.960440970736215</v>
      </c>
      <c r="P29" s="19">
        <v>31.302724439306431</v>
      </c>
      <c r="R29" s="14">
        <v>26</v>
      </c>
      <c r="S29" s="53">
        <f t="shared" si="4"/>
        <v>67.80221145254356</v>
      </c>
      <c r="T29" s="17">
        <f t="shared" si="1"/>
        <v>6.7000000000000004E-2</v>
      </c>
      <c r="U29" s="29">
        <f t="shared" si="2"/>
        <v>0.93300000000000005</v>
      </c>
      <c r="V29" s="17">
        <f t="shared" si="3"/>
        <v>0</v>
      </c>
      <c r="W29" s="28">
        <f t="shared" si="0"/>
        <v>1</v>
      </c>
    </row>
    <row r="30" spans="1:23" x14ac:dyDescent="0.4">
      <c r="A30" s="48" t="str">
        <f>A3&amp;"="&amp;B3&amp;"万元"</f>
        <v>年租赁费=56万元</v>
      </c>
      <c r="E30" s="27">
        <f t="array" ref="E30:E31">F28</f>
        <v>70</v>
      </c>
      <c r="F30" s="1">
        <v>1.2</v>
      </c>
      <c r="H30" s="27">
        <f t="shared" si="10"/>
        <v>70</v>
      </c>
      <c r="I30" s="51">
        <f>INDEX(W4:W35,G28)</f>
        <v>1</v>
      </c>
      <c r="J30" s="55" t="s">
        <v>43</v>
      </c>
      <c r="N30" s="22">
        <v>26</v>
      </c>
      <c r="O30" s="19">
        <v>56.553516474904086</v>
      </c>
      <c r="P30" s="19">
        <v>35.796589134680687</v>
      </c>
      <c r="R30" s="14">
        <v>27</v>
      </c>
      <c r="S30" s="53">
        <f t="shared" si="4"/>
        <v>69.80221145254356</v>
      </c>
      <c r="T30" s="17">
        <f t="shared" si="1"/>
        <v>4.9000000000000002E-2</v>
      </c>
      <c r="U30" s="29">
        <f t="shared" si="2"/>
        <v>0.95099999999999996</v>
      </c>
      <c r="V30" s="17">
        <f t="shared" si="3"/>
        <v>0</v>
      </c>
      <c r="W30" s="28">
        <f t="shared" si="0"/>
        <v>1</v>
      </c>
    </row>
    <row r="31" spans="1:23" x14ac:dyDescent="0.4">
      <c r="A31" s="1" t="str">
        <f>"指定净现值="&amp;F28&amp;"万元时，"&amp;IF(C21&gt;D21,"方案一更可能实现指定净现值","方案二更可能实现指定净现值")</f>
        <v>指定净现值=70万元时，方案一更可能实现指定净现值</v>
      </c>
      <c r="B31" s="1"/>
      <c r="C31" s="1"/>
      <c r="E31" s="1">
        <v>70</v>
      </c>
      <c r="F31" s="28">
        <v>0</v>
      </c>
      <c r="H31" s="27">
        <f t="shared" si="10"/>
        <v>70</v>
      </c>
      <c r="I31" s="28">
        <f>F31</f>
        <v>0</v>
      </c>
      <c r="J31" s="1"/>
      <c r="N31" s="22">
        <v>27</v>
      </c>
      <c r="O31" s="19">
        <v>43.199249801694805</v>
      </c>
      <c r="P31" s="19">
        <v>29.491927865868234</v>
      </c>
      <c r="R31" s="14">
        <v>28</v>
      </c>
      <c r="S31" s="53">
        <f t="shared" si="4"/>
        <v>71.80221145254356</v>
      </c>
      <c r="T31" s="17">
        <f t="shared" si="1"/>
        <v>3.5000000000000003E-2</v>
      </c>
      <c r="U31" s="29">
        <f t="shared" si="2"/>
        <v>0.96499999999999997</v>
      </c>
      <c r="V31" s="17">
        <f t="shared" si="3"/>
        <v>0</v>
      </c>
      <c r="W31" s="28">
        <f t="shared" si="0"/>
        <v>1</v>
      </c>
    </row>
    <row r="32" spans="1:23" x14ac:dyDescent="0.4">
      <c r="A32" s="1" t="str">
        <f>"指定净现值="&amp;F28&amp;"万元时，"&amp;IF(I29&lt;I30,"方案一实现指定净现值的风险更低","方案二实现指定净现值的风险更低")</f>
        <v>指定净现值=70万元时，方案一实现指定净现值的风险更低</v>
      </c>
      <c r="B32" s="1"/>
      <c r="C32" s="1"/>
      <c r="D32" s="49"/>
      <c r="N32" s="22">
        <v>28</v>
      </c>
      <c r="O32" s="19">
        <v>64.494357954814916</v>
      </c>
      <c r="P32" s="19">
        <v>36.687825210194774</v>
      </c>
      <c r="R32" s="14">
        <v>29</v>
      </c>
      <c r="S32" s="53">
        <f t="shared" si="4"/>
        <v>73.80221145254356</v>
      </c>
      <c r="T32" s="17">
        <f t="shared" si="1"/>
        <v>2.1000000000000001E-2</v>
      </c>
      <c r="U32" s="29">
        <f t="shared" si="2"/>
        <v>0.97899999999999998</v>
      </c>
      <c r="V32" s="17">
        <f t="shared" si="3"/>
        <v>0</v>
      </c>
      <c r="W32" s="28">
        <f t="shared" si="0"/>
        <v>1</v>
      </c>
    </row>
    <row r="33" spans="3:23" x14ac:dyDescent="0.4">
      <c r="C33" s="2"/>
      <c r="D33" s="50"/>
      <c r="N33" s="22">
        <v>29</v>
      </c>
      <c r="O33" s="19">
        <v>43.425007110850288</v>
      </c>
      <c r="P33" s="19">
        <v>43.816895983817233</v>
      </c>
      <c r="R33" s="14">
        <v>30</v>
      </c>
      <c r="S33" s="53">
        <f t="shared" si="4"/>
        <v>75.80221145254356</v>
      </c>
      <c r="T33" s="17">
        <f t="shared" si="1"/>
        <v>1.2E-2</v>
      </c>
      <c r="U33" s="29">
        <f t="shared" si="2"/>
        <v>0.98799999999999999</v>
      </c>
      <c r="V33" s="17">
        <f t="shared" si="3"/>
        <v>0</v>
      </c>
      <c r="W33" s="28">
        <f t="shared" si="0"/>
        <v>1</v>
      </c>
    </row>
    <row r="34" spans="3:23" x14ac:dyDescent="0.4">
      <c r="N34" s="22">
        <v>30</v>
      </c>
      <c r="O34" s="19">
        <v>65.048693780740336</v>
      </c>
      <c r="P34" s="19">
        <v>44.291766440517009</v>
      </c>
      <c r="R34" s="14">
        <v>31</v>
      </c>
      <c r="S34" s="53">
        <f t="shared" si="4"/>
        <v>77.80221145254356</v>
      </c>
      <c r="T34" s="17">
        <f t="shared" si="1"/>
        <v>6.0000000000000001E-3</v>
      </c>
      <c r="U34" s="29">
        <f t="shared" si="2"/>
        <v>0.99399999999999999</v>
      </c>
      <c r="V34" s="17">
        <f t="shared" si="3"/>
        <v>0</v>
      </c>
      <c r="W34" s="28">
        <f t="shared" si="0"/>
        <v>1</v>
      </c>
    </row>
    <row r="35" spans="3:23" x14ac:dyDescent="0.4">
      <c r="N35" s="22">
        <v>31</v>
      </c>
      <c r="O35" s="19">
        <v>47.371706674157451</v>
      </c>
      <c r="P35" s="19">
        <v>33.664384738330881</v>
      </c>
      <c r="R35" s="15">
        <v>32</v>
      </c>
      <c r="S35" s="53">
        <f>MAX(C23:D23)+C26</f>
        <v>84.519647777426087</v>
      </c>
      <c r="T35" s="31">
        <f t="shared" si="1"/>
        <v>0</v>
      </c>
      <c r="U35" s="32">
        <f t="shared" si="2"/>
        <v>1</v>
      </c>
      <c r="V35" s="31">
        <f t="shared" si="3"/>
        <v>0</v>
      </c>
      <c r="W35" s="28">
        <f t="shared" si="0"/>
        <v>1</v>
      </c>
    </row>
    <row r="36" spans="3:23" x14ac:dyDescent="0.4">
      <c r="N36" s="22">
        <v>32</v>
      </c>
      <c r="O36" s="19">
        <v>54.558882346923667</v>
      </c>
      <c r="P36" s="19">
        <v>40.851560411097154</v>
      </c>
    </row>
    <row r="37" spans="3:23" x14ac:dyDescent="0.4">
      <c r="N37" s="22">
        <v>33</v>
      </c>
      <c r="O37" s="19">
        <v>64.153000631091516</v>
      </c>
      <c r="P37" s="19">
        <v>43.396073290868102</v>
      </c>
    </row>
    <row r="38" spans="3:23" x14ac:dyDescent="0.4">
      <c r="N38" s="22">
        <v>34</v>
      </c>
      <c r="O38" s="19">
        <v>39.974243766423456</v>
      </c>
      <c r="P38" s="19">
        <v>40.366132639390415</v>
      </c>
    </row>
    <row r="39" spans="3:23" x14ac:dyDescent="0.4">
      <c r="E39" t="s">
        <v>44</v>
      </c>
      <c r="N39" s="22">
        <v>35</v>
      </c>
      <c r="O39" s="19">
        <v>40.383865256358433</v>
      </c>
      <c r="P39" s="19">
        <v>40.775754129325421</v>
      </c>
    </row>
    <row r="40" spans="3:23" x14ac:dyDescent="0.4">
      <c r="N40" s="22">
        <v>36</v>
      </c>
      <c r="O40" s="19">
        <v>42.47001397872009</v>
      </c>
      <c r="P40" s="19">
        <v>42.86190285168702</v>
      </c>
    </row>
    <row r="41" spans="3:23" x14ac:dyDescent="0.4">
      <c r="N41" s="22">
        <v>37</v>
      </c>
      <c r="O41" s="19">
        <v>54.911860001238153</v>
      </c>
      <c r="P41" s="19">
        <v>41.204538065411612</v>
      </c>
    </row>
    <row r="42" spans="3:23" hidden="1" x14ac:dyDescent="0.4">
      <c r="N42" s="22">
        <v>38</v>
      </c>
      <c r="O42" s="19">
        <v>57.868049802317898</v>
      </c>
      <c r="P42" s="19">
        <v>51.2103332708881</v>
      </c>
    </row>
    <row r="43" spans="3:23" hidden="1" x14ac:dyDescent="0.4">
      <c r="N43" s="22">
        <v>39</v>
      </c>
      <c r="O43" s="19">
        <v>46.820418496515913</v>
      </c>
      <c r="P43" s="19">
        <v>33.113096560689357</v>
      </c>
    </row>
    <row r="44" spans="3:23" hidden="1" x14ac:dyDescent="0.4">
      <c r="N44" s="22">
        <v>40</v>
      </c>
      <c r="O44" s="19">
        <v>63.843368190862691</v>
      </c>
      <c r="P44" s="19">
        <v>50.136046255036106</v>
      </c>
    </row>
    <row r="45" spans="3:23" hidden="1" x14ac:dyDescent="0.4">
      <c r="N45" s="22">
        <v>41</v>
      </c>
      <c r="O45" s="19">
        <v>39.576269716204422</v>
      </c>
      <c r="P45" s="19">
        <v>32.918553184774609</v>
      </c>
    </row>
    <row r="46" spans="3:23" hidden="1" x14ac:dyDescent="0.4">
      <c r="N46" s="22">
        <v>42</v>
      </c>
      <c r="O46" s="19">
        <v>72.138542837880038</v>
      </c>
      <c r="P46" s="19">
        <v>44.332010093259967</v>
      </c>
    </row>
    <row r="47" spans="3:23" hidden="1" x14ac:dyDescent="0.4">
      <c r="N47" s="22">
        <v>43</v>
      </c>
      <c r="O47" s="19">
        <v>45.646568745059767</v>
      </c>
      <c r="P47" s="19">
        <v>38.988852213629968</v>
      </c>
    </row>
    <row r="48" spans="3:23" hidden="1" x14ac:dyDescent="0.4">
      <c r="N48" s="22">
        <v>44</v>
      </c>
      <c r="O48" s="19">
        <v>52.896926860861527</v>
      </c>
      <c r="P48" s="19">
        <v>53.288815733828443</v>
      </c>
    </row>
    <row r="49" spans="14:16" hidden="1" x14ac:dyDescent="0.4">
      <c r="N49" s="22">
        <v>45</v>
      </c>
      <c r="O49" s="19">
        <v>42.361774110162969</v>
      </c>
      <c r="P49" s="19">
        <v>35.704057578733156</v>
      </c>
    </row>
    <row r="50" spans="14:16" hidden="1" x14ac:dyDescent="0.4">
      <c r="N50" s="22">
        <v>46</v>
      </c>
      <c r="O50" s="19">
        <v>41.270642755391805</v>
      </c>
      <c r="P50" s="19">
        <v>34.612926223961978</v>
      </c>
    </row>
    <row r="51" spans="14:16" hidden="1" x14ac:dyDescent="0.4">
      <c r="N51" s="22">
        <v>47</v>
      </c>
      <c r="O51" s="19">
        <v>50.371660642615154</v>
      </c>
      <c r="P51" s="19">
        <v>43.713944111185327</v>
      </c>
    </row>
    <row r="52" spans="14:16" hidden="1" x14ac:dyDescent="0.4">
      <c r="N52" s="22">
        <v>48</v>
      </c>
      <c r="O52" s="19">
        <v>37.524596415947258</v>
      </c>
      <c r="P52" s="19">
        <v>30.866879884517445</v>
      </c>
    </row>
    <row r="53" spans="14:16" hidden="1" x14ac:dyDescent="0.4">
      <c r="N53" s="22">
        <v>49</v>
      </c>
      <c r="O53" s="19">
        <v>45.758330687320893</v>
      </c>
      <c r="P53" s="19">
        <v>32.051008751494322</v>
      </c>
    </row>
    <row r="54" spans="14:16" hidden="1" x14ac:dyDescent="0.4">
      <c r="N54" s="22">
        <v>50</v>
      </c>
      <c r="O54" s="19">
        <v>35.968225429688289</v>
      </c>
      <c r="P54" s="19">
        <v>36.36011430265529</v>
      </c>
    </row>
    <row r="55" spans="14:16" hidden="1" x14ac:dyDescent="0.4">
      <c r="N55" s="22">
        <v>51</v>
      </c>
      <c r="O55" s="19">
        <v>47.655940550497917</v>
      </c>
      <c r="P55" s="19">
        <v>48.047829423464918</v>
      </c>
    </row>
    <row r="56" spans="14:16" hidden="1" x14ac:dyDescent="0.4">
      <c r="N56" s="22">
        <v>52</v>
      </c>
      <c r="O56" s="19">
        <v>32.155748390597125</v>
      </c>
      <c r="P56" s="19">
        <v>32.54763726356407</v>
      </c>
    </row>
    <row r="57" spans="14:16" hidden="1" x14ac:dyDescent="0.4">
      <c r="N57" s="22">
        <v>53</v>
      </c>
      <c r="O57" s="19">
        <v>64.487047011081131</v>
      </c>
      <c r="P57" s="19">
        <v>50.77972507525449</v>
      </c>
    </row>
    <row r="58" spans="14:16" hidden="1" x14ac:dyDescent="0.4">
      <c r="N58" s="22">
        <v>54</v>
      </c>
      <c r="O58" s="19">
        <v>45.467857306852977</v>
      </c>
      <c r="P58" s="19">
        <v>38.810140775423193</v>
      </c>
    </row>
    <row r="59" spans="14:16" hidden="1" x14ac:dyDescent="0.4">
      <c r="N59" s="22">
        <v>55</v>
      </c>
      <c r="O59" s="19">
        <v>69.48794983154778</v>
      </c>
      <c r="P59" s="19">
        <v>55.780627895721238</v>
      </c>
    </row>
    <row r="60" spans="14:16" hidden="1" x14ac:dyDescent="0.4">
      <c r="N60" s="22">
        <v>56</v>
      </c>
      <c r="O60" s="19">
        <v>31.082165323023219</v>
      </c>
      <c r="P60" s="19">
        <v>31.474054195990206</v>
      </c>
    </row>
    <row r="61" spans="14:16" hidden="1" x14ac:dyDescent="0.4">
      <c r="N61" s="22">
        <v>57</v>
      </c>
      <c r="O61" s="19">
        <v>29.377593636116615</v>
      </c>
      <c r="P61" s="19">
        <v>29.769482509083531</v>
      </c>
    </row>
    <row r="62" spans="14:16" hidden="1" x14ac:dyDescent="0.4">
      <c r="N62" s="22">
        <v>58</v>
      </c>
      <c r="O62" s="19">
        <v>45.336700049106867</v>
      </c>
      <c r="P62" s="19">
        <v>45.728588922073783</v>
      </c>
    </row>
    <row r="63" spans="14:16" hidden="1" x14ac:dyDescent="0.4">
      <c r="N63" s="22">
        <v>59</v>
      </c>
      <c r="O63" s="19">
        <v>52.771413686571123</v>
      </c>
      <c r="P63" s="19">
        <v>46.11369715514131</v>
      </c>
    </row>
    <row r="64" spans="14:16" hidden="1" x14ac:dyDescent="0.4">
      <c r="N64" s="22">
        <v>60</v>
      </c>
      <c r="O64" s="19">
        <v>42.673822035947751</v>
      </c>
      <c r="P64" s="19">
        <v>36.016105504517952</v>
      </c>
    </row>
    <row r="65" spans="14:16" hidden="1" x14ac:dyDescent="0.4">
      <c r="N65" s="22">
        <v>61</v>
      </c>
      <c r="O65" s="19">
        <v>61.108861686578052</v>
      </c>
      <c r="P65" s="19">
        <v>47.401539750751482</v>
      </c>
    </row>
    <row r="66" spans="14:16" hidden="1" x14ac:dyDescent="0.4">
      <c r="N66" s="22">
        <v>62</v>
      </c>
      <c r="O66" s="19">
        <v>49.308553715277526</v>
      </c>
      <c r="P66" s="19">
        <v>42.650837183847699</v>
      </c>
    </row>
    <row r="67" spans="14:16" hidden="1" x14ac:dyDescent="0.4">
      <c r="N67" s="22">
        <v>63</v>
      </c>
      <c r="O67" s="19">
        <v>67.98722905478877</v>
      </c>
      <c r="P67" s="19">
        <v>40.180696310168685</v>
      </c>
    </row>
    <row r="68" spans="14:16" hidden="1" x14ac:dyDescent="0.4">
      <c r="N68" s="22">
        <v>64</v>
      </c>
      <c r="O68" s="19">
        <v>72.719330070469994</v>
      </c>
      <c r="P68" s="19">
        <v>44.912797325849937</v>
      </c>
    </row>
    <row r="69" spans="14:16" hidden="1" x14ac:dyDescent="0.4">
      <c r="N69" s="22">
        <v>65</v>
      </c>
      <c r="O69" s="19">
        <v>58.490015889989706</v>
      </c>
      <c r="P69" s="19">
        <v>37.733088549766379</v>
      </c>
    </row>
    <row r="70" spans="14:16" hidden="1" x14ac:dyDescent="0.4">
      <c r="N70" s="22">
        <v>66</v>
      </c>
      <c r="O70" s="19">
        <v>49.651774012612009</v>
      </c>
      <c r="P70" s="19">
        <v>42.994057481182253</v>
      </c>
    </row>
    <row r="71" spans="14:16" hidden="1" x14ac:dyDescent="0.4">
      <c r="N71" s="22">
        <v>67</v>
      </c>
      <c r="O71" s="19">
        <v>66.345005934398671</v>
      </c>
      <c r="P71" s="19">
        <v>59.687289402968844</v>
      </c>
    </row>
    <row r="72" spans="14:16" hidden="1" x14ac:dyDescent="0.4">
      <c r="N72" s="22">
        <v>68</v>
      </c>
      <c r="O72" s="19">
        <v>62.43148086059108</v>
      </c>
      <c r="P72" s="19">
        <v>48.724158924764481</v>
      </c>
    </row>
    <row r="73" spans="14:16" hidden="1" x14ac:dyDescent="0.4">
      <c r="N73" s="22">
        <v>69</v>
      </c>
      <c r="O73" s="19">
        <v>56.255937552767364</v>
      </c>
      <c r="P73" s="19">
        <v>42.548615616940808</v>
      </c>
    </row>
    <row r="74" spans="14:16" hidden="1" x14ac:dyDescent="0.4">
      <c r="N74" s="22">
        <v>70</v>
      </c>
      <c r="O74" s="19">
        <v>74.125598912811142</v>
      </c>
      <c r="P74" s="19">
        <v>46.3190661681911</v>
      </c>
    </row>
    <row r="75" spans="14:16" hidden="1" x14ac:dyDescent="0.4">
      <c r="N75" s="22">
        <v>71</v>
      </c>
      <c r="O75" s="19">
        <v>57.480798648778489</v>
      </c>
      <c r="P75" s="19">
        <v>36.723871308555161</v>
      </c>
    </row>
    <row r="76" spans="14:16" hidden="1" x14ac:dyDescent="0.4">
      <c r="N76" s="22">
        <v>72</v>
      </c>
      <c r="O76" s="19">
        <v>43.225841984520116</v>
      </c>
      <c r="P76" s="19">
        <v>36.568125453090303</v>
      </c>
    </row>
    <row r="77" spans="14:16" hidden="1" x14ac:dyDescent="0.4">
      <c r="N77" s="22">
        <v>73</v>
      </c>
      <c r="O77" s="19">
        <v>73.400247292985853</v>
      </c>
      <c r="P77" s="19">
        <v>45.593714548365725</v>
      </c>
    </row>
    <row r="78" spans="14:16" hidden="1" x14ac:dyDescent="0.4">
      <c r="N78" s="22">
        <v>74</v>
      </c>
      <c r="O78" s="19">
        <v>34.656863000207466</v>
      </c>
      <c r="P78" s="19">
        <v>27.999146468777653</v>
      </c>
    </row>
    <row r="79" spans="14:16" hidden="1" x14ac:dyDescent="0.4">
      <c r="N79" s="22">
        <v>75</v>
      </c>
      <c r="O79" s="19">
        <v>58.049211981995029</v>
      </c>
      <c r="P79" s="19">
        <v>30.242679237374972</v>
      </c>
    </row>
    <row r="80" spans="14:16" hidden="1" x14ac:dyDescent="0.4">
      <c r="N80" s="22">
        <v>76</v>
      </c>
      <c r="O80" s="19">
        <v>46.013384328317215</v>
      </c>
      <c r="P80" s="19">
        <v>32.306062392490659</v>
      </c>
    </row>
    <row r="81" spans="14:16" hidden="1" x14ac:dyDescent="0.4">
      <c r="N81" s="22">
        <v>77</v>
      </c>
      <c r="O81" s="19">
        <v>63.737753997921402</v>
      </c>
      <c r="P81" s="19">
        <v>50.030432062094889</v>
      </c>
    </row>
    <row r="82" spans="14:16" hidden="1" x14ac:dyDescent="0.4">
      <c r="N82" s="22">
        <v>78</v>
      </c>
      <c r="O82" s="19">
        <v>49.522503264327611</v>
      </c>
      <c r="P82" s="19">
        <v>28.765575924104311</v>
      </c>
    </row>
    <row r="83" spans="14:16" hidden="1" x14ac:dyDescent="0.4">
      <c r="N83" s="22">
        <v>79</v>
      </c>
      <c r="O83" s="19">
        <v>38.067147685382736</v>
      </c>
      <c r="P83" s="19">
        <v>38.459036558349638</v>
      </c>
    </row>
    <row r="84" spans="14:16" hidden="1" x14ac:dyDescent="0.4">
      <c r="N84" s="22">
        <v>80</v>
      </c>
      <c r="O84" s="19">
        <v>49.707130569634216</v>
      </c>
      <c r="P84" s="19">
        <v>43.049414038204432</v>
      </c>
    </row>
    <row r="85" spans="14:16" hidden="1" x14ac:dyDescent="0.4">
      <c r="N85" s="22">
        <v>81</v>
      </c>
      <c r="O85" s="19">
        <v>59.71075606444316</v>
      </c>
      <c r="P85" s="19">
        <v>38.953828724219804</v>
      </c>
    </row>
    <row r="86" spans="14:16" hidden="1" x14ac:dyDescent="0.4">
      <c r="N86" s="22">
        <v>82</v>
      </c>
      <c r="O86" s="19">
        <v>49.074257567225743</v>
      </c>
      <c r="P86" s="19">
        <v>28.317330227002344</v>
      </c>
    </row>
    <row r="87" spans="14:16" hidden="1" x14ac:dyDescent="0.4">
      <c r="N87" s="22">
        <v>83</v>
      </c>
      <c r="O87" s="19">
        <v>53.433354968753861</v>
      </c>
      <c r="P87" s="19">
        <v>39.72603303292729</v>
      </c>
    </row>
    <row r="88" spans="14:16" hidden="1" x14ac:dyDescent="0.4">
      <c r="N88" s="22">
        <v>84</v>
      </c>
      <c r="O88" s="19">
        <v>37.615229857597342</v>
      </c>
      <c r="P88" s="19">
        <v>30.957513326167515</v>
      </c>
    </row>
    <row r="89" spans="14:16" hidden="1" x14ac:dyDescent="0.4">
      <c r="N89" s="22">
        <v>85</v>
      </c>
      <c r="O89" s="19">
        <v>55.420014214893115</v>
      </c>
      <c r="P89" s="19">
        <v>48.762297683463331</v>
      </c>
    </row>
    <row r="90" spans="14:16" hidden="1" x14ac:dyDescent="0.4">
      <c r="N90" s="22">
        <v>86</v>
      </c>
      <c r="O90" s="19">
        <v>37.635564929003806</v>
      </c>
      <c r="P90" s="19">
        <v>30.977848397574007</v>
      </c>
    </row>
    <row r="91" spans="14:16" hidden="1" x14ac:dyDescent="0.4">
      <c r="N91" s="22">
        <v>87</v>
      </c>
      <c r="O91" s="19">
        <v>59.01466220411902</v>
      </c>
      <c r="P91" s="19">
        <v>52.356945672689207</v>
      </c>
    </row>
    <row r="92" spans="14:16" hidden="1" x14ac:dyDescent="0.4">
      <c r="N92" s="22">
        <v>88</v>
      </c>
      <c r="O92" s="19">
        <v>48.709029887240433</v>
      </c>
      <c r="P92" s="19">
        <v>49.100918760207421</v>
      </c>
    </row>
    <row r="93" spans="14:16" hidden="1" x14ac:dyDescent="0.4">
      <c r="N93" s="22">
        <v>89</v>
      </c>
      <c r="O93" s="19">
        <v>40.785660508022147</v>
      </c>
      <c r="P93" s="19">
        <v>34.127943976592405</v>
      </c>
    </row>
    <row r="94" spans="14:16" hidden="1" x14ac:dyDescent="0.4">
      <c r="N94" s="22">
        <v>90</v>
      </c>
      <c r="O94" s="19">
        <v>41.84659693444172</v>
      </c>
      <c r="P94" s="19">
        <v>28.139274998615093</v>
      </c>
    </row>
    <row r="95" spans="14:16" hidden="1" x14ac:dyDescent="0.4">
      <c r="N95" s="22">
        <v>91</v>
      </c>
      <c r="O95" s="19">
        <v>38.724011117909129</v>
      </c>
      <c r="P95" s="19">
        <v>39.115899990876102</v>
      </c>
    </row>
    <row r="96" spans="14:16" hidden="1" x14ac:dyDescent="0.4">
      <c r="N96" s="22">
        <v>92</v>
      </c>
      <c r="O96" s="19">
        <v>41.332035187688518</v>
      </c>
      <c r="P96" s="19">
        <v>34.67431865625862</v>
      </c>
    </row>
    <row r="97" spans="14:16" hidden="1" x14ac:dyDescent="0.4">
      <c r="N97" s="22">
        <v>93</v>
      </c>
      <c r="O97" s="19">
        <v>62.6263049083135</v>
      </c>
      <c r="P97" s="19">
        <v>41.869377568090201</v>
      </c>
    </row>
    <row r="98" spans="14:16" hidden="1" x14ac:dyDescent="0.4">
      <c r="N98" s="22">
        <v>94</v>
      </c>
      <c r="O98" s="19">
        <v>30.915349729689581</v>
      </c>
      <c r="P98" s="19">
        <v>31.307238602656525</v>
      </c>
    </row>
    <row r="99" spans="14:16" hidden="1" x14ac:dyDescent="0.4">
      <c r="N99" s="22">
        <v>95</v>
      </c>
      <c r="O99" s="19">
        <v>51.63280007554755</v>
      </c>
      <c r="P99" s="19">
        <v>52.024688948514537</v>
      </c>
    </row>
    <row r="100" spans="14:16" hidden="1" x14ac:dyDescent="0.4">
      <c r="N100" s="22">
        <v>96</v>
      </c>
      <c r="O100" s="19">
        <v>41.330558585040023</v>
      </c>
      <c r="P100" s="19">
        <v>41.722447458007011</v>
      </c>
    </row>
    <row r="101" spans="14:16" hidden="1" x14ac:dyDescent="0.4">
      <c r="N101" s="22">
        <v>97</v>
      </c>
      <c r="O101" s="19">
        <v>56.79349264605105</v>
      </c>
      <c r="P101" s="19">
        <v>43.086170710224536</v>
      </c>
    </row>
    <row r="102" spans="14:16" hidden="1" x14ac:dyDescent="0.4">
      <c r="N102" s="22">
        <v>98</v>
      </c>
      <c r="O102" s="19">
        <v>48.792571223849222</v>
      </c>
      <c r="P102" s="19">
        <v>42.134854692419424</v>
      </c>
    </row>
    <row r="103" spans="14:16" hidden="1" x14ac:dyDescent="0.4">
      <c r="N103" s="22">
        <v>99</v>
      </c>
      <c r="O103" s="19">
        <v>42.916761168094752</v>
      </c>
      <c r="P103" s="19">
        <v>43.308650041061725</v>
      </c>
    </row>
    <row r="104" spans="14:16" hidden="1" x14ac:dyDescent="0.4">
      <c r="N104" s="22">
        <v>100</v>
      </c>
      <c r="O104" s="19">
        <v>48.493103232169574</v>
      </c>
      <c r="P104" s="19">
        <v>34.785781296342961</v>
      </c>
    </row>
    <row r="105" spans="14:16" hidden="1" x14ac:dyDescent="0.4">
      <c r="N105" s="22">
        <v>101</v>
      </c>
      <c r="O105" s="19">
        <v>55.7246507605077</v>
      </c>
      <c r="P105" s="19">
        <v>42.017328824681158</v>
      </c>
    </row>
    <row r="106" spans="14:16" hidden="1" x14ac:dyDescent="0.4">
      <c r="N106" s="22">
        <v>102</v>
      </c>
      <c r="O106" s="19">
        <v>79.864550289816634</v>
      </c>
      <c r="P106" s="19">
        <v>52.058017545196549</v>
      </c>
    </row>
    <row r="107" spans="14:16" hidden="1" x14ac:dyDescent="0.4">
      <c r="N107" s="22">
        <v>103</v>
      </c>
      <c r="O107" s="19">
        <v>35.774136673590135</v>
      </c>
      <c r="P107" s="19">
        <v>29.116420142160294</v>
      </c>
    </row>
    <row r="108" spans="14:16" hidden="1" x14ac:dyDescent="0.4">
      <c r="N108" s="22">
        <v>104</v>
      </c>
      <c r="O108" s="19">
        <v>35.99310426273189</v>
      </c>
      <c r="P108" s="19">
        <v>36.384993135698878</v>
      </c>
    </row>
    <row r="109" spans="14:16" hidden="1" x14ac:dyDescent="0.4">
      <c r="N109" s="22">
        <v>105</v>
      </c>
      <c r="O109" s="19">
        <v>42.397054957095804</v>
      </c>
      <c r="P109" s="19">
        <v>42.788943830062792</v>
      </c>
    </row>
    <row r="110" spans="14:16" hidden="1" x14ac:dyDescent="0.4">
      <c r="N110" s="22">
        <v>106</v>
      </c>
      <c r="O110" s="19">
        <v>40.462651929048889</v>
      </c>
      <c r="P110" s="19">
        <v>26.755329993222318</v>
      </c>
    </row>
    <row r="111" spans="14:16" hidden="1" x14ac:dyDescent="0.4">
      <c r="N111" s="22">
        <v>107</v>
      </c>
      <c r="O111" s="19">
        <v>38.783894799883171</v>
      </c>
      <c r="P111" s="19">
        <v>39.175783672850102</v>
      </c>
    </row>
    <row r="112" spans="14:16" hidden="1" x14ac:dyDescent="0.4">
      <c r="N112" s="22">
        <v>108</v>
      </c>
      <c r="O112" s="19">
        <v>40.264702462908019</v>
      </c>
      <c r="P112" s="19">
        <v>33.606985931478206</v>
      </c>
    </row>
    <row r="113" spans="14:16" hidden="1" x14ac:dyDescent="0.4">
      <c r="N113" s="22">
        <v>109</v>
      </c>
      <c r="O113" s="19">
        <v>62.821502549937406</v>
      </c>
      <c r="P113" s="19">
        <v>42.064575209714121</v>
      </c>
    </row>
    <row r="114" spans="14:16" hidden="1" x14ac:dyDescent="0.4">
      <c r="N114" s="22">
        <v>110</v>
      </c>
      <c r="O114" s="19">
        <v>48.020951235388395</v>
      </c>
      <c r="P114" s="19">
        <v>41.363234703958582</v>
      </c>
    </row>
    <row r="115" spans="14:16" hidden="1" x14ac:dyDescent="0.4">
      <c r="N115" s="22">
        <v>111</v>
      </c>
      <c r="O115" s="19">
        <v>65.169542993832692</v>
      </c>
      <c r="P115" s="19">
        <v>37.36301024921255</v>
      </c>
    </row>
    <row r="116" spans="14:16" hidden="1" x14ac:dyDescent="0.4">
      <c r="N116" s="22">
        <v>112</v>
      </c>
      <c r="O116" s="19">
        <v>48.650416692926171</v>
      </c>
      <c r="P116" s="19">
        <v>34.943094757099544</v>
      </c>
    </row>
    <row r="117" spans="14:16" hidden="1" x14ac:dyDescent="0.4">
      <c r="N117" s="22">
        <v>113</v>
      </c>
      <c r="O117" s="19">
        <v>56.861111181151443</v>
      </c>
      <c r="P117" s="19">
        <v>43.15378924532483</v>
      </c>
    </row>
    <row r="118" spans="14:16" hidden="1" x14ac:dyDescent="0.4">
      <c r="N118" s="22">
        <v>114</v>
      </c>
      <c r="O118" s="19">
        <v>35.869831761230387</v>
      </c>
      <c r="P118" s="19">
        <v>36.261720634197346</v>
      </c>
    </row>
    <row r="119" spans="14:16" hidden="1" x14ac:dyDescent="0.4">
      <c r="N119" s="22">
        <v>115</v>
      </c>
      <c r="O119" s="19">
        <v>73.01530296776906</v>
      </c>
      <c r="P119" s="19">
        <v>45.208770223148917</v>
      </c>
    </row>
    <row r="120" spans="14:16" hidden="1" x14ac:dyDescent="0.4">
      <c r="N120" s="22">
        <v>116</v>
      </c>
      <c r="O120" s="19">
        <v>55.677630491308889</v>
      </c>
      <c r="P120" s="19">
        <v>49.019913959879091</v>
      </c>
    </row>
    <row r="121" spans="14:16" hidden="1" x14ac:dyDescent="0.4">
      <c r="N121" s="22">
        <v>117</v>
      </c>
      <c r="O121" s="19">
        <v>51.475097868398336</v>
      </c>
      <c r="P121" s="19">
        <v>44.817381336968566</v>
      </c>
    </row>
    <row r="122" spans="14:16" hidden="1" x14ac:dyDescent="0.4">
      <c r="N122" s="22">
        <v>118</v>
      </c>
      <c r="O122" s="19">
        <v>47.646034883220523</v>
      </c>
      <c r="P122" s="19">
        <v>33.938712947393967</v>
      </c>
    </row>
    <row r="123" spans="14:16" hidden="1" x14ac:dyDescent="0.4">
      <c r="N123" s="22">
        <v>119</v>
      </c>
      <c r="O123" s="19">
        <v>47.809997950777813</v>
      </c>
      <c r="P123" s="19">
        <v>48.201886823744715</v>
      </c>
    </row>
    <row r="124" spans="14:16" hidden="1" x14ac:dyDescent="0.4">
      <c r="N124" s="22">
        <v>120</v>
      </c>
      <c r="O124" s="19">
        <v>45.731653326295429</v>
      </c>
      <c r="P124" s="19">
        <v>39.073936794865617</v>
      </c>
    </row>
    <row r="125" spans="14:16" hidden="1" x14ac:dyDescent="0.4">
      <c r="N125" s="22">
        <v>121</v>
      </c>
      <c r="O125" s="19">
        <v>34.228039891575861</v>
      </c>
      <c r="P125" s="19">
        <v>34.619928764542834</v>
      </c>
    </row>
    <row r="126" spans="14:16" hidden="1" x14ac:dyDescent="0.4">
      <c r="N126" s="22">
        <v>122</v>
      </c>
      <c r="O126" s="19">
        <v>46.768076569951006</v>
      </c>
      <c r="P126" s="19">
        <v>33.06075463412445</v>
      </c>
    </row>
    <row r="127" spans="14:16" hidden="1" x14ac:dyDescent="0.4">
      <c r="N127" s="22">
        <v>123</v>
      </c>
      <c r="O127" s="19">
        <v>56.989494606109986</v>
      </c>
      <c r="P127" s="19">
        <v>36.232567265886644</v>
      </c>
    </row>
    <row r="128" spans="14:16" hidden="1" x14ac:dyDescent="0.4">
      <c r="N128" s="22">
        <v>124</v>
      </c>
      <c r="O128" s="19">
        <v>49.733021905481849</v>
      </c>
      <c r="P128" s="19">
        <v>50.124910778448836</v>
      </c>
    </row>
    <row r="129" spans="14:16" hidden="1" x14ac:dyDescent="0.4">
      <c r="N129" s="22">
        <v>125</v>
      </c>
      <c r="O129" s="19">
        <v>69.347151304687827</v>
      </c>
      <c r="P129" s="19">
        <v>55.639829368861314</v>
      </c>
    </row>
    <row r="130" spans="14:16" hidden="1" x14ac:dyDescent="0.4">
      <c r="N130" s="22">
        <v>126</v>
      </c>
      <c r="O130" s="19">
        <v>62.540240363758301</v>
      </c>
      <c r="P130" s="19">
        <v>41.783313023534902</v>
      </c>
    </row>
    <row r="131" spans="14:16" hidden="1" x14ac:dyDescent="0.4">
      <c r="N131" s="22">
        <v>127</v>
      </c>
      <c r="O131" s="19">
        <v>25.665187540453871</v>
      </c>
      <c r="P131" s="19">
        <v>26.057076413420816</v>
      </c>
    </row>
    <row r="132" spans="14:16" hidden="1" x14ac:dyDescent="0.4">
      <c r="N132" s="22">
        <v>128</v>
      </c>
      <c r="O132" s="19">
        <v>35.896138800879555</v>
      </c>
      <c r="P132" s="19">
        <v>29.238422269449742</v>
      </c>
    </row>
    <row r="133" spans="14:16" hidden="1" x14ac:dyDescent="0.4">
      <c r="N133" s="22">
        <v>129</v>
      </c>
      <c r="O133" s="19">
        <v>46.190714778811753</v>
      </c>
      <c r="P133" s="19">
        <v>32.483392842985168</v>
      </c>
    </row>
    <row r="134" spans="14:16" hidden="1" x14ac:dyDescent="0.4">
      <c r="N134" s="22">
        <v>130</v>
      </c>
      <c r="O134" s="19">
        <v>55.88449734116432</v>
      </c>
      <c r="P134" s="19">
        <v>49.226780809734564</v>
      </c>
    </row>
    <row r="135" spans="14:16" hidden="1" x14ac:dyDescent="0.4">
      <c r="N135" s="22">
        <v>131</v>
      </c>
      <c r="O135" s="19">
        <v>47.794469177212591</v>
      </c>
      <c r="P135" s="19">
        <v>34.087147241385949</v>
      </c>
    </row>
    <row r="136" spans="14:16" hidden="1" x14ac:dyDescent="0.4">
      <c r="N136" s="22">
        <v>132</v>
      </c>
      <c r="O136" s="19">
        <v>45.680455616023778</v>
      </c>
      <c r="P136" s="19">
        <v>46.07234448899068</v>
      </c>
    </row>
    <row r="137" spans="14:16" hidden="1" x14ac:dyDescent="0.4">
      <c r="N137" s="22">
        <v>133</v>
      </c>
      <c r="O137" s="19">
        <v>34.237285734742443</v>
      </c>
      <c r="P137" s="19">
        <v>34.629174607709359</v>
      </c>
    </row>
    <row r="138" spans="14:16" hidden="1" x14ac:dyDescent="0.4">
      <c r="N138" s="22">
        <v>134</v>
      </c>
      <c r="O138" s="19">
        <v>66.512975125999674</v>
      </c>
      <c r="P138" s="19">
        <v>38.706442381379588</v>
      </c>
    </row>
    <row r="139" spans="14:16" hidden="1" x14ac:dyDescent="0.4">
      <c r="N139" s="22">
        <v>135</v>
      </c>
      <c r="O139" s="19">
        <v>37.720247672276741</v>
      </c>
      <c r="P139" s="19">
        <v>24.012925736450171</v>
      </c>
    </row>
    <row r="140" spans="14:16" hidden="1" x14ac:dyDescent="0.4">
      <c r="N140" s="22">
        <v>136</v>
      </c>
      <c r="O140" s="19">
        <v>55.267208093076135</v>
      </c>
      <c r="P140" s="19">
        <v>34.510280752852836</v>
      </c>
    </row>
    <row r="141" spans="14:16" hidden="1" x14ac:dyDescent="0.4">
      <c r="N141" s="22">
        <v>137</v>
      </c>
      <c r="O141" s="19">
        <v>44.631334943756087</v>
      </c>
      <c r="P141" s="19">
        <v>30.924013007929574</v>
      </c>
    </row>
    <row r="142" spans="14:16" hidden="1" x14ac:dyDescent="0.4">
      <c r="N142" s="22">
        <v>138</v>
      </c>
      <c r="O142" s="19">
        <v>49.324405806978234</v>
      </c>
      <c r="P142" s="19">
        <v>42.666689275548507</v>
      </c>
    </row>
    <row r="143" spans="14:16" hidden="1" x14ac:dyDescent="0.4">
      <c r="N143" s="22">
        <v>139</v>
      </c>
      <c r="O143" s="19">
        <v>70.762366616852148</v>
      </c>
      <c r="P143" s="19">
        <v>42.955833872232077</v>
      </c>
    </row>
    <row r="144" spans="14:16" hidden="1" x14ac:dyDescent="0.4">
      <c r="N144" s="22">
        <v>140</v>
      </c>
      <c r="O144" s="19">
        <v>46.579292556757366</v>
      </c>
      <c r="P144" s="19">
        <v>32.871970620930796</v>
      </c>
    </row>
    <row r="145" spans="14:16" hidden="1" x14ac:dyDescent="0.4">
      <c r="N145" s="22">
        <v>141</v>
      </c>
      <c r="O145" s="19">
        <v>52.687080286756043</v>
      </c>
      <c r="P145" s="19">
        <v>38.979758350929444</v>
      </c>
    </row>
    <row r="146" spans="14:16" hidden="1" x14ac:dyDescent="0.4">
      <c r="N146" s="22">
        <v>142</v>
      </c>
      <c r="O146" s="19">
        <v>37.571719095262893</v>
      </c>
      <c r="P146" s="19">
        <v>37.963607968229823</v>
      </c>
    </row>
    <row r="147" spans="14:16" hidden="1" x14ac:dyDescent="0.4">
      <c r="N147" s="22">
        <v>143</v>
      </c>
      <c r="O147" s="19">
        <v>80.345369718325344</v>
      </c>
      <c r="P147" s="19">
        <v>52.538836973705273</v>
      </c>
    </row>
    <row r="148" spans="14:16" hidden="1" x14ac:dyDescent="0.4">
      <c r="N148" s="22">
        <v>144</v>
      </c>
      <c r="O148" s="19">
        <v>51.996782006926139</v>
      </c>
      <c r="P148" s="19">
        <v>45.339065475496298</v>
      </c>
    </row>
    <row r="149" spans="14:16" hidden="1" x14ac:dyDescent="0.4">
      <c r="N149" s="22">
        <v>145</v>
      </c>
      <c r="O149" s="19">
        <v>63.871582154665703</v>
      </c>
      <c r="P149" s="19">
        <v>50.164260218839061</v>
      </c>
    </row>
    <row r="150" spans="14:16" hidden="1" x14ac:dyDescent="0.4">
      <c r="N150" s="22">
        <v>146</v>
      </c>
      <c r="O150" s="19">
        <v>56.239948462611437</v>
      </c>
      <c r="P150" s="19">
        <v>35.483021122388081</v>
      </c>
    </row>
    <row r="151" spans="14:16" hidden="1" x14ac:dyDescent="0.4">
      <c r="N151" s="22">
        <v>147</v>
      </c>
      <c r="O151" s="19">
        <v>60.646983470291275</v>
      </c>
      <c r="P151" s="19">
        <v>53.989266938861533</v>
      </c>
    </row>
    <row r="152" spans="14:16" hidden="1" x14ac:dyDescent="0.4">
      <c r="N152" s="22">
        <v>148</v>
      </c>
      <c r="O152" s="19">
        <v>52.295590483019737</v>
      </c>
      <c r="P152" s="19">
        <v>52.687479355986682</v>
      </c>
    </row>
    <row r="153" spans="14:16" hidden="1" x14ac:dyDescent="0.4">
      <c r="N153" s="22">
        <v>149</v>
      </c>
      <c r="O153" s="19">
        <v>69.939327609857287</v>
      </c>
      <c r="P153" s="19">
        <v>42.132794865237187</v>
      </c>
    </row>
    <row r="154" spans="14:16" hidden="1" x14ac:dyDescent="0.4">
      <c r="N154" s="22">
        <v>150</v>
      </c>
      <c r="O154" s="19">
        <v>47.941961470162141</v>
      </c>
      <c r="P154" s="19">
        <v>34.234639534335571</v>
      </c>
    </row>
    <row r="155" spans="14:16" hidden="1" x14ac:dyDescent="0.4">
      <c r="N155" s="22">
        <v>151</v>
      </c>
      <c r="O155" s="19">
        <v>40.113063380223423</v>
      </c>
      <c r="P155" s="19">
        <v>26.405741444396867</v>
      </c>
    </row>
    <row r="156" spans="14:16" hidden="1" x14ac:dyDescent="0.4">
      <c r="N156" s="22">
        <v>152</v>
      </c>
      <c r="O156" s="19">
        <v>47.4870591355687</v>
      </c>
      <c r="P156" s="19">
        <v>40.829342604138901</v>
      </c>
    </row>
    <row r="157" spans="14:16" hidden="1" x14ac:dyDescent="0.4">
      <c r="N157" s="22">
        <v>153</v>
      </c>
      <c r="O157" s="19">
        <v>45.714471766996894</v>
      </c>
      <c r="P157" s="19">
        <v>32.007149831170267</v>
      </c>
    </row>
    <row r="158" spans="14:16" hidden="1" x14ac:dyDescent="0.4">
      <c r="N158" s="22">
        <v>154</v>
      </c>
      <c r="O158" s="19">
        <v>48.412585709365715</v>
      </c>
      <c r="P158" s="19">
        <v>48.804474582332631</v>
      </c>
    </row>
    <row r="159" spans="14:16" hidden="1" x14ac:dyDescent="0.4">
      <c r="N159" s="22">
        <v>155</v>
      </c>
      <c r="O159" s="19">
        <v>53.551972459576689</v>
      </c>
      <c r="P159" s="19">
        <v>32.795045119353304</v>
      </c>
    </row>
    <row r="160" spans="14:16" hidden="1" x14ac:dyDescent="0.4">
      <c r="N160" s="22">
        <v>156</v>
      </c>
      <c r="O160" s="19">
        <v>56.153972517923648</v>
      </c>
      <c r="P160" s="19">
        <v>42.446650582097092</v>
      </c>
    </row>
    <row r="161" spans="14:16" hidden="1" x14ac:dyDescent="0.4">
      <c r="N161" s="22">
        <v>157</v>
      </c>
      <c r="O161" s="19">
        <v>60.982861947112553</v>
      </c>
      <c r="P161" s="19">
        <v>40.225934606889226</v>
      </c>
    </row>
    <row r="162" spans="14:16" hidden="1" x14ac:dyDescent="0.4">
      <c r="N162" s="22">
        <v>158</v>
      </c>
      <c r="O162" s="19">
        <v>60.884357119155993</v>
      </c>
      <c r="P162" s="19">
        <v>54.226640587726166</v>
      </c>
    </row>
    <row r="163" spans="14:16" hidden="1" x14ac:dyDescent="0.4">
      <c r="N163" s="22">
        <v>159</v>
      </c>
      <c r="O163" s="19">
        <v>59.550496001875956</v>
      </c>
      <c r="P163" s="19">
        <v>59.942384874842929</v>
      </c>
    </row>
    <row r="164" spans="14:16" hidden="1" x14ac:dyDescent="0.4">
      <c r="N164" s="22">
        <v>160</v>
      </c>
      <c r="O164" s="19">
        <v>46.864364167417932</v>
      </c>
      <c r="P164" s="19">
        <v>40.206647635988077</v>
      </c>
    </row>
    <row r="165" spans="14:16" hidden="1" x14ac:dyDescent="0.4">
      <c r="N165" s="22">
        <v>161</v>
      </c>
      <c r="O165" s="19">
        <v>54.301512030414699</v>
      </c>
      <c r="P165" s="19">
        <v>47.643795498984872</v>
      </c>
    </row>
    <row r="166" spans="14:16" hidden="1" x14ac:dyDescent="0.4">
      <c r="N166" s="22">
        <v>162</v>
      </c>
      <c r="O166" s="19">
        <v>53.123900141708077</v>
      </c>
      <c r="P166" s="19">
        <v>39.416578205881507</v>
      </c>
    </row>
    <row r="167" spans="14:16" hidden="1" x14ac:dyDescent="0.4">
      <c r="N167" s="22">
        <v>163</v>
      </c>
      <c r="O167" s="19">
        <v>57.600263810238175</v>
      </c>
      <c r="P167" s="19">
        <v>50.942547278808348</v>
      </c>
    </row>
    <row r="168" spans="14:16" hidden="1" x14ac:dyDescent="0.4">
      <c r="N168" s="22">
        <v>164</v>
      </c>
      <c r="O168" s="19">
        <v>52.918047873855755</v>
      </c>
      <c r="P168" s="19">
        <v>39.210725938029213</v>
      </c>
    </row>
    <row r="169" spans="14:16" hidden="1" x14ac:dyDescent="0.4">
      <c r="N169" s="22">
        <v>165</v>
      </c>
      <c r="O169" s="19">
        <v>69.348132224117592</v>
      </c>
      <c r="P169" s="19">
        <v>48.59120488389425</v>
      </c>
    </row>
    <row r="170" spans="14:16" hidden="1" x14ac:dyDescent="0.4">
      <c r="N170" s="22">
        <v>166</v>
      </c>
      <c r="O170" s="19">
        <v>40.840400880066284</v>
      </c>
      <c r="P170" s="19">
        <v>41.232289753033299</v>
      </c>
    </row>
    <row r="171" spans="14:16" hidden="1" x14ac:dyDescent="0.4">
      <c r="N171" s="22">
        <v>167</v>
      </c>
      <c r="O171" s="19">
        <v>31.088979697191803</v>
      </c>
      <c r="P171" s="19">
        <v>31.48086857015879</v>
      </c>
    </row>
    <row r="172" spans="14:16" hidden="1" x14ac:dyDescent="0.4">
      <c r="N172" s="22">
        <v>168</v>
      </c>
      <c r="O172" s="19">
        <v>62.470623395923894</v>
      </c>
      <c r="P172" s="19">
        <v>48.763301460097338</v>
      </c>
    </row>
    <row r="173" spans="14:16" hidden="1" x14ac:dyDescent="0.4">
      <c r="N173" s="22">
        <v>169</v>
      </c>
      <c r="O173" s="19">
        <v>52.554225845807252</v>
      </c>
      <c r="P173" s="19">
        <v>38.846903909980611</v>
      </c>
    </row>
    <row r="174" spans="14:16" hidden="1" x14ac:dyDescent="0.4">
      <c r="N174" s="22">
        <v>170</v>
      </c>
      <c r="O174" s="19">
        <v>60.586118669617292</v>
      </c>
      <c r="P174" s="19">
        <v>46.87879673379075</v>
      </c>
    </row>
    <row r="175" spans="14:16" hidden="1" x14ac:dyDescent="0.4">
      <c r="N175" s="22">
        <v>171</v>
      </c>
      <c r="O175" s="19">
        <v>62.393807076003895</v>
      </c>
      <c r="P175" s="19">
        <v>41.636879735780553</v>
      </c>
    </row>
    <row r="176" spans="14:16" hidden="1" x14ac:dyDescent="0.4">
      <c r="N176" s="22">
        <v>172</v>
      </c>
      <c r="O176" s="19">
        <v>65.340620905066373</v>
      </c>
      <c r="P176" s="19">
        <v>44.583693564843031</v>
      </c>
    </row>
    <row r="177" spans="14:16" hidden="1" x14ac:dyDescent="0.4">
      <c r="N177" s="22">
        <v>173</v>
      </c>
      <c r="O177" s="19">
        <v>62.760474906458057</v>
      </c>
      <c r="P177" s="19">
        <v>56.102758375028216</v>
      </c>
    </row>
    <row r="178" spans="14:16" hidden="1" x14ac:dyDescent="0.4">
      <c r="N178" s="22">
        <v>174</v>
      </c>
      <c r="O178" s="19">
        <v>62.053581203672536</v>
      </c>
      <c r="P178" s="19">
        <v>34.247048459052465</v>
      </c>
    </row>
    <row r="179" spans="14:16" hidden="1" x14ac:dyDescent="0.4">
      <c r="N179" s="22">
        <v>175</v>
      </c>
      <c r="O179" s="19">
        <v>24.012805293479744</v>
      </c>
      <c r="P179" s="19">
        <v>24.404694166446703</v>
      </c>
    </row>
    <row r="180" spans="14:16" hidden="1" x14ac:dyDescent="0.4">
      <c r="N180" s="22">
        <v>176</v>
      </c>
      <c r="O180" s="19">
        <v>46.145802290771655</v>
      </c>
      <c r="P180" s="19">
        <v>39.488085759341814</v>
      </c>
    </row>
    <row r="181" spans="14:16" hidden="1" x14ac:dyDescent="0.4">
      <c r="N181" s="22">
        <v>177</v>
      </c>
      <c r="O181" s="19">
        <v>53.709316499403712</v>
      </c>
      <c r="P181" s="19">
        <v>47.051599967973857</v>
      </c>
    </row>
    <row r="182" spans="14:16" hidden="1" x14ac:dyDescent="0.4">
      <c r="N182" s="22">
        <v>178</v>
      </c>
      <c r="O182" s="19">
        <v>59.983900801823097</v>
      </c>
      <c r="P182" s="19">
        <v>46.276578865996498</v>
      </c>
    </row>
    <row r="183" spans="14:16" hidden="1" x14ac:dyDescent="0.4">
      <c r="N183" s="22">
        <v>179</v>
      </c>
      <c r="O183" s="19">
        <v>39.062864119690232</v>
      </c>
      <c r="P183" s="19">
        <v>39.454752992657191</v>
      </c>
    </row>
    <row r="184" spans="14:16" hidden="1" x14ac:dyDescent="0.4">
      <c r="N184" s="22">
        <v>180</v>
      </c>
      <c r="O184" s="19">
        <v>59.638215829369699</v>
      </c>
      <c r="P184" s="19">
        <v>45.930893893543143</v>
      </c>
    </row>
    <row r="185" spans="14:16" hidden="1" x14ac:dyDescent="0.4">
      <c r="N185" s="22">
        <v>181</v>
      </c>
      <c r="O185" s="19">
        <v>39.107831070365648</v>
      </c>
      <c r="P185" s="19">
        <v>39.499719943332607</v>
      </c>
    </row>
    <row r="186" spans="14:16" hidden="1" x14ac:dyDescent="0.4">
      <c r="N186" s="22">
        <v>182</v>
      </c>
      <c r="O186" s="19">
        <v>52.934076303516747</v>
      </c>
      <c r="P186" s="19">
        <v>46.276359772086963</v>
      </c>
    </row>
    <row r="187" spans="14:16" hidden="1" x14ac:dyDescent="0.4">
      <c r="N187" s="22">
        <v>183</v>
      </c>
      <c r="O187" s="19">
        <v>44.7079362937626</v>
      </c>
      <c r="P187" s="19">
        <v>38.050219762332787</v>
      </c>
    </row>
    <row r="188" spans="14:16" hidden="1" x14ac:dyDescent="0.4">
      <c r="N188" s="22">
        <v>184</v>
      </c>
      <c r="O188" s="19">
        <v>50.072780274201364</v>
      </c>
      <c r="P188" s="19">
        <v>50.464669147168337</v>
      </c>
    </row>
    <row r="189" spans="14:16" hidden="1" x14ac:dyDescent="0.4">
      <c r="N189" s="22">
        <v>185</v>
      </c>
      <c r="O189" s="19">
        <v>34.776123998394269</v>
      </c>
      <c r="P189" s="19">
        <v>35.168012871361185</v>
      </c>
    </row>
    <row r="190" spans="14:16" hidden="1" x14ac:dyDescent="0.4">
      <c r="N190" s="22">
        <v>186</v>
      </c>
      <c r="O190" s="19">
        <v>38.601825445752922</v>
      </c>
      <c r="P190" s="19">
        <v>38.993714318719896</v>
      </c>
    </row>
    <row r="191" spans="14:16" hidden="1" x14ac:dyDescent="0.4">
      <c r="N191" s="22">
        <v>187</v>
      </c>
      <c r="O191" s="19">
        <v>48.22586833126536</v>
      </c>
      <c r="P191" s="19">
        <v>34.51854639543879</v>
      </c>
    </row>
    <row r="192" spans="14:16" hidden="1" x14ac:dyDescent="0.4">
      <c r="N192" s="22">
        <v>188</v>
      </c>
      <c r="O192" s="19">
        <v>40.221882387298592</v>
      </c>
      <c r="P192" s="19">
        <v>33.564165855868737</v>
      </c>
    </row>
    <row r="193" spans="14:16" hidden="1" x14ac:dyDescent="0.4">
      <c r="N193" s="22">
        <v>189</v>
      </c>
      <c r="O193" s="19">
        <v>41.913834306709873</v>
      </c>
      <c r="P193" s="19">
        <v>42.30572317967686</v>
      </c>
    </row>
    <row r="194" spans="14:16" hidden="1" x14ac:dyDescent="0.4">
      <c r="N194" s="22">
        <v>190</v>
      </c>
      <c r="O194" s="19">
        <v>53.975059392207413</v>
      </c>
      <c r="P194" s="19">
        <v>40.2677374563808</v>
      </c>
    </row>
    <row r="195" spans="14:16" hidden="1" x14ac:dyDescent="0.4">
      <c r="N195" s="22">
        <v>191</v>
      </c>
      <c r="O195" s="19">
        <v>52.138263063538943</v>
      </c>
      <c r="P195" s="19">
        <v>38.430941127712416</v>
      </c>
    </row>
    <row r="196" spans="14:16" hidden="1" x14ac:dyDescent="0.4">
      <c r="N196" s="22">
        <v>192</v>
      </c>
      <c r="O196" s="19">
        <v>37.711788109653071</v>
      </c>
      <c r="P196" s="19">
        <v>31.054071578223244</v>
      </c>
    </row>
    <row r="197" spans="14:16" hidden="1" x14ac:dyDescent="0.4">
      <c r="N197" s="22">
        <v>193</v>
      </c>
      <c r="O197" s="19">
        <v>51.945722237211953</v>
      </c>
      <c r="P197" s="19">
        <v>31.188794896988583</v>
      </c>
    </row>
    <row r="198" spans="14:16" hidden="1" x14ac:dyDescent="0.4">
      <c r="N198" s="22">
        <v>194</v>
      </c>
      <c r="O198" s="19">
        <v>48.72099153362592</v>
      </c>
      <c r="P198" s="19">
        <v>35.013669597799321</v>
      </c>
    </row>
    <row r="199" spans="14:16" hidden="1" x14ac:dyDescent="0.4">
      <c r="N199" s="22">
        <v>195</v>
      </c>
      <c r="O199" s="19">
        <v>53.010284827430382</v>
      </c>
      <c r="P199" s="19">
        <v>39.302962891603798</v>
      </c>
    </row>
    <row r="200" spans="14:16" hidden="1" x14ac:dyDescent="0.4">
      <c r="N200" s="22">
        <v>196</v>
      </c>
      <c r="O200" s="19">
        <v>58.817546616295544</v>
      </c>
      <c r="P200" s="19">
        <v>52.159830084865661</v>
      </c>
    </row>
    <row r="201" spans="14:16" hidden="1" x14ac:dyDescent="0.4">
      <c r="N201" s="22">
        <v>197</v>
      </c>
      <c r="O201" s="19">
        <v>58.463324390254343</v>
      </c>
      <c r="P201" s="19">
        <v>44.75600245442773</v>
      </c>
    </row>
    <row r="202" spans="14:16" hidden="1" x14ac:dyDescent="0.4">
      <c r="N202" s="22">
        <v>198</v>
      </c>
      <c r="O202" s="19">
        <v>63.868876136232245</v>
      </c>
      <c r="P202" s="19">
        <v>50.161554200405703</v>
      </c>
    </row>
    <row r="203" spans="14:16" hidden="1" x14ac:dyDescent="0.4">
      <c r="N203" s="22">
        <v>199</v>
      </c>
      <c r="O203" s="19">
        <v>53.026737930663955</v>
      </c>
      <c r="P203" s="19">
        <v>53.418626803630843</v>
      </c>
    </row>
    <row r="204" spans="14:16" hidden="1" x14ac:dyDescent="0.4">
      <c r="N204" s="22">
        <v>200</v>
      </c>
      <c r="O204" s="19">
        <v>55.330739766305555</v>
      </c>
      <c r="P204" s="19">
        <v>41.623417830478985</v>
      </c>
    </row>
    <row r="205" spans="14:16" hidden="1" x14ac:dyDescent="0.4">
      <c r="N205" s="22">
        <v>201</v>
      </c>
      <c r="O205" s="19">
        <v>44.213981647420439</v>
      </c>
      <c r="P205" s="19">
        <v>37.556265115990598</v>
      </c>
    </row>
    <row r="206" spans="14:16" hidden="1" x14ac:dyDescent="0.4">
      <c r="N206" s="22">
        <v>202</v>
      </c>
      <c r="O206" s="19">
        <v>22.72208726407348</v>
      </c>
      <c r="P206" s="19">
        <v>23.113976137040439</v>
      </c>
    </row>
    <row r="207" spans="14:16" hidden="1" x14ac:dyDescent="0.4">
      <c r="N207" s="22">
        <v>203</v>
      </c>
      <c r="O207" s="19">
        <v>60.92955057041172</v>
      </c>
      <c r="P207" s="19">
        <v>40.172623230188407</v>
      </c>
    </row>
    <row r="208" spans="14:16" hidden="1" x14ac:dyDescent="0.4">
      <c r="N208" s="22">
        <v>204</v>
      </c>
      <c r="O208" s="19">
        <v>54.802181113293216</v>
      </c>
      <c r="P208" s="19">
        <v>48.144464581863403</v>
      </c>
    </row>
    <row r="209" spans="14:16" hidden="1" x14ac:dyDescent="0.4">
      <c r="N209" s="22">
        <v>205</v>
      </c>
      <c r="O209" s="19">
        <v>55.187195760435372</v>
      </c>
      <c r="P209" s="19">
        <v>41.479873824608788</v>
      </c>
    </row>
    <row r="210" spans="14:16" hidden="1" x14ac:dyDescent="0.4">
      <c r="N210" s="22">
        <v>206</v>
      </c>
      <c r="O210" s="19">
        <v>42.607842802743619</v>
      </c>
      <c r="P210" s="19">
        <v>28.900520866917034</v>
      </c>
    </row>
    <row r="211" spans="14:16" hidden="1" x14ac:dyDescent="0.4">
      <c r="N211" s="22">
        <v>207</v>
      </c>
      <c r="O211" s="19">
        <v>59.122142336253148</v>
      </c>
      <c r="P211" s="19">
        <v>38.365214996029806</v>
      </c>
    </row>
    <row r="212" spans="14:16" hidden="1" x14ac:dyDescent="0.4">
      <c r="N212" s="22">
        <v>208</v>
      </c>
      <c r="O212" s="19">
        <v>53.954793116927192</v>
      </c>
      <c r="P212" s="19">
        <v>40.247471181100622</v>
      </c>
    </row>
    <row r="213" spans="14:16" hidden="1" x14ac:dyDescent="0.4">
      <c r="N213" s="22">
        <v>209</v>
      </c>
      <c r="O213" s="19">
        <v>46.422114616665965</v>
      </c>
      <c r="P213" s="19">
        <v>46.814003489632938</v>
      </c>
    </row>
    <row r="214" spans="14:16" hidden="1" x14ac:dyDescent="0.4">
      <c r="N214" s="22">
        <v>210</v>
      </c>
      <c r="O214" s="19">
        <v>70.440571037998268</v>
      </c>
      <c r="P214" s="19">
        <v>49.683643697774968</v>
      </c>
    </row>
    <row r="215" spans="14:16" hidden="1" x14ac:dyDescent="0.4">
      <c r="N215" s="22">
        <v>211</v>
      </c>
      <c r="O215" s="19">
        <v>46.655592324639031</v>
      </c>
      <c r="P215" s="19">
        <v>39.997875793209204</v>
      </c>
    </row>
    <row r="216" spans="14:16" hidden="1" x14ac:dyDescent="0.4">
      <c r="N216" s="22">
        <v>212</v>
      </c>
      <c r="O216" s="19">
        <v>58.453216403473675</v>
      </c>
      <c r="P216" s="19">
        <v>30.646683658853632</v>
      </c>
    </row>
    <row r="217" spans="14:16" hidden="1" x14ac:dyDescent="0.4">
      <c r="N217" s="22">
        <v>213</v>
      </c>
      <c r="O217" s="19">
        <v>62.500814347929008</v>
      </c>
      <c r="P217" s="19">
        <v>41.743887007705681</v>
      </c>
    </row>
    <row r="218" spans="14:16" hidden="1" x14ac:dyDescent="0.4">
      <c r="N218" s="22">
        <v>214</v>
      </c>
      <c r="O218" s="19">
        <v>53.412674719893062</v>
      </c>
      <c r="P218" s="19">
        <v>39.705352784066491</v>
      </c>
    </row>
    <row r="219" spans="14:16" hidden="1" x14ac:dyDescent="0.4">
      <c r="N219" s="22">
        <v>215</v>
      </c>
      <c r="O219" s="19">
        <v>54.225682849437646</v>
      </c>
      <c r="P219" s="19">
        <v>40.518360913611062</v>
      </c>
    </row>
    <row r="220" spans="14:16" hidden="1" x14ac:dyDescent="0.4">
      <c r="N220" s="22">
        <v>216</v>
      </c>
      <c r="O220" s="19">
        <v>49.887816037379253</v>
      </c>
      <c r="P220" s="19">
        <v>36.180494101552711</v>
      </c>
    </row>
    <row r="221" spans="14:16" hidden="1" x14ac:dyDescent="0.4">
      <c r="N221" s="22">
        <v>217</v>
      </c>
      <c r="O221" s="19">
        <v>54.06734329132513</v>
      </c>
      <c r="P221" s="19">
        <v>33.310415951101746</v>
      </c>
    </row>
    <row r="222" spans="14:16" hidden="1" x14ac:dyDescent="0.4">
      <c r="N222" s="22">
        <v>218</v>
      </c>
      <c r="O222" s="19">
        <v>45.415804741563022</v>
      </c>
      <c r="P222" s="19">
        <v>38.758088210133181</v>
      </c>
    </row>
    <row r="223" spans="14:16" hidden="1" x14ac:dyDescent="0.4">
      <c r="N223" s="22">
        <v>219</v>
      </c>
      <c r="O223" s="19">
        <v>55.329148530141026</v>
      </c>
      <c r="P223" s="19">
        <v>41.621826594314427</v>
      </c>
    </row>
    <row r="224" spans="14:16" hidden="1" x14ac:dyDescent="0.4">
      <c r="N224" s="22">
        <v>220</v>
      </c>
      <c r="O224" s="19">
        <v>57.151341415342074</v>
      </c>
      <c r="P224" s="19">
        <v>36.394414075118789</v>
      </c>
    </row>
    <row r="225" spans="14:16" hidden="1" x14ac:dyDescent="0.4">
      <c r="N225" s="22">
        <v>221</v>
      </c>
      <c r="O225" s="19">
        <v>42.949479926230197</v>
      </c>
      <c r="P225" s="19">
        <v>29.242157990403655</v>
      </c>
    </row>
    <row r="226" spans="14:16" hidden="1" x14ac:dyDescent="0.4">
      <c r="N226" s="22">
        <v>222</v>
      </c>
      <c r="O226" s="19">
        <v>40.901155736280714</v>
      </c>
      <c r="P226" s="19">
        <v>41.293044609247701</v>
      </c>
    </row>
    <row r="227" spans="14:16" hidden="1" x14ac:dyDescent="0.4">
      <c r="N227" s="22">
        <v>223</v>
      </c>
      <c r="O227" s="19">
        <v>58.118097055438454</v>
      </c>
      <c r="P227" s="19">
        <v>37.361169715215098</v>
      </c>
    </row>
    <row r="228" spans="14:16" hidden="1" x14ac:dyDescent="0.4">
      <c r="N228" s="22">
        <v>224</v>
      </c>
      <c r="O228" s="19">
        <v>51.958412366161554</v>
      </c>
      <c r="P228" s="19">
        <v>38.251090430334969</v>
      </c>
    </row>
    <row r="229" spans="14:16" hidden="1" x14ac:dyDescent="0.4">
      <c r="N229" s="22">
        <v>225</v>
      </c>
      <c r="O229" s="19">
        <v>61.771122542272508</v>
      </c>
      <c r="P229" s="19">
        <v>41.014195202049123</v>
      </c>
    </row>
    <row r="230" spans="14:16" hidden="1" x14ac:dyDescent="0.4">
      <c r="N230" s="22">
        <v>226</v>
      </c>
      <c r="O230" s="19">
        <v>57.358055780102745</v>
      </c>
      <c r="P230" s="19">
        <v>29.551523035482589</v>
      </c>
    </row>
    <row r="231" spans="14:16" hidden="1" x14ac:dyDescent="0.4">
      <c r="N231" s="22">
        <v>227</v>
      </c>
      <c r="O231" s="19">
        <v>62.773396825472503</v>
      </c>
      <c r="P231" s="19">
        <v>49.066074889645918</v>
      </c>
    </row>
    <row r="232" spans="14:16" hidden="1" x14ac:dyDescent="0.4">
      <c r="N232" s="22">
        <v>228</v>
      </c>
      <c r="O232" s="19">
        <v>51.895201118981277</v>
      </c>
      <c r="P232" s="19">
        <v>38.187879183154692</v>
      </c>
    </row>
    <row r="233" spans="14:16" hidden="1" x14ac:dyDescent="0.4">
      <c r="N233" s="22">
        <v>229</v>
      </c>
      <c r="O233" s="19">
        <v>61.675898856752156</v>
      </c>
      <c r="P233" s="19">
        <v>47.968576920925585</v>
      </c>
    </row>
    <row r="234" spans="14:16" hidden="1" x14ac:dyDescent="0.4">
      <c r="N234" s="22">
        <v>230</v>
      </c>
      <c r="O234" s="19">
        <v>44.057984328328473</v>
      </c>
      <c r="P234" s="19">
        <v>37.40026779689866</v>
      </c>
    </row>
    <row r="235" spans="14:16" hidden="1" x14ac:dyDescent="0.4">
      <c r="N235" s="22">
        <v>231</v>
      </c>
      <c r="O235" s="19">
        <v>63.125188150845872</v>
      </c>
      <c r="P235" s="19">
        <v>35.318655406225773</v>
      </c>
    </row>
    <row r="236" spans="14:16" hidden="1" x14ac:dyDescent="0.4">
      <c r="N236" s="22">
        <v>232</v>
      </c>
      <c r="O236" s="19">
        <v>47.971024604577451</v>
      </c>
      <c r="P236" s="19">
        <v>34.263702668750909</v>
      </c>
    </row>
    <row r="237" spans="14:16" hidden="1" x14ac:dyDescent="0.4">
      <c r="N237" s="22">
        <v>233</v>
      </c>
      <c r="O237" s="19">
        <v>60.100784803545594</v>
      </c>
      <c r="P237" s="19">
        <v>32.294252058925551</v>
      </c>
    </row>
    <row r="238" spans="14:16" hidden="1" x14ac:dyDescent="0.4">
      <c r="N238" s="22">
        <v>234</v>
      </c>
      <c r="O238" s="19">
        <v>57.262386880765973</v>
      </c>
      <c r="P238" s="19">
        <v>50.604670349336118</v>
      </c>
    </row>
    <row r="239" spans="14:16" hidden="1" x14ac:dyDescent="0.4">
      <c r="N239" s="22">
        <v>235</v>
      </c>
      <c r="O239" s="19">
        <v>64.338569056407835</v>
      </c>
      <c r="P239" s="19">
        <v>43.581641716184564</v>
      </c>
    </row>
    <row r="240" spans="14:16" hidden="1" x14ac:dyDescent="0.4">
      <c r="N240" s="22">
        <v>236</v>
      </c>
      <c r="O240" s="19">
        <v>44.082249985743317</v>
      </c>
      <c r="P240" s="19">
        <v>30.374928049916804</v>
      </c>
    </row>
    <row r="241" spans="14:16" hidden="1" x14ac:dyDescent="0.4">
      <c r="N241" s="22">
        <v>237</v>
      </c>
      <c r="O241" s="19">
        <v>42.303571571360067</v>
      </c>
      <c r="P241" s="19">
        <v>42.695460444327097</v>
      </c>
    </row>
    <row r="242" spans="14:16" hidden="1" x14ac:dyDescent="0.4">
      <c r="N242" s="22">
        <v>238</v>
      </c>
      <c r="O242" s="19">
        <v>72.670804056020643</v>
      </c>
      <c r="P242" s="19">
        <v>44.864271311400572</v>
      </c>
    </row>
    <row r="243" spans="14:16" hidden="1" x14ac:dyDescent="0.4">
      <c r="N243" s="22">
        <v>239</v>
      </c>
      <c r="O243" s="19">
        <v>40.502600097634684</v>
      </c>
      <c r="P243" s="19">
        <v>40.894488970601685</v>
      </c>
    </row>
    <row r="244" spans="14:16" hidden="1" x14ac:dyDescent="0.4">
      <c r="N244" s="22">
        <v>240</v>
      </c>
      <c r="O244" s="19">
        <v>51.920434866669495</v>
      </c>
      <c r="P244" s="19">
        <v>38.213112930842925</v>
      </c>
    </row>
    <row r="245" spans="14:16" hidden="1" x14ac:dyDescent="0.4">
      <c r="N245" s="22">
        <v>241</v>
      </c>
      <c r="O245" s="19">
        <v>37.292268409040844</v>
      </c>
      <c r="P245" s="19">
        <v>37.684157282007803</v>
      </c>
    </row>
    <row r="246" spans="14:16" hidden="1" x14ac:dyDescent="0.4">
      <c r="N246" s="22">
        <v>242</v>
      </c>
      <c r="O246" s="19">
        <v>40.416658571498829</v>
      </c>
      <c r="P246" s="19">
        <v>33.758942040068959</v>
      </c>
    </row>
    <row r="247" spans="14:16" hidden="1" x14ac:dyDescent="0.4">
      <c r="N247" s="22">
        <v>243</v>
      </c>
      <c r="O247" s="19">
        <v>45.480498228547503</v>
      </c>
      <c r="P247" s="19">
        <v>31.773176292720919</v>
      </c>
    </row>
    <row r="248" spans="14:16" hidden="1" x14ac:dyDescent="0.4">
      <c r="N248" s="22">
        <v>244</v>
      </c>
      <c r="O248" s="19">
        <v>44.271729433527639</v>
      </c>
      <c r="P248" s="19">
        <v>44.66361830649457</v>
      </c>
    </row>
    <row r="249" spans="14:16" hidden="1" x14ac:dyDescent="0.4">
      <c r="N249" s="22">
        <v>245</v>
      </c>
      <c r="O249" s="19">
        <v>57.644737699062205</v>
      </c>
      <c r="P249" s="19">
        <v>43.937415763235634</v>
      </c>
    </row>
    <row r="250" spans="14:16" hidden="1" x14ac:dyDescent="0.4">
      <c r="N250" s="22">
        <v>246</v>
      </c>
      <c r="O250" s="19">
        <v>37.490982405591353</v>
      </c>
      <c r="P250" s="19">
        <v>30.833265874161569</v>
      </c>
    </row>
    <row r="251" spans="14:16" hidden="1" x14ac:dyDescent="0.4">
      <c r="N251" s="22">
        <v>247</v>
      </c>
      <c r="O251" s="19">
        <v>47.463660811562079</v>
      </c>
      <c r="P251" s="19">
        <v>33.75633887573548</v>
      </c>
    </row>
    <row r="252" spans="14:16" hidden="1" x14ac:dyDescent="0.4">
      <c r="N252" s="22">
        <v>248</v>
      </c>
      <c r="O252" s="19">
        <v>81.123992311078439</v>
      </c>
      <c r="P252" s="19">
        <v>53.317459566458368</v>
      </c>
    </row>
    <row r="253" spans="14:16" hidden="1" x14ac:dyDescent="0.4">
      <c r="N253" s="22">
        <v>249</v>
      </c>
      <c r="O253" s="19">
        <v>62.64804746780402</v>
      </c>
      <c r="P253" s="19">
        <v>34.841514723183877</v>
      </c>
    </row>
    <row r="254" spans="14:16" hidden="1" x14ac:dyDescent="0.4">
      <c r="N254" s="22">
        <v>250</v>
      </c>
      <c r="O254" s="19">
        <v>48.886336399194192</v>
      </c>
      <c r="P254" s="19">
        <v>42.228619867764323</v>
      </c>
    </row>
    <row r="255" spans="14:16" hidden="1" x14ac:dyDescent="0.4">
      <c r="N255" s="22">
        <v>251</v>
      </c>
      <c r="O255" s="19">
        <v>42.938936551089967</v>
      </c>
      <c r="P255" s="19">
        <v>36.281220019660154</v>
      </c>
    </row>
    <row r="256" spans="14:16" hidden="1" x14ac:dyDescent="0.4">
      <c r="N256" s="22">
        <v>252</v>
      </c>
      <c r="O256" s="19">
        <v>75.294876481250526</v>
      </c>
      <c r="P256" s="19">
        <v>54.53794914102717</v>
      </c>
    </row>
    <row r="257" spans="14:16" hidden="1" x14ac:dyDescent="0.4">
      <c r="N257" s="22">
        <v>253</v>
      </c>
      <c r="O257" s="19">
        <v>46.246570607838805</v>
      </c>
      <c r="P257" s="19">
        <v>32.539248672012192</v>
      </c>
    </row>
    <row r="258" spans="14:16" hidden="1" x14ac:dyDescent="0.4">
      <c r="N258" s="22">
        <v>254</v>
      </c>
      <c r="O258" s="19">
        <v>51.14645068094211</v>
      </c>
      <c r="P258" s="19">
        <v>30.389523340718767</v>
      </c>
    </row>
    <row r="259" spans="14:16" hidden="1" x14ac:dyDescent="0.4">
      <c r="N259" s="22">
        <v>255</v>
      </c>
      <c r="O259" s="19">
        <v>57.388052774749099</v>
      </c>
      <c r="P259" s="19">
        <v>43.680730838922543</v>
      </c>
    </row>
    <row r="260" spans="14:16" hidden="1" x14ac:dyDescent="0.4">
      <c r="N260" s="22">
        <v>256</v>
      </c>
      <c r="O260" s="19">
        <v>58.586124734716577</v>
      </c>
      <c r="P260" s="19">
        <v>44.87880279888995</v>
      </c>
    </row>
    <row r="261" spans="14:16" hidden="1" x14ac:dyDescent="0.4">
      <c r="N261" s="22">
        <v>257</v>
      </c>
      <c r="O261" s="19">
        <v>51.357752844255344</v>
      </c>
      <c r="P261" s="19">
        <v>44.700036312825517</v>
      </c>
    </row>
    <row r="262" spans="14:16" hidden="1" x14ac:dyDescent="0.4">
      <c r="N262" s="22">
        <v>258</v>
      </c>
      <c r="O262" s="19">
        <v>47.208082656854515</v>
      </c>
      <c r="P262" s="19">
        <v>33.500760721027973</v>
      </c>
    </row>
    <row r="263" spans="14:16" hidden="1" x14ac:dyDescent="0.4">
      <c r="N263" s="22">
        <v>259</v>
      </c>
      <c r="O263" s="19">
        <v>40.36607481732932</v>
      </c>
      <c r="P263" s="19">
        <v>26.658752881502792</v>
      </c>
    </row>
    <row r="264" spans="14:16" hidden="1" x14ac:dyDescent="0.4">
      <c r="N264" s="22">
        <v>260</v>
      </c>
      <c r="O264" s="19">
        <v>64.247092407707839</v>
      </c>
      <c r="P264" s="19">
        <v>43.49016506748454</v>
      </c>
    </row>
    <row r="265" spans="14:16" hidden="1" x14ac:dyDescent="0.4">
      <c r="N265" s="22">
        <v>261</v>
      </c>
      <c r="O265" s="19">
        <v>44.688921433113876</v>
      </c>
      <c r="P265" s="19">
        <v>45.080810306080863</v>
      </c>
    </row>
    <row r="266" spans="14:16" hidden="1" x14ac:dyDescent="0.4">
      <c r="N266" s="22">
        <v>262</v>
      </c>
      <c r="O266" s="19">
        <v>74.592704573776246</v>
      </c>
      <c r="P266" s="19">
        <v>53.835777233552946</v>
      </c>
    </row>
    <row r="267" spans="14:16" hidden="1" x14ac:dyDescent="0.4">
      <c r="N267" s="22">
        <v>263</v>
      </c>
      <c r="O267" s="19">
        <v>60.818509583205639</v>
      </c>
      <c r="P267" s="19">
        <v>47.111187647379111</v>
      </c>
    </row>
    <row r="268" spans="14:16" hidden="1" x14ac:dyDescent="0.4">
      <c r="N268" s="22">
        <v>264</v>
      </c>
      <c r="O268" s="19">
        <v>36.124940501064543</v>
      </c>
      <c r="P268" s="19">
        <v>36.516829374031531</v>
      </c>
    </row>
    <row r="269" spans="14:16" hidden="1" x14ac:dyDescent="0.4">
      <c r="N269" s="22">
        <v>265</v>
      </c>
      <c r="O269" s="19">
        <v>55.327355924507344</v>
      </c>
      <c r="P269" s="19">
        <v>41.62003398868076</v>
      </c>
    </row>
    <row r="270" spans="14:16" hidden="1" x14ac:dyDescent="0.4">
      <c r="N270" s="22">
        <v>266</v>
      </c>
      <c r="O270" s="19">
        <v>66.494724212903009</v>
      </c>
      <c r="P270" s="19">
        <v>45.737796872679638</v>
      </c>
    </row>
    <row r="271" spans="14:16" hidden="1" x14ac:dyDescent="0.4">
      <c r="N271" s="22">
        <v>267</v>
      </c>
      <c r="O271" s="19">
        <v>39.674192865579357</v>
      </c>
      <c r="P271" s="19">
        <v>40.066081738546316</v>
      </c>
    </row>
    <row r="272" spans="14:16" hidden="1" x14ac:dyDescent="0.4">
      <c r="N272" s="22">
        <v>268</v>
      </c>
      <c r="O272" s="19">
        <v>65.425611436763973</v>
      </c>
      <c r="P272" s="19">
        <v>44.66868409654063</v>
      </c>
    </row>
    <row r="273" spans="14:16" hidden="1" x14ac:dyDescent="0.4">
      <c r="N273" s="22">
        <v>269</v>
      </c>
      <c r="O273" s="19">
        <v>58.833768117444549</v>
      </c>
      <c r="P273" s="19">
        <v>52.176051586014722</v>
      </c>
    </row>
    <row r="274" spans="14:16" hidden="1" x14ac:dyDescent="0.4">
      <c r="N274" s="22">
        <v>270</v>
      </c>
      <c r="O274" s="19">
        <v>54.352160773180174</v>
      </c>
      <c r="P274" s="19">
        <v>47.694444241750332</v>
      </c>
    </row>
    <row r="275" spans="14:16" hidden="1" x14ac:dyDescent="0.4">
      <c r="N275" s="22">
        <v>271</v>
      </c>
      <c r="O275" s="19">
        <v>72.0656331369795</v>
      </c>
      <c r="P275" s="19">
        <v>44.259100392359429</v>
      </c>
    </row>
    <row r="276" spans="14:16" hidden="1" x14ac:dyDescent="0.4">
      <c r="N276" s="22">
        <v>272</v>
      </c>
      <c r="O276" s="19">
        <v>33.711489224383513</v>
      </c>
      <c r="P276" s="19">
        <v>27.0537726929537</v>
      </c>
    </row>
    <row r="277" spans="14:16" hidden="1" x14ac:dyDescent="0.4">
      <c r="N277" s="22">
        <v>273</v>
      </c>
      <c r="O277" s="19">
        <v>60.586988757338531</v>
      </c>
      <c r="P277" s="19">
        <v>46.879666821511947</v>
      </c>
    </row>
    <row r="278" spans="14:16" hidden="1" x14ac:dyDescent="0.4">
      <c r="N278" s="22">
        <v>274</v>
      </c>
      <c r="O278" s="19">
        <v>50.574215495883379</v>
      </c>
      <c r="P278" s="19">
        <v>43.916498964453552</v>
      </c>
    </row>
    <row r="279" spans="14:16" hidden="1" x14ac:dyDescent="0.4">
      <c r="N279" s="22">
        <v>275</v>
      </c>
      <c r="O279" s="19">
        <v>51.87717736469483</v>
      </c>
      <c r="P279" s="19">
        <v>45.219460833264961</v>
      </c>
    </row>
    <row r="280" spans="14:16" hidden="1" x14ac:dyDescent="0.4">
      <c r="N280" s="22">
        <v>276</v>
      </c>
      <c r="O280" s="19">
        <v>51.567166236750609</v>
      </c>
      <c r="P280" s="19">
        <v>30.810238896527267</v>
      </c>
    </row>
    <row r="281" spans="14:16" hidden="1" x14ac:dyDescent="0.4">
      <c r="N281" s="22">
        <v>277</v>
      </c>
      <c r="O281" s="19">
        <v>46.716809051179553</v>
      </c>
      <c r="P281" s="19">
        <v>40.059092519749754</v>
      </c>
    </row>
    <row r="282" spans="14:16" hidden="1" x14ac:dyDescent="0.4">
      <c r="N282" s="22">
        <v>278</v>
      </c>
      <c r="O282" s="19">
        <v>69.430763975976731</v>
      </c>
      <c r="P282" s="19">
        <v>48.673836635753432</v>
      </c>
    </row>
    <row r="283" spans="14:16" hidden="1" x14ac:dyDescent="0.4">
      <c r="N283" s="22">
        <v>279</v>
      </c>
      <c r="O283" s="19">
        <v>51.683248027967409</v>
      </c>
      <c r="P283" s="19">
        <v>45.025531496537539</v>
      </c>
    </row>
    <row r="284" spans="14:16" hidden="1" x14ac:dyDescent="0.4">
      <c r="N284" s="22">
        <v>280</v>
      </c>
      <c r="O284" s="19">
        <v>47.982357226311478</v>
      </c>
      <c r="P284" s="19">
        <v>41.324640694881737</v>
      </c>
    </row>
    <row r="285" spans="14:16" hidden="1" x14ac:dyDescent="0.4">
      <c r="N285" s="22">
        <v>281</v>
      </c>
      <c r="O285" s="19">
        <v>32.75794788881916</v>
      </c>
      <c r="P285" s="19">
        <v>26.100231357389333</v>
      </c>
    </row>
    <row r="286" spans="14:16" hidden="1" x14ac:dyDescent="0.4">
      <c r="N286" s="22">
        <v>282</v>
      </c>
      <c r="O286" s="19">
        <v>29.30979128543828</v>
      </c>
      <c r="P286" s="19">
        <v>29.701680158405225</v>
      </c>
    </row>
    <row r="287" spans="14:16" hidden="1" x14ac:dyDescent="0.4">
      <c r="N287" s="22">
        <v>283</v>
      </c>
      <c r="O287" s="19">
        <v>26.600073198143662</v>
      </c>
      <c r="P287" s="19">
        <v>26.991962071110592</v>
      </c>
    </row>
    <row r="288" spans="14:16" hidden="1" x14ac:dyDescent="0.4">
      <c r="N288" s="22">
        <v>284</v>
      </c>
      <c r="O288" s="19">
        <v>67.781592198347369</v>
      </c>
      <c r="P288" s="19">
        <v>47.024664858124027</v>
      </c>
    </row>
    <row r="289" spans="14:16" hidden="1" x14ac:dyDescent="0.4">
      <c r="N289" s="22">
        <v>285</v>
      </c>
      <c r="O289" s="19">
        <v>43.093864668592744</v>
      </c>
      <c r="P289" s="19">
        <v>29.386542732766202</v>
      </c>
    </row>
    <row r="290" spans="14:16" hidden="1" x14ac:dyDescent="0.4">
      <c r="N290" s="22">
        <v>286</v>
      </c>
      <c r="O290" s="19">
        <v>51.651157197079783</v>
      </c>
      <c r="P290" s="19">
        <v>44.99344066564997</v>
      </c>
    </row>
    <row r="291" spans="14:16" hidden="1" x14ac:dyDescent="0.4">
      <c r="N291" s="22">
        <v>287</v>
      </c>
      <c r="O291" s="19">
        <v>47.631717269112244</v>
      </c>
      <c r="P291" s="19">
        <v>48.023606142079231</v>
      </c>
    </row>
    <row r="292" spans="14:16" hidden="1" x14ac:dyDescent="0.4">
      <c r="N292" s="22">
        <v>288</v>
      </c>
      <c r="O292" s="19">
        <v>61.41495170772248</v>
      </c>
      <c r="P292" s="19">
        <v>47.707629771895853</v>
      </c>
    </row>
    <row r="293" spans="14:16" hidden="1" x14ac:dyDescent="0.4">
      <c r="N293" s="22">
        <v>289</v>
      </c>
      <c r="O293" s="19">
        <v>58.096308829758698</v>
      </c>
      <c r="P293" s="19">
        <v>37.339381489535356</v>
      </c>
    </row>
    <row r="294" spans="14:16" hidden="1" x14ac:dyDescent="0.4">
      <c r="N294" s="22">
        <v>290</v>
      </c>
      <c r="O294" s="19">
        <v>61.403580275902527</v>
      </c>
      <c r="P294" s="19">
        <v>47.696258340076</v>
      </c>
    </row>
    <row r="295" spans="14:16" hidden="1" x14ac:dyDescent="0.4">
      <c r="N295" s="22">
        <v>291</v>
      </c>
      <c r="O295" s="19">
        <v>60.806483445788672</v>
      </c>
      <c r="P295" s="19">
        <v>40.049556105565287</v>
      </c>
    </row>
    <row r="296" spans="14:16" hidden="1" x14ac:dyDescent="0.4">
      <c r="N296" s="22">
        <v>292</v>
      </c>
      <c r="O296" s="19">
        <v>64.367770539824164</v>
      </c>
      <c r="P296" s="19">
        <v>36.561237795204093</v>
      </c>
    </row>
    <row r="297" spans="14:16" hidden="1" x14ac:dyDescent="0.4">
      <c r="N297" s="22">
        <v>293</v>
      </c>
      <c r="O297" s="19">
        <v>51.769158455014178</v>
      </c>
      <c r="P297" s="19">
        <v>31.012231114790865</v>
      </c>
    </row>
    <row r="298" spans="14:16" hidden="1" x14ac:dyDescent="0.4">
      <c r="N298" s="22">
        <v>294</v>
      </c>
      <c r="O298" s="19">
        <v>51.847778958188371</v>
      </c>
      <c r="P298" s="19">
        <v>38.140457022361829</v>
      </c>
    </row>
    <row r="299" spans="14:16" hidden="1" x14ac:dyDescent="0.4">
      <c r="N299" s="22">
        <v>295</v>
      </c>
      <c r="O299" s="19">
        <v>42.125832974223158</v>
      </c>
      <c r="P299" s="19">
        <v>35.46811644279336</v>
      </c>
    </row>
    <row r="300" spans="14:16" hidden="1" x14ac:dyDescent="0.4">
      <c r="N300" s="22">
        <v>296</v>
      </c>
      <c r="O300" s="19">
        <v>62.892610636942095</v>
      </c>
      <c r="P300" s="19">
        <v>35.086077892322024</v>
      </c>
    </row>
    <row r="301" spans="14:16" hidden="1" x14ac:dyDescent="0.4">
      <c r="N301" s="22">
        <v>297</v>
      </c>
      <c r="O301" s="19">
        <v>43.774729277843107</v>
      </c>
      <c r="P301" s="19">
        <v>30.067407342016523</v>
      </c>
    </row>
    <row r="302" spans="14:16" hidden="1" x14ac:dyDescent="0.4">
      <c r="N302" s="22">
        <v>298</v>
      </c>
      <c r="O302" s="19">
        <v>44.329688615568102</v>
      </c>
      <c r="P302" s="19">
        <v>30.622366679741546</v>
      </c>
    </row>
    <row r="303" spans="14:16" hidden="1" x14ac:dyDescent="0.4">
      <c r="N303" s="22">
        <v>299</v>
      </c>
      <c r="O303" s="19">
        <v>62.391752706861382</v>
      </c>
      <c r="P303" s="19">
        <v>48.684430771034812</v>
      </c>
    </row>
    <row r="304" spans="14:16" hidden="1" x14ac:dyDescent="0.4">
      <c r="N304" s="22">
        <v>300</v>
      </c>
      <c r="O304" s="19">
        <v>43.818837997179969</v>
      </c>
      <c r="P304" s="19">
        <v>37.161121465750171</v>
      </c>
    </row>
    <row r="305" spans="14:16" hidden="1" x14ac:dyDescent="0.4">
      <c r="N305" s="22">
        <v>301</v>
      </c>
      <c r="O305" s="19">
        <v>50.514685858677751</v>
      </c>
      <c r="P305" s="19">
        <v>43.856969327247938</v>
      </c>
    </row>
    <row r="306" spans="14:16" hidden="1" x14ac:dyDescent="0.4">
      <c r="N306" s="22">
        <v>302</v>
      </c>
      <c r="O306" s="19">
        <v>59.389615630621563</v>
      </c>
      <c r="P306" s="19">
        <v>45.682293694795021</v>
      </c>
    </row>
    <row r="307" spans="14:16" hidden="1" x14ac:dyDescent="0.4">
      <c r="N307" s="22">
        <v>303</v>
      </c>
      <c r="O307" s="19">
        <v>77.325231216528209</v>
      </c>
      <c r="P307" s="19">
        <v>49.51869847190811</v>
      </c>
    </row>
    <row r="308" spans="14:16" hidden="1" x14ac:dyDescent="0.4">
      <c r="N308" s="22">
        <v>304</v>
      </c>
      <c r="O308" s="19">
        <v>55.207394377939522</v>
      </c>
      <c r="P308" s="19">
        <v>41.50007244211298</v>
      </c>
    </row>
    <row r="309" spans="14:16" hidden="1" x14ac:dyDescent="0.4">
      <c r="N309" s="22">
        <v>305</v>
      </c>
      <c r="O309" s="19">
        <v>55.85174660224169</v>
      </c>
      <c r="P309" s="19">
        <v>42.144424666415048</v>
      </c>
    </row>
    <row r="310" spans="14:16" hidden="1" x14ac:dyDescent="0.4">
      <c r="N310" s="22">
        <v>306</v>
      </c>
      <c r="O310" s="19">
        <v>52.09453918757805</v>
      </c>
      <c r="P310" s="19">
        <v>38.387217251751423</v>
      </c>
    </row>
    <row r="311" spans="14:16" hidden="1" x14ac:dyDescent="0.4">
      <c r="N311" s="22">
        <v>307</v>
      </c>
      <c r="O311" s="19">
        <v>53.807737553047104</v>
      </c>
      <c r="P311" s="19">
        <v>40.100415617220548</v>
      </c>
    </row>
    <row r="312" spans="14:16" hidden="1" x14ac:dyDescent="0.4">
      <c r="N312" s="22">
        <v>308</v>
      </c>
      <c r="O312" s="19">
        <v>46.888233849724713</v>
      </c>
      <c r="P312" s="19">
        <v>19.081701105104656</v>
      </c>
    </row>
    <row r="313" spans="14:16" hidden="1" x14ac:dyDescent="0.4">
      <c r="N313" s="22">
        <v>309</v>
      </c>
      <c r="O313" s="19">
        <v>62.612278502532433</v>
      </c>
      <c r="P313" s="19">
        <v>48.904956566705877</v>
      </c>
    </row>
    <row r="314" spans="14:16" hidden="1" x14ac:dyDescent="0.4">
      <c r="N314" s="22">
        <v>310</v>
      </c>
      <c r="O314" s="19">
        <v>62.255004905692886</v>
      </c>
      <c r="P314" s="19">
        <v>34.4484721610728</v>
      </c>
    </row>
    <row r="315" spans="14:16" hidden="1" x14ac:dyDescent="0.4">
      <c r="N315" s="22">
        <v>311</v>
      </c>
      <c r="O315" s="19">
        <v>56.208534513748646</v>
      </c>
      <c r="P315" s="19">
        <v>49.550817982318833</v>
      </c>
    </row>
    <row r="316" spans="14:16" hidden="1" x14ac:dyDescent="0.4">
      <c r="N316" s="22">
        <v>312</v>
      </c>
      <c r="O316" s="19">
        <v>49.802106901719526</v>
      </c>
      <c r="P316" s="19">
        <v>50.193995774686428</v>
      </c>
    </row>
    <row r="317" spans="14:16" hidden="1" x14ac:dyDescent="0.4">
      <c r="N317" s="22">
        <v>313</v>
      </c>
      <c r="O317" s="19">
        <v>60.631310185322093</v>
      </c>
      <c r="P317" s="19">
        <v>32.824777440701979</v>
      </c>
    </row>
    <row r="318" spans="14:16" hidden="1" x14ac:dyDescent="0.4">
      <c r="N318" s="22">
        <v>314</v>
      </c>
      <c r="O318" s="19">
        <v>35.363631062438628</v>
      </c>
      <c r="P318" s="19">
        <v>28.705914531008844</v>
      </c>
    </row>
    <row r="319" spans="14:16" hidden="1" x14ac:dyDescent="0.4">
      <c r="N319" s="22">
        <v>315</v>
      </c>
      <c r="O319" s="19">
        <v>51.475509898183645</v>
      </c>
      <c r="P319" s="19">
        <v>37.768187962357061</v>
      </c>
    </row>
    <row r="320" spans="14:16" hidden="1" x14ac:dyDescent="0.4">
      <c r="N320" s="22">
        <v>316</v>
      </c>
      <c r="O320" s="19">
        <v>41.847173033075762</v>
      </c>
      <c r="P320" s="19">
        <v>42.23906190604275</v>
      </c>
    </row>
    <row r="321" spans="14:16" hidden="1" x14ac:dyDescent="0.4">
      <c r="N321" s="22">
        <v>317</v>
      </c>
      <c r="O321" s="19">
        <v>40.02700560654182</v>
      </c>
      <c r="P321" s="19">
        <v>33.369289075112022</v>
      </c>
    </row>
    <row r="322" spans="14:16" hidden="1" x14ac:dyDescent="0.4">
      <c r="N322" s="22">
        <v>318</v>
      </c>
      <c r="O322" s="19">
        <v>53.067943081354201</v>
      </c>
      <c r="P322" s="19">
        <v>46.410226549924388</v>
      </c>
    </row>
    <row r="323" spans="14:16" hidden="1" x14ac:dyDescent="0.4">
      <c r="N323" s="22">
        <v>319</v>
      </c>
      <c r="O323" s="19">
        <v>64.178090661219585</v>
      </c>
      <c r="P323" s="19">
        <v>43.421163320996286</v>
      </c>
    </row>
    <row r="324" spans="14:16" hidden="1" x14ac:dyDescent="0.4">
      <c r="N324" s="22">
        <v>320</v>
      </c>
      <c r="O324" s="19">
        <v>61.848513876231891</v>
      </c>
      <c r="P324" s="19">
        <v>48.141191940405335</v>
      </c>
    </row>
    <row r="325" spans="14:16" hidden="1" x14ac:dyDescent="0.4">
      <c r="N325" s="22">
        <v>321</v>
      </c>
      <c r="O325" s="19">
        <v>58.673721085552586</v>
      </c>
      <c r="P325" s="19">
        <v>37.91679374532923</v>
      </c>
    </row>
    <row r="326" spans="14:16" hidden="1" x14ac:dyDescent="0.4">
      <c r="N326" s="22">
        <v>322</v>
      </c>
      <c r="O326" s="19">
        <v>53.806463031113651</v>
      </c>
      <c r="P326" s="19">
        <v>33.049535690890309</v>
      </c>
    </row>
    <row r="327" spans="14:16" hidden="1" x14ac:dyDescent="0.4">
      <c r="N327" s="22">
        <v>323</v>
      </c>
      <c r="O327" s="19">
        <v>63.235595928511486</v>
      </c>
      <c r="P327" s="19">
        <v>35.429063183891401</v>
      </c>
    </row>
    <row r="328" spans="14:16" hidden="1" x14ac:dyDescent="0.4">
      <c r="N328" s="22">
        <v>324</v>
      </c>
      <c r="O328" s="19">
        <v>41.787856337564619</v>
      </c>
      <c r="P328" s="19">
        <v>35.130139806134807</v>
      </c>
    </row>
    <row r="329" spans="14:16" hidden="1" x14ac:dyDescent="0.4">
      <c r="N329" s="22">
        <v>325</v>
      </c>
      <c r="O329" s="19">
        <v>65.011491142227044</v>
      </c>
      <c r="P329" s="19">
        <v>37.204958397606958</v>
      </c>
    </row>
    <row r="330" spans="14:16" hidden="1" x14ac:dyDescent="0.4">
      <c r="N330" s="22">
        <v>326</v>
      </c>
      <c r="O330" s="19">
        <v>51.471211107171712</v>
      </c>
      <c r="P330" s="19">
        <v>51.863099980138671</v>
      </c>
    </row>
    <row r="331" spans="14:16" hidden="1" x14ac:dyDescent="0.4">
      <c r="N331" s="22">
        <v>327</v>
      </c>
      <c r="O331" s="19">
        <v>69.176489308386692</v>
      </c>
      <c r="P331" s="19">
        <v>48.419561968163322</v>
      </c>
    </row>
    <row r="332" spans="14:16" hidden="1" x14ac:dyDescent="0.4">
      <c r="N332" s="22">
        <v>328</v>
      </c>
      <c r="O332" s="19">
        <v>34.432683899503161</v>
      </c>
      <c r="P332" s="19">
        <v>34.82457277247012</v>
      </c>
    </row>
    <row r="333" spans="14:16" hidden="1" x14ac:dyDescent="0.4">
      <c r="N333" s="22">
        <v>329</v>
      </c>
      <c r="O333" s="19">
        <v>51.083662067183241</v>
      </c>
      <c r="P333" s="19">
        <v>44.425945535753399</v>
      </c>
    </row>
    <row r="334" spans="14:16" hidden="1" x14ac:dyDescent="0.4">
      <c r="N334" s="22">
        <v>330</v>
      </c>
      <c r="O334" s="19">
        <v>56.198916828280062</v>
      </c>
      <c r="P334" s="19">
        <v>42.491594892453477</v>
      </c>
    </row>
    <row r="335" spans="14:16" hidden="1" x14ac:dyDescent="0.4">
      <c r="N335" s="22">
        <v>331</v>
      </c>
      <c r="O335" s="19">
        <v>50.680827337681194</v>
      </c>
      <c r="P335" s="19">
        <v>44.023110806251381</v>
      </c>
    </row>
    <row r="336" spans="14:16" hidden="1" x14ac:dyDescent="0.4">
      <c r="N336" s="22">
        <v>332</v>
      </c>
      <c r="O336" s="19">
        <v>61.362746856404215</v>
      </c>
      <c r="P336" s="19">
        <v>40.605819516180873</v>
      </c>
    </row>
    <row r="337" spans="14:16" hidden="1" x14ac:dyDescent="0.4">
      <c r="N337" s="22">
        <v>333</v>
      </c>
      <c r="O337" s="19">
        <v>40.960802771509918</v>
      </c>
      <c r="P337" s="19">
        <v>34.303086240080148</v>
      </c>
    </row>
    <row r="338" spans="14:16" hidden="1" x14ac:dyDescent="0.4">
      <c r="N338" s="22">
        <v>334</v>
      </c>
      <c r="O338" s="19">
        <v>55.252478719754833</v>
      </c>
      <c r="P338" s="19">
        <v>34.495551379531506</v>
      </c>
    </row>
    <row r="339" spans="14:16" hidden="1" x14ac:dyDescent="0.4">
      <c r="N339" s="22">
        <v>335</v>
      </c>
      <c r="O339" s="19">
        <v>44.739844810913212</v>
      </c>
      <c r="P339" s="19">
        <v>45.131733683880199</v>
      </c>
    </row>
    <row r="340" spans="14:16" hidden="1" x14ac:dyDescent="0.4">
      <c r="N340" s="22">
        <v>336</v>
      </c>
      <c r="O340" s="19">
        <v>43.395703482582462</v>
      </c>
      <c r="P340" s="19">
        <v>29.688381546755892</v>
      </c>
    </row>
    <row r="341" spans="14:16" hidden="1" x14ac:dyDescent="0.4">
      <c r="N341" s="22">
        <v>337</v>
      </c>
      <c r="O341" s="19">
        <v>37.85939379732099</v>
      </c>
      <c r="P341" s="19">
        <v>24.152071861494406</v>
      </c>
    </row>
    <row r="342" spans="14:16" hidden="1" x14ac:dyDescent="0.4">
      <c r="N342" s="22">
        <v>338</v>
      </c>
      <c r="O342" s="19">
        <v>76.630563007095418</v>
      </c>
      <c r="P342" s="19">
        <v>48.824030262475347</v>
      </c>
    </row>
    <row r="343" spans="14:16" hidden="1" x14ac:dyDescent="0.4">
      <c r="N343" s="22">
        <v>339</v>
      </c>
      <c r="O343" s="19">
        <v>49.805138437235939</v>
      </c>
      <c r="P343" s="19">
        <v>43.147421905806098</v>
      </c>
    </row>
    <row r="344" spans="14:16" hidden="1" x14ac:dyDescent="0.4">
      <c r="N344" s="22">
        <v>340</v>
      </c>
      <c r="O344" s="19">
        <v>63.192985953706284</v>
      </c>
      <c r="P344" s="19">
        <v>42.436058613482999</v>
      </c>
    </row>
    <row r="345" spans="14:16" hidden="1" x14ac:dyDescent="0.4">
      <c r="N345" s="22">
        <v>341</v>
      </c>
      <c r="O345" s="19">
        <v>73.922137976285228</v>
      </c>
      <c r="P345" s="19">
        <v>53.165210636061843</v>
      </c>
    </row>
    <row r="346" spans="14:16" hidden="1" x14ac:dyDescent="0.4">
      <c r="N346" s="22">
        <v>342</v>
      </c>
      <c r="O346" s="19">
        <v>57.385769227546177</v>
      </c>
      <c r="P346" s="19">
        <v>36.628841887322821</v>
      </c>
    </row>
    <row r="347" spans="14:16" hidden="1" x14ac:dyDescent="0.4">
      <c r="N347" s="22">
        <v>343</v>
      </c>
      <c r="O347" s="19">
        <v>65.288578041696837</v>
      </c>
      <c r="P347" s="19">
        <v>51.581256105870224</v>
      </c>
    </row>
    <row r="348" spans="14:16" hidden="1" x14ac:dyDescent="0.4">
      <c r="N348" s="22">
        <v>344</v>
      </c>
      <c r="O348" s="19">
        <v>61.692255454649057</v>
      </c>
      <c r="P348" s="19">
        <v>55.034538923219202</v>
      </c>
    </row>
    <row r="349" spans="14:16" hidden="1" x14ac:dyDescent="0.4">
      <c r="N349" s="22">
        <v>345</v>
      </c>
      <c r="O349" s="19">
        <v>43.467712619179622</v>
      </c>
      <c r="P349" s="19">
        <v>29.760390683353052</v>
      </c>
    </row>
    <row r="350" spans="14:16" hidden="1" x14ac:dyDescent="0.4">
      <c r="N350" s="22">
        <v>346</v>
      </c>
      <c r="O350" s="19">
        <v>42.304457187670607</v>
      </c>
      <c r="P350" s="19">
        <v>42.69634606063758</v>
      </c>
    </row>
    <row r="351" spans="14:16" hidden="1" x14ac:dyDescent="0.4">
      <c r="N351" s="22">
        <v>347</v>
      </c>
      <c r="O351" s="19">
        <v>48.201425040403421</v>
      </c>
      <c r="P351" s="19">
        <v>41.543708508973538</v>
      </c>
    </row>
    <row r="352" spans="14:16" hidden="1" x14ac:dyDescent="0.4">
      <c r="N352" s="22">
        <v>348</v>
      </c>
      <c r="O352" s="19">
        <v>62.541790036739769</v>
      </c>
      <c r="P352" s="19">
        <v>41.784862696516427</v>
      </c>
    </row>
    <row r="353" spans="14:16" hidden="1" x14ac:dyDescent="0.4">
      <c r="N353" s="22">
        <v>349</v>
      </c>
      <c r="O353" s="19">
        <v>59.805795258838202</v>
      </c>
      <c r="P353" s="19">
        <v>46.098473323011618</v>
      </c>
    </row>
    <row r="354" spans="14:16" hidden="1" x14ac:dyDescent="0.4">
      <c r="N354" s="22">
        <v>350</v>
      </c>
      <c r="O354" s="19">
        <v>47.515852174405154</v>
      </c>
      <c r="P354" s="19">
        <v>47.907741047372113</v>
      </c>
    </row>
    <row r="355" spans="14:16" hidden="1" x14ac:dyDescent="0.4">
      <c r="N355" s="22">
        <v>351</v>
      </c>
      <c r="O355" s="19">
        <v>44.746785306790059</v>
      </c>
      <c r="P355" s="19">
        <v>38.089068775360232</v>
      </c>
    </row>
    <row r="356" spans="14:16" hidden="1" x14ac:dyDescent="0.4">
      <c r="N356" s="22">
        <v>352</v>
      </c>
      <c r="O356" s="19">
        <v>49.586488046193381</v>
      </c>
      <c r="P356" s="19">
        <v>35.879166110366768</v>
      </c>
    </row>
    <row r="357" spans="14:16" hidden="1" x14ac:dyDescent="0.4">
      <c r="N357" s="22">
        <v>353</v>
      </c>
      <c r="O357" s="19">
        <v>49.388033457087886</v>
      </c>
      <c r="P357" s="19">
        <v>42.730316925658059</v>
      </c>
    </row>
    <row r="358" spans="14:16" hidden="1" x14ac:dyDescent="0.4">
      <c r="N358" s="22">
        <v>354</v>
      </c>
      <c r="O358" s="19">
        <v>58.718616694416539</v>
      </c>
      <c r="P358" s="19">
        <v>37.961689354193197</v>
      </c>
    </row>
    <row r="359" spans="14:16" hidden="1" x14ac:dyDescent="0.4">
      <c r="N359" s="22">
        <v>355</v>
      </c>
      <c r="O359" s="19">
        <v>32.934879624585278</v>
      </c>
      <c r="P359" s="19">
        <v>33.326768497552266</v>
      </c>
    </row>
    <row r="360" spans="14:16" hidden="1" x14ac:dyDescent="0.4">
      <c r="N360" s="22">
        <v>356</v>
      </c>
      <c r="O360" s="19">
        <v>59.668961543897865</v>
      </c>
      <c r="P360" s="19">
        <v>45.961639608071266</v>
      </c>
    </row>
    <row r="361" spans="14:16" hidden="1" x14ac:dyDescent="0.4">
      <c r="N361" s="22">
        <v>357</v>
      </c>
      <c r="O361" s="19">
        <v>66.563784891263197</v>
      </c>
      <c r="P361" s="19">
        <v>38.757252146643111</v>
      </c>
    </row>
    <row r="362" spans="14:16" hidden="1" x14ac:dyDescent="0.4">
      <c r="N362" s="22">
        <v>358</v>
      </c>
      <c r="O362" s="19">
        <v>56.614983401988752</v>
      </c>
      <c r="P362" s="19">
        <v>42.907661466162182</v>
      </c>
    </row>
    <row r="363" spans="14:16" hidden="1" x14ac:dyDescent="0.4">
      <c r="N363" s="22">
        <v>359</v>
      </c>
      <c r="O363" s="19">
        <v>46.488590670206975</v>
      </c>
      <c r="P363" s="19">
        <v>32.78126873438039</v>
      </c>
    </row>
    <row r="364" spans="14:16" hidden="1" x14ac:dyDescent="0.4">
      <c r="N364" s="22">
        <v>360</v>
      </c>
      <c r="O364" s="19">
        <v>37.152369697764868</v>
      </c>
      <c r="P364" s="19">
        <v>37.544258570731856</v>
      </c>
    </row>
    <row r="365" spans="14:16" hidden="1" x14ac:dyDescent="0.4">
      <c r="N365" s="22">
        <v>361</v>
      </c>
      <c r="O365" s="19">
        <v>63.456378309538024</v>
      </c>
      <c r="P365" s="19">
        <v>42.699450969314739</v>
      </c>
    </row>
    <row r="366" spans="14:16" hidden="1" x14ac:dyDescent="0.4">
      <c r="N366" s="22">
        <v>362</v>
      </c>
      <c r="O366" s="19">
        <v>52.427953038361068</v>
      </c>
      <c r="P366" s="19">
        <v>38.720631102534483</v>
      </c>
    </row>
    <row r="367" spans="14:16" hidden="1" x14ac:dyDescent="0.4">
      <c r="N367" s="22">
        <v>363</v>
      </c>
      <c r="O367" s="19">
        <v>68.380193782072297</v>
      </c>
      <c r="P367" s="19">
        <v>40.573661037452197</v>
      </c>
    </row>
    <row r="368" spans="14:16" hidden="1" x14ac:dyDescent="0.4">
      <c r="N368" s="22">
        <v>364</v>
      </c>
      <c r="O368" s="19">
        <v>64.17067894478015</v>
      </c>
      <c r="P368" s="19">
        <v>50.463357008953551</v>
      </c>
    </row>
    <row r="369" spans="14:16" hidden="1" x14ac:dyDescent="0.4">
      <c r="N369" s="22">
        <v>365</v>
      </c>
      <c r="O369" s="19">
        <v>49.354864333476371</v>
      </c>
      <c r="P369" s="19">
        <v>28.597936993253029</v>
      </c>
    </row>
    <row r="370" spans="14:16" hidden="1" x14ac:dyDescent="0.4">
      <c r="N370" s="22">
        <v>366</v>
      </c>
      <c r="O370" s="19">
        <v>49.035536316626576</v>
      </c>
      <c r="P370" s="19">
        <v>35.328214380800034</v>
      </c>
    </row>
    <row r="371" spans="14:16" hidden="1" x14ac:dyDescent="0.4">
      <c r="N371" s="22">
        <v>367</v>
      </c>
      <c r="O371" s="19">
        <v>34.690038359264406</v>
      </c>
      <c r="P371" s="19">
        <v>35.081927232231351</v>
      </c>
    </row>
    <row r="372" spans="14:16" hidden="1" x14ac:dyDescent="0.4">
      <c r="N372" s="22">
        <v>368</v>
      </c>
      <c r="O372" s="19">
        <v>64.803922541635416</v>
      </c>
      <c r="P372" s="19">
        <v>44.046995201412074</v>
      </c>
    </row>
    <row r="373" spans="14:16" hidden="1" x14ac:dyDescent="0.4">
      <c r="N373" s="22">
        <v>369</v>
      </c>
      <c r="O373" s="19">
        <v>44.352571076742606</v>
      </c>
      <c r="P373" s="19">
        <v>37.694854545312737</v>
      </c>
    </row>
    <row r="374" spans="14:16" hidden="1" x14ac:dyDescent="0.4">
      <c r="N374" s="22">
        <v>370</v>
      </c>
      <c r="O374" s="19">
        <v>56.827794874365622</v>
      </c>
      <c r="P374" s="19">
        <v>36.070867534142323</v>
      </c>
    </row>
    <row r="375" spans="14:16" hidden="1" x14ac:dyDescent="0.4">
      <c r="N375" s="22">
        <v>371</v>
      </c>
      <c r="O375" s="19">
        <v>65.140285359084146</v>
      </c>
      <c r="P375" s="19">
        <v>44.383358018860818</v>
      </c>
    </row>
    <row r="376" spans="14:16" hidden="1" x14ac:dyDescent="0.4">
      <c r="N376" s="22">
        <v>372</v>
      </c>
      <c r="O376" s="19">
        <v>57.686773142582183</v>
      </c>
      <c r="P376" s="19">
        <v>43.97945120675557</v>
      </c>
    </row>
    <row r="377" spans="14:16" hidden="1" x14ac:dyDescent="0.4">
      <c r="N377" s="22">
        <v>373</v>
      </c>
      <c r="O377" s="19">
        <v>37.560391710893782</v>
      </c>
      <c r="P377" s="19">
        <v>30.902675179463969</v>
      </c>
    </row>
    <row r="378" spans="14:16" hidden="1" x14ac:dyDescent="0.4">
      <c r="N378" s="22">
        <v>374</v>
      </c>
      <c r="O378" s="19">
        <v>54.545382177606086</v>
      </c>
      <c r="P378" s="19">
        <v>47.887665646176288</v>
      </c>
    </row>
    <row r="379" spans="14:16" hidden="1" x14ac:dyDescent="0.4">
      <c r="N379" s="22">
        <v>375</v>
      </c>
      <c r="O379" s="19">
        <v>63.748544943604998</v>
      </c>
      <c r="P379" s="19">
        <v>50.041223007778399</v>
      </c>
    </row>
    <row r="380" spans="14:16" hidden="1" x14ac:dyDescent="0.4">
      <c r="N380" s="22">
        <v>376</v>
      </c>
      <c r="O380" s="19">
        <v>51.953202143878514</v>
      </c>
      <c r="P380" s="19">
        <v>38.245880208051886</v>
      </c>
    </row>
    <row r="381" spans="14:16" hidden="1" x14ac:dyDescent="0.4">
      <c r="N381" s="22">
        <v>377</v>
      </c>
      <c r="O381" s="19">
        <v>76.64619384722738</v>
      </c>
      <c r="P381" s="19">
        <v>48.839661102607224</v>
      </c>
    </row>
    <row r="382" spans="14:16" hidden="1" x14ac:dyDescent="0.4">
      <c r="N382" s="22">
        <v>378</v>
      </c>
      <c r="O382" s="19">
        <v>42.565242873784655</v>
      </c>
      <c r="P382" s="19">
        <v>28.85792093795807</v>
      </c>
    </row>
    <row r="383" spans="14:16" hidden="1" x14ac:dyDescent="0.4">
      <c r="N383" s="22">
        <v>379</v>
      </c>
      <c r="O383" s="19">
        <v>54.803220903744091</v>
      </c>
      <c r="P383" s="19">
        <v>48.145504372314278</v>
      </c>
    </row>
    <row r="384" spans="14:16" hidden="1" x14ac:dyDescent="0.4">
      <c r="N384" s="22">
        <v>380</v>
      </c>
      <c r="O384" s="19">
        <v>57.893673500028797</v>
      </c>
      <c r="P384" s="19">
        <v>30.087140755408754</v>
      </c>
    </row>
    <row r="385" spans="14:16" hidden="1" x14ac:dyDescent="0.4">
      <c r="N385" s="22">
        <v>381</v>
      </c>
      <c r="O385" s="19">
        <v>69.013787265624615</v>
      </c>
      <c r="P385" s="19">
        <v>48.256859925401315</v>
      </c>
    </row>
    <row r="386" spans="14:16" hidden="1" x14ac:dyDescent="0.4">
      <c r="N386" s="22">
        <v>382</v>
      </c>
      <c r="O386" s="19">
        <v>56.018655942783823</v>
      </c>
      <c r="P386" s="19">
        <v>49.360939411354025</v>
      </c>
    </row>
    <row r="387" spans="14:16" hidden="1" x14ac:dyDescent="0.4">
      <c r="N387" s="22">
        <v>383</v>
      </c>
      <c r="O387" s="19">
        <v>34.784002430480655</v>
      </c>
      <c r="P387" s="19">
        <v>28.126285899050828</v>
      </c>
    </row>
    <row r="388" spans="14:16" hidden="1" x14ac:dyDescent="0.4">
      <c r="N388" s="22">
        <v>384</v>
      </c>
      <c r="O388" s="19">
        <v>62.225432208034647</v>
      </c>
      <c r="P388" s="19">
        <v>34.418899463414547</v>
      </c>
    </row>
    <row r="389" spans="14:16" hidden="1" x14ac:dyDescent="0.4">
      <c r="N389" s="22">
        <v>385</v>
      </c>
      <c r="O389" s="19">
        <v>53.20848588354437</v>
      </c>
      <c r="P389" s="19">
        <v>39.501163947717814</v>
      </c>
    </row>
    <row r="390" spans="14:16" hidden="1" x14ac:dyDescent="0.4">
      <c r="N390" s="22">
        <v>386</v>
      </c>
      <c r="O390" s="19">
        <v>67.533738148039504</v>
      </c>
      <c r="P390" s="19">
        <v>53.826416212212905</v>
      </c>
    </row>
    <row r="391" spans="14:16" hidden="1" x14ac:dyDescent="0.4">
      <c r="N391" s="22">
        <v>387</v>
      </c>
      <c r="O391" s="19">
        <v>41.246508054849073</v>
      </c>
      <c r="P391" s="19">
        <v>34.588791523419246</v>
      </c>
    </row>
    <row r="392" spans="14:16" hidden="1" x14ac:dyDescent="0.4">
      <c r="N392" s="22">
        <v>388</v>
      </c>
      <c r="O392" s="19">
        <v>49.093796592125841</v>
      </c>
      <c r="P392" s="19">
        <v>35.386474656299214</v>
      </c>
    </row>
    <row r="393" spans="14:16" hidden="1" x14ac:dyDescent="0.4">
      <c r="N393" s="22">
        <v>389</v>
      </c>
      <c r="O393" s="19">
        <v>53.3769200660401</v>
      </c>
      <c r="P393" s="19">
        <v>32.619992725816772</v>
      </c>
    </row>
    <row r="394" spans="14:16" hidden="1" x14ac:dyDescent="0.4">
      <c r="N394" s="22">
        <v>390</v>
      </c>
      <c r="O394" s="19">
        <v>47.175852725568916</v>
      </c>
      <c r="P394" s="19">
        <v>33.468530789742317</v>
      </c>
    </row>
    <row r="395" spans="14:16" hidden="1" x14ac:dyDescent="0.4">
      <c r="N395" s="22">
        <v>391</v>
      </c>
      <c r="O395" s="19">
        <v>43.308316053915746</v>
      </c>
      <c r="P395" s="19">
        <v>43.700204926882719</v>
      </c>
    </row>
    <row r="396" spans="14:16" hidden="1" x14ac:dyDescent="0.4">
      <c r="N396" s="22">
        <v>392</v>
      </c>
      <c r="O396" s="19">
        <v>72.627846235798756</v>
      </c>
      <c r="P396" s="19">
        <v>44.821313491178628</v>
      </c>
    </row>
    <row r="397" spans="14:16" hidden="1" x14ac:dyDescent="0.4">
      <c r="N397" s="22">
        <v>393</v>
      </c>
      <c r="O397" s="19">
        <v>46.386184329439061</v>
      </c>
      <c r="P397" s="19">
        <v>32.678862393612448</v>
      </c>
    </row>
    <row r="398" spans="14:16" hidden="1" x14ac:dyDescent="0.4">
      <c r="N398" s="22">
        <v>394</v>
      </c>
      <c r="O398" s="19">
        <v>67.080810315787801</v>
      </c>
      <c r="P398" s="19">
        <v>46.323882975564516</v>
      </c>
    </row>
    <row r="399" spans="14:16" hidden="1" x14ac:dyDescent="0.4">
      <c r="N399" s="22">
        <v>395</v>
      </c>
      <c r="O399" s="19">
        <v>56.574109206204696</v>
      </c>
      <c r="P399" s="19">
        <v>42.86678727037814</v>
      </c>
    </row>
    <row r="400" spans="14:16" hidden="1" x14ac:dyDescent="0.4">
      <c r="N400" s="22">
        <v>396</v>
      </c>
      <c r="O400" s="19">
        <v>56.331044797342031</v>
      </c>
      <c r="P400" s="19">
        <v>42.623722861515446</v>
      </c>
    </row>
    <row r="401" spans="14:16" hidden="1" x14ac:dyDescent="0.4">
      <c r="N401" s="22">
        <v>397</v>
      </c>
      <c r="O401" s="19">
        <v>58.638415645678549</v>
      </c>
      <c r="P401" s="19">
        <v>30.831882901058464</v>
      </c>
    </row>
    <row r="402" spans="14:16" hidden="1" x14ac:dyDescent="0.4">
      <c r="N402" s="22">
        <v>398</v>
      </c>
      <c r="O402" s="19">
        <v>59.105756261219426</v>
      </c>
      <c r="P402" s="19">
        <v>45.398434325392856</v>
      </c>
    </row>
    <row r="403" spans="14:16" hidden="1" x14ac:dyDescent="0.4">
      <c r="N403" s="22">
        <v>399</v>
      </c>
      <c r="O403" s="19">
        <v>61.480749105761959</v>
      </c>
      <c r="P403" s="19">
        <v>47.773427169935403</v>
      </c>
    </row>
    <row r="404" spans="14:16" hidden="1" x14ac:dyDescent="0.4">
      <c r="N404" s="22">
        <v>400</v>
      </c>
      <c r="O404" s="19">
        <v>37.915756453959943</v>
      </c>
      <c r="P404" s="19">
        <v>31.258039922530102</v>
      </c>
    </row>
    <row r="405" spans="14:16" hidden="1" x14ac:dyDescent="0.4">
      <c r="N405" s="22">
        <v>401</v>
      </c>
      <c r="O405" s="19">
        <v>61.257510472525837</v>
      </c>
      <c r="P405" s="19">
        <v>40.500583132302552</v>
      </c>
    </row>
    <row r="406" spans="14:16" hidden="1" x14ac:dyDescent="0.4">
      <c r="N406" s="22">
        <v>402</v>
      </c>
      <c r="O406" s="19">
        <v>71.347900592111216</v>
      </c>
      <c r="P406" s="19">
        <v>50.590973251887931</v>
      </c>
    </row>
    <row r="407" spans="14:16" hidden="1" x14ac:dyDescent="0.4">
      <c r="N407" s="22">
        <v>403</v>
      </c>
      <c r="O407" s="19">
        <v>64.361529710592379</v>
      </c>
      <c r="P407" s="19">
        <v>43.604602370369037</v>
      </c>
    </row>
    <row r="408" spans="14:16" hidden="1" x14ac:dyDescent="0.4">
      <c r="N408" s="22">
        <v>404</v>
      </c>
      <c r="O408" s="19">
        <v>44.860603815443653</v>
      </c>
      <c r="P408" s="19">
        <v>38.202887284013855</v>
      </c>
    </row>
    <row r="409" spans="14:16" hidden="1" x14ac:dyDescent="0.4">
      <c r="N409" s="22">
        <v>405</v>
      </c>
      <c r="O409" s="19">
        <v>45.937811326238261</v>
      </c>
      <c r="P409" s="19">
        <v>32.230489390411719</v>
      </c>
    </row>
    <row r="410" spans="14:16" hidden="1" x14ac:dyDescent="0.4">
      <c r="N410" s="22">
        <v>406</v>
      </c>
      <c r="O410" s="19">
        <v>60.289855796799543</v>
      </c>
      <c r="P410" s="19">
        <v>46.582533860972973</v>
      </c>
    </row>
    <row r="411" spans="14:16" hidden="1" x14ac:dyDescent="0.4">
      <c r="N411" s="22">
        <v>407</v>
      </c>
      <c r="O411" s="19">
        <v>50.050131440870473</v>
      </c>
      <c r="P411" s="19">
        <v>50.442020313837489</v>
      </c>
    </row>
    <row r="412" spans="14:16" hidden="1" x14ac:dyDescent="0.4">
      <c r="N412" s="22">
        <v>408</v>
      </c>
      <c r="O412" s="19">
        <v>65.472471740500623</v>
      </c>
      <c r="P412" s="19">
        <v>37.665938995880538</v>
      </c>
    </row>
    <row r="413" spans="14:16" hidden="1" x14ac:dyDescent="0.4">
      <c r="N413" s="22">
        <v>409</v>
      </c>
      <c r="O413" s="19">
        <v>41.965262037482546</v>
      </c>
      <c r="P413" s="19">
        <v>35.307545506052733</v>
      </c>
    </row>
    <row r="414" spans="14:16" hidden="1" x14ac:dyDescent="0.4">
      <c r="N414" s="22">
        <v>410</v>
      </c>
      <c r="O414" s="19">
        <v>58.883815014900676</v>
      </c>
      <c r="P414" s="19">
        <v>52.226098483470878</v>
      </c>
    </row>
    <row r="415" spans="14:16" hidden="1" x14ac:dyDescent="0.4">
      <c r="N415" s="22">
        <v>411</v>
      </c>
      <c r="O415" s="19">
        <v>40.637259705398151</v>
      </c>
      <c r="P415" s="19">
        <v>33.979543173968338</v>
      </c>
    </row>
    <row r="416" spans="14:16" hidden="1" x14ac:dyDescent="0.4">
      <c r="N416" s="22">
        <v>412</v>
      </c>
      <c r="O416" s="19">
        <v>52.969407292243829</v>
      </c>
      <c r="P416" s="19">
        <v>32.212479952020502</v>
      </c>
    </row>
    <row r="417" spans="14:16" hidden="1" x14ac:dyDescent="0.4">
      <c r="N417" s="22">
        <v>413</v>
      </c>
      <c r="O417" s="19">
        <v>64.441391557284419</v>
      </c>
      <c r="P417" s="19">
        <v>43.684464217061091</v>
      </c>
    </row>
    <row r="418" spans="14:16" hidden="1" x14ac:dyDescent="0.4">
      <c r="N418" s="22">
        <v>414</v>
      </c>
      <c r="O418" s="19">
        <v>47.755057088073841</v>
      </c>
      <c r="P418" s="19">
        <v>41.097340556644127</v>
      </c>
    </row>
    <row r="419" spans="14:16" hidden="1" x14ac:dyDescent="0.4">
      <c r="N419" s="22">
        <v>415</v>
      </c>
      <c r="O419" s="19">
        <v>38.589826474437928</v>
      </c>
      <c r="P419" s="19">
        <v>31.932109943008157</v>
      </c>
    </row>
    <row r="420" spans="14:16" hidden="1" x14ac:dyDescent="0.4">
      <c r="N420" s="22">
        <v>416</v>
      </c>
      <c r="O420" s="19">
        <v>60.67036346092334</v>
      </c>
      <c r="P420" s="19">
        <v>46.963041525096799</v>
      </c>
    </row>
    <row r="421" spans="14:16" hidden="1" x14ac:dyDescent="0.4">
      <c r="N421" s="22">
        <v>417</v>
      </c>
      <c r="O421" s="19">
        <v>47.23525603600109</v>
      </c>
      <c r="P421" s="19">
        <v>33.527934100174548</v>
      </c>
    </row>
    <row r="422" spans="14:16" hidden="1" x14ac:dyDescent="0.4">
      <c r="N422" s="22">
        <v>418</v>
      </c>
      <c r="O422" s="19">
        <v>45.226602935441349</v>
      </c>
      <c r="P422" s="19">
        <v>38.568886404011522</v>
      </c>
    </row>
    <row r="423" spans="14:16" hidden="1" x14ac:dyDescent="0.4">
      <c r="N423" s="22">
        <v>419</v>
      </c>
      <c r="O423" s="19">
        <v>45.877954412391205</v>
      </c>
      <c r="P423" s="19">
        <v>46.269843285358206</v>
      </c>
    </row>
    <row r="424" spans="14:16" hidden="1" x14ac:dyDescent="0.4">
      <c r="N424" s="22">
        <v>420</v>
      </c>
      <c r="O424" s="19">
        <v>70.978695766449846</v>
      </c>
      <c r="P424" s="19">
        <v>43.172163021829732</v>
      </c>
    </row>
    <row r="425" spans="14:16" hidden="1" x14ac:dyDescent="0.4">
      <c r="N425" s="22">
        <v>421</v>
      </c>
      <c r="O425" s="19">
        <v>51.240319076484639</v>
      </c>
      <c r="P425" s="19">
        <v>30.483391736261339</v>
      </c>
    </row>
    <row r="426" spans="14:16" hidden="1" x14ac:dyDescent="0.4">
      <c r="N426" s="22">
        <v>422</v>
      </c>
      <c r="O426" s="19">
        <v>62.628040325290897</v>
      </c>
      <c r="P426" s="19">
        <v>34.821507580670826</v>
      </c>
    </row>
    <row r="427" spans="14:16" hidden="1" x14ac:dyDescent="0.4">
      <c r="N427" s="22">
        <v>423</v>
      </c>
      <c r="O427" s="19">
        <v>46.395462592581225</v>
      </c>
      <c r="P427" s="19">
        <v>46.787351465548142</v>
      </c>
    </row>
    <row r="428" spans="14:16" hidden="1" x14ac:dyDescent="0.4">
      <c r="N428" s="22">
        <v>424</v>
      </c>
      <c r="O428" s="19">
        <v>60.433303354442899</v>
      </c>
      <c r="P428" s="19">
        <v>46.725981418616342</v>
      </c>
    </row>
    <row r="429" spans="14:16" hidden="1" x14ac:dyDescent="0.4">
      <c r="N429" s="22">
        <v>425</v>
      </c>
      <c r="O429" s="19">
        <v>68.809443077131391</v>
      </c>
      <c r="P429" s="19">
        <v>41.002910332511277</v>
      </c>
    </row>
    <row r="430" spans="14:16" hidden="1" x14ac:dyDescent="0.4">
      <c r="N430" s="22">
        <v>426</v>
      </c>
      <c r="O430" s="19">
        <v>34.078932518376519</v>
      </c>
      <c r="P430" s="19">
        <v>27.421215986946677</v>
      </c>
    </row>
    <row r="431" spans="14:16" hidden="1" x14ac:dyDescent="0.4">
      <c r="N431" s="22">
        <v>427</v>
      </c>
      <c r="O431" s="19">
        <v>39.586959565886104</v>
      </c>
      <c r="P431" s="19">
        <v>39.978848438853049</v>
      </c>
    </row>
    <row r="432" spans="14:16" hidden="1" x14ac:dyDescent="0.4">
      <c r="N432" s="22">
        <v>428</v>
      </c>
      <c r="O432" s="19">
        <v>72.409152213680613</v>
      </c>
      <c r="P432" s="19">
        <v>51.652224873457229</v>
      </c>
    </row>
    <row r="433" spans="14:16" hidden="1" x14ac:dyDescent="0.4">
      <c r="N433" s="22">
        <v>429</v>
      </c>
      <c r="O433" s="19">
        <v>46.891793513335131</v>
      </c>
      <c r="P433" s="19">
        <v>33.184471577508489</v>
      </c>
    </row>
    <row r="434" spans="14:16" hidden="1" x14ac:dyDescent="0.4">
      <c r="N434" s="22">
        <v>430</v>
      </c>
      <c r="O434" s="19">
        <v>53.500255748421978</v>
      </c>
      <c r="P434" s="19">
        <v>32.74332840819865</v>
      </c>
    </row>
    <row r="435" spans="14:16" hidden="1" x14ac:dyDescent="0.4">
      <c r="N435" s="22">
        <v>431</v>
      </c>
      <c r="O435" s="19">
        <v>63.549547962565669</v>
      </c>
      <c r="P435" s="19">
        <v>49.842226026739041</v>
      </c>
    </row>
    <row r="436" spans="14:16" hidden="1" x14ac:dyDescent="0.4">
      <c r="N436" s="22">
        <v>432</v>
      </c>
      <c r="O436" s="19">
        <v>38.153598693032222</v>
      </c>
      <c r="P436" s="19">
        <v>31.495882161602395</v>
      </c>
    </row>
    <row r="437" spans="14:16" hidden="1" x14ac:dyDescent="0.4">
      <c r="N437" s="22">
        <v>433</v>
      </c>
      <c r="O437" s="19">
        <v>60.228841106045763</v>
      </c>
      <c r="P437" s="19">
        <v>39.471913765822393</v>
      </c>
    </row>
    <row r="438" spans="14:16" hidden="1" x14ac:dyDescent="0.4">
      <c r="N438" s="22">
        <v>434</v>
      </c>
      <c r="O438" s="19">
        <v>35.885083998119342</v>
      </c>
      <c r="P438" s="19">
        <v>36.276972871086272</v>
      </c>
    </row>
    <row r="439" spans="14:16" hidden="1" x14ac:dyDescent="0.4">
      <c r="N439" s="22">
        <v>435</v>
      </c>
      <c r="O439" s="19">
        <v>63.77317402811218</v>
      </c>
      <c r="P439" s="19">
        <v>43.016246687888824</v>
      </c>
    </row>
    <row r="440" spans="14:16" hidden="1" x14ac:dyDescent="0.4">
      <c r="N440" s="22">
        <v>436</v>
      </c>
      <c r="O440" s="19">
        <v>66.463809487536196</v>
      </c>
      <c r="P440" s="19">
        <v>45.706882147312868</v>
      </c>
    </row>
    <row r="441" spans="14:16" hidden="1" x14ac:dyDescent="0.4">
      <c r="N441" s="22">
        <v>437</v>
      </c>
      <c r="O441" s="19">
        <v>65.996721536685811</v>
      </c>
      <c r="P441" s="19">
        <v>45.239794196462398</v>
      </c>
    </row>
    <row r="442" spans="14:16" hidden="1" x14ac:dyDescent="0.4">
      <c r="N442" s="22">
        <v>438</v>
      </c>
      <c r="O442" s="19">
        <v>63.227841035925962</v>
      </c>
      <c r="P442" s="19">
        <v>49.520519100099392</v>
      </c>
    </row>
    <row r="443" spans="14:16" hidden="1" x14ac:dyDescent="0.4">
      <c r="N443" s="22">
        <v>439</v>
      </c>
      <c r="O443" s="19">
        <v>54.579636786772596</v>
      </c>
      <c r="P443" s="19">
        <v>26.773104042152539</v>
      </c>
    </row>
    <row r="444" spans="14:16" hidden="1" x14ac:dyDescent="0.4">
      <c r="N444" s="22">
        <v>440</v>
      </c>
      <c r="O444" s="19">
        <v>38.29096424788554</v>
      </c>
      <c r="P444" s="19">
        <v>38.682853120852528</v>
      </c>
    </row>
    <row r="445" spans="14:16" hidden="1" x14ac:dyDescent="0.4">
      <c r="N445" s="22">
        <v>441</v>
      </c>
      <c r="O445" s="19">
        <v>34.730442644681659</v>
      </c>
      <c r="P445" s="19">
        <v>35.122331517648618</v>
      </c>
    </row>
    <row r="446" spans="14:16" hidden="1" x14ac:dyDescent="0.4">
      <c r="N446" s="22">
        <v>442</v>
      </c>
      <c r="O446" s="19">
        <v>46.701970232363578</v>
      </c>
      <c r="P446" s="19">
        <v>32.994648296537008</v>
      </c>
    </row>
    <row r="447" spans="14:16" hidden="1" x14ac:dyDescent="0.4">
      <c r="N447" s="22">
        <v>443</v>
      </c>
      <c r="O447" s="19">
        <v>36.348942399858629</v>
      </c>
      <c r="P447" s="19">
        <v>36.740831272825602</v>
      </c>
    </row>
    <row r="448" spans="14:16" hidden="1" x14ac:dyDescent="0.4">
      <c r="N448" s="22">
        <v>444</v>
      </c>
      <c r="O448" s="19">
        <v>45.942135472819757</v>
      </c>
      <c r="P448" s="19">
        <v>25.185208132596401</v>
      </c>
    </row>
    <row r="449" spans="14:16" hidden="1" x14ac:dyDescent="0.4">
      <c r="N449" s="22">
        <v>445</v>
      </c>
      <c r="O449" s="19">
        <v>55.453951808767329</v>
      </c>
      <c r="P449" s="19">
        <v>34.69702446854393</v>
      </c>
    </row>
    <row r="450" spans="14:16" hidden="1" x14ac:dyDescent="0.4">
      <c r="N450" s="22">
        <v>446</v>
      </c>
      <c r="O450" s="19">
        <v>33.878102575656271</v>
      </c>
      <c r="P450" s="19">
        <v>34.269991448623244</v>
      </c>
    </row>
    <row r="451" spans="14:16" hidden="1" x14ac:dyDescent="0.4">
      <c r="N451" s="22">
        <v>447</v>
      </c>
      <c r="O451" s="19">
        <v>58.921775498528575</v>
      </c>
      <c r="P451" s="19">
        <v>52.264058967098748</v>
      </c>
    </row>
    <row r="452" spans="14:16" hidden="1" x14ac:dyDescent="0.4">
      <c r="N452" s="22">
        <v>448</v>
      </c>
      <c r="O452" s="19">
        <v>63.36161151420157</v>
      </c>
      <c r="P452" s="19">
        <v>49.654289578375</v>
      </c>
    </row>
    <row r="453" spans="14:16" hidden="1" x14ac:dyDescent="0.4">
      <c r="N453" s="22">
        <v>449</v>
      </c>
      <c r="O453" s="19">
        <v>58.669011546454897</v>
      </c>
      <c r="P453" s="19">
        <v>37.912084206231597</v>
      </c>
    </row>
    <row r="454" spans="14:16" hidden="1" x14ac:dyDescent="0.4">
      <c r="N454" s="22">
        <v>450</v>
      </c>
      <c r="O454" s="19">
        <v>42.813311012971099</v>
      </c>
      <c r="P454" s="19">
        <v>36.155594481541272</v>
      </c>
    </row>
    <row r="455" spans="14:16" hidden="1" x14ac:dyDescent="0.4">
      <c r="N455" s="22">
        <v>451</v>
      </c>
      <c r="O455" s="19">
        <v>35.393793749986401</v>
      </c>
      <c r="P455" s="19">
        <v>28.736077218556574</v>
      </c>
    </row>
    <row r="456" spans="14:16" hidden="1" x14ac:dyDescent="0.4">
      <c r="N456" s="22">
        <v>452</v>
      </c>
      <c r="O456" s="19">
        <v>66.181478023929287</v>
      </c>
      <c r="P456" s="19">
        <v>45.424550683705945</v>
      </c>
    </row>
    <row r="457" spans="14:16" hidden="1" x14ac:dyDescent="0.4">
      <c r="N457" s="22">
        <v>453</v>
      </c>
      <c r="O457" s="19">
        <v>28.200272427122115</v>
      </c>
      <c r="P457" s="19">
        <v>28.592161300089032</v>
      </c>
    </row>
    <row r="458" spans="14:16" hidden="1" x14ac:dyDescent="0.4">
      <c r="N458" s="22">
        <v>454</v>
      </c>
      <c r="O458" s="19">
        <v>48.471253946443881</v>
      </c>
      <c r="P458" s="19">
        <v>34.763932010617282</v>
      </c>
    </row>
    <row r="459" spans="14:16" hidden="1" x14ac:dyDescent="0.4">
      <c r="N459" s="22">
        <v>455</v>
      </c>
      <c r="O459" s="19">
        <v>66.493549594648641</v>
      </c>
      <c r="P459" s="19">
        <v>38.687016850028542</v>
      </c>
    </row>
    <row r="460" spans="14:16" hidden="1" x14ac:dyDescent="0.4">
      <c r="N460" s="22">
        <v>456</v>
      </c>
      <c r="O460" s="19">
        <v>54.103036216938904</v>
      </c>
      <c r="P460" s="19">
        <v>47.445319685509062</v>
      </c>
    </row>
    <row r="461" spans="14:16" hidden="1" x14ac:dyDescent="0.4">
      <c r="N461" s="22">
        <v>457</v>
      </c>
      <c r="O461" s="19">
        <v>37.909170216617667</v>
      </c>
      <c r="P461" s="19">
        <v>31.251453685187855</v>
      </c>
    </row>
    <row r="462" spans="14:16" hidden="1" x14ac:dyDescent="0.4">
      <c r="N462" s="22">
        <v>458</v>
      </c>
      <c r="O462" s="19">
        <v>71.603749497501155</v>
      </c>
      <c r="P462" s="19">
        <v>50.846822157277828</v>
      </c>
    </row>
    <row r="463" spans="14:16" hidden="1" x14ac:dyDescent="0.4">
      <c r="N463" s="22">
        <v>459</v>
      </c>
      <c r="O463" s="19">
        <v>71.337580353243993</v>
      </c>
      <c r="P463" s="19">
        <v>43.531047608623908</v>
      </c>
    </row>
    <row r="464" spans="14:16" hidden="1" x14ac:dyDescent="0.4">
      <c r="N464" s="22">
        <v>460</v>
      </c>
      <c r="O464" s="19">
        <v>55.053971535994776</v>
      </c>
      <c r="P464" s="19">
        <v>48.396255004564978</v>
      </c>
    </row>
    <row r="465" spans="14:16" hidden="1" x14ac:dyDescent="0.4">
      <c r="N465" s="22">
        <v>461</v>
      </c>
      <c r="O465" s="19">
        <v>57.04661372746898</v>
      </c>
      <c r="P465" s="19">
        <v>43.339291791642381</v>
      </c>
    </row>
    <row r="466" spans="14:16" hidden="1" x14ac:dyDescent="0.4">
      <c r="N466" s="22">
        <v>462</v>
      </c>
      <c r="O466" s="19">
        <v>43.437370954609264</v>
      </c>
      <c r="P466" s="19">
        <v>36.779654423179437</v>
      </c>
    </row>
    <row r="467" spans="14:16" hidden="1" x14ac:dyDescent="0.4">
      <c r="N467" s="22">
        <v>463</v>
      </c>
      <c r="O467" s="19">
        <v>36.010283142638116</v>
      </c>
      <c r="P467" s="19">
        <v>29.352566611208303</v>
      </c>
    </row>
    <row r="468" spans="14:16" hidden="1" x14ac:dyDescent="0.4">
      <c r="N468" s="22">
        <v>464</v>
      </c>
      <c r="O468" s="19">
        <v>39.602091254554239</v>
      </c>
      <c r="P468" s="19">
        <v>39.993980127521212</v>
      </c>
    </row>
    <row r="469" spans="14:16" hidden="1" x14ac:dyDescent="0.4">
      <c r="N469" s="22">
        <v>465</v>
      </c>
      <c r="O469" s="19">
        <v>42.344250516154034</v>
      </c>
      <c r="P469" s="19">
        <v>35.686533984724207</v>
      </c>
    </row>
    <row r="470" spans="14:16" hidden="1" x14ac:dyDescent="0.4">
      <c r="N470" s="22">
        <v>466</v>
      </c>
      <c r="O470" s="19">
        <v>51.925232209325372</v>
      </c>
      <c r="P470" s="19">
        <v>31.16830486910203</v>
      </c>
    </row>
    <row r="471" spans="14:16" hidden="1" x14ac:dyDescent="0.4">
      <c r="N471" s="22">
        <v>467</v>
      </c>
      <c r="O471" s="19">
        <v>56.392804767323923</v>
      </c>
      <c r="P471" s="19">
        <v>35.635877427100567</v>
      </c>
    </row>
    <row r="472" spans="14:16" hidden="1" x14ac:dyDescent="0.4">
      <c r="N472" s="22">
        <v>468</v>
      </c>
      <c r="O472" s="19">
        <v>63.627478910828643</v>
      </c>
      <c r="P472" s="19">
        <v>42.870551570605343</v>
      </c>
    </row>
    <row r="473" spans="14:16" hidden="1" x14ac:dyDescent="0.4">
      <c r="N473" s="22">
        <v>469</v>
      </c>
      <c r="O473" s="19">
        <v>55.527151051561361</v>
      </c>
      <c r="P473" s="19">
        <v>41.819829115734791</v>
      </c>
    </row>
    <row r="474" spans="14:16" hidden="1" x14ac:dyDescent="0.4">
      <c r="N474" s="22">
        <v>470</v>
      </c>
      <c r="O474" s="19">
        <v>49.79206796854686</v>
      </c>
      <c r="P474" s="19">
        <v>43.134351437116976</v>
      </c>
    </row>
    <row r="475" spans="14:16" hidden="1" x14ac:dyDescent="0.4">
      <c r="N475" s="22">
        <v>471</v>
      </c>
      <c r="O475" s="19">
        <v>67.158055730176898</v>
      </c>
      <c r="P475" s="19">
        <v>39.351522985556841</v>
      </c>
    </row>
    <row r="476" spans="14:16" hidden="1" x14ac:dyDescent="0.4">
      <c r="N476" s="22">
        <v>472</v>
      </c>
      <c r="O476" s="19">
        <v>63.479260551378331</v>
      </c>
      <c r="P476" s="19">
        <v>49.771938615551718</v>
      </c>
    </row>
    <row r="477" spans="14:16" hidden="1" x14ac:dyDescent="0.4">
      <c r="N477" s="22">
        <v>473</v>
      </c>
      <c r="O477" s="19">
        <v>62.856561424950826</v>
      </c>
      <c r="P477" s="19">
        <v>56.19884489352097</v>
      </c>
    </row>
    <row r="478" spans="14:16" hidden="1" x14ac:dyDescent="0.4">
      <c r="N478" s="22">
        <v>474</v>
      </c>
      <c r="O478" s="19">
        <v>44.483806666012583</v>
      </c>
      <c r="P478" s="19">
        <v>30.776484730186041</v>
      </c>
    </row>
    <row r="479" spans="14:16" hidden="1" x14ac:dyDescent="0.4">
      <c r="N479" s="22">
        <v>475</v>
      </c>
      <c r="O479" s="19">
        <v>51.113269943065461</v>
      </c>
      <c r="P479" s="19">
        <v>51.505158816032434</v>
      </c>
    </row>
    <row r="480" spans="14:16" hidden="1" x14ac:dyDescent="0.4">
      <c r="N480" s="22">
        <v>476</v>
      </c>
      <c r="O480" s="19">
        <v>46.373840785914012</v>
      </c>
      <c r="P480" s="19">
        <v>46.765729658880971</v>
      </c>
    </row>
    <row r="481" spans="14:16" hidden="1" x14ac:dyDescent="0.4">
      <c r="N481" s="22">
        <v>477</v>
      </c>
      <c r="O481" s="19">
        <v>41.933722304612331</v>
      </c>
      <c r="P481" s="19">
        <v>35.276005773182504</v>
      </c>
    </row>
    <row r="482" spans="14:16" hidden="1" x14ac:dyDescent="0.4">
      <c r="N482" s="22">
        <v>478</v>
      </c>
      <c r="O482" s="19">
        <v>59.459452075074523</v>
      </c>
      <c r="P482" s="19">
        <v>45.752130139247939</v>
      </c>
    </row>
    <row r="483" spans="14:16" hidden="1" x14ac:dyDescent="0.4">
      <c r="N483" s="22">
        <v>479</v>
      </c>
      <c r="O483" s="19">
        <v>48.241467157563932</v>
      </c>
      <c r="P483" s="19">
        <v>34.534145221737361</v>
      </c>
    </row>
    <row r="484" spans="14:16" hidden="1" x14ac:dyDescent="0.4">
      <c r="N484" s="22">
        <v>480</v>
      </c>
      <c r="O484" s="19">
        <v>47.625103774846991</v>
      </c>
      <c r="P484" s="19">
        <v>40.96738724341715</v>
      </c>
    </row>
    <row r="485" spans="14:16" hidden="1" x14ac:dyDescent="0.4">
      <c r="N485" s="22">
        <v>481</v>
      </c>
      <c r="O485" s="19">
        <v>38.355339773931064</v>
      </c>
      <c r="P485" s="19">
        <v>31.697623242501237</v>
      </c>
    </row>
    <row r="486" spans="14:16" hidden="1" x14ac:dyDescent="0.4">
      <c r="N486" s="22">
        <v>482</v>
      </c>
      <c r="O486" s="19">
        <v>53.550290503261465</v>
      </c>
      <c r="P486" s="19">
        <v>39.84296856743488</v>
      </c>
    </row>
    <row r="487" spans="14:16" hidden="1" x14ac:dyDescent="0.4">
      <c r="N487" s="22">
        <v>483</v>
      </c>
      <c r="O487" s="19">
        <v>56.42233189924184</v>
      </c>
      <c r="P487" s="19">
        <v>49.764615367812084</v>
      </c>
    </row>
    <row r="488" spans="14:16" hidden="1" x14ac:dyDescent="0.4">
      <c r="N488" s="22">
        <v>484</v>
      </c>
      <c r="O488" s="19">
        <v>46.43444072281801</v>
      </c>
      <c r="P488" s="19">
        <v>32.727118786991426</v>
      </c>
    </row>
    <row r="489" spans="14:16" hidden="1" x14ac:dyDescent="0.4">
      <c r="N489" s="22">
        <v>485</v>
      </c>
      <c r="O489" s="19">
        <v>34.847114289309161</v>
      </c>
      <c r="P489" s="19">
        <v>35.23900316227612</v>
      </c>
    </row>
    <row r="490" spans="14:16" hidden="1" x14ac:dyDescent="0.4">
      <c r="N490" s="22">
        <v>486</v>
      </c>
      <c r="O490" s="19">
        <v>77.534049480886836</v>
      </c>
      <c r="P490" s="19">
        <v>49.727516736266722</v>
      </c>
    </row>
    <row r="491" spans="14:16" hidden="1" x14ac:dyDescent="0.4">
      <c r="N491" s="22">
        <v>487</v>
      </c>
      <c r="O491" s="19">
        <v>42.256373593816988</v>
      </c>
      <c r="P491" s="19">
        <v>35.598657062387161</v>
      </c>
    </row>
    <row r="492" spans="14:16" hidden="1" x14ac:dyDescent="0.4">
      <c r="N492" s="22">
        <v>488</v>
      </c>
      <c r="O492" s="19">
        <v>43.498543109836419</v>
      </c>
      <c r="P492" s="19">
        <v>36.840826578406606</v>
      </c>
    </row>
    <row r="493" spans="14:16" hidden="1" x14ac:dyDescent="0.4">
      <c r="N493" s="22">
        <v>489</v>
      </c>
      <c r="O493" s="19">
        <v>72.242543096571524</v>
      </c>
      <c r="P493" s="19">
        <v>58.535221160744925</v>
      </c>
    </row>
    <row r="494" spans="14:16" hidden="1" x14ac:dyDescent="0.4">
      <c r="N494" s="22">
        <v>490</v>
      </c>
      <c r="O494" s="19">
        <v>60.443821577259655</v>
      </c>
      <c r="P494" s="19">
        <v>39.686894237036356</v>
      </c>
    </row>
    <row r="495" spans="14:16" hidden="1" x14ac:dyDescent="0.4">
      <c r="N495" s="22">
        <v>491</v>
      </c>
      <c r="O495" s="19">
        <v>55.537724975633125</v>
      </c>
      <c r="P495" s="19">
        <v>41.830403039806512</v>
      </c>
    </row>
    <row r="496" spans="14:16" hidden="1" x14ac:dyDescent="0.4">
      <c r="N496" s="22">
        <v>492</v>
      </c>
      <c r="O496" s="19">
        <v>50.742809655828921</v>
      </c>
      <c r="P496" s="19">
        <v>37.035487720002394</v>
      </c>
    </row>
    <row r="497" spans="14:16" hidden="1" x14ac:dyDescent="0.4">
      <c r="N497" s="22">
        <v>493</v>
      </c>
      <c r="O497" s="19">
        <v>71.333689267344482</v>
      </c>
      <c r="P497" s="19">
        <v>43.527156522724411</v>
      </c>
    </row>
    <row r="498" spans="14:16" hidden="1" x14ac:dyDescent="0.4">
      <c r="N498" s="22">
        <v>494</v>
      </c>
      <c r="O498" s="19">
        <v>50.578571559391264</v>
      </c>
      <c r="P498" s="19">
        <v>43.920855027961423</v>
      </c>
    </row>
    <row r="499" spans="14:16" hidden="1" x14ac:dyDescent="0.4">
      <c r="N499" s="22">
        <v>495</v>
      </c>
      <c r="O499" s="19">
        <v>36.51963361223477</v>
      </c>
      <c r="P499" s="19">
        <v>36.911522485201715</v>
      </c>
    </row>
    <row r="500" spans="14:16" hidden="1" x14ac:dyDescent="0.4">
      <c r="N500" s="22">
        <v>496</v>
      </c>
      <c r="O500" s="19">
        <v>69.212406634716388</v>
      </c>
      <c r="P500" s="19">
        <v>41.405873890096302</v>
      </c>
    </row>
    <row r="501" spans="14:16" hidden="1" x14ac:dyDescent="0.4">
      <c r="N501" s="22">
        <v>497</v>
      </c>
      <c r="O501" s="19">
        <v>59.960599498446697</v>
      </c>
      <c r="P501" s="19">
        <v>32.154066753826569</v>
      </c>
    </row>
    <row r="502" spans="14:16" hidden="1" x14ac:dyDescent="0.4">
      <c r="N502" s="22">
        <v>498</v>
      </c>
      <c r="O502" s="19">
        <v>53.73539386219278</v>
      </c>
      <c r="P502" s="19">
        <v>40.028071926366167</v>
      </c>
    </row>
    <row r="503" spans="14:16" hidden="1" x14ac:dyDescent="0.4">
      <c r="N503" s="22">
        <v>499</v>
      </c>
      <c r="O503" s="19">
        <v>49.002597105452594</v>
      </c>
      <c r="P503" s="19">
        <v>42.344880574022795</v>
      </c>
    </row>
    <row r="504" spans="14:16" hidden="1" x14ac:dyDescent="0.4">
      <c r="N504" s="22">
        <v>500</v>
      </c>
      <c r="O504" s="19">
        <v>50.124838307451</v>
      </c>
      <c r="P504" s="19">
        <v>36.417516371624387</v>
      </c>
    </row>
    <row r="505" spans="14:16" hidden="1" x14ac:dyDescent="0.4">
      <c r="N505" s="22">
        <v>501</v>
      </c>
      <c r="O505" s="19">
        <v>34.696080558972369</v>
      </c>
      <c r="P505" s="19">
        <v>35.087969431939328</v>
      </c>
    </row>
    <row r="506" spans="14:16" hidden="1" x14ac:dyDescent="0.4">
      <c r="N506" s="22">
        <v>502</v>
      </c>
      <c r="O506" s="19">
        <v>58.03386275199739</v>
      </c>
      <c r="P506" s="19">
        <v>37.276935411774062</v>
      </c>
    </row>
    <row r="507" spans="14:16" hidden="1" x14ac:dyDescent="0.4">
      <c r="N507" s="22">
        <v>503</v>
      </c>
      <c r="O507" s="19">
        <v>62.12931851413299</v>
      </c>
      <c r="P507" s="19">
        <v>41.372391173909662</v>
      </c>
    </row>
    <row r="508" spans="14:16" hidden="1" x14ac:dyDescent="0.4">
      <c r="N508" s="22">
        <v>504</v>
      </c>
      <c r="O508" s="19">
        <v>55.898590615265221</v>
      </c>
      <c r="P508" s="19">
        <v>42.19126867943865</v>
      </c>
    </row>
    <row r="509" spans="14:16" hidden="1" x14ac:dyDescent="0.4">
      <c r="N509" s="22">
        <v>505</v>
      </c>
      <c r="O509" s="19">
        <v>63.651687192610439</v>
      </c>
      <c r="P509" s="19">
        <v>42.894759852387139</v>
      </c>
    </row>
    <row r="510" spans="14:16" hidden="1" x14ac:dyDescent="0.4">
      <c r="N510" s="22">
        <v>506</v>
      </c>
      <c r="O510" s="19">
        <v>56.715103198853001</v>
      </c>
      <c r="P510" s="19">
        <v>43.007781263026445</v>
      </c>
    </row>
    <row r="511" spans="14:16" hidden="1" x14ac:dyDescent="0.4">
      <c r="N511" s="22">
        <v>507</v>
      </c>
      <c r="O511" s="19">
        <v>41.070067674495476</v>
      </c>
      <c r="P511" s="19">
        <v>27.362745738668877</v>
      </c>
    </row>
    <row r="512" spans="14:16" hidden="1" x14ac:dyDescent="0.4">
      <c r="N512" s="22">
        <v>508</v>
      </c>
      <c r="O512" s="19">
        <v>64.240118199804385</v>
      </c>
      <c r="P512" s="19">
        <v>50.532796263977815</v>
      </c>
    </row>
    <row r="513" spans="14:16" hidden="1" x14ac:dyDescent="0.4">
      <c r="N513" s="22">
        <v>509</v>
      </c>
      <c r="O513" s="19">
        <v>39.475530968250098</v>
      </c>
      <c r="P513" s="19">
        <v>32.817814436820285</v>
      </c>
    </row>
    <row r="514" spans="14:16" hidden="1" x14ac:dyDescent="0.4">
      <c r="N514" s="22">
        <v>510</v>
      </c>
      <c r="O514" s="19">
        <v>65.391338394284674</v>
      </c>
      <c r="P514" s="19">
        <v>58.733621862854875</v>
      </c>
    </row>
    <row r="515" spans="14:16" hidden="1" x14ac:dyDescent="0.4">
      <c r="N515" s="22">
        <v>511</v>
      </c>
      <c r="O515" s="19">
        <v>49.073340437171794</v>
      </c>
      <c r="P515" s="19">
        <v>35.366018501345252</v>
      </c>
    </row>
    <row r="516" spans="14:16" hidden="1" x14ac:dyDescent="0.4">
      <c r="N516" s="22">
        <v>512</v>
      </c>
      <c r="O516" s="19">
        <v>57.657512322564457</v>
      </c>
      <c r="P516" s="19">
        <v>36.900584982341115</v>
      </c>
    </row>
    <row r="517" spans="14:16" hidden="1" x14ac:dyDescent="0.4">
      <c r="N517" s="22">
        <v>513</v>
      </c>
      <c r="O517" s="19">
        <v>58.888196162670738</v>
      </c>
      <c r="P517" s="19">
        <v>38.131268822447396</v>
      </c>
    </row>
    <row r="518" spans="14:16" hidden="1" x14ac:dyDescent="0.4">
      <c r="N518" s="22">
        <v>514</v>
      </c>
      <c r="O518" s="19">
        <v>35.02098086009147</v>
      </c>
      <c r="P518" s="19">
        <v>35.412869733058415</v>
      </c>
    </row>
    <row r="519" spans="14:16" hidden="1" x14ac:dyDescent="0.4">
      <c r="N519" s="22">
        <v>515</v>
      </c>
      <c r="O519" s="19">
        <v>70.871555494544509</v>
      </c>
      <c r="P519" s="19">
        <v>50.114628154321167</v>
      </c>
    </row>
    <row r="520" spans="14:16" hidden="1" x14ac:dyDescent="0.4">
      <c r="N520" s="22">
        <v>516</v>
      </c>
      <c r="O520" s="19">
        <v>41.899818521690065</v>
      </c>
      <c r="P520" s="19">
        <v>42.291707394657024</v>
      </c>
    </row>
    <row r="521" spans="14:16" hidden="1" x14ac:dyDescent="0.4">
      <c r="N521" s="22">
        <v>517</v>
      </c>
      <c r="O521" s="19">
        <v>59.862293478629056</v>
      </c>
      <c r="P521" s="19">
        <v>46.1549715428025</v>
      </c>
    </row>
    <row r="522" spans="14:16" hidden="1" x14ac:dyDescent="0.4">
      <c r="N522" s="22">
        <v>518</v>
      </c>
      <c r="O522" s="19">
        <v>65.271431896878198</v>
      </c>
      <c r="P522" s="19">
        <v>51.564109961051628</v>
      </c>
    </row>
    <row r="523" spans="14:16" hidden="1" x14ac:dyDescent="0.4">
      <c r="N523" s="22">
        <v>519</v>
      </c>
      <c r="O523" s="19">
        <v>42.052144766740525</v>
      </c>
      <c r="P523" s="19">
        <v>42.44403363970747</v>
      </c>
    </row>
    <row r="524" spans="14:16" hidden="1" x14ac:dyDescent="0.4">
      <c r="N524" s="22">
        <v>520</v>
      </c>
      <c r="O524" s="19">
        <v>42.4842902073147</v>
      </c>
      <c r="P524" s="19">
        <v>35.826573675884902</v>
      </c>
    </row>
    <row r="525" spans="14:16" hidden="1" x14ac:dyDescent="0.4">
      <c r="N525" s="22">
        <v>521</v>
      </c>
      <c r="O525" s="19">
        <v>52.046700043752594</v>
      </c>
      <c r="P525" s="19">
        <v>38.339378107926009</v>
      </c>
    </row>
    <row r="526" spans="14:16" hidden="1" x14ac:dyDescent="0.4">
      <c r="N526" s="22">
        <v>522</v>
      </c>
      <c r="O526" s="19">
        <v>61.05650109010287</v>
      </c>
      <c r="P526" s="19">
        <v>47.349179154276285</v>
      </c>
    </row>
    <row r="527" spans="14:16" hidden="1" x14ac:dyDescent="0.4">
      <c r="N527" s="22">
        <v>523</v>
      </c>
      <c r="O527" s="19">
        <v>46.298864551547069</v>
      </c>
      <c r="P527" s="19">
        <v>46.690753424513943</v>
      </c>
    </row>
    <row r="528" spans="14:16" hidden="1" x14ac:dyDescent="0.4">
      <c r="N528" s="22">
        <v>524</v>
      </c>
      <c r="O528" s="19">
        <v>47.477103218304876</v>
      </c>
      <c r="P528" s="19">
        <v>33.769781282478249</v>
      </c>
    </row>
    <row r="529" spans="14:16" hidden="1" x14ac:dyDescent="0.4">
      <c r="N529" s="22">
        <v>525</v>
      </c>
      <c r="O529" s="19">
        <v>55.133085848055941</v>
      </c>
      <c r="P529" s="19">
        <v>55.524974721022858</v>
      </c>
    </row>
    <row r="530" spans="14:16" hidden="1" x14ac:dyDescent="0.4">
      <c r="N530" s="22">
        <v>526</v>
      </c>
      <c r="O530" s="19">
        <v>64.583667710477812</v>
      </c>
      <c r="P530" s="19">
        <v>50.876345774651298</v>
      </c>
    </row>
    <row r="531" spans="14:16" hidden="1" x14ac:dyDescent="0.4">
      <c r="N531" s="22">
        <v>527</v>
      </c>
      <c r="O531" s="19">
        <v>53.961756694458415</v>
      </c>
      <c r="P531" s="19">
        <v>47.304040163028645</v>
      </c>
    </row>
    <row r="532" spans="14:16" hidden="1" x14ac:dyDescent="0.4">
      <c r="N532" s="22">
        <v>528</v>
      </c>
      <c r="O532" s="19">
        <v>59.551977005374681</v>
      </c>
      <c r="P532" s="19">
        <v>45.844655069548125</v>
      </c>
    </row>
    <row r="533" spans="14:16" hidden="1" x14ac:dyDescent="0.4">
      <c r="N533" s="22">
        <v>529</v>
      </c>
      <c r="O533" s="19">
        <v>45.684757407547465</v>
      </c>
      <c r="P533" s="19">
        <v>39.027040876117709</v>
      </c>
    </row>
    <row r="534" spans="14:16" hidden="1" x14ac:dyDescent="0.4">
      <c r="N534" s="22">
        <v>530</v>
      </c>
      <c r="O534" s="19">
        <v>41.995521222483433</v>
      </c>
      <c r="P534" s="19">
        <v>35.337804691053634</v>
      </c>
    </row>
    <row r="535" spans="14:16" hidden="1" x14ac:dyDescent="0.4">
      <c r="N535" s="22">
        <v>531</v>
      </c>
      <c r="O535" s="19">
        <v>41.379226017658993</v>
      </c>
      <c r="P535" s="19">
        <v>27.671904081832395</v>
      </c>
    </row>
    <row r="536" spans="14:16" hidden="1" x14ac:dyDescent="0.4">
      <c r="N536" s="22">
        <v>532</v>
      </c>
      <c r="O536" s="19">
        <v>58.600002190470036</v>
      </c>
      <c r="P536" s="19">
        <v>44.892680254643494</v>
      </c>
    </row>
    <row r="537" spans="14:16" hidden="1" x14ac:dyDescent="0.4">
      <c r="N537" s="22">
        <v>533</v>
      </c>
      <c r="O537" s="19">
        <v>55.003270428534222</v>
      </c>
      <c r="P537" s="19">
        <v>41.295948492707666</v>
      </c>
    </row>
    <row r="538" spans="14:16" hidden="1" x14ac:dyDescent="0.4">
      <c r="N538" s="22">
        <v>534</v>
      </c>
      <c r="O538" s="19">
        <v>57.02250913408767</v>
      </c>
      <c r="P538" s="19">
        <v>43.315187198261086</v>
      </c>
    </row>
    <row r="539" spans="14:16" hidden="1" x14ac:dyDescent="0.4">
      <c r="N539" s="22">
        <v>535</v>
      </c>
      <c r="O539" s="19">
        <v>45.136478336720984</v>
      </c>
      <c r="P539" s="19">
        <v>31.429156400894414</v>
      </c>
    </row>
    <row r="540" spans="14:16" hidden="1" x14ac:dyDescent="0.4">
      <c r="N540" s="22">
        <v>536</v>
      </c>
      <c r="O540" s="19">
        <v>50.602493522551299</v>
      </c>
      <c r="P540" s="19">
        <v>36.895171586724729</v>
      </c>
    </row>
    <row r="541" spans="14:16" hidden="1" x14ac:dyDescent="0.4">
      <c r="N541" s="22">
        <v>537</v>
      </c>
      <c r="O541" s="19">
        <v>51.830287016463387</v>
      </c>
      <c r="P541" s="19">
        <v>31.073359676240102</v>
      </c>
    </row>
    <row r="542" spans="14:16" hidden="1" x14ac:dyDescent="0.4">
      <c r="N542" s="22">
        <v>538</v>
      </c>
      <c r="O542" s="19">
        <v>45.272734165426016</v>
      </c>
      <c r="P542" s="19">
        <v>38.615017633996203</v>
      </c>
    </row>
    <row r="543" spans="14:16" hidden="1" x14ac:dyDescent="0.4">
      <c r="N543" s="22">
        <v>539</v>
      </c>
      <c r="O543" s="19">
        <v>49.452989608853898</v>
      </c>
      <c r="P543" s="19">
        <v>42.795273077424113</v>
      </c>
    </row>
    <row r="544" spans="14:16" hidden="1" x14ac:dyDescent="0.4">
      <c r="N544" s="22">
        <v>540</v>
      </c>
      <c r="O544" s="19">
        <v>60.180314776741682</v>
      </c>
      <c r="P544" s="19">
        <v>39.423387436518354</v>
      </c>
    </row>
    <row r="545" spans="14:16" hidden="1" x14ac:dyDescent="0.4">
      <c r="N545" s="22">
        <v>541</v>
      </c>
      <c r="O545" s="19">
        <v>39.678734027712494</v>
      </c>
      <c r="P545" s="19">
        <v>33.02101749628271</v>
      </c>
    </row>
    <row r="546" spans="14:16" hidden="1" x14ac:dyDescent="0.4">
      <c r="N546" s="22">
        <v>542</v>
      </c>
      <c r="O546" s="19">
        <v>55.418530116557577</v>
      </c>
      <c r="P546" s="19">
        <v>41.711208180731006</v>
      </c>
    </row>
    <row r="547" spans="14:16" hidden="1" x14ac:dyDescent="0.4">
      <c r="N547" s="22">
        <v>543</v>
      </c>
      <c r="O547" s="19">
        <v>47.253801858390204</v>
      </c>
      <c r="P547" s="19">
        <v>47.645690731357149</v>
      </c>
    </row>
    <row r="548" spans="14:16" hidden="1" x14ac:dyDescent="0.4">
      <c r="N548" s="22">
        <v>544</v>
      </c>
      <c r="O548" s="19">
        <v>59.914779549239654</v>
      </c>
      <c r="P548" s="19">
        <v>46.207457613413084</v>
      </c>
    </row>
    <row r="549" spans="14:16" hidden="1" x14ac:dyDescent="0.4">
      <c r="N549" s="22">
        <v>545</v>
      </c>
      <c r="O549" s="19">
        <v>45.694729311826165</v>
      </c>
      <c r="P549" s="19">
        <v>31.987407375999567</v>
      </c>
    </row>
    <row r="550" spans="14:16" hidden="1" x14ac:dyDescent="0.4">
      <c r="N550" s="22">
        <v>546</v>
      </c>
      <c r="O550" s="19">
        <v>42.069720414182768</v>
      </c>
      <c r="P550" s="19">
        <v>42.461609287149713</v>
      </c>
    </row>
    <row r="551" spans="14:16" hidden="1" x14ac:dyDescent="0.4">
      <c r="N551" s="22">
        <v>547</v>
      </c>
      <c r="O551" s="19">
        <v>62.107537475158665</v>
      </c>
      <c r="P551" s="19">
        <v>48.400215539332066</v>
      </c>
    </row>
    <row r="552" spans="14:16" hidden="1" x14ac:dyDescent="0.4">
      <c r="N552" s="22">
        <v>548</v>
      </c>
      <c r="O552" s="19">
        <v>59.934983648279115</v>
      </c>
      <c r="P552" s="19">
        <v>32.128450903659001</v>
      </c>
    </row>
    <row r="553" spans="14:16" hidden="1" x14ac:dyDescent="0.4">
      <c r="N553" s="22">
        <v>549</v>
      </c>
      <c r="O553" s="19">
        <v>64.585251805357132</v>
      </c>
      <c r="P553" s="19">
        <v>57.92753527392729</v>
      </c>
    </row>
    <row r="554" spans="14:16" hidden="1" x14ac:dyDescent="0.4">
      <c r="N554" s="22">
        <v>550</v>
      </c>
      <c r="O554" s="19">
        <v>42.525846799050498</v>
      </c>
      <c r="P554" s="19">
        <v>35.868130267620671</v>
      </c>
    </row>
    <row r="555" spans="14:16" hidden="1" x14ac:dyDescent="0.4">
      <c r="N555" s="22">
        <v>551</v>
      </c>
      <c r="O555" s="19">
        <v>67.203403500370314</v>
      </c>
      <c r="P555" s="19">
        <v>46.446476160146958</v>
      </c>
    </row>
    <row r="556" spans="14:16" hidden="1" x14ac:dyDescent="0.4">
      <c r="N556" s="22">
        <v>552</v>
      </c>
      <c r="O556" s="19">
        <v>40.780510219083965</v>
      </c>
      <c r="P556" s="19">
        <v>41.172399092050881</v>
      </c>
    </row>
    <row r="557" spans="14:16" hidden="1" x14ac:dyDescent="0.4">
      <c r="N557" s="22">
        <v>553</v>
      </c>
      <c r="O557" s="19">
        <v>45.653578160369648</v>
      </c>
      <c r="P557" s="19">
        <v>31.946256224543106</v>
      </c>
    </row>
    <row r="558" spans="14:16" hidden="1" x14ac:dyDescent="0.4">
      <c r="N558" s="22">
        <v>554</v>
      </c>
      <c r="O558" s="19">
        <v>47.413810641310306</v>
      </c>
      <c r="P558" s="19">
        <v>47.805699514277265</v>
      </c>
    </row>
    <row r="559" spans="14:16" hidden="1" x14ac:dyDescent="0.4">
      <c r="N559" s="22">
        <v>555</v>
      </c>
      <c r="O559" s="19">
        <v>48.178472277329263</v>
      </c>
      <c r="P559" s="19">
        <v>34.47115034150265</v>
      </c>
    </row>
    <row r="560" spans="14:16" hidden="1" x14ac:dyDescent="0.4">
      <c r="N560" s="22">
        <v>556</v>
      </c>
      <c r="O560" s="19">
        <v>34.325474263320132</v>
      </c>
      <c r="P560" s="19">
        <v>34.717363136287133</v>
      </c>
    </row>
    <row r="561" spans="14:16" hidden="1" x14ac:dyDescent="0.4">
      <c r="N561" s="22">
        <v>557</v>
      </c>
      <c r="O561" s="19">
        <v>49.427462847650986</v>
      </c>
      <c r="P561" s="19">
        <v>35.720140911824444</v>
      </c>
    </row>
    <row r="562" spans="14:16" hidden="1" x14ac:dyDescent="0.4">
      <c r="N562" s="22">
        <v>558</v>
      </c>
      <c r="O562" s="19">
        <v>54.592113229062704</v>
      </c>
      <c r="P562" s="19">
        <v>40.884791293236106</v>
      </c>
    </row>
    <row r="563" spans="14:16" hidden="1" x14ac:dyDescent="0.4">
      <c r="N563" s="22">
        <v>559</v>
      </c>
      <c r="O563" s="19">
        <v>66.615010456410744</v>
      </c>
      <c r="P563" s="19">
        <v>45.858083116187402</v>
      </c>
    </row>
    <row r="564" spans="14:16" hidden="1" x14ac:dyDescent="0.4">
      <c r="N564" s="22">
        <v>560</v>
      </c>
      <c r="O564" s="19">
        <v>41.374774997671182</v>
      </c>
      <c r="P564" s="19">
        <v>41.766663870638155</v>
      </c>
    </row>
    <row r="565" spans="14:16" hidden="1" x14ac:dyDescent="0.4">
      <c r="N565" s="22">
        <v>561</v>
      </c>
      <c r="O565" s="19">
        <v>67.670413744629627</v>
      </c>
      <c r="P565" s="19">
        <v>46.913486404406257</v>
      </c>
    </row>
    <row r="566" spans="14:16" hidden="1" x14ac:dyDescent="0.4">
      <c r="N566" s="22">
        <v>562</v>
      </c>
      <c r="O566" s="19">
        <v>48.161175400618561</v>
      </c>
      <c r="P566" s="19">
        <v>34.453853464791976</v>
      </c>
    </row>
    <row r="567" spans="14:16" hidden="1" x14ac:dyDescent="0.4">
      <c r="N567" s="22">
        <v>563</v>
      </c>
      <c r="O567" s="19">
        <v>72.586042074847001</v>
      </c>
      <c r="P567" s="19">
        <v>51.829114734623673</v>
      </c>
    </row>
    <row r="568" spans="14:16" hidden="1" x14ac:dyDescent="0.4">
      <c r="N568" s="22">
        <v>564</v>
      </c>
      <c r="O568" s="19">
        <v>68.009145111192026</v>
      </c>
      <c r="P568" s="19">
        <v>47.25221777096867</v>
      </c>
    </row>
    <row r="569" spans="14:16" hidden="1" x14ac:dyDescent="0.4">
      <c r="N569" s="22">
        <v>565</v>
      </c>
      <c r="O569" s="19">
        <v>39.106687723966729</v>
      </c>
      <c r="P569" s="19">
        <v>39.498576596933745</v>
      </c>
    </row>
    <row r="570" spans="14:16" hidden="1" x14ac:dyDescent="0.4">
      <c r="N570" s="22">
        <v>566</v>
      </c>
      <c r="O570" s="19">
        <v>47.981105624649445</v>
      </c>
      <c r="P570" s="19">
        <v>48.372994497616418</v>
      </c>
    </row>
    <row r="571" spans="14:16" hidden="1" x14ac:dyDescent="0.4">
      <c r="N571" s="22">
        <v>567</v>
      </c>
      <c r="O571" s="19">
        <v>42.718878390421139</v>
      </c>
      <c r="P571" s="19">
        <v>36.061161858991298</v>
      </c>
    </row>
    <row r="572" spans="14:16" hidden="1" x14ac:dyDescent="0.4">
      <c r="N572" s="22">
        <v>568</v>
      </c>
      <c r="O572" s="19">
        <v>60.075468621565619</v>
      </c>
      <c r="P572" s="19">
        <v>46.368146685739049</v>
      </c>
    </row>
    <row r="573" spans="14:16" hidden="1" x14ac:dyDescent="0.4">
      <c r="N573" s="22">
        <v>569</v>
      </c>
      <c r="O573" s="19">
        <v>44.418431181252629</v>
      </c>
      <c r="P573" s="19">
        <v>44.810320054219616</v>
      </c>
    </row>
    <row r="574" spans="14:16" hidden="1" x14ac:dyDescent="0.4">
      <c r="N574" s="22">
        <v>570</v>
      </c>
      <c r="O574" s="19">
        <v>48.626392435191178</v>
      </c>
      <c r="P574" s="19">
        <v>34.919070499364608</v>
      </c>
    </row>
    <row r="575" spans="14:16" hidden="1" x14ac:dyDescent="0.4">
      <c r="N575" s="22">
        <v>571</v>
      </c>
      <c r="O575" s="19">
        <v>68.869272167183965</v>
      </c>
      <c r="P575" s="19">
        <v>48.112344826960623</v>
      </c>
    </row>
    <row r="576" spans="14:16" hidden="1" x14ac:dyDescent="0.4">
      <c r="N576" s="22">
        <v>572</v>
      </c>
      <c r="O576" s="19">
        <v>59.29236769636293</v>
      </c>
      <c r="P576" s="19">
        <v>45.585045760536374</v>
      </c>
    </row>
    <row r="577" spans="14:16" hidden="1" x14ac:dyDescent="0.4">
      <c r="N577" s="22">
        <v>573</v>
      </c>
      <c r="O577" s="19">
        <v>62.204352930775144</v>
      </c>
      <c r="P577" s="19">
        <v>41.447425590551831</v>
      </c>
    </row>
    <row r="578" spans="14:16" hidden="1" x14ac:dyDescent="0.4">
      <c r="N578" s="22">
        <v>574</v>
      </c>
      <c r="O578" s="19">
        <v>35.331345487672138</v>
      </c>
      <c r="P578" s="19">
        <v>35.723234360639154</v>
      </c>
    </row>
    <row r="579" spans="14:16" hidden="1" x14ac:dyDescent="0.4">
      <c r="N579" s="22">
        <v>575</v>
      </c>
      <c r="O579" s="19">
        <v>61.841366413461003</v>
      </c>
      <c r="P579" s="19">
        <v>48.13404447763439</v>
      </c>
    </row>
    <row r="580" spans="14:16" hidden="1" x14ac:dyDescent="0.4">
      <c r="N580" s="22">
        <v>576</v>
      </c>
      <c r="O580" s="19">
        <v>44.781891091683406</v>
      </c>
      <c r="P580" s="19">
        <v>38.124174560253607</v>
      </c>
    </row>
    <row r="581" spans="14:16" hidden="1" x14ac:dyDescent="0.4">
      <c r="N581" s="22">
        <v>577</v>
      </c>
      <c r="O581" s="19">
        <v>52.183826145085106</v>
      </c>
      <c r="P581" s="19">
        <v>38.476504209258522</v>
      </c>
    </row>
    <row r="582" spans="14:16" hidden="1" x14ac:dyDescent="0.4">
      <c r="N582" s="22">
        <v>578</v>
      </c>
      <c r="O582" s="19">
        <v>45.181651743476323</v>
      </c>
      <c r="P582" s="19">
        <v>31.474329807649681</v>
      </c>
    </row>
    <row r="583" spans="14:16" hidden="1" x14ac:dyDescent="0.4">
      <c r="N583" s="22">
        <v>579</v>
      </c>
      <c r="O583" s="19">
        <v>48.357166177703448</v>
      </c>
      <c r="P583" s="19">
        <v>34.649844241876949</v>
      </c>
    </row>
    <row r="584" spans="14:16" hidden="1" x14ac:dyDescent="0.4">
      <c r="N584" s="22">
        <v>580</v>
      </c>
      <c r="O584" s="19">
        <v>42.555367599982276</v>
      </c>
      <c r="P584" s="19">
        <v>42.947256472949292</v>
      </c>
    </row>
    <row r="585" spans="14:16" hidden="1" x14ac:dyDescent="0.4">
      <c r="N585" s="22">
        <v>581</v>
      </c>
      <c r="O585" s="19">
        <v>49.889630558999556</v>
      </c>
      <c r="P585" s="19">
        <v>43.231914027569729</v>
      </c>
    </row>
    <row r="586" spans="14:16" hidden="1" x14ac:dyDescent="0.4">
      <c r="N586" s="22">
        <v>582</v>
      </c>
      <c r="O586" s="19">
        <v>54.02716542017572</v>
      </c>
      <c r="P586" s="19">
        <v>40.31984348434915</v>
      </c>
    </row>
    <row r="587" spans="14:16" hidden="1" x14ac:dyDescent="0.4">
      <c r="N587" s="22">
        <v>583</v>
      </c>
      <c r="O587" s="19">
        <v>52.109814739100273</v>
      </c>
      <c r="P587" s="19">
        <v>24.303281994480173</v>
      </c>
    </row>
    <row r="588" spans="14:16" hidden="1" x14ac:dyDescent="0.4">
      <c r="N588" s="22">
        <v>584</v>
      </c>
      <c r="O588" s="19">
        <v>47.486985314231788</v>
      </c>
      <c r="P588" s="19">
        <v>40.829268782801918</v>
      </c>
    </row>
    <row r="589" spans="14:16" hidden="1" x14ac:dyDescent="0.4">
      <c r="N589" s="22">
        <v>585</v>
      </c>
      <c r="O589" s="19">
        <v>61.948846577197173</v>
      </c>
      <c r="P589" s="19">
        <v>34.14231383257713</v>
      </c>
    </row>
    <row r="590" spans="14:16" hidden="1" x14ac:dyDescent="0.4">
      <c r="N590" s="22">
        <v>586</v>
      </c>
      <c r="O590" s="19">
        <v>33.555729095241645</v>
      </c>
      <c r="P590" s="19">
        <v>33.947617968208618</v>
      </c>
    </row>
    <row r="591" spans="14:16" hidden="1" x14ac:dyDescent="0.4">
      <c r="N591" s="22">
        <v>587</v>
      </c>
      <c r="O591" s="19">
        <v>47.908002142294606</v>
      </c>
      <c r="P591" s="19">
        <v>34.200680206468007</v>
      </c>
    </row>
    <row r="592" spans="14:16" hidden="1" x14ac:dyDescent="0.4">
      <c r="N592" s="22">
        <v>588</v>
      </c>
      <c r="O592" s="19">
        <v>72.35202325687743</v>
      </c>
      <c r="P592" s="19">
        <v>51.595095916654117</v>
      </c>
    </row>
    <row r="593" spans="14:16" hidden="1" x14ac:dyDescent="0.4">
      <c r="N593" s="22">
        <v>589</v>
      </c>
      <c r="O593" s="19">
        <v>57.567824438663592</v>
      </c>
      <c r="P593" s="19">
        <v>43.860502502836994</v>
      </c>
    </row>
    <row r="594" spans="14:16" hidden="1" x14ac:dyDescent="0.4">
      <c r="N594" s="22">
        <v>590</v>
      </c>
      <c r="O594" s="19">
        <v>53.839255528817262</v>
      </c>
      <c r="P594" s="19">
        <v>40.131933592990706</v>
      </c>
    </row>
    <row r="595" spans="14:16" hidden="1" x14ac:dyDescent="0.4">
      <c r="N595" s="22">
        <v>591</v>
      </c>
      <c r="O595" s="19">
        <v>48.087742790379139</v>
      </c>
      <c r="P595" s="19">
        <v>34.380420854552582</v>
      </c>
    </row>
    <row r="596" spans="14:16" hidden="1" x14ac:dyDescent="0.4">
      <c r="N596" s="22">
        <v>592</v>
      </c>
      <c r="O596" s="19">
        <v>53.89328917704097</v>
      </c>
      <c r="P596" s="19">
        <v>33.136361836817585</v>
      </c>
    </row>
    <row r="597" spans="14:16" hidden="1" x14ac:dyDescent="0.4">
      <c r="N597" s="22">
        <v>593</v>
      </c>
      <c r="O597" s="19">
        <v>65.603685714539893</v>
      </c>
      <c r="P597" s="19">
        <v>51.896363778713351</v>
      </c>
    </row>
    <row r="598" spans="14:16" hidden="1" x14ac:dyDescent="0.4">
      <c r="N598" s="22">
        <v>594</v>
      </c>
      <c r="O598" s="19">
        <v>45.991430314926845</v>
      </c>
      <c r="P598" s="19">
        <v>39.333713783497089</v>
      </c>
    </row>
    <row r="599" spans="14:16" hidden="1" x14ac:dyDescent="0.4">
      <c r="N599" s="22">
        <v>595</v>
      </c>
      <c r="O599" s="19">
        <v>31.157951245242259</v>
      </c>
      <c r="P599" s="19">
        <v>24.500234713812446</v>
      </c>
    </row>
    <row r="600" spans="14:16" hidden="1" x14ac:dyDescent="0.4">
      <c r="N600" s="22">
        <v>596</v>
      </c>
      <c r="O600" s="19">
        <v>34.972349781034723</v>
      </c>
      <c r="P600" s="19">
        <v>35.364238654001696</v>
      </c>
    </row>
    <row r="601" spans="14:16" hidden="1" x14ac:dyDescent="0.4">
      <c r="N601" s="22">
        <v>597</v>
      </c>
      <c r="O601" s="19">
        <v>51.344961248571963</v>
      </c>
      <c r="P601" s="19">
        <v>37.637639312745421</v>
      </c>
    </row>
    <row r="602" spans="14:16" hidden="1" x14ac:dyDescent="0.4">
      <c r="N602" s="22">
        <v>598</v>
      </c>
      <c r="O602" s="19">
        <v>38.042799287891285</v>
      </c>
      <c r="P602" s="19">
        <v>24.335477352064672</v>
      </c>
    </row>
    <row r="603" spans="14:16" hidden="1" x14ac:dyDescent="0.4">
      <c r="N603" s="22">
        <v>599</v>
      </c>
      <c r="O603" s="19">
        <v>46.251092936518376</v>
      </c>
      <c r="P603" s="19">
        <v>32.543771000691819</v>
      </c>
    </row>
    <row r="604" spans="14:16" hidden="1" x14ac:dyDescent="0.4">
      <c r="N604" s="22">
        <v>600</v>
      </c>
      <c r="O604" s="19">
        <v>47.598952968207072</v>
      </c>
      <c r="P604" s="19">
        <v>40.94123643677726</v>
      </c>
    </row>
    <row r="605" spans="14:16" hidden="1" x14ac:dyDescent="0.4">
      <c r="N605" s="22">
        <v>601</v>
      </c>
      <c r="O605" s="19">
        <v>56.592972669688606</v>
      </c>
      <c r="P605" s="19">
        <v>42.885650733862064</v>
      </c>
    </row>
    <row r="606" spans="14:16" hidden="1" x14ac:dyDescent="0.4">
      <c r="N606" s="22">
        <v>602</v>
      </c>
      <c r="O606" s="19">
        <v>36.597252129813739</v>
      </c>
      <c r="P606" s="19">
        <v>29.939535598383983</v>
      </c>
    </row>
    <row r="607" spans="14:16" hidden="1" x14ac:dyDescent="0.4">
      <c r="N607" s="22">
        <v>603</v>
      </c>
      <c r="O607" s="19">
        <v>55.634503973842982</v>
      </c>
      <c r="P607" s="19">
        <v>48.976787442413197</v>
      </c>
    </row>
    <row r="608" spans="14:16" hidden="1" x14ac:dyDescent="0.4">
      <c r="N608" s="22">
        <v>604</v>
      </c>
      <c r="O608" s="19">
        <v>54.793444209408847</v>
      </c>
      <c r="P608" s="19">
        <v>34.036516869185533</v>
      </c>
    </row>
    <row r="609" spans="14:16" hidden="1" x14ac:dyDescent="0.4">
      <c r="N609" s="22">
        <v>605</v>
      </c>
      <c r="O609" s="19">
        <v>39.169071880535682</v>
      </c>
      <c r="P609" s="19">
        <v>25.461749944709155</v>
      </c>
    </row>
    <row r="610" spans="14:16" hidden="1" x14ac:dyDescent="0.4">
      <c r="N610" s="22">
        <v>606</v>
      </c>
      <c r="O610" s="19">
        <v>56.284807884245708</v>
      </c>
      <c r="P610" s="19">
        <v>42.577485948419152</v>
      </c>
    </row>
    <row r="611" spans="14:16" hidden="1" x14ac:dyDescent="0.4">
      <c r="N611" s="22">
        <v>607</v>
      </c>
      <c r="O611" s="19">
        <v>53.777768666630436</v>
      </c>
      <c r="P611" s="19">
        <v>40.070446730803837</v>
      </c>
    </row>
    <row r="612" spans="14:16" hidden="1" x14ac:dyDescent="0.4">
      <c r="N612" s="22">
        <v>608</v>
      </c>
      <c r="O612" s="19">
        <v>54.516014619827331</v>
      </c>
      <c r="P612" s="19">
        <v>40.808692684000746</v>
      </c>
    </row>
    <row r="613" spans="14:16" hidden="1" x14ac:dyDescent="0.4">
      <c r="N613" s="22">
        <v>609</v>
      </c>
      <c r="O613" s="19">
        <v>47.102458949207119</v>
      </c>
      <c r="P613" s="19">
        <v>26.345531608983734</v>
      </c>
    </row>
    <row r="614" spans="14:16" hidden="1" x14ac:dyDescent="0.4">
      <c r="N614" s="22">
        <v>610</v>
      </c>
      <c r="O614" s="19">
        <v>67.204443623803741</v>
      </c>
      <c r="P614" s="19">
        <v>39.397910879183627</v>
      </c>
    </row>
    <row r="615" spans="14:16" hidden="1" x14ac:dyDescent="0.4">
      <c r="N615" s="22">
        <v>611</v>
      </c>
      <c r="O615" s="19">
        <v>62.675000607480968</v>
      </c>
      <c r="P615" s="19">
        <v>48.967678671654397</v>
      </c>
    </row>
    <row r="616" spans="14:16" hidden="1" x14ac:dyDescent="0.4">
      <c r="N616" s="22">
        <v>612</v>
      </c>
      <c r="O616" s="19">
        <v>52.506733819638157</v>
      </c>
      <c r="P616" s="19">
        <v>38.799411883811572</v>
      </c>
    </row>
    <row r="617" spans="14:16" hidden="1" x14ac:dyDescent="0.4">
      <c r="N617" s="22">
        <v>613</v>
      </c>
      <c r="O617" s="19">
        <v>62.170037316814955</v>
      </c>
      <c r="P617" s="19">
        <v>48.462715380988385</v>
      </c>
    </row>
    <row r="618" spans="14:16" hidden="1" x14ac:dyDescent="0.4">
      <c r="N618" s="22">
        <v>614</v>
      </c>
      <c r="O618" s="19">
        <v>42.354006540889259</v>
      </c>
      <c r="P618" s="19">
        <v>28.646684605062688</v>
      </c>
    </row>
    <row r="619" spans="14:16" hidden="1" x14ac:dyDescent="0.4">
      <c r="N619" s="22">
        <v>615</v>
      </c>
      <c r="O619" s="19">
        <v>39.231964915554613</v>
      </c>
      <c r="P619" s="19">
        <v>39.623853788521586</v>
      </c>
    </row>
    <row r="620" spans="14:16" hidden="1" x14ac:dyDescent="0.4">
      <c r="N620" s="22">
        <v>616</v>
      </c>
      <c r="O620" s="19">
        <v>28.486493320284012</v>
      </c>
      <c r="P620" s="19">
        <v>28.878382193250957</v>
      </c>
    </row>
    <row r="621" spans="14:16" hidden="1" x14ac:dyDescent="0.4">
      <c r="N621" s="22">
        <v>617</v>
      </c>
      <c r="O621" s="19">
        <v>73.028010110587957</v>
      </c>
      <c r="P621" s="19">
        <v>45.2214773659679</v>
      </c>
    </row>
    <row r="622" spans="14:16" hidden="1" x14ac:dyDescent="0.4">
      <c r="N622" s="22">
        <v>618</v>
      </c>
      <c r="O622" s="19">
        <v>53.789541072486486</v>
      </c>
      <c r="P622" s="19">
        <v>33.032613732263144</v>
      </c>
    </row>
    <row r="623" spans="14:16" hidden="1" x14ac:dyDescent="0.4">
      <c r="N623" s="22">
        <v>619</v>
      </c>
      <c r="O623" s="19">
        <v>58.074835059888585</v>
      </c>
      <c r="P623" s="19">
        <v>44.367513124061986</v>
      </c>
    </row>
    <row r="624" spans="14:16" hidden="1" x14ac:dyDescent="0.4">
      <c r="N624" s="22">
        <v>620</v>
      </c>
      <c r="O624" s="19">
        <v>59.835905670205534</v>
      </c>
      <c r="P624" s="19">
        <v>46.128583734378921</v>
      </c>
    </row>
    <row r="625" spans="14:16" hidden="1" x14ac:dyDescent="0.4">
      <c r="N625" s="22">
        <v>621</v>
      </c>
      <c r="O625" s="19">
        <v>51.435883798233419</v>
      </c>
      <c r="P625" s="19">
        <v>51.827772671200435</v>
      </c>
    </row>
    <row r="626" spans="14:16" hidden="1" x14ac:dyDescent="0.4">
      <c r="N626" s="22">
        <v>622</v>
      </c>
      <c r="O626" s="19">
        <v>51.073251721085967</v>
      </c>
      <c r="P626" s="19">
        <v>37.365929785259439</v>
      </c>
    </row>
    <row r="627" spans="14:16" hidden="1" x14ac:dyDescent="0.4">
      <c r="N627" s="22">
        <v>623</v>
      </c>
      <c r="O627" s="19">
        <v>42.802049931945419</v>
      </c>
      <c r="P627" s="19">
        <v>36.144333400515649</v>
      </c>
    </row>
    <row r="628" spans="14:16" hidden="1" x14ac:dyDescent="0.4">
      <c r="N628" s="22">
        <v>624</v>
      </c>
      <c r="O628" s="19">
        <v>42.246267069624196</v>
      </c>
      <c r="P628" s="19">
        <v>42.638155942591112</v>
      </c>
    </row>
    <row r="629" spans="14:16" hidden="1" x14ac:dyDescent="0.4">
      <c r="N629" s="22">
        <v>625</v>
      </c>
      <c r="O629" s="19">
        <v>54.066937743740311</v>
      </c>
      <c r="P629" s="19">
        <v>40.359615807913798</v>
      </c>
    </row>
    <row r="630" spans="14:16" hidden="1" x14ac:dyDescent="0.4">
      <c r="N630" s="22">
        <v>626</v>
      </c>
      <c r="O630" s="19">
        <v>41.456395435060699</v>
      </c>
      <c r="P630" s="19">
        <v>41.848284308027644</v>
      </c>
    </row>
    <row r="631" spans="14:16" hidden="1" x14ac:dyDescent="0.4">
      <c r="N631" s="22">
        <v>627</v>
      </c>
      <c r="O631" s="19">
        <v>58.635182381775167</v>
      </c>
      <c r="P631" s="19">
        <v>44.927860445948625</v>
      </c>
    </row>
    <row r="632" spans="14:16" hidden="1" x14ac:dyDescent="0.4">
      <c r="N632" s="22">
        <v>628</v>
      </c>
      <c r="O632" s="19">
        <v>29.557319382784499</v>
      </c>
      <c r="P632" s="19">
        <v>22.899602851354729</v>
      </c>
    </row>
    <row r="633" spans="14:16" hidden="1" x14ac:dyDescent="0.4">
      <c r="N633" s="22">
        <v>629</v>
      </c>
      <c r="O633" s="19">
        <v>56.732950345954066</v>
      </c>
      <c r="P633" s="19">
        <v>35.976023005730724</v>
      </c>
    </row>
    <row r="634" spans="14:16" hidden="1" x14ac:dyDescent="0.4">
      <c r="N634" s="22">
        <v>630</v>
      </c>
      <c r="O634" s="19">
        <v>24.753134990612807</v>
      </c>
      <c r="P634" s="19">
        <v>25.145023863579794</v>
      </c>
    </row>
    <row r="635" spans="14:16" hidden="1" x14ac:dyDescent="0.4">
      <c r="N635" s="22">
        <v>631</v>
      </c>
      <c r="O635" s="19">
        <v>57.681609963205005</v>
      </c>
      <c r="P635" s="19">
        <v>43.974288027378435</v>
      </c>
    </row>
    <row r="636" spans="14:16" hidden="1" x14ac:dyDescent="0.4">
      <c r="N636" s="22">
        <v>632</v>
      </c>
      <c r="O636" s="19">
        <v>38.403301751298329</v>
      </c>
      <c r="P636" s="19">
        <v>38.795190624265302</v>
      </c>
    </row>
    <row r="637" spans="14:16" hidden="1" x14ac:dyDescent="0.4">
      <c r="N637" s="22">
        <v>633</v>
      </c>
      <c r="O637" s="19">
        <v>42.986747568593159</v>
      </c>
      <c r="P637" s="19">
        <v>36.329031037163361</v>
      </c>
    </row>
    <row r="638" spans="14:16" hidden="1" x14ac:dyDescent="0.4">
      <c r="N638" s="22">
        <v>634</v>
      </c>
      <c r="O638" s="19">
        <v>63.750999291012249</v>
      </c>
      <c r="P638" s="19">
        <v>35.944466546392178</v>
      </c>
    </row>
    <row r="639" spans="14:16" hidden="1" x14ac:dyDescent="0.4">
      <c r="N639" s="22">
        <v>635</v>
      </c>
      <c r="O639" s="19">
        <v>27.294408596955918</v>
      </c>
      <c r="P639" s="19">
        <v>27.686297469922863</v>
      </c>
    </row>
    <row r="640" spans="14:16" hidden="1" x14ac:dyDescent="0.4">
      <c r="N640" s="22">
        <v>636</v>
      </c>
      <c r="O640" s="19">
        <v>58.900809806012262</v>
      </c>
      <c r="P640" s="19">
        <v>45.193487870185663</v>
      </c>
    </row>
    <row r="641" spans="14:16" hidden="1" x14ac:dyDescent="0.4">
      <c r="N641" s="22">
        <v>637</v>
      </c>
      <c r="O641" s="19">
        <v>41.081498035065124</v>
      </c>
      <c r="P641" s="19">
        <v>27.374176099238525</v>
      </c>
    </row>
    <row r="642" spans="14:16" hidden="1" x14ac:dyDescent="0.4">
      <c r="N642" s="22">
        <v>638</v>
      </c>
      <c r="O642" s="19">
        <v>54.076160889499079</v>
      </c>
      <c r="P642" s="19">
        <v>47.41844435806928</v>
      </c>
    </row>
    <row r="643" spans="14:16" hidden="1" x14ac:dyDescent="0.4">
      <c r="N643" s="22">
        <v>639</v>
      </c>
      <c r="O643" s="19">
        <v>43.639049855356006</v>
      </c>
      <c r="P643" s="19">
        <v>36.981333323926251</v>
      </c>
    </row>
    <row r="644" spans="14:16" hidden="1" x14ac:dyDescent="0.4">
      <c r="N644" s="22">
        <v>640</v>
      </c>
      <c r="O644" s="19">
        <v>51.718677380840347</v>
      </c>
      <c r="P644" s="19">
        <v>45.060960849410549</v>
      </c>
    </row>
    <row r="645" spans="14:16" hidden="1" x14ac:dyDescent="0.4">
      <c r="N645" s="22">
        <v>641</v>
      </c>
      <c r="O645" s="19">
        <v>55.880993526763007</v>
      </c>
      <c r="P645" s="19">
        <v>35.124066186539693</v>
      </c>
    </row>
    <row r="646" spans="14:16" hidden="1" x14ac:dyDescent="0.4">
      <c r="N646" s="22">
        <v>642</v>
      </c>
      <c r="O646" s="19">
        <v>48.227975880910606</v>
      </c>
      <c r="P646" s="19">
        <v>41.57025934948085</v>
      </c>
    </row>
    <row r="647" spans="14:16" hidden="1" x14ac:dyDescent="0.4">
      <c r="N647" s="22">
        <v>643</v>
      </c>
      <c r="O647" s="19">
        <v>39.412521974858464</v>
      </c>
      <c r="P647" s="19">
        <v>39.804410847825437</v>
      </c>
    </row>
    <row r="648" spans="14:16" hidden="1" x14ac:dyDescent="0.4">
      <c r="N648" s="22">
        <v>644</v>
      </c>
      <c r="O648" s="19">
        <v>41.909985559497443</v>
      </c>
      <c r="P648" s="19">
        <v>42.301874432464402</v>
      </c>
    </row>
    <row r="649" spans="14:16" hidden="1" x14ac:dyDescent="0.4">
      <c r="N649" s="22">
        <v>645</v>
      </c>
      <c r="O649" s="19">
        <v>42.241986726271591</v>
      </c>
      <c r="P649" s="19">
        <v>42.633875599238564</v>
      </c>
    </row>
    <row r="650" spans="14:16" hidden="1" x14ac:dyDescent="0.4">
      <c r="N650" s="22">
        <v>646</v>
      </c>
      <c r="O650" s="19">
        <v>63.436477251662836</v>
      </c>
      <c r="P650" s="19">
        <v>49.729155315836252</v>
      </c>
    </row>
    <row r="651" spans="14:16" hidden="1" x14ac:dyDescent="0.4">
      <c r="N651" s="22">
        <v>647</v>
      </c>
      <c r="O651" s="19">
        <v>47.004201580548909</v>
      </c>
      <c r="P651" s="19">
        <v>33.296879644722353</v>
      </c>
    </row>
    <row r="652" spans="14:16" hidden="1" x14ac:dyDescent="0.4">
      <c r="N652" s="22">
        <v>648</v>
      </c>
      <c r="O652" s="19">
        <v>52.095990090415228</v>
      </c>
      <c r="P652" s="19">
        <v>45.438273558985443</v>
      </c>
    </row>
    <row r="653" spans="14:16" hidden="1" x14ac:dyDescent="0.4">
      <c r="N653" s="22">
        <v>649</v>
      </c>
      <c r="O653" s="19">
        <v>41.906580611215702</v>
      </c>
      <c r="P653" s="19">
        <v>35.248864079785946</v>
      </c>
    </row>
    <row r="654" spans="14:16" hidden="1" x14ac:dyDescent="0.4">
      <c r="N654" s="22">
        <v>650</v>
      </c>
      <c r="O654" s="19">
        <v>40.143781627228975</v>
      </c>
      <c r="P654" s="19">
        <v>33.486065095799162</v>
      </c>
    </row>
    <row r="655" spans="14:16" hidden="1" x14ac:dyDescent="0.4">
      <c r="N655" s="22">
        <v>651</v>
      </c>
      <c r="O655" s="19">
        <v>44.566290018617167</v>
      </c>
      <c r="P655" s="19">
        <v>37.908573487187354</v>
      </c>
    </row>
    <row r="656" spans="14:16" hidden="1" x14ac:dyDescent="0.4">
      <c r="N656" s="22">
        <v>652</v>
      </c>
      <c r="O656" s="19">
        <v>58.614411133279987</v>
      </c>
      <c r="P656" s="19">
        <v>44.907089197453445</v>
      </c>
    </row>
    <row r="657" spans="14:16" hidden="1" x14ac:dyDescent="0.4">
      <c r="N657" s="22">
        <v>653</v>
      </c>
      <c r="O657" s="19">
        <v>54.902581843972371</v>
      </c>
      <c r="P657" s="19">
        <v>41.1952599081458</v>
      </c>
    </row>
    <row r="658" spans="14:16" hidden="1" x14ac:dyDescent="0.4">
      <c r="N658" s="22">
        <v>654</v>
      </c>
      <c r="O658" s="19">
        <v>57.131587445504465</v>
      </c>
      <c r="P658" s="19">
        <v>43.424265509677866</v>
      </c>
    </row>
    <row r="659" spans="14:16" hidden="1" x14ac:dyDescent="0.4">
      <c r="N659" s="22">
        <v>655</v>
      </c>
      <c r="O659" s="19">
        <v>36.778345074183392</v>
      </c>
      <c r="P659" s="19">
        <v>37.170233947150322</v>
      </c>
    </row>
    <row r="660" spans="14:16" hidden="1" x14ac:dyDescent="0.4">
      <c r="N660" s="22">
        <v>656</v>
      </c>
      <c r="O660" s="19">
        <v>67.577258487710083</v>
      </c>
      <c r="P660" s="19">
        <v>39.770725743089997</v>
      </c>
    </row>
    <row r="661" spans="14:16" hidden="1" x14ac:dyDescent="0.4">
      <c r="N661" s="22">
        <v>657</v>
      </c>
      <c r="O661" s="19">
        <v>38.949364415296145</v>
      </c>
      <c r="P661" s="19">
        <v>39.341253288263047</v>
      </c>
    </row>
    <row r="662" spans="14:16" hidden="1" x14ac:dyDescent="0.4">
      <c r="N662" s="22">
        <v>658</v>
      </c>
      <c r="O662" s="19">
        <v>58.324291389971449</v>
      </c>
      <c r="P662" s="19">
        <v>44.616969454144879</v>
      </c>
    </row>
    <row r="663" spans="14:16" hidden="1" x14ac:dyDescent="0.4">
      <c r="N663" s="22">
        <v>659</v>
      </c>
      <c r="O663" s="19">
        <v>64.01188153091266</v>
      </c>
      <c r="P663" s="19">
        <v>43.254954190689361</v>
      </c>
    </row>
    <row r="664" spans="14:16" hidden="1" x14ac:dyDescent="0.4">
      <c r="N664" s="22">
        <v>660</v>
      </c>
      <c r="O664" s="19">
        <v>61.026074282420836</v>
      </c>
      <c r="P664" s="19">
        <v>61.417963155387767</v>
      </c>
    </row>
    <row r="665" spans="14:16" hidden="1" x14ac:dyDescent="0.4">
      <c r="N665" s="22">
        <v>661</v>
      </c>
      <c r="O665" s="19">
        <v>46.92652438168011</v>
      </c>
      <c r="P665" s="19">
        <v>33.219202445853497</v>
      </c>
    </row>
    <row r="666" spans="14:16" hidden="1" x14ac:dyDescent="0.4">
      <c r="N666" s="22">
        <v>662</v>
      </c>
      <c r="O666" s="19">
        <v>67.555955277275359</v>
      </c>
      <c r="P666" s="19">
        <v>53.848633341448789</v>
      </c>
    </row>
    <row r="667" spans="14:16" hidden="1" x14ac:dyDescent="0.4">
      <c r="N667" s="22">
        <v>663</v>
      </c>
      <c r="O667" s="19">
        <v>35.200938502119072</v>
      </c>
      <c r="P667" s="19">
        <v>28.54322197068926</v>
      </c>
    </row>
    <row r="668" spans="14:16" hidden="1" x14ac:dyDescent="0.4">
      <c r="N668" s="22">
        <v>664</v>
      </c>
      <c r="O668" s="19">
        <v>48.347193494931958</v>
      </c>
      <c r="P668" s="19">
        <v>34.63987155910543</v>
      </c>
    </row>
    <row r="669" spans="14:16" hidden="1" x14ac:dyDescent="0.4">
      <c r="N669" s="22">
        <v>665</v>
      </c>
      <c r="O669" s="19">
        <v>36.563035365670032</v>
      </c>
      <c r="P669" s="19">
        <v>29.905318834240163</v>
      </c>
    </row>
    <row r="670" spans="14:16" hidden="1" x14ac:dyDescent="0.4">
      <c r="N670" s="22">
        <v>666</v>
      </c>
      <c r="O670" s="19">
        <v>39.612484216883445</v>
      </c>
      <c r="P670" s="19">
        <v>40.00437308985039</v>
      </c>
    </row>
    <row r="671" spans="14:16" hidden="1" x14ac:dyDescent="0.4">
      <c r="N671" s="22">
        <v>667</v>
      </c>
      <c r="O671" s="19">
        <v>58.854558180547997</v>
      </c>
      <c r="P671" s="19">
        <v>38.097630840324669</v>
      </c>
    </row>
    <row r="672" spans="14:16" hidden="1" x14ac:dyDescent="0.4">
      <c r="N672" s="22">
        <v>668</v>
      </c>
      <c r="O672" s="19">
        <v>44.638161172436526</v>
      </c>
      <c r="P672" s="19">
        <v>37.98044464100667</v>
      </c>
    </row>
    <row r="673" spans="14:16" hidden="1" x14ac:dyDescent="0.4">
      <c r="N673" s="22">
        <v>669</v>
      </c>
      <c r="O673" s="19">
        <v>60.430517159686303</v>
      </c>
      <c r="P673" s="19">
        <v>53.772800628256505</v>
      </c>
    </row>
    <row r="674" spans="14:16" hidden="1" x14ac:dyDescent="0.4">
      <c r="N674" s="22">
        <v>670</v>
      </c>
      <c r="O674" s="19">
        <v>45.531944398278995</v>
      </c>
      <c r="P674" s="19">
        <v>31.82462246245241</v>
      </c>
    </row>
    <row r="675" spans="14:16" hidden="1" x14ac:dyDescent="0.4">
      <c r="N675" s="22">
        <v>671</v>
      </c>
      <c r="O675" s="19">
        <v>62.640434654449166</v>
      </c>
      <c r="P675" s="19">
        <v>55.982718123019353</v>
      </c>
    </row>
    <row r="676" spans="14:16" hidden="1" x14ac:dyDescent="0.4">
      <c r="N676" s="22">
        <v>672</v>
      </c>
      <c r="O676" s="19">
        <v>55.977851398815915</v>
      </c>
      <c r="P676" s="19">
        <v>42.270529462989302</v>
      </c>
    </row>
    <row r="677" spans="14:16" hidden="1" x14ac:dyDescent="0.4">
      <c r="N677" s="22">
        <v>673</v>
      </c>
      <c r="O677" s="19">
        <v>44.755601866543827</v>
      </c>
      <c r="P677" s="19">
        <v>31.048279930717257</v>
      </c>
    </row>
    <row r="678" spans="14:16" hidden="1" x14ac:dyDescent="0.4">
      <c r="N678" s="22">
        <v>674</v>
      </c>
      <c r="O678" s="19">
        <v>48.466224491406251</v>
      </c>
      <c r="P678" s="19">
        <v>41.808507959976509</v>
      </c>
    </row>
    <row r="679" spans="14:16" hidden="1" x14ac:dyDescent="0.4">
      <c r="N679" s="22">
        <v>675</v>
      </c>
      <c r="O679" s="19">
        <v>58.041525379603172</v>
      </c>
      <c r="P679" s="19">
        <v>30.234992634983101</v>
      </c>
    </row>
    <row r="680" spans="14:16" hidden="1" x14ac:dyDescent="0.4">
      <c r="N680" s="22">
        <v>676</v>
      </c>
      <c r="O680" s="19">
        <v>51.118505166488092</v>
      </c>
      <c r="P680" s="19">
        <v>44.460788635058236</v>
      </c>
    </row>
    <row r="681" spans="14:16" hidden="1" x14ac:dyDescent="0.4">
      <c r="N681" s="22">
        <v>677</v>
      </c>
      <c r="O681" s="19">
        <v>55.305141042366358</v>
      </c>
      <c r="P681" s="19">
        <v>48.647424510936588</v>
      </c>
    </row>
    <row r="682" spans="14:16" hidden="1" x14ac:dyDescent="0.4">
      <c r="N682" s="22">
        <v>678</v>
      </c>
      <c r="O682" s="19">
        <v>67.668007966073958</v>
      </c>
      <c r="P682" s="19">
        <v>46.911080625850559</v>
      </c>
    </row>
    <row r="683" spans="14:16" hidden="1" x14ac:dyDescent="0.4">
      <c r="N683" s="22">
        <v>679</v>
      </c>
      <c r="O683" s="19">
        <v>50.138275418222122</v>
      </c>
      <c r="P683" s="19">
        <v>50.530164291189053</v>
      </c>
    </row>
    <row r="684" spans="14:16" hidden="1" x14ac:dyDescent="0.4">
      <c r="N684" s="22">
        <v>680</v>
      </c>
      <c r="O684" s="19">
        <v>50.312847448757168</v>
      </c>
      <c r="P684" s="19">
        <v>36.605525512930583</v>
      </c>
    </row>
    <row r="685" spans="14:16" hidden="1" x14ac:dyDescent="0.4">
      <c r="N685" s="22">
        <v>681</v>
      </c>
      <c r="O685" s="19">
        <v>62.898984337333673</v>
      </c>
      <c r="P685" s="19">
        <v>42.142056997110345</v>
      </c>
    </row>
    <row r="686" spans="14:16" hidden="1" x14ac:dyDescent="0.4">
      <c r="N686" s="22">
        <v>682</v>
      </c>
      <c r="O686" s="19">
        <v>44.321123127852786</v>
      </c>
      <c r="P686" s="19">
        <v>37.663406596422973</v>
      </c>
    </row>
    <row r="687" spans="14:16" hidden="1" x14ac:dyDescent="0.4">
      <c r="N687" s="22">
        <v>683</v>
      </c>
      <c r="O687" s="19">
        <v>41.418168629392881</v>
      </c>
      <c r="P687" s="19">
        <v>27.710846693566367</v>
      </c>
    </row>
    <row r="688" spans="14:16" hidden="1" x14ac:dyDescent="0.4">
      <c r="N688" s="22">
        <v>684</v>
      </c>
      <c r="O688" s="19">
        <v>55.687656199168202</v>
      </c>
      <c r="P688" s="19">
        <v>34.930728858944889</v>
      </c>
    </row>
    <row r="689" spans="14:16" hidden="1" x14ac:dyDescent="0.4">
      <c r="N689" s="22">
        <v>685</v>
      </c>
      <c r="O689" s="19">
        <v>68.190327017887796</v>
      </c>
      <c r="P689" s="19">
        <v>40.383794273267696</v>
      </c>
    </row>
    <row r="690" spans="14:16" hidden="1" x14ac:dyDescent="0.4">
      <c r="N690" s="22">
        <v>686</v>
      </c>
      <c r="O690" s="19">
        <v>50.630945795350385</v>
      </c>
      <c r="P690" s="19">
        <v>36.923623859523772</v>
      </c>
    </row>
    <row r="691" spans="14:16" hidden="1" x14ac:dyDescent="0.4">
      <c r="N691" s="22">
        <v>687</v>
      </c>
      <c r="O691" s="19">
        <v>37.5205403248371</v>
      </c>
      <c r="P691" s="19">
        <v>37.912429197803988</v>
      </c>
    </row>
    <row r="692" spans="14:16" hidden="1" x14ac:dyDescent="0.4">
      <c r="N692" s="22">
        <v>688</v>
      </c>
      <c r="O692" s="19">
        <v>49.235150928168935</v>
      </c>
      <c r="P692" s="19">
        <v>35.52782899234235</v>
      </c>
    </row>
    <row r="693" spans="14:16" hidden="1" x14ac:dyDescent="0.4">
      <c r="N693" s="22">
        <v>689</v>
      </c>
      <c r="O693" s="19">
        <v>51.128328857327801</v>
      </c>
      <c r="P693" s="19">
        <v>30.371401517104459</v>
      </c>
    </row>
    <row r="694" spans="14:16" hidden="1" x14ac:dyDescent="0.4">
      <c r="N694" s="22">
        <v>690</v>
      </c>
      <c r="O694" s="19">
        <v>55.592246093048004</v>
      </c>
      <c r="P694" s="19">
        <v>41.884924157221462</v>
      </c>
    </row>
    <row r="695" spans="14:16" hidden="1" x14ac:dyDescent="0.4">
      <c r="N695" s="22">
        <v>691</v>
      </c>
      <c r="O695" s="19">
        <v>61.583714604642296</v>
      </c>
      <c r="P695" s="19">
        <v>54.92599807321254</v>
      </c>
    </row>
    <row r="696" spans="14:16" hidden="1" x14ac:dyDescent="0.4">
      <c r="N696" s="22">
        <v>692</v>
      </c>
      <c r="O696" s="19">
        <v>52.904919098597759</v>
      </c>
      <c r="P696" s="19">
        <v>39.197597162771189</v>
      </c>
    </row>
    <row r="697" spans="14:16" hidden="1" x14ac:dyDescent="0.4">
      <c r="N697" s="22">
        <v>693</v>
      </c>
      <c r="O697" s="19">
        <v>50.065365508803154</v>
      </c>
      <c r="P697" s="19">
        <v>43.407648977373341</v>
      </c>
    </row>
    <row r="698" spans="14:16" hidden="1" x14ac:dyDescent="0.4">
      <c r="N698" s="22">
        <v>694</v>
      </c>
      <c r="O698" s="19">
        <v>57.365708700986431</v>
      </c>
      <c r="P698" s="19">
        <v>50.707992169556618</v>
      </c>
    </row>
    <row r="699" spans="14:16" hidden="1" x14ac:dyDescent="0.4">
      <c r="N699" s="22">
        <v>695</v>
      </c>
      <c r="O699" s="19">
        <v>50.851395060657921</v>
      </c>
      <c r="P699" s="19">
        <v>37.144073124831351</v>
      </c>
    </row>
    <row r="700" spans="14:16" hidden="1" x14ac:dyDescent="0.4">
      <c r="N700" s="22">
        <v>696</v>
      </c>
      <c r="O700" s="19">
        <v>56.09038732317515</v>
      </c>
      <c r="P700" s="19">
        <v>56.482276196142152</v>
      </c>
    </row>
    <row r="701" spans="14:16" hidden="1" x14ac:dyDescent="0.4">
      <c r="N701" s="22">
        <v>697</v>
      </c>
      <c r="O701" s="19">
        <v>51.257685716446417</v>
      </c>
      <c r="P701" s="19">
        <v>23.451152971826332</v>
      </c>
    </row>
    <row r="702" spans="14:16" hidden="1" x14ac:dyDescent="0.4">
      <c r="N702" s="22">
        <v>698</v>
      </c>
      <c r="O702" s="19">
        <v>61.835803522832464</v>
      </c>
      <c r="P702" s="19">
        <v>48.128481587005894</v>
      </c>
    </row>
    <row r="703" spans="14:16" hidden="1" x14ac:dyDescent="0.4">
      <c r="N703" s="22">
        <v>699</v>
      </c>
      <c r="O703" s="19">
        <v>61.458769552764181</v>
      </c>
      <c r="P703" s="19">
        <v>40.701842212540882</v>
      </c>
    </row>
    <row r="704" spans="14:16" hidden="1" x14ac:dyDescent="0.4">
      <c r="N704" s="22">
        <v>700</v>
      </c>
      <c r="O704" s="19">
        <v>40.887129197220531</v>
      </c>
      <c r="P704" s="19">
        <v>34.229412665790775</v>
      </c>
    </row>
    <row r="705" spans="14:16" hidden="1" x14ac:dyDescent="0.4">
      <c r="N705" s="22">
        <v>701</v>
      </c>
      <c r="O705" s="19">
        <v>74.745984333815329</v>
      </c>
      <c r="P705" s="19">
        <v>46.939451589195315</v>
      </c>
    </row>
    <row r="706" spans="14:16" hidden="1" x14ac:dyDescent="0.4">
      <c r="N706" s="22">
        <v>702</v>
      </c>
      <c r="O706" s="19">
        <v>38.669394822318679</v>
      </c>
      <c r="P706" s="19">
        <v>39.061283695285653</v>
      </c>
    </row>
    <row r="707" spans="14:16" hidden="1" x14ac:dyDescent="0.4">
      <c r="N707" s="22">
        <v>703</v>
      </c>
      <c r="O707" s="19">
        <v>82.519647777426087</v>
      </c>
      <c r="P707" s="19">
        <v>54.713115032805973</v>
      </c>
    </row>
    <row r="708" spans="14:16" hidden="1" x14ac:dyDescent="0.4">
      <c r="N708" s="22">
        <v>704</v>
      </c>
      <c r="O708" s="19">
        <v>57.040915447943178</v>
      </c>
      <c r="P708" s="19">
        <v>43.333593512116636</v>
      </c>
    </row>
    <row r="709" spans="14:16" hidden="1" x14ac:dyDescent="0.4">
      <c r="N709" s="22">
        <v>705</v>
      </c>
      <c r="O709" s="19">
        <v>42.468990535097817</v>
      </c>
      <c r="P709" s="19">
        <v>35.81127400366799</v>
      </c>
    </row>
    <row r="710" spans="14:16" hidden="1" x14ac:dyDescent="0.4">
      <c r="N710" s="22">
        <v>706</v>
      </c>
      <c r="O710" s="19">
        <v>53.557224285485972</v>
      </c>
      <c r="P710" s="19">
        <v>39.84990234965943</v>
      </c>
    </row>
    <row r="711" spans="14:16" hidden="1" x14ac:dyDescent="0.4">
      <c r="N711" s="22">
        <v>707</v>
      </c>
      <c r="O711" s="19">
        <v>54.442090124128583</v>
      </c>
      <c r="P711" s="19">
        <v>40.734768188302041</v>
      </c>
    </row>
    <row r="712" spans="14:16" hidden="1" x14ac:dyDescent="0.4">
      <c r="N712" s="22">
        <v>708</v>
      </c>
      <c r="O712" s="19">
        <v>55.431234294667547</v>
      </c>
      <c r="P712" s="19">
        <v>41.723912358840963</v>
      </c>
    </row>
    <row r="713" spans="14:16" hidden="1" x14ac:dyDescent="0.4">
      <c r="N713" s="22">
        <v>709</v>
      </c>
      <c r="O713" s="19">
        <v>66.37731463691523</v>
      </c>
      <c r="P713" s="19">
        <v>52.669992701088702</v>
      </c>
    </row>
    <row r="714" spans="14:16" hidden="1" x14ac:dyDescent="0.4">
      <c r="N714" s="22">
        <v>710</v>
      </c>
      <c r="O714" s="19">
        <v>49.155014908097769</v>
      </c>
      <c r="P714" s="19">
        <v>35.447692972271213</v>
      </c>
    </row>
    <row r="715" spans="14:16" hidden="1" x14ac:dyDescent="0.4">
      <c r="N715" s="22">
        <v>711</v>
      </c>
      <c r="O715" s="19">
        <v>56.267499934998398</v>
      </c>
      <c r="P715" s="19">
        <v>35.510572594775098</v>
      </c>
    </row>
    <row r="716" spans="14:16" hidden="1" x14ac:dyDescent="0.4">
      <c r="N716" s="22">
        <v>712</v>
      </c>
      <c r="O716" s="19">
        <v>58.872383588985087</v>
      </c>
      <c r="P716" s="19">
        <v>38.115456248761845</v>
      </c>
    </row>
    <row r="717" spans="14:16" hidden="1" x14ac:dyDescent="0.4">
      <c r="N717" s="22">
        <v>713</v>
      </c>
      <c r="O717" s="19">
        <v>65.982304723331652</v>
      </c>
      <c r="P717" s="19">
        <v>38.175771978711538</v>
      </c>
    </row>
    <row r="718" spans="14:16" hidden="1" x14ac:dyDescent="0.4">
      <c r="N718" s="22">
        <v>714</v>
      </c>
      <c r="O718" s="19">
        <v>43.533968333043163</v>
      </c>
      <c r="P718" s="19">
        <v>43.925857206010164</v>
      </c>
    </row>
    <row r="719" spans="14:16" hidden="1" x14ac:dyDescent="0.4">
      <c r="N719" s="22">
        <v>715</v>
      </c>
      <c r="O719" s="19">
        <v>41.122773119354804</v>
      </c>
      <c r="P719" s="19">
        <v>34.465056587924977</v>
      </c>
    </row>
    <row r="720" spans="14:16" hidden="1" x14ac:dyDescent="0.4">
      <c r="N720" s="22">
        <v>716</v>
      </c>
      <c r="O720" s="19">
        <v>65.298299900910706</v>
      </c>
      <c r="P720" s="19">
        <v>44.54137256068735</v>
      </c>
    </row>
    <row r="721" spans="14:16" hidden="1" x14ac:dyDescent="0.4">
      <c r="N721" s="22">
        <v>717</v>
      </c>
      <c r="O721" s="19">
        <v>70.200029340892343</v>
      </c>
      <c r="P721" s="19">
        <v>49.443102000669001</v>
      </c>
    </row>
    <row r="722" spans="14:16" hidden="1" x14ac:dyDescent="0.4">
      <c r="N722" s="22">
        <v>718</v>
      </c>
      <c r="O722" s="19">
        <v>49.217828680600405</v>
      </c>
      <c r="P722" s="19">
        <v>42.560112149170578</v>
      </c>
    </row>
    <row r="723" spans="14:16" hidden="1" x14ac:dyDescent="0.4">
      <c r="N723" s="22">
        <v>719</v>
      </c>
      <c r="O723" s="19">
        <v>41.162019871444215</v>
      </c>
      <c r="P723" s="19">
        <v>27.45469793561756</v>
      </c>
    </row>
    <row r="724" spans="14:16" hidden="1" x14ac:dyDescent="0.4">
      <c r="N724" s="22">
        <v>720</v>
      </c>
      <c r="O724" s="19">
        <v>64.518981729334484</v>
      </c>
      <c r="P724" s="19">
        <v>36.712448984714399</v>
      </c>
    </row>
    <row r="725" spans="14:16" hidden="1" x14ac:dyDescent="0.4">
      <c r="N725" s="22">
        <v>721</v>
      </c>
      <c r="O725" s="19">
        <v>45.450124414903485</v>
      </c>
      <c r="P725" s="19">
        <v>38.792407883473757</v>
      </c>
    </row>
    <row r="726" spans="14:16" hidden="1" x14ac:dyDescent="0.4">
      <c r="N726" s="22">
        <v>722</v>
      </c>
      <c r="O726" s="19">
        <v>49.492178515094565</v>
      </c>
      <c r="P726" s="19">
        <v>35.784856579267966</v>
      </c>
    </row>
    <row r="727" spans="14:16" hidden="1" x14ac:dyDescent="0.4">
      <c r="N727" s="22">
        <v>723</v>
      </c>
      <c r="O727" s="19">
        <v>78.806205089950481</v>
      </c>
      <c r="P727" s="19">
        <v>58.049277749727125</v>
      </c>
    </row>
    <row r="728" spans="14:16" hidden="1" x14ac:dyDescent="0.4">
      <c r="N728" s="22">
        <v>724</v>
      </c>
      <c r="O728" s="19">
        <v>47.112601668989612</v>
      </c>
      <c r="P728" s="19">
        <v>33.405279733163013</v>
      </c>
    </row>
    <row r="729" spans="14:16" hidden="1" x14ac:dyDescent="0.4">
      <c r="N729" s="22">
        <v>725</v>
      </c>
      <c r="O729" s="19">
        <v>41.58641922090527</v>
      </c>
      <c r="P729" s="19">
        <v>41.978308093872229</v>
      </c>
    </row>
    <row r="730" spans="14:16" hidden="1" x14ac:dyDescent="0.4">
      <c r="N730" s="22">
        <v>726</v>
      </c>
      <c r="O730" s="19">
        <v>55.520323953742661</v>
      </c>
      <c r="P730" s="19">
        <v>34.763396613519348</v>
      </c>
    </row>
    <row r="731" spans="14:16" hidden="1" x14ac:dyDescent="0.4">
      <c r="N731" s="22">
        <v>727</v>
      </c>
      <c r="O731" s="19">
        <v>51.489147056757361</v>
      </c>
      <c r="P731" s="19">
        <v>44.831430525327548</v>
      </c>
    </row>
    <row r="732" spans="14:16" hidden="1" x14ac:dyDescent="0.4">
      <c r="N732" s="22">
        <v>728</v>
      </c>
      <c r="O732" s="19">
        <v>69.252745681020883</v>
      </c>
      <c r="P732" s="19">
        <v>55.545423745194313</v>
      </c>
    </row>
    <row r="733" spans="14:16" hidden="1" x14ac:dyDescent="0.4">
      <c r="N733" s="22">
        <v>729</v>
      </c>
      <c r="O733" s="19">
        <v>37.730169804631942</v>
      </c>
      <c r="P733" s="19">
        <v>31.072453273202086</v>
      </c>
    </row>
    <row r="734" spans="14:16" hidden="1" x14ac:dyDescent="0.4">
      <c r="N734" s="22">
        <v>730</v>
      </c>
      <c r="O734" s="19">
        <v>42.233759658920746</v>
      </c>
      <c r="P734" s="19">
        <v>28.526437723094148</v>
      </c>
    </row>
    <row r="735" spans="14:16" hidden="1" x14ac:dyDescent="0.4">
      <c r="N735" s="22">
        <v>731</v>
      </c>
      <c r="O735" s="19">
        <v>29.880533270370677</v>
      </c>
      <c r="P735" s="19">
        <v>23.222816738940878</v>
      </c>
    </row>
    <row r="736" spans="14:16" hidden="1" x14ac:dyDescent="0.4">
      <c r="N736" s="22">
        <v>732</v>
      </c>
      <c r="O736" s="19">
        <v>51.040400692453545</v>
      </c>
      <c r="P736" s="19">
        <v>30.283473352230189</v>
      </c>
    </row>
    <row r="737" spans="14:16" hidden="1" x14ac:dyDescent="0.4">
      <c r="N737" s="22">
        <v>733</v>
      </c>
      <c r="O737" s="19">
        <v>63.093529691979768</v>
      </c>
      <c r="P737" s="19">
        <v>49.386207756153198</v>
      </c>
    </row>
    <row r="738" spans="14:16" hidden="1" x14ac:dyDescent="0.4">
      <c r="N738" s="22">
        <v>734</v>
      </c>
      <c r="O738" s="19">
        <v>45.575930484840228</v>
      </c>
      <c r="P738" s="19">
        <v>31.868608549013672</v>
      </c>
    </row>
    <row r="739" spans="14:16" hidden="1" x14ac:dyDescent="0.4">
      <c r="N739" s="22">
        <v>735</v>
      </c>
      <c r="O739" s="19">
        <v>61.907050880732925</v>
      </c>
      <c r="P739" s="19">
        <v>41.150123540509597</v>
      </c>
    </row>
    <row r="740" spans="14:16" hidden="1" x14ac:dyDescent="0.4">
      <c r="N740" s="22">
        <v>736</v>
      </c>
      <c r="O740" s="19">
        <v>57.659793884794226</v>
      </c>
      <c r="P740" s="19">
        <v>43.952471948967585</v>
      </c>
    </row>
    <row r="741" spans="14:16" hidden="1" x14ac:dyDescent="0.4">
      <c r="N741" s="22">
        <v>737</v>
      </c>
      <c r="O741" s="19">
        <v>45.646530797671915</v>
      </c>
      <c r="P741" s="19">
        <v>38.988814266242116</v>
      </c>
    </row>
    <row r="742" spans="14:16" hidden="1" x14ac:dyDescent="0.4">
      <c r="N742" s="22">
        <v>738</v>
      </c>
      <c r="O742" s="19">
        <v>40.307002349987556</v>
      </c>
      <c r="P742" s="19">
        <v>40.698891222954487</v>
      </c>
    </row>
    <row r="743" spans="14:16" hidden="1" x14ac:dyDescent="0.4">
      <c r="N743" s="22">
        <v>739</v>
      </c>
      <c r="O743" s="19">
        <v>51.03133552282992</v>
      </c>
      <c r="P743" s="19">
        <v>37.32401358700335</v>
      </c>
    </row>
    <row r="744" spans="14:16" hidden="1" x14ac:dyDescent="0.4">
      <c r="N744" s="22">
        <v>740</v>
      </c>
      <c r="O744" s="19">
        <v>54.413812790572933</v>
      </c>
      <c r="P744" s="19">
        <v>47.756096259143149</v>
      </c>
    </row>
    <row r="745" spans="14:16" hidden="1" x14ac:dyDescent="0.4">
      <c r="N745" s="22">
        <v>741</v>
      </c>
      <c r="O745" s="19">
        <v>44.202137114458083</v>
      </c>
      <c r="P745" s="19">
        <v>30.494815178631498</v>
      </c>
    </row>
    <row r="746" spans="14:16" hidden="1" x14ac:dyDescent="0.4">
      <c r="N746" s="22">
        <v>742</v>
      </c>
      <c r="O746" s="19">
        <v>52.018719594810079</v>
      </c>
      <c r="P746" s="19">
        <v>38.311397658983537</v>
      </c>
    </row>
    <row r="747" spans="14:16" hidden="1" x14ac:dyDescent="0.4">
      <c r="N747" s="22">
        <v>743</v>
      </c>
      <c r="O747" s="19">
        <v>34.798874860069873</v>
      </c>
      <c r="P747" s="19">
        <v>35.190763733036874</v>
      </c>
    </row>
    <row r="748" spans="14:16" hidden="1" x14ac:dyDescent="0.4">
      <c r="N748" s="22">
        <v>744</v>
      </c>
      <c r="O748" s="19">
        <v>30.57028018520748</v>
      </c>
      <c r="P748" s="19">
        <v>30.962169058174382</v>
      </c>
    </row>
    <row r="749" spans="14:16" hidden="1" x14ac:dyDescent="0.4">
      <c r="N749" s="22">
        <v>745</v>
      </c>
      <c r="O749" s="19">
        <v>40.685328268335695</v>
      </c>
      <c r="P749" s="19">
        <v>41.077217141302654</v>
      </c>
    </row>
    <row r="750" spans="14:16" hidden="1" x14ac:dyDescent="0.4">
      <c r="N750" s="22">
        <v>746</v>
      </c>
      <c r="O750" s="19">
        <v>41.05934513139789</v>
      </c>
      <c r="P750" s="19">
        <v>41.451234004364835</v>
      </c>
    </row>
    <row r="751" spans="14:16" hidden="1" x14ac:dyDescent="0.4">
      <c r="N751" s="22">
        <v>747</v>
      </c>
      <c r="O751" s="19">
        <v>47.026315909744596</v>
      </c>
      <c r="P751" s="19">
        <v>40.368599378314798</v>
      </c>
    </row>
    <row r="752" spans="14:16" hidden="1" x14ac:dyDescent="0.4">
      <c r="N752" s="22">
        <v>748</v>
      </c>
      <c r="O752" s="19">
        <v>24.498697415006461</v>
      </c>
      <c r="P752" s="19">
        <v>24.890586287973392</v>
      </c>
    </row>
    <row r="753" spans="14:16" hidden="1" x14ac:dyDescent="0.4">
      <c r="N753" s="22">
        <v>749</v>
      </c>
      <c r="O753" s="19">
        <v>53.456626376557665</v>
      </c>
      <c r="P753" s="19">
        <v>39.749304440731109</v>
      </c>
    </row>
    <row r="754" spans="14:16" hidden="1" x14ac:dyDescent="0.4">
      <c r="N754" s="22">
        <v>750</v>
      </c>
      <c r="O754" s="19">
        <v>55.859652351647469</v>
      </c>
      <c r="P754" s="19">
        <v>42.152330415820856</v>
      </c>
    </row>
    <row r="755" spans="14:16" hidden="1" x14ac:dyDescent="0.4">
      <c r="N755" s="22">
        <v>751</v>
      </c>
      <c r="O755" s="19">
        <v>39.116285044710139</v>
      </c>
      <c r="P755" s="19">
        <v>39.50817391767707</v>
      </c>
    </row>
    <row r="756" spans="14:16" hidden="1" x14ac:dyDescent="0.4">
      <c r="N756" s="22">
        <v>752</v>
      </c>
      <c r="O756" s="19">
        <v>57.603107273860019</v>
      </c>
      <c r="P756" s="19">
        <v>43.895785338033406</v>
      </c>
    </row>
    <row r="757" spans="14:16" hidden="1" x14ac:dyDescent="0.4">
      <c r="N757" s="22">
        <v>753</v>
      </c>
      <c r="O757" s="19">
        <v>47.604086458778568</v>
      </c>
      <c r="P757" s="19">
        <v>40.946369927348755</v>
      </c>
    </row>
    <row r="758" spans="14:16" hidden="1" x14ac:dyDescent="0.4">
      <c r="N758" s="22">
        <v>754</v>
      </c>
      <c r="O758" s="19">
        <v>59.530143561964962</v>
      </c>
      <c r="P758" s="19">
        <v>45.822821626138378</v>
      </c>
    </row>
    <row r="759" spans="14:16" hidden="1" x14ac:dyDescent="0.4">
      <c r="N759" s="22">
        <v>755</v>
      </c>
      <c r="O759" s="19">
        <v>63.153882938493609</v>
      </c>
      <c r="P759" s="19">
        <v>42.396955598270225</v>
      </c>
    </row>
    <row r="760" spans="14:16" hidden="1" x14ac:dyDescent="0.4">
      <c r="N760" s="22">
        <v>756</v>
      </c>
      <c r="O760" s="19">
        <v>48.506054844707194</v>
      </c>
      <c r="P760" s="19">
        <v>41.848338313277395</v>
      </c>
    </row>
    <row r="761" spans="14:16" hidden="1" x14ac:dyDescent="0.4">
      <c r="N761" s="22">
        <v>757</v>
      </c>
      <c r="O761" s="19">
        <v>34.413646484877802</v>
      </c>
      <c r="P761" s="19">
        <v>34.805535357844747</v>
      </c>
    </row>
    <row r="762" spans="14:16" hidden="1" x14ac:dyDescent="0.4">
      <c r="N762" s="22">
        <v>758</v>
      </c>
      <c r="O762" s="19">
        <v>43.262921412530545</v>
      </c>
      <c r="P762" s="19">
        <v>36.605204881100704</v>
      </c>
    </row>
    <row r="763" spans="14:16" hidden="1" x14ac:dyDescent="0.4">
      <c r="N763" s="22">
        <v>759</v>
      </c>
      <c r="O763" s="19">
        <v>58.030351594536114</v>
      </c>
      <c r="P763" s="19">
        <v>44.323029658709558</v>
      </c>
    </row>
    <row r="764" spans="14:16" hidden="1" x14ac:dyDescent="0.4">
      <c r="N764" s="22">
        <v>760</v>
      </c>
      <c r="O764" s="19">
        <v>54.026926123517342</v>
      </c>
      <c r="P764" s="19">
        <v>40.3196041876908</v>
      </c>
    </row>
    <row r="765" spans="14:16" hidden="1" x14ac:dyDescent="0.4">
      <c r="N765" s="22">
        <v>761</v>
      </c>
      <c r="O765" s="19">
        <v>37.543072255015943</v>
      </c>
      <c r="P765" s="19">
        <v>23.835750319189387</v>
      </c>
    </row>
    <row r="766" spans="14:16" hidden="1" x14ac:dyDescent="0.4">
      <c r="N766" s="22">
        <v>762</v>
      </c>
      <c r="O766" s="19">
        <v>49.401900099216562</v>
      </c>
      <c r="P766" s="19">
        <v>42.744183567786777</v>
      </c>
    </row>
    <row r="767" spans="14:16" hidden="1" x14ac:dyDescent="0.4">
      <c r="N767" s="22">
        <v>763</v>
      </c>
      <c r="O767" s="19">
        <v>50.372110964926662</v>
      </c>
      <c r="P767" s="19">
        <v>36.664789029100106</v>
      </c>
    </row>
    <row r="768" spans="14:16" hidden="1" x14ac:dyDescent="0.4">
      <c r="N768" s="22">
        <v>764</v>
      </c>
      <c r="O768" s="19">
        <v>40.999175065713075</v>
      </c>
      <c r="P768" s="19">
        <v>34.341458534283262</v>
      </c>
    </row>
    <row r="769" spans="14:16" hidden="1" x14ac:dyDescent="0.4">
      <c r="N769" s="22">
        <v>765</v>
      </c>
      <c r="O769" s="19">
        <v>48.668548763416254</v>
      </c>
      <c r="P769" s="19">
        <v>34.961226827589741</v>
      </c>
    </row>
    <row r="770" spans="14:16" hidden="1" x14ac:dyDescent="0.4">
      <c r="N770" s="22">
        <v>766</v>
      </c>
      <c r="O770" s="19">
        <v>55.539190147372892</v>
      </c>
      <c r="P770" s="19">
        <v>41.831868211546265</v>
      </c>
    </row>
    <row r="771" spans="14:16" hidden="1" x14ac:dyDescent="0.4">
      <c r="N771" s="22">
        <v>767</v>
      </c>
      <c r="O771" s="19">
        <v>69.076774518871048</v>
      </c>
      <c r="P771" s="19">
        <v>48.31984717864772</v>
      </c>
    </row>
    <row r="772" spans="14:16" hidden="1" x14ac:dyDescent="0.4">
      <c r="N772" s="22">
        <v>768</v>
      </c>
      <c r="O772" s="19">
        <v>44.507372638830532</v>
      </c>
      <c r="P772" s="19">
        <v>44.899261511797505</v>
      </c>
    </row>
    <row r="773" spans="14:16" hidden="1" x14ac:dyDescent="0.4">
      <c r="N773" s="22">
        <v>769</v>
      </c>
      <c r="O773" s="19">
        <v>48.019522791335248</v>
      </c>
      <c r="P773" s="19">
        <v>41.361806259905464</v>
      </c>
    </row>
    <row r="774" spans="14:16" hidden="1" x14ac:dyDescent="0.4">
      <c r="N774" s="22">
        <v>770</v>
      </c>
      <c r="O774" s="19">
        <v>73.929621676496822</v>
      </c>
      <c r="P774" s="19">
        <v>46.12308893187668</v>
      </c>
    </row>
    <row r="775" spans="14:16" hidden="1" x14ac:dyDescent="0.4">
      <c r="N775" s="22">
        <v>771</v>
      </c>
      <c r="O775" s="19">
        <v>55.752748288260818</v>
      </c>
      <c r="P775" s="19">
        <v>42.045426352434191</v>
      </c>
    </row>
    <row r="776" spans="14:16" hidden="1" x14ac:dyDescent="0.4">
      <c r="N776" s="22">
        <v>772</v>
      </c>
      <c r="O776" s="19">
        <v>37.880585076570412</v>
      </c>
      <c r="P776" s="19">
        <v>31.222868545140571</v>
      </c>
    </row>
    <row r="777" spans="14:16" hidden="1" x14ac:dyDescent="0.4">
      <c r="N777" s="22">
        <v>773</v>
      </c>
      <c r="O777" s="19">
        <v>34.147649822658479</v>
      </c>
      <c r="P777" s="19">
        <v>27.489933291228667</v>
      </c>
    </row>
    <row r="778" spans="14:16" hidden="1" x14ac:dyDescent="0.4">
      <c r="N778" s="22">
        <v>774</v>
      </c>
      <c r="O778" s="19">
        <v>70.629522193378477</v>
      </c>
      <c r="P778" s="19">
        <v>49.872594853155192</v>
      </c>
    </row>
    <row r="779" spans="14:16" hidden="1" x14ac:dyDescent="0.4">
      <c r="N779" s="22">
        <v>775</v>
      </c>
      <c r="O779" s="19">
        <v>40.649754793288594</v>
      </c>
      <c r="P779" s="19">
        <v>26.942432857461981</v>
      </c>
    </row>
    <row r="780" spans="14:16" hidden="1" x14ac:dyDescent="0.4">
      <c r="N780" s="22">
        <v>776</v>
      </c>
      <c r="O780" s="19">
        <v>28.15025968288478</v>
      </c>
      <c r="P780" s="19">
        <v>28.542148555851696</v>
      </c>
    </row>
    <row r="781" spans="14:16" hidden="1" x14ac:dyDescent="0.4">
      <c r="N781" s="22">
        <v>777</v>
      </c>
      <c r="O781" s="19">
        <v>55.762496413085273</v>
      </c>
      <c r="P781" s="19">
        <v>42.05517447725866</v>
      </c>
    </row>
    <row r="782" spans="14:16" hidden="1" x14ac:dyDescent="0.4">
      <c r="N782" s="22">
        <v>778</v>
      </c>
      <c r="O782" s="19">
        <v>54.81062202586503</v>
      </c>
      <c r="P782" s="19">
        <v>41.103300090038516</v>
      </c>
    </row>
    <row r="783" spans="14:16" hidden="1" x14ac:dyDescent="0.4">
      <c r="N783" s="22">
        <v>779</v>
      </c>
      <c r="O783" s="19">
        <v>50.207813350877473</v>
      </c>
      <c r="P783" s="19">
        <v>36.500491415050945</v>
      </c>
    </row>
    <row r="784" spans="14:16" hidden="1" x14ac:dyDescent="0.4">
      <c r="N784" s="22">
        <v>780</v>
      </c>
      <c r="O784" s="19">
        <v>55.644322652220239</v>
      </c>
      <c r="P784" s="19">
        <v>41.937000716393655</v>
      </c>
    </row>
    <row r="785" spans="14:16" hidden="1" x14ac:dyDescent="0.4">
      <c r="N785" s="22">
        <v>781</v>
      </c>
      <c r="O785" s="19">
        <v>65.354046180722321</v>
      </c>
      <c r="P785" s="19">
        <v>51.646724244895765</v>
      </c>
    </row>
    <row r="786" spans="14:16" hidden="1" x14ac:dyDescent="0.4">
      <c r="N786" s="22">
        <v>782</v>
      </c>
      <c r="O786" s="19">
        <v>44.134240032296589</v>
      </c>
      <c r="P786" s="19">
        <v>44.526128905263576</v>
      </c>
    </row>
    <row r="787" spans="14:16" hidden="1" x14ac:dyDescent="0.4">
      <c r="N787" s="22">
        <v>783</v>
      </c>
      <c r="O787" s="19">
        <v>44.868281120295649</v>
      </c>
      <c r="P787" s="19">
        <v>38.210564588865793</v>
      </c>
    </row>
    <row r="788" spans="14:16" hidden="1" x14ac:dyDescent="0.4">
      <c r="N788" s="22">
        <v>784</v>
      </c>
      <c r="O788" s="19">
        <v>43.785877428203037</v>
      </c>
      <c r="P788" s="19">
        <v>30.078555492376481</v>
      </c>
    </row>
    <row r="789" spans="14:16" hidden="1" x14ac:dyDescent="0.4">
      <c r="N789" s="22">
        <v>785</v>
      </c>
      <c r="O789" s="19">
        <v>49.663394371301536</v>
      </c>
      <c r="P789" s="19">
        <v>35.956072435474951</v>
      </c>
    </row>
    <row r="790" spans="14:16" hidden="1" x14ac:dyDescent="0.4">
      <c r="N790" s="22">
        <v>786</v>
      </c>
      <c r="O790" s="19">
        <v>50.783175568146589</v>
      </c>
      <c r="P790" s="19">
        <v>37.075853632319991</v>
      </c>
    </row>
    <row r="791" spans="14:16" hidden="1" x14ac:dyDescent="0.4">
      <c r="N791" s="22">
        <v>787</v>
      </c>
      <c r="O791" s="19">
        <v>42.378979724791634</v>
      </c>
      <c r="P791" s="19">
        <v>42.770868597758565</v>
      </c>
    </row>
    <row r="792" spans="14:16" hidden="1" x14ac:dyDescent="0.4">
      <c r="N792" s="22">
        <v>788</v>
      </c>
      <c r="O792" s="19">
        <v>75.273001192429263</v>
      </c>
      <c r="P792" s="19">
        <v>47.466468447809177</v>
      </c>
    </row>
    <row r="793" spans="14:16" hidden="1" x14ac:dyDescent="0.4">
      <c r="N793" s="22">
        <v>789</v>
      </c>
      <c r="O793" s="19">
        <v>31.789440320539882</v>
      </c>
      <c r="P793" s="19">
        <v>32.181329193506826</v>
      </c>
    </row>
    <row r="794" spans="14:16" hidden="1" x14ac:dyDescent="0.4">
      <c r="N794" s="22">
        <v>790</v>
      </c>
      <c r="O794" s="19">
        <v>55.282292752047567</v>
      </c>
      <c r="P794" s="19">
        <v>34.525365411824183</v>
      </c>
    </row>
    <row r="795" spans="14:16" hidden="1" x14ac:dyDescent="0.4">
      <c r="N795" s="22">
        <v>791</v>
      </c>
      <c r="O795" s="19">
        <v>57.627188235705091</v>
      </c>
      <c r="P795" s="19">
        <v>43.919866299878507</v>
      </c>
    </row>
    <row r="796" spans="14:16" hidden="1" x14ac:dyDescent="0.4">
      <c r="N796" s="22">
        <v>792</v>
      </c>
      <c r="O796" s="19">
        <v>72.73131815359443</v>
      </c>
      <c r="P796" s="19">
        <v>44.92478540897433</v>
      </c>
    </row>
    <row r="797" spans="14:16" hidden="1" x14ac:dyDescent="0.4">
      <c r="N797" s="22">
        <v>793</v>
      </c>
      <c r="O797" s="19">
        <v>64.676200438711987</v>
      </c>
      <c r="P797" s="19">
        <v>43.919273098488645</v>
      </c>
    </row>
    <row r="798" spans="14:16" hidden="1" x14ac:dyDescent="0.4">
      <c r="N798" s="22">
        <v>794</v>
      </c>
      <c r="O798" s="19">
        <v>49.787047530460256</v>
      </c>
      <c r="P798" s="19">
        <v>36.079725594633658</v>
      </c>
    </row>
    <row r="799" spans="14:16" hidden="1" x14ac:dyDescent="0.4">
      <c r="N799" s="22">
        <v>795</v>
      </c>
      <c r="O799" s="19">
        <v>62.598463075535221</v>
      </c>
      <c r="P799" s="19">
        <v>41.841535735311865</v>
      </c>
    </row>
    <row r="800" spans="14:16" hidden="1" x14ac:dyDescent="0.4">
      <c r="N800" s="22">
        <v>796</v>
      </c>
      <c r="O800" s="19">
        <v>61.741044116005412</v>
      </c>
      <c r="P800" s="19">
        <v>33.934511371385284</v>
      </c>
    </row>
    <row r="801" spans="14:16" hidden="1" x14ac:dyDescent="0.4">
      <c r="N801" s="22">
        <v>797</v>
      </c>
      <c r="O801" s="19">
        <v>44.55765285581441</v>
      </c>
      <c r="P801" s="19">
        <v>37.89993632438464</v>
      </c>
    </row>
    <row r="802" spans="14:16" hidden="1" x14ac:dyDescent="0.4">
      <c r="N802" s="22">
        <v>798</v>
      </c>
      <c r="O802" s="19">
        <v>65.672584343156643</v>
      </c>
      <c r="P802" s="19">
        <v>37.866051598536529</v>
      </c>
    </row>
    <row r="803" spans="14:16" hidden="1" x14ac:dyDescent="0.4">
      <c r="N803" s="22">
        <v>799</v>
      </c>
      <c r="O803" s="19">
        <v>64.074201555612774</v>
      </c>
      <c r="P803" s="19">
        <v>43.317274215389403</v>
      </c>
    </row>
    <row r="804" spans="14:16" hidden="1" x14ac:dyDescent="0.4">
      <c r="N804" s="22">
        <v>800</v>
      </c>
      <c r="O804" s="19">
        <v>30.3676599643033</v>
      </c>
      <c r="P804" s="19">
        <v>30.759548837270287</v>
      </c>
    </row>
    <row r="805" spans="14:16" hidden="1" x14ac:dyDescent="0.4">
      <c r="N805" s="22">
        <v>801</v>
      </c>
      <c r="O805" s="19">
        <v>74.370231294723169</v>
      </c>
      <c r="P805" s="19">
        <v>53.613303954499813</v>
      </c>
    </row>
    <row r="806" spans="14:16" hidden="1" x14ac:dyDescent="0.4">
      <c r="N806" s="22">
        <v>802</v>
      </c>
      <c r="O806" s="19">
        <v>65.352264085121647</v>
      </c>
      <c r="P806" s="19">
        <v>37.545731340501504</v>
      </c>
    </row>
    <row r="807" spans="14:16" hidden="1" x14ac:dyDescent="0.4">
      <c r="N807" s="22">
        <v>803</v>
      </c>
      <c r="O807" s="19">
        <v>64.300419560860973</v>
      </c>
      <c r="P807" s="19">
        <v>43.543492220637631</v>
      </c>
    </row>
    <row r="808" spans="14:16" hidden="1" x14ac:dyDescent="0.4">
      <c r="N808" s="22">
        <v>804</v>
      </c>
      <c r="O808" s="19">
        <v>69.909745635902652</v>
      </c>
      <c r="P808" s="19">
        <v>49.152818295679353</v>
      </c>
    </row>
    <row r="809" spans="14:16" hidden="1" x14ac:dyDescent="0.4">
      <c r="N809" s="22">
        <v>805</v>
      </c>
      <c r="O809" s="19">
        <v>42.099330537904393</v>
      </c>
      <c r="P809" s="19">
        <v>42.491219410871309</v>
      </c>
    </row>
    <row r="810" spans="14:16" hidden="1" x14ac:dyDescent="0.4">
      <c r="N810" s="22">
        <v>806</v>
      </c>
      <c r="O810" s="19">
        <v>63.24813279284632</v>
      </c>
      <c r="P810" s="19">
        <v>49.540810857019764</v>
      </c>
    </row>
    <row r="811" spans="14:16" hidden="1" x14ac:dyDescent="0.4">
      <c r="N811" s="22">
        <v>807</v>
      </c>
      <c r="O811" s="19">
        <v>60.598840875723283</v>
      </c>
      <c r="P811" s="19">
        <v>32.79230813110324</v>
      </c>
    </row>
    <row r="812" spans="14:16" hidden="1" x14ac:dyDescent="0.4">
      <c r="N812" s="22">
        <v>808</v>
      </c>
      <c r="O812" s="19">
        <v>41.777784906252123</v>
      </c>
      <c r="P812" s="19">
        <v>28.070462970425538</v>
      </c>
    </row>
    <row r="813" spans="14:16" hidden="1" x14ac:dyDescent="0.4">
      <c r="N813" s="22">
        <v>809</v>
      </c>
      <c r="O813" s="19">
        <v>45.246729532999268</v>
      </c>
      <c r="P813" s="19">
        <v>31.539407597172669</v>
      </c>
    </row>
    <row r="814" spans="14:16" hidden="1" x14ac:dyDescent="0.4">
      <c r="N814" s="22">
        <v>810</v>
      </c>
      <c r="O814" s="19">
        <v>27.726713914522179</v>
      </c>
      <c r="P814" s="19">
        <v>28.118602787489095</v>
      </c>
    </row>
    <row r="815" spans="14:16" hidden="1" x14ac:dyDescent="0.4">
      <c r="N815" s="22">
        <v>811</v>
      </c>
      <c r="O815" s="19">
        <v>47.17604084843839</v>
      </c>
      <c r="P815" s="19">
        <v>33.468718912611791</v>
      </c>
    </row>
    <row r="816" spans="14:16" hidden="1" x14ac:dyDescent="0.4">
      <c r="N816" s="22">
        <v>812</v>
      </c>
      <c r="O816" s="19">
        <v>36.85751745204692</v>
      </c>
      <c r="P816" s="19">
        <v>37.249406325013894</v>
      </c>
    </row>
    <row r="817" spans="14:16" hidden="1" x14ac:dyDescent="0.4">
      <c r="N817" s="22">
        <v>813</v>
      </c>
      <c r="O817" s="19">
        <v>45.194708495945576</v>
      </c>
      <c r="P817" s="19">
        <v>38.536991964515749</v>
      </c>
    </row>
    <row r="818" spans="14:16" hidden="1" x14ac:dyDescent="0.4">
      <c r="N818" s="22">
        <v>814</v>
      </c>
      <c r="O818" s="19">
        <v>37.261753063861079</v>
      </c>
      <c r="P818" s="19">
        <v>30.60403653243128</v>
      </c>
    </row>
    <row r="819" spans="14:16" hidden="1" x14ac:dyDescent="0.4">
      <c r="N819" s="22">
        <v>815</v>
      </c>
      <c r="O819" s="19">
        <v>65.362927415261822</v>
      </c>
      <c r="P819" s="19">
        <v>44.60600007503848</v>
      </c>
    </row>
    <row r="820" spans="14:16" hidden="1" x14ac:dyDescent="0.4">
      <c r="N820" s="22">
        <v>816</v>
      </c>
      <c r="O820" s="19">
        <v>44.799634789047218</v>
      </c>
      <c r="P820" s="19">
        <v>38.141918257617462</v>
      </c>
    </row>
    <row r="821" spans="14:16" hidden="1" x14ac:dyDescent="0.4">
      <c r="N821" s="22">
        <v>817</v>
      </c>
      <c r="O821" s="19">
        <v>76.268911748429332</v>
      </c>
      <c r="P821" s="19">
        <v>55.511984408206004</v>
      </c>
    </row>
    <row r="822" spans="14:16" hidden="1" x14ac:dyDescent="0.4">
      <c r="N822" s="22">
        <v>818</v>
      </c>
      <c r="O822" s="19">
        <v>57.90421067967759</v>
      </c>
      <c r="P822" s="19">
        <v>30.097677935057504</v>
      </c>
    </row>
    <row r="823" spans="14:16" hidden="1" x14ac:dyDescent="0.4">
      <c r="N823" s="22">
        <v>819</v>
      </c>
      <c r="O823" s="19">
        <v>51.932764938816035</v>
      </c>
      <c r="P823" s="19">
        <v>31.175837598592707</v>
      </c>
    </row>
    <row r="824" spans="14:16" hidden="1" x14ac:dyDescent="0.4">
      <c r="N824" s="22">
        <v>820</v>
      </c>
      <c r="O824" s="19">
        <v>48.963768004182384</v>
      </c>
      <c r="P824" s="19">
        <v>28.206840663959099</v>
      </c>
    </row>
    <row r="825" spans="14:16" hidden="1" x14ac:dyDescent="0.4">
      <c r="N825" s="22">
        <v>821</v>
      </c>
      <c r="O825" s="19">
        <v>23.595571427364575</v>
      </c>
      <c r="P825" s="19">
        <v>23.987460300331563</v>
      </c>
    </row>
    <row r="826" spans="14:16" hidden="1" x14ac:dyDescent="0.4">
      <c r="N826" s="22">
        <v>822</v>
      </c>
      <c r="O826" s="19">
        <v>57.269069110026408</v>
      </c>
      <c r="P826" s="19">
        <v>36.512141769803094</v>
      </c>
    </row>
    <row r="827" spans="14:16" hidden="1" x14ac:dyDescent="0.4">
      <c r="N827" s="22">
        <v>823</v>
      </c>
      <c r="O827" s="19">
        <v>63.950829653121843</v>
      </c>
      <c r="P827" s="19">
        <v>50.243507717295216</v>
      </c>
    </row>
    <row r="828" spans="14:16" hidden="1" x14ac:dyDescent="0.4">
      <c r="N828" s="22">
        <v>824</v>
      </c>
      <c r="O828" s="19">
        <v>51.217159832241805</v>
      </c>
      <c r="P828" s="19">
        <v>44.559443300811992</v>
      </c>
    </row>
    <row r="829" spans="14:16" hidden="1" x14ac:dyDescent="0.4">
      <c r="N829" s="22">
        <v>825</v>
      </c>
      <c r="O829" s="19">
        <v>53.528989563561481</v>
      </c>
      <c r="P829" s="19">
        <v>39.821667627734911</v>
      </c>
    </row>
    <row r="830" spans="14:16" hidden="1" x14ac:dyDescent="0.4">
      <c r="N830" s="22">
        <v>826</v>
      </c>
      <c r="O830" s="19">
        <v>39.725297620634194</v>
      </c>
      <c r="P830" s="19">
        <v>33.067581089204381</v>
      </c>
    </row>
    <row r="831" spans="14:16" hidden="1" x14ac:dyDescent="0.4">
      <c r="N831" s="22">
        <v>827</v>
      </c>
      <c r="O831" s="19">
        <v>64.388584436180395</v>
      </c>
      <c r="P831" s="19">
        <v>50.681262500353796</v>
      </c>
    </row>
    <row r="832" spans="14:16" hidden="1" x14ac:dyDescent="0.4">
      <c r="N832" s="22">
        <v>828</v>
      </c>
      <c r="O832" s="19">
        <v>62.247087634960906</v>
      </c>
      <c r="P832" s="19">
        <v>48.539765699134293</v>
      </c>
    </row>
    <row r="833" spans="14:16" hidden="1" x14ac:dyDescent="0.4">
      <c r="N833" s="22">
        <v>829</v>
      </c>
      <c r="O833" s="19">
        <v>64.307742769561287</v>
      </c>
      <c r="P833" s="19">
        <v>36.501210024941173</v>
      </c>
    </row>
    <row r="834" spans="14:16" hidden="1" x14ac:dyDescent="0.4">
      <c r="N834" s="22">
        <v>830</v>
      </c>
      <c r="O834" s="19">
        <v>60.419669507689321</v>
      </c>
      <c r="P834" s="19">
        <v>53.761952976259522</v>
      </c>
    </row>
    <row r="835" spans="14:16" hidden="1" x14ac:dyDescent="0.4">
      <c r="N835" s="22">
        <v>831</v>
      </c>
      <c r="O835" s="19">
        <v>62.902488889159599</v>
      </c>
      <c r="P835" s="19">
        <v>35.095956144539542</v>
      </c>
    </row>
    <row r="836" spans="14:16" hidden="1" x14ac:dyDescent="0.4">
      <c r="N836" s="22">
        <v>832</v>
      </c>
      <c r="O836" s="19">
        <v>55.438690511183779</v>
      </c>
      <c r="P836" s="19">
        <v>34.681763170960451</v>
      </c>
    </row>
    <row r="837" spans="14:16" hidden="1" x14ac:dyDescent="0.4">
      <c r="N837" s="22">
        <v>833</v>
      </c>
      <c r="O837" s="19">
        <v>46.882744425031831</v>
      </c>
      <c r="P837" s="19">
        <v>33.175422489205317</v>
      </c>
    </row>
    <row r="838" spans="14:16" hidden="1" x14ac:dyDescent="0.4">
      <c r="N838" s="22">
        <v>834</v>
      </c>
      <c r="O838" s="19">
        <v>54.481992831193054</v>
      </c>
      <c r="P838" s="19">
        <v>54.873881704160056</v>
      </c>
    </row>
    <row r="839" spans="14:16" hidden="1" x14ac:dyDescent="0.4">
      <c r="N839" s="22">
        <v>835</v>
      </c>
      <c r="O839" s="19">
        <v>34.242197005691025</v>
      </c>
      <c r="P839" s="19">
        <v>34.634085878657928</v>
      </c>
    </row>
    <row r="840" spans="14:16" hidden="1" x14ac:dyDescent="0.4">
      <c r="N840" s="22">
        <v>836</v>
      </c>
      <c r="O840" s="19">
        <v>54.159028050973859</v>
      </c>
      <c r="P840" s="19">
        <v>47.501311519544032</v>
      </c>
    </row>
    <row r="841" spans="14:16" hidden="1" x14ac:dyDescent="0.4">
      <c r="N841" s="22">
        <v>837</v>
      </c>
      <c r="O841" s="19">
        <v>51.142655400762067</v>
      </c>
      <c r="P841" s="19">
        <v>44.484938869332282</v>
      </c>
    </row>
    <row r="842" spans="14:16" hidden="1" x14ac:dyDescent="0.4">
      <c r="N842" s="22">
        <v>838</v>
      </c>
      <c r="O842" s="19">
        <v>36.813416424237005</v>
      </c>
      <c r="P842" s="19">
        <v>37.205305297204006</v>
      </c>
    </row>
    <row r="843" spans="14:16" hidden="1" x14ac:dyDescent="0.4">
      <c r="N843" s="22">
        <v>839</v>
      </c>
      <c r="O843" s="19">
        <v>62.977949954094072</v>
      </c>
      <c r="P843" s="19">
        <v>42.22102261387073</v>
      </c>
    </row>
    <row r="844" spans="14:16" hidden="1" x14ac:dyDescent="0.4">
      <c r="N844" s="22">
        <v>840</v>
      </c>
      <c r="O844" s="19">
        <v>53.170610398111421</v>
      </c>
      <c r="P844" s="19">
        <v>39.463288462284851</v>
      </c>
    </row>
    <row r="845" spans="14:16" hidden="1" x14ac:dyDescent="0.4">
      <c r="N845" s="22">
        <v>841</v>
      </c>
      <c r="O845" s="19">
        <v>41.893217448492408</v>
      </c>
      <c r="P845" s="19">
        <v>35.235500917062595</v>
      </c>
    </row>
    <row r="846" spans="14:16" hidden="1" x14ac:dyDescent="0.4">
      <c r="N846" s="22">
        <v>842</v>
      </c>
      <c r="O846" s="19">
        <v>62.159243439085628</v>
      </c>
      <c r="P846" s="19">
        <v>48.451921503259072</v>
      </c>
    </row>
    <row r="847" spans="14:16" hidden="1" x14ac:dyDescent="0.4">
      <c r="N847" s="22">
        <v>843</v>
      </c>
      <c r="O847" s="19">
        <v>52.907953071311113</v>
      </c>
      <c r="P847" s="19">
        <v>25.101420326691056</v>
      </c>
    </row>
    <row r="848" spans="14:16" hidden="1" x14ac:dyDescent="0.4">
      <c r="N848" s="22">
        <v>844</v>
      </c>
      <c r="O848" s="19">
        <v>61.195491957791148</v>
      </c>
      <c r="P848" s="19">
        <v>54.537775426361321</v>
      </c>
    </row>
    <row r="849" spans="14:16" hidden="1" x14ac:dyDescent="0.4">
      <c r="N849" s="22">
        <v>845</v>
      </c>
      <c r="O849" s="19">
        <v>42.287739091362198</v>
      </c>
      <c r="P849" s="19">
        <v>28.580417155535685</v>
      </c>
    </row>
    <row r="850" spans="14:16" hidden="1" x14ac:dyDescent="0.4">
      <c r="N850" s="22">
        <v>846</v>
      </c>
      <c r="O850" s="19">
        <v>54.346850358553866</v>
      </c>
      <c r="P850" s="19">
        <v>40.639528422727281</v>
      </c>
    </row>
    <row r="851" spans="14:16" hidden="1" x14ac:dyDescent="0.4">
      <c r="N851" s="22">
        <v>847</v>
      </c>
      <c r="O851" s="19">
        <v>36.945238330535176</v>
      </c>
      <c r="P851" s="19">
        <v>30.287521799105335</v>
      </c>
    </row>
    <row r="852" spans="14:16" hidden="1" x14ac:dyDescent="0.4">
      <c r="N852" s="22">
        <v>848</v>
      </c>
      <c r="O852" s="19">
        <v>53.519502836382458</v>
      </c>
      <c r="P852" s="19">
        <v>32.762575496159144</v>
      </c>
    </row>
    <row r="853" spans="14:16" hidden="1" x14ac:dyDescent="0.4">
      <c r="N853" s="22">
        <v>849</v>
      </c>
      <c r="O853" s="19">
        <v>47.67162157722845</v>
      </c>
      <c r="P853" s="19">
        <v>33.964299641401809</v>
      </c>
    </row>
    <row r="854" spans="14:16" hidden="1" x14ac:dyDescent="0.4">
      <c r="N854" s="22">
        <v>850</v>
      </c>
      <c r="O854" s="19">
        <v>53.661689960680462</v>
      </c>
      <c r="P854" s="19">
        <v>32.904762620457106</v>
      </c>
    </row>
    <row r="855" spans="14:16" hidden="1" x14ac:dyDescent="0.4">
      <c r="N855" s="22">
        <v>851</v>
      </c>
      <c r="O855" s="19">
        <v>38.495209651689606</v>
      </c>
      <c r="P855" s="19">
        <v>31.837493120259836</v>
      </c>
    </row>
    <row r="856" spans="14:16" hidden="1" x14ac:dyDescent="0.4">
      <c r="N856" s="22">
        <v>852</v>
      </c>
      <c r="O856" s="19">
        <v>54.000764122243766</v>
      </c>
      <c r="P856" s="19">
        <v>33.243836782020452</v>
      </c>
    </row>
    <row r="857" spans="14:16" hidden="1" x14ac:dyDescent="0.4">
      <c r="N857" s="22">
        <v>853</v>
      </c>
      <c r="O857" s="19">
        <v>47.494876933273588</v>
      </c>
      <c r="P857" s="19">
        <v>33.787554997447032</v>
      </c>
    </row>
    <row r="858" spans="14:16" hidden="1" x14ac:dyDescent="0.4">
      <c r="N858" s="22">
        <v>854</v>
      </c>
      <c r="O858" s="19">
        <v>32.22226050632554</v>
      </c>
      <c r="P858" s="19">
        <v>32.614149379292499</v>
      </c>
    </row>
    <row r="859" spans="14:16" hidden="1" x14ac:dyDescent="0.4">
      <c r="N859" s="22">
        <v>855</v>
      </c>
      <c r="O859" s="19">
        <v>56.159550212627721</v>
      </c>
      <c r="P859" s="19">
        <v>35.402622872404407</v>
      </c>
    </row>
    <row r="860" spans="14:16" hidden="1" x14ac:dyDescent="0.4">
      <c r="N860" s="22">
        <v>856</v>
      </c>
      <c r="O860" s="19">
        <v>32.50953338837013</v>
      </c>
      <c r="P860" s="19">
        <v>18.80221145254356</v>
      </c>
    </row>
    <row r="861" spans="14:16" hidden="1" x14ac:dyDescent="0.4">
      <c r="N861" s="22">
        <v>857</v>
      </c>
      <c r="O861" s="19">
        <v>53.249911076872081</v>
      </c>
      <c r="P861" s="19">
        <v>39.542589141045539</v>
      </c>
    </row>
    <row r="862" spans="14:16" hidden="1" x14ac:dyDescent="0.4">
      <c r="N862" s="22">
        <v>858</v>
      </c>
      <c r="O862" s="19">
        <v>67.606197474758005</v>
      </c>
      <c r="P862" s="19">
        <v>46.849270134534692</v>
      </c>
    </row>
    <row r="863" spans="14:16" hidden="1" x14ac:dyDescent="0.4">
      <c r="N863" s="22">
        <v>859</v>
      </c>
      <c r="O863" s="19">
        <v>55.371131454616147</v>
      </c>
      <c r="P863" s="19">
        <v>34.614204114392805</v>
      </c>
    </row>
    <row r="864" spans="14:16" hidden="1" x14ac:dyDescent="0.4">
      <c r="N864" s="22">
        <v>860</v>
      </c>
      <c r="O864" s="19">
        <v>43.314069492489807</v>
      </c>
      <c r="P864" s="19">
        <v>29.606747556663237</v>
      </c>
    </row>
    <row r="865" spans="14:16" hidden="1" x14ac:dyDescent="0.4">
      <c r="N865" s="22">
        <v>861</v>
      </c>
      <c r="O865" s="19">
        <v>32.617181840678143</v>
      </c>
      <c r="P865" s="19">
        <v>33.009070713645102</v>
      </c>
    </row>
    <row r="866" spans="14:16" hidden="1" x14ac:dyDescent="0.4">
      <c r="N866" s="22">
        <v>862</v>
      </c>
      <c r="O866" s="19">
        <v>66.864607273893796</v>
      </c>
      <c r="P866" s="19">
        <v>53.157285338067226</v>
      </c>
    </row>
    <row r="867" spans="14:16" hidden="1" x14ac:dyDescent="0.4">
      <c r="N867" s="22">
        <v>863</v>
      </c>
      <c r="O867" s="19">
        <v>59.143696259569197</v>
      </c>
      <c r="P867" s="19">
        <v>31.337163514949111</v>
      </c>
    </row>
    <row r="868" spans="14:16" hidden="1" x14ac:dyDescent="0.4">
      <c r="N868" s="22">
        <v>864</v>
      </c>
      <c r="O868" s="19">
        <v>61.583523534599237</v>
      </c>
      <c r="P868" s="19">
        <v>40.826596194375909</v>
      </c>
    </row>
    <row r="869" spans="14:16" hidden="1" x14ac:dyDescent="0.4">
      <c r="N869" s="22">
        <v>865</v>
      </c>
      <c r="O869" s="19">
        <v>54.347184965020688</v>
      </c>
      <c r="P869" s="19">
        <v>47.689468433590832</v>
      </c>
    </row>
    <row r="870" spans="14:16" hidden="1" x14ac:dyDescent="0.4">
      <c r="N870" s="22">
        <v>866</v>
      </c>
      <c r="O870" s="19">
        <v>37.305250186357682</v>
      </c>
      <c r="P870" s="19">
        <v>23.597928250531083</v>
      </c>
    </row>
    <row r="871" spans="14:16" hidden="1" x14ac:dyDescent="0.4">
      <c r="N871" s="22">
        <v>867</v>
      </c>
      <c r="O871" s="19">
        <v>49.101879277309479</v>
      </c>
      <c r="P871" s="19">
        <v>42.444162745879638</v>
      </c>
    </row>
    <row r="872" spans="14:16" hidden="1" x14ac:dyDescent="0.4">
      <c r="N872" s="22">
        <v>868</v>
      </c>
      <c r="O872" s="19">
        <v>42.548884890124384</v>
      </c>
      <c r="P872" s="19">
        <v>35.891168358694628</v>
      </c>
    </row>
    <row r="873" spans="14:16" hidden="1" x14ac:dyDescent="0.4">
      <c r="N873" s="22">
        <v>869</v>
      </c>
      <c r="O873" s="19">
        <v>46.091404541972622</v>
      </c>
      <c r="P873" s="19">
        <v>32.384082606146038</v>
      </c>
    </row>
    <row r="874" spans="14:16" hidden="1" x14ac:dyDescent="0.4">
      <c r="N874" s="22">
        <v>870</v>
      </c>
      <c r="O874" s="19">
        <v>43.837785343388191</v>
      </c>
      <c r="P874" s="19">
        <v>30.130463407561649</v>
      </c>
    </row>
    <row r="875" spans="14:16" hidden="1" x14ac:dyDescent="0.4">
      <c r="N875" s="22">
        <v>871</v>
      </c>
      <c r="O875" s="19">
        <v>52.76352628413855</v>
      </c>
      <c r="P875" s="19">
        <v>39.056204348311951</v>
      </c>
    </row>
    <row r="876" spans="14:16" hidden="1" x14ac:dyDescent="0.4">
      <c r="N876" s="22">
        <v>872</v>
      </c>
      <c r="O876" s="19">
        <v>45.905470850462223</v>
      </c>
      <c r="P876" s="19">
        <v>39.247754319032438</v>
      </c>
    </row>
    <row r="877" spans="14:16" hidden="1" x14ac:dyDescent="0.4">
      <c r="N877" s="22">
        <v>873</v>
      </c>
      <c r="O877" s="19">
        <v>43.720083108547101</v>
      </c>
      <c r="P877" s="19">
        <v>44.111971981514088</v>
      </c>
    </row>
    <row r="878" spans="14:16" hidden="1" x14ac:dyDescent="0.4">
      <c r="N878" s="22">
        <v>874</v>
      </c>
      <c r="O878" s="19">
        <v>56.443055045909659</v>
      </c>
      <c r="P878" s="19">
        <v>28.636522301289574</v>
      </c>
    </row>
    <row r="879" spans="14:16" hidden="1" x14ac:dyDescent="0.4">
      <c r="N879" s="22">
        <v>875</v>
      </c>
      <c r="O879" s="19">
        <v>46.404834259732411</v>
      </c>
      <c r="P879" s="19">
        <v>25.647906919509097</v>
      </c>
    </row>
    <row r="880" spans="14:16" hidden="1" x14ac:dyDescent="0.4">
      <c r="N880" s="22">
        <v>876</v>
      </c>
      <c r="O880" s="19">
        <v>58.472148794817144</v>
      </c>
      <c r="P880" s="19">
        <v>37.71522145459376</v>
      </c>
    </row>
    <row r="881" spans="14:16" hidden="1" x14ac:dyDescent="0.4">
      <c r="N881" s="22">
        <v>877</v>
      </c>
      <c r="O881" s="19">
        <v>56.578868440589702</v>
      </c>
      <c r="P881" s="19">
        <v>49.921151909159846</v>
      </c>
    </row>
    <row r="882" spans="14:16" hidden="1" x14ac:dyDescent="0.4">
      <c r="N882" s="22">
        <v>878</v>
      </c>
      <c r="O882" s="19">
        <v>70.42054062386751</v>
      </c>
      <c r="P882" s="19">
        <v>49.663613283644182</v>
      </c>
    </row>
    <row r="883" spans="14:16" hidden="1" x14ac:dyDescent="0.4">
      <c r="N883" s="22">
        <v>879</v>
      </c>
      <c r="O883" s="19">
        <v>43.754598214478392</v>
      </c>
      <c r="P883" s="19">
        <v>37.096881683048579</v>
      </c>
    </row>
    <row r="884" spans="14:16" hidden="1" x14ac:dyDescent="0.4">
      <c r="N884" s="22">
        <v>880</v>
      </c>
      <c r="O884" s="19">
        <v>50.913639060670619</v>
      </c>
      <c r="P884" s="19">
        <v>44.255922529240834</v>
      </c>
    </row>
    <row r="885" spans="14:16" hidden="1" x14ac:dyDescent="0.4">
      <c r="N885" s="22">
        <v>881</v>
      </c>
      <c r="O885" s="19">
        <v>45.782947870844396</v>
      </c>
      <c r="P885" s="19">
        <v>39.125231339414555</v>
      </c>
    </row>
    <row r="886" spans="14:16" hidden="1" x14ac:dyDescent="0.4">
      <c r="N886" s="22">
        <v>882</v>
      </c>
      <c r="O886" s="19">
        <v>46.845157328826474</v>
      </c>
      <c r="P886" s="19">
        <v>40.18744079739669</v>
      </c>
    </row>
    <row r="887" spans="14:16" hidden="1" x14ac:dyDescent="0.4">
      <c r="N887" s="22">
        <v>883</v>
      </c>
      <c r="O887" s="19">
        <v>44.462177549106059</v>
      </c>
      <c r="P887" s="19">
        <v>37.804461017676218</v>
      </c>
    </row>
    <row r="888" spans="14:16" hidden="1" x14ac:dyDescent="0.4">
      <c r="N888" s="22">
        <v>884</v>
      </c>
      <c r="O888" s="19">
        <v>67.666605986652485</v>
      </c>
      <c r="P888" s="19">
        <v>46.909678646429171</v>
      </c>
    </row>
    <row r="889" spans="14:16" hidden="1" x14ac:dyDescent="0.4">
      <c r="N889" s="22">
        <v>885</v>
      </c>
      <c r="O889" s="19">
        <v>43.254093011644557</v>
      </c>
      <c r="P889" s="19">
        <v>29.546771075818015</v>
      </c>
    </row>
    <row r="890" spans="14:16" hidden="1" x14ac:dyDescent="0.4">
      <c r="N890" s="22">
        <v>886</v>
      </c>
      <c r="O890" s="19">
        <v>39.861684041345484</v>
      </c>
      <c r="P890" s="19">
        <v>33.203967509915671</v>
      </c>
    </row>
    <row r="891" spans="14:16" hidden="1" x14ac:dyDescent="0.4">
      <c r="N891" s="22">
        <v>887</v>
      </c>
      <c r="O891" s="19">
        <v>33.752831743487377</v>
      </c>
      <c r="P891" s="19">
        <v>34.144720616454393</v>
      </c>
    </row>
    <row r="892" spans="14:16" hidden="1" x14ac:dyDescent="0.4">
      <c r="N892" s="22">
        <v>888</v>
      </c>
      <c r="O892" s="19">
        <v>32.169116754245124</v>
      </c>
      <c r="P892" s="19">
        <v>32.56100562721214</v>
      </c>
    </row>
    <row r="893" spans="14:16" hidden="1" x14ac:dyDescent="0.4">
      <c r="N893" s="22">
        <v>889</v>
      </c>
      <c r="O893" s="19">
        <v>53.32926029637963</v>
      </c>
      <c r="P893" s="19">
        <v>53.721149169346575</v>
      </c>
    </row>
    <row r="894" spans="14:16" hidden="1" x14ac:dyDescent="0.4">
      <c r="N894" s="22">
        <v>890</v>
      </c>
      <c r="O894" s="19">
        <v>48.502460656342066</v>
      </c>
      <c r="P894" s="19">
        <v>41.844744124912268</v>
      </c>
    </row>
    <row r="895" spans="14:16" hidden="1" x14ac:dyDescent="0.4">
      <c r="N895" s="22">
        <v>891</v>
      </c>
      <c r="O895" s="19">
        <v>66.907776517184345</v>
      </c>
      <c r="P895" s="19">
        <v>53.200454581357675</v>
      </c>
    </row>
    <row r="896" spans="14:16" hidden="1" x14ac:dyDescent="0.4">
      <c r="N896" s="22">
        <v>892</v>
      </c>
      <c r="O896" s="19">
        <v>55.151495115718888</v>
      </c>
      <c r="P896" s="19">
        <v>41.444173179892317</v>
      </c>
    </row>
    <row r="897" spans="14:16" hidden="1" x14ac:dyDescent="0.4">
      <c r="N897" s="22">
        <v>893</v>
      </c>
      <c r="O897" s="19">
        <v>37.193246552545872</v>
      </c>
      <c r="P897" s="19">
        <v>37.585135425512817</v>
      </c>
    </row>
    <row r="898" spans="14:16" hidden="1" x14ac:dyDescent="0.4">
      <c r="N898" s="22">
        <v>894</v>
      </c>
      <c r="O898" s="19">
        <v>40.10843208039239</v>
      </c>
      <c r="P898" s="19">
        <v>26.401110144565877</v>
      </c>
    </row>
    <row r="899" spans="14:16" hidden="1" x14ac:dyDescent="0.4">
      <c r="N899" s="22">
        <v>895</v>
      </c>
      <c r="O899" s="19">
        <v>61.599312577575972</v>
      </c>
      <c r="P899" s="19">
        <v>40.84238523735263</v>
      </c>
    </row>
    <row r="900" spans="14:16" hidden="1" x14ac:dyDescent="0.4">
      <c r="N900" s="22">
        <v>896</v>
      </c>
      <c r="O900" s="19">
        <v>50.587964437058815</v>
      </c>
      <c r="P900" s="19">
        <v>36.880642501232217</v>
      </c>
    </row>
    <row r="901" spans="14:16" hidden="1" x14ac:dyDescent="0.4">
      <c r="N901" s="22">
        <v>897</v>
      </c>
      <c r="O901" s="19">
        <v>57.014785335116812</v>
      </c>
      <c r="P901" s="19">
        <v>43.307463399290228</v>
      </c>
    </row>
    <row r="902" spans="14:16" hidden="1" x14ac:dyDescent="0.4">
      <c r="N902" s="22">
        <v>898</v>
      </c>
      <c r="O902" s="19">
        <v>40.355114018542565</v>
      </c>
      <c r="P902" s="19">
        <v>33.697397487112781</v>
      </c>
    </row>
    <row r="903" spans="14:16" hidden="1" x14ac:dyDescent="0.4">
      <c r="N903" s="22">
        <v>899</v>
      </c>
      <c r="O903" s="19">
        <v>35.318123411041256</v>
      </c>
      <c r="P903" s="19">
        <v>28.660406879611429</v>
      </c>
    </row>
    <row r="904" spans="14:16" hidden="1" x14ac:dyDescent="0.4">
      <c r="N904" s="22">
        <v>900</v>
      </c>
      <c r="O904" s="19">
        <v>38.100810007798032</v>
      </c>
      <c r="P904" s="19">
        <v>38.49269888076492</v>
      </c>
    </row>
    <row r="905" spans="14:16" hidden="1" x14ac:dyDescent="0.4">
      <c r="N905" s="22">
        <v>901</v>
      </c>
      <c r="O905" s="19">
        <v>50.675393781346145</v>
      </c>
      <c r="P905" s="19">
        <v>29.918466441122845</v>
      </c>
    </row>
    <row r="906" spans="14:16" hidden="1" x14ac:dyDescent="0.4">
      <c r="N906" s="22">
        <v>902</v>
      </c>
      <c r="O906" s="19">
        <v>53.140850174708476</v>
      </c>
      <c r="P906" s="19">
        <v>39.433528238881905</v>
      </c>
    </row>
    <row r="907" spans="14:16" hidden="1" x14ac:dyDescent="0.4">
      <c r="N907" s="22">
        <v>903</v>
      </c>
      <c r="O907" s="19">
        <v>56.021780538869336</v>
      </c>
      <c r="P907" s="19">
        <v>49.364064007439566</v>
      </c>
    </row>
    <row r="908" spans="14:16" hidden="1" x14ac:dyDescent="0.4">
      <c r="N908" s="22">
        <v>904</v>
      </c>
      <c r="O908" s="19">
        <v>61.300504421181586</v>
      </c>
      <c r="P908" s="19">
        <v>47.593182485355058</v>
      </c>
    </row>
    <row r="909" spans="14:16" hidden="1" x14ac:dyDescent="0.4">
      <c r="N909" s="22">
        <v>905</v>
      </c>
      <c r="O909" s="19">
        <v>62.313809191412588</v>
      </c>
      <c r="P909" s="19">
        <v>55.656092659982775</v>
      </c>
    </row>
    <row r="910" spans="14:16" hidden="1" x14ac:dyDescent="0.4">
      <c r="N910" s="22">
        <v>906</v>
      </c>
      <c r="O910" s="19">
        <v>47.455961807015115</v>
      </c>
      <c r="P910" s="19">
        <v>40.798245275585288</v>
      </c>
    </row>
    <row r="911" spans="14:16" hidden="1" x14ac:dyDescent="0.4">
      <c r="N911" s="22">
        <v>907</v>
      </c>
      <c r="O911" s="19">
        <v>52.853583333782467</v>
      </c>
      <c r="P911" s="19">
        <v>39.146261397955911</v>
      </c>
    </row>
    <row r="912" spans="14:16" hidden="1" x14ac:dyDescent="0.4">
      <c r="N912" s="22">
        <v>908</v>
      </c>
      <c r="O912" s="19">
        <v>38.198169147010219</v>
      </c>
      <c r="P912" s="19">
        <v>24.49084721118362</v>
      </c>
    </row>
    <row r="913" spans="14:16" hidden="1" x14ac:dyDescent="0.4">
      <c r="N913" s="22">
        <v>909</v>
      </c>
      <c r="O913" s="19">
        <v>44.843202614271775</v>
      </c>
      <c r="P913" s="19">
        <v>31.13588067844519</v>
      </c>
    </row>
    <row r="914" spans="14:16" hidden="1" x14ac:dyDescent="0.4">
      <c r="N914" s="22">
        <v>910</v>
      </c>
      <c r="O914" s="19">
        <v>42.602437665792422</v>
      </c>
      <c r="P914" s="19">
        <v>28.895115729965838</v>
      </c>
    </row>
    <row r="915" spans="14:16" hidden="1" x14ac:dyDescent="0.4">
      <c r="N915" s="22">
        <v>911</v>
      </c>
      <c r="O915" s="19">
        <v>33.674890429513937</v>
      </c>
      <c r="P915" s="19">
        <v>27.017173898084053</v>
      </c>
    </row>
    <row r="916" spans="14:16" hidden="1" x14ac:dyDescent="0.4">
      <c r="N916" s="22">
        <v>912</v>
      </c>
      <c r="O916" s="19">
        <v>50.785337739916486</v>
      </c>
      <c r="P916" s="19">
        <v>44.127621208486701</v>
      </c>
    </row>
    <row r="917" spans="14:16" hidden="1" x14ac:dyDescent="0.4">
      <c r="N917" s="22">
        <v>913</v>
      </c>
      <c r="O917" s="19">
        <v>79.475111533907466</v>
      </c>
      <c r="P917" s="19">
        <v>51.668578789287352</v>
      </c>
    </row>
    <row r="918" spans="14:16" hidden="1" x14ac:dyDescent="0.4">
      <c r="N918" s="22">
        <v>914</v>
      </c>
      <c r="O918" s="19">
        <v>54.399341307378506</v>
      </c>
      <c r="P918" s="19">
        <v>47.741624775948694</v>
      </c>
    </row>
    <row r="919" spans="14:16" hidden="1" x14ac:dyDescent="0.4">
      <c r="N919" s="22">
        <v>915</v>
      </c>
      <c r="O919" s="19">
        <v>28.569742168564801</v>
      </c>
      <c r="P919" s="19">
        <v>21.912025637134974</v>
      </c>
    </row>
    <row r="920" spans="14:16" hidden="1" x14ac:dyDescent="0.4">
      <c r="N920" s="22">
        <v>916</v>
      </c>
      <c r="O920" s="19">
        <v>62.619767779085521</v>
      </c>
      <c r="P920" s="19">
        <v>41.862840438862193</v>
      </c>
    </row>
    <row r="921" spans="14:16" hidden="1" x14ac:dyDescent="0.4">
      <c r="N921" s="22">
        <v>917</v>
      </c>
      <c r="O921" s="19">
        <v>49.785953581852937</v>
      </c>
      <c r="P921" s="19">
        <v>43.128237050423053</v>
      </c>
    </row>
    <row r="922" spans="14:16" hidden="1" x14ac:dyDescent="0.4">
      <c r="N922" s="22">
        <v>918</v>
      </c>
      <c r="O922" s="19">
        <v>66.98747554001244</v>
      </c>
      <c r="P922" s="19">
        <v>39.180942795392298</v>
      </c>
    </row>
    <row r="923" spans="14:16" hidden="1" x14ac:dyDescent="0.4">
      <c r="N923" s="22">
        <v>919</v>
      </c>
      <c r="O923" s="19">
        <v>48.935333989275819</v>
      </c>
      <c r="P923" s="19">
        <v>42.277617457845977</v>
      </c>
    </row>
    <row r="924" spans="14:16" hidden="1" x14ac:dyDescent="0.4">
      <c r="N924" s="22">
        <v>920</v>
      </c>
      <c r="O924" s="19">
        <v>52.571851454468515</v>
      </c>
      <c r="P924" s="19">
        <v>38.864529518641973</v>
      </c>
    </row>
    <row r="925" spans="14:16" hidden="1" x14ac:dyDescent="0.4">
      <c r="N925" s="22">
        <v>921</v>
      </c>
      <c r="O925" s="19">
        <v>51.263924897216611</v>
      </c>
      <c r="P925" s="19">
        <v>37.556602961390027</v>
      </c>
    </row>
    <row r="926" spans="14:16" hidden="1" x14ac:dyDescent="0.4">
      <c r="N926" s="22">
        <v>922</v>
      </c>
      <c r="O926" s="19">
        <v>54.847451088633818</v>
      </c>
      <c r="P926" s="19">
        <v>48.189734557204062</v>
      </c>
    </row>
    <row r="927" spans="14:16" hidden="1" x14ac:dyDescent="0.4">
      <c r="N927" s="22">
        <v>923</v>
      </c>
      <c r="O927" s="19">
        <v>36.434227602648207</v>
      </c>
      <c r="P927" s="19">
        <v>36.826116475615194</v>
      </c>
    </row>
    <row r="928" spans="14:16" hidden="1" x14ac:dyDescent="0.4">
      <c r="N928" s="22">
        <v>924</v>
      </c>
      <c r="O928" s="19">
        <v>48.22789252344586</v>
      </c>
      <c r="P928" s="19">
        <v>34.520570587619318</v>
      </c>
    </row>
    <row r="929" spans="14:16" hidden="1" x14ac:dyDescent="0.4">
      <c r="N929" s="22">
        <v>925</v>
      </c>
      <c r="O929" s="19">
        <v>62.787197947633445</v>
      </c>
      <c r="P929" s="19">
        <v>34.980665203013345</v>
      </c>
    </row>
    <row r="930" spans="14:16" hidden="1" x14ac:dyDescent="0.4">
      <c r="N930" s="22">
        <v>926</v>
      </c>
      <c r="O930" s="19">
        <v>50.182339327145996</v>
      </c>
      <c r="P930" s="19">
        <v>43.524622795716255</v>
      </c>
    </row>
    <row r="931" spans="14:16" hidden="1" x14ac:dyDescent="0.4">
      <c r="N931" s="22">
        <v>927</v>
      </c>
      <c r="O931" s="19">
        <v>69.317031032374359</v>
      </c>
      <c r="P931" s="19">
        <v>41.510498287754302</v>
      </c>
    </row>
    <row r="932" spans="14:16" hidden="1" x14ac:dyDescent="0.4">
      <c r="N932" s="22">
        <v>928</v>
      </c>
      <c r="O932" s="19">
        <v>41.305641391929157</v>
      </c>
      <c r="P932" s="19">
        <v>34.64792486049933</v>
      </c>
    </row>
    <row r="933" spans="14:16" hidden="1" x14ac:dyDescent="0.4">
      <c r="N933" s="22">
        <v>929</v>
      </c>
      <c r="O933" s="19">
        <v>68.294649252602369</v>
      </c>
      <c r="P933" s="19">
        <v>40.48811650798234</v>
      </c>
    </row>
    <row r="934" spans="14:16" hidden="1" x14ac:dyDescent="0.4">
      <c r="N934" s="22">
        <v>930</v>
      </c>
      <c r="O934" s="19">
        <v>53.130231163937538</v>
      </c>
      <c r="P934" s="19">
        <v>39.422909228111024</v>
      </c>
    </row>
    <row r="935" spans="14:16" hidden="1" x14ac:dyDescent="0.4">
      <c r="N935" s="22">
        <v>931</v>
      </c>
      <c r="O935" s="19">
        <v>40.394922533332249</v>
      </c>
      <c r="P935" s="19">
        <v>33.737206001902464</v>
      </c>
    </row>
    <row r="936" spans="14:16" hidden="1" x14ac:dyDescent="0.4">
      <c r="N936" s="22">
        <v>932</v>
      </c>
      <c r="O936" s="19">
        <v>43.486861349597746</v>
      </c>
      <c r="P936" s="19">
        <v>43.878750222564662</v>
      </c>
    </row>
    <row r="937" spans="14:16" hidden="1" x14ac:dyDescent="0.4">
      <c r="N937" s="22">
        <v>933</v>
      </c>
      <c r="O937" s="19">
        <v>29.621423276908502</v>
      </c>
      <c r="P937" s="19">
        <v>22.96370674547866</v>
      </c>
    </row>
    <row r="938" spans="14:16" hidden="1" x14ac:dyDescent="0.4">
      <c r="N938" s="22">
        <v>934</v>
      </c>
      <c r="O938" s="19">
        <v>66.820524755383587</v>
      </c>
      <c r="P938" s="19">
        <v>46.06359741516026</v>
      </c>
    </row>
    <row r="939" spans="14:16" hidden="1" x14ac:dyDescent="0.4">
      <c r="N939" s="22">
        <v>935</v>
      </c>
      <c r="O939" s="19">
        <v>43.122238721432041</v>
      </c>
      <c r="P939" s="19">
        <v>36.464522190002285</v>
      </c>
    </row>
    <row r="940" spans="14:16" hidden="1" x14ac:dyDescent="0.4">
      <c r="N940" s="22">
        <v>936</v>
      </c>
      <c r="O940" s="19">
        <v>37.896867782878473</v>
      </c>
      <c r="P940" s="19">
        <v>31.239151251448703</v>
      </c>
    </row>
    <row r="941" spans="14:16" hidden="1" x14ac:dyDescent="0.4">
      <c r="N941" s="22">
        <v>937</v>
      </c>
      <c r="O941" s="19">
        <v>43.129863481029474</v>
      </c>
      <c r="P941" s="19">
        <v>36.472146949599647</v>
      </c>
    </row>
    <row r="942" spans="14:16" hidden="1" x14ac:dyDescent="0.4">
      <c r="N942" s="22">
        <v>938</v>
      </c>
      <c r="O942" s="19">
        <v>47.197452831904684</v>
      </c>
      <c r="P942" s="19">
        <v>40.539736300474857</v>
      </c>
    </row>
    <row r="943" spans="14:16" hidden="1" x14ac:dyDescent="0.4">
      <c r="N943" s="22">
        <v>939</v>
      </c>
      <c r="O943" s="19">
        <v>26.792988066814075</v>
      </c>
      <c r="P943" s="19">
        <v>27.184876939780978</v>
      </c>
    </row>
    <row r="944" spans="14:16" hidden="1" x14ac:dyDescent="0.4">
      <c r="N944" s="22">
        <v>940</v>
      </c>
      <c r="O944" s="19">
        <v>35.181636782394833</v>
      </c>
      <c r="P944" s="19">
        <v>28.523920250965034</v>
      </c>
    </row>
    <row r="945" spans="14:16" hidden="1" x14ac:dyDescent="0.4">
      <c r="N945" s="22">
        <v>941</v>
      </c>
      <c r="O945" s="19">
        <v>60.546463954851447</v>
      </c>
      <c r="P945" s="19">
        <v>39.789536614628091</v>
      </c>
    </row>
    <row r="946" spans="14:16" hidden="1" x14ac:dyDescent="0.4">
      <c r="N946" s="22">
        <v>942</v>
      </c>
      <c r="O946" s="19">
        <v>43.314735255917697</v>
      </c>
      <c r="P946" s="19">
        <v>22.557807915694312</v>
      </c>
    </row>
    <row r="947" spans="14:16" hidden="1" x14ac:dyDescent="0.4">
      <c r="N947" s="22">
        <v>943</v>
      </c>
      <c r="O947" s="19">
        <v>24.943455255034507</v>
      </c>
      <c r="P947" s="19">
        <v>25.33534412800141</v>
      </c>
    </row>
    <row r="948" spans="14:16" hidden="1" x14ac:dyDescent="0.4">
      <c r="N948" s="22">
        <v>944</v>
      </c>
      <c r="O948" s="19">
        <v>54.762110372637949</v>
      </c>
      <c r="P948" s="19">
        <v>48.104393841208122</v>
      </c>
    </row>
    <row r="949" spans="14:16" hidden="1" x14ac:dyDescent="0.4">
      <c r="N949" s="22">
        <v>945</v>
      </c>
      <c r="O949" s="19">
        <v>43.516327169137128</v>
      </c>
      <c r="P949" s="19">
        <v>36.858610637707329</v>
      </c>
    </row>
    <row r="950" spans="14:16" hidden="1" x14ac:dyDescent="0.4">
      <c r="N950" s="22">
        <v>946</v>
      </c>
      <c r="O950" s="19">
        <v>32.042912851365941</v>
      </c>
      <c r="P950" s="19">
        <v>32.434801724332928</v>
      </c>
    </row>
    <row r="951" spans="14:16" hidden="1" x14ac:dyDescent="0.4">
      <c r="N951" s="22">
        <v>947</v>
      </c>
      <c r="O951" s="19">
        <v>35.763972840633357</v>
      </c>
      <c r="P951" s="19">
        <v>36.155861713600231</v>
      </c>
    </row>
    <row r="952" spans="14:16" hidden="1" x14ac:dyDescent="0.4">
      <c r="N952" s="22">
        <v>948</v>
      </c>
      <c r="O952" s="19">
        <v>53.696687003860177</v>
      </c>
      <c r="P952" s="19">
        <v>39.989365068033607</v>
      </c>
    </row>
    <row r="953" spans="14:16" hidden="1" x14ac:dyDescent="0.4">
      <c r="N953" s="22">
        <v>949</v>
      </c>
      <c r="O953" s="19">
        <v>39.304993395982478</v>
      </c>
      <c r="P953" s="19">
        <v>39.696882268949452</v>
      </c>
    </row>
    <row r="954" spans="14:16" hidden="1" x14ac:dyDescent="0.4">
      <c r="N954" s="22">
        <v>950</v>
      </c>
      <c r="O954" s="19">
        <v>50.089105759199981</v>
      </c>
      <c r="P954" s="19">
        <v>36.381783823373468</v>
      </c>
    </row>
    <row r="955" spans="14:16" hidden="1" x14ac:dyDescent="0.4">
      <c r="N955" s="22">
        <v>951</v>
      </c>
      <c r="O955" s="19">
        <v>71.117029526070894</v>
      </c>
      <c r="P955" s="19">
        <v>50.360102185847552</v>
      </c>
    </row>
    <row r="956" spans="14:16" hidden="1" x14ac:dyDescent="0.4">
      <c r="N956" s="22">
        <v>952</v>
      </c>
      <c r="O956" s="19">
        <v>40.724936119710605</v>
      </c>
      <c r="P956" s="19">
        <v>34.067219588280835</v>
      </c>
    </row>
    <row r="957" spans="14:16" hidden="1" x14ac:dyDescent="0.4">
      <c r="N957" s="22">
        <v>953</v>
      </c>
      <c r="O957" s="19">
        <v>56.668712065206194</v>
      </c>
      <c r="P957" s="19">
        <v>42.961390129379609</v>
      </c>
    </row>
    <row r="958" spans="14:16" hidden="1" x14ac:dyDescent="0.4">
      <c r="N958" s="22">
        <v>954</v>
      </c>
      <c r="O958" s="19">
        <v>49.961393950054514</v>
      </c>
      <c r="P958" s="19">
        <v>36.254072014227916</v>
      </c>
    </row>
    <row r="959" spans="14:16" hidden="1" x14ac:dyDescent="0.4">
      <c r="N959" s="22">
        <v>955</v>
      </c>
      <c r="O959" s="19">
        <v>61.008403060182957</v>
      </c>
      <c r="P959" s="19">
        <v>47.301081124356386</v>
      </c>
    </row>
    <row r="960" spans="14:16" hidden="1" x14ac:dyDescent="0.4">
      <c r="N960" s="22">
        <v>956</v>
      </c>
      <c r="O960" s="19">
        <v>51.415739776513647</v>
      </c>
      <c r="P960" s="19">
        <v>37.708417840687048</v>
      </c>
    </row>
    <row r="961" spans="14:16" hidden="1" x14ac:dyDescent="0.4">
      <c r="N961" s="22">
        <v>957</v>
      </c>
      <c r="O961" s="19">
        <v>74.574372137488808</v>
      </c>
      <c r="P961" s="19">
        <v>46.767839392868709</v>
      </c>
    </row>
    <row r="962" spans="14:16" hidden="1" x14ac:dyDescent="0.4">
      <c r="N962" s="22">
        <v>958</v>
      </c>
      <c r="O962" s="19">
        <v>62.215902894117846</v>
      </c>
      <c r="P962" s="19">
        <v>48.508580958291262</v>
      </c>
    </row>
    <row r="963" spans="14:16" hidden="1" x14ac:dyDescent="0.4">
      <c r="N963" s="22">
        <v>959</v>
      </c>
      <c r="O963" s="19">
        <v>55.274699281682899</v>
      </c>
      <c r="P963" s="19">
        <v>34.517771941459557</v>
      </c>
    </row>
    <row r="964" spans="14:16" hidden="1" x14ac:dyDescent="0.4">
      <c r="N964" s="22">
        <v>960</v>
      </c>
      <c r="O964" s="19">
        <v>49.001034484814909</v>
      </c>
      <c r="P964" s="19">
        <v>35.293712548988324</v>
      </c>
    </row>
    <row r="965" spans="14:16" hidden="1" x14ac:dyDescent="0.4">
      <c r="N965" s="22">
        <v>961</v>
      </c>
      <c r="O965" s="19">
        <v>51.426149214349721</v>
      </c>
      <c r="P965" s="19">
        <v>44.768432682919965</v>
      </c>
    </row>
    <row r="966" spans="14:16" hidden="1" x14ac:dyDescent="0.4">
      <c r="N966" s="22">
        <v>962</v>
      </c>
      <c r="O966" s="19">
        <v>44.44937040478402</v>
      </c>
      <c r="P966" s="19">
        <v>23.692443064560734</v>
      </c>
    </row>
    <row r="967" spans="14:16" hidden="1" x14ac:dyDescent="0.4">
      <c r="N967" s="22">
        <v>963</v>
      </c>
      <c r="O967" s="19">
        <v>58.770349695133405</v>
      </c>
      <c r="P967" s="19">
        <v>59.162238568100406</v>
      </c>
    </row>
    <row r="968" spans="14:16" hidden="1" x14ac:dyDescent="0.4">
      <c r="N968" s="22">
        <v>964</v>
      </c>
      <c r="O968" s="19">
        <v>40.284100955725648</v>
      </c>
      <c r="P968" s="19">
        <v>33.626384424295807</v>
      </c>
    </row>
    <row r="969" spans="14:16" hidden="1" x14ac:dyDescent="0.4">
      <c r="N969" s="22">
        <v>965</v>
      </c>
      <c r="O969" s="19">
        <v>35.069648373264783</v>
      </c>
      <c r="P969" s="19">
        <v>28.411931841834928</v>
      </c>
    </row>
    <row r="970" spans="14:16" hidden="1" x14ac:dyDescent="0.4">
      <c r="N970" s="22">
        <v>966</v>
      </c>
      <c r="O970" s="19">
        <v>46.522715738213208</v>
      </c>
      <c r="P970" s="19">
        <v>32.815393802386609</v>
      </c>
    </row>
    <row r="971" spans="14:16" hidden="1" x14ac:dyDescent="0.4">
      <c r="N971" s="22">
        <v>967</v>
      </c>
      <c r="O971" s="19">
        <v>72.085765909333531</v>
      </c>
      <c r="P971" s="19">
        <v>44.279233164713403</v>
      </c>
    </row>
    <row r="972" spans="14:16" hidden="1" x14ac:dyDescent="0.4">
      <c r="N972" s="22">
        <v>968</v>
      </c>
      <c r="O972" s="19">
        <v>55.849219290324868</v>
      </c>
      <c r="P972" s="19">
        <v>42.141897354498312</v>
      </c>
    </row>
    <row r="973" spans="14:16" hidden="1" x14ac:dyDescent="0.4">
      <c r="N973" s="22">
        <v>969</v>
      </c>
      <c r="O973" s="19">
        <v>52.473553292092561</v>
      </c>
      <c r="P973" s="19">
        <v>38.76623135626599</v>
      </c>
    </row>
    <row r="974" spans="14:16" hidden="1" x14ac:dyDescent="0.4">
      <c r="N974" s="22">
        <v>970</v>
      </c>
      <c r="O974" s="19">
        <v>58.248040231609536</v>
      </c>
      <c r="P974" s="19">
        <v>37.491112891386251</v>
      </c>
    </row>
    <row r="975" spans="14:16" hidden="1" x14ac:dyDescent="0.4">
      <c r="N975" s="22">
        <v>971</v>
      </c>
      <c r="O975" s="19">
        <v>39.782849983441395</v>
      </c>
      <c r="P975" s="19">
        <v>26.075528047614796</v>
      </c>
    </row>
    <row r="976" spans="14:16" hidden="1" x14ac:dyDescent="0.4">
      <c r="N976" s="22">
        <v>972</v>
      </c>
      <c r="O976" s="19">
        <v>45.09955809416698</v>
      </c>
      <c r="P976" s="19">
        <v>38.441841562737068</v>
      </c>
    </row>
    <row r="977" spans="14:16" hidden="1" x14ac:dyDescent="0.4">
      <c r="N977" s="22">
        <v>973</v>
      </c>
      <c r="O977" s="19">
        <v>53.678941341629582</v>
      </c>
      <c r="P977" s="19">
        <v>39.97161940580294</v>
      </c>
    </row>
    <row r="978" spans="14:16" hidden="1" x14ac:dyDescent="0.4">
      <c r="N978" s="22">
        <v>974</v>
      </c>
      <c r="O978" s="19">
        <v>58.737013461710774</v>
      </c>
      <c r="P978" s="19">
        <v>45.02969152588426</v>
      </c>
    </row>
    <row r="979" spans="14:16" hidden="1" x14ac:dyDescent="0.4">
      <c r="N979" s="22">
        <v>975</v>
      </c>
      <c r="O979" s="19">
        <v>76.921896845665742</v>
      </c>
      <c r="P979" s="19">
        <v>49.115364101045614</v>
      </c>
    </row>
    <row r="980" spans="14:16" hidden="1" x14ac:dyDescent="0.4">
      <c r="N980" s="22">
        <v>976</v>
      </c>
      <c r="O980" s="19">
        <v>51.827704741332525</v>
      </c>
      <c r="P980" s="19">
        <v>31.070777401109225</v>
      </c>
    </row>
    <row r="981" spans="14:16" hidden="1" x14ac:dyDescent="0.4">
      <c r="N981" s="22">
        <v>977</v>
      </c>
      <c r="O981" s="19">
        <v>55.977143757939928</v>
      </c>
      <c r="P981" s="19">
        <v>35.220216417716514</v>
      </c>
    </row>
    <row r="982" spans="14:16" hidden="1" x14ac:dyDescent="0.4">
      <c r="N982" s="22">
        <v>978</v>
      </c>
      <c r="O982" s="19">
        <v>34.891424996938213</v>
      </c>
      <c r="P982" s="19">
        <v>21.184103061111657</v>
      </c>
    </row>
    <row r="983" spans="14:16" hidden="1" x14ac:dyDescent="0.4">
      <c r="N983" s="22">
        <v>979</v>
      </c>
      <c r="O983" s="19">
        <v>39.279860080798073</v>
      </c>
      <c r="P983" s="19">
        <v>32.622143549368232</v>
      </c>
    </row>
    <row r="984" spans="14:16" hidden="1" x14ac:dyDescent="0.4">
      <c r="N984" s="22">
        <v>980</v>
      </c>
      <c r="O984" s="19">
        <v>61.899612904445576</v>
      </c>
      <c r="P984" s="19">
        <v>34.09308015982549</v>
      </c>
    </row>
    <row r="985" spans="14:16" hidden="1" x14ac:dyDescent="0.4">
      <c r="N985" s="22">
        <v>981</v>
      </c>
      <c r="O985" s="19">
        <v>54.558343131610059</v>
      </c>
      <c r="P985" s="19">
        <v>33.801415791386773</v>
      </c>
    </row>
    <row r="986" spans="14:16" hidden="1" x14ac:dyDescent="0.4">
      <c r="N986" s="22">
        <v>982</v>
      </c>
      <c r="O986" s="19">
        <v>57.945281520772255</v>
      </c>
      <c r="P986" s="19">
        <v>37.188354180548941</v>
      </c>
    </row>
    <row r="987" spans="14:16" hidden="1" x14ac:dyDescent="0.4">
      <c r="N987" s="22">
        <v>983</v>
      </c>
      <c r="O987" s="19">
        <v>64.044465644150364</v>
      </c>
      <c r="P987" s="19">
        <v>36.23793289953025</v>
      </c>
    </row>
    <row r="988" spans="14:16" hidden="1" x14ac:dyDescent="0.4">
      <c r="N988" s="22">
        <v>984</v>
      </c>
      <c r="O988" s="19">
        <v>46.745964251463477</v>
      </c>
      <c r="P988" s="19">
        <v>40.088247720033678</v>
      </c>
    </row>
    <row r="989" spans="14:16" hidden="1" x14ac:dyDescent="0.4">
      <c r="N989" s="22">
        <v>985</v>
      </c>
      <c r="O989" s="19">
        <v>38.825785468985885</v>
      </c>
      <c r="P989" s="19">
        <v>39.217674341952872</v>
      </c>
    </row>
    <row r="990" spans="14:16" hidden="1" x14ac:dyDescent="0.4">
      <c r="N990" s="22">
        <v>986</v>
      </c>
      <c r="O990" s="19">
        <v>43.615989124510463</v>
      </c>
      <c r="P990" s="19">
        <v>44.007877997477394</v>
      </c>
    </row>
    <row r="991" spans="14:16" hidden="1" x14ac:dyDescent="0.4">
      <c r="N991" s="22">
        <v>987</v>
      </c>
      <c r="O991" s="19">
        <v>43.170736482286941</v>
      </c>
      <c r="P991" s="19">
        <v>29.463414546460356</v>
      </c>
    </row>
    <row r="992" spans="14:16" hidden="1" x14ac:dyDescent="0.4">
      <c r="N992" s="22">
        <v>988</v>
      </c>
      <c r="O992" s="19">
        <v>66.299184669486749</v>
      </c>
      <c r="P992" s="19">
        <v>45.542257329263421</v>
      </c>
    </row>
    <row r="993" spans="14:16" hidden="1" x14ac:dyDescent="0.4">
      <c r="N993" s="22">
        <v>989</v>
      </c>
      <c r="O993" s="19">
        <v>46.984032113977378</v>
      </c>
      <c r="P993" s="19">
        <v>47.375920986944337</v>
      </c>
    </row>
    <row r="994" spans="14:16" hidden="1" x14ac:dyDescent="0.4">
      <c r="N994" s="22">
        <v>990</v>
      </c>
      <c r="O994" s="19">
        <v>51.570221313592413</v>
      </c>
      <c r="P994" s="19">
        <v>44.912504782162628</v>
      </c>
    </row>
    <row r="995" spans="14:16" hidden="1" x14ac:dyDescent="0.4">
      <c r="N995" s="22">
        <v>991</v>
      </c>
      <c r="O995" s="19">
        <v>51.380779897632465</v>
      </c>
      <c r="P995" s="19">
        <v>30.623852557409137</v>
      </c>
    </row>
    <row r="996" spans="14:16" hidden="1" x14ac:dyDescent="0.4">
      <c r="N996" s="22">
        <v>992</v>
      </c>
      <c r="O996" s="19">
        <v>68.326429781703553</v>
      </c>
      <c r="P996" s="19">
        <v>40.519897037083439</v>
      </c>
    </row>
    <row r="997" spans="14:16" hidden="1" x14ac:dyDescent="0.4">
      <c r="N997" s="22">
        <v>993</v>
      </c>
      <c r="O997" s="19">
        <v>36.200472613356624</v>
      </c>
      <c r="P997" s="19">
        <v>29.542756081926811</v>
      </c>
    </row>
    <row r="998" spans="14:16" hidden="1" x14ac:dyDescent="0.4">
      <c r="N998" s="22">
        <v>994</v>
      </c>
      <c r="O998" s="19">
        <v>53.365378088142393</v>
      </c>
      <c r="P998" s="19">
        <v>39.658056152315837</v>
      </c>
    </row>
    <row r="999" spans="14:16" hidden="1" x14ac:dyDescent="0.4">
      <c r="N999" s="22">
        <v>995</v>
      </c>
      <c r="O999" s="19">
        <v>54.36702713475529</v>
      </c>
      <c r="P999" s="19">
        <v>47.709310603325491</v>
      </c>
    </row>
    <row r="1000" spans="14:16" hidden="1" x14ac:dyDescent="0.4">
      <c r="N1000" s="22">
        <v>996</v>
      </c>
      <c r="O1000" s="19">
        <v>62.40399571759599</v>
      </c>
      <c r="P1000" s="19">
        <v>34.597462972975862</v>
      </c>
    </row>
    <row r="1001" spans="14:16" hidden="1" x14ac:dyDescent="0.4">
      <c r="N1001" s="22">
        <v>997</v>
      </c>
      <c r="O1001" s="19">
        <v>34.529495644946678</v>
      </c>
      <c r="P1001" s="19">
        <v>34.921384517913609</v>
      </c>
    </row>
    <row r="1002" spans="14:16" hidden="1" x14ac:dyDescent="0.4">
      <c r="N1002" s="22">
        <v>998</v>
      </c>
      <c r="O1002" s="19">
        <v>54.465832282689291</v>
      </c>
      <c r="P1002" s="19">
        <v>40.758510346862664</v>
      </c>
    </row>
    <row r="1003" spans="14:16" hidden="1" x14ac:dyDescent="0.4">
      <c r="N1003" s="22">
        <v>999</v>
      </c>
      <c r="O1003" s="19">
        <v>48.252284176356227</v>
      </c>
      <c r="P1003" s="19">
        <v>41.5945676449264</v>
      </c>
    </row>
    <row r="1004" spans="14:16" x14ac:dyDescent="0.4">
      <c r="N1004" s="22">
        <v>1000</v>
      </c>
      <c r="O1004" s="19">
        <v>43.008346462149632</v>
      </c>
      <c r="P1004" s="19">
        <v>29.301024526323062</v>
      </c>
    </row>
  </sheetData>
  <mergeCells count="6">
    <mergeCell ref="E12:L12"/>
    <mergeCell ref="V2:W2"/>
    <mergeCell ref="T2:U2"/>
    <mergeCell ref="O2:P2"/>
    <mergeCell ref="R2:R3"/>
    <mergeCell ref="S2:S3"/>
  </mergeCells>
  <phoneticPr fontId="1" type="noConversion"/>
  <pageMargins left="0.7" right="0.7" top="0.75" bottom="0.75" header="0.3" footer="0.3"/>
  <pageSetup paperSize="9" orientation="portrait" r:id="rId1"/>
  <ignoredErrors>
    <ignoredError sqref="V4:V35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pinner 6">
              <controlPr defaultSize="0" autoPict="0">
                <anchor moveWithCells="1" sizeWithCells="1">
                  <from>
                    <xdr:col>26</xdr:col>
                    <xdr:colOff>442913</xdr:colOff>
                    <xdr:row>5</xdr:row>
                    <xdr:rowOff>138113</xdr:rowOff>
                  </from>
                  <to>
                    <xdr:col>27</xdr:col>
                    <xdr:colOff>138113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Spinner 7">
              <controlPr defaultSize="0" autoPict="0">
                <anchor moveWithCells="1" sizeWithCells="1">
                  <from>
                    <xdr:col>30</xdr:col>
                    <xdr:colOff>119063</xdr:colOff>
                    <xdr:row>5</xdr:row>
                    <xdr:rowOff>128588</xdr:rowOff>
                  </from>
                  <to>
                    <xdr:col>30</xdr:col>
                    <xdr:colOff>461963</xdr:colOff>
                    <xdr:row>7</xdr:row>
                    <xdr:rowOff>80963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" name="Spinner 59">
              <controlPr defaultSize="0" autoPict="0">
                <anchor moveWithCells="1" sizeWithCells="1">
                  <from>
                    <xdr:col>33</xdr:col>
                    <xdr:colOff>290513</xdr:colOff>
                    <xdr:row>5</xdr:row>
                    <xdr:rowOff>152400</xdr:rowOff>
                  </from>
                  <to>
                    <xdr:col>33</xdr:col>
                    <xdr:colOff>614363</xdr:colOff>
                    <xdr:row>7</xdr:row>
                    <xdr:rowOff>71438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" name="Spinner 61">
              <controlPr defaultSize="0" autoPict="0">
                <anchor moveWithCells="1" sizeWithCells="1">
                  <from>
                    <xdr:col>28</xdr:col>
                    <xdr:colOff>419100</xdr:colOff>
                    <xdr:row>37</xdr:row>
                    <xdr:rowOff>114300</xdr:rowOff>
                  </from>
                  <to>
                    <xdr:col>29</xdr:col>
                    <xdr:colOff>114300</xdr:colOff>
                    <xdr:row>39</xdr:row>
                    <xdr:rowOff>52388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" name="Spinner 62">
              <controlPr defaultSize="0" autoPict="0">
                <anchor moveWithCells="1" sizeWithCells="1">
                  <from>
                    <xdr:col>32</xdr:col>
                    <xdr:colOff>152400</xdr:colOff>
                    <xdr:row>37</xdr:row>
                    <xdr:rowOff>100013</xdr:rowOff>
                  </from>
                  <to>
                    <xdr:col>32</xdr:col>
                    <xdr:colOff>490538</xdr:colOff>
                    <xdr:row>39</xdr:row>
                    <xdr:rowOff>52388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9" name="Spinner 63">
              <controlPr defaultSize="0" autoPict="0">
                <anchor moveWithCells="1" sizeWithCells="1">
                  <from>
                    <xdr:col>35</xdr:col>
                    <xdr:colOff>452438</xdr:colOff>
                    <xdr:row>37</xdr:row>
                    <xdr:rowOff>61913</xdr:rowOff>
                  </from>
                  <to>
                    <xdr:col>36</xdr:col>
                    <xdr:colOff>147638</xdr:colOff>
                    <xdr:row>39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Spinner 64">
              <controlPr defaultSize="0" autoPict="0">
                <anchor moveWithCells="1" sizeWithCells="1">
                  <from>
                    <xdr:col>6</xdr:col>
                    <xdr:colOff>61913</xdr:colOff>
                    <xdr:row>27</xdr:row>
                    <xdr:rowOff>4763</xdr:rowOff>
                  </from>
                  <to>
                    <xdr:col>6</xdr:col>
                    <xdr:colOff>228600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例9-8</vt:lpstr>
      <vt:lpstr>基于净现值的蒙特卡洛模拟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 lee</cp:lastModifiedBy>
  <dcterms:created xsi:type="dcterms:W3CDTF">2015-06-05T18:17:20Z</dcterms:created>
  <dcterms:modified xsi:type="dcterms:W3CDTF">2024-07-25T07:51:10Z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7994ba89</vt:lpwstr>
  </property>
</Properties>
</file>