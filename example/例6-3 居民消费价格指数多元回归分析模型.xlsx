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经管机视频录制-第6&amp;8章\第6章\"/>
    </mc:Choice>
  </mc:AlternateContent>
  <xr:revisionPtr revIDLastSave="0" documentId="13_ncr:1_{2C284F72-620E-4C3E-99BB-3FFF5C1AF2D9}" xr6:coauthVersionLast="47" xr6:coauthVersionMax="47" xr10:uidLastSave="{00000000-0000-0000-0000-000000000000}"/>
  <bookViews>
    <workbookView xWindow="-108" yWindow="-108" windowWidth="23256" windowHeight="12456" tabRatio="860" activeTab="13" xr2:uid="{00000000-000D-0000-FFFF-FFFF00000000}"/>
  </bookViews>
  <sheets>
    <sheet name="例6-3" sheetId="14" r:id="rId1"/>
    <sheet name="散点图" sheetId="1" r:id="rId2"/>
    <sheet name="X1" sheetId="7" r:id="rId3"/>
    <sheet name="X2" sheetId="6" r:id="rId4"/>
    <sheet name="X3" sheetId="5" r:id="rId5"/>
    <sheet name="X4" sheetId="4" r:id="rId6"/>
    <sheet name="X1,X2" sheetId="8" r:id="rId7"/>
    <sheet name="X1,X3" sheetId="13" r:id="rId8"/>
    <sheet name="X1,X4" sheetId="12" r:id="rId9"/>
    <sheet name="X1,X2,X3" sheetId="9" r:id="rId10"/>
    <sheet name="X1,X2,X4" sheetId="11" r:id="rId11"/>
    <sheet name="X1,X2,X3,X4" sheetId="10" r:id="rId12"/>
    <sheet name="汇总" sheetId="2" r:id="rId13"/>
    <sheet name="结果" sheetId="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<sst xmlns="http://schemas.openxmlformats.org/spreadsheetml/2006/main" count="463" uniqueCount="144">
  <si>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</si>
  <si>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</si>
  <si>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</si>
  <si>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</si>
  <si>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</si>
  <si>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</si>
  <si>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</si>
  <si>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</si>
  <si>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</si>
  <si>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</si>
  <si>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</si>
  <si>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</si>
  <si>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</si>
  <si>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</si>
  <si>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</si>
  <si>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</si>
  <si>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</si>
  <si>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</si>
  <si>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</si>
  <si>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</si>
  <si>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</si>
  <si>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</si>
  <si>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</si>
  <si>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</si>
  <si>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</si>
  <si>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</si>
  <si>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</si>
  <si>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</si>
  <si>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</si>
  <si>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</si>
  <si>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</si>
  <si>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</si>
  <si>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</si>
  <si>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</si>
  <si>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</si>
  <si>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</si>
  <si>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</si>
  <si>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</si>
  <si>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</si>
  <si>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</si>
  <si>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</si>
  <si>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</si>
  <si>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</si>
  <si>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</si>
  <si>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</si>
  <si>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</si>
  <si>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</si>
  <si>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</si>
  <si>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</si>
  <si>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</si>
  <si>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</si>
  <si>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</si>
  <si>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</si>
  <si>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</si>
  <si>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</si>
  <si>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</si>
  <si>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</si>
  <si>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</si>
  <si>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</si>
  <si>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</si>
  <si>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</si>
  <si>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</si>
  <si>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</si>
  <si>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</si>
  <si>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</si>
  <si>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</si>
  <si>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</si>
  <si>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</si>
  <si>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</si>
  <si>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</si>
  <si>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</si>
  <si>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</si>
  <si>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月份</t>
    <phoneticPr fontId="2" type="noConversion"/>
  </si>
  <si>
    <r>
      <rPr>
        <b/>
        <sz val="10"/>
        <rFont val="等线"/>
        <family val="2"/>
        <charset val="134"/>
      </rPr>
      <t>食品烟酒类居民消费价格指数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</si>
  <si>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居住类居民消费价格指数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</si>
  <si>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教育文化和娱乐类居民消费价格指数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</si>
  <si>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医疗保健类居民消费价格指数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</si>
  <si>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</si>
  <si>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t>食品烟酒类</t>
  </si>
  <si>
    <t>居住类</t>
  </si>
  <si>
    <t>教育文化和娱乐类</t>
  </si>
  <si>
    <t>医疗保健类</t>
  </si>
  <si>
    <t>食品烟酒类与居住类</t>
  </si>
  <si>
    <t>食品烟酒类与教育文化和娱乐类</t>
  </si>
  <si>
    <t>食品烟酒类与医疗保健类</t>
  </si>
  <si>
    <t>食品烟酒类、居住类与教育文化和娱乐类</t>
  </si>
  <si>
    <t>食品烟酒类、居住类、教育文化和娱乐类与医疗保健类</t>
    <phoneticPr fontId="2" type="noConversion"/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</si>
  <si>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</si>
  <si>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</si>
  <si>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</si>
  <si>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</si>
  <si>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X1,X2</t>
    <phoneticPr fontId="2" type="noConversion"/>
  </si>
  <si>
    <t>X1,X3</t>
    <phoneticPr fontId="2" type="noConversion"/>
  </si>
  <si>
    <t>X1,X4</t>
    <phoneticPr fontId="2" type="noConversion"/>
  </si>
  <si>
    <t>X1,X2,X3</t>
    <phoneticPr fontId="2" type="noConversion"/>
  </si>
  <si>
    <t>X1,X2,X4</t>
    <phoneticPr fontId="2" type="noConversion"/>
  </si>
  <si>
    <t>X1,X2,X3,X4</t>
    <phoneticPr fontId="2" type="noConversion"/>
  </si>
  <si>
    <t>汇总数据</t>
    <phoneticPr fontId="2" type="noConversion"/>
  </si>
  <si>
    <t>R²</t>
    <phoneticPr fontId="2" type="noConversion"/>
  </si>
  <si>
    <t>调整后R²</t>
    <phoneticPr fontId="2" type="noConversion"/>
  </si>
  <si>
    <t>自变量集</t>
    <phoneticPr fontId="2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</si>
  <si>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</si>
  <si>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</si>
  <si>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</si>
  <si>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</si>
  <si>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</si>
  <si>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</si>
  <si>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</si>
  <si>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</si>
  <si>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</si>
  <si>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</si>
  <si>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</si>
  <si>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</si>
  <si>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</si>
  <si>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</si>
  <si>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</si>
  <si>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</si>
  <si>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</si>
  <si>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</si>
  <si>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</si>
  <si>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</si>
  <si>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</si>
  <si>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</si>
  <si>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</si>
  <si>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</si>
  <si>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医疗保健类居民消费价格指数(上年同月=100)</t>
  </si>
  <si>
    <t>教育文化和娱乐类居民消费价格指数(上年同月=100)</t>
  </si>
  <si>
    <t>居住类居民消费价格指数(上年同月=100)</t>
  </si>
  <si>
    <t>食品烟酒类居民消费价格指数(上年同月=100)</t>
  </si>
  <si>
    <t>SUMMARY OUTPUT</t>
    <phoneticPr fontId="2" type="noConversion"/>
  </si>
  <si>
    <t>食品烟酒类、居住类与医疗保健类</t>
    <phoneticPr fontId="2" type="noConversion"/>
  </si>
  <si>
    <t>参数值：</t>
    <phoneticPr fontId="2" type="noConversion"/>
  </si>
  <si>
    <t>a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</si>
  <si>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</si>
  <si>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</si>
  <si>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</si>
  <si>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</si>
  <si>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r>
      <t>食品烟酒类居民消费价格指数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</si>
  <si>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居住类居民消费价格指数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</si>
  <si>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教育文化和娱乐类居民消费价格指数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</si>
  <si>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医疗保健类居民消费价格指数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</si>
  <si>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=100)(</t>
    </r>
    <r>
      <rPr>
        <sz val="10"/>
        <rFont val="宋体"/>
        <family val="3"/>
        <charset val="134"/>
      </rPr>
      <t>预测值</t>
    </r>
    <r>
      <rPr>
        <sz val="10"/>
        <rFont val="Arial"/>
        <family val="2"/>
      </rPr>
      <t>)</t>
    </r>
    <phoneticPr fontId="2" type="noConversion"/>
  </si>
  <si>
    <r>
      <t>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=100)(</t>
    </r>
    <r>
      <rPr>
        <sz val="10"/>
        <rFont val="宋体"/>
        <family val="3"/>
        <charset val="134"/>
      </rPr>
      <t>实际值</t>
    </r>
    <r>
      <rPr>
        <sz val="10"/>
        <rFont val="Arial"/>
        <family val="2"/>
      </rPr>
      <t>)</t>
    </r>
    <phoneticPr fontId="2" type="noConversion"/>
  </si>
  <si>
    <t>表6-2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</si>
</sst>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8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2"/>
      <charset val="134"/>
    </font>
    <font>
      <b/>
      <sz val="10"/>
      <name val="Arial"/>
      <family val="2"/>
      <charset val="134"/>
    </font>
    <font>
      <b/>
      <sz val="10"/>
      <name val="等线"/>
      <family val="2"/>
      <charset val="134"/>
    </font>
    <font>
      <b/>
      <sz val="10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165" fontId="7" fillId="0" borderId="1" xfId="0" applyNumberFormat="1" applyFont="1" applyBorder="1"/>
    <xf numFmtId="0" fontId="0" fillId="3" borderId="0" xfId="0" applyFill="1"/>
    <xf numFmtId="0" fontId="1" fillId="3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0" fontId="1" fillId="3" borderId="0" xfId="0" applyFont="1" applyFill="1" applyBorder="1" applyAlignment="1"/>
    <xf numFmtId="0" fontId="1" fillId="3" borderId="2" xfId="0" applyFont="1" applyFill="1" applyBorder="1" applyAlignment="1"/>
    <xf numFmtId="0" fontId="0" fillId="3" borderId="2" xfId="0" applyFill="1" applyBorder="1" applyAlignment="1"/>
    <xf numFmtId="0" fontId="1" fillId="3" borderId="3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165" fontId="7" fillId="4" borderId="1" xfId="0" applyNumberFormat="1" applyFont="1" applyFill="1" applyBorder="1"/>
    <xf numFmtId="0" fontId="0" fillId="4" borderId="1" xfId="0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7DE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食品烟酒类的关系图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散点图!$B$2:$B$73</c:f>
              <c:numCache>
                <c:formatCode>0.0</c:formatCode>
                <c:ptCount val="31"/>
                <c:pt idx="0">
                  <c:v>100.17</c:v>
                </c:pt>
                <c:pt idx="1">
                  <c:v>103.62</c:v>
                </c:pt>
                <c:pt idx="2">
                  <c:v>102.03</c:v>
                </c:pt>
                <c:pt idx="3">
                  <c:v>101.09</c:v>
                </c:pt>
                <c:pt idx="4">
                  <c:v>100.7</c:v>
                </c:pt>
                <c:pt idx="5">
                  <c:v>100.84</c:v>
                </c:pt>
                <c:pt idx="6">
                  <c:v>101.04</c:v>
                </c:pt>
                <c:pt idx="7">
                  <c:v>101.85</c:v>
                </c:pt>
                <c:pt idx="8">
                  <c:v>103.04</c:v>
                </c:pt>
                <c:pt idx="9">
                  <c:v>102.94</c:v>
                </c:pt>
                <c:pt idx="10">
                  <c:v>102.46</c:v>
                </c:pt>
                <c:pt idx="11">
                  <c:v>102.43</c:v>
                </c:pt>
                <c:pt idx="12">
                  <c:v>102.04</c:v>
                </c:pt>
                <c:pt idx="13">
                  <c:v>101.22</c:v>
                </c:pt>
                <c:pt idx="14">
                  <c:v>103.48</c:v>
                </c:pt>
                <c:pt idx="15">
                  <c:v>104.75</c:v>
                </c:pt>
                <c:pt idx="16">
                  <c:v>105.76</c:v>
                </c:pt>
                <c:pt idx="17">
                  <c:v>106.15</c:v>
                </c:pt>
                <c:pt idx="18">
                  <c:v>106.69</c:v>
                </c:pt>
                <c:pt idx="19">
                  <c:v>107.28</c:v>
                </c:pt>
                <c:pt idx="20">
                  <c:v>108.39</c:v>
                </c:pt>
                <c:pt idx="21">
                  <c:v>111.38</c:v>
                </c:pt>
                <c:pt idx="22">
                  <c:v>113.93</c:v>
                </c:pt>
                <c:pt idx="23">
                  <c:v>112.9</c:v>
                </c:pt>
                <c:pt idx="24">
                  <c:v>115.15</c:v>
                </c:pt>
                <c:pt idx="25">
                  <c:v>116.01</c:v>
                </c:pt>
                <c:pt idx="26">
                  <c:v>113.59</c:v>
                </c:pt>
                <c:pt idx="27">
                  <c:v>111.26</c:v>
                </c:pt>
                <c:pt idx="28">
                  <c:v>108.47</c:v>
                </c:pt>
                <c:pt idx="29">
                  <c:v>108.77</c:v>
                </c:pt>
                <c:pt idx="30">
                  <c:v>98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9A-468B-BED5-DA02E105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441136"/>
        <c:axId val="1354439056"/>
      </c:scatterChart>
      <c:valAx>
        <c:axId val="135444113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39056"/>
        <c:crosses val="autoZero"/>
        <c:crossBetween val="midCat"/>
      </c:valAx>
      <c:valAx>
        <c:axId val="1354439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4113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居住类的关系图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散点图!$C$2:$C$73</c:f>
              <c:numCache>
                <c:formatCode>0.0</c:formatCode>
                <c:ptCount val="31"/>
                <c:pt idx="0">
                  <c:v>102.66</c:v>
                </c:pt>
                <c:pt idx="1">
                  <c:v>102.24</c:v>
                </c:pt>
                <c:pt idx="2">
                  <c:v>102.24</c:v>
                </c:pt>
                <c:pt idx="3">
                  <c:v>102.25</c:v>
                </c:pt>
                <c:pt idx="4">
                  <c:v>102.24</c:v>
                </c:pt>
                <c:pt idx="5">
                  <c:v>102.26</c:v>
                </c:pt>
                <c:pt idx="6">
                  <c:v>102.37</c:v>
                </c:pt>
                <c:pt idx="7">
                  <c:v>102.54</c:v>
                </c:pt>
                <c:pt idx="8">
                  <c:v>102.58</c:v>
                </c:pt>
                <c:pt idx="9">
                  <c:v>102.54</c:v>
                </c:pt>
                <c:pt idx="10">
                  <c:v>102.38</c:v>
                </c:pt>
                <c:pt idx="11">
                  <c:v>102.22</c:v>
                </c:pt>
                <c:pt idx="12">
                  <c:v>102.07</c:v>
                </c:pt>
                <c:pt idx="13">
                  <c:v>102.21</c:v>
                </c:pt>
                <c:pt idx="14">
                  <c:v>102.06</c:v>
                </c:pt>
                <c:pt idx="15">
                  <c:v>101.96</c:v>
                </c:pt>
                <c:pt idx="16">
                  <c:v>101.82</c:v>
                </c:pt>
                <c:pt idx="17">
                  <c:v>101.59</c:v>
                </c:pt>
                <c:pt idx="18">
                  <c:v>101.45</c:v>
                </c:pt>
                <c:pt idx="19">
                  <c:v>101.04</c:v>
                </c:pt>
                <c:pt idx="20">
                  <c:v>100.73</c:v>
                </c:pt>
                <c:pt idx="21">
                  <c:v>100.52</c:v>
                </c:pt>
                <c:pt idx="22">
                  <c:v>100.43</c:v>
                </c:pt>
                <c:pt idx="23">
                  <c:v>100.52</c:v>
                </c:pt>
                <c:pt idx="24">
                  <c:v>100.51</c:v>
                </c:pt>
                <c:pt idx="25">
                  <c:v>100.26</c:v>
                </c:pt>
                <c:pt idx="26">
                  <c:v>99.89</c:v>
                </c:pt>
                <c:pt idx="27">
                  <c:v>99.66</c:v>
                </c:pt>
                <c:pt idx="28">
                  <c:v>99.53</c:v>
                </c:pt>
                <c:pt idx="29">
                  <c:v>99.41</c:v>
                </c:pt>
                <c:pt idx="30">
                  <c:v>100.3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A-48CA-90D8-A506C9FDB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195408"/>
        <c:axId val="1395194576"/>
      </c:scatterChart>
      <c:valAx>
        <c:axId val="1395195408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4576"/>
        <c:crosses val="autoZero"/>
        <c:crossBetween val="midCat"/>
      </c:valAx>
      <c:valAx>
        <c:axId val="139519457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教育文化和娱乐的关系图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散点图!$D$2:$D$73</c:f>
              <c:numCache>
                <c:formatCode>0.0</c:formatCode>
                <c:ptCount val="31"/>
                <c:pt idx="0">
                  <c:v>100.91</c:v>
                </c:pt>
                <c:pt idx="1">
                  <c:v>103.7</c:v>
                </c:pt>
                <c:pt idx="2">
                  <c:v>102.16</c:v>
                </c:pt>
                <c:pt idx="3">
                  <c:v>102.04</c:v>
                </c:pt>
                <c:pt idx="4">
                  <c:v>101.91</c:v>
                </c:pt>
                <c:pt idx="5">
                  <c:v>101.85</c:v>
                </c:pt>
                <c:pt idx="6">
                  <c:v>102.33</c:v>
                </c:pt>
                <c:pt idx="7">
                  <c:v>102.61</c:v>
                </c:pt>
                <c:pt idx="8">
                  <c:v>102.17</c:v>
                </c:pt>
                <c:pt idx="9">
                  <c:v>102.49</c:v>
                </c:pt>
                <c:pt idx="10">
                  <c:v>102.47</c:v>
                </c:pt>
                <c:pt idx="11">
                  <c:v>102.35</c:v>
                </c:pt>
                <c:pt idx="12">
                  <c:v>102.88</c:v>
                </c:pt>
                <c:pt idx="13">
                  <c:v>102.36</c:v>
                </c:pt>
                <c:pt idx="14">
                  <c:v>102.42</c:v>
                </c:pt>
                <c:pt idx="15">
                  <c:v>102.52</c:v>
                </c:pt>
                <c:pt idx="16">
                  <c:v>102.59</c:v>
                </c:pt>
                <c:pt idx="17">
                  <c:v>102.4</c:v>
                </c:pt>
                <c:pt idx="18">
                  <c:v>102.25</c:v>
                </c:pt>
                <c:pt idx="19">
                  <c:v>102.12</c:v>
                </c:pt>
                <c:pt idx="20">
                  <c:v>101.75</c:v>
                </c:pt>
                <c:pt idx="21">
                  <c:v>101.91</c:v>
                </c:pt>
                <c:pt idx="22">
                  <c:v>101.74</c:v>
                </c:pt>
                <c:pt idx="23">
                  <c:v>101.81</c:v>
                </c:pt>
                <c:pt idx="24">
                  <c:v>102.23</c:v>
                </c:pt>
                <c:pt idx="25">
                  <c:v>100.95</c:v>
                </c:pt>
                <c:pt idx="26">
                  <c:v>102.53</c:v>
                </c:pt>
                <c:pt idx="27">
                  <c:v>102</c:v>
                </c:pt>
                <c:pt idx="28">
                  <c:v>102.2</c:v>
                </c:pt>
                <c:pt idx="29">
                  <c:v>101.9</c:v>
                </c:pt>
                <c:pt idx="30">
                  <c:v>101.8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03-4D2F-B175-BDD34B5D5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81136"/>
        <c:axId val="1399779056"/>
      </c:scatterChart>
      <c:valAx>
        <c:axId val="139978113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9056"/>
        <c:crosses val="autoZero"/>
        <c:crossBetween val="midCat"/>
      </c:valAx>
      <c:valAx>
        <c:axId val="1399779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医疗保健的关系图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散点图!$E$2:$E$73</c:f>
              <c:numCache>
                <c:formatCode>0.0</c:formatCode>
                <c:ptCount val="31"/>
                <c:pt idx="0">
                  <c:v>106.16</c:v>
                </c:pt>
                <c:pt idx="1">
                  <c:v>106.03</c:v>
                </c:pt>
                <c:pt idx="2">
                  <c:v>105.74</c:v>
                </c:pt>
                <c:pt idx="3">
                  <c:v>105.22</c:v>
                </c:pt>
                <c:pt idx="4">
                  <c:v>105.09</c:v>
                </c:pt>
                <c:pt idx="5">
                  <c:v>104.95</c:v>
                </c:pt>
                <c:pt idx="6">
                  <c:v>104.64</c:v>
                </c:pt>
                <c:pt idx="7">
                  <c:v>104.28</c:v>
                </c:pt>
                <c:pt idx="8">
                  <c:v>102.65</c:v>
                </c:pt>
                <c:pt idx="9">
                  <c:v>102.57</c:v>
                </c:pt>
                <c:pt idx="10">
                  <c:v>102.56</c:v>
                </c:pt>
                <c:pt idx="11">
                  <c:v>102.54</c:v>
                </c:pt>
                <c:pt idx="12">
                  <c:v>102.66</c:v>
                </c:pt>
                <c:pt idx="13">
                  <c:v>102.75</c:v>
                </c:pt>
                <c:pt idx="14">
                  <c:v>102.68</c:v>
                </c:pt>
                <c:pt idx="15">
                  <c:v>102.59</c:v>
                </c:pt>
                <c:pt idx="16">
                  <c:v>102.46</c:v>
                </c:pt>
                <c:pt idx="17">
                  <c:v>102.54</c:v>
                </c:pt>
                <c:pt idx="18">
                  <c:v>102.57</c:v>
                </c:pt>
                <c:pt idx="19">
                  <c:v>102.35</c:v>
                </c:pt>
                <c:pt idx="20">
                  <c:v>102.21</c:v>
                </c:pt>
                <c:pt idx="21">
                  <c:v>102.11</c:v>
                </c:pt>
                <c:pt idx="22">
                  <c:v>102.01</c:v>
                </c:pt>
                <c:pt idx="23">
                  <c:v>102.06</c:v>
                </c:pt>
                <c:pt idx="24">
                  <c:v>102.26</c:v>
                </c:pt>
                <c:pt idx="25">
                  <c:v>102.15</c:v>
                </c:pt>
                <c:pt idx="26">
                  <c:v>102.17</c:v>
                </c:pt>
                <c:pt idx="27">
                  <c:v>102.25</c:v>
                </c:pt>
                <c:pt idx="28">
                  <c:v>102.12</c:v>
                </c:pt>
                <c:pt idx="29">
                  <c:v>101.85</c:v>
                </c:pt>
                <c:pt idx="30">
                  <c:v>101.4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82-4F2C-B26D-5BDCE08A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61456"/>
        <c:axId val="1363255216"/>
      </c:scatterChart>
      <c:valAx>
        <c:axId val="136326145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55216"/>
        <c:crosses val="autoZero"/>
        <c:crossBetween val="midCat"/>
      </c:valAx>
      <c:valAx>
        <c:axId val="13632552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6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0</xdr:row>
      <xdr:rowOff>63500</xdr:rowOff>
    </xdr:from>
    <xdr:to>
      <xdr:col>15</xdr:col>
      <xdr:colOff>288926</xdr:colOff>
      <xdr:row>7</xdr:row>
      <xdr:rowOff>120650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CCF4176-666C-4241-B6EA-54DDACC8E028}"/>
            </a:ext>
          </a:extLst>
        </xdr:cNvPr>
        <xdr:cNvSpPr txBox="1"/>
      </xdr:nvSpPr>
      <xdr:spPr>
        <a:xfrm>
          <a:off x="3689350" y="63500"/>
          <a:ext cx="5743576" cy="11684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根据中国统计年鉴汇总了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月至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2023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月共计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个月全国的居民消费价格指数（单位：上年同月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=100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），选取了其中的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种价格指数与总的居民消费价格指数。这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种价格指数分别为：食品烟酒类、居住类、教育文化和娱乐、医疗保健类。查询的数据示例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只展示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如表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所示，根据这些数据建立多元线性回归模型，并分析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种价格指数对居民消费价格指数的影响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44450</xdr:colOff>
      <xdr:row>1</xdr:row>
      <xdr:rowOff>44450</xdr:rowOff>
    </xdr:from>
    <xdr:to>
      <xdr:col>5</xdr:col>
      <xdr:colOff>501650</xdr:colOff>
      <xdr:row>29</xdr:row>
      <xdr:rowOff>106974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423420F-E7DA-4F2A-A5F9-20C9DF17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03200"/>
          <a:ext cx="3505200" cy="4507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38100</xdr:colOff>
      <xdr:row>12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F18FF2-99A1-44E5-99AB-AD00608CD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0</xdr:row>
      <xdr:rowOff>0</xdr:rowOff>
    </xdr:from>
    <xdr:to>
      <xdr:col>21</xdr:col>
      <xdr:colOff>76200</xdr:colOff>
      <xdr:row>12</xdr:row>
      <xdr:rowOff>142875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DD3B116-BCB0-4A85-94DF-260C73F43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12</xdr:row>
      <xdr:rowOff>152400</xdr:rowOff>
    </xdr:from>
    <xdr:to>
      <xdr:col>14</xdr:col>
      <xdr:colOff>47625</xdr:colOff>
      <xdr:row>29</xdr:row>
      <xdr:rowOff>142875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2AAE486-0E90-42C8-952B-B20D41D0A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52387</xdr:colOff>
      <xdr:row>12</xdr:row>
      <xdr:rowOff>142875</xdr:rowOff>
    </xdr:from>
    <xdr:to>
      <xdr:col>21</xdr:col>
      <xdr:colOff>90487</xdr:colOff>
      <xdr:row>29</xdr:row>
      <xdr:rowOff>133350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BC39150F-69B2-4F01-BA92-BB44C023A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95250</xdr:colOff>
      <xdr:row>1</xdr:row>
      <xdr:rowOff>157163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C1C5583-19A3-4451-AF52-414F157C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7988" y="161925"/>
          <a:ext cx="33337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DA69-7DDC-4B50-B4E2-650F8E023FB5}">
  <dimension ref="A1:B1"/>
  <sheetViews>
    <sheetView workbookViewId="0">
      <selection activeCell="G33" sqref="G33"/>
    </sheetView>
  </sheetViews>
  <sheetFormatPr defaultRowHeight="13.2"/>
  <sheetData>
    <row r="1" spans="1:2">
      <c r="A1" s="29" t="s">
        <v>143</v>
      </c>
      <c r="B1" s="30"/>
    </row>
  </sheetData>
  <mergeCells count="1">
    <mergeCell ref="A1:B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zoomScale="85" zoomScaleNormal="85" workbookViewId="0">
      <selection activeCell="J75" sqref="J75"/>
    </sheetView>
  </sheetViews>
  <sheetFormatPr defaultRowHeight="13.2"/>
  <cols>
    <col min="1" max="1" width="9.109375" style="1"/>
    <col min="2" max="6" width="10.77734375" customWidth="1"/>
  </cols>
  <sheetData>
    <row r="1" spans="1:6" s="1" customFormat="1" ht="66">
      <c r="A1" s="3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</row>
    <row r="2" spans="1:6">
      <c r="A2" s="4" t="s">
        <v>0</v>
      </c>
      <c r="B2" s="5">
        <v>100.17</v>
      </c>
      <c r="C2" s="5">
        <v>102.66</v>
      </c>
      <c r="D2" s="5">
        <v>100.91</v>
      </c>
      <c r="E2" s="5">
        <v>106.16</v>
      </c>
      <c r="F2" s="5">
        <v>101.47</v>
      </c>
    </row>
    <row r="3" spans="1:6">
      <c r="A3" s="4" t="s">
        <v>1</v>
      </c>
      <c r="B3" s="5">
        <v>103.62</v>
      </c>
      <c r="C3" s="5">
        <v>102.24</v>
      </c>
      <c r="D3" s="5">
        <v>103.7</v>
      </c>
      <c r="E3" s="5">
        <v>106.03</v>
      </c>
      <c r="F3" s="5">
        <v>102.9</v>
      </c>
    </row>
    <row r="4" spans="1:6">
      <c r="A4" s="4" t="s">
        <v>2</v>
      </c>
      <c r="B4" s="5">
        <v>102.03</v>
      </c>
      <c r="C4" s="5">
        <v>102.24</v>
      </c>
      <c r="D4" s="5">
        <v>102.16</v>
      </c>
      <c r="E4" s="5">
        <v>105.74</v>
      </c>
      <c r="F4" s="5">
        <v>102.06</v>
      </c>
    </row>
    <row r="5" spans="1:6">
      <c r="A5" s="4" t="s">
        <v>3</v>
      </c>
      <c r="B5" s="5">
        <v>101.09</v>
      </c>
      <c r="C5" s="5">
        <v>102.25</v>
      </c>
      <c r="D5" s="5">
        <v>102.04</v>
      </c>
      <c r="E5" s="5">
        <v>105.22</v>
      </c>
      <c r="F5" s="5">
        <v>101.8</v>
      </c>
    </row>
    <row r="6" spans="1:6">
      <c r="A6" s="4" t="s">
        <v>4</v>
      </c>
      <c r="B6" s="5">
        <v>100.7</v>
      </c>
      <c r="C6" s="5">
        <v>102.24</v>
      </c>
      <c r="D6" s="5">
        <v>101.91</v>
      </c>
      <c r="E6" s="5">
        <v>105.09</v>
      </c>
      <c r="F6" s="5">
        <v>101.75</v>
      </c>
    </row>
    <row r="7" spans="1:6">
      <c r="A7" s="4" t="s">
        <v>5</v>
      </c>
      <c r="B7" s="5">
        <v>100.84</v>
      </c>
      <c r="C7" s="5">
        <v>102.26</v>
      </c>
      <c r="D7" s="5">
        <v>101.85</v>
      </c>
      <c r="E7" s="5">
        <v>104.95</v>
      </c>
      <c r="F7" s="5">
        <v>101.85</v>
      </c>
    </row>
    <row r="8" spans="1:6">
      <c r="A8" s="4" t="s">
        <v>6</v>
      </c>
      <c r="B8" s="5">
        <v>101.04</v>
      </c>
      <c r="C8" s="5">
        <v>102.37</v>
      </c>
      <c r="D8" s="5">
        <v>102.33</v>
      </c>
      <c r="E8" s="5">
        <v>104.64</v>
      </c>
      <c r="F8" s="5">
        <v>102.06</v>
      </c>
    </row>
    <row r="9" spans="1:6">
      <c r="A9" s="4" t="s">
        <v>7</v>
      </c>
      <c r="B9" s="5">
        <v>101.85</v>
      </c>
      <c r="C9" s="5">
        <v>102.54</v>
      </c>
      <c r="D9" s="5">
        <v>102.61</v>
      </c>
      <c r="E9" s="5">
        <v>104.28</v>
      </c>
      <c r="F9" s="5">
        <v>102.3</v>
      </c>
    </row>
    <row r="10" spans="1:6">
      <c r="A10" s="4" t="s">
        <v>8</v>
      </c>
      <c r="B10" s="5">
        <v>103.04</v>
      </c>
      <c r="C10" s="5">
        <v>102.58</v>
      </c>
      <c r="D10" s="5">
        <v>102.17</v>
      </c>
      <c r="E10" s="5">
        <v>102.65</v>
      </c>
      <c r="F10" s="5">
        <v>102.47</v>
      </c>
    </row>
    <row r="11" spans="1:6">
      <c r="A11" s="4" t="s">
        <v>9</v>
      </c>
      <c r="B11" s="5">
        <v>102.94</v>
      </c>
      <c r="C11" s="5">
        <v>102.54</v>
      </c>
      <c r="D11" s="5">
        <v>102.49</v>
      </c>
      <c r="E11" s="5">
        <v>102.57</v>
      </c>
      <c r="F11" s="5">
        <v>102.54</v>
      </c>
    </row>
    <row r="12" spans="1:6">
      <c r="A12" s="4" t="s">
        <v>10</v>
      </c>
      <c r="B12" s="5">
        <v>102.46</v>
      </c>
      <c r="C12" s="5">
        <v>102.38</v>
      </c>
      <c r="D12" s="5">
        <v>102.47</v>
      </c>
      <c r="E12" s="5">
        <v>102.56</v>
      </c>
      <c r="F12" s="5">
        <v>102.18</v>
      </c>
    </row>
    <row r="13" spans="1:6">
      <c r="A13" s="4" t="s">
        <v>11</v>
      </c>
      <c r="B13" s="5">
        <v>102.43</v>
      </c>
      <c r="C13" s="5">
        <v>102.22</v>
      </c>
      <c r="D13" s="5">
        <v>102.35</v>
      </c>
      <c r="E13" s="5">
        <v>102.54</v>
      </c>
      <c r="F13" s="5">
        <v>101.86</v>
      </c>
    </row>
    <row r="14" spans="1:6">
      <c r="A14" s="4" t="s">
        <v>12</v>
      </c>
      <c r="B14" s="5">
        <v>102.04</v>
      </c>
      <c r="C14" s="5">
        <v>102.07</v>
      </c>
      <c r="D14" s="5">
        <v>102.88</v>
      </c>
      <c r="E14" s="5">
        <v>102.66</v>
      </c>
      <c r="F14" s="5">
        <v>101.74</v>
      </c>
    </row>
    <row r="15" spans="1:6">
      <c r="A15" s="4" t="s">
        <v>13</v>
      </c>
      <c r="B15" s="5">
        <v>101.22</v>
      </c>
      <c r="C15" s="5">
        <v>102.21</v>
      </c>
      <c r="D15" s="5">
        <v>102.36</v>
      </c>
      <c r="E15" s="5">
        <v>102.75</v>
      </c>
      <c r="F15" s="5">
        <v>101.49</v>
      </c>
    </row>
    <row r="16" spans="1:6">
      <c r="A16" s="4" t="s">
        <v>14</v>
      </c>
      <c r="B16" s="5">
        <v>103.48</v>
      </c>
      <c r="C16" s="5">
        <v>102.06</v>
      </c>
      <c r="D16" s="5">
        <v>102.42</v>
      </c>
      <c r="E16" s="5">
        <v>102.68</v>
      </c>
      <c r="F16" s="5">
        <v>102.28</v>
      </c>
    </row>
    <row r="17" spans="1:6">
      <c r="A17" s="4" t="s">
        <v>15</v>
      </c>
      <c r="B17" s="5">
        <v>104.75</v>
      </c>
      <c r="C17" s="5">
        <v>101.96</v>
      </c>
      <c r="D17" s="5">
        <v>102.52</v>
      </c>
      <c r="E17" s="5">
        <v>102.59</v>
      </c>
      <c r="F17" s="5">
        <v>102.54</v>
      </c>
    </row>
    <row r="18" spans="1:6">
      <c r="A18" s="4" t="s">
        <v>16</v>
      </c>
      <c r="B18" s="5">
        <v>105.76</v>
      </c>
      <c r="C18" s="5">
        <v>101.82</v>
      </c>
      <c r="D18" s="5">
        <v>102.59</v>
      </c>
      <c r="E18" s="5">
        <v>102.46</v>
      </c>
      <c r="F18" s="5">
        <v>102.74</v>
      </c>
    </row>
    <row r="19" spans="1:6">
      <c r="A19" s="4" t="s">
        <v>17</v>
      </c>
      <c r="B19" s="5">
        <v>106.15</v>
      </c>
      <c r="C19" s="5">
        <v>101.59</v>
      </c>
      <c r="D19" s="5">
        <v>102.4</v>
      </c>
      <c r="E19" s="5">
        <v>102.54</v>
      </c>
      <c r="F19" s="5">
        <v>102.68</v>
      </c>
    </row>
    <row r="20" spans="1:6">
      <c r="A20" s="4" t="s">
        <v>18</v>
      </c>
      <c r="B20" s="5">
        <v>106.69</v>
      </c>
      <c r="C20" s="5">
        <v>101.45</v>
      </c>
      <c r="D20" s="5">
        <v>102.25</v>
      </c>
      <c r="E20" s="5">
        <v>102.57</v>
      </c>
      <c r="F20" s="5">
        <v>102.78</v>
      </c>
    </row>
    <row r="21" spans="1:6">
      <c r="A21" s="4" t="s">
        <v>19</v>
      </c>
      <c r="B21" s="5">
        <v>107.28</v>
      </c>
      <c r="C21" s="5">
        <v>101.04</v>
      </c>
      <c r="D21" s="5">
        <v>102.12</v>
      </c>
      <c r="E21" s="5">
        <v>102.35</v>
      </c>
      <c r="F21" s="5">
        <v>102.84</v>
      </c>
    </row>
    <row r="22" spans="1:6">
      <c r="A22" s="4" t="s">
        <v>20</v>
      </c>
      <c r="B22" s="5">
        <v>108.39</v>
      </c>
      <c r="C22" s="5">
        <v>100.73</v>
      </c>
      <c r="D22" s="5">
        <v>101.75</v>
      </c>
      <c r="E22" s="5">
        <v>102.21</v>
      </c>
      <c r="F22" s="5">
        <v>103.02</v>
      </c>
    </row>
    <row r="23" spans="1:6">
      <c r="A23" s="4" t="s">
        <v>21</v>
      </c>
      <c r="B23" s="5">
        <v>111.38</v>
      </c>
      <c r="C23" s="5">
        <v>100.52</v>
      </c>
      <c r="D23" s="5">
        <v>101.91</v>
      </c>
      <c r="E23" s="5">
        <v>102.11</v>
      </c>
      <c r="F23" s="5">
        <v>103.76</v>
      </c>
    </row>
    <row r="24" spans="1:6">
      <c r="A24" s="4" t="s">
        <v>22</v>
      </c>
      <c r="B24" s="5">
        <v>113.93</v>
      </c>
      <c r="C24" s="5">
        <v>100.43</v>
      </c>
      <c r="D24" s="5">
        <v>101.74</v>
      </c>
      <c r="E24" s="5">
        <v>102.01</v>
      </c>
      <c r="F24" s="5">
        <v>104.49</v>
      </c>
    </row>
    <row r="25" spans="1:6">
      <c r="A25" s="4" t="s">
        <v>23</v>
      </c>
      <c r="B25" s="5">
        <v>112.9</v>
      </c>
      <c r="C25" s="5">
        <v>100.52</v>
      </c>
      <c r="D25" s="5">
        <v>101.81</v>
      </c>
      <c r="E25" s="5">
        <v>102.06</v>
      </c>
      <c r="F25" s="5">
        <v>104.46</v>
      </c>
    </row>
    <row r="26" spans="1:6">
      <c r="A26" s="4" t="s">
        <v>24</v>
      </c>
      <c r="B26" s="5">
        <v>115.15</v>
      </c>
      <c r="C26" s="5">
        <v>100.51</v>
      </c>
      <c r="D26" s="5">
        <v>102.23</v>
      </c>
      <c r="E26" s="5">
        <v>102.26</v>
      </c>
      <c r="F26" s="5">
        <v>105.38</v>
      </c>
    </row>
    <row r="27" spans="1:6">
      <c r="A27" s="4" t="s">
        <v>25</v>
      </c>
      <c r="B27" s="5">
        <v>116.01</v>
      </c>
      <c r="C27" s="5">
        <v>100.26</v>
      </c>
      <c r="D27" s="5">
        <v>100.95</v>
      </c>
      <c r="E27" s="5">
        <v>102.15</v>
      </c>
      <c r="F27" s="5">
        <v>105.17</v>
      </c>
    </row>
    <row r="28" spans="1:6">
      <c r="A28" s="4" t="s">
        <v>26</v>
      </c>
      <c r="B28" s="5">
        <v>113.59</v>
      </c>
      <c r="C28" s="5">
        <v>99.89</v>
      </c>
      <c r="D28" s="5">
        <v>102.53</v>
      </c>
      <c r="E28" s="5">
        <v>102.17</v>
      </c>
      <c r="F28" s="5">
        <v>104.27</v>
      </c>
    </row>
    <row r="29" spans="1:6">
      <c r="A29" s="4" t="s">
        <v>27</v>
      </c>
      <c r="B29" s="5">
        <v>111.26</v>
      </c>
      <c r="C29" s="5">
        <v>99.66</v>
      </c>
      <c r="D29" s="5">
        <v>102</v>
      </c>
      <c r="E29" s="5">
        <v>102.25</v>
      </c>
      <c r="F29" s="5">
        <v>103.29</v>
      </c>
    </row>
    <row r="30" spans="1:6">
      <c r="A30" s="4" t="s">
        <v>28</v>
      </c>
      <c r="B30" s="5">
        <v>108.47</v>
      </c>
      <c r="C30" s="5">
        <v>99.53</v>
      </c>
      <c r="D30" s="5">
        <v>102.2</v>
      </c>
      <c r="E30" s="5">
        <v>102.12</v>
      </c>
      <c r="F30" s="5">
        <v>102.44</v>
      </c>
    </row>
    <row r="31" spans="1:6">
      <c r="A31" s="4" t="s">
        <v>29</v>
      </c>
      <c r="B31" s="5">
        <v>108.77</v>
      </c>
      <c r="C31" s="5">
        <v>99.41</v>
      </c>
      <c r="D31" s="5">
        <v>101.9</v>
      </c>
      <c r="E31" s="5">
        <v>101.85</v>
      </c>
      <c r="F31" s="5">
        <v>102.48</v>
      </c>
    </row>
    <row r="32" spans="1:6" hidden="1">
      <c r="A32" s="4" t="s">
        <v>30</v>
      </c>
      <c r="B32" s="5">
        <v>110.16</v>
      </c>
      <c r="C32" s="5">
        <v>99.28</v>
      </c>
      <c r="D32" s="5">
        <v>100.32</v>
      </c>
      <c r="E32" s="5">
        <v>101.61</v>
      </c>
      <c r="F32" s="5">
        <v>102.7</v>
      </c>
    </row>
    <row r="33" spans="1:6" hidden="1">
      <c r="A33" s="4" t="s">
        <v>31</v>
      </c>
      <c r="B33" s="5">
        <v>108.83</v>
      </c>
      <c r="C33" s="5">
        <v>99.25</v>
      </c>
      <c r="D33" s="5">
        <v>99.97</v>
      </c>
      <c r="E33" s="5">
        <v>101.52</v>
      </c>
      <c r="F33" s="5">
        <v>102.38</v>
      </c>
    </row>
    <row r="34" spans="1:6" hidden="1">
      <c r="A34" s="4" t="s">
        <v>32</v>
      </c>
      <c r="B34" s="5">
        <v>106.4</v>
      </c>
      <c r="C34" s="5">
        <v>99.2</v>
      </c>
      <c r="D34" s="5">
        <v>100.7</v>
      </c>
      <c r="E34" s="5">
        <v>101.5</v>
      </c>
      <c r="F34" s="5">
        <v>101.7</v>
      </c>
    </row>
    <row r="35" spans="1:6" hidden="1">
      <c r="A35" s="4" t="s">
        <v>33</v>
      </c>
      <c r="B35" s="5">
        <v>102.4</v>
      </c>
      <c r="C35" s="5">
        <v>99.3</v>
      </c>
      <c r="D35" s="5">
        <v>101.1</v>
      </c>
      <c r="E35" s="5">
        <v>101.5</v>
      </c>
      <c r="F35" s="5">
        <v>100.5</v>
      </c>
    </row>
    <row r="36" spans="1:6" hidden="1">
      <c r="A36" s="4" t="s">
        <v>34</v>
      </c>
      <c r="B36" s="5">
        <v>99.3</v>
      </c>
      <c r="C36" s="5">
        <v>99.4</v>
      </c>
      <c r="D36" s="5">
        <v>101</v>
      </c>
      <c r="E36" s="5">
        <v>101.5</v>
      </c>
      <c r="F36" s="5">
        <v>99.5</v>
      </c>
    </row>
    <row r="37" spans="1:6" hidden="1">
      <c r="A37" s="4" t="s">
        <v>35</v>
      </c>
      <c r="B37" s="5">
        <v>101.4</v>
      </c>
      <c r="C37" s="5">
        <v>99.4</v>
      </c>
      <c r="D37" s="5">
        <v>100.9</v>
      </c>
      <c r="E37" s="5">
        <v>101.3</v>
      </c>
      <c r="F37" s="5">
        <v>100.2</v>
      </c>
    </row>
    <row r="38" spans="1:6" hidden="1">
      <c r="A38" s="4" t="s">
        <v>36</v>
      </c>
      <c r="B38" s="5">
        <v>101.4</v>
      </c>
      <c r="C38" s="5">
        <v>99.6</v>
      </c>
      <c r="D38" s="5">
        <v>100</v>
      </c>
      <c r="E38" s="5">
        <v>100.4</v>
      </c>
      <c r="F38" s="5">
        <v>99.7</v>
      </c>
    </row>
    <row r="39" spans="1:6" hidden="1">
      <c r="A39" s="4" t="s">
        <v>37</v>
      </c>
      <c r="B39" s="5">
        <v>100.3</v>
      </c>
      <c r="C39" s="5">
        <v>99.7</v>
      </c>
      <c r="D39" s="5">
        <v>100.6</v>
      </c>
      <c r="E39" s="5">
        <v>100.3</v>
      </c>
      <c r="F39" s="5">
        <v>99.8</v>
      </c>
    </row>
    <row r="40" spans="1:6" hidden="1">
      <c r="A40" s="4" t="s">
        <v>38</v>
      </c>
      <c r="B40" s="5">
        <v>100.1</v>
      </c>
      <c r="C40" s="5">
        <v>100.2</v>
      </c>
      <c r="D40" s="5">
        <v>100.4</v>
      </c>
      <c r="E40" s="5">
        <v>100.2</v>
      </c>
      <c r="F40" s="5">
        <v>100.4</v>
      </c>
    </row>
    <row r="41" spans="1:6" hidden="1">
      <c r="A41" s="4" t="s">
        <v>39</v>
      </c>
      <c r="B41" s="5">
        <v>100.1</v>
      </c>
      <c r="C41" s="5">
        <v>100.4</v>
      </c>
      <c r="D41" s="5">
        <v>101.3</v>
      </c>
      <c r="E41" s="5">
        <v>100.1</v>
      </c>
      <c r="F41" s="5">
        <v>100.9</v>
      </c>
    </row>
    <row r="42" spans="1:6" hidden="1">
      <c r="A42" s="4" t="s">
        <v>40</v>
      </c>
      <c r="B42" s="5">
        <v>100.8</v>
      </c>
      <c r="C42" s="5">
        <v>100.7</v>
      </c>
      <c r="D42" s="5">
        <v>101.5</v>
      </c>
      <c r="E42" s="5">
        <v>100.2</v>
      </c>
      <c r="F42" s="5">
        <v>101.3</v>
      </c>
    </row>
    <row r="43" spans="1:6" hidden="1">
      <c r="A43" s="4" t="s">
        <v>41</v>
      </c>
      <c r="B43" s="5">
        <v>99.6</v>
      </c>
      <c r="C43" s="5">
        <v>100.9</v>
      </c>
      <c r="D43" s="5">
        <v>101.5</v>
      </c>
      <c r="E43" s="5">
        <v>100.3</v>
      </c>
      <c r="F43" s="5">
        <v>101.1</v>
      </c>
    </row>
    <row r="44" spans="1:6" hidden="1">
      <c r="A44" s="4" t="s">
        <v>42</v>
      </c>
      <c r="B44" s="5">
        <v>98.2</v>
      </c>
      <c r="C44" s="5">
        <v>101.1</v>
      </c>
      <c r="D44" s="5">
        <v>102.7</v>
      </c>
      <c r="E44" s="5">
        <v>100.4</v>
      </c>
      <c r="F44" s="5">
        <v>101</v>
      </c>
    </row>
    <row r="45" spans="1:6" hidden="1">
      <c r="A45" s="4" t="s">
        <v>43</v>
      </c>
      <c r="B45" s="5">
        <v>98</v>
      </c>
      <c r="C45" s="5">
        <v>101.1</v>
      </c>
      <c r="D45" s="5">
        <v>103</v>
      </c>
      <c r="E45" s="5">
        <v>100.4</v>
      </c>
      <c r="F45" s="5">
        <v>100.8</v>
      </c>
    </row>
    <row r="46" spans="1:6" hidden="1">
      <c r="A46" s="4" t="s">
        <v>44</v>
      </c>
      <c r="B46" s="5">
        <v>97.2</v>
      </c>
      <c r="C46" s="5">
        <v>101.3</v>
      </c>
      <c r="D46" s="5">
        <v>103.2</v>
      </c>
      <c r="E46" s="5">
        <v>100.4</v>
      </c>
      <c r="F46" s="5">
        <v>100.7</v>
      </c>
    </row>
    <row r="47" spans="1:6" hidden="1">
      <c r="A47" s="4" t="s">
        <v>45</v>
      </c>
      <c r="B47" s="5">
        <v>99.1</v>
      </c>
      <c r="C47" s="5">
        <v>101.7</v>
      </c>
      <c r="D47" s="5">
        <v>102.9</v>
      </c>
      <c r="E47" s="5">
        <v>100.6</v>
      </c>
      <c r="F47" s="5">
        <v>101.5</v>
      </c>
    </row>
    <row r="48" spans="1:6" hidden="1">
      <c r="A48" s="4" t="s">
        <v>46</v>
      </c>
      <c r="B48" s="5">
        <v>101.7</v>
      </c>
      <c r="C48" s="5">
        <v>101.7</v>
      </c>
      <c r="D48" s="5">
        <v>103</v>
      </c>
      <c r="E48" s="5">
        <v>100.6</v>
      </c>
      <c r="F48" s="5">
        <v>102.3</v>
      </c>
    </row>
    <row r="49" spans="1:6" hidden="1">
      <c r="A49" s="4" t="s">
        <v>47</v>
      </c>
      <c r="B49" s="5">
        <v>99.9</v>
      </c>
      <c r="C49" s="5">
        <v>101.6</v>
      </c>
      <c r="D49" s="5">
        <v>103.1</v>
      </c>
      <c r="E49" s="5">
        <v>100.7</v>
      </c>
      <c r="F49" s="5">
        <v>101.5</v>
      </c>
    </row>
    <row r="50" spans="1:6" hidden="1">
      <c r="A50" s="4" t="s">
        <v>48</v>
      </c>
      <c r="B50" s="5">
        <v>98.2</v>
      </c>
      <c r="C50" s="5">
        <v>101.4</v>
      </c>
      <c r="D50" s="5">
        <v>102.9</v>
      </c>
      <c r="E50" s="5">
        <v>100.6</v>
      </c>
      <c r="F50" s="5">
        <v>100.9</v>
      </c>
    </row>
    <row r="51" spans="1:6" hidden="1">
      <c r="A51" s="4" t="s">
        <v>49</v>
      </c>
      <c r="B51" s="5">
        <v>98.2</v>
      </c>
      <c r="C51" s="5">
        <v>101.4</v>
      </c>
      <c r="D51" s="5">
        <v>102.5</v>
      </c>
      <c r="E51" s="5">
        <v>100.6</v>
      </c>
      <c r="F51" s="5">
        <v>100.9</v>
      </c>
    </row>
    <row r="52" spans="1:6" hidden="1">
      <c r="A52" s="4" t="s">
        <v>50</v>
      </c>
      <c r="B52" s="5">
        <v>99.7</v>
      </c>
      <c r="C52" s="5">
        <v>101.3</v>
      </c>
      <c r="D52" s="5">
        <v>102.6</v>
      </c>
      <c r="E52" s="5">
        <v>100.7</v>
      </c>
      <c r="F52" s="5">
        <v>101.5</v>
      </c>
    </row>
    <row r="53" spans="1:6" hidden="1">
      <c r="A53" s="4" t="s">
        <v>51</v>
      </c>
      <c r="B53" s="5">
        <v>101.9</v>
      </c>
      <c r="C53" s="5">
        <v>101.2</v>
      </c>
      <c r="D53" s="5">
        <v>102</v>
      </c>
      <c r="E53" s="5">
        <v>100.7</v>
      </c>
      <c r="F53" s="5">
        <v>102.1</v>
      </c>
    </row>
    <row r="54" spans="1:6" hidden="1">
      <c r="A54" s="4" t="s">
        <v>52</v>
      </c>
      <c r="B54" s="5">
        <v>102.1</v>
      </c>
      <c r="C54" s="5">
        <v>101</v>
      </c>
      <c r="D54" s="5">
        <v>101.8</v>
      </c>
      <c r="E54" s="5">
        <v>100.7</v>
      </c>
      <c r="F54" s="5">
        <v>102.1</v>
      </c>
    </row>
    <row r="55" spans="1:6" hidden="1">
      <c r="A55" s="4" t="s">
        <v>53</v>
      </c>
      <c r="B55" s="5">
        <v>102.5</v>
      </c>
      <c r="C55" s="5">
        <v>100.8</v>
      </c>
      <c r="D55" s="5">
        <v>102.1</v>
      </c>
      <c r="E55" s="5">
        <v>100.7</v>
      </c>
      <c r="F55" s="5">
        <v>102.5</v>
      </c>
    </row>
    <row r="56" spans="1:6" hidden="1">
      <c r="A56" s="4" t="s">
        <v>54</v>
      </c>
      <c r="B56" s="5">
        <v>104.7</v>
      </c>
      <c r="C56" s="5">
        <v>100.7</v>
      </c>
      <c r="D56" s="5">
        <v>101.5</v>
      </c>
      <c r="E56" s="5">
        <v>100.7</v>
      </c>
      <c r="F56" s="5">
        <v>102.7</v>
      </c>
    </row>
    <row r="57" spans="1:6" hidden="1">
      <c r="A57" s="4" t="s">
        <v>55</v>
      </c>
      <c r="B57" s="5">
        <v>104.5</v>
      </c>
      <c r="C57" s="5">
        <v>100.6</v>
      </c>
      <c r="D57" s="5">
        <v>101.6</v>
      </c>
      <c r="E57" s="5">
        <v>100.7</v>
      </c>
      <c r="F57" s="5">
        <v>102.5</v>
      </c>
    </row>
    <row r="58" spans="1:6" hidden="1">
      <c r="A58" s="4" t="s">
        <v>56</v>
      </c>
      <c r="B58" s="5">
        <v>106.3</v>
      </c>
      <c r="C58" s="5">
        <v>100.3</v>
      </c>
      <c r="D58" s="5">
        <v>101.2</v>
      </c>
      <c r="E58" s="5">
        <v>100.7</v>
      </c>
      <c r="F58" s="5">
        <v>102.8</v>
      </c>
    </row>
    <row r="59" spans="1:6" hidden="1">
      <c r="A59" s="4" t="s">
        <v>57</v>
      </c>
      <c r="B59" s="5">
        <v>105.2</v>
      </c>
      <c r="C59" s="5">
        <v>99.8</v>
      </c>
      <c r="D59" s="5">
        <v>101.2</v>
      </c>
      <c r="E59" s="5">
        <v>100.5</v>
      </c>
      <c r="F59" s="5">
        <v>102.1</v>
      </c>
    </row>
    <row r="60" spans="1:6" hidden="1">
      <c r="A60" s="4" t="s">
        <v>58</v>
      </c>
      <c r="B60" s="5">
        <v>103</v>
      </c>
      <c r="C60" s="5">
        <v>99.8</v>
      </c>
      <c r="D60" s="5">
        <v>101.3</v>
      </c>
      <c r="E60" s="5">
        <v>100.5</v>
      </c>
      <c r="F60" s="5">
        <v>101.6</v>
      </c>
    </row>
    <row r="61" spans="1:6" hidden="1">
      <c r="A61" s="4" t="s">
        <v>59</v>
      </c>
      <c r="B61" s="5">
        <v>103.7</v>
      </c>
      <c r="C61" s="5">
        <v>99.8</v>
      </c>
      <c r="D61" s="5">
        <v>101.4</v>
      </c>
      <c r="E61" s="5">
        <v>100.6</v>
      </c>
      <c r="F61" s="5">
        <v>101.8</v>
      </c>
    </row>
    <row r="62" spans="1:6" hidden="1">
      <c r="A62" s="4" t="s">
        <v>60</v>
      </c>
      <c r="B62" s="5">
        <v>104.7</v>
      </c>
      <c r="C62" s="5">
        <v>99.9</v>
      </c>
      <c r="D62" s="5">
        <v>102.4</v>
      </c>
      <c r="E62" s="5">
        <v>100.8</v>
      </c>
      <c r="F62" s="5">
        <v>102.1</v>
      </c>
    </row>
    <row r="63" spans="1:6" hidden="1">
      <c r="A63" s="4" t="s">
        <v>61</v>
      </c>
      <c r="B63" s="5">
        <v>102.1</v>
      </c>
      <c r="C63" s="5">
        <v>99.9</v>
      </c>
      <c r="D63" s="5">
        <v>101.2</v>
      </c>
      <c r="E63" s="5">
        <v>101</v>
      </c>
      <c r="F63" s="5">
        <v>101</v>
      </c>
    </row>
    <row r="64" spans="1:6" hidden="1">
      <c r="A64" s="4" t="s">
        <v>62</v>
      </c>
      <c r="B64" s="5">
        <v>102.1</v>
      </c>
      <c r="C64" s="5">
        <v>99.7</v>
      </c>
      <c r="D64" s="5">
        <v>101.4</v>
      </c>
      <c r="E64" s="5">
        <v>101</v>
      </c>
      <c r="F64" s="5">
        <v>100.7</v>
      </c>
    </row>
    <row r="65" spans="1:6" hidden="1">
      <c r="A65" s="4" t="s">
        <v>63</v>
      </c>
      <c r="B65" s="5">
        <v>100.8</v>
      </c>
      <c r="C65" s="5">
        <v>99.8</v>
      </c>
      <c r="D65" s="5">
        <v>101.9</v>
      </c>
      <c r="E65" s="5">
        <v>101</v>
      </c>
      <c r="F65" s="5">
        <v>100.1</v>
      </c>
    </row>
    <row r="66" spans="1:6" hidden="1">
      <c r="A66" s="4" t="s">
        <v>64</v>
      </c>
      <c r="B66" s="5">
        <v>101.2</v>
      </c>
      <c r="C66" s="5">
        <v>99.8</v>
      </c>
      <c r="D66" s="5">
        <v>101.7</v>
      </c>
      <c r="E66" s="5">
        <v>101.1</v>
      </c>
      <c r="F66" s="5">
        <v>100.2</v>
      </c>
    </row>
    <row r="67" spans="1:6" hidden="1">
      <c r="A67" s="4" t="s">
        <v>65</v>
      </c>
      <c r="B67" s="5">
        <v>102</v>
      </c>
      <c r="C67" s="5">
        <v>100</v>
      </c>
      <c r="D67" s="5">
        <v>101.5</v>
      </c>
      <c r="E67" s="5">
        <v>101.1</v>
      </c>
      <c r="F67" s="5">
        <v>100</v>
      </c>
    </row>
    <row r="68" spans="1:6" hidden="1">
      <c r="A68" s="4" t="s">
        <v>66</v>
      </c>
      <c r="B68" s="5">
        <v>99.5</v>
      </c>
      <c r="C68" s="5">
        <v>100.1</v>
      </c>
      <c r="D68" s="5">
        <v>102.4</v>
      </c>
      <c r="E68" s="5">
        <v>101.2</v>
      </c>
      <c r="F68" s="5">
        <v>99.7</v>
      </c>
    </row>
    <row r="69" spans="1:6" hidden="1">
      <c r="A69" s="4" t="s">
        <v>67</v>
      </c>
      <c r="B69" s="5">
        <v>99.5</v>
      </c>
      <c r="C69" s="5">
        <v>100.1</v>
      </c>
      <c r="D69" s="5">
        <v>102.5</v>
      </c>
      <c r="E69" s="5">
        <v>101.2</v>
      </c>
      <c r="F69" s="5">
        <v>100.1</v>
      </c>
    </row>
    <row r="70" spans="1:6" hidden="1">
      <c r="A70" s="4" t="s">
        <v>68</v>
      </c>
      <c r="B70" s="5">
        <v>98.5</v>
      </c>
      <c r="C70" s="5">
        <v>100.2</v>
      </c>
      <c r="D70" s="5">
        <v>102.5</v>
      </c>
      <c r="E70" s="5">
        <v>101.3</v>
      </c>
      <c r="F70" s="5">
        <v>100</v>
      </c>
    </row>
    <row r="71" spans="1:6" hidden="1">
      <c r="A71" s="4" t="s">
        <v>69</v>
      </c>
      <c r="B71" s="5">
        <v>97.9</v>
      </c>
      <c r="C71" s="5">
        <v>100.3</v>
      </c>
      <c r="D71" s="5">
        <v>102.3</v>
      </c>
      <c r="E71" s="5">
        <v>101.3</v>
      </c>
      <c r="F71" s="5">
        <v>99.8</v>
      </c>
    </row>
    <row r="72" spans="1:6" hidden="1">
      <c r="A72" s="4" t="s">
        <v>70</v>
      </c>
      <c r="B72" s="5">
        <v>97.8</v>
      </c>
      <c r="C72" s="5">
        <v>100.3</v>
      </c>
      <c r="D72" s="5">
        <v>101.8</v>
      </c>
      <c r="E72" s="5">
        <v>101.3</v>
      </c>
      <c r="F72" s="5">
        <v>99.5</v>
      </c>
    </row>
    <row r="73" spans="1:6">
      <c r="A73" s="4" t="s">
        <v>71</v>
      </c>
      <c r="B73" s="5">
        <v>98</v>
      </c>
      <c r="C73" s="5">
        <v>100.3</v>
      </c>
      <c r="D73" s="5">
        <v>101.8</v>
      </c>
      <c r="E73" s="5">
        <v>101.4</v>
      </c>
      <c r="F73" s="5">
        <v>99.7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F24" sqref="F24"/>
    </sheetView>
  </sheetViews>
  <sheetFormatPr defaultRowHeight="13.2"/>
  <sheetData>
    <row r="1" spans="1:9">
      <c r="A1" s="6" t="s">
        <v>129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0.85794579720473474</v>
      </c>
    </row>
    <row r="5" spans="1:9">
      <c r="A5" s="7" t="s">
        <v>104</v>
      </c>
      <c r="B5" s="7">
        <v>0.73607099094126804</v>
      </c>
    </row>
    <row r="6" spans="1:9">
      <c r="A6" s="7" t="s">
        <v>105</v>
      </c>
      <c r="B6" s="7">
        <v>0.732300576526143</v>
      </c>
    </row>
    <row r="7" spans="1:9">
      <c r="A7" s="8" t="s">
        <v>106</v>
      </c>
      <c r="B7" s="7">
        <v>0.68912540845168491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1</v>
      </c>
      <c r="C12" s="7">
        <v>92.710119499840715</v>
      </c>
      <c r="D12" s="7">
        <v>92.710119499840715</v>
      </c>
      <c r="E12" s="7">
        <v>195.22283491930554</v>
      </c>
      <c r="F12" s="7">
        <v>6.2271925999085292E-22</v>
      </c>
    </row>
    <row r="13" spans="1:9">
      <c r="A13" s="8" t="s">
        <v>110</v>
      </c>
      <c r="B13" s="7">
        <v>70</v>
      </c>
      <c r="C13" s="7">
        <v>33.242568000159103</v>
      </c>
      <c r="D13" s="7">
        <v>0.47489382857370149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75.53377964485091</v>
      </c>
      <c r="C17" s="7">
        <v>1.879527451391009</v>
      </c>
      <c r="D17" s="7">
        <v>40.187643755322398</v>
      </c>
      <c r="E17" s="7">
        <v>4.3033410344658054E-50</v>
      </c>
      <c r="F17" s="7">
        <v>71.785180343203962</v>
      </c>
      <c r="G17" s="7">
        <v>79.282378946497857</v>
      </c>
      <c r="H17" s="7">
        <v>71.785180343203962</v>
      </c>
      <c r="I17" s="7">
        <v>79.282378946497857</v>
      </c>
    </row>
    <row r="18" spans="1:9" ht="13.8" thickBot="1">
      <c r="A18" s="9" t="s">
        <v>128</v>
      </c>
      <c r="B18" s="10">
        <v>0.25395687062181699</v>
      </c>
      <c r="C18" s="10">
        <v>1.8175847044290257E-2</v>
      </c>
      <c r="D18" s="10">
        <v>13.972216535657674</v>
      </c>
      <c r="E18" s="10">
        <v>6.2271925999083966E-22</v>
      </c>
      <c r="F18" s="10">
        <v>0.21770628673880787</v>
      </c>
      <c r="G18" s="10">
        <v>0.2902074545048261</v>
      </c>
      <c r="H18" s="10">
        <v>0.21770628673880787</v>
      </c>
      <c r="I18" s="10">
        <v>0.2902074545048261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B6" sqref="B6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0.20258390196753681</v>
      </c>
    </row>
    <row r="5" spans="1:9">
      <c r="A5" s="7" t="s">
        <v>104</v>
      </c>
      <c r="B5" s="7">
        <v>4.1040237336392602E-2</v>
      </c>
    </row>
    <row r="6" spans="1:9">
      <c r="A6" s="7" t="s">
        <v>105</v>
      </c>
      <c r="B6" s="7">
        <v>2.7340812155483899E-2</v>
      </c>
    </row>
    <row r="7" spans="1:9">
      <c r="A7" s="8" t="s">
        <v>106</v>
      </c>
      <c r="B7" s="7">
        <v>1.3135750525724137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1</v>
      </c>
      <c r="C12" s="7">
        <v>5.1691281881564777</v>
      </c>
      <c r="D12" s="7">
        <v>5.1691281881564777</v>
      </c>
      <c r="E12" s="7">
        <v>2.9957634568190241</v>
      </c>
      <c r="F12" s="7">
        <v>8.7888618740602387E-2</v>
      </c>
    </row>
    <row r="13" spans="1:9">
      <c r="A13" s="8" t="s">
        <v>110</v>
      </c>
      <c r="B13" s="7">
        <v>70</v>
      </c>
      <c r="C13" s="7">
        <v>120.78355931184335</v>
      </c>
      <c r="D13" s="7">
        <v>1.7254794187406193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75.561976088404009</v>
      </c>
      <c r="C17" s="7">
        <v>15.14293703933803</v>
      </c>
      <c r="D17" s="7">
        <v>4.9899154894529749</v>
      </c>
      <c r="E17" s="7">
        <v>4.2366416121102549E-6</v>
      </c>
      <c r="F17" s="7">
        <v>45.360340475933768</v>
      </c>
      <c r="G17" s="7">
        <v>105.76361170087425</v>
      </c>
      <c r="H17" s="7">
        <v>45.360340475933768</v>
      </c>
      <c r="I17" s="7">
        <v>105.76361170087425</v>
      </c>
    </row>
    <row r="18" spans="1:9" ht="13.8" thickBot="1">
      <c r="A18" s="9" t="s">
        <v>127</v>
      </c>
      <c r="B18" s="10">
        <v>0.25997177404658978</v>
      </c>
      <c r="C18" s="10">
        <v>0.15020086660585513</v>
      </c>
      <c r="D18" s="10">
        <v>1.7308273908218286</v>
      </c>
      <c r="E18" s="10">
        <v>8.788861874059839E-2</v>
      </c>
      <c r="F18" s="10">
        <v>-3.9594408532321046E-2</v>
      </c>
      <c r="G18" s="10">
        <v>0.55953795662550054</v>
      </c>
      <c r="H18" s="10">
        <v>-3.9594408532321046E-2</v>
      </c>
      <c r="I18" s="10">
        <v>0.55953795662550054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B5" sqref="B5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0.13214561356002516</v>
      </c>
    </row>
    <row r="5" spans="1:9">
      <c r="A5" s="7" t="s">
        <v>104</v>
      </c>
      <c r="B5" s="7">
        <v>1.7462463183155499E-2</v>
      </c>
    </row>
    <row r="6" spans="1:9">
      <c r="A6" s="7" t="s">
        <v>105</v>
      </c>
      <c r="B6" s="7">
        <v>3.42621265720059E-3</v>
      </c>
    </row>
    <row r="7" spans="1:9">
      <c r="A7" s="8" t="s">
        <v>106</v>
      </c>
      <c r="B7" s="7">
        <v>1.3296253142022036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1</v>
      </c>
      <c r="C12" s="7">
        <v>2.1994441682882382</v>
      </c>
      <c r="D12" s="7">
        <v>2.1994441682882382</v>
      </c>
      <c r="E12" s="7">
        <v>1.2440974283598785</v>
      </c>
      <c r="F12" s="7">
        <v>0.26849743206510729</v>
      </c>
    </row>
    <row r="13" spans="1:9">
      <c r="A13" s="8" t="s">
        <v>110</v>
      </c>
      <c r="B13" s="7">
        <v>70</v>
      </c>
      <c r="C13" s="7">
        <v>123.75324333171159</v>
      </c>
      <c r="D13" s="7">
        <v>1.7679034761673085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78.399201266529957</v>
      </c>
      <c r="C17" s="7">
        <v>20.953966529524362</v>
      </c>
      <c r="D17" s="7">
        <v>3.7414969216479683</v>
      </c>
      <c r="E17" s="7">
        <v>3.711590537878137E-4</v>
      </c>
      <c r="F17" s="7">
        <v>36.607832781235302</v>
      </c>
      <c r="G17" s="7">
        <v>120.19056975182461</v>
      </c>
      <c r="H17" s="7">
        <v>36.607832781235302</v>
      </c>
      <c r="I17" s="7">
        <v>120.19056975182461</v>
      </c>
    </row>
    <row r="18" spans="1:9" ht="13.8" thickBot="1">
      <c r="A18" s="9" t="s">
        <v>126</v>
      </c>
      <c r="B18" s="10">
        <v>0.22930941326664775</v>
      </c>
      <c r="C18" s="10">
        <v>0.20558654447424191</v>
      </c>
      <c r="D18" s="10">
        <v>1.1153911548689808</v>
      </c>
      <c r="E18" s="10">
        <v>0.26849743206509036</v>
      </c>
      <c r="F18" s="10">
        <v>-0.18072002071357765</v>
      </c>
      <c r="G18" s="10">
        <v>0.63933884724687318</v>
      </c>
      <c r="H18" s="10">
        <v>-0.18072002071357765</v>
      </c>
      <c r="I18" s="10">
        <v>0.63933884724687318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B5" sqref="B5"/>
    </sheetView>
  </sheetViews>
  <sheetFormatPr defaultRowHeight="13.2"/>
  <cols>
    <col min="1" max="1" width="38.5546875" bestFit="1" customWidth="1"/>
  </cols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0.31862295700509596</v>
      </c>
    </row>
    <row r="5" spans="1:9">
      <c r="A5" s="7" t="s">
        <v>104</v>
      </c>
      <c r="B5" s="7">
        <v>0.101520588730671</v>
      </c>
    </row>
    <row r="6" spans="1:9">
      <c r="A6" s="7" t="s">
        <v>105</v>
      </c>
      <c r="B6" s="7">
        <v>8.8685168569680797E-2</v>
      </c>
    </row>
    <row r="7" spans="1:9">
      <c r="A7" s="8" t="s">
        <v>106</v>
      </c>
      <c r="B7" s="7">
        <v>1.2714777483182405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1</v>
      </c>
      <c r="C12" s="7">
        <v>12.786790987210239</v>
      </c>
      <c r="D12" s="7">
        <v>12.786790987210239</v>
      </c>
      <c r="E12" s="7">
        <v>7.909409077173339</v>
      </c>
      <c r="F12" s="7">
        <v>6.376337378028102E-3</v>
      </c>
    </row>
    <row r="13" spans="1:9">
      <c r="A13" s="8" t="s">
        <v>110</v>
      </c>
      <c r="B13" s="7">
        <v>70</v>
      </c>
      <c r="C13" s="7">
        <v>113.16589651278959</v>
      </c>
      <c r="D13" s="7">
        <v>1.6166556644684227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72.473683445494174</v>
      </c>
      <c r="C17" s="7">
        <v>10.418185923550322</v>
      </c>
      <c r="D17" s="7">
        <v>6.9564590205351706</v>
      </c>
      <c r="E17" s="7">
        <v>1.4992874155299602E-9</v>
      </c>
      <c r="F17" s="7">
        <v>51.695266802233249</v>
      </c>
      <c r="G17" s="7">
        <v>93.2521000887551</v>
      </c>
      <c r="H17" s="7">
        <v>51.695266802233249</v>
      </c>
      <c r="I17" s="7">
        <v>93.2521000887551</v>
      </c>
    </row>
    <row r="18" spans="1:9" ht="13.8" thickBot="1">
      <c r="A18" s="9" t="s">
        <v>125</v>
      </c>
      <c r="B18" s="10">
        <v>0.28780483301943893</v>
      </c>
      <c r="C18" s="10">
        <v>0.10233544057997805</v>
      </c>
      <c r="D18" s="10">
        <v>2.8123671661384142</v>
      </c>
      <c r="E18" s="10">
        <v>6.3763373780278522E-3</v>
      </c>
      <c r="F18" s="10">
        <v>8.3703232477275735E-2</v>
      </c>
      <c r="G18" s="10">
        <v>0.49190643356160213</v>
      </c>
      <c r="H18" s="10">
        <v>8.3703232477275735E-2</v>
      </c>
      <c r="I18" s="10">
        <v>0.49190643356160213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B6" sqref="B6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0.9610126312916083</v>
      </c>
    </row>
    <row r="5" spans="1:9">
      <c r="A5" s="7" t="s">
        <v>104</v>
      </c>
      <c r="B5" s="7">
        <v>0.92354527750202098</v>
      </c>
    </row>
    <row r="6" spans="1:9">
      <c r="A6" s="7" t="s">
        <v>105</v>
      </c>
      <c r="B6" s="7">
        <v>0.92132919858903595</v>
      </c>
    </row>
    <row r="7" spans="1:9">
      <c r="A7" s="8" t="s">
        <v>106</v>
      </c>
      <c r="B7" s="7">
        <v>0.37357803388484129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2</v>
      </c>
      <c r="C12" s="7">
        <v>116.32300972931263</v>
      </c>
      <c r="D12" s="7">
        <v>58.161504864656315</v>
      </c>
      <c r="E12" s="7">
        <v>416.74746873434589</v>
      </c>
      <c r="F12" s="7">
        <v>3.0022642377306298E-39</v>
      </c>
    </row>
    <row r="13" spans="1:9">
      <c r="A13" s="8" t="s">
        <v>110</v>
      </c>
      <c r="B13" s="7">
        <v>69</v>
      </c>
      <c r="C13" s="7">
        <v>9.6296777706871914</v>
      </c>
      <c r="D13" s="7">
        <v>0.13956054740126364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14.195426334987189</v>
      </c>
      <c r="C17" s="7">
        <v>4.8244416465240363</v>
      </c>
      <c r="D17" s="7">
        <v>2.9423977684992537</v>
      </c>
      <c r="E17" s="7">
        <v>4.4319272265536053E-3</v>
      </c>
      <c r="F17" s="7">
        <v>4.5709285918016604</v>
      </c>
      <c r="G17" s="7">
        <v>23.819924078172718</v>
      </c>
      <c r="H17" s="7">
        <v>4.5709285918016604</v>
      </c>
      <c r="I17" s="7">
        <v>23.819924078172718</v>
      </c>
    </row>
    <row r="18" spans="1:9">
      <c r="A18" s="8" t="s">
        <v>128</v>
      </c>
      <c r="B18" s="7">
        <v>0.28736418129624869</v>
      </c>
      <c r="C18" s="7">
        <v>1.0182435079648349E-2</v>
      </c>
      <c r="D18" s="7">
        <v>28.221557913057946</v>
      </c>
      <c r="E18" s="7">
        <v>1.2699625176016327E-39</v>
      </c>
      <c r="F18" s="7">
        <v>0.26705077911947711</v>
      </c>
      <c r="G18" s="7">
        <v>0.30767758347302027</v>
      </c>
      <c r="H18" s="7">
        <v>0.26705077911947711</v>
      </c>
      <c r="I18" s="7">
        <v>0.30767758347302027</v>
      </c>
    </row>
    <row r="19" spans="1:9" ht="13.8" thickBot="1">
      <c r="A19" s="9" t="s">
        <v>127</v>
      </c>
      <c r="B19" s="10">
        <v>0.57420377328725614</v>
      </c>
      <c r="C19" s="10">
        <v>4.4144113532426421E-2</v>
      </c>
      <c r="D19" s="10">
        <v>13.007482251636338</v>
      </c>
      <c r="E19" s="10">
        <v>3.0824567953242161E-20</v>
      </c>
      <c r="F19" s="10">
        <v>0.48613867639176878</v>
      </c>
      <c r="G19" s="10">
        <v>0.6622688701827435</v>
      </c>
      <c r="H19" s="10">
        <v>0.48613867639176878</v>
      </c>
      <c r="I19" s="10">
        <v>0.6622688701827435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workbookViewId="0">
      <selection activeCell="B6" sqref="B6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0.91231746739037722</v>
      </c>
    </row>
    <row r="5" spans="1:9">
      <c r="A5" s="7" t="s">
        <v>104</v>
      </c>
      <c r="B5" s="7">
        <v>0.83232316130559203</v>
      </c>
    </row>
    <row r="6" spans="1:9">
      <c r="A6" s="7" t="s">
        <v>105</v>
      </c>
      <c r="B6" s="7">
        <v>0.82746296308256595</v>
      </c>
    </row>
    <row r="7" spans="1:9">
      <c r="A7" s="8" t="s">
        <v>106</v>
      </c>
      <c r="B7" s="7">
        <v>0.55324272610351066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2</v>
      </c>
      <c r="C12" s="7">
        <v>104.83333903493518</v>
      </c>
      <c r="D12" s="7">
        <v>52.416669517467589</v>
      </c>
      <c r="E12" s="7">
        <v>171.25292490381722</v>
      </c>
      <c r="F12" s="7">
        <v>1.7551780123147236E-27</v>
      </c>
    </row>
    <row r="13" spans="1:9">
      <c r="A13" s="8" t="s">
        <v>110</v>
      </c>
      <c r="B13" s="7">
        <v>69</v>
      </c>
      <c r="C13" s="7">
        <v>21.119348465064647</v>
      </c>
      <c r="D13" s="7">
        <v>0.30607751398644417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17.590108244932537</v>
      </c>
      <c r="C17" s="7">
        <v>9.3297147456646261</v>
      </c>
      <c r="D17" s="7">
        <v>1.8853854297213521</v>
      </c>
      <c r="E17" s="7">
        <v>6.3588616481720886E-2</v>
      </c>
      <c r="F17" s="7">
        <v>-1.022163411189478</v>
      </c>
      <c r="G17" s="7">
        <v>36.202379901054556</v>
      </c>
      <c r="H17" s="7">
        <v>-1.022163411189478</v>
      </c>
      <c r="I17" s="7">
        <v>36.202379901054556</v>
      </c>
    </row>
    <row r="18" spans="1:9">
      <c r="A18" s="8" t="s">
        <v>128</v>
      </c>
      <c r="B18" s="7">
        <v>0.27272817147768708</v>
      </c>
      <c r="C18" s="7">
        <v>1.4893621347362314E-2</v>
      </c>
      <c r="D18" s="7">
        <v>18.31174333742463</v>
      </c>
      <c r="E18" s="7">
        <v>3.3775392799449261E-28</v>
      </c>
      <c r="F18" s="7">
        <v>0.24301620985642339</v>
      </c>
      <c r="G18" s="7">
        <v>0.30244013309895079</v>
      </c>
      <c r="H18" s="7">
        <v>0.24301620985642339</v>
      </c>
      <c r="I18" s="7">
        <v>0.30244013309895079</v>
      </c>
    </row>
    <row r="19" spans="1:9" ht="13.8" thickBot="1">
      <c r="A19" s="9" t="s">
        <v>126</v>
      </c>
      <c r="B19" s="10">
        <v>0.54949354628382319</v>
      </c>
      <c r="C19" s="10">
        <v>8.7311072674958273E-2</v>
      </c>
      <c r="D19" s="10">
        <v>6.2935150084511982</v>
      </c>
      <c r="E19" s="10">
        <v>2.4712095911107791E-8</v>
      </c>
      <c r="F19" s="10">
        <v>0.37531272216282052</v>
      </c>
      <c r="G19" s="10">
        <v>0.72367437040482585</v>
      </c>
      <c r="H19" s="10">
        <v>0.37531272216282052</v>
      </c>
      <c r="I19" s="10">
        <v>0.72367437040482585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B6" sqref="B6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0.87839523814718934</v>
      </c>
    </row>
    <row r="5" spans="1:9">
      <c r="A5" s="7" t="s">
        <v>104</v>
      </c>
      <c r="B5" s="7">
        <v>0.77157819439965702</v>
      </c>
    </row>
    <row r="6" spans="1:9">
      <c r="A6" s="7" t="s">
        <v>105</v>
      </c>
      <c r="B6" s="7">
        <v>0.764957272498198</v>
      </c>
    </row>
    <row r="7" spans="1:9">
      <c r="A7" s="8" t="s">
        <v>106</v>
      </c>
      <c r="B7" s="7">
        <v>0.64572552497806512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2</v>
      </c>
      <c r="C12" s="7">
        <v>97.182347201034176</v>
      </c>
      <c r="D12" s="7">
        <v>48.591173600517088</v>
      </c>
      <c r="E12" s="7">
        <v>116.53636848210023</v>
      </c>
      <c r="F12" s="7">
        <v>7.5239487008805453E-23</v>
      </c>
    </row>
    <row r="13" spans="1:9">
      <c r="A13" s="8" t="s">
        <v>110</v>
      </c>
      <c r="B13" s="7">
        <v>69</v>
      </c>
      <c r="C13" s="7">
        <v>28.770340298965653</v>
      </c>
      <c r="D13" s="7">
        <v>0.41696145360819786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58.897859658545855</v>
      </c>
      <c r="C17" s="7">
        <v>5.3762819359744061</v>
      </c>
      <c r="D17" s="7">
        <v>10.955128536775874</v>
      </c>
      <c r="E17" s="7">
        <v>9.4908923448000115E-17</v>
      </c>
      <c r="F17" s="7">
        <v>48.172470660049861</v>
      </c>
      <c r="G17" s="7">
        <v>69.623248657041842</v>
      </c>
      <c r="H17" s="7">
        <v>48.172470660049861</v>
      </c>
      <c r="I17" s="7">
        <v>69.623248657041842</v>
      </c>
    </row>
    <row r="18" spans="1:9">
      <c r="A18" s="8" t="s">
        <v>128</v>
      </c>
      <c r="B18" s="7">
        <v>0.24524155633113054</v>
      </c>
      <c r="C18" s="7">
        <v>1.7237815485795643E-2</v>
      </c>
      <c r="D18" s="7">
        <v>14.226951003925945</v>
      </c>
      <c r="E18" s="7">
        <v>3.3342169361675047E-22</v>
      </c>
      <c r="F18" s="7">
        <v>0.21085305536127802</v>
      </c>
      <c r="G18" s="7">
        <v>0.27963005730098306</v>
      </c>
      <c r="H18" s="7">
        <v>0.21085305536127802</v>
      </c>
      <c r="I18" s="7">
        <v>0.27963005730098306</v>
      </c>
    </row>
    <row r="19" spans="1:9" ht="13.8" thickBot="1">
      <c r="A19" s="9" t="s">
        <v>125</v>
      </c>
      <c r="B19" s="10">
        <v>0.17227296577912743</v>
      </c>
      <c r="C19" s="10">
        <v>5.2602105841106139E-2</v>
      </c>
      <c r="D19" s="10">
        <v>3.275020325222493</v>
      </c>
      <c r="E19" s="10">
        <v>1.6541902532077059E-3</v>
      </c>
      <c r="F19" s="10">
        <v>6.7334635906427201E-2</v>
      </c>
      <c r="G19" s="10">
        <v>0.27721129565182767</v>
      </c>
      <c r="H19" s="10">
        <v>6.7334635906427201E-2</v>
      </c>
      <c r="I19" s="10">
        <v>0.27721129565182767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selection activeCell="B5" sqref="B5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0.9637284356760687</v>
      </c>
    </row>
    <row r="5" spans="1:9">
      <c r="A5" s="7" t="s">
        <v>104</v>
      </c>
      <c r="B5" s="7">
        <v>0.92877249773064197</v>
      </c>
    </row>
    <row r="6" spans="1:9">
      <c r="A6" s="7" t="s">
        <v>105</v>
      </c>
      <c r="B6" s="7">
        <v>0.92563010792464095</v>
      </c>
    </row>
    <row r="7" spans="1:9">
      <c r="A7" s="8" t="s">
        <v>106</v>
      </c>
      <c r="B7" s="7">
        <v>0.36322281556387132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3</v>
      </c>
      <c r="C12" s="7">
        <v>116.98139216526189</v>
      </c>
      <c r="D12" s="7">
        <v>38.993797388420631</v>
      </c>
      <c r="E12" s="7">
        <v>295.56247158037178</v>
      </c>
      <c r="F12" s="7">
        <v>6.2717697911480084E-39</v>
      </c>
    </row>
    <row r="13" spans="1:9">
      <c r="A13" s="8" t="s">
        <v>110</v>
      </c>
      <c r="B13" s="7">
        <v>68</v>
      </c>
      <c r="C13" s="7">
        <v>8.9712953347379347</v>
      </c>
      <c r="D13" s="7">
        <v>0.1319308137461461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4.9142755822630306</v>
      </c>
      <c r="C17" s="7">
        <v>6.266100357206505</v>
      </c>
      <c r="D17" s="7">
        <v>0.78426378482930448</v>
      </c>
      <c r="E17" s="7">
        <v>0.43560887257792391</v>
      </c>
      <c r="F17" s="7">
        <v>-7.5895330017639875</v>
      </c>
      <c r="G17" s="7">
        <v>17.418084166290051</v>
      </c>
      <c r="H17" s="7">
        <v>-7.5895330017639875</v>
      </c>
      <c r="I17" s="7">
        <v>17.418084166290051</v>
      </c>
    </row>
    <row r="18" spans="1:9">
      <c r="A18" s="8" t="s">
        <v>128</v>
      </c>
      <c r="B18" s="7">
        <v>0.28875917596147332</v>
      </c>
      <c r="C18" s="7">
        <v>9.9198626318580171E-3</v>
      </c>
      <c r="D18" s="7">
        <v>29.109190991628473</v>
      </c>
      <c r="E18" s="7">
        <v>4.0904784655591202E-40</v>
      </c>
      <c r="F18" s="7">
        <v>0.2689643982755488</v>
      </c>
      <c r="G18" s="7">
        <v>0.30855395364739785</v>
      </c>
      <c r="H18" s="7">
        <v>0.2689643982755488</v>
      </c>
      <c r="I18" s="7">
        <v>0.30855395364739785</v>
      </c>
    </row>
    <row r="19" spans="1:9">
      <c r="A19" s="8" t="s">
        <v>127</v>
      </c>
      <c r="B19" s="7">
        <v>0.50583580997223732</v>
      </c>
      <c r="C19" s="7">
        <v>5.2714410067363091E-2</v>
      </c>
      <c r="D19" s="7">
        <v>9.5957786367301843</v>
      </c>
      <c r="E19" s="7">
        <v>2.8684235057315994E-14</v>
      </c>
      <c r="F19" s="7">
        <v>0.40064584244416179</v>
      </c>
      <c r="G19" s="7">
        <v>0.61102577750031284</v>
      </c>
      <c r="H19" s="7">
        <v>0.40064584244416179</v>
      </c>
      <c r="I19" s="7">
        <v>0.61102577750031284</v>
      </c>
    </row>
    <row r="20" spans="1:9" ht="13.8" thickBot="1">
      <c r="A20" s="9" t="s">
        <v>126</v>
      </c>
      <c r="B20" s="10">
        <v>0.1572742024491072</v>
      </c>
      <c r="C20" s="10">
        <v>7.0403053215390712E-2</v>
      </c>
      <c r="D20" s="10">
        <v>2.2339116738011828</v>
      </c>
      <c r="E20" s="10">
        <v>2.8780933695171783E-2</v>
      </c>
      <c r="F20" s="10">
        <v>1.6787097079993152E-2</v>
      </c>
      <c r="G20" s="10">
        <v>0.29776130781822124</v>
      </c>
      <c r="H20" s="10">
        <v>1.6787097079993152E-2</v>
      </c>
      <c r="I20" s="10">
        <v>0.29776130781822124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workbookViewId="0">
      <selection activeCell="B5" sqref="B5"/>
    </sheetView>
  </sheetViews>
  <sheetFormatPr defaultRowHeight="13.2"/>
  <sheetData>
    <row r="1" spans="1:9">
      <c r="A1" t="s">
        <v>101</v>
      </c>
    </row>
    <row r="2" spans="1:9" ht="13.8" thickBot="1"/>
    <row r="3" spans="1:9">
      <c r="A3" s="12" t="s">
        <v>102</v>
      </c>
      <c r="B3" s="12"/>
    </row>
    <row r="4" spans="1:9">
      <c r="A4" s="7" t="s">
        <v>103</v>
      </c>
      <c r="B4" s="7">
        <v>0.96948163505315543</v>
      </c>
    </row>
    <row r="5" spans="1:9">
      <c r="A5" s="7" t="s">
        <v>104</v>
      </c>
      <c r="B5" s="7">
        <v>0.93989464070534001</v>
      </c>
    </row>
    <row r="6" spans="1:9">
      <c r="A6" s="7" t="s">
        <v>105</v>
      </c>
      <c r="B6" s="7">
        <v>0.937242933677634</v>
      </c>
    </row>
    <row r="7" spans="1:9">
      <c r="A7" s="8" t="s">
        <v>106</v>
      </c>
      <c r="B7" s="7">
        <v>0.3336613186062366</v>
      </c>
    </row>
    <row r="8" spans="1:9" ht="13.8" thickBot="1">
      <c r="A8" s="9" t="s">
        <v>107</v>
      </c>
      <c r="B8" s="10">
        <v>72</v>
      </c>
    </row>
    <row r="10" spans="1:9" ht="13.8" thickBot="1">
      <c r="A10" t="s">
        <v>108</v>
      </c>
    </row>
    <row r="11" spans="1:9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>
      <c r="A12" s="8" t="s">
        <v>109</v>
      </c>
      <c r="B12" s="7">
        <v>3</v>
      </c>
      <c r="C12" s="7">
        <v>118.38225596368426</v>
      </c>
      <c r="D12" s="7">
        <v>39.460751987894753</v>
      </c>
      <c r="E12" s="7">
        <v>354.44890060821882</v>
      </c>
      <c r="F12" s="7">
        <v>1.9630104352822366E-41</v>
      </c>
    </row>
    <row r="13" spans="1:9">
      <c r="A13" s="8" t="s">
        <v>110</v>
      </c>
      <c r="B13" s="7">
        <v>68</v>
      </c>
      <c r="C13" s="7">
        <v>7.5704315363155716</v>
      </c>
      <c r="D13" s="7">
        <v>0.11132987553405252</v>
      </c>
      <c r="E13" s="7"/>
      <c r="F13" s="7"/>
    </row>
    <row r="14" spans="1:9" ht="13.8" thickBot="1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.8" thickBot="1"/>
    <row r="16" spans="1:9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>
      <c r="A17" s="7" t="s">
        <v>112</v>
      </c>
      <c r="B17" s="7">
        <v>13.366799363472108</v>
      </c>
      <c r="C17" s="7">
        <v>4.3132566142103652</v>
      </c>
      <c r="D17" s="7">
        <v>3.0990039682392485</v>
      </c>
      <c r="E17" s="7">
        <v>2.8232249530642526E-3</v>
      </c>
      <c r="F17" s="7">
        <v>4.7598297965310508</v>
      </c>
      <c r="G17" s="7">
        <v>21.973768930413165</v>
      </c>
      <c r="H17" s="7">
        <v>4.7598297965310508</v>
      </c>
      <c r="I17" s="7">
        <v>21.973768930413165</v>
      </c>
    </row>
    <row r="18" spans="1:9">
      <c r="A18" s="8" t="s">
        <v>128</v>
      </c>
      <c r="B18" s="7">
        <v>0.30382755390767086</v>
      </c>
      <c r="C18" s="7">
        <v>9.8672392921298445E-3</v>
      </c>
      <c r="D18" s="7">
        <v>30.791546136922523</v>
      </c>
      <c r="E18" s="7">
        <v>1.1691466694407495E-41</v>
      </c>
      <c r="F18" s="7">
        <v>0.28413778446124194</v>
      </c>
      <c r="G18" s="7">
        <v>0.32351732335409977</v>
      </c>
      <c r="H18" s="7">
        <v>0.28413778446124194</v>
      </c>
      <c r="I18" s="7">
        <v>0.32351732335409977</v>
      </c>
    </row>
    <row r="19" spans="1:9">
      <c r="A19" s="8" t="s">
        <v>127</v>
      </c>
      <c r="B19" s="7">
        <v>0.72224104427538038</v>
      </c>
      <c r="C19" s="7">
        <v>5.2338471002587941E-2</v>
      </c>
      <c r="D19" s="7">
        <v>13.799429567586495</v>
      </c>
      <c r="E19" s="7">
        <v>2.1586257322773223E-21</v>
      </c>
      <c r="F19" s="7">
        <v>0.61780125147117437</v>
      </c>
      <c r="G19" s="7">
        <v>0.82668083707958639</v>
      </c>
      <c r="H19" s="7">
        <v>0.61780125147117437</v>
      </c>
      <c r="I19" s="7">
        <v>0.82668083707958639</v>
      </c>
    </row>
    <row r="20" spans="1:9" ht="13.8" thickBot="1">
      <c r="A20" s="9" t="s">
        <v>125</v>
      </c>
      <c r="B20" s="10">
        <v>-0.15517902485161017</v>
      </c>
      <c r="C20" s="10">
        <v>3.6081512958276274E-2</v>
      </c>
      <c r="D20" s="10">
        <v>-4.3007904084026398</v>
      </c>
      <c r="E20" s="10">
        <v>5.5705217202871367E-5</v>
      </c>
      <c r="F20" s="10">
        <v>-0.22717856295883374</v>
      </c>
      <c r="G20" s="10">
        <v>-8.3179486744386605E-2</v>
      </c>
      <c r="H20" s="10">
        <v>-0.22717856295883374</v>
      </c>
      <c r="I20" s="10">
        <v>-8.3179486744386605E-2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selection activeCell="B26" sqref="B26"/>
    </sheetView>
  </sheetViews>
  <sheetFormatPr defaultRowHeight="13.2"/>
  <sheetData>
    <row r="1" spans="1:9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3.8" thickBot="1">
      <c r="A2" s="16"/>
      <c r="B2" s="16"/>
      <c r="C2" s="16"/>
      <c r="D2" s="16"/>
      <c r="E2" s="16"/>
      <c r="F2" s="16"/>
      <c r="G2" s="16"/>
      <c r="H2" s="16"/>
      <c r="I2" s="16"/>
    </row>
    <row r="3" spans="1:9">
      <c r="A3" s="17" t="s">
        <v>102</v>
      </c>
      <c r="B3" s="17"/>
      <c r="C3" s="16"/>
      <c r="D3" s="16"/>
      <c r="E3" s="16"/>
      <c r="F3" s="16"/>
      <c r="G3" s="16"/>
      <c r="H3" s="16"/>
      <c r="I3" s="16"/>
    </row>
    <row r="4" spans="1:9">
      <c r="A4" s="18" t="s">
        <v>103</v>
      </c>
      <c r="B4" s="18">
        <v>0.97051607394483219</v>
      </c>
      <c r="C4" s="16"/>
      <c r="D4" s="16"/>
      <c r="E4" s="16"/>
      <c r="F4" s="16"/>
      <c r="G4" s="16"/>
      <c r="H4" s="16"/>
      <c r="I4" s="16"/>
    </row>
    <row r="5" spans="1:9">
      <c r="A5" s="18" t="s">
        <v>104</v>
      </c>
      <c r="B5" s="18">
        <v>0.941901449785291</v>
      </c>
      <c r="C5" s="16"/>
      <c r="D5" s="16"/>
      <c r="E5" s="16"/>
      <c r="F5" s="16"/>
      <c r="G5" s="16"/>
      <c r="H5" s="16"/>
      <c r="I5" s="16"/>
    </row>
    <row r="6" spans="1:9">
      <c r="A6" s="18" t="s">
        <v>105</v>
      </c>
      <c r="B6" s="18">
        <v>0.93843287962321897</v>
      </c>
      <c r="C6" s="16"/>
      <c r="D6" s="16"/>
      <c r="E6" s="16"/>
      <c r="F6" s="16"/>
      <c r="G6" s="16"/>
      <c r="H6" s="16"/>
      <c r="I6" s="16"/>
    </row>
    <row r="7" spans="1:9">
      <c r="A7" s="19" t="s">
        <v>106</v>
      </c>
      <c r="B7" s="18">
        <v>0.33048287916898994</v>
      </c>
      <c r="C7" s="16"/>
      <c r="D7" s="16"/>
      <c r="E7" s="16"/>
      <c r="F7" s="16"/>
      <c r="G7" s="16"/>
      <c r="H7" s="16"/>
      <c r="I7" s="16"/>
    </row>
    <row r="8" spans="1:9" ht="13.8" thickBot="1">
      <c r="A8" s="20" t="s">
        <v>107</v>
      </c>
      <c r="B8" s="21">
        <v>72</v>
      </c>
      <c r="C8" s="16"/>
      <c r="D8" s="16"/>
      <c r="E8" s="16"/>
      <c r="F8" s="16"/>
      <c r="G8" s="16"/>
      <c r="H8" s="16"/>
      <c r="I8" s="16"/>
    </row>
    <row r="9" spans="1:9">
      <c r="A9" s="16"/>
      <c r="B9" s="16"/>
      <c r="C9" s="16"/>
      <c r="D9" s="16"/>
      <c r="E9" s="16"/>
      <c r="F9" s="16"/>
      <c r="G9" s="16"/>
      <c r="H9" s="16"/>
      <c r="I9" s="16"/>
    </row>
    <row r="10" spans="1:9" ht="13.8" thickBot="1">
      <c r="A10" s="16" t="s">
        <v>108</v>
      </c>
      <c r="B10" s="16"/>
      <c r="C10" s="16"/>
      <c r="D10" s="16"/>
      <c r="E10" s="16"/>
      <c r="F10" s="16"/>
      <c r="G10" s="16"/>
      <c r="H10" s="16"/>
      <c r="I10" s="16"/>
    </row>
    <row r="11" spans="1:9">
      <c r="A11" s="22"/>
      <c r="B11" s="22" t="s">
        <v>113</v>
      </c>
      <c r="C11" s="22" t="s">
        <v>114</v>
      </c>
      <c r="D11" s="22" t="s">
        <v>115</v>
      </c>
      <c r="E11" s="22" t="s">
        <v>116</v>
      </c>
      <c r="F11" s="22" t="s">
        <v>117</v>
      </c>
      <c r="G11" s="16"/>
      <c r="H11" s="16"/>
      <c r="I11" s="16"/>
    </row>
    <row r="12" spans="1:9">
      <c r="A12" s="19" t="s">
        <v>109</v>
      </c>
      <c r="B12" s="18">
        <v>4</v>
      </c>
      <c r="C12" s="18">
        <v>118.63501896060353</v>
      </c>
      <c r="D12" s="18">
        <v>29.658754740150883</v>
      </c>
      <c r="E12" s="18">
        <v>271.55323541807337</v>
      </c>
      <c r="F12" s="18">
        <v>1.2946063309901136E-40</v>
      </c>
      <c r="G12" s="16"/>
      <c r="H12" s="16"/>
      <c r="I12" s="16"/>
    </row>
    <row r="13" spans="1:9">
      <c r="A13" s="19" t="s">
        <v>110</v>
      </c>
      <c r="B13" s="18">
        <v>67</v>
      </c>
      <c r="C13" s="18">
        <v>7.3176685393962879</v>
      </c>
      <c r="D13" s="18">
        <v>0.10921893342382519</v>
      </c>
      <c r="E13" s="18"/>
      <c r="F13" s="18"/>
      <c r="G13" s="16"/>
      <c r="H13" s="16"/>
      <c r="I13" s="16"/>
    </row>
    <row r="14" spans="1:9" ht="13.8" thickBot="1">
      <c r="A14" s="20" t="s">
        <v>111</v>
      </c>
      <c r="B14" s="21">
        <v>71</v>
      </c>
      <c r="C14" s="21">
        <v>125.95268749999983</v>
      </c>
      <c r="D14" s="21"/>
      <c r="E14" s="21"/>
      <c r="F14" s="21"/>
      <c r="G14" s="16"/>
      <c r="H14" s="16"/>
      <c r="I14" s="16"/>
    </row>
    <row r="15" spans="1:9" ht="13.8" thickBot="1">
      <c r="A15" s="16"/>
      <c r="B15" s="16"/>
      <c r="C15" s="16"/>
      <c r="D15" s="16"/>
      <c r="E15" s="16"/>
      <c r="F15" s="16"/>
      <c r="G15" s="16"/>
      <c r="H15" s="16"/>
      <c r="I15" s="16"/>
    </row>
    <row r="16" spans="1:9">
      <c r="A16" s="22"/>
      <c r="B16" s="22" t="s">
        <v>118</v>
      </c>
      <c r="C16" s="22" t="s">
        <v>106</v>
      </c>
      <c r="D16" s="22" t="s">
        <v>119</v>
      </c>
      <c r="E16" s="22" t="s">
        <v>120</v>
      </c>
      <c r="F16" s="22" t="s">
        <v>121</v>
      </c>
      <c r="G16" s="22" t="s">
        <v>122</v>
      </c>
      <c r="H16" s="22" t="s">
        <v>123</v>
      </c>
      <c r="I16" s="22" t="s">
        <v>124</v>
      </c>
    </row>
    <row r="17" spans="1:9">
      <c r="A17" s="18" t="s">
        <v>112</v>
      </c>
      <c r="B17" s="18">
        <v>7.5329124082186656</v>
      </c>
      <c r="C17" s="18">
        <v>5.7408732358308487</v>
      </c>
      <c r="D17" s="18">
        <v>1.3121544578276103</v>
      </c>
      <c r="E17" s="18">
        <v>0.19394583492911108</v>
      </c>
      <c r="F17" s="18">
        <v>-3.9259185298999437</v>
      </c>
      <c r="G17" s="18">
        <v>18.991743346337273</v>
      </c>
      <c r="H17" s="18">
        <v>-3.9259185298999437</v>
      </c>
      <c r="I17" s="18">
        <v>18.991743346337273</v>
      </c>
    </row>
    <row r="18" spans="1:9">
      <c r="A18" s="19" t="s">
        <v>128</v>
      </c>
      <c r="B18" s="18">
        <v>0.30338879716641043</v>
      </c>
      <c r="C18" s="18">
        <v>9.7774992095052034E-3</v>
      </c>
      <c r="D18" s="18">
        <v>31.029283732538765</v>
      </c>
      <c r="E18" s="18">
        <v>1.7680934800848034E-41</v>
      </c>
      <c r="F18" s="18">
        <v>0.28387282706276229</v>
      </c>
      <c r="G18" s="18">
        <v>0.32290476727005857</v>
      </c>
      <c r="H18" s="18">
        <v>0.28387282706276229</v>
      </c>
      <c r="I18" s="18">
        <v>0.32290476727005857</v>
      </c>
    </row>
    <row r="19" spans="1:9">
      <c r="A19" s="19" t="s">
        <v>127</v>
      </c>
      <c r="B19" s="18">
        <v>0.66685518611755834</v>
      </c>
      <c r="C19" s="18">
        <v>6.3347316880469171E-2</v>
      </c>
      <c r="D19" s="18">
        <v>10.52696813309166</v>
      </c>
      <c r="E19" s="18">
        <v>7.6848242060246823E-16</v>
      </c>
      <c r="F19" s="18">
        <v>0.54041341241905416</v>
      </c>
      <c r="G19" s="18">
        <v>0.79329695981606252</v>
      </c>
      <c r="H19" s="18">
        <v>0.54041341241905416</v>
      </c>
      <c r="I19" s="18">
        <v>0.79329695981606252</v>
      </c>
    </row>
    <row r="20" spans="1:9">
      <c r="A20" s="19" t="s">
        <v>126</v>
      </c>
      <c r="B20" s="18">
        <v>9.9989056543885679E-2</v>
      </c>
      <c r="C20" s="18">
        <v>6.572713288695764E-2</v>
      </c>
      <c r="D20" s="18">
        <v>1.5212751895910965</v>
      </c>
      <c r="E20" s="18">
        <v>0.13289654855082977</v>
      </c>
      <c r="F20" s="18">
        <v>-3.1202849784612574E-2</v>
      </c>
      <c r="G20" s="18">
        <v>0.23118096287238393</v>
      </c>
      <c r="H20" s="18">
        <v>-3.1202849784612574E-2</v>
      </c>
      <c r="I20" s="18">
        <v>0.23118096287238393</v>
      </c>
    </row>
    <row r="21" spans="1:9" ht="13.8" thickBot="1">
      <c r="A21" s="20" t="s">
        <v>125</v>
      </c>
      <c r="B21" s="21">
        <v>-0.14268390212904294</v>
      </c>
      <c r="C21" s="21">
        <v>3.6669517288462024E-2</v>
      </c>
      <c r="D21" s="21">
        <v>-3.8910766402135892</v>
      </c>
      <c r="E21" s="21">
        <v>2.3220376087653232E-4</v>
      </c>
      <c r="F21" s="21">
        <v>-0.21587656497488816</v>
      </c>
      <c r="G21" s="21">
        <v>-6.9491239283197712E-2</v>
      </c>
      <c r="H21" s="21">
        <v>-0.21587656497488816</v>
      </c>
      <c r="I21" s="21">
        <v>-6.9491239283197712E-2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30"/>
  <sheetViews>
    <sheetView workbookViewId="0">
      <selection activeCell="F22" sqref="F22"/>
    </sheetView>
  </sheetViews>
  <sheetFormatPr defaultRowHeight="13.2"/>
  <cols>
    <col min="1" max="1" width="46.21875" bestFit="1" customWidth="1"/>
    <col min="2" max="2" width="11.21875" bestFit="1" customWidth="1"/>
    <col min="3" max="4" width="9.44140625" bestFit="1" customWidth="1"/>
  </cols>
  <sheetData>
    <row r="2" spans="1:4">
      <c r="A2" s="31" t="s">
        <v>97</v>
      </c>
      <c r="B2" s="31"/>
      <c r="C2" s="31"/>
      <c r="D2" s="31"/>
    </row>
    <row r="3" spans="1:4">
      <c r="A3" s="31" t="s">
        <v>100</v>
      </c>
      <c r="B3" s="31"/>
      <c r="C3" s="13" t="s">
        <v>98</v>
      </c>
      <c r="D3" s="13" t="s">
        <v>99</v>
      </c>
    </row>
    <row r="4" spans="1:4">
      <c r="A4" s="14" t="s">
        <v>78</v>
      </c>
      <c r="B4" s="14" t="s">
        <v>87</v>
      </c>
      <c r="C4" s="15">
        <v>0.73607099094126804</v>
      </c>
      <c r="D4" s="15">
        <v>0.732300576526143</v>
      </c>
    </row>
    <row r="5" spans="1:4">
      <c r="A5" s="14" t="s">
        <v>79</v>
      </c>
      <c r="B5" s="14" t="s">
        <v>88</v>
      </c>
      <c r="C5" s="15">
        <v>4.1040237336392602E-2</v>
      </c>
      <c r="D5" s="15">
        <v>2.7340812155483899E-2</v>
      </c>
    </row>
    <row r="6" spans="1:4">
      <c r="A6" s="14" t="s">
        <v>80</v>
      </c>
      <c r="B6" s="14" t="s">
        <v>89</v>
      </c>
      <c r="C6" s="15">
        <v>1.7462463183155499E-2</v>
      </c>
      <c r="D6" s="15">
        <v>3.42621265720059E-3</v>
      </c>
    </row>
    <row r="7" spans="1:4">
      <c r="A7" s="14" t="s">
        <v>81</v>
      </c>
      <c r="B7" s="14" t="s">
        <v>90</v>
      </c>
      <c r="C7" s="15">
        <v>0.101520588730671</v>
      </c>
      <c r="D7" s="15">
        <v>8.8685168569680797E-2</v>
      </c>
    </row>
    <row r="8" spans="1:4">
      <c r="A8" s="14" t="s">
        <v>82</v>
      </c>
      <c r="B8" s="14" t="s">
        <v>91</v>
      </c>
      <c r="C8" s="15">
        <v>0.92354527750202098</v>
      </c>
      <c r="D8" s="15">
        <v>0.92132919858903595</v>
      </c>
    </row>
    <row r="9" spans="1:4">
      <c r="A9" s="14" t="s">
        <v>83</v>
      </c>
      <c r="B9" s="14" t="s">
        <v>92</v>
      </c>
      <c r="C9" s="15">
        <v>0.83232316130559203</v>
      </c>
      <c r="D9" s="15">
        <v>0.82746296308256595</v>
      </c>
    </row>
    <row r="10" spans="1:4">
      <c r="A10" s="14" t="s">
        <v>84</v>
      </c>
      <c r="B10" s="14" t="s">
        <v>93</v>
      </c>
      <c r="C10" s="15">
        <v>0.77157819439965702</v>
      </c>
      <c r="D10" s="15">
        <v>0.764957272498198</v>
      </c>
    </row>
    <row r="11" spans="1:4">
      <c r="A11" s="14" t="s">
        <v>85</v>
      </c>
      <c r="B11" s="14" t="s">
        <v>94</v>
      </c>
      <c r="C11" s="15">
        <v>0.92877249773064197</v>
      </c>
      <c r="D11" s="15">
        <v>0.92563010792464095</v>
      </c>
    </row>
    <row r="12" spans="1:4">
      <c r="A12" s="14" t="s">
        <v>130</v>
      </c>
      <c r="B12" s="14" t="s">
        <v>95</v>
      </c>
      <c r="C12" s="15">
        <v>0.93989464070534001</v>
      </c>
      <c r="D12" s="15">
        <v>0.937242933677634</v>
      </c>
    </row>
    <row r="13" spans="1:4">
      <c r="A13" s="14" t="s">
        <v>86</v>
      </c>
      <c r="B13" s="14" t="s">
        <v>96</v>
      </c>
      <c r="C13" s="27">
        <v>0.941901449785291</v>
      </c>
      <c r="D13" s="27">
        <v>0.93843287962321897</v>
      </c>
    </row>
    <row r="18" spans="1:2">
      <c r="A18" s="14" t="s">
        <v>131</v>
      </c>
      <c r="B18" s="23"/>
    </row>
    <row r="19" spans="1:2">
      <c r="A19" s="24" t="s">
        <v>132</v>
      </c>
      <c r="B19" s="23">
        <v>7.5328999999999997</v>
      </c>
    </row>
    <row r="20" spans="1:2">
      <c r="A20" s="24" t="s">
        <v>133</v>
      </c>
      <c r="B20" s="23">
        <v>0.3</v>
      </c>
    </row>
    <row r="21" spans="1:2">
      <c r="A21" s="24" t="s">
        <v>134</v>
      </c>
      <c r="B21" s="23">
        <v>0.66700000000000004</v>
      </c>
    </row>
    <row r="22" spans="1:2">
      <c r="A22" s="24" t="s">
        <v>135</v>
      </c>
      <c r="B22" s="23">
        <v>0.1</v>
      </c>
    </row>
    <row r="23" spans="1:2">
      <c r="A23" s="24" t="s">
        <v>136</v>
      </c>
      <c r="B23" s="23">
        <v>-0.14299999999999999</v>
      </c>
    </row>
    <row r="24" spans="1:2">
      <c r="A24" s="25">
        <v>45292</v>
      </c>
      <c r="B24" s="23"/>
    </row>
    <row r="25" spans="1:2">
      <c r="A25" s="26" t="s">
        <v>137</v>
      </c>
      <c r="B25" s="23">
        <v>96.4</v>
      </c>
    </row>
    <row r="26" spans="1:2">
      <c r="A26" s="26" t="s">
        <v>138</v>
      </c>
      <c r="B26" s="23">
        <v>100.3</v>
      </c>
    </row>
    <row r="27" spans="1:2">
      <c r="A27" s="26" t="s">
        <v>139</v>
      </c>
      <c r="B27" s="23">
        <v>101.3</v>
      </c>
    </row>
    <row r="28" spans="1:2">
      <c r="A28" s="26" t="s">
        <v>140</v>
      </c>
      <c r="B28" s="23">
        <v>101.3</v>
      </c>
    </row>
    <row r="29" spans="1:2">
      <c r="A29" s="26" t="s">
        <v>141</v>
      </c>
      <c r="B29" s="28">
        <f>B19+B20*B25+B21*B26+B22*B27+B23*B28</f>
        <v>98.997099999999989</v>
      </c>
    </row>
    <row r="30" spans="1:2">
      <c r="A30" s="26" t="s">
        <v>142</v>
      </c>
      <c r="B30" s="23">
        <v>99.2</v>
      </c>
    </row>
  </sheetData>
  <mergeCells count="2">
    <mergeCell ref="A3:B3"/>
    <mergeCell ref="A2:D2"/>
  </mergeCells>
  <phoneticPr fontId="2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3"/>
  <sheetViews>
    <sheetView tabSelected="1" workbookViewId="0">
      <selection activeCell="E7" sqref="E7"/>
    </sheetView>
  </sheetViews>
  <sheetFormatPr defaultRowHeight="13.2"/>
  <cols>
    <col min="1" max="1" width="9.109375" style="1"/>
    <col min="2" max="5" width="10.77734375" customWidth="1"/>
    <col min="10" max="10" width="10.77734375" customWidth="1"/>
  </cols>
  <sheetData>
    <row r="1" spans="1:11" ht="79.2">
      <c r="A1" s="3" t="s">
        <v>72</v>
      </c>
      <c r="B1" s="2" t="s">
        <v>73</v>
      </c>
      <c r="C1" s="2" t="s">
        <v>75</v>
      </c>
      <c r="D1" s="2" t="s">
        <v>77</v>
      </c>
      <c r="J1" s="2" t="s">
        <v>74</v>
      </c>
      <c r="K1" s="2" t="s">
        <v>76</v>
      </c>
    </row>
    <row r="2" spans="1:11">
      <c r="A2" s="4" t="s">
        <v>0</v>
      </c>
      <c r="B2" s="5">
        <v>100.17</v>
      </c>
      <c r="C2" s="5">
        <v>100.91</v>
      </c>
      <c r="D2" s="5">
        <v>101.47</v>
      </c>
      <c r="J2" s="5">
        <v>102.66</v>
      </c>
      <c r="K2" s="5">
        <v>106.16</v>
      </c>
    </row>
    <row r="3" spans="1:11">
      <c r="A3" s="4" t="s">
        <v>1</v>
      </c>
      <c r="B3" s="5">
        <v>103.62</v>
      </c>
      <c r="C3" s="5">
        <v>103.7</v>
      </c>
      <c r="D3" s="5">
        <v>102.9</v>
      </c>
      <c r="J3" s="5">
        <v>102.24</v>
      </c>
      <c r="K3" s="5">
        <v>106.03</v>
      </c>
    </row>
    <row r="4" spans="1:11">
      <c r="A4" s="4" t="s">
        <v>2</v>
      </c>
      <c r="B4" s="5">
        <v>102.03</v>
      </c>
      <c r="C4" s="5">
        <v>102.16</v>
      </c>
      <c r="D4" s="5">
        <v>102.06</v>
      </c>
      <c r="J4" s="5">
        <v>102.24</v>
      </c>
      <c r="K4" s="5">
        <v>105.74</v>
      </c>
    </row>
    <row r="5" spans="1:11">
      <c r="A5" s="4" t="s">
        <v>3</v>
      </c>
      <c r="B5" s="5">
        <v>101.09</v>
      </c>
      <c r="C5" s="5">
        <v>102.04</v>
      </c>
      <c r="D5" s="5">
        <v>101.8</v>
      </c>
      <c r="J5" s="5">
        <v>102.25</v>
      </c>
      <c r="K5" s="5">
        <v>105.22</v>
      </c>
    </row>
    <row r="6" spans="1:11">
      <c r="A6" s="4" t="s">
        <v>4</v>
      </c>
      <c r="B6" s="5">
        <v>100.7</v>
      </c>
      <c r="C6" s="5">
        <v>101.91</v>
      </c>
      <c r="D6" s="5">
        <v>101.75</v>
      </c>
      <c r="J6" s="5">
        <v>102.24</v>
      </c>
      <c r="K6" s="5">
        <v>105.09</v>
      </c>
    </row>
    <row r="7" spans="1:11">
      <c r="A7" s="4" t="s">
        <v>5</v>
      </c>
      <c r="B7" s="5">
        <v>100.84</v>
      </c>
      <c r="C7" s="5">
        <v>101.85</v>
      </c>
      <c r="D7" s="5">
        <v>101.85</v>
      </c>
      <c r="J7" s="5">
        <v>102.26</v>
      </c>
      <c r="K7" s="5">
        <v>104.95</v>
      </c>
    </row>
    <row r="8" spans="1:11">
      <c r="A8" s="4" t="s">
        <v>6</v>
      </c>
      <c r="B8" s="5">
        <v>101.04</v>
      </c>
      <c r="C8" s="5">
        <v>102.33</v>
      </c>
      <c r="D8" s="5">
        <v>102.06</v>
      </c>
      <c r="J8" s="5">
        <v>102.37</v>
      </c>
      <c r="K8" s="5">
        <v>104.64</v>
      </c>
    </row>
    <row r="9" spans="1:11">
      <c r="A9" s="4" t="s">
        <v>7</v>
      </c>
      <c r="B9" s="5">
        <v>101.85</v>
      </c>
      <c r="C9" s="5">
        <v>102.61</v>
      </c>
      <c r="D9" s="5">
        <v>102.3</v>
      </c>
      <c r="J9" s="5">
        <v>102.54</v>
      </c>
      <c r="K9" s="5">
        <v>104.28</v>
      </c>
    </row>
    <row r="10" spans="1:11">
      <c r="A10" s="4" t="s">
        <v>8</v>
      </c>
      <c r="B10" s="5">
        <v>103.04</v>
      </c>
      <c r="C10" s="5">
        <v>102.17</v>
      </c>
      <c r="D10" s="5">
        <v>102.47</v>
      </c>
      <c r="J10" s="5">
        <v>102.58</v>
      </c>
      <c r="K10" s="5">
        <v>102.65</v>
      </c>
    </row>
    <row r="11" spans="1:11">
      <c r="A11" s="4" t="s">
        <v>9</v>
      </c>
      <c r="B11" s="5">
        <v>102.94</v>
      </c>
      <c r="C11" s="5">
        <v>102.49</v>
      </c>
      <c r="D11" s="5">
        <v>102.54</v>
      </c>
      <c r="J11" s="5">
        <v>102.54</v>
      </c>
      <c r="K11" s="5">
        <v>102.57</v>
      </c>
    </row>
    <row r="12" spans="1:11">
      <c r="A12" s="4" t="s">
        <v>10</v>
      </c>
      <c r="B12" s="5">
        <v>102.46</v>
      </c>
      <c r="C12" s="5">
        <v>102.47</v>
      </c>
      <c r="D12" s="5">
        <v>102.18</v>
      </c>
      <c r="J12" s="5">
        <v>102.38</v>
      </c>
      <c r="K12" s="5">
        <v>102.56</v>
      </c>
    </row>
    <row r="13" spans="1:11">
      <c r="A13" s="4" t="s">
        <v>11</v>
      </c>
      <c r="B13" s="5">
        <v>102.43</v>
      </c>
      <c r="C13" s="5">
        <v>102.35</v>
      </c>
      <c r="D13" s="5">
        <v>101.86</v>
      </c>
      <c r="J13" s="5">
        <v>102.22</v>
      </c>
      <c r="K13" s="5">
        <v>102.54</v>
      </c>
    </row>
    <row r="14" spans="1:11">
      <c r="A14" s="4" t="s">
        <v>12</v>
      </c>
      <c r="B14" s="5">
        <v>102.04</v>
      </c>
      <c r="C14" s="5">
        <v>102.88</v>
      </c>
      <c r="D14" s="5">
        <v>101.74</v>
      </c>
      <c r="J14" s="5">
        <v>102.07</v>
      </c>
      <c r="K14" s="5">
        <v>102.66</v>
      </c>
    </row>
    <row r="15" spans="1:11">
      <c r="A15" s="4" t="s">
        <v>13</v>
      </c>
      <c r="B15" s="5">
        <v>101.22</v>
      </c>
      <c r="C15" s="5">
        <v>102.36</v>
      </c>
      <c r="D15" s="5">
        <v>101.49</v>
      </c>
      <c r="J15" s="5">
        <v>102.21</v>
      </c>
      <c r="K15" s="5">
        <v>102.75</v>
      </c>
    </row>
    <row r="16" spans="1:11">
      <c r="A16" s="4" t="s">
        <v>14</v>
      </c>
      <c r="B16" s="5">
        <v>103.48</v>
      </c>
      <c r="C16" s="5">
        <v>102.42</v>
      </c>
      <c r="D16" s="5">
        <v>102.28</v>
      </c>
      <c r="J16" s="5">
        <v>102.06</v>
      </c>
      <c r="K16" s="5">
        <v>102.68</v>
      </c>
    </row>
    <row r="17" spans="1:11">
      <c r="A17" s="4" t="s">
        <v>15</v>
      </c>
      <c r="B17" s="5">
        <v>104.75</v>
      </c>
      <c r="C17" s="5">
        <v>102.52</v>
      </c>
      <c r="D17" s="5">
        <v>102.54</v>
      </c>
      <c r="J17" s="5">
        <v>101.96</v>
      </c>
      <c r="K17" s="5">
        <v>102.59</v>
      </c>
    </row>
    <row r="18" spans="1:11">
      <c r="A18" s="4" t="s">
        <v>16</v>
      </c>
      <c r="B18" s="5">
        <v>105.76</v>
      </c>
      <c r="C18" s="5">
        <v>102.59</v>
      </c>
      <c r="D18" s="5">
        <v>102.74</v>
      </c>
      <c r="J18" s="5">
        <v>101.82</v>
      </c>
      <c r="K18" s="5">
        <v>102.46</v>
      </c>
    </row>
    <row r="19" spans="1:11">
      <c r="A19" s="4" t="s">
        <v>17</v>
      </c>
      <c r="B19" s="5">
        <v>106.15</v>
      </c>
      <c r="C19" s="5">
        <v>102.4</v>
      </c>
      <c r="D19" s="5">
        <v>102.68</v>
      </c>
      <c r="J19" s="5">
        <v>101.59</v>
      </c>
      <c r="K19" s="5">
        <v>102.54</v>
      </c>
    </row>
    <row r="20" spans="1:11">
      <c r="A20" s="4" t="s">
        <v>18</v>
      </c>
      <c r="B20" s="5">
        <v>106.69</v>
      </c>
      <c r="C20" s="5">
        <v>102.25</v>
      </c>
      <c r="D20" s="5">
        <v>102.78</v>
      </c>
      <c r="J20" s="5">
        <v>101.45</v>
      </c>
      <c r="K20" s="5">
        <v>102.57</v>
      </c>
    </row>
    <row r="21" spans="1:11">
      <c r="A21" s="4" t="s">
        <v>19</v>
      </c>
      <c r="B21" s="5">
        <v>107.28</v>
      </c>
      <c r="C21" s="5">
        <v>102.12</v>
      </c>
      <c r="D21" s="5">
        <v>102.84</v>
      </c>
      <c r="J21" s="5">
        <v>101.04</v>
      </c>
      <c r="K21" s="5">
        <v>102.35</v>
      </c>
    </row>
    <row r="22" spans="1:11">
      <c r="A22" s="4" t="s">
        <v>20</v>
      </c>
      <c r="B22" s="5">
        <v>108.39</v>
      </c>
      <c r="C22" s="5">
        <v>101.75</v>
      </c>
      <c r="D22" s="5">
        <v>103.02</v>
      </c>
      <c r="J22" s="5">
        <v>100.73</v>
      </c>
      <c r="K22" s="5">
        <v>102.21</v>
      </c>
    </row>
    <row r="23" spans="1:11">
      <c r="A23" s="4" t="s">
        <v>21</v>
      </c>
      <c r="B23" s="5">
        <v>111.38</v>
      </c>
      <c r="C23" s="5">
        <v>101.91</v>
      </c>
      <c r="D23" s="5">
        <v>103.76</v>
      </c>
      <c r="J23" s="5">
        <v>100.52</v>
      </c>
      <c r="K23" s="5">
        <v>102.11</v>
      </c>
    </row>
    <row r="24" spans="1:11">
      <c r="A24" s="4" t="s">
        <v>22</v>
      </c>
      <c r="B24" s="5">
        <v>113.93</v>
      </c>
      <c r="C24" s="5">
        <v>101.74</v>
      </c>
      <c r="D24" s="5">
        <v>104.49</v>
      </c>
      <c r="J24" s="5">
        <v>100.43</v>
      </c>
      <c r="K24" s="5">
        <v>102.01</v>
      </c>
    </row>
    <row r="25" spans="1:11">
      <c r="A25" s="4" t="s">
        <v>23</v>
      </c>
      <c r="B25" s="5">
        <v>112.9</v>
      </c>
      <c r="C25" s="5">
        <v>101.81</v>
      </c>
      <c r="D25" s="5">
        <v>104.46</v>
      </c>
      <c r="J25" s="5">
        <v>100.52</v>
      </c>
      <c r="K25" s="5">
        <v>102.06</v>
      </c>
    </row>
    <row r="26" spans="1:11">
      <c r="A26" s="4" t="s">
        <v>24</v>
      </c>
      <c r="B26" s="5">
        <v>115.15</v>
      </c>
      <c r="C26" s="5">
        <v>102.23</v>
      </c>
      <c r="D26" s="5">
        <v>105.38</v>
      </c>
      <c r="J26" s="5">
        <v>100.51</v>
      </c>
      <c r="K26" s="5">
        <v>102.26</v>
      </c>
    </row>
    <row r="27" spans="1:11">
      <c r="A27" s="4" t="s">
        <v>25</v>
      </c>
      <c r="B27" s="5">
        <v>116.01</v>
      </c>
      <c r="C27" s="5">
        <v>100.95</v>
      </c>
      <c r="D27" s="5">
        <v>105.17</v>
      </c>
      <c r="J27" s="5">
        <v>100.26</v>
      </c>
      <c r="K27" s="5">
        <v>102.15</v>
      </c>
    </row>
    <row r="28" spans="1:11">
      <c r="A28" s="4" t="s">
        <v>26</v>
      </c>
      <c r="B28" s="5">
        <v>113.59</v>
      </c>
      <c r="C28" s="5">
        <v>102.53</v>
      </c>
      <c r="D28" s="5">
        <v>104.27</v>
      </c>
      <c r="J28" s="5">
        <v>99.89</v>
      </c>
      <c r="K28" s="5">
        <v>102.17</v>
      </c>
    </row>
    <row r="29" spans="1:11">
      <c r="A29" s="4" t="s">
        <v>27</v>
      </c>
      <c r="B29" s="5">
        <v>111.26</v>
      </c>
      <c r="C29" s="5">
        <v>102</v>
      </c>
      <c r="D29" s="5">
        <v>103.29</v>
      </c>
      <c r="J29" s="5">
        <v>99.66</v>
      </c>
      <c r="K29" s="5">
        <v>102.25</v>
      </c>
    </row>
    <row r="30" spans="1:11">
      <c r="A30" s="4" t="s">
        <v>28</v>
      </c>
      <c r="B30" s="5">
        <v>108.47</v>
      </c>
      <c r="C30" s="5">
        <v>102.2</v>
      </c>
      <c r="D30" s="5">
        <v>102.44</v>
      </c>
      <c r="J30" s="5">
        <v>99.53</v>
      </c>
      <c r="K30" s="5">
        <v>102.12</v>
      </c>
    </row>
    <row r="31" spans="1:11">
      <c r="A31" s="4" t="s">
        <v>29</v>
      </c>
      <c r="B31" s="5">
        <v>108.77</v>
      </c>
      <c r="C31" s="5">
        <v>101.9</v>
      </c>
      <c r="D31" s="5">
        <v>102.48</v>
      </c>
      <c r="J31" s="5">
        <v>99.41</v>
      </c>
      <c r="K31" s="5">
        <v>101.85</v>
      </c>
    </row>
    <row r="32" spans="1:11">
      <c r="A32" s="4" t="s">
        <v>30</v>
      </c>
      <c r="B32" s="5">
        <v>110.16</v>
      </c>
      <c r="C32" s="5">
        <v>100.32</v>
      </c>
      <c r="D32" s="5">
        <v>102.7</v>
      </c>
      <c r="J32" s="5">
        <v>99.28</v>
      </c>
      <c r="K32" s="5">
        <v>101.61</v>
      </c>
    </row>
    <row r="33" spans="1:11">
      <c r="A33" s="4" t="s">
        <v>31</v>
      </c>
      <c r="B33" s="5">
        <v>108.83</v>
      </c>
      <c r="C33" s="5">
        <v>99.97</v>
      </c>
      <c r="D33" s="5">
        <v>102.38</v>
      </c>
      <c r="J33" s="5">
        <v>99.25</v>
      </c>
      <c r="K33" s="5">
        <v>101.52</v>
      </c>
    </row>
    <row r="34" spans="1:11">
      <c r="A34" s="4" t="s">
        <v>32</v>
      </c>
      <c r="B34" s="5">
        <v>106.4</v>
      </c>
      <c r="C34" s="5">
        <v>100.7</v>
      </c>
      <c r="D34" s="5">
        <v>101.7</v>
      </c>
      <c r="J34" s="5">
        <v>99.2</v>
      </c>
      <c r="K34" s="5">
        <v>101.5</v>
      </c>
    </row>
    <row r="35" spans="1:11">
      <c r="A35" s="4" t="s">
        <v>33</v>
      </c>
      <c r="B35" s="5">
        <v>102.4</v>
      </c>
      <c r="C35" s="5">
        <v>101.1</v>
      </c>
      <c r="D35" s="5">
        <v>100.5</v>
      </c>
      <c r="J35" s="5">
        <v>99.3</v>
      </c>
      <c r="K35" s="5">
        <v>101.5</v>
      </c>
    </row>
    <row r="36" spans="1:11">
      <c r="A36" s="4" t="s">
        <v>34</v>
      </c>
      <c r="B36" s="5">
        <v>99.3</v>
      </c>
      <c r="C36" s="5">
        <v>101</v>
      </c>
      <c r="D36" s="5">
        <v>99.5</v>
      </c>
      <c r="J36" s="5">
        <v>99.4</v>
      </c>
      <c r="K36" s="5">
        <v>101.5</v>
      </c>
    </row>
    <row r="37" spans="1:11">
      <c r="A37" s="4" t="s">
        <v>35</v>
      </c>
      <c r="B37" s="5">
        <v>101.4</v>
      </c>
      <c r="C37" s="5">
        <v>100.9</v>
      </c>
      <c r="D37" s="5">
        <v>100.2</v>
      </c>
      <c r="J37" s="5">
        <v>99.4</v>
      </c>
      <c r="K37" s="5">
        <v>101.3</v>
      </c>
    </row>
    <row r="38" spans="1:11">
      <c r="A38" s="4" t="s">
        <v>36</v>
      </c>
      <c r="B38" s="5">
        <v>101.4</v>
      </c>
      <c r="C38" s="5">
        <v>100</v>
      </c>
      <c r="D38" s="5">
        <v>99.7</v>
      </c>
      <c r="J38" s="5">
        <v>99.6</v>
      </c>
      <c r="K38" s="5">
        <v>100.4</v>
      </c>
    </row>
    <row r="39" spans="1:11">
      <c r="A39" s="4" t="s">
        <v>37</v>
      </c>
      <c r="B39" s="5">
        <v>100.3</v>
      </c>
      <c r="C39" s="5">
        <v>100.6</v>
      </c>
      <c r="D39" s="5">
        <v>99.8</v>
      </c>
      <c r="J39" s="5">
        <v>99.7</v>
      </c>
      <c r="K39" s="5">
        <v>100.3</v>
      </c>
    </row>
    <row r="40" spans="1:11">
      <c r="A40" s="4" t="s">
        <v>38</v>
      </c>
      <c r="B40" s="5">
        <v>100.1</v>
      </c>
      <c r="C40" s="5">
        <v>100.4</v>
      </c>
      <c r="D40" s="5">
        <v>100.4</v>
      </c>
      <c r="J40" s="5">
        <v>100.2</v>
      </c>
      <c r="K40" s="5">
        <v>100.2</v>
      </c>
    </row>
    <row r="41" spans="1:11">
      <c r="A41" s="4" t="s">
        <v>39</v>
      </c>
      <c r="B41" s="5">
        <v>100.1</v>
      </c>
      <c r="C41" s="5">
        <v>101.3</v>
      </c>
      <c r="D41" s="5">
        <v>100.9</v>
      </c>
      <c r="J41" s="5">
        <v>100.4</v>
      </c>
      <c r="K41" s="5">
        <v>100.1</v>
      </c>
    </row>
    <row r="42" spans="1:11">
      <c r="A42" s="4" t="s">
        <v>40</v>
      </c>
      <c r="B42" s="5">
        <v>100.8</v>
      </c>
      <c r="C42" s="5">
        <v>101.5</v>
      </c>
      <c r="D42" s="5">
        <v>101.3</v>
      </c>
      <c r="J42" s="5">
        <v>100.7</v>
      </c>
      <c r="K42" s="5">
        <v>100.2</v>
      </c>
    </row>
    <row r="43" spans="1:11">
      <c r="A43" s="4" t="s">
        <v>41</v>
      </c>
      <c r="B43" s="5">
        <v>99.6</v>
      </c>
      <c r="C43" s="5">
        <v>101.5</v>
      </c>
      <c r="D43" s="5">
        <v>101.1</v>
      </c>
      <c r="J43" s="5">
        <v>100.9</v>
      </c>
      <c r="K43" s="5">
        <v>100.3</v>
      </c>
    </row>
    <row r="44" spans="1:11">
      <c r="A44" s="4" t="s">
        <v>42</v>
      </c>
      <c r="B44" s="5">
        <v>98.2</v>
      </c>
      <c r="C44" s="5">
        <v>102.7</v>
      </c>
      <c r="D44" s="5">
        <v>101</v>
      </c>
      <c r="J44" s="5">
        <v>101.1</v>
      </c>
      <c r="K44" s="5">
        <v>100.4</v>
      </c>
    </row>
    <row r="45" spans="1:11">
      <c r="A45" s="4" t="s">
        <v>43</v>
      </c>
      <c r="B45" s="5">
        <v>98</v>
      </c>
      <c r="C45" s="5">
        <v>103</v>
      </c>
      <c r="D45" s="5">
        <v>100.8</v>
      </c>
      <c r="J45" s="5">
        <v>101.1</v>
      </c>
      <c r="K45" s="5">
        <v>100.4</v>
      </c>
    </row>
    <row r="46" spans="1:11">
      <c r="A46" s="4" t="s">
        <v>44</v>
      </c>
      <c r="B46" s="5">
        <v>97.2</v>
      </c>
      <c r="C46" s="5">
        <v>103.2</v>
      </c>
      <c r="D46" s="5">
        <v>100.7</v>
      </c>
      <c r="J46" s="5">
        <v>101.3</v>
      </c>
      <c r="K46" s="5">
        <v>100.4</v>
      </c>
    </row>
    <row r="47" spans="1:11">
      <c r="A47" s="4" t="s">
        <v>45</v>
      </c>
      <c r="B47" s="5">
        <v>99.1</v>
      </c>
      <c r="C47" s="5">
        <v>102.9</v>
      </c>
      <c r="D47" s="5">
        <v>101.5</v>
      </c>
      <c r="J47" s="5">
        <v>101.7</v>
      </c>
      <c r="K47" s="5">
        <v>100.6</v>
      </c>
    </row>
    <row r="48" spans="1:11">
      <c r="A48" s="4" t="s">
        <v>46</v>
      </c>
      <c r="B48" s="5">
        <v>101.7</v>
      </c>
      <c r="C48" s="5">
        <v>103</v>
      </c>
      <c r="D48" s="5">
        <v>102.3</v>
      </c>
      <c r="J48" s="5">
        <v>101.7</v>
      </c>
      <c r="K48" s="5">
        <v>100.6</v>
      </c>
    </row>
    <row r="49" spans="1:11">
      <c r="A49" s="4" t="s">
        <v>47</v>
      </c>
      <c r="B49" s="5">
        <v>99.9</v>
      </c>
      <c r="C49" s="5">
        <v>103.1</v>
      </c>
      <c r="D49" s="5">
        <v>101.5</v>
      </c>
      <c r="J49" s="5">
        <v>101.6</v>
      </c>
      <c r="K49" s="5">
        <v>100.7</v>
      </c>
    </row>
    <row r="50" spans="1:11">
      <c r="A50" s="4" t="s">
        <v>48</v>
      </c>
      <c r="B50" s="5">
        <v>98.2</v>
      </c>
      <c r="C50" s="5">
        <v>102.9</v>
      </c>
      <c r="D50" s="5">
        <v>100.9</v>
      </c>
      <c r="J50" s="5">
        <v>101.4</v>
      </c>
      <c r="K50" s="5">
        <v>100.6</v>
      </c>
    </row>
    <row r="51" spans="1:11">
      <c r="A51" s="4" t="s">
        <v>49</v>
      </c>
      <c r="B51" s="5">
        <v>98.2</v>
      </c>
      <c r="C51" s="5">
        <v>102.5</v>
      </c>
      <c r="D51" s="5">
        <v>100.9</v>
      </c>
      <c r="J51" s="5">
        <v>101.4</v>
      </c>
      <c r="K51" s="5">
        <v>100.6</v>
      </c>
    </row>
    <row r="52" spans="1:11">
      <c r="A52" s="4" t="s">
        <v>50</v>
      </c>
      <c r="B52" s="5">
        <v>99.7</v>
      </c>
      <c r="C52" s="5">
        <v>102.6</v>
      </c>
      <c r="D52" s="5">
        <v>101.5</v>
      </c>
      <c r="J52" s="5">
        <v>101.3</v>
      </c>
      <c r="K52" s="5">
        <v>100.7</v>
      </c>
    </row>
    <row r="53" spans="1:11">
      <c r="A53" s="4" t="s">
        <v>51</v>
      </c>
      <c r="B53" s="5">
        <v>101.9</v>
      </c>
      <c r="C53" s="5">
        <v>102</v>
      </c>
      <c r="D53" s="5">
        <v>102.1</v>
      </c>
      <c r="J53" s="5">
        <v>101.2</v>
      </c>
      <c r="K53" s="5">
        <v>100.7</v>
      </c>
    </row>
    <row r="54" spans="1:11">
      <c r="A54" s="4" t="s">
        <v>52</v>
      </c>
      <c r="B54" s="5">
        <v>102.1</v>
      </c>
      <c r="C54" s="5">
        <v>101.8</v>
      </c>
      <c r="D54" s="5">
        <v>102.1</v>
      </c>
      <c r="J54" s="5">
        <v>101</v>
      </c>
      <c r="K54" s="5">
        <v>100.7</v>
      </c>
    </row>
    <row r="55" spans="1:11">
      <c r="A55" s="4" t="s">
        <v>53</v>
      </c>
      <c r="B55" s="5">
        <v>102.5</v>
      </c>
      <c r="C55" s="5">
        <v>102.1</v>
      </c>
      <c r="D55" s="5">
        <v>102.5</v>
      </c>
      <c r="J55" s="5">
        <v>100.8</v>
      </c>
      <c r="K55" s="5">
        <v>100.7</v>
      </c>
    </row>
    <row r="56" spans="1:11">
      <c r="A56" s="4" t="s">
        <v>54</v>
      </c>
      <c r="B56" s="5">
        <v>104.7</v>
      </c>
      <c r="C56" s="5">
        <v>101.5</v>
      </c>
      <c r="D56" s="5">
        <v>102.7</v>
      </c>
      <c r="J56" s="5">
        <v>100.7</v>
      </c>
      <c r="K56" s="5">
        <v>100.7</v>
      </c>
    </row>
    <row r="57" spans="1:11">
      <c r="A57" s="4" t="s">
        <v>55</v>
      </c>
      <c r="B57" s="5">
        <v>104.5</v>
      </c>
      <c r="C57" s="5">
        <v>101.6</v>
      </c>
      <c r="D57" s="5">
        <v>102.5</v>
      </c>
      <c r="J57" s="5">
        <v>100.6</v>
      </c>
      <c r="K57" s="5">
        <v>100.7</v>
      </c>
    </row>
    <row r="58" spans="1:11">
      <c r="A58" s="4" t="s">
        <v>56</v>
      </c>
      <c r="B58" s="5">
        <v>106.3</v>
      </c>
      <c r="C58" s="5">
        <v>101.2</v>
      </c>
      <c r="D58" s="5">
        <v>102.8</v>
      </c>
      <c r="J58" s="5">
        <v>100.3</v>
      </c>
      <c r="K58" s="5">
        <v>100.7</v>
      </c>
    </row>
    <row r="59" spans="1:11">
      <c r="A59" s="4" t="s">
        <v>57</v>
      </c>
      <c r="B59" s="5">
        <v>105.2</v>
      </c>
      <c r="C59" s="5">
        <v>101.2</v>
      </c>
      <c r="D59" s="5">
        <v>102.1</v>
      </c>
      <c r="J59" s="5">
        <v>99.8</v>
      </c>
      <c r="K59" s="5">
        <v>100.5</v>
      </c>
    </row>
    <row r="60" spans="1:11">
      <c r="A60" s="4" t="s">
        <v>58</v>
      </c>
      <c r="B60" s="5">
        <v>103</v>
      </c>
      <c r="C60" s="5">
        <v>101.3</v>
      </c>
      <c r="D60" s="5">
        <v>101.6</v>
      </c>
      <c r="J60" s="5">
        <v>99.8</v>
      </c>
      <c r="K60" s="5">
        <v>100.5</v>
      </c>
    </row>
    <row r="61" spans="1:11">
      <c r="A61" s="4" t="s">
        <v>59</v>
      </c>
      <c r="B61" s="5">
        <v>103.7</v>
      </c>
      <c r="C61" s="5">
        <v>101.4</v>
      </c>
      <c r="D61" s="5">
        <v>101.8</v>
      </c>
      <c r="J61" s="5">
        <v>99.8</v>
      </c>
      <c r="K61" s="5">
        <v>100.6</v>
      </c>
    </row>
    <row r="62" spans="1:11">
      <c r="A62" s="4" t="s">
        <v>60</v>
      </c>
      <c r="B62" s="5">
        <v>104.7</v>
      </c>
      <c r="C62" s="5">
        <v>102.4</v>
      </c>
      <c r="D62" s="5">
        <v>102.1</v>
      </c>
      <c r="J62" s="5">
        <v>99.9</v>
      </c>
      <c r="K62" s="5">
        <v>100.8</v>
      </c>
    </row>
    <row r="63" spans="1:11">
      <c r="A63" s="4" t="s">
        <v>61</v>
      </c>
      <c r="B63" s="5">
        <v>102.1</v>
      </c>
      <c r="C63" s="5">
        <v>101.2</v>
      </c>
      <c r="D63" s="5">
        <v>101</v>
      </c>
      <c r="J63" s="5">
        <v>99.9</v>
      </c>
      <c r="K63" s="5">
        <v>101</v>
      </c>
    </row>
    <row r="64" spans="1:11">
      <c r="A64" s="4" t="s">
        <v>62</v>
      </c>
      <c r="B64" s="5">
        <v>102.1</v>
      </c>
      <c r="C64" s="5">
        <v>101.4</v>
      </c>
      <c r="D64" s="5">
        <v>100.7</v>
      </c>
      <c r="J64" s="5">
        <v>99.7</v>
      </c>
      <c r="K64" s="5">
        <v>101</v>
      </c>
    </row>
    <row r="65" spans="1:11">
      <c r="A65" s="4" t="s">
        <v>63</v>
      </c>
      <c r="B65" s="5">
        <v>100.8</v>
      </c>
      <c r="C65" s="5">
        <v>101.9</v>
      </c>
      <c r="D65" s="5">
        <v>100.1</v>
      </c>
      <c r="J65" s="5">
        <v>99.8</v>
      </c>
      <c r="K65" s="5">
        <v>101</v>
      </c>
    </row>
    <row r="66" spans="1:11">
      <c r="A66" s="4" t="s">
        <v>64</v>
      </c>
      <c r="B66" s="5">
        <v>101.2</v>
      </c>
      <c r="C66" s="5">
        <v>101.7</v>
      </c>
      <c r="D66" s="5">
        <v>100.2</v>
      </c>
      <c r="J66" s="5">
        <v>99.8</v>
      </c>
      <c r="K66" s="5">
        <v>101.1</v>
      </c>
    </row>
    <row r="67" spans="1:11">
      <c r="A67" s="4" t="s">
        <v>65</v>
      </c>
      <c r="B67" s="5">
        <v>102</v>
      </c>
      <c r="C67" s="5">
        <v>101.5</v>
      </c>
      <c r="D67" s="5">
        <v>100</v>
      </c>
      <c r="J67" s="5">
        <v>100</v>
      </c>
      <c r="K67" s="5">
        <v>101.1</v>
      </c>
    </row>
    <row r="68" spans="1:11">
      <c r="A68" s="4" t="s">
        <v>66</v>
      </c>
      <c r="B68" s="5">
        <v>99.5</v>
      </c>
      <c r="C68" s="5">
        <v>102.4</v>
      </c>
      <c r="D68" s="5">
        <v>99.7</v>
      </c>
      <c r="J68" s="5">
        <v>100.1</v>
      </c>
      <c r="K68" s="5">
        <v>101.2</v>
      </c>
    </row>
    <row r="69" spans="1:11">
      <c r="A69" s="4" t="s">
        <v>67</v>
      </c>
      <c r="B69" s="5">
        <v>99.5</v>
      </c>
      <c r="C69" s="5">
        <v>102.5</v>
      </c>
      <c r="D69" s="5">
        <v>100.1</v>
      </c>
      <c r="J69" s="5">
        <v>100.1</v>
      </c>
      <c r="K69" s="5">
        <v>101.2</v>
      </c>
    </row>
    <row r="70" spans="1:11">
      <c r="A70" s="4" t="s">
        <v>68</v>
      </c>
      <c r="B70" s="5">
        <v>98.5</v>
      </c>
      <c r="C70" s="5">
        <v>102.5</v>
      </c>
      <c r="D70" s="5">
        <v>100</v>
      </c>
      <c r="J70" s="5">
        <v>100.2</v>
      </c>
      <c r="K70" s="5">
        <v>101.3</v>
      </c>
    </row>
    <row r="71" spans="1:11">
      <c r="A71" s="4" t="s">
        <v>69</v>
      </c>
      <c r="B71" s="5">
        <v>97.9</v>
      </c>
      <c r="C71" s="5">
        <v>102.3</v>
      </c>
      <c r="D71" s="5">
        <v>99.8</v>
      </c>
      <c r="J71" s="5">
        <v>100.3</v>
      </c>
      <c r="K71" s="5">
        <v>101.3</v>
      </c>
    </row>
    <row r="72" spans="1:11">
      <c r="A72" s="4" t="s">
        <v>70</v>
      </c>
      <c r="B72" s="5">
        <v>97.8</v>
      </c>
      <c r="C72" s="5">
        <v>101.8</v>
      </c>
      <c r="D72" s="5">
        <v>99.5</v>
      </c>
      <c r="J72" s="5">
        <v>100.3</v>
      </c>
      <c r="K72" s="5">
        <v>101.3</v>
      </c>
    </row>
    <row r="73" spans="1:11">
      <c r="A73" s="4" t="s">
        <v>71</v>
      </c>
      <c r="B73" s="5">
        <v>98</v>
      </c>
      <c r="C73" s="5">
        <v>101.8</v>
      </c>
      <c r="D73" s="5">
        <v>99.7</v>
      </c>
      <c r="J73" s="5">
        <v>100.3</v>
      </c>
      <c r="K73" s="5">
        <v>101.4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例6-3</vt:lpstr>
      <vt:lpstr>散点图</vt:lpstr>
      <vt:lpstr>X1</vt:lpstr>
      <vt:lpstr>X2</vt:lpstr>
      <vt:lpstr>X3</vt:lpstr>
      <vt:lpstr>X4</vt:lpstr>
      <vt:lpstr>X1,X2</vt:lpstr>
      <vt:lpstr>X1,X3</vt:lpstr>
      <vt:lpstr>X1,X4</vt:lpstr>
      <vt:lpstr>X1,X2,X3</vt:lpstr>
      <vt:lpstr>X1,X2,X4</vt:lpstr>
      <vt:lpstr>X1,X2,X3,X4</vt:lpstr>
      <vt:lpstr>汇总</vt:lpstr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lee</dc:creator>
  <cp:lastModifiedBy>yuan chen</cp:lastModifiedBy>
  <dcterms:created xsi:type="dcterms:W3CDTF">2024-04-09T06:26:59Z</dcterms:created>
  <dcterms:modified xsi:type="dcterms:W3CDTF">2024-07-22T06:52:47Z</dcterms:modified>
</cp:coreProperties>
</file>