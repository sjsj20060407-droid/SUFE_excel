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trlProps/ctrlProp1.xml" ContentType="application/vnd.ms-excel.controlproperties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trlProps/ctrlProp2.xml" ContentType="application/vnd.ms-excel.controlpropertie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arl_\Desktop\1-第五版PPT&amp;数据源&amp;例题-0724\3-第五版例题答案-0723\第九章例题答案\"/>
    </mc:Choice>
  </mc:AlternateContent>
  <xr:revisionPtr revIDLastSave="0" documentId="13_ncr:1_{34E24F90-166F-490E-BF2E-34242610C068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例9-7" sheetId="12" r:id="rId1"/>
    <sheet name="蒙特卡洛投资风险分析模型 " sheetId="18" r:id="rId2"/>
    <sheet name="实现指定净现值的可能性分析图" sheetId="19" r:id="rId3"/>
    <sheet name="实现指定净现值的风险分析图" sheetId="2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8" l="1"/>
  <c r="L5" i="18"/>
  <c r="L6" i="18" s="1"/>
  <c r="L7" i="18" s="1"/>
  <c r="E32" i="18"/>
  <c r="E31" i="18"/>
  <c r="E30" i="18"/>
  <c r="E29" i="18"/>
  <c r="E16" i="18"/>
  <c r="E14" i="18"/>
  <c r="L8" i="18" l="1"/>
  <c r="L9" i="18" s="1"/>
  <c r="L10" i="18" s="1"/>
  <c r="C20" i="18"/>
  <c r="D40" i="18"/>
  <c r="K15" i="18" l="1"/>
  <c r="K16" i="18" s="1"/>
  <c r="D20" i="18"/>
  <c r="C22" i="18"/>
  <c r="L15" i="18" l="1"/>
  <c r="E20" i="18"/>
  <c r="C21" i="18"/>
  <c r="D22" i="18"/>
  <c r="D21" i="18"/>
  <c r="L16" i="18"/>
  <c r="K17" i="18"/>
  <c r="M16" i="18" l="1"/>
  <c r="M15" i="18"/>
  <c r="E22" i="18"/>
  <c r="C23" i="18"/>
  <c r="D23" i="18"/>
  <c r="E21" i="18"/>
  <c r="L17" i="18"/>
  <c r="K18" i="18"/>
  <c r="M17" i="18" l="1"/>
  <c r="E23" i="18"/>
  <c r="L18" i="18"/>
  <c r="K19" i="18"/>
  <c r="M18" i="18" l="1"/>
  <c r="E26" i="18"/>
  <c r="L19" i="18"/>
  <c r="K20" i="18"/>
  <c r="M19" i="18" l="1"/>
  <c r="H4" i="18"/>
  <c r="L20" i="18"/>
  <c r="K21" i="18"/>
  <c r="M20" i="18" l="1"/>
  <c r="L21" i="18"/>
  <c r="K22" i="18"/>
  <c r="M21" i="18" l="1"/>
  <c r="L22" i="18"/>
  <c r="K23" i="18"/>
  <c r="M22" i="18" l="1"/>
  <c r="L23" i="18"/>
  <c r="K24" i="18"/>
  <c r="M23" i="18" l="1"/>
  <c r="L24" i="18"/>
  <c r="K25" i="18"/>
  <c r="M24" i="18" l="1"/>
  <c r="L25" i="18"/>
  <c r="K26" i="18"/>
  <c r="M25" i="18" l="1"/>
  <c r="L26" i="18"/>
  <c r="K27" i="18"/>
  <c r="M26" i="18" l="1"/>
  <c r="L27" i="18"/>
  <c r="K28" i="18"/>
  <c r="C36" i="18" s="1" a="1"/>
  <c r="C36" i="18" s="1"/>
  <c r="M27" i="18" l="1"/>
  <c r="L28" i="18"/>
  <c r="K29" i="18"/>
  <c r="M28" i="18" l="1"/>
  <c r="L29" i="18"/>
  <c r="K30" i="18"/>
  <c r="M29" i="18" l="1"/>
  <c r="L30" i="18"/>
  <c r="K31" i="18"/>
  <c r="M30" i="18" l="1"/>
  <c r="L31" i="18"/>
  <c r="K32" i="18"/>
  <c r="M31" i="18" l="1"/>
  <c r="L32" i="18"/>
  <c r="K33" i="18"/>
  <c r="M32" i="18" l="1"/>
  <c r="L33" i="18"/>
  <c r="K34" i="18"/>
  <c r="M33" i="18" l="1"/>
  <c r="L34" i="18"/>
  <c r="K35" i="18"/>
  <c r="M34" i="18" l="1"/>
  <c r="L35" i="18"/>
  <c r="K36" i="18"/>
  <c r="M35" i="18" l="1"/>
  <c r="L36" i="18"/>
  <c r="K37" i="18"/>
  <c r="M36" i="18" l="1"/>
  <c r="L37" i="18"/>
  <c r="K38" i="18"/>
  <c r="M37" i="18" l="1"/>
  <c r="L38" i="18"/>
  <c r="K39" i="18"/>
  <c r="M38" i="18" l="1"/>
  <c r="L39" i="18"/>
  <c r="K40" i="18"/>
  <c r="M39" i="18" l="1"/>
  <c r="L40" i="18"/>
  <c r="K41" i="18"/>
  <c r="M40" i="18" l="1"/>
  <c r="L41" i="18"/>
  <c r="K42" i="18"/>
  <c r="M41" i="18" l="1"/>
  <c r="L42" i="18"/>
  <c r="K43" i="18"/>
  <c r="M42" i="18" l="1"/>
  <c r="L43" i="18"/>
  <c r="K44" i="18"/>
  <c r="C45" i="18" l="1"/>
  <c r="M43" i="18"/>
  <c r="L44" i="18"/>
  <c r="K45" i="18"/>
  <c r="C49" i="18" l="1"/>
  <c r="C48" i="18"/>
  <c r="C43" i="18"/>
  <c r="D49" i="18"/>
  <c r="C44" i="18"/>
  <c r="C50" i="18"/>
  <c r="C37" i="18"/>
  <c r="M44" i="18"/>
  <c r="L45" i="18"/>
  <c r="K46" i="18"/>
  <c r="M45" i="18" l="1"/>
  <c r="L46" i="18"/>
  <c r="M46" i="18" l="1"/>
  <c r="D44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<sst xmlns="http://schemas.openxmlformats.org/spreadsheetml/2006/main" count="59" uniqueCount="54">
  <si>
    <t>贴现率</t>
  </si>
  <si>
    <t>销量</t>
  </si>
  <si>
    <t>总成本</t>
  </si>
  <si>
    <t>区号</t>
  </si>
  <si>
    <t>X坐标</t>
  </si>
  <si>
    <t>Y坐标</t>
  </si>
  <si>
    <t>最低点坐标</t>
  </si>
  <si>
    <t>最高点坐标</t>
  </si>
  <si>
    <t>2.生成区</t>
  </si>
  <si>
    <t>单位可变成本最小值</t>
  </si>
  <si>
    <t>单位可变成本最大值</t>
  </si>
  <si>
    <t>3.输出区—中间结果</t>
  </si>
  <si>
    <t>1.输入区—初始参数</t>
  </si>
  <si>
    <t>3.输出区—最终结果</t>
  </si>
  <si>
    <t>5.统计区</t>
  </si>
  <si>
    <t>4.试验区</t>
  </si>
  <si>
    <t>净现值</t>
  </si>
  <si>
    <t>次数</t>
  </si>
  <si>
    <t>价格</t>
  </si>
  <si>
    <t>先验</t>
  </si>
  <si>
    <t>累计</t>
  </si>
  <si>
    <t>刻度</t>
  </si>
  <si>
    <t>&gt;某净值</t>
  </si>
  <si>
    <t>6.图形区——图形数据表</t>
    <phoneticPr fontId="2" type="noConversion"/>
  </si>
  <si>
    <t>6.图形区—控制参数区</t>
    <phoneticPr fontId="2" type="noConversion"/>
  </si>
  <si>
    <t>与净现值概率曲线交点坐标</t>
    <phoneticPr fontId="2" type="noConversion"/>
  </si>
  <si>
    <t>指定净现值</t>
    <phoneticPr fontId="2" type="noConversion"/>
  </si>
  <si>
    <t>风险</t>
    <phoneticPr fontId="2" type="noConversion"/>
  </si>
  <si>
    <t>指定净现值可能性垂直线</t>
    <phoneticPr fontId="2" type="noConversion"/>
  </si>
  <si>
    <t>指定净现值风险垂直线</t>
    <phoneticPr fontId="2" type="noConversion"/>
  </si>
  <si>
    <t>净现值(百万元)</t>
    <phoneticPr fontId="2" type="noConversion"/>
  </si>
  <si>
    <t>1.输入区—价格分布表</t>
    <phoneticPr fontId="2" type="noConversion"/>
  </si>
  <si>
    <t>销售收入</t>
    <phoneticPr fontId="2" type="noConversion"/>
  </si>
  <si>
    <r>
      <t>初始投资额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百万元</t>
    </r>
    <r>
      <rPr>
        <sz val="11"/>
        <rFont val="Times New Roman"/>
        <family val="1"/>
      </rPr>
      <t>)</t>
    </r>
  </si>
  <si>
    <r>
      <t>初始销量均值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百万件</t>
    </r>
    <r>
      <rPr>
        <sz val="11"/>
        <rFont val="Times New Roman"/>
        <family val="1"/>
      </rPr>
      <t>)</t>
    </r>
  </si>
  <si>
    <r>
      <t>初始销量标准差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百万件</t>
    </r>
    <r>
      <rPr>
        <sz val="11"/>
        <rFont val="Times New Roman"/>
        <family val="1"/>
      </rPr>
      <t>)</t>
    </r>
  </si>
  <si>
    <r>
      <t>销量第</t>
    </r>
    <r>
      <rPr>
        <sz val="11"/>
        <rFont val="Times New Roman"/>
        <family val="1"/>
      </rPr>
      <t>2</t>
    </r>
    <r>
      <rPr>
        <sz val="11"/>
        <rFont val="宋体"/>
        <family val="3"/>
        <charset val="134"/>
      </rPr>
      <t>年增长率</t>
    </r>
  </si>
  <si>
    <r>
      <t>销量第</t>
    </r>
    <r>
      <rPr>
        <sz val="11"/>
        <rFont val="Times New Roman"/>
        <family val="1"/>
      </rPr>
      <t>3</t>
    </r>
    <r>
      <rPr>
        <sz val="11"/>
        <rFont val="宋体"/>
        <family val="3"/>
        <charset val="134"/>
      </rPr>
      <t>年增长率</t>
    </r>
  </si>
  <si>
    <r>
      <t>年固定成本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百万元</t>
    </r>
    <r>
      <rPr>
        <sz val="11"/>
        <rFont val="Times New Roman"/>
        <family val="1"/>
      </rPr>
      <t>)</t>
    </r>
  </si>
  <si>
    <r>
      <t>初始销量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百万件</t>
    </r>
    <r>
      <rPr>
        <sz val="11"/>
        <rFont val="Times New Roman"/>
        <family val="1"/>
      </rPr>
      <t>)</t>
    </r>
  </si>
  <si>
    <r>
      <t>价格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元</t>
    </r>
    <r>
      <rPr>
        <sz val="11"/>
        <rFont val="Times New Roman"/>
        <family val="1"/>
      </rPr>
      <t>)</t>
    </r>
    <phoneticPr fontId="2" type="noConversion"/>
  </si>
  <si>
    <r>
      <t>单位变动成本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元</t>
    </r>
    <r>
      <rPr>
        <sz val="11"/>
        <rFont val="Times New Roman"/>
        <family val="1"/>
      </rPr>
      <t>)</t>
    </r>
    <phoneticPr fontId="2" type="noConversion"/>
  </si>
  <si>
    <r>
      <t>第</t>
    </r>
    <r>
      <rPr>
        <sz val="11"/>
        <rFont val="Times New Roman"/>
        <family val="1"/>
      </rPr>
      <t>1</t>
    </r>
    <r>
      <rPr>
        <sz val="11"/>
        <rFont val="宋体"/>
        <family val="3"/>
        <charset val="134"/>
      </rPr>
      <t>年</t>
    </r>
  </si>
  <si>
    <r>
      <t>第</t>
    </r>
    <r>
      <rPr>
        <sz val="11"/>
        <rFont val="Times New Roman"/>
        <family val="1"/>
      </rPr>
      <t>2</t>
    </r>
    <r>
      <rPr>
        <sz val="11"/>
        <rFont val="宋体"/>
        <family val="3"/>
        <charset val="134"/>
      </rPr>
      <t>年</t>
    </r>
  </si>
  <si>
    <r>
      <t>第</t>
    </r>
    <r>
      <rPr>
        <sz val="11"/>
        <rFont val="Times New Roman"/>
        <family val="1"/>
      </rPr>
      <t>3</t>
    </r>
    <r>
      <rPr>
        <sz val="11"/>
        <rFont val="宋体"/>
        <family val="3"/>
        <charset val="134"/>
      </rPr>
      <t>年</t>
    </r>
  </si>
  <si>
    <r>
      <t>利润</t>
    </r>
    <r>
      <rPr>
        <sz val="11"/>
        <rFont val="Times New Roman"/>
        <family val="1"/>
      </rPr>
      <t>/</t>
    </r>
    <r>
      <rPr>
        <sz val="11"/>
        <rFont val="宋体"/>
        <family val="3"/>
        <charset val="134"/>
      </rPr>
      <t>现金收入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百万元</t>
    </r>
    <r>
      <rPr>
        <sz val="11"/>
        <rFont val="Times New Roman"/>
        <family val="1"/>
      </rPr>
      <t>)</t>
    </r>
    <phoneticPr fontId="2" type="noConversion"/>
  </si>
  <si>
    <r>
      <t>1000</t>
    </r>
    <r>
      <rPr>
        <sz val="11"/>
        <rFont val="宋体"/>
        <family val="3"/>
        <charset val="134"/>
      </rPr>
      <t>次模拟净现值均值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百万元</t>
    </r>
    <r>
      <rPr>
        <sz val="11"/>
        <rFont val="Times New Roman"/>
        <family val="1"/>
      </rPr>
      <t>)</t>
    </r>
  </si>
  <si>
    <r>
      <t>1000</t>
    </r>
    <r>
      <rPr>
        <sz val="11"/>
        <rFont val="宋体"/>
        <family val="3"/>
        <charset val="134"/>
      </rPr>
      <t>次模拟净现值标准差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百万元</t>
    </r>
    <r>
      <rPr>
        <sz val="11"/>
        <rFont val="Times New Roman"/>
        <family val="1"/>
      </rPr>
      <t>)</t>
    </r>
  </si>
  <si>
    <r>
      <t>1000</t>
    </r>
    <r>
      <rPr>
        <sz val="11"/>
        <rFont val="宋体"/>
        <family val="3"/>
        <charset val="134"/>
      </rPr>
      <t>次模拟净现值最大值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百万元</t>
    </r>
    <r>
      <rPr>
        <sz val="11"/>
        <rFont val="Times New Roman"/>
        <family val="1"/>
      </rPr>
      <t>)</t>
    </r>
  </si>
  <si>
    <r>
      <t>1000</t>
    </r>
    <r>
      <rPr>
        <sz val="11"/>
        <rFont val="宋体"/>
        <family val="3"/>
        <charset val="134"/>
      </rPr>
      <t>次模拟净现值最小值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百万元</t>
    </r>
    <r>
      <rPr>
        <sz val="11"/>
        <rFont val="Times New Roman"/>
        <family val="1"/>
      </rPr>
      <t>)</t>
    </r>
  </si>
  <si>
    <t>大于指定净现值的概率</t>
    <phoneticPr fontId="2" type="noConversion"/>
  </si>
  <si>
    <r>
      <rPr>
        <sz val="11"/>
        <rFont val="宋体"/>
        <family val="3"/>
        <charset val="134"/>
      </rPr>
      <t>确定统计区间的行数</t>
    </r>
    <r>
      <rPr>
        <sz val="11"/>
        <rFont val="Times New Roman"/>
        <family val="1"/>
      </rPr>
      <t>(K)</t>
    </r>
    <phoneticPr fontId="2" type="noConversion"/>
  </si>
  <si>
    <r>
      <t>分段统计点之间间隔</t>
    </r>
    <r>
      <rPr>
        <sz val="11"/>
        <rFont val="Times New Roman"/>
        <family val="1"/>
      </rPr>
      <t>(H)</t>
    </r>
    <phoneticPr fontId="2" type="noConversion"/>
  </si>
  <si>
    <t>表单控件参数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</si>
</sst>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%"/>
    <numFmt numFmtId="177" formatCode="0.0"/>
    <numFmt numFmtId="178" formatCode="0.00_);[Red]\(0.00\)"/>
    <numFmt numFmtId="179" formatCode="0.00_ "/>
    <numFmt numFmtId="180" formatCode="0_);[Red]\(0\)"/>
    <numFmt numFmtId="181" formatCode="0_ "/>
  </numFmts>
  <fonts count="8" x14ac:knownFonts="1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name val="Times New Roman"/>
      <family val="1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 applyBorder="1" applyAlignment="1">
      <alignment horizontal="center" vertical="center" wrapText="1"/>
    </xf>
    <xf numFmtId="9" fontId="2" fillId="0" borderId="0" xfId="0" applyNumberFormat="1" applyFont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vertical="center"/>
    </xf>
    <xf numFmtId="1" fontId="3" fillId="0" borderId="5" xfId="0" applyNumberFormat="1" applyFont="1" applyFill="1" applyBorder="1" applyAlignment="1">
      <alignment horizontal="right" vertical="center"/>
    </xf>
    <xf numFmtId="176" fontId="3" fillId="0" borderId="7" xfId="1" applyNumberFormat="1" applyFont="1" applyFill="1" applyBorder="1" applyAlignment="1">
      <alignment vertical="center"/>
    </xf>
    <xf numFmtId="176" fontId="3" fillId="0" borderId="0" xfId="0" applyNumberFormat="1" applyFont="1" applyFill="1" applyBorder="1" applyAlignment="1">
      <alignment vertical="center"/>
    </xf>
    <xf numFmtId="176" fontId="3" fillId="0" borderId="5" xfId="1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1" fontId="3" fillId="0" borderId="6" xfId="0" applyNumberFormat="1" applyFont="1" applyFill="1" applyBorder="1" applyAlignment="1">
      <alignment horizontal="right" vertical="center"/>
    </xf>
    <xf numFmtId="176" fontId="3" fillId="0" borderId="6" xfId="1" applyNumberFormat="1" applyFont="1" applyFill="1" applyBorder="1" applyAlignment="1">
      <alignment vertical="center"/>
    </xf>
    <xf numFmtId="9" fontId="3" fillId="0" borderId="0" xfId="0" applyNumberFormat="1" applyFont="1" applyFill="1" applyBorder="1" applyAlignment="1">
      <alignment vertical="center"/>
    </xf>
    <xf numFmtId="177" fontId="3" fillId="0" borderId="0" xfId="0" applyNumberFormat="1" applyFont="1" applyFill="1" applyBorder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vertical="center"/>
    </xf>
    <xf numFmtId="1" fontId="3" fillId="0" borderId="0" xfId="0" applyNumberFormat="1" applyFont="1" applyFill="1" applyAlignment="1">
      <alignment horizontal="center" vertical="center"/>
    </xf>
    <xf numFmtId="9" fontId="3" fillId="0" borderId="1" xfId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178" fontId="3" fillId="0" borderId="1" xfId="0" applyNumberFormat="1" applyFont="1" applyFill="1" applyBorder="1" applyAlignment="1">
      <alignment vertical="center"/>
    </xf>
    <xf numFmtId="9" fontId="3" fillId="0" borderId="1" xfId="1" applyNumberFormat="1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vertical="center"/>
    </xf>
    <xf numFmtId="176" fontId="3" fillId="0" borderId="0" xfId="1" applyNumberFormat="1" applyFont="1" applyFill="1" applyBorder="1" applyAlignment="1">
      <alignment vertical="center"/>
    </xf>
    <xf numFmtId="179" fontId="6" fillId="0" borderId="1" xfId="0" applyNumberFormat="1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180" fontId="7" fillId="0" borderId="1" xfId="0" applyNumberFormat="1" applyFont="1" applyFill="1" applyBorder="1" applyAlignment="1">
      <alignment horizontal="center" vertical="center"/>
    </xf>
    <xf numFmtId="181" fontId="7" fillId="0" borderId="1" xfId="0" applyNumberFormat="1" applyFont="1" applyFill="1" applyBorder="1" applyAlignment="1">
      <alignment horizontal="center" vertical="center"/>
    </xf>
    <xf numFmtId="176" fontId="3" fillId="0" borderId="1" xfId="1" applyNumberFormat="1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50" b="1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rPr lang="zh-CN" altLang="en-US"/>
              <a:t>投资项目净现值的累计概率分布</a:t>
            </a:r>
          </a:p>
        </c:rich>
      </c:tx>
      <c:layout>
        <c:manualLayout>
          <c:xMode val="edge"/>
          <c:yMode val="edge"/>
          <c:x val="0.24110699601285016"/>
          <c:y val="4.29864253393665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0065940569855187E-2"/>
          <c:y val="0.22624459382577619"/>
          <c:w val="0.81686534613974249"/>
          <c:h val="0.59049838988527592"/>
        </c:manualLayout>
      </c:layout>
      <c:scatterChart>
        <c:scatterStyle val="smoothMarker"/>
        <c:varyColors val="0"/>
        <c:ser>
          <c:idx val="0"/>
          <c:order val="0"/>
          <c:spPr>
            <a:ln w="38100">
              <a:solidFill>
                <a:srgbClr val="333333"/>
              </a:solidFill>
              <a:prstDash val="solid"/>
            </a:ln>
          </c:spPr>
          <c:marker>
            <c:symbol val="none"/>
          </c:marker>
          <c:xVal>
            <c:numRef>
              <c:f>'蒙特卡洛投资风险分析模型 '!$K$15:$K$46</c:f>
              <c:numCache>
                <c:formatCode>0</c:formatCode>
                <c:ptCount val="32"/>
                <c:pt idx="0">
                  <c:v>-2086.3018087186492</c:v>
                </c:pt>
                <c:pt idx="1">
                  <c:v>-1806.7651740816364</c:v>
                </c:pt>
                <c:pt idx="2">
                  <c:v>-1527.2285394446235</c:v>
                </c:pt>
                <c:pt idx="3">
                  <c:v>-1247.6919048076106</c:v>
                </c:pt>
                <c:pt idx="4">
                  <c:v>-968.15527017059787</c:v>
                </c:pt>
                <c:pt idx="5">
                  <c:v>-688.61863553358512</c:v>
                </c:pt>
                <c:pt idx="6">
                  <c:v>-409.08200089657237</c:v>
                </c:pt>
                <c:pt idx="7">
                  <c:v>-129.54536625955961</c:v>
                </c:pt>
                <c:pt idx="8">
                  <c:v>149.99126837745314</c:v>
                </c:pt>
                <c:pt idx="9">
                  <c:v>429.52790301446589</c:v>
                </c:pt>
                <c:pt idx="10">
                  <c:v>709.06453765147864</c:v>
                </c:pt>
                <c:pt idx="11">
                  <c:v>988.6011722884914</c:v>
                </c:pt>
                <c:pt idx="12">
                  <c:v>1268.1378069255043</c:v>
                </c:pt>
                <c:pt idx="13">
                  <c:v>1547.6744415625171</c:v>
                </c:pt>
                <c:pt idx="14">
                  <c:v>1827.21107619953</c:v>
                </c:pt>
                <c:pt idx="15">
                  <c:v>2106.7477108365429</c:v>
                </c:pt>
                <c:pt idx="16">
                  <c:v>2386.2843454735557</c:v>
                </c:pt>
                <c:pt idx="17">
                  <c:v>2665.8209801105686</c:v>
                </c:pt>
                <c:pt idx="18">
                  <c:v>2945.3576147475815</c:v>
                </c:pt>
                <c:pt idx="19">
                  <c:v>3224.8942493845943</c:v>
                </c:pt>
                <c:pt idx="20">
                  <c:v>3504.4308840216072</c:v>
                </c:pt>
                <c:pt idx="21">
                  <c:v>3783.9675186586201</c:v>
                </c:pt>
                <c:pt idx="22">
                  <c:v>4063.5041532956329</c:v>
                </c:pt>
                <c:pt idx="23">
                  <c:v>4343.0407879326458</c:v>
                </c:pt>
                <c:pt idx="24">
                  <c:v>4622.5774225696587</c:v>
                </c:pt>
                <c:pt idx="25">
                  <c:v>4902.1140572066715</c:v>
                </c:pt>
                <c:pt idx="26">
                  <c:v>5181.6506918436844</c:v>
                </c:pt>
                <c:pt idx="27">
                  <c:v>5461.1873264806973</c:v>
                </c:pt>
                <c:pt idx="28">
                  <c:v>5740.7239611177101</c:v>
                </c:pt>
                <c:pt idx="29">
                  <c:v>6020.260595754723</c:v>
                </c:pt>
                <c:pt idx="30">
                  <c:v>6299.7972303917359</c:v>
                </c:pt>
                <c:pt idx="31">
                  <c:v>6579.3338650287487</c:v>
                </c:pt>
              </c:numCache>
            </c:numRef>
          </c:xVal>
          <c:yVal>
            <c:numRef>
              <c:f>'蒙特卡洛投资风险分析模型 '!$N$15:$N$46</c:f>
              <c:numCache>
                <c:formatCode>0.0%</c:formatCode>
                <c:ptCount val="3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40-4A1A-BD90-DE40AED31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80224"/>
        <c:axId val="108580800"/>
      </c:scatterChart>
      <c:valAx>
        <c:axId val="108580224"/>
        <c:scaling>
          <c:orientation val="minMax"/>
          <c:max val="30"/>
          <c:min val="-20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zh-CN" altLang="en-US" sz="1325" b="1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项目净现值(百万元)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3412388866411461"/>
              <c:y val="0.87782900440612344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08580800"/>
        <c:crossesAt val="-20"/>
        <c:crossBetween val="midCat"/>
        <c:majorUnit val="5"/>
        <c:minorUnit val="1"/>
      </c:valAx>
      <c:valAx>
        <c:axId val="108580800"/>
        <c:scaling>
          <c:orientation val="minMax"/>
          <c:max val="1"/>
          <c:min val="0"/>
        </c:scaling>
        <c:delete val="0"/>
        <c:axPos val="r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 rot="0" vert="wordArtVertRtl"/>
              <a:lstStyle/>
              <a:p>
                <a:pPr algn="ctr">
                  <a:defRPr sz="1325" b="1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zh-CN" altLang="en-US"/>
                  <a:t>累计概率值</a:t>
                </a:r>
              </a:p>
            </c:rich>
          </c:tx>
          <c:layout>
            <c:manualLayout>
              <c:xMode val="edge"/>
              <c:yMode val="edge"/>
              <c:x val="0.93807766124096148"/>
              <c:y val="0.37556608591346896"/>
            </c:manualLayout>
          </c:layout>
          <c:overlay val="0"/>
          <c:spPr>
            <a:noFill/>
            <a:ln w="25400">
              <a:noFill/>
            </a:ln>
          </c:spPr>
        </c:title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08580224"/>
        <c:crosses val="max"/>
        <c:crossBetween val="midCat"/>
        <c:majorUnit val="0.1"/>
        <c:minorUnit val="0.0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b="1"/>
              <a:t>实现指定净现值的可能性分析模型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6208223972003502E-2"/>
          <c:y val="0.1529927129715814"/>
          <c:w val="0.81907830271216098"/>
          <c:h val="0.73236027605175547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'蒙特卡洛投资风险分析模型 '!$K$15:$K$46</c:f>
              <c:numCache>
                <c:formatCode>0</c:formatCode>
                <c:ptCount val="32"/>
                <c:pt idx="0">
                  <c:v>-2086.3018087186492</c:v>
                </c:pt>
                <c:pt idx="1">
                  <c:v>-1806.7651740816364</c:v>
                </c:pt>
                <c:pt idx="2">
                  <c:v>-1527.2285394446235</c:v>
                </c:pt>
                <c:pt idx="3">
                  <c:v>-1247.6919048076106</c:v>
                </c:pt>
                <c:pt idx="4">
                  <c:v>-968.15527017059787</c:v>
                </c:pt>
                <c:pt idx="5">
                  <c:v>-688.61863553358512</c:v>
                </c:pt>
                <c:pt idx="6">
                  <c:v>-409.08200089657237</c:v>
                </c:pt>
                <c:pt idx="7">
                  <c:v>-129.54536625955961</c:v>
                </c:pt>
                <c:pt idx="8">
                  <c:v>149.99126837745314</c:v>
                </c:pt>
                <c:pt idx="9">
                  <c:v>429.52790301446589</c:v>
                </c:pt>
                <c:pt idx="10">
                  <c:v>709.06453765147864</c:v>
                </c:pt>
                <c:pt idx="11">
                  <c:v>988.6011722884914</c:v>
                </c:pt>
                <c:pt idx="12">
                  <c:v>1268.1378069255043</c:v>
                </c:pt>
                <c:pt idx="13">
                  <c:v>1547.6744415625171</c:v>
                </c:pt>
                <c:pt idx="14">
                  <c:v>1827.21107619953</c:v>
                </c:pt>
                <c:pt idx="15">
                  <c:v>2106.7477108365429</c:v>
                </c:pt>
                <c:pt idx="16">
                  <c:v>2386.2843454735557</c:v>
                </c:pt>
                <c:pt idx="17">
                  <c:v>2665.8209801105686</c:v>
                </c:pt>
                <c:pt idx="18">
                  <c:v>2945.3576147475815</c:v>
                </c:pt>
                <c:pt idx="19">
                  <c:v>3224.8942493845943</c:v>
                </c:pt>
                <c:pt idx="20">
                  <c:v>3504.4308840216072</c:v>
                </c:pt>
                <c:pt idx="21">
                  <c:v>3783.9675186586201</c:v>
                </c:pt>
                <c:pt idx="22">
                  <c:v>4063.5041532956329</c:v>
                </c:pt>
                <c:pt idx="23">
                  <c:v>4343.0407879326458</c:v>
                </c:pt>
                <c:pt idx="24">
                  <c:v>4622.5774225696587</c:v>
                </c:pt>
                <c:pt idx="25">
                  <c:v>4902.1140572066715</c:v>
                </c:pt>
                <c:pt idx="26">
                  <c:v>5181.6506918436844</c:v>
                </c:pt>
                <c:pt idx="27">
                  <c:v>5461.1873264806973</c:v>
                </c:pt>
                <c:pt idx="28">
                  <c:v>5740.7239611177101</c:v>
                </c:pt>
                <c:pt idx="29">
                  <c:v>6020.260595754723</c:v>
                </c:pt>
                <c:pt idx="30">
                  <c:v>6299.7972303917359</c:v>
                </c:pt>
                <c:pt idx="31">
                  <c:v>6579.3338650287487</c:v>
                </c:pt>
              </c:numCache>
            </c:numRef>
          </c:xVal>
          <c:yVal>
            <c:numRef>
              <c:f>'蒙特卡洛投资风险分析模型 '!$L$15:$L$46</c:f>
              <c:numCache>
                <c:formatCode>0.0%</c:formatCode>
                <c:ptCount val="32"/>
                <c:pt idx="0">
                  <c:v>1</c:v>
                </c:pt>
                <c:pt idx="1">
                  <c:v>0.998</c:v>
                </c:pt>
                <c:pt idx="2">
                  <c:v>0.996</c:v>
                </c:pt>
                <c:pt idx="3">
                  <c:v>0.99</c:v>
                </c:pt>
                <c:pt idx="4">
                  <c:v>0.98399999999999999</c:v>
                </c:pt>
                <c:pt idx="5">
                  <c:v>0.96499999999999997</c:v>
                </c:pt>
                <c:pt idx="6">
                  <c:v>0.93400000000000005</c:v>
                </c:pt>
                <c:pt idx="7">
                  <c:v>0.89800000000000002</c:v>
                </c:pt>
                <c:pt idx="8">
                  <c:v>0.84599999999999997</c:v>
                </c:pt>
                <c:pt idx="9">
                  <c:v>0.79100000000000004</c:v>
                </c:pt>
                <c:pt idx="10">
                  <c:v>0.71499999999999997</c:v>
                </c:pt>
                <c:pt idx="11">
                  <c:v>0.64300000000000002</c:v>
                </c:pt>
                <c:pt idx="12">
                  <c:v>0.53300000000000003</c:v>
                </c:pt>
                <c:pt idx="13">
                  <c:v>0.45300000000000001</c:v>
                </c:pt>
                <c:pt idx="14">
                  <c:v>0.37</c:v>
                </c:pt>
                <c:pt idx="15">
                  <c:v>0.29799999999999999</c:v>
                </c:pt>
                <c:pt idx="16">
                  <c:v>0.24199999999999999</c:v>
                </c:pt>
                <c:pt idx="17">
                  <c:v>0.185</c:v>
                </c:pt>
                <c:pt idx="18">
                  <c:v>0.14299999999999999</c:v>
                </c:pt>
                <c:pt idx="19">
                  <c:v>0.12</c:v>
                </c:pt>
                <c:pt idx="20">
                  <c:v>8.6999999999999994E-2</c:v>
                </c:pt>
                <c:pt idx="21">
                  <c:v>6.7000000000000004E-2</c:v>
                </c:pt>
                <c:pt idx="22">
                  <c:v>4.5999999999999999E-2</c:v>
                </c:pt>
                <c:pt idx="23">
                  <c:v>3.2000000000000001E-2</c:v>
                </c:pt>
                <c:pt idx="24">
                  <c:v>2.4E-2</c:v>
                </c:pt>
                <c:pt idx="25">
                  <c:v>1.9E-2</c:v>
                </c:pt>
                <c:pt idx="26">
                  <c:v>1.4999999999999999E-2</c:v>
                </c:pt>
                <c:pt idx="27">
                  <c:v>1.0999999999999999E-2</c:v>
                </c:pt>
                <c:pt idx="28">
                  <c:v>5.0000000000000001E-3</c:v>
                </c:pt>
                <c:pt idx="29">
                  <c:v>1E-3</c:v>
                </c:pt>
                <c:pt idx="30">
                  <c:v>1E-3</c:v>
                </c:pt>
                <c:pt idx="3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AE-4656-B52E-9E22D166292B}"/>
            </c:ext>
          </c:extLst>
        </c:ser>
        <c:ser>
          <c:idx val="1"/>
          <c:order val="1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circle"/>
              <c:size val="7"/>
              <c:spPr>
                <a:solidFill>
                  <a:srgbClr val="FF0000"/>
                </a:solidFill>
                <a:ln>
                  <a:solidFill>
                    <a:srgbClr val="FF00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6AE-4656-B52E-9E22D166292B}"/>
              </c:ext>
            </c:extLst>
          </c:dPt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6AE-4656-B52E-9E22D166292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'蒙特卡洛投资风险分析模型 '!$C$43:$C$45</c:f>
              <c:numCache>
                <c:formatCode>0</c:formatCode>
                <c:ptCount val="3"/>
                <c:pt idx="0">
                  <c:v>1547.6744415625171</c:v>
                </c:pt>
                <c:pt idx="1">
                  <c:v>1547.6744415625171</c:v>
                </c:pt>
                <c:pt idx="2">
                  <c:v>1547.6744415625171</c:v>
                </c:pt>
              </c:numCache>
            </c:numRef>
          </c:xVal>
          <c:yVal>
            <c:numRef>
              <c:f>'蒙特卡洛投资风险分析模型 '!$D$43:$D$45</c:f>
              <c:numCache>
                <c:formatCode>0.0%</c:formatCode>
                <c:ptCount val="3"/>
                <c:pt idx="0" formatCode="General">
                  <c:v>0</c:v>
                </c:pt>
                <c:pt idx="1">
                  <c:v>0.45300000000000001</c:v>
                </c:pt>
                <c:pt idx="2" formatCode="General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6AE-4656-B52E-9E22D1662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83104"/>
        <c:axId val="108583680"/>
      </c:scatterChart>
      <c:valAx>
        <c:axId val="108583104"/>
        <c:scaling>
          <c:orientation val="minMax"/>
          <c:max val="7000"/>
          <c:min val="-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8583680"/>
        <c:crosses val="autoZero"/>
        <c:crossBetween val="midCat"/>
        <c:majorUnit val="1000"/>
      </c:valAx>
      <c:valAx>
        <c:axId val="108583680"/>
        <c:scaling>
          <c:orientation val="minMax"/>
          <c:max val="1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8583104"/>
        <c:crosses val="max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b="1"/>
              <a:t>实现指定净现值的风险分析模型</a:t>
            </a:r>
          </a:p>
        </c:rich>
      </c:tx>
      <c:layout>
        <c:manualLayout>
          <c:xMode val="edge"/>
          <c:yMode val="edge"/>
          <c:x val="0.21388888888888888"/>
          <c:y val="2.555910543130990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6208223972003502E-2"/>
          <c:y val="0.1529927129715814"/>
          <c:w val="0.81907830271216098"/>
          <c:h val="0.73236027605175547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'蒙特卡洛投资风险分析模型 '!$K$15:$K$46</c:f>
              <c:numCache>
                <c:formatCode>0</c:formatCode>
                <c:ptCount val="32"/>
                <c:pt idx="0">
                  <c:v>-2086.3018087186492</c:v>
                </c:pt>
                <c:pt idx="1">
                  <c:v>-1806.7651740816364</c:v>
                </c:pt>
                <c:pt idx="2">
                  <c:v>-1527.2285394446235</c:v>
                </c:pt>
                <c:pt idx="3">
                  <c:v>-1247.6919048076106</c:v>
                </c:pt>
                <c:pt idx="4">
                  <c:v>-968.15527017059787</c:v>
                </c:pt>
                <c:pt idx="5">
                  <c:v>-688.61863553358512</c:v>
                </c:pt>
                <c:pt idx="6">
                  <c:v>-409.08200089657237</c:v>
                </c:pt>
                <c:pt idx="7">
                  <c:v>-129.54536625955961</c:v>
                </c:pt>
                <c:pt idx="8">
                  <c:v>149.99126837745314</c:v>
                </c:pt>
                <c:pt idx="9">
                  <c:v>429.52790301446589</c:v>
                </c:pt>
                <c:pt idx="10">
                  <c:v>709.06453765147864</c:v>
                </c:pt>
                <c:pt idx="11">
                  <c:v>988.6011722884914</c:v>
                </c:pt>
                <c:pt idx="12">
                  <c:v>1268.1378069255043</c:v>
                </c:pt>
                <c:pt idx="13">
                  <c:v>1547.6744415625171</c:v>
                </c:pt>
                <c:pt idx="14">
                  <c:v>1827.21107619953</c:v>
                </c:pt>
                <c:pt idx="15">
                  <c:v>2106.7477108365429</c:v>
                </c:pt>
                <c:pt idx="16">
                  <c:v>2386.2843454735557</c:v>
                </c:pt>
                <c:pt idx="17">
                  <c:v>2665.8209801105686</c:v>
                </c:pt>
                <c:pt idx="18">
                  <c:v>2945.3576147475815</c:v>
                </c:pt>
                <c:pt idx="19">
                  <c:v>3224.8942493845943</c:v>
                </c:pt>
                <c:pt idx="20">
                  <c:v>3504.4308840216072</c:v>
                </c:pt>
                <c:pt idx="21">
                  <c:v>3783.9675186586201</c:v>
                </c:pt>
                <c:pt idx="22">
                  <c:v>4063.5041532956329</c:v>
                </c:pt>
                <c:pt idx="23">
                  <c:v>4343.0407879326458</c:v>
                </c:pt>
                <c:pt idx="24">
                  <c:v>4622.5774225696587</c:v>
                </c:pt>
                <c:pt idx="25">
                  <c:v>4902.1140572066715</c:v>
                </c:pt>
                <c:pt idx="26">
                  <c:v>5181.6506918436844</c:v>
                </c:pt>
                <c:pt idx="27">
                  <c:v>5461.1873264806973</c:v>
                </c:pt>
                <c:pt idx="28">
                  <c:v>5740.7239611177101</c:v>
                </c:pt>
                <c:pt idx="29">
                  <c:v>6020.260595754723</c:v>
                </c:pt>
                <c:pt idx="30">
                  <c:v>6299.7972303917359</c:v>
                </c:pt>
                <c:pt idx="31">
                  <c:v>6579.3338650287487</c:v>
                </c:pt>
              </c:numCache>
            </c:numRef>
          </c:xVal>
          <c:yVal>
            <c:numRef>
              <c:f>'蒙特卡洛投资风险分析模型 '!$M$15:$M$46</c:f>
              <c:numCache>
                <c:formatCode>0.0%</c:formatCode>
                <c:ptCount val="32"/>
                <c:pt idx="0">
                  <c:v>0</c:v>
                </c:pt>
                <c:pt idx="1">
                  <c:v>2.0000000000000018E-3</c:v>
                </c:pt>
                <c:pt idx="2">
                  <c:v>4.0000000000000036E-3</c:v>
                </c:pt>
                <c:pt idx="3">
                  <c:v>1.0000000000000009E-2</c:v>
                </c:pt>
                <c:pt idx="4">
                  <c:v>1.6000000000000014E-2</c:v>
                </c:pt>
                <c:pt idx="5">
                  <c:v>3.5000000000000031E-2</c:v>
                </c:pt>
                <c:pt idx="6">
                  <c:v>6.5999999999999948E-2</c:v>
                </c:pt>
                <c:pt idx="7">
                  <c:v>0.10199999999999998</c:v>
                </c:pt>
                <c:pt idx="8">
                  <c:v>0.15400000000000003</c:v>
                </c:pt>
                <c:pt idx="9">
                  <c:v>0.20899999999999996</c:v>
                </c:pt>
                <c:pt idx="10">
                  <c:v>0.28500000000000003</c:v>
                </c:pt>
                <c:pt idx="11">
                  <c:v>0.35699999999999998</c:v>
                </c:pt>
                <c:pt idx="12">
                  <c:v>0.46699999999999997</c:v>
                </c:pt>
                <c:pt idx="13">
                  <c:v>0.54699999999999993</c:v>
                </c:pt>
                <c:pt idx="14">
                  <c:v>0.63</c:v>
                </c:pt>
                <c:pt idx="15">
                  <c:v>0.70199999999999996</c:v>
                </c:pt>
                <c:pt idx="16">
                  <c:v>0.75800000000000001</c:v>
                </c:pt>
                <c:pt idx="17">
                  <c:v>0.81499999999999995</c:v>
                </c:pt>
                <c:pt idx="18">
                  <c:v>0.85699999999999998</c:v>
                </c:pt>
                <c:pt idx="19">
                  <c:v>0.88</c:v>
                </c:pt>
                <c:pt idx="20">
                  <c:v>0.91300000000000003</c:v>
                </c:pt>
                <c:pt idx="21">
                  <c:v>0.93300000000000005</c:v>
                </c:pt>
                <c:pt idx="22">
                  <c:v>0.95399999999999996</c:v>
                </c:pt>
                <c:pt idx="23">
                  <c:v>0.96799999999999997</c:v>
                </c:pt>
                <c:pt idx="24">
                  <c:v>0.97599999999999998</c:v>
                </c:pt>
                <c:pt idx="25">
                  <c:v>0.98099999999999998</c:v>
                </c:pt>
                <c:pt idx="26">
                  <c:v>0.98499999999999999</c:v>
                </c:pt>
                <c:pt idx="27">
                  <c:v>0.98899999999999999</c:v>
                </c:pt>
                <c:pt idx="28">
                  <c:v>0.995</c:v>
                </c:pt>
                <c:pt idx="29">
                  <c:v>0.999</c:v>
                </c:pt>
                <c:pt idx="30">
                  <c:v>0.999</c:v>
                </c:pt>
                <c:pt idx="3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9E-4038-B4ED-DB8BB11B4BDE}"/>
            </c:ext>
          </c:extLst>
        </c:ser>
        <c:ser>
          <c:idx val="1"/>
          <c:order val="1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circle"/>
              <c:size val="7"/>
              <c:spPr>
                <a:solidFill>
                  <a:srgbClr val="FF0000"/>
                </a:solidFill>
                <a:ln>
                  <a:solidFill>
                    <a:srgbClr val="FF00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4B9E-4038-B4ED-DB8BB11B4BDE}"/>
              </c:ext>
            </c:extLst>
          </c:dPt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B9E-4038-B4ED-DB8BB11B4BD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'蒙特卡洛投资风险分析模型 '!$C$48:$C$50</c:f>
              <c:numCache>
                <c:formatCode>0</c:formatCode>
                <c:ptCount val="3"/>
                <c:pt idx="0">
                  <c:v>1547.6744415625171</c:v>
                </c:pt>
                <c:pt idx="1">
                  <c:v>1547.6744415625171</c:v>
                </c:pt>
                <c:pt idx="2">
                  <c:v>1547.6744415625171</c:v>
                </c:pt>
              </c:numCache>
            </c:numRef>
          </c:xVal>
          <c:yVal>
            <c:numRef>
              <c:f>'蒙特卡洛投资风险分析模型 '!$D$48:$D$50</c:f>
              <c:numCache>
                <c:formatCode>0.0%</c:formatCode>
                <c:ptCount val="3"/>
                <c:pt idx="0" formatCode="General">
                  <c:v>0</c:v>
                </c:pt>
                <c:pt idx="1">
                  <c:v>0.54699999999999993</c:v>
                </c:pt>
                <c:pt idx="2" formatCode="General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B9E-4038-B4ED-DB8BB11B4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220096"/>
        <c:axId val="203220672"/>
      </c:scatterChart>
      <c:valAx>
        <c:axId val="203220096"/>
        <c:scaling>
          <c:orientation val="minMax"/>
          <c:max val="7000"/>
          <c:min val="-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3220672"/>
        <c:crosses val="autoZero"/>
        <c:crossBetween val="midCat"/>
        <c:majorUnit val="1000"/>
      </c:valAx>
      <c:valAx>
        <c:axId val="203220672"/>
        <c:scaling>
          <c:orientation val="minMax"/>
          <c:max val="1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3220096"/>
        <c:crosses val="max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Spin" dx="16" fmlaLink="'蒙特卡洛投资风险分析模型 '!$C$35" max="32" min="1" page="10" val="14"/>
</file>

<file path=xl/ctrlProps/ctrlProp2.xml><?xml version="1.0" encoding="utf-8"?>
<formControlPr xmlns="http://schemas.microsoft.com/office/spreadsheetml/2009/9/main" objectType="Spin" dx="16" fmlaLink="'蒙特卡洛投资风险分析模型 '!$C$35" max="32" min="1" page="10" val="14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152400</xdr:rowOff>
    </xdr:from>
    <xdr:to>
      <xdr:col>14</xdr:col>
      <xdr:colOff>393700</xdr:colOff>
      <xdr:row>13</xdr:row>
      <xdr:rowOff>63500</xdr:rowOff>
    </xdr:to>
    <xdr:sp macro="" textlink="">
      <xdr:nvSpPr>
        <xdr:cNvPr id="48129" name="Text Box 1">
          <a:extLst>
            <a:ext uri="{FF2B5EF4-FFF2-40B4-BE49-F238E27FC236}">
              <a16:creationId xmlns:a16="http://schemas.microsoft.com/office/drawing/2014/main" id="{00000000-0008-0000-0000-000001BC0000}"/>
            </a:ext>
          </a:extLst>
        </xdr:cNvPr>
        <xdr:cNvSpPr txBox="1">
          <a:spLocks noChangeArrowheads="1"/>
        </xdr:cNvSpPr>
      </xdr:nvSpPr>
      <xdr:spPr bwMode="auto">
        <a:xfrm>
          <a:off x="152400" y="152400"/>
          <a:ext cx="5791200" cy="23876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r>
            <a:rPr lang="zh-CN" altLang="zh-CN" sz="1100">
              <a:effectLst/>
              <a:latin typeface="+mn-lt"/>
              <a:ea typeface="+mn-ea"/>
              <a:cs typeface="+mn-cs"/>
            </a:rPr>
            <a:t>【例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9-7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】银河公司有一个研究开发智能医疗可穿戴设备的投资项目，其初始投资额为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1000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万元，有效期为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3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年。该项目一旦投入运营后，第一年产品的销量服从均值为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300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万件而标准差为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100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万件的正态分布随机数，预期第二年销量将在第一年的基础上增长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25%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，预期第三年销量将在第二年基础上下降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40%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。三年内每年需要投入的固定成本为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500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万元。产品的单价与单位变动成本也都是随机变量，三年内每一年的单位变动成本都是在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200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元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/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件～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400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元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/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件之间变化的均匀分布的随机数，三年内每一年的产品销售单价都是按照</a:t>
          </a:r>
          <a:r>
            <a:rPr lang="zh-CN" altLang="en-US" sz="1100">
              <a:effectLst/>
              <a:latin typeface="+mn-lt"/>
              <a:ea typeface="+mn-ea"/>
              <a:cs typeface="+mn-cs"/>
            </a:rPr>
            <a:t>下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表所示的离散分布随机数。如果该智能医疗可穿戴设备投资项目的贴现率为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9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％，银河公司投资决策前需要分析这项智能医疗可穿戴设备的投资风险。</a:t>
          </a:r>
        </a:p>
      </xdr:txBody>
    </xdr:sp>
    <xdr:clientData/>
  </xdr:twoCellAnchor>
  <xdr:twoCellAnchor editAs="oneCell">
    <xdr:from>
      <xdr:col>1</xdr:col>
      <xdr:colOff>406399</xdr:colOff>
      <xdr:row>9</xdr:row>
      <xdr:rowOff>44450</xdr:rowOff>
    </xdr:from>
    <xdr:to>
      <xdr:col>11</xdr:col>
      <xdr:colOff>190192</xdr:colOff>
      <xdr:row>11</xdr:row>
      <xdr:rowOff>165100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799" y="1758950"/>
          <a:ext cx="3244543" cy="50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1</xdr:row>
      <xdr:rowOff>0</xdr:rowOff>
    </xdr:from>
    <xdr:to>
      <xdr:col>48</xdr:col>
      <xdr:colOff>371475</xdr:colOff>
      <xdr:row>23</xdr:row>
      <xdr:rowOff>19050</xdr:rowOff>
    </xdr:to>
    <xdr:graphicFrame macro="">
      <xdr:nvGraphicFramePr>
        <xdr:cNvPr id="2" name="Chart 29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406400</xdr:colOff>
      <xdr:row>1</xdr:row>
      <xdr:rowOff>130175</xdr:rowOff>
    </xdr:from>
    <xdr:to>
      <xdr:col>8</xdr:col>
      <xdr:colOff>215900</xdr:colOff>
      <xdr:row>15</xdr:row>
      <xdr:rowOff>53975</xdr:rowOff>
    </xdr:to>
    <xdr:grpSp>
      <xdr:nvGrpSpPr>
        <xdr:cNvPr id="6" name="组合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406400" y="330200"/>
          <a:ext cx="5295900" cy="2724150"/>
          <a:chOff x="406400" y="330200"/>
          <a:chExt cx="4572000" cy="2981325"/>
        </a:xfrm>
      </xdr:grpSpPr>
      <xdr:graphicFrame macro="">
        <xdr:nvGraphicFramePr>
          <xdr:cNvPr id="2" name="图表 1">
            <a:extLst>
              <a:ext uri="{FF2B5EF4-FFF2-40B4-BE49-F238E27FC236}">
                <a16:creationId xmlns:a16="http://schemas.microsoft.com/office/drawing/2014/main" id="{00000000-0008-0000-0200-000002000000}"/>
              </a:ext>
            </a:extLst>
          </xdr:cNvPr>
          <xdr:cNvGraphicFramePr>
            <a:graphicFrameLocks/>
          </xdr:cNvGraphicFramePr>
        </xdr:nvGraphicFramePr>
        <xdr:xfrm>
          <a:off x="406400" y="330200"/>
          <a:ext cx="4572000" cy="29813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4" name="组合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GrpSpPr/>
        </xdr:nvGrpSpPr>
        <xdr:grpSpPr>
          <a:xfrm>
            <a:off x="2692400" y="774700"/>
            <a:ext cx="1689100" cy="209550"/>
            <a:chOff x="5899150" y="539750"/>
            <a:chExt cx="1689100" cy="209550"/>
          </a:xfrm>
        </xdr:grpSpPr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97281" name="Spinner 1" hidden="1">
                  <a:extLst>
                    <a:ext uri="{63B3BB69-23CF-44E3-9099-C40C66FF867C}">
                      <a14:compatExt spid="_x0000_s97281"/>
                    </a:ext>
                    <a:ext uri="{FF2B5EF4-FFF2-40B4-BE49-F238E27FC236}">
                      <a16:creationId xmlns:a16="http://schemas.microsoft.com/office/drawing/2014/main" id="{00000000-0008-0000-0200-0000017C0100}"/>
                    </a:ext>
                  </a:extLst>
                </xdr:cNvPr>
                <xdr:cNvSpPr/>
              </xdr:nvSpPr>
              <xdr:spPr bwMode="auto">
                <a:xfrm>
                  <a:off x="5899150" y="539750"/>
                  <a:ext cx="234950" cy="196851"/>
                </a:xfrm>
                <a:prstGeom prst="rect">
                  <a:avLst/>
                </a:prstGeom>
                <a:noFill/>
                <a:ln w="9525">
                  <a:miter lim="800000"/>
                  <a:headEnd/>
                  <a:tailEnd/>
                </a:ln>
              </xdr:spPr>
            </xdr:sp>
          </mc:Choice>
          <mc:Fallback/>
        </mc:AlternateContent>
        <xdr:sp macro="" textlink="'蒙特卡洛投资风险分析模型 '!B36">
          <xdr:nvSpPr>
            <xdr:cNvPr id="3" name="TextBox 2">
              <a:extLst>
                <a:ext uri="{FF2B5EF4-FFF2-40B4-BE49-F238E27FC236}">
                  <a16:creationId xmlns:a16="http://schemas.microsoft.com/office/drawing/2014/main" id="{00000000-0008-0000-0200-000003000000}"/>
                </a:ext>
              </a:extLst>
            </xdr:cNvPr>
            <xdr:cNvSpPr txBox="1"/>
          </xdr:nvSpPr>
          <xdr:spPr>
            <a:xfrm>
              <a:off x="6146800" y="539750"/>
              <a:ext cx="895350" cy="2095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fld id="{44D1BE92-0A39-46AF-B349-22C4E3EFDE44}" type="TxLink">
                <a:rPr lang="zh-CN" altLang="en-US" sz="1100"/>
                <a:pPr/>
                <a:t>指定净现值</a:t>
              </a:fld>
              <a:endParaRPr lang="zh-CN" altLang="en-US" sz="1100"/>
            </a:p>
          </xdr:txBody>
        </xdr:sp>
        <xdr:sp macro="" textlink="'蒙特卡洛投资风险分析模型 '!C36">
          <xdr:nvSpPr>
            <xdr:cNvPr id="5" name="TextBox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 txBox="1"/>
          </xdr:nvSpPr>
          <xdr:spPr>
            <a:xfrm>
              <a:off x="7042150" y="539750"/>
              <a:ext cx="546100" cy="2095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fld id="{B6C362EE-7B8A-488F-BC90-6B2E98965C92}" type="TxLink">
                <a:rPr lang="zh-CN" altLang="en-US" sz="1100"/>
                <a:pPr/>
                <a:t>1548</a:t>
              </a:fld>
              <a:endParaRPr lang="zh-CN" altLang="en-US" sz="1100"/>
            </a:p>
          </xdr:txBody>
        </xdr:sp>
      </xdr:grp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425450</xdr:colOff>
      <xdr:row>0</xdr:row>
      <xdr:rowOff>152400</xdr:rowOff>
    </xdr:from>
    <xdr:to>
      <xdr:col>8</xdr:col>
      <xdr:colOff>228600</xdr:colOff>
      <xdr:row>14</xdr:row>
      <xdr:rowOff>76200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425450" y="152400"/>
          <a:ext cx="5289550" cy="2724150"/>
          <a:chOff x="787400" y="431800"/>
          <a:chExt cx="4572000" cy="2981325"/>
        </a:xfrm>
      </xdr:grpSpPr>
      <xdr:graphicFrame macro="">
        <xdr:nvGraphicFramePr>
          <xdr:cNvPr id="3" name="图表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aphicFramePr>
            <a:graphicFrameLocks/>
          </xdr:cNvGraphicFramePr>
        </xdr:nvGraphicFramePr>
        <xdr:xfrm>
          <a:off x="787400" y="431800"/>
          <a:ext cx="4572000" cy="29813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4" name="组合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GrpSpPr/>
        </xdr:nvGrpSpPr>
        <xdr:grpSpPr>
          <a:xfrm>
            <a:off x="1092200" y="901700"/>
            <a:ext cx="1689100" cy="209550"/>
            <a:chOff x="4298950" y="666750"/>
            <a:chExt cx="1689100" cy="209550"/>
          </a:xfrm>
        </xdr:grpSpPr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98305" name="Spinner 1" hidden="1">
                  <a:extLst>
                    <a:ext uri="{63B3BB69-23CF-44E3-9099-C40C66FF867C}">
                      <a14:compatExt spid="_x0000_s98305"/>
                    </a:ext>
                    <a:ext uri="{FF2B5EF4-FFF2-40B4-BE49-F238E27FC236}">
                      <a16:creationId xmlns:a16="http://schemas.microsoft.com/office/drawing/2014/main" id="{00000000-0008-0000-0300-000001800100}"/>
                    </a:ext>
                  </a:extLst>
                </xdr:cNvPr>
                <xdr:cNvSpPr/>
              </xdr:nvSpPr>
              <xdr:spPr bwMode="auto">
                <a:xfrm>
                  <a:off x="4298950" y="666750"/>
                  <a:ext cx="234950" cy="196851"/>
                </a:xfrm>
                <a:prstGeom prst="rect">
                  <a:avLst/>
                </a:prstGeom>
                <a:noFill/>
                <a:ln w="9525">
                  <a:miter lim="800000"/>
                  <a:headEnd/>
                  <a:tailEnd/>
                </a:ln>
              </xdr:spPr>
            </xdr:sp>
          </mc:Choice>
          <mc:Fallback/>
        </mc:AlternateContent>
        <xdr:sp macro="" textlink="'蒙特卡洛投资风险分析模型 '!B36">
          <xdr:nvSpPr>
            <xdr:cNvPr id="6" name="TextBox 5">
              <a:extLst>
                <a:ext uri="{FF2B5EF4-FFF2-40B4-BE49-F238E27FC236}">
                  <a16:creationId xmlns:a16="http://schemas.microsoft.com/office/drawing/2014/main" id="{00000000-0008-0000-0300-000006000000}"/>
                </a:ext>
              </a:extLst>
            </xdr:cNvPr>
            <xdr:cNvSpPr txBox="1"/>
          </xdr:nvSpPr>
          <xdr:spPr>
            <a:xfrm>
              <a:off x="4546600" y="666750"/>
              <a:ext cx="895350" cy="2095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fld id="{44D1BE92-0A39-46AF-B349-22C4E3EFDE44}" type="TxLink">
                <a:rPr lang="zh-CN" altLang="en-US" sz="1100"/>
                <a:pPr/>
                <a:t>指定净现值</a:t>
              </a:fld>
              <a:endParaRPr lang="zh-CN" altLang="en-US" sz="1100"/>
            </a:p>
          </xdr:txBody>
        </xdr:sp>
        <xdr:sp macro="" textlink="'蒙特卡洛投资风险分析模型 '!C36">
          <xdr:nvSpPr>
            <xdr:cNvPr id="7" name="TextBox 6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 txBox="1"/>
          </xdr:nvSpPr>
          <xdr:spPr>
            <a:xfrm>
              <a:off x="5441950" y="666750"/>
              <a:ext cx="546100" cy="2095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fld id="{B6C362EE-7B8A-488F-BC90-6B2E98965C92}" type="TxLink">
                <a:rPr lang="zh-CN" altLang="en-US" sz="1100"/>
                <a:pPr/>
                <a:t>1548</a:t>
              </a:fld>
              <a:endParaRPr lang="zh-CN" altLang="en-US" sz="1100"/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D17:K18"/>
  <sheetViews>
    <sheetView showGridLines="0" tabSelected="1" workbookViewId="0">
      <selection activeCell="A14" sqref="A14"/>
    </sheetView>
  </sheetViews>
  <sheetFormatPr defaultRowHeight="15.75" x14ac:dyDescent="0.4"/>
  <cols>
    <col min="4" max="4" width="4.1875" bestFit="1" customWidth="1"/>
    <col min="5" max="11" width="3.375" bestFit="1" customWidth="1"/>
    <col min="12" max="16" width="6.1875" customWidth="1"/>
  </cols>
  <sheetData>
    <row r="17" spans="4:11" x14ac:dyDescent="0.4">
      <c r="D17" s="1"/>
      <c r="E17" s="1"/>
      <c r="F17" s="1"/>
      <c r="G17" s="1"/>
      <c r="H17" s="1"/>
      <c r="I17" s="1"/>
      <c r="J17" s="1"/>
      <c r="K17" s="1"/>
    </row>
    <row r="18" spans="4:11" x14ac:dyDescent="0.4">
      <c r="D18" s="1"/>
      <c r="E18" s="2"/>
      <c r="F18" s="2"/>
      <c r="G18" s="2"/>
      <c r="H18" s="2"/>
      <c r="I18" s="2"/>
      <c r="J18" s="2"/>
      <c r="K18" s="2"/>
    </row>
  </sheetData>
  <phoneticPr fontId="2" type="noConversion"/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2315"/>
  <sheetViews>
    <sheetView showFormulas="1" showGridLines="0" topLeftCell="A4" zoomScale="70" zoomScaleNormal="70" workbookViewId="0">
      <selection activeCell="M46" sqref="M46"/>
    </sheetView>
  </sheetViews>
  <sheetFormatPr defaultColWidth="8.625" defaultRowHeight="13.5" x14ac:dyDescent="0.4"/>
  <cols>
    <col min="1" max="1" width="1.625" style="3" customWidth="1"/>
    <col min="2" max="2" width="12.1875" style="3" customWidth="1"/>
    <col min="3" max="3" width="17.5" style="3" customWidth="1"/>
    <col min="4" max="4" width="17.3125" style="3" customWidth="1"/>
    <col min="5" max="5" width="11.125" style="3" customWidth="1"/>
    <col min="6" max="6" width="1.625" style="3" customWidth="1"/>
    <col min="7" max="7" width="5.125" style="3" customWidth="1"/>
    <col min="8" max="8" width="9.1875" style="3" customWidth="1"/>
    <col min="9" max="9" width="1.5" style="3" customWidth="1"/>
    <col min="10" max="10" width="5.125" style="3" customWidth="1"/>
    <col min="11" max="11" width="8.1875" style="3" customWidth="1"/>
    <col min="12" max="12" width="7.125" style="3" customWidth="1"/>
    <col min="13" max="13" width="6.875" style="3" customWidth="1"/>
    <col min="14" max="14" width="6.125" style="3" customWidth="1"/>
    <col min="15" max="15" width="7.125" style="3" customWidth="1"/>
    <col min="16" max="16" width="15" style="3" bestFit="1" customWidth="1"/>
    <col min="17" max="17" width="11.8125" style="3" bestFit="1" customWidth="1"/>
    <col min="18" max="16384" width="8.625" style="3"/>
  </cols>
  <sheetData>
    <row r="1" spans="2:16" ht="12" customHeight="1" x14ac:dyDescent="0.4"/>
    <row r="2" spans="2:16" x14ac:dyDescent="0.4">
      <c r="B2" s="4" t="s">
        <v>12</v>
      </c>
      <c r="G2" s="4" t="s">
        <v>15</v>
      </c>
      <c r="J2" s="4" t="s">
        <v>31</v>
      </c>
    </row>
    <row r="3" spans="2:16" ht="13.9" x14ac:dyDescent="0.4">
      <c r="B3" s="26" t="s">
        <v>33</v>
      </c>
      <c r="C3" s="27"/>
      <c r="D3" s="28"/>
      <c r="E3" s="6">
        <v>1</v>
      </c>
      <c r="G3" s="6" t="s">
        <v>17</v>
      </c>
      <c r="H3" s="6" t="s">
        <v>16</v>
      </c>
      <c r="J3" s="6" t="s">
        <v>18</v>
      </c>
      <c r="K3" s="6" t="s">
        <v>19</v>
      </c>
      <c r="L3" s="6" t="s">
        <v>20</v>
      </c>
    </row>
    <row r="4" spans="2:16" ht="13.9" x14ac:dyDescent="0.4">
      <c r="B4" s="26" t="s">
        <v>34</v>
      </c>
      <c r="C4" s="27"/>
      <c r="D4" s="28"/>
      <c r="E4" s="6">
        <v>3</v>
      </c>
      <c r="G4" s="5"/>
      <c r="H4" s="29">
        <f ca="1">E26</f>
        <v>2304.9966285632331</v>
      </c>
      <c r="J4" s="6">
        <v>200</v>
      </c>
      <c r="K4" s="30">
        <v>0.05</v>
      </c>
      <c r="L4" s="31">
        <v>0</v>
      </c>
    </row>
    <row r="5" spans="2:16" ht="13.9" x14ac:dyDescent="0.4">
      <c r="B5" s="26" t="s">
        <v>35</v>
      </c>
      <c r="C5" s="27"/>
      <c r="D5" s="28"/>
      <c r="E5" s="6">
        <v>1</v>
      </c>
      <c r="G5" s="32">
        <v>1</v>
      </c>
      <c r="H5" s="33">
        <f t="dataTable" ref="H5:H1004" dt2D="0" dtr="0" r1="G1" ca="1"/>
        <v>1971.1516166430001</v>
      </c>
      <c r="J5" s="6">
        <v>300</v>
      </c>
      <c r="K5" s="30">
        <v>0.1</v>
      </c>
      <c r="L5" s="31">
        <f>K4+L4</f>
        <v>0.05</v>
      </c>
    </row>
    <row r="6" spans="2:16" ht="13.9" x14ac:dyDescent="0.4">
      <c r="B6" s="26" t="s">
        <v>36</v>
      </c>
      <c r="C6" s="27"/>
      <c r="D6" s="28"/>
      <c r="E6" s="24">
        <v>0.25</v>
      </c>
      <c r="G6" s="32">
        <v>2</v>
      </c>
      <c r="H6" s="33">
        <v>1394.8220437313105</v>
      </c>
      <c r="J6" s="6">
        <v>400</v>
      </c>
      <c r="K6" s="30">
        <v>0.2</v>
      </c>
      <c r="L6" s="31">
        <f t="shared" ref="L6:L10" si="0">K5+L5</f>
        <v>0.15000000000000002</v>
      </c>
    </row>
    <row r="7" spans="2:16" ht="13.9" x14ac:dyDescent="0.4">
      <c r="B7" s="26" t="s">
        <v>37</v>
      </c>
      <c r="C7" s="27"/>
      <c r="D7" s="28"/>
      <c r="E7" s="24">
        <v>-0.4</v>
      </c>
      <c r="G7" s="32">
        <v>3</v>
      </c>
      <c r="H7" s="33">
        <v>1597.1255352013568</v>
      </c>
      <c r="J7" s="6">
        <v>500</v>
      </c>
      <c r="K7" s="30">
        <v>0.3</v>
      </c>
      <c r="L7" s="31">
        <f t="shared" si="0"/>
        <v>0.35000000000000003</v>
      </c>
    </row>
    <row r="8" spans="2:16" ht="13.9" x14ac:dyDescent="0.4">
      <c r="B8" s="26" t="s">
        <v>38</v>
      </c>
      <c r="C8" s="27"/>
      <c r="D8" s="28"/>
      <c r="E8" s="6">
        <v>9</v>
      </c>
      <c r="G8" s="32">
        <v>4</v>
      </c>
      <c r="H8" s="33">
        <v>118.14630186194047</v>
      </c>
      <c r="J8" s="6">
        <v>600</v>
      </c>
      <c r="K8" s="30">
        <v>0.2</v>
      </c>
      <c r="L8" s="31">
        <f t="shared" si="0"/>
        <v>0.65</v>
      </c>
    </row>
    <row r="9" spans="2:16" x14ac:dyDescent="0.4">
      <c r="B9" s="26" t="s">
        <v>9</v>
      </c>
      <c r="C9" s="27"/>
      <c r="D9" s="28"/>
      <c r="E9" s="6">
        <v>200</v>
      </c>
      <c r="G9" s="32">
        <v>5</v>
      </c>
      <c r="H9" s="33">
        <v>2609.097727264741</v>
      </c>
      <c r="J9" s="6">
        <v>700</v>
      </c>
      <c r="K9" s="30">
        <v>0.1</v>
      </c>
      <c r="L9" s="31">
        <f t="shared" si="0"/>
        <v>0.85000000000000009</v>
      </c>
    </row>
    <row r="10" spans="2:16" x14ac:dyDescent="0.4">
      <c r="B10" s="26" t="s">
        <v>10</v>
      </c>
      <c r="C10" s="27"/>
      <c r="D10" s="28"/>
      <c r="E10" s="6">
        <v>400</v>
      </c>
      <c r="G10" s="32">
        <v>6</v>
      </c>
      <c r="H10" s="33">
        <v>1724.4558510034299</v>
      </c>
      <c r="J10" s="6">
        <v>800</v>
      </c>
      <c r="K10" s="30">
        <v>0.05</v>
      </c>
      <c r="L10" s="31">
        <f t="shared" si="0"/>
        <v>0.95000000000000007</v>
      </c>
    </row>
    <row r="11" spans="2:16" x14ac:dyDescent="0.4">
      <c r="B11" s="26" t="s">
        <v>0</v>
      </c>
      <c r="C11" s="27"/>
      <c r="D11" s="28"/>
      <c r="E11" s="24">
        <v>0.09</v>
      </c>
      <c r="G11" s="32">
        <v>7</v>
      </c>
      <c r="H11" s="33">
        <v>993.31774163535181</v>
      </c>
    </row>
    <row r="12" spans="2:16" x14ac:dyDescent="0.4">
      <c r="E12" s="25"/>
      <c r="G12" s="32">
        <v>8</v>
      </c>
      <c r="H12" s="33">
        <v>856.0790046861714</v>
      </c>
    </row>
    <row r="13" spans="2:16" x14ac:dyDescent="0.4">
      <c r="B13" s="7" t="s">
        <v>8</v>
      </c>
      <c r="E13" s="9"/>
      <c r="G13" s="32">
        <v>9</v>
      </c>
      <c r="H13" s="33">
        <v>566.3885068157623</v>
      </c>
      <c r="J13" s="4" t="s">
        <v>23</v>
      </c>
    </row>
    <row r="14" spans="2:16" ht="13.9" x14ac:dyDescent="0.4">
      <c r="B14" s="26" t="s">
        <v>39</v>
      </c>
      <c r="C14" s="27"/>
      <c r="D14" s="27"/>
      <c r="E14" s="31">
        <f ca="1">NORMINV(RAND(),E4,E5)</f>
        <v>2.6030522079032057</v>
      </c>
      <c r="G14" s="32">
        <v>10</v>
      </c>
      <c r="H14" s="33">
        <v>1250.3678261099358</v>
      </c>
      <c r="J14" s="6" t="s">
        <v>3</v>
      </c>
      <c r="K14" s="6" t="s">
        <v>21</v>
      </c>
      <c r="L14" s="6" t="s">
        <v>22</v>
      </c>
      <c r="M14" s="6" t="s">
        <v>27</v>
      </c>
      <c r="N14" s="9"/>
      <c r="O14" s="9"/>
      <c r="P14" s="8"/>
    </row>
    <row r="15" spans="2:16" ht="13.9" x14ac:dyDescent="0.4">
      <c r="B15" s="26" t="s">
        <v>40</v>
      </c>
      <c r="C15" s="27"/>
      <c r="D15" s="27"/>
      <c r="E15" s="32">
        <f ca="1">INDEX(J4:J10,MATCH(RAND(),L4:L10))</f>
        <v>700</v>
      </c>
      <c r="G15" s="32">
        <v>11</v>
      </c>
      <c r="H15" s="33">
        <v>1500.7565530015452</v>
      </c>
      <c r="J15" s="10">
        <v>1</v>
      </c>
      <c r="K15" s="11">
        <f>E32-D40/2</f>
        <v>-2086.3018087186492</v>
      </c>
      <c r="L15" s="14">
        <f>COUNTIF($H$5:$H$1004,"&gt;"&amp;K15)/1000</f>
        <v>1</v>
      </c>
      <c r="M15" s="12">
        <f>1-L15</f>
        <v>0</v>
      </c>
      <c r="N15" s="13"/>
      <c r="O15" s="13"/>
      <c r="P15" s="34"/>
    </row>
    <row r="16" spans="2:16" ht="13.9" x14ac:dyDescent="0.4">
      <c r="B16" s="26" t="s">
        <v>41</v>
      </c>
      <c r="C16" s="27"/>
      <c r="D16" s="27"/>
      <c r="E16" s="31">
        <f ca="1">ROUND(E9+(E10-E9)*RAND(),2)</f>
        <v>348.98</v>
      </c>
      <c r="G16" s="32">
        <v>12</v>
      </c>
      <c r="H16" s="33">
        <v>37.566237158244839</v>
      </c>
      <c r="J16" s="10">
        <v>2</v>
      </c>
      <c r="K16" s="11">
        <f t="shared" ref="K16:K46" si="1">K15+$D$40</f>
        <v>-1806.7651740816364</v>
      </c>
      <c r="L16" s="14">
        <f t="shared" ref="L16:L46" si="2">COUNTIF($H$5:$H$1004,"&gt;"&amp;K16)/1000</f>
        <v>0.998</v>
      </c>
      <c r="M16" s="14">
        <f>1-L16</f>
        <v>2.0000000000000018E-3</v>
      </c>
      <c r="N16" s="13"/>
      <c r="O16" s="13"/>
      <c r="P16" s="34"/>
    </row>
    <row r="17" spans="2:16" x14ac:dyDescent="0.4">
      <c r="G17" s="32">
        <v>13</v>
      </c>
      <c r="H17" s="33">
        <v>-104.3819592846243</v>
      </c>
      <c r="J17" s="10">
        <v>3</v>
      </c>
      <c r="K17" s="11">
        <f t="shared" si="1"/>
        <v>-1527.2285394446235</v>
      </c>
      <c r="L17" s="14">
        <f t="shared" si="2"/>
        <v>0.996</v>
      </c>
      <c r="M17" s="14">
        <f t="shared" ref="M17:M46" si="3">1-L17</f>
        <v>4.0000000000000036E-3</v>
      </c>
      <c r="N17" s="13"/>
      <c r="O17" s="13"/>
      <c r="P17" s="34"/>
    </row>
    <row r="18" spans="2:16" x14ac:dyDescent="0.4">
      <c r="B18" s="7" t="s">
        <v>11</v>
      </c>
      <c r="G18" s="32">
        <v>14</v>
      </c>
      <c r="H18" s="33">
        <v>2402.238818765888</v>
      </c>
      <c r="J18" s="10">
        <v>4</v>
      </c>
      <c r="K18" s="11">
        <f t="shared" si="1"/>
        <v>-1247.6919048076106</v>
      </c>
      <c r="L18" s="14">
        <f t="shared" si="2"/>
        <v>0.99</v>
      </c>
      <c r="M18" s="14">
        <f t="shared" si="3"/>
        <v>1.0000000000000009E-2</v>
      </c>
      <c r="N18" s="13"/>
      <c r="O18" s="13"/>
      <c r="P18" s="34"/>
    </row>
    <row r="19" spans="2:16" ht="13.9" x14ac:dyDescent="0.4">
      <c r="B19" s="5"/>
      <c r="C19" s="6" t="s">
        <v>42</v>
      </c>
      <c r="D19" s="6" t="s">
        <v>43</v>
      </c>
      <c r="E19" s="6" t="s">
        <v>44</v>
      </c>
      <c r="G19" s="32">
        <v>15</v>
      </c>
      <c r="H19" s="33">
        <v>313.34713484147198</v>
      </c>
      <c r="J19" s="10">
        <v>5</v>
      </c>
      <c r="K19" s="11">
        <f t="shared" si="1"/>
        <v>-968.15527017059787</v>
      </c>
      <c r="L19" s="14">
        <f t="shared" si="2"/>
        <v>0.98399999999999999</v>
      </c>
      <c r="M19" s="14">
        <f t="shared" si="3"/>
        <v>1.6000000000000014E-2</v>
      </c>
      <c r="N19" s="13"/>
      <c r="O19" s="13"/>
      <c r="P19" s="34"/>
    </row>
    <row r="20" spans="2:16" x14ac:dyDescent="0.4">
      <c r="B20" s="5" t="s">
        <v>1</v>
      </c>
      <c r="C20" s="33">
        <f ca="1">E14</f>
        <v>2.6030522079032057</v>
      </c>
      <c r="D20" s="33">
        <f ca="1">C20*(1+E6)</f>
        <v>3.2538152598790071</v>
      </c>
      <c r="E20" s="33">
        <f ca="1">D20*(1+E7)</f>
        <v>1.9522891559274043</v>
      </c>
      <c r="G20" s="32">
        <v>16</v>
      </c>
      <c r="H20" s="33">
        <v>-244.99383167311228</v>
      </c>
      <c r="J20" s="10">
        <v>6</v>
      </c>
      <c r="K20" s="11">
        <f t="shared" si="1"/>
        <v>-688.61863553358512</v>
      </c>
      <c r="L20" s="14">
        <f t="shared" si="2"/>
        <v>0.96499999999999997</v>
      </c>
      <c r="M20" s="14">
        <f t="shared" si="3"/>
        <v>3.5000000000000031E-2</v>
      </c>
      <c r="N20" s="13"/>
      <c r="O20" s="13"/>
      <c r="P20" s="34"/>
    </row>
    <row r="21" spans="2:16" x14ac:dyDescent="0.4">
      <c r="B21" s="5" t="s">
        <v>32</v>
      </c>
      <c r="C21" s="33">
        <f ca="1">C20*$E$15</f>
        <v>1822.1365455322439</v>
      </c>
      <c r="D21" s="33">
        <f ca="1">D20*$E$15</f>
        <v>2277.6706819153051</v>
      </c>
      <c r="E21" s="33">
        <f ca="1">E20*$E$15</f>
        <v>1366.6024091491829</v>
      </c>
      <c r="G21" s="32">
        <v>17</v>
      </c>
      <c r="H21" s="33">
        <v>1779.0080096185943</v>
      </c>
      <c r="J21" s="10">
        <v>7</v>
      </c>
      <c r="K21" s="11">
        <f t="shared" si="1"/>
        <v>-409.08200089657237</v>
      </c>
      <c r="L21" s="14">
        <f t="shared" si="2"/>
        <v>0.93400000000000005</v>
      </c>
      <c r="M21" s="14">
        <f t="shared" si="3"/>
        <v>6.5999999999999948E-2</v>
      </c>
      <c r="N21" s="13"/>
      <c r="O21" s="13"/>
      <c r="P21" s="34"/>
    </row>
    <row r="22" spans="2:16" x14ac:dyDescent="0.4">
      <c r="B22" s="5" t="s">
        <v>2</v>
      </c>
      <c r="C22" s="33">
        <f ca="1">$E$8+C20*$E$16</f>
        <v>917.41315951406079</v>
      </c>
      <c r="D22" s="33">
        <f ca="1">$E$8+D20*$E$16</f>
        <v>1144.5164493925759</v>
      </c>
      <c r="E22" s="33">
        <f ca="1">$E$8+E20*$E$16</f>
        <v>690.30986963554562</v>
      </c>
      <c r="G22" s="32">
        <v>18</v>
      </c>
      <c r="H22" s="33">
        <v>3433.4199339651491</v>
      </c>
      <c r="J22" s="10">
        <v>8</v>
      </c>
      <c r="K22" s="11">
        <f t="shared" si="1"/>
        <v>-129.54536625955961</v>
      </c>
      <c r="L22" s="14">
        <f t="shared" si="2"/>
        <v>0.89800000000000002</v>
      </c>
      <c r="M22" s="14">
        <f t="shared" si="3"/>
        <v>0.10199999999999998</v>
      </c>
      <c r="N22" s="13"/>
      <c r="O22" s="13"/>
      <c r="P22" s="34"/>
    </row>
    <row r="23" spans="2:16" ht="13.9" x14ac:dyDescent="0.4">
      <c r="B23" s="5" t="s">
        <v>45</v>
      </c>
      <c r="C23" s="33">
        <f ca="1">C21-C22</f>
        <v>904.72338601818308</v>
      </c>
      <c r="D23" s="33">
        <f ca="1">D21-D22</f>
        <v>1133.1542325227292</v>
      </c>
      <c r="E23" s="33">
        <f ca="1">E21-E22</f>
        <v>676.29253951363728</v>
      </c>
      <c r="G23" s="32">
        <v>19</v>
      </c>
      <c r="H23" s="33">
        <v>926.19324425012508</v>
      </c>
      <c r="J23" s="10">
        <v>9</v>
      </c>
      <c r="K23" s="11">
        <f t="shared" si="1"/>
        <v>149.99126837745314</v>
      </c>
      <c r="L23" s="14">
        <f t="shared" si="2"/>
        <v>0.84599999999999997</v>
      </c>
      <c r="M23" s="14">
        <f t="shared" si="3"/>
        <v>0.15400000000000003</v>
      </c>
      <c r="N23" s="13"/>
      <c r="O23" s="13"/>
      <c r="P23" s="34"/>
    </row>
    <row r="24" spans="2:16" x14ac:dyDescent="0.4">
      <c r="G24" s="32">
        <v>20</v>
      </c>
      <c r="H24" s="33">
        <v>1517.3448460512845</v>
      </c>
      <c r="J24" s="10">
        <v>10</v>
      </c>
      <c r="K24" s="11">
        <f t="shared" si="1"/>
        <v>429.52790301446589</v>
      </c>
      <c r="L24" s="14">
        <f t="shared" si="2"/>
        <v>0.79100000000000004</v>
      </c>
      <c r="M24" s="14">
        <f t="shared" si="3"/>
        <v>0.20899999999999996</v>
      </c>
      <c r="N24" s="13"/>
      <c r="O24" s="13"/>
      <c r="P24" s="34"/>
    </row>
    <row r="25" spans="2:16" x14ac:dyDescent="0.4">
      <c r="B25" s="7" t="s">
        <v>13</v>
      </c>
      <c r="G25" s="32">
        <v>21</v>
      </c>
      <c r="H25" s="33">
        <v>849.97166994051577</v>
      </c>
      <c r="J25" s="10">
        <v>11</v>
      </c>
      <c r="K25" s="11">
        <f t="shared" si="1"/>
        <v>709.06453765147864</v>
      </c>
      <c r="L25" s="14">
        <f t="shared" si="2"/>
        <v>0.71499999999999997</v>
      </c>
      <c r="M25" s="14">
        <f t="shared" si="3"/>
        <v>0.28500000000000003</v>
      </c>
      <c r="N25" s="13"/>
      <c r="O25" s="13"/>
      <c r="P25" s="34"/>
    </row>
    <row r="26" spans="2:16" x14ac:dyDescent="0.4">
      <c r="B26" s="26" t="s">
        <v>30</v>
      </c>
      <c r="C26" s="27"/>
      <c r="D26" s="27"/>
      <c r="E26" s="35">
        <f ca="1">-E3+NPV(E11,C23:E23)</f>
        <v>2304.9966285632331</v>
      </c>
      <c r="G26" s="32">
        <v>22</v>
      </c>
      <c r="H26" s="33">
        <v>204.60196253538484</v>
      </c>
      <c r="J26" s="10">
        <v>12</v>
      </c>
      <c r="K26" s="11">
        <f t="shared" si="1"/>
        <v>988.6011722884914</v>
      </c>
      <c r="L26" s="14">
        <f t="shared" si="2"/>
        <v>0.64300000000000002</v>
      </c>
      <c r="M26" s="14">
        <f t="shared" si="3"/>
        <v>0.35699999999999998</v>
      </c>
      <c r="N26" s="13"/>
      <c r="O26" s="13"/>
      <c r="P26" s="34"/>
    </row>
    <row r="27" spans="2:16" x14ac:dyDescent="0.4">
      <c r="G27" s="32">
        <v>23</v>
      </c>
      <c r="H27" s="33">
        <v>1033.3850503142353</v>
      </c>
      <c r="J27" s="10">
        <v>13</v>
      </c>
      <c r="K27" s="11">
        <f t="shared" si="1"/>
        <v>1268.1378069255043</v>
      </c>
      <c r="L27" s="14">
        <f t="shared" si="2"/>
        <v>0.53300000000000003</v>
      </c>
      <c r="M27" s="14">
        <f t="shared" si="3"/>
        <v>0.46699999999999997</v>
      </c>
      <c r="N27" s="13"/>
      <c r="O27" s="13"/>
      <c r="P27" s="34"/>
    </row>
    <row r="28" spans="2:16" x14ac:dyDescent="0.4">
      <c r="B28" s="7" t="s">
        <v>14</v>
      </c>
      <c r="C28" s="8"/>
      <c r="D28" s="8"/>
      <c r="E28" s="8"/>
      <c r="G28" s="32">
        <v>24</v>
      </c>
      <c r="H28" s="33">
        <v>-485.53753464433754</v>
      </c>
      <c r="J28" s="10">
        <v>14</v>
      </c>
      <c r="K28" s="11">
        <f t="shared" si="1"/>
        <v>1547.6744415625171</v>
      </c>
      <c r="L28" s="14">
        <f t="shared" si="2"/>
        <v>0.45300000000000001</v>
      </c>
      <c r="M28" s="14">
        <f t="shared" si="3"/>
        <v>0.54699999999999993</v>
      </c>
      <c r="N28" s="13"/>
      <c r="O28" s="13"/>
      <c r="P28" s="34"/>
    </row>
    <row r="29" spans="2:16" ht="13.9" x14ac:dyDescent="0.4">
      <c r="B29" s="36" t="s">
        <v>46</v>
      </c>
      <c r="C29" s="27"/>
      <c r="D29" s="27"/>
      <c r="E29" s="37">
        <f>AVERAGE($H$5:$H$1004)</f>
        <v>1525.9800669729864</v>
      </c>
      <c r="G29" s="32">
        <v>25</v>
      </c>
      <c r="H29" s="33">
        <v>1690.6800205037093</v>
      </c>
      <c r="J29" s="10">
        <v>15</v>
      </c>
      <c r="K29" s="11">
        <f t="shared" si="1"/>
        <v>1827.21107619953</v>
      </c>
      <c r="L29" s="14">
        <f t="shared" si="2"/>
        <v>0.37</v>
      </c>
      <c r="M29" s="14">
        <f t="shared" si="3"/>
        <v>0.63</v>
      </c>
      <c r="N29" s="13"/>
      <c r="O29" s="13"/>
      <c r="P29" s="34"/>
    </row>
    <row r="30" spans="2:16" ht="13.9" x14ac:dyDescent="0.4">
      <c r="B30" s="36" t="s">
        <v>47</v>
      </c>
      <c r="C30" s="27"/>
      <c r="D30" s="27"/>
      <c r="E30" s="37">
        <f>STDEV($H$5:$H$1004)</f>
        <v>1372.3618478791388</v>
      </c>
      <c r="G30" s="32">
        <v>26</v>
      </c>
      <c r="H30" s="33">
        <v>216.94466138636793</v>
      </c>
      <c r="J30" s="10">
        <v>16</v>
      </c>
      <c r="K30" s="11">
        <f t="shared" si="1"/>
        <v>2106.7477108365429</v>
      </c>
      <c r="L30" s="14">
        <f t="shared" si="2"/>
        <v>0.29799999999999999</v>
      </c>
      <c r="M30" s="14">
        <f t="shared" si="3"/>
        <v>0.70199999999999996</v>
      </c>
      <c r="N30" s="13"/>
      <c r="O30" s="13"/>
      <c r="P30" s="34"/>
    </row>
    <row r="31" spans="2:16" ht="13.9" x14ac:dyDescent="0.4">
      <c r="B31" s="36" t="s">
        <v>48</v>
      </c>
      <c r="C31" s="27"/>
      <c r="D31" s="27"/>
      <c r="E31" s="37">
        <f>MAX($H$5:$H$1004)</f>
        <v>6439.5655477102391</v>
      </c>
      <c r="G31" s="32">
        <v>27</v>
      </c>
      <c r="H31" s="33">
        <v>499.26119996324803</v>
      </c>
      <c r="J31" s="10">
        <v>17</v>
      </c>
      <c r="K31" s="11">
        <f t="shared" si="1"/>
        <v>2386.2843454735557</v>
      </c>
      <c r="L31" s="14">
        <f t="shared" si="2"/>
        <v>0.24199999999999999</v>
      </c>
      <c r="M31" s="14">
        <f t="shared" si="3"/>
        <v>0.75800000000000001</v>
      </c>
      <c r="N31" s="13"/>
      <c r="O31" s="13"/>
      <c r="P31" s="34"/>
    </row>
    <row r="32" spans="2:16" ht="13.9" x14ac:dyDescent="0.4">
      <c r="B32" s="36" t="s">
        <v>49</v>
      </c>
      <c r="C32" s="27"/>
      <c r="D32" s="27"/>
      <c r="E32" s="38">
        <f>MIN($H$5:$H$1004)</f>
        <v>-1946.533491400143</v>
      </c>
      <c r="G32" s="32">
        <v>28</v>
      </c>
      <c r="H32" s="33">
        <v>1704.8992886517492</v>
      </c>
      <c r="J32" s="10">
        <v>18</v>
      </c>
      <c r="K32" s="11">
        <f t="shared" si="1"/>
        <v>2665.8209801105686</v>
      </c>
      <c r="L32" s="14">
        <f t="shared" si="2"/>
        <v>0.185</v>
      </c>
      <c r="M32" s="14">
        <f t="shared" si="3"/>
        <v>0.81499999999999995</v>
      </c>
      <c r="N32" s="13"/>
      <c r="O32" s="13"/>
      <c r="P32" s="34"/>
    </row>
    <row r="33" spans="2:16" x14ac:dyDescent="0.4">
      <c r="G33" s="32">
        <v>29</v>
      </c>
      <c r="H33" s="33">
        <v>2032.4819228532167</v>
      </c>
      <c r="J33" s="10">
        <v>19</v>
      </c>
      <c r="K33" s="11">
        <f t="shared" si="1"/>
        <v>2945.3576147475815</v>
      </c>
      <c r="L33" s="14">
        <f t="shared" si="2"/>
        <v>0.14299999999999999</v>
      </c>
      <c r="M33" s="14">
        <f t="shared" si="3"/>
        <v>0.85699999999999998</v>
      </c>
      <c r="N33" s="13"/>
      <c r="O33" s="13"/>
      <c r="P33" s="34"/>
    </row>
    <row r="34" spans="2:16" x14ac:dyDescent="0.4">
      <c r="B34" s="4" t="s">
        <v>24</v>
      </c>
      <c r="G34" s="32">
        <v>30</v>
      </c>
      <c r="H34" s="33">
        <v>566.18756527214759</v>
      </c>
      <c r="J34" s="10">
        <v>20</v>
      </c>
      <c r="K34" s="11">
        <f t="shared" si="1"/>
        <v>3224.8942493845943</v>
      </c>
      <c r="L34" s="14">
        <f t="shared" si="2"/>
        <v>0.12</v>
      </c>
      <c r="M34" s="14">
        <f t="shared" si="3"/>
        <v>0.88</v>
      </c>
      <c r="N34" s="13"/>
      <c r="O34" s="13"/>
      <c r="P34" s="34"/>
    </row>
    <row r="35" spans="2:16" x14ac:dyDescent="0.4">
      <c r="B35" s="5" t="s">
        <v>53</v>
      </c>
      <c r="C35" s="6">
        <v>14</v>
      </c>
      <c r="D35" s="8"/>
      <c r="E35" s="15"/>
      <c r="G35" s="32">
        <v>31</v>
      </c>
      <c r="H35" s="33">
        <v>569.96828617621543</v>
      </c>
      <c r="J35" s="10">
        <v>21</v>
      </c>
      <c r="K35" s="11">
        <f t="shared" si="1"/>
        <v>3504.4308840216072</v>
      </c>
      <c r="L35" s="14">
        <f t="shared" si="2"/>
        <v>8.6999999999999994E-2</v>
      </c>
      <c r="M35" s="14">
        <f t="shared" si="3"/>
        <v>0.91300000000000003</v>
      </c>
      <c r="N35" s="13"/>
      <c r="O35" s="13"/>
      <c r="P35" s="34"/>
    </row>
    <row r="36" spans="2:16" x14ac:dyDescent="0.4">
      <c r="B36" s="5" t="s">
        <v>26</v>
      </c>
      <c r="C36" s="32" cm="1">
        <f t="array" ref="C36">INDEX(K15:K46,C35)</f>
        <v>1547.6744415625171</v>
      </c>
      <c r="D36" s="8"/>
      <c r="G36" s="32">
        <v>32</v>
      </c>
      <c r="H36" s="33">
        <v>1208.6248944706256</v>
      </c>
      <c r="J36" s="10">
        <v>22</v>
      </c>
      <c r="K36" s="11">
        <f t="shared" si="1"/>
        <v>3783.9675186586201</v>
      </c>
      <c r="L36" s="14">
        <f t="shared" si="2"/>
        <v>6.7000000000000004E-2</v>
      </c>
      <c r="M36" s="14">
        <f t="shared" si="3"/>
        <v>0.93300000000000005</v>
      </c>
      <c r="N36" s="13"/>
      <c r="O36" s="13"/>
      <c r="P36" s="34"/>
    </row>
    <row r="37" spans="2:16" x14ac:dyDescent="0.4">
      <c r="B37" s="5" t="s">
        <v>50</v>
      </c>
      <c r="C37" s="39">
        <f>INDEX(L15:L46,MATCH(C36,K15:K46,0))</f>
        <v>0.45300000000000001</v>
      </c>
      <c r="D37" s="8"/>
      <c r="G37" s="32">
        <v>33</v>
      </c>
      <c r="H37" s="33">
        <v>1852.128055097555</v>
      </c>
      <c r="J37" s="10">
        <v>23</v>
      </c>
      <c r="K37" s="11">
        <f t="shared" si="1"/>
        <v>4063.5041532956329</v>
      </c>
      <c r="L37" s="14">
        <f t="shared" si="2"/>
        <v>4.5999999999999999E-2</v>
      </c>
      <c r="M37" s="14">
        <f t="shared" si="3"/>
        <v>0.95399999999999996</v>
      </c>
      <c r="N37" s="13"/>
      <c r="O37" s="13"/>
      <c r="P37" s="34"/>
    </row>
    <row r="38" spans="2:16" x14ac:dyDescent="0.4">
      <c r="D38" s="8"/>
      <c r="G38" s="32">
        <v>34</v>
      </c>
      <c r="H38" s="33">
        <v>172.55916492848604</v>
      </c>
      <c r="J38" s="10">
        <v>24</v>
      </c>
      <c r="K38" s="11">
        <f t="shared" si="1"/>
        <v>4343.0407879326458</v>
      </c>
      <c r="L38" s="14">
        <f t="shared" si="2"/>
        <v>3.2000000000000001E-2</v>
      </c>
      <c r="M38" s="14">
        <f t="shared" si="3"/>
        <v>0.96799999999999997</v>
      </c>
      <c r="N38" s="13"/>
      <c r="O38" s="13"/>
      <c r="P38" s="34"/>
    </row>
    <row r="39" spans="2:16" ht="13.9" x14ac:dyDescent="0.4">
      <c r="B39" s="26" t="s">
        <v>51</v>
      </c>
      <c r="C39" s="28"/>
      <c r="D39" s="6">
        <v>30</v>
      </c>
      <c r="G39" s="32">
        <v>35</v>
      </c>
      <c r="H39" s="33">
        <v>1751.182948935211</v>
      </c>
      <c r="J39" s="10">
        <v>25</v>
      </c>
      <c r="K39" s="11">
        <f t="shared" si="1"/>
        <v>4622.5774225696587</v>
      </c>
      <c r="L39" s="14">
        <f t="shared" si="2"/>
        <v>2.4E-2</v>
      </c>
      <c r="M39" s="14">
        <f t="shared" si="3"/>
        <v>0.97599999999999998</v>
      </c>
      <c r="N39" s="13"/>
      <c r="O39" s="13"/>
      <c r="P39" s="34"/>
    </row>
    <row r="40" spans="2:16" ht="13.9" x14ac:dyDescent="0.4">
      <c r="B40" s="26" t="s">
        <v>52</v>
      </c>
      <c r="C40" s="28"/>
      <c r="D40" s="32">
        <f>(E31-E32)/D39</f>
        <v>279.53663463701275</v>
      </c>
      <c r="G40" s="32">
        <v>36</v>
      </c>
      <c r="H40" s="33">
        <v>1365.4636512472159</v>
      </c>
      <c r="J40" s="10">
        <v>26</v>
      </c>
      <c r="K40" s="11">
        <f t="shared" si="1"/>
        <v>4902.1140572066715</v>
      </c>
      <c r="L40" s="14">
        <f t="shared" si="2"/>
        <v>1.9E-2</v>
      </c>
      <c r="M40" s="14">
        <f t="shared" si="3"/>
        <v>0.98099999999999998</v>
      </c>
      <c r="O40" s="13"/>
      <c r="P40" s="34"/>
    </row>
    <row r="41" spans="2:16" x14ac:dyDescent="0.4">
      <c r="G41" s="32">
        <v>37</v>
      </c>
      <c r="H41" s="33">
        <v>2429.4865119332403</v>
      </c>
      <c r="J41" s="10">
        <v>27</v>
      </c>
      <c r="K41" s="11">
        <f t="shared" si="1"/>
        <v>5181.6506918436844</v>
      </c>
      <c r="L41" s="14">
        <f t="shared" si="2"/>
        <v>1.4999999999999999E-2</v>
      </c>
      <c r="M41" s="14">
        <f t="shared" si="3"/>
        <v>0.98499999999999999</v>
      </c>
      <c r="N41" s="13"/>
      <c r="O41" s="13"/>
      <c r="P41" s="34"/>
    </row>
    <row r="42" spans="2:16" x14ac:dyDescent="0.4">
      <c r="B42" s="5" t="s">
        <v>28</v>
      </c>
      <c r="C42" s="40" t="s">
        <v>4</v>
      </c>
      <c r="D42" s="6" t="s">
        <v>5</v>
      </c>
      <c r="G42" s="32">
        <v>38</v>
      </c>
      <c r="H42" s="33">
        <v>2306.217719372753</v>
      </c>
      <c r="J42" s="10">
        <v>28</v>
      </c>
      <c r="K42" s="11">
        <f t="shared" si="1"/>
        <v>5461.1873264806973</v>
      </c>
      <c r="L42" s="14">
        <f t="shared" si="2"/>
        <v>1.0999999999999999E-2</v>
      </c>
      <c r="M42" s="14">
        <f t="shared" si="3"/>
        <v>0.98899999999999999</v>
      </c>
      <c r="N42" s="13"/>
      <c r="O42" s="13"/>
      <c r="P42" s="34"/>
    </row>
    <row r="43" spans="2:16" x14ac:dyDescent="0.4">
      <c r="B43" s="5" t="s">
        <v>6</v>
      </c>
      <c r="C43" s="32">
        <f>C36</f>
        <v>1547.6744415625171</v>
      </c>
      <c r="D43" s="6">
        <v>0</v>
      </c>
      <c r="G43" s="32">
        <v>39</v>
      </c>
      <c r="H43" s="33">
        <v>2498.2882320373437</v>
      </c>
      <c r="J43" s="10">
        <v>29</v>
      </c>
      <c r="K43" s="11">
        <f t="shared" si="1"/>
        <v>5740.7239611177101</v>
      </c>
      <c r="L43" s="14">
        <f t="shared" si="2"/>
        <v>5.0000000000000001E-3</v>
      </c>
      <c r="M43" s="14">
        <f t="shared" si="3"/>
        <v>0.995</v>
      </c>
      <c r="N43" s="13"/>
      <c r="O43" s="13"/>
      <c r="P43" s="34"/>
    </row>
    <row r="44" spans="2:16" x14ac:dyDescent="0.4">
      <c r="B44" s="5" t="s">
        <v>25</v>
      </c>
      <c r="C44" s="32">
        <f>C36</f>
        <v>1547.6744415625171</v>
      </c>
      <c r="D44" s="41">
        <f>C37</f>
        <v>0.45300000000000001</v>
      </c>
      <c r="G44" s="32">
        <v>40</v>
      </c>
      <c r="H44" s="33">
        <v>1091.0800160499373</v>
      </c>
      <c r="J44" s="10">
        <v>30</v>
      </c>
      <c r="K44" s="11">
        <f t="shared" si="1"/>
        <v>6020.260595754723</v>
      </c>
      <c r="L44" s="14">
        <f t="shared" si="2"/>
        <v>1E-3</v>
      </c>
      <c r="M44" s="14">
        <f t="shared" si="3"/>
        <v>0.999</v>
      </c>
      <c r="N44" s="13"/>
      <c r="O44" s="13"/>
      <c r="P44" s="34"/>
    </row>
    <row r="45" spans="2:16" x14ac:dyDescent="0.4">
      <c r="B45" s="5" t="s">
        <v>7</v>
      </c>
      <c r="C45" s="32">
        <f>C36</f>
        <v>1547.6744415625171</v>
      </c>
      <c r="D45" s="6">
        <v>1</v>
      </c>
      <c r="G45" s="32">
        <v>41</v>
      </c>
      <c r="H45" s="33">
        <v>-1297.4840510825261</v>
      </c>
      <c r="J45" s="10">
        <v>31</v>
      </c>
      <c r="K45" s="11">
        <f t="shared" si="1"/>
        <v>6299.7972303917359</v>
      </c>
      <c r="L45" s="14">
        <f t="shared" si="2"/>
        <v>1E-3</v>
      </c>
      <c r="M45" s="14">
        <f t="shared" si="3"/>
        <v>0.999</v>
      </c>
      <c r="N45" s="13"/>
      <c r="O45" s="13"/>
      <c r="P45" s="34"/>
    </row>
    <row r="46" spans="2:16" x14ac:dyDescent="0.4">
      <c r="G46" s="32">
        <v>42</v>
      </c>
      <c r="H46" s="33">
        <v>497.73398608304041</v>
      </c>
      <c r="J46" s="16">
        <v>32</v>
      </c>
      <c r="K46" s="17">
        <f t="shared" si="1"/>
        <v>6579.3338650287487</v>
      </c>
      <c r="L46" s="18">
        <f t="shared" si="2"/>
        <v>0</v>
      </c>
      <c r="M46" s="18">
        <f t="shared" si="3"/>
        <v>1</v>
      </c>
      <c r="N46" s="19"/>
      <c r="O46" s="13"/>
      <c r="P46" s="34"/>
    </row>
    <row r="47" spans="2:16" x14ac:dyDescent="0.4">
      <c r="B47" s="5" t="s">
        <v>29</v>
      </c>
      <c r="C47" s="40" t="s">
        <v>4</v>
      </c>
      <c r="D47" s="6" t="s">
        <v>5</v>
      </c>
      <c r="G47" s="32">
        <v>43</v>
      </c>
      <c r="H47" s="33">
        <v>1800.9799829883805</v>
      </c>
      <c r="J47" s="8"/>
      <c r="K47" s="20"/>
      <c r="L47" s="8"/>
      <c r="M47" s="19"/>
      <c r="N47" s="19"/>
      <c r="O47" s="19"/>
    </row>
    <row r="48" spans="2:16" x14ac:dyDescent="0.4">
      <c r="B48" s="5" t="s">
        <v>6</v>
      </c>
      <c r="C48" s="32">
        <f>$C$36</f>
        <v>1547.6744415625171</v>
      </c>
      <c r="D48" s="6">
        <v>0</v>
      </c>
      <c r="G48" s="32">
        <v>44</v>
      </c>
      <c r="H48" s="33">
        <v>4272.8377594544518</v>
      </c>
      <c r="K48" s="21"/>
    </row>
    <row r="49" spans="2:11" x14ac:dyDescent="0.4">
      <c r="B49" s="5" t="s">
        <v>25</v>
      </c>
      <c r="C49" s="32">
        <f t="shared" ref="C49:C50" si="4">$C$36</f>
        <v>1547.6744415625171</v>
      </c>
      <c r="D49" s="41">
        <f>INDEX(M15:M46,MATCH(C36,K15:K46,0))</f>
        <v>0.54699999999999993</v>
      </c>
      <c r="G49" s="32">
        <v>45</v>
      </c>
      <c r="H49" s="33">
        <v>-1119.5325279582391</v>
      </c>
      <c r="K49" s="21"/>
    </row>
    <row r="50" spans="2:11" x14ac:dyDescent="0.4">
      <c r="B50" s="5" t="s">
        <v>7</v>
      </c>
      <c r="C50" s="32">
        <f t="shared" si="4"/>
        <v>1547.6744415625171</v>
      </c>
      <c r="D50" s="6">
        <v>1</v>
      </c>
      <c r="G50" s="32">
        <v>46</v>
      </c>
      <c r="H50" s="33">
        <v>2171.591532115262</v>
      </c>
      <c r="K50" s="21"/>
    </row>
    <row r="51" spans="2:11" hidden="1" x14ac:dyDescent="0.4">
      <c r="G51" s="32">
        <v>47</v>
      </c>
      <c r="H51" s="33">
        <v>3468.2598929939923</v>
      </c>
      <c r="K51" s="21"/>
    </row>
    <row r="52" spans="2:11" hidden="1" x14ac:dyDescent="0.4">
      <c r="G52" s="32">
        <v>48</v>
      </c>
      <c r="H52" s="33">
        <v>1749.6687796682811</v>
      </c>
      <c r="K52" s="21"/>
    </row>
    <row r="53" spans="2:11" hidden="1" x14ac:dyDescent="0.4">
      <c r="G53" s="32">
        <v>49</v>
      </c>
      <c r="H53" s="33">
        <v>2763.8168883436238</v>
      </c>
      <c r="K53" s="21"/>
    </row>
    <row r="54" spans="2:11" hidden="1" x14ac:dyDescent="0.4">
      <c r="G54" s="32">
        <v>50</v>
      </c>
      <c r="H54" s="33">
        <v>999.59919653167105</v>
      </c>
    </row>
    <row r="55" spans="2:11" hidden="1" x14ac:dyDescent="0.4">
      <c r="D55" s="22"/>
      <c r="G55" s="32">
        <v>51</v>
      </c>
      <c r="H55" s="33">
        <v>1271.1333582682864</v>
      </c>
    </row>
    <row r="56" spans="2:11" hidden="1" x14ac:dyDescent="0.4">
      <c r="G56" s="32">
        <v>52</v>
      </c>
      <c r="H56" s="33">
        <v>2074.075684756077</v>
      </c>
    </row>
    <row r="57" spans="2:11" hidden="1" x14ac:dyDescent="0.4">
      <c r="G57" s="32">
        <v>53</v>
      </c>
      <c r="H57" s="33">
        <v>-520.65698767581694</v>
      </c>
    </row>
    <row r="58" spans="2:11" hidden="1" x14ac:dyDescent="0.4">
      <c r="G58" s="32">
        <v>54</v>
      </c>
      <c r="H58" s="33">
        <v>1185.9279984982643</v>
      </c>
    </row>
    <row r="59" spans="2:11" hidden="1" x14ac:dyDescent="0.4">
      <c r="G59" s="32">
        <v>55</v>
      </c>
      <c r="H59" s="33">
        <v>-76.206207315806893</v>
      </c>
    </row>
    <row r="60" spans="2:11" hidden="1" x14ac:dyDescent="0.4">
      <c r="G60" s="32">
        <v>56</v>
      </c>
      <c r="H60" s="33">
        <v>2864.1379951080498</v>
      </c>
    </row>
    <row r="61" spans="2:11" hidden="1" x14ac:dyDescent="0.4">
      <c r="G61" s="32">
        <v>57</v>
      </c>
      <c r="H61" s="33">
        <v>1793.9866776517831</v>
      </c>
    </row>
    <row r="62" spans="2:11" hidden="1" x14ac:dyDescent="0.4">
      <c r="G62" s="32">
        <v>58</v>
      </c>
      <c r="H62" s="33">
        <v>1108.2708142910992</v>
      </c>
    </row>
    <row r="63" spans="2:11" hidden="1" x14ac:dyDescent="0.4">
      <c r="G63" s="32">
        <v>59</v>
      </c>
      <c r="H63" s="33">
        <v>-92.94947640522615</v>
      </c>
    </row>
    <row r="64" spans="2:11" hidden="1" x14ac:dyDescent="0.4">
      <c r="G64" s="32">
        <v>60</v>
      </c>
      <c r="H64" s="33">
        <v>750.82501748039761</v>
      </c>
    </row>
    <row r="65" spans="7:8" hidden="1" x14ac:dyDescent="0.4">
      <c r="G65" s="32">
        <v>61</v>
      </c>
      <c r="H65" s="33">
        <v>3000.9359026176312</v>
      </c>
    </row>
    <row r="66" spans="7:8" hidden="1" x14ac:dyDescent="0.4">
      <c r="G66" s="32">
        <v>62</v>
      </c>
      <c r="H66" s="33">
        <v>3438.5820526230173</v>
      </c>
    </row>
    <row r="67" spans="7:8" hidden="1" x14ac:dyDescent="0.4">
      <c r="G67" s="32">
        <v>63</v>
      </c>
      <c r="H67" s="33">
        <v>1721.3203165109721</v>
      </c>
    </row>
    <row r="68" spans="7:8" hidden="1" x14ac:dyDescent="0.4">
      <c r="G68" s="32">
        <v>64</v>
      </c>
      <c r="H68" s="33">
        <v>2609.6550894285501</v>
      </c>
    </row>
    <row r="69" spans="7:8" hidden="1" x14ac:dyDescent="0.4">
      <c r="G69" s="32">
        <v>65</v>
      </c>
      <c r="H69" s="33">
        <v>117.50737408478342</v>
      </c>
    </row>
    <row r="70" spans="7:8" hidden="1" x14ac:dyDescent="0.4">
      <c r="G70" s="32">
        <v>66</v>
      </c>
      <c r="H70" s="33">
        <v>646.25148800781994</v>
      </c>
    </row>
    <row r="71" spans="7:8" hidden="1" x14ac:dyDescent="0.4">
      <c r="G71" s="32">
        <v>67</v>
      </c>
      <c r="H71" s="33">
        <v>3163.6291151172695</v>
      </c>
    </row>
    <row r="72" spans="7:8" hidden="1" x14ac:dyDescent="0.4">
      <c r="G72" s="32">
        <v>68</v>
      </c>
      <c r="H72" s="33">
        <v>471.50474210807846</v>
      </c>
    </row>
    <row r="73" spans="7:8" hidden="1" x14ac:dyDescent="0.4">
      <c r="G73" s="32">
        <v>69</v>
      </c>
      <c r="H73" s="33">
        <v>653.27308962326686</v>
      </c>
    </row>
    <row r="74" spans="7:8" hidden="1" x14ac:dyDescent="0.4">
      <c r="G74" s="32">
        <v>70</v>
      </c>
      <c r="H74" s="33">
        <v>1590.8954178571241</v>
      </c>
    </row>
    <row r="75" spans="7:8" hidden="1" x14ac:dyDescent="0.4">
      <c r="G75" s="32">
        <v>71</v>
      </c>
      <c r="H75" s="33">
        <v>-52.341405110481915</v>
      </c>
    </row>
    <row r="76" spans="7:8" hidden="1" x14ac:dyDescent="0.4">
      <c r="G76" s="32">
        <v>72</v>
      </c>
      <c r="H76" s="33">
        <v>937.76406872852692</v>
      </c>
    </row>
    <row r="77" spans="7:8" hidden="1" x14ac:dyDescent="0.4">
      <c r="G77" s="32">
        <v>73</v>
      </c>
      <c r="H77" s="33">
        <v>2236.8737218427691</v>
      </c>
    </row>
    <row r="78" spans="7:8" hidden="1" x14ac:dyDescent="0.4">
      <c r="G78" s="32">
        <v>74</v>
      </c>
      <c r="H78" s="33">
        <v>737.49958122124826</v>
      </c>
    </row>
    <row r="79" spans="7:8" hidden="1" x14ac:dyDescent="0.4">
      <c r="G79" s="32">
        <v>75</v>
      </c>
      <c r="H79" s="33">
        <v>-136.40619176030808</v>
      </c>
    </row>
    <row r="80" spans="7:8" hidden="1" x14ac:dyDescent="0.4">
      <c r="G80" s="32">
        <v>76</v>
      </c>
      <c r="H80" s="33">
        <v>1795.7352522712486</v>
      </c>
    </row>
    <row r="81" spans="7:8" hidden="1" x14ac:dyDescent="0.4">
      <c r="G81" s="32">
        <v>77</v>
      </c>
      <c r="H81" s="33">
        <v>359.78100624840323</v>
      </c>
    </row>
    <row r="82" spans="7:8" hidden="1" x14ac:dyDescent="0.4">
      <c r="G82" s="32">
        <v>78</v>
      </c>
      <c r="H82" s="33">
        <v>-651.29739878818475</v>
      </c>
    </row>
    <row r="83" spans="7:8" hidden="1" x14ac:dyDescent="0.4">
      <c r="G83" s="32">
        <v>79</v>
      </c>
      <c r="H83" s="33">
        <v>472.39594237790288</v>
      </c>
    </row>
    <row r="84" spans="7:8" hidden="1" x14ac:dyDescent="0.4">
      <c r="G84" s="32">
        <v>80</v>
      </c>
      <c r="H84" s="33">
        <v>-1776.9864942096219</v>
      </c>
    </row>
    <row r="85" spans="7:8" hidden="1" x14ac:dyDescent="0.4">
      <c r="G85" s="32">
        <v>81</v>
      </c>
      <c r="H85" s="33">
        <v>1831.4711935086614</v>
      </c>
    </row>
    <row r="86" spans="7:8" hidden="1" x14ac:dyDescent="0.4">
      <c r="G86" s="32">
        <v>82</v>
      </c>
      <c r="H86" s="33">
        <v>1213.2242041453906</v>
      </c>
    </row>
    <row r="87" spans="7:8" hidden="1" x14ac:dyDescent="0.4">
      <c r="G87" s="32">
        <v>83</v>
      </c>
      <c r="H87" s="33">
        <v>2692.468886917788</v>
      </c>
    </row>
    <row r="88" spans="7:8" hidden="1" x14ac:dyDescent="0.4">
      <c r="G88" s="32">
        <v>84</v>
      </c>
      <c r="H88" s="33">
        <v>1252.8300219981045</v>
      </c>
    </row>
    <row r="89" spans="7:8" hidden="1" x14ac:dyDescent="0.4">
      <c r="G89" s="32">
        <v>85</v>
      </c>
      <c r="H89" s="33">
        <v>1023.5335709937624</v>
      </c>
    </row>
    <row r="90" spans="7:8" hidden="1" x14ac:dyDescent="0.4">
      <c r="G90" s="32">
        <v>86</v>
      </c>
      <c r="H90" s="33">
        <v>-124.66438351273808</v>
      </c>
    </row>
    <row r="91" spans="7:8" hidden="1" x14ac:dyDescent="0.4">
      <c r="G91" s="32">
        <v>87</v>
      </c>
      <c r="H91" s="33">
        <v>3855.0986769884594</v>
      </c>
    </row>
    <row r="92" spans="7:8" hidden="1" x14ac:dyDescent="0.4">
      <c r="G92" s="32">
        <v>88</v>
      </c>
      <c r="H92" s="33">
        <v>1757.9373512055504</v>
      </c>
    </row>
    <row r="93" spans="7:8" hidden="1" x14ac:dyDescent="0.4">
      <c r="G93" s="32">
        <v>89</v>
      </c>
      <c r="H93" s="33">
        <v>4288.2305729609898</v>
      </c>
    </row>
    <row r="94" spans="7:8" hidden="1" x14ac:dyDescent="0.4">
      <c r="G94" s="32">
        <v>90</v>
      </c>
      <c r="H94" s="33">
        <v>2078.2385197676022</v>
      </c>
    </row>
    <row r="95" spans="7:8" hidden="1" x14ac:dyDescent="0.4">
      <c r="G95" s="32">
        <v>91</v>
      </c>
      <c r="H95" s="33">
        <v>1540.1863534544241</v>
      </c>
    </row>
    <row r="96" spans="7:8" hidden="1" x14ac:dyDescent="0.4">
      <c r="G96" s="32">
        <v>92</v>
      </c>
      <c r="H96" s="33">
        <v>3534.7431135586171</v>
      </c>
    </row>
    <row r="97" spans="7:8" hidden="1" x14ac:dyDescent="0.4">
      <c r="G97" s="32">
        <v>93</v>
      </c>
      <c r="H97" s="33">
        <v>3298.3074308714436</v>
      </c>
    </row>
    <row r="98" spans="7:8" hidden="1" x14ac:dyDescent="0.4">
      <c r="G98" s="32">
        <v>94</v>
      </c>
      <c r="H98" s="33">
        <v>1908.9556152732378</v>
      </c>
    </row>
    <row r="99" spans="7:8" hidden="1" x14ac:dyDescent="0.4">
      <c r="G99" s="32">
        <v>95</v>
      </c>
      <c r="H99" s="33">
        <v>3095.6771587962926</v>
      </c>
    </row>
    <row r="100" spans="7:8" hidden="1" x14ac:dyDescent="0.4">
      <c r="G100" s="32">
        <v>96</v>
      </c>
      <c r="H100" s="33">
        <v>3198.2338097265147</v>
      </c>
    </row>
    <row r="101" spans="7:8" hidden="1" x14ac:dyDescent="0.4">
      <c r="G101" s="32">
        <v>97</v>
      </c>
      <c r="H101" s="33">
        <v>2230.1427452960816</v>
      </c>
    </row>
    <row r="102" spans="7:8" hidden="1" x14ac:dyDescent="0.4">
      <c r="G102" s="32">
        <v>98</v>
      </c>
      <c r="H102" s="33">
        <v>4150.4339756411227</v>
      </c>
    </row>
    <row r="103" spans="7:8" hidden="1" x14ac:dyDescent="0.4">
      <c r="G103" s="32">
        <v>99</v>
      </c>
      <c r="H103" s="33">
        <v>3866.378923175605</v>
      </c>
    </row>
    <row r="104" spans="7:8" hidden="1" x14ac:dyDescent="0.4">
      <c r="G104" s="32">
        <v>100</v>
      </c>
      <c r="H104" s="33">
        <v>1587.0964852016475</v>
      </c>
    </row>
    <row r="105" spans="7:8" hidden="1" x14ac:dyDescent="0.4">
      <c r="G105" s="32">
        <v>101</v>
      </c>
      <c r="H105" s="33">
        <v>617.83042064240067</v>
      </c>
    </row>
    <row r="106" spans="7:8" hidden="1" x14ac:dyDescent="0.4">
      <c r="G106" s="32">
        <v>102</v>
      </c>
      <c r="H106" s="33">
        <v>1677.904999268839</v>
      </c>
    </row>
    <row r="107" spans="7:8" hidden="1" x14ac:dyDescent="0.4">
      <c r="G107" s="32">
        <v>103</v>
      </c>
      <c r="H107" s="33">
        <v>2068.9127581662533</v>
      </c>
    </row>
    <row r="108" spans="7:8" hidden="1" x14ac:dyDescent="0.4">
      <c r="G108" s="32">
        <v>104</v>
      </c>
      <c r="H108" s="33">
        <v>31.374326704689551</v>
      </c>
    </row>
    <row r="109" spans="7:8" hidden="1" x14ac:dyDescent="0.4">
      <c r="G109" s="32">
        <v>105</v>
      </c>
      <c r="H109" s="33">
        <v>1077.1578813541369</v>
      </c>
    </row>
    <row r="110" spans="7:8" hidden="1" x14ac:dyDescent="0.4">
      <c r="G110" s="32">
        <v>106</v>
      </c>
      <c r="H110" s="33">
        <v>794.84633919514488</v>
      </c>
    </row>
    <row r="111" spans="7:8" hidden="1" x14ac:dyDescent="0.4">
      <c r="G111" s="32">
        <v>107</v>
      </c>
      <c r="H111" s="33">
        <v>727.37413959589799</v>
      </c>
    </row>
    <row r="112" spans="7:8" hidden="1" x14ac:dyDescent="0.4">
      <c r="G112" s="32">
        <v>108</v>
      </c>
      <c r="H112" s="33">
        <v>-275.84125617160157</v>
      </c>
    </row>
    <row r="113" spans="7:8" hidden="1" x14ac:dyDescent="0.4">
      <c r="G113" s="32">
        <v>109</v>
      </c>
      <c r="H113" s="33">
        <v>2436.6701573903661</v>
      </c>
    </row>
    <row r="114" spans="7:8" hidden="1" x14ac:dyDescent="0.4">
      <c r="G114" s="32">
        <v>110</v>
      </c>
      <c r="H114" s="33">
        <v>424.09334175600486</v>
      </c>
    </row>
    <row r="115" spans="7:8" hidden="1" x14ac:dyDescent="0.4">
      <c r="G115" s="32">
        <v>111</v>
      </c>
      <c r="H115" s="33">
        <v>-566.32344435145171</v>
      </c>
    </row>
    <row r="116" spans="7:8" hidden="1" x14ac:dyDescent="0.4">
      <c r="G116" s="32">
        <v>112</v>
      </c>
      <c r="H116" s="33">
        <v>1291.9989878550939</v>
      </c>
    </row>
    <row r="117" spans="7:8" hidden="1" x14ac:dyDescent="0.4">
      <c r="G117" s="32">
        <v>113</v>
      </c>
      <c r="H117" s="33">
        <v>2572.245708366509</v>
      </c>
    </row>
    <row r="118" spans="7:8" hidden="1" x14ac:dyDescent="0.4">
      <c r="G118" s="32">
        <v>114</v>
      </c>
      <c r="H118" s="33">
        <v>4285.2973358439167</v>
      </c>
    </row>
    <row r="119" spans="7:8" hidden="1" x14ac:dyDescent="0.4">
      <c r="G119" s="32">
        <v>115</v>
      </c>
      <c r="H119" s="33">
        <v>1111.417017235327</v>
      </c>
    </row>
    <row r="120" spans="7:8" hidden="1" x14ac:dyDescent="0.4">
      <c r="G120" s="32">
        <v>116</v>
      </c>
      <c r="H120" s="33">
        <v>1343.6222437888498</v>
      </c>
    </row>
    <row r="121" spans="7:8" hidden="1" x14ac:dyDescent="0.4">
      <c r="G121" s="32">
        <v>117</v>
      </c>
      <c r="H121" s="33">
        <v>1107.1703657140336</v>
      </c>
    </row>
    <row r="122" spans="7:8" hidden="1" x14ac:dyDescent="0.4">
      <c r="G122" s="32">
        <v>118</v>
      </c>
      <c r="H122" s="33">
        <v>628.06778579299851</v>
      </c>
    </row>
    <row r="123" spans="7:8" hidden="1" x14ac:dyDescent="0.4">
      <c r="G123" s="32">
        <v>119</v>
      </c>
      <c r="H123" s="33">
        <v>228.81220080347242</v>
      </c>
    </row>
    <row r="124" spans="7:8" hidden="1" x14ac:dyDescent="0.4">
      <c r="G124" s="32">
        <v>120</v>
      </c>
      <c r="H124" s="33">
        <v>3050.1822854435873</v>
      </c>
    </row>
    <row r="125" spans="7:8" hidden="1" x14ac:dyDescent="0.4">
      <c r="G125" s="32">
        <v>121</v>
      </c>
      <c r="H125" s="33">
        <v>2809.0246623757612</v>
      </c>
    </row>
    <row r="126" spans="7:8" hidden="1" x14ac:dyDescent="0.4">
      <c r="G126" s="32">
        <v>122</v>
      </c>
      <c r="H126" s="33">
        <v>95.759741881872245</v>
      </c>
    </row>
    <row r="127" spans="7:8" hidden="1" x14ac:dyDescent="0.4">
      <c r="G127" s="32">
        <v>123</v>
      </c>
      <c r="H127" s="33">
        <v>-16.687842462435079</v>
      </c>
    </row>
    <row r="128" spans="7:8" hidden="1" x14ac:dyDescent="0.4">
      <c r="G128" s="32">
        <v>124</v>
      </c>
      <c r="H128" s="33">
        <v>3023.8013002314146</v>
      </c>
    </row>
    <row r="129" spans="7:8" hidden="1" x14ac:dyDescent="0.4">
      <c r="G129" s="32">
        <v>125</v>
      </c>
      <c r="H129" s="33">
        <v>2249.094335936521</v>
      </c>
    </row>
    <row r="130" spans="7:8" hidden="1" x14ac:dyDescent="0.4">
      <c r="G130" s="32">
        <v>126</v>
      </c>
      <c r="H130" s="33">
        <v>-931.90433681220998</v>
      </c>
    </row>
    <row r="131" spans="7:8" hidden="1" x14ac:dyDescent="0.4">
      <c r="G131" s="32">
        <v>127</v>
      </c>
      <c r="H131" s="33">
        <v>1469.0519051308663</v>
      </c>
    </row>
    <row r="132" spans="7:8" hidden="1" x14ac:dyDescent="0.4">
      <c r="G132" s="32">
        <v>128</v>
      </c>
      <c r="H132" s="33">
        <v>641.59485422333955</v>
      </c>
    </row>
    <row r="133" spans="7:8" hidden="1" x14ac:dyDescent="0.4">
      <c r="G133" s="32">
        <v>129</v>
      </c>
      <c r="H133" s="33">
        <v>1839.0049686715931</v>
      </c>
    </row>
    <row r="134" spans="7:8" hidden="1" x14ac:dyDescent="0.4">
      <c r="G134" s="32">
        <v>130</v>
      </c>
      <c r="H134" s="33">
        <v>2817.8359990099138</v>
      </c>
    </row>
    <row r="135" spans="7:8" hidden="1" x14ac:dyDescent="0.4">
      <c r="G135" s="32">
        <v>131</v>
      </c>
      <c r="H135" s="33">
        <v>5621.6254214929113</v>
      </c>
    </row>
    <row r="136" spans="7:8" hidden="1" x14ac:dyDescent="0.4">
      <c r="G136" s="32">
        <v>132</v>
      </c>
      <c r="H136" s="33">
        <v>3564.0941602298226</v>
      </c>
    </row>
    <row r="137" spans="7:8" hidden="1" x14ac:dyDescent="0.4">
      <c r="G137" s="32">
        <v>133</v>
      </c>
      <c r="H137" s="33">
        <v>270.7426322891846</v>
      </c>
    </row>
    <row r="138" spans="7:8" hidden="1" x14ac:dyDescent="0.4">
      <c r="G138" s="32">
        <v>134</v>
      </c>
      <c r="H138" s="33">
        <v>1847.0023937916962</v>
      </c>
    </row>
    <row r="139" spans="7:8" hidden="1" x14ac:dyDescent="0.4">
      <c r="G139" s="32">
        <v>135</v>
      </c>
      <c r="H139" s="33">
        <v>767.03732472213699</v>
      </c>
    </row>
    <row r="140" spans="7:8" hidden="1" x14ac:dyDescent="0.4">
      <c r="G140" s="32">
        <v>136</v>
      </c>
      <c r="H140" s="33">
        <v>1323.4178748301169</v>
      </c>
    </row>
    <row r="141" spans="7:8" hidden="1" x14ac:dyDescent="0.4">
      <c r="G141" s="32">
        <v>137</v>
      </c>
      <c r="H141" s="33">
        <v>4107.3893730090822</v>
      </c>
    </row>
    <row r="142" spans="7:8" hidden="1" x14ac:dyDescent="0.4">
      <c r="G142" s="32">
        <v>138</v>
      </c>
      <c r="H142" s="33">
        <v>1322.6261237668334</v>
      </c>
    </row>
    <row r="143" spans="7:8" hidden="1" x14ac:dyDescent="0.4">
      <c r="G143" s="32">
        <v>139</v>
      </c>
      <c r="H143" s="33">
        <v>2288.2392349062156</v>
      </c>
    </row>
    <row r="144" spans="7:8" hidden="1" x14ac:dyDescent="0.4">
      <c r="G144" s="32">
        <v>140</v>
      </c>
      <c r="H144" s="33">
        <v>675.36798327092515</v>
      </c>
    </row>
    <row r="145" spans="7:8" hidden="1" x14ac:dyDescent="0.4">
      <c r="G145" s="32">
        <v>141</v>
      </c>
      <c r="H145" s="33">
        <v>479.9097469713758</v>
      </c>
    </row>
    <row r="146" spans="7:8" hidden="1" x14ac:dyDescent="0.4">
      <c r="G146" s="32">
        <v>142</v>
      </c>
      <c r="H146" s="33">
        <v>-69.817172516480909</v>
      </c>
    </row>
    <row r="147" spans="7:8" hidden="1" x14ac:dyDescent="0.4">
      <c r="G147" s="32">
        <v>143</v>
      </c>
      <c r="H147" s="33">
        <v>972.25660715969263</v>
      </c>
    </row>
    <row r="148" spans="7:8" hidden="1" x14ac:dyDescent="0.4">
      <c r="G148" s="32">
        <v>144</v>
      </c>
      <c r="H148" s="33">
        <v>685.58561656868221</v>
      </c>
    </row>
    <row r="149" spans="7:8" hidden="1" x14ac:dyDescent="0.4">
      <c r="G149" s="32">
        <v>145</v>
      </c>
      <c r="H149" s="33">
        <v>921.81675124436435</v>
      </c>
    </row>
    <row r="150" spans="7:8" hidden="1" x14ac:dyDescent="0.4">
      <c r="G150" s="32">
        <v>146</v>
      </c>
      <c r="H150" s="33">
        <v>3350.8836134742255</v>
      </c>
    </row>
    <row r="151" spans="7:8" hidden="1" x14ac:dyDescent="0.4">
      <c r="G151" s="32">
        <v>147</v>
      </c>
      <c r="H151" s="33">
        <v>2257.9507488003082</v>
      </c>
    </row>
    <row r="152" spans="7:8" hidden="1" x14ac:dyDescent="0.4">
      <c r="G152" s="32">
        <v>148</v>
      </c>
      <c r="H152" s="33">
        <v>3829.4624328846926</v>
      </c>
    </row>
    <row r="153" spans="7:8" hidden="1" x14ac:dyDescent="0.4">
      <c r="G153" s="32">
        <v>149</v>
      </c>
      <c r="H153" s="33">
        <v>1964.7930525451618</v>
      </c>
    </row>
    <row r="154" spans="7:8" hidden="1" x14ac:dyDescent="0.4">
      <c r="G154" s="32">
        <v>150</v>
      </c>
      <c r="H154" s="33">
        <v>1760.8854632012974</v>
      </c>
    </row>
    <row r="155" spans="7:8" hidden="1" x14ac:dyDescent="0.4">
      <c r="G155" s="32">
        <v>151</v>
      </c>
      <c r="H155" s="33">
        <v>-498.58724225665856</v>
      </c>
    </row>
    <row r="156" spans="7:8" hidden="1" x14ac:dyDescent="0.4">
      <c r="G156" s="32">
        <v>152</v>
      </c>
      <c r="H156" s="33">
        <v>1988.729609999277</v>
      </c>
    </row>
    <row r="157" spans="7:8" hidden="1" x14ac:dyDescent="0.4">
      <c r="G157" s="32">
        <v>153</v>
      </c>
      <c r="H157" s="33">
        <v>2399.7911355449355</v>
      </c>
    </row>
    <row r="158" spans="7:8" hidden="1" x14ac:dyDescent="0.4">
      <c r="G158" s="32">
        <v>154</v>
      </c>
      <c r="H158" s="33">
        <v>-350.36287381101948</v>
      </c>
    </row>
    <row r="159" spans="7:8" hidden="1" x14ac:dyDescent="0.4">
      <c r="G159" s="32">
        <v>155</v>
      </c>
      <c r="H159" s="33">
        <v>1161.7312169771285</v>
      </c>
    </row>
    <row r="160" spans="7:8" hidden="1" x14ac:dyDescent="0.4">
      <c r="G160" s="32">
        <v>156</v>
      </c>
      <c r="H160" s="33">
        <v>-967.66514611127366</v>
      </c>
    </row>
    <row r="161" spans="7:8" hidden="1" x14ac:dyDescent="0.4">
      <c r="G161" s="32">
        <v>157</v>
      </c>
      <c r="H161" s="33">
        <v>1686.8964315439434</v>
      </c>
    </row>
    <row r="162" spans="7:8" hidden="1" x14ac:dyDescent="0.4">
      <c r="G162" s="32">
        <v>158</v>
      </c>
      <c r="H162" s="33">
        <v>1396.7545912432147</v>
      </c>
    </row>
    <row r="163" spans="7:8" hidden="1" x14ac:dyDescent="0.4">
      <c r="G163" s="32">
        <v>159</v>
      </c>
      <c r="H163" s="33">
        <v>683.19870442305591</v>
      </c>
    </row>
    <row r="164" spans="7:8" hidden="1" x14ac:dyDescent="0.4">
      <c r="G164" s="32">
        <v>160</v>
      </c>
      <c r="H164" s="33">
        <v>654.61422237685304</v>
      </c>
    </row>
    <row r="165" spans="7:8" hidden="1" x14ac:dyDescent="0.4">
      <c r="G165" s="32">
        <v>161</v>
      </c>
      <c r="H165" s="33">
        <v>212.86549163731576</v>
      </c>
    </row>
    <row r="166" spans="7:8" hidden="1" x14ac:dyDescent="0.4">
      <c r="G166" s="32">
        <v>162</v>
      </c>
      <c r="H166" s="33">
        <v>1810.5785042849234</v>
      </c>
    </row>
    <row r="167" spans="7:8" hidden="1" x14ac:dyDescent="0.4">
      <c r="G167" s="32">
        <v>163</v>
      </c>
      <c r="H167" s="33">
        <v>2022.0211894943188</v>
      </c>
    </row>
    <row r="168" spans="7:8" hidden="1" x14ac:dyDescent="0.4">
      <c r="G168" s="32">
        <v>164</v>
      </c>
      <c r="H168" s="33">
        <v>544.80625124837388</v>
      </c>
    </row>
    <row r="169" spans="7:8" hidden="1" x14ac:dyDescent="0.4">
      <c r="G169" s="32">
        <v>165</v>
      </c>
      <c r="H169" s="33">
        <v>1612.9120913951313</v>
      </c>
    </row>
    <row r="170" spans="7:8" hidden="1" x14ac:dyDescent="0.4">
      <c r="G170" s="32">
        <v>166</v>
      </c>
      <c r="H170" s="33">
        <v>1510.8880271205016</v>
      </c>
    </row>
    <row r="171" spans="7:8" hidden="1" x14ac:dyDescent="0.4">
      <c r="G171" s="32">
        <v>167</v>
      </c>
      <c r="H171" s="33">
        <v>-1344.2467325290856</v>
      </c>
    </row>
    <row r="172" spans="7:8" hidden="1" x14ac:dyDescent="0.4">
      <c r="G172" s="32">
        <v>168</v>
      </c>
      <c r="H172" s="33">
        <v>2632.3187087500369</v>
      </c>
    </row>
    <row r="173" spans="7:8" hidden="1" x14ac:dyDescent="0.4">
      <c r="G173" s="32">
        <v>169</v>
      </c>
      <c r="H173" s="33">
        <v>2875.6615947020268</v>
      </c>
    </row>
    <row r="174" spans="7:8" hidden="1" x14ac:dyDescent="0.4">
      <c r="G174" s="32">
        <v>170</v>
      </c>
      <c r="H174" s="33">
        <v>1644.1820267668579</v>
      </c>
    </row>
    <row r="175" spans="7:8" hidden="1" x14ac:dyDescent="0.4">
      <c r="G175" s="32">
        <v>171</v>
      </c>
      <c r="H175" s="33">
        <v>3035.210938983314</v>
      </c>
    </row>
    <row r="176" spans="7:8" hidden="1" x14ac:dyDescent="0.4">
      <c r="G176" s="32">
        <v>172</v>
      </c>
      <c r="H176" s="33">
        <v>791.69459930561834</v>
      </c>
    </row>
    <row r="177" spans="7:8" hidden="1" x14ac:dyDescent="0.4">
      <c r="G177" s="32">
        <v>173</v>
      </c>
      <c r="H177" s="33">
        <v>315.98869941286665</v>
      </c>
    </row>
    <row r="178" spans="7:8" hidden="1" x14ac:dyDescent="0.4">
      <c r="G178" s="32">
        <v>174</v>
      </c>
      <c r="H178" s="33">
        <v>3533.0885200953721</v>
      </c>
    </row>
    <row r="179" spans="7:8" hidden="1" x14ac:dyDescent="0.4">
      <c r="G179" s="32">
        <v>175</v>
      </c>
      <c r="H179" s="33">
        <v>1713.7496761004913</v>
      </c>
    </row>
    <row r="180" spans="7:8" hidden="1" x14ac:dyDescent="0.4">
      <c r="G180" s="32">
        <v>176</v>
      </c>
      <c r="H180" s="33">
        <v>267.41961870627898</v>
      </c>
    </row>
    <row r="181" spans="7:8" hidden="1" x14ac:dyDescent="0.4">
      <c r="G181" s="32">
        <v>177</v>
      </c>
      <c r="H181" s="33">
        <v>3338.8282935606812</v>
      </c>
    </row>
    <row r="182" spans="7:8" hidden="1" x14ac:dyDescent="0.4">
      <c r="G182" s="32">
        <v>178</v>
      </c>
      <c r="H182" s="33">
        <v>921.450317747432</v>
      </c>
    </row>
    <row r="183" spans="7:8" hidden="1" x14ac:dyDescent="0.4">
      <c r="G183" s="32">
        <v>179</v>
      </c>
      <c r="H183" s="33">
        <v>1218.2651721460147</v>
      </c>
    </row>
    <row r="184" spans="7:8" hidden="1" x14ac:dyDescent="0.4">
      <c r="G184" s="32">
        <v>180</v>
      </c>
      <c r="H184" s="33">
        <v>1946.3153331721239</v>
      </c>
    </row>
    <row r="185" spans="7:8" hidden="1" x14ac:dyDescent="0.4">
      <c r="G185" s="32">
        <v>181</v>
      </c>
      <c r="H185" s="33">
        <v>5417.0599081871187</v>
      </c>
    </row>
    <row r="186" spans="7:8" hidden="1" x14ac:dyDescent="0.4">
      <c r="G186" s="32">
        <v>182</v>
      </c>
      <c r="H186" s="33">
        <v>1303.0523174335574</v>
      </c>
    </row>
    <row r="187" spans="7:8" hidden="1" x14ac:dyDescent="0.4">
      <c r="G187" s="32">
        <v>183</v>
      </c>
      <c r="H187" s="33">
        <v>948.29894438011672</v>
      </c>
    </row>
    <row r="188" spans="7:8" hidden="1" x14ac:dyDescent="0.4">
      <c r="G188" s="32">
        <v>184</v>
      </c>
      <c r="H188" s="33">
        <v>2170.2717740246544</v>
      </c>
    </row>
    <row r="189" spans="7:8" hidden="1" x14ac:dyDescent="0.4">
      <c r="G189" s="32">
        <v>185</v>
      </c>
      <c r="H189" s="33">
        <v>5103.1895625316492</v>
      </c>
    </row>
    <row r="190" spans="7:8" hidden="1" x14ac:dyDescent="0.4">
      <c r="G190" s="32">
        <v>186</v>
      </c>
      <c r="H190" s="33">
        <v>1431.5672778798955</v>
      </c>
    </row>
    <row r="191" spans="7:8" hidden="1" x14ac:dyDescent="0.4">
      <c r="G191" s="32">
        <v>187</v>
      </c>
      <c r="H191" s="33">
        <v>-444.81089936511432</v>
      </c>
    </row>
    <row r="192" spans="7:8" hidden="1" x14ac:dyDescent="0.4">
      <c r="G192" s="32">
        <v>188</v>
      </c>
      <c r="H192" s="33">
        <v>967.48790571622453</v>
      </c>
    </row>
    <row r="193" spans="7:8" hidden="1" x14ac:dyDescent="0.4">
      <c r="G193" s="32">
        <v>189</v>
      </c>
      <c r="H193" s="33">
        <v>1346.5192247946882</v>
      </c>
    </row>
    <row r="194" spans="7:8" hidden="1" x14ac:dyDescent="0.4">
      <c r="G194" s="32">
        <v>190</v>
      </c>
      <c r="H194" s="33">
        <v>1640.3733333441382</v>
      </c>
    </row>
    <row r="195" spans="7:8" hidden="1" x14ac:dyDescent="0.4">
      <c r="G195" s="32">
        <v>191</v>
      </c>
      <c r="H195" s="33">
        <v>3763.5725788836421</v>
      </c>
    </row>
    <row r="196" spans="7:8" hidden="1" x14ac:dyDescent="0.4">
      <c r="G196" s="32">
        <v>192</v>
      </c>
      <c r="H196" s="33">
        <v>2019.7795696855896</v>
      </c>
    </row>
    <row r="197" spans="7:8" hidden="1" x14ac:dyDescent="0.4">
      <c r="G197" s="32">
        <v>193</v>
      </c>
      <c r="H197" s="33">
        <v>1019.4618506215702</v>
      </c>
    </row>
    <row r="198" spans="7:8" hidden="1" x14ac:dyDescent="0.4">
      <c r="G198" s="32">
        <v>194</v>
      </c>
      <c r="H198" s="33">
        <v>444.43417642963834</v>
      </c>
    </row>
    <row r="199" spans="7:8" hidden="1" x14ac:dyDescent="0.4">
      <c r="G199" s="32">
        <v>195</v>
      </c>
      <c r="H199" s="33">
        <v>1004.1995068738172</v>
      </c>
    </row>
    <row r="200" spans="7:8" hidden="1" x14ac:dyDescent="0.4">
      <c r="G200" s="32">
        <v>196</v>
      </c>
      <c r="H200" s="33">
        <v>2015.2956059573196</v>
      </c>
    </row>
    <row r="201" spans="7:8" hidden="1" x14ac:dyDescent="0.4">
      <c r="G201" s="32">
        <v>197</v>
      </c>
      <c r="H201" s="33">
        <v>2149.1693698773747</v>
      </c>
    </row>
    <row r="202" spans="7:8" hidden="1" x14ac:dyDescent="0.4">
      <c r="G202" s="32">
        <v>198</v>
      </c>
      <c r="H202" s="33">
        <v>1099.8572251145104</v>
      </c>
    </row>
    <row r="203" spans="7:8" hidden="1" x14ac:dyDescent="0.4">
      <c r="G203" s="32">
        <v>199</v>
      </c>
      <c r="H203" s="33">
        <v>3870.7475255234176</v>
      </c>
    </row>
    <row r="204" spans="7:8" hidden="1" x14ac:dyDescent="0.4">
      <c r="G204" s="32">
        <v>200</v>
      </c>
      <c r="H204" s="33">
        <v>4943.3168541158684</v>
      </c>
    </row>
    <row r="205" spans="7:8" hidden="1" x14ac:dyDescent="0.4">
      <c r="G205" s="32">
        <v>201</v>
      </c>
      <c r="H205" s="33">
        <v>-598.43063898248363</v>
      </c>
    </row>
    <row r="206" spans="7:8" hidden="1" x14ac:dyDescent="0.4">
      <c r="G206" s="32">
        <v>202</v>
      </c>
      <c r="H206" s="33">
        <v>860.22254805899638</v>
      </c>
    </row>
    <row r="207" spans="7:8" hidden="1" x14ac:dyDescent="0.4">
      <c r="G207" s="32">
        <v>203</v>
      </c>
      <c r="H207" s="33">
        <v>4560.1967293772541</v>
      </c>
    </row>
    <row r="208" spans="7:8" hidden="1" x14ac:dyDescent="0.4">
      <c r="G208" s="32">
        <v>204</v>
      </c>
      <c r="H208" s="33">
        <v>1595.835996655808</v>
      </c>
    </row>
    <row r="209" spans="7:8" hidden="1" x14ac:dyDescent="0.4">
      <c r="G209" s="32">
        <v>205</v>
      </c>
      <c r="H209" s="33">
        <v>1238.3629590650214</v>
      </c>
    </row>
    <row r="210" spans="7:8" hidden="1" x14ac:dyDescent="0.4">
      <c r="G210" s="32">
        <v>206</v>
      </c>
      <c r="H210" s="33">
        <v>2878.1232662442753</v>
      </c>
    </row>
    <row r="211" spans="7:8" hidden="1" x14ac:dyDescent="0.4">
      <c r="G211" s="32">
        <v>207</v>
      </c>
      <c r="H211" s="33">
        <v>2718.4110105547675</v>
      </c>
    </row>
    <row r="212" spans="7:8" hidden="1" x14ac:dyDescent="0.4">
      <c r="G212" s="32">
        <v>208</v>
      </c>
      <c r="H212" s="33">
        <v>1769.0486548114109</v>
      </c>
    </row>
    <row r="213" spans="7:8" hidden="1" x14ac:dyDescent="0.4">
      <c r="G213" s="32">
        <v>209</v>
      </c>
      <c r="H213" s="33">
        <v>1535.159648661871</v>
      </c>
    </row>
    <row r="214" spans="7:8" hidden="1" x14ac:dyDescent="0.4">
      <c r="G214" s="32">
        <v>210</v>
      </c>
      <c r="H214" s="33">
        <v>2649.949386503421</v>
      </c>
    </row>
    <row r="215" spans="7:8" hidden="1" x14ac:dyDescent="0.4">
      <c r="G215" s="32">
        <v>211</v>
      </c>
      <c r="H215" s="33">
        <v>1691.4689838864049</v>
      </c>
    </row>
    <row r="216" spans="7:8" hidden="1" x14ac:dyDescent="0.4">
      <c r="G216" s="32">
        <v>212</v>
      </c>
      <c r="H216" s="33">
        <v>344.33422313274474</v>
      </c>
    </row>
    <row r="217" spans="7:8" hidden="1" x14ac:dyDescent="0.4">
      <c r="G217" s="32">
        <v>213</v>
      </c>
      <c r="H217" s="33">
        <v>945.58377229838868</v>
      </c>
    </row>
    <row r="218" spans="7:8" hidden="1" x14ac:dyDescent="0.4">
      <c r="G218" s="32">
        <v>214</v>
      </c>
      <c r="H218" s="33">
        <v>-967.51707215880867</v>
      </c>
    </row>
    <row r="219" spans="7:8" hidden="1" x14ac:dyDescent="0.4">
      <c r="G219" s="32">
        <v>215</v>
      </c>
      <c r="H219" s="33">
        <v>4131.5710092046129</v>
      </c>
    </row>
    <row r="220" spans="7:8" hidden="1" x14ac:dyDescent="0.4">
      <c r="G220" s="32">
        <v>216</v>
      </c>
      <c r="H220" s="33">
        <v>1494.3585978567585</v>
      </c>
    </row>
    <row r="221" spans="7:8" hidden="1" x14ac:dyDescent="0.4">
      <c r="G221" s="32">
        <v>217</v>
      </c>
      <c r="H221" s="33">
        <v>621.53895119874676</v>
      </c>
    </row>
    <row r="222" spans="7:8" hidden="1" x14ac:dyDescent="0.4">
      <c r="G222" s="32">
        <v>218</v>
      </c>
      <c r="H222" s="33">
        <v>1769.5649277714183</v>
      </c>
    </row>
    <row r="223" spans="7:8" hidden="1" x14ac:dyDescent="0.4">
      <c r="G223" s="32">
        <v>219</v>
      </c>
      <c r="H223" s="33">
        <v>3144.7246414735964</v>
      </c>
    </row>
    <row r="224" spans="7:8" hidden="1" x14ac:dyDescent="0.4">
      <c r="G224" s="32">
        <v>220</v>
      </c>
      <c r="H224" s="33">
        <v>-268.37907289055579</v>
      </c>
    </row>
    <row r="225" spans="7:8" hidden="1" x14ac:dyDescent="0.4">
      <c r="G225" s="32">
        <v>221</v>
      </c>
      <c r="H225" s="33">
        <v>1103.9029112283251</v>
      </c>
    </row>
    <row r="226" spans="7:8" hidden="1" x14ac:dyDescent="0.4">
      <c r="G226" s="32">
        <v>222</v>
      </c>
      <c r="H226" s="33">
        <v>2690.3202700923212</v>
      </c>
    </row>
    <row r="227" spans="7:8" hidden="1" x14ac:dyDescent="0.4">
      <c r="G227" s="32">
        <v>223</v>
      </c>
      <c r="H227" s="33">
        <v>-4.6584032293988926</v>
      </c>
    </row>
    <row r="228" spans="7:8" hidden="1" x14ac:dyDescent="0.4">
      <c r="G228" s="32">
        <v>224</v>
      </c>
      <c r="H228" s="33">
        <v>355.34319659791873</v>
      </c>
    </row>
    <row r="229" spans="7:8" hidden="1" x14ac:dyDescent="0.4">
      <c r="G229" s="32">
        <v>225</v>
      </c>
      <c r="H229" s="33">
        <v>3753.2420636269417</v>
      </c>
    </row>
    <row r="230" spans="7:8" hidden="1" x14ac:dyDescent="0.4">
      <c r="G230" s="32">
        <v>226</v>
      </c>
      <c r="H230" s="33">
        <v>3559.9785268770015</v>
      </c>
    </row>
    <row r="231" spans="7:8" hidden="1" x14ac:dyDescent="0.4">
      <c r="G231" s="32">
        <v>227</v>
      </c>
      <c r="H231" s="33">
        <v>762.52320711724155</v>
      </c>
    </row>
    <row r="232" spans="7:8" hidden="1" x14ac:dyDescent="0.4">
      <c r="G232" s="32">
        <v>228</v>
      </c>
      <c r="H232" s="33">
        <v>3168.5791320047902</v>
      </c>
    </row>
    <row r="233" spans="7:8" hidden="1" x14ac:dyDescent="0.4">
      <c r="G233" s="32">
        <v>229</v>
      </c>
      <c r="H233" s="33">
        <v>979.94415973087632</v>
      </c>
    </row>
    <row r="234" spans="7:8" hidden="1" x14ac:dyDescent="0.4">
      <c r="G234" s="32">
        <v>230</v>
      </c>
      <c r="H234" s="33">
        <v>641.41412855209137</v>
      </c>
    </row>
    <row r="235" spans="7:8" hidden="1" x14ac:dyDescent="0.4">
      <c r="G235" s="32">
        <v>231</v>
      </c>
      <c r="H235" s="33">
        <v>599.45637640393261</v>
      </c>
    </row>
    <row r="236" spans="7:8" hidden="1" x14ac:dyDescent="0.4">
      <c r="G236" s="32">
        <v>232</v>
      </c>
      <c r="H236" s="33">
        <v>807.80056147836285</v>
      </c>
    </row>
    <row r="237" spans="7:8" hidden="1" x14ac:dyDescent="0.4">
      <c r="G237" s="32">
        <v>233</v>
      </c>
      <c r="H237" s="33">
        <v>941.29012511886401</v>
      </c>
    </row>
    <row r="238" spans="7:8" hidden="1" x14ac:dyDescent="0.4">
      <c r="G238" s="32">
        <v>234</v>
      </c>
      <c r="H238" s="33">
        <v>3676.508636493626</v>
      </c>
    </row>
    <row r="239" spans="7:8" hidden="1" x14ac:dyDescent="0.4">
      <c r="G239" s="32">
        <v>235</v>
      </c>
      <c r="H239" s="33">
        <v>1582.573862580793</v>
      </c>
    </row>
    <row r="240" spans="7:8" hidden="1" x14ac:dyDescent="0.4">
      <c r="G240" s="32">
        <v>236</v>
      </c>
      <c r="H240" s="33">
        <v>402.80763789752081</v>
      </c>
    </row>
    <row r="241" spans="7:8" hidden="1" x14ac:dyDescent="0.4">
      <c r="G241" s="32">
        <v>237</v>
      </c>
      <c r="H241" s="33">
        <v>566.91888932946051</v>
      </c>
    </row>
    <row r="242" spans="7:8" hidden="1" x14ac:dyDescent="0.4">
      <c r="G242" s="32">
        <v>238</v>
      </c>
      <c r="H242" s="33">
        <v>1550.7677776800008</v>
      </c>
    </row>
    <row r="243" spans="7:8" hidden="1" x14ac:dyDescent="0.4">
      <c r="G243" s="32">
        <v>239</v>
      </c>
      <c r="H243" s="33">
        <v>1828.4070961880138</v>
      </c>
    </row>
    <row r="244" spans="7:8" hidden="1" x14ac:dyDescent="0.4">
      <c r="G244" s="32">
        <v>240</v>
      </c>
      <c r="H244" s="33">
        <v>540.14944305481049</v>
      </c>
    </row>
    <row r="245" spans="7:8" hidden="1" x14ac:dyDescent="0.4">
      <c r="G245" s="32">
        <v>241</v>
      </c>
      <c r="H245" s="33">
        <v>3211.8152375702289</v>
      </c>
    </row>
    <row r="246" spans="7:8" hidden="1" x14ac:dyDescent="0.4">
      <c r="G246" s="32">
        <v>242</v>
      </c>
      <c r="H246" s="33">
        <v>-230.07487237677137</v>
      </c>
    </row>
    <row r="247" spans="7:8" hidden="1" x14ac:dyDescent="0.4">
      <c r="G247" s="32">
        <v>243</v>
      </c>
      <c r="H247" s="33">
        <v>1119.6354850485595</v>
      </c>
    </row>
    <row r="248" spans="7:8" hidden="1" x14ac:dyDescent="0.4">
      <c r="G248" s="32">
        <v>244</v>
      </c>
      <c r="H248" s="33">
        <v>889.20414248033262</v>
      </c>
    </row>
    <row r="249" spans="7:8" hidden="1" x14ac:dyDescent="0.4">
      <c r="G249" s="32">
        <v>245</v>
      </c>
      <c r="H249" s="33">
        <v>1383.6660537683658</v>
      </c>
    </row>
    <row r="250" spans="7:8" hidden="1" x14ac:dyDescent="0.4">
      <c r="G250" s="32">
        <v>246</v>
      </c>
      <c r="H250" s="33">
        <v>1137.5957033809905</v>
      </c>
    </row>
    <row r="251" spans="7:8" hidden="1" x14ac:dyDescent="0.4">
      <c r="G251" s="32">
        <v>247</v>
      </c>
      <c r="H251" s="33">
        <v>2112.0417484945251</v>
      </c>
    </row>
    <row r="252" spans="7:8" hidden="1" x14ac:dyDescent="0.4">
      <c r="G252" s="32">
        <v>248</v>
      </c>
      <c r="H252" s="33">
        <v>1812.449180558006</v>
      </c>
    </row>
    <row r="253" spans="7:8" hidden="1" x14ac:dyDescent="0.4">
      <c r="G253" s="32">
        <v>249</v>
      </c>
      <c r="H253" s="33">
        <v>287.10989826333702</v>
      </c>
    </row>
    <row r="254" spans="7:8" hidden="1" x14ac:dyDescent="0.4">
      <c r="G254" s="32">
        <v>250</v>
      </c>
      <c r="H254" s="33">
        <v>2222.9820414721735</v>
      </c>
    </row>
    <row r="255" spans="7:8" hidden="1" x14ac:dyDescent="0.4">
      <c r="G255" s="32">
        <v>251</v>
      </c>
      <c r="H255" s="33">
        <v>3818.972240095648</v>
      </c>
    </row>
    <row r="256" spans="7:8" hidden="1" x14ac:dyDescent="0.4">
      <c r="G256" s="32">
        <v>252</v>
      </c>
      <c r="H256" s="33">
        <v>5933.071233392664</v>
      </c>
    </row>
    <row r="257" spans="7:8" hidden="1" x14ac:dyDescent="0.4">
      <c r="G257" s="32">
        <v>253</v>
      </c>
      <c r="H257" s="33">
        <v>2586.8622846398644</v>
      </c>
    </row>
    <row r="258" spans="7:8" hidden="1" x14ac:dyDescent="0.4">
      <c r="G258" s="32">
        <v>254</v>
      </c>
      <c r="H258" s="33">
        <v>419.15495765894246</v>
      </c>
    </row>
    <row r="259" spans="7:8" hidden="1" x14ac:dyDescent="0.4">
      <c r="G259" s="32">
        <v>255</v>
      </c>
      <c r="H259" s="33">
        <v>1296.0207111557365</v>
      </c>
    </row>
    <row r="260" spans="7:8" hidden="1" x14ac:dyDescent="0.4">
      <c r="G260" s="32">
        <v>256</v>
      </c>
      <c r="H260" s="33">
        <v>2748.3467384941418</v>
      </c>
    </row>
    <row r="261" spans="7:8" hidden="1" x14ac:dyDescent="0.4">
      <c r="G261" s="32">
        <v>257</v>
      </c>
      <c r="H261" s="33">
        <v>2148.3924247739506</v>
      </c>
    </row>
    <row r="262" spans="7:8" hidden="1" x14ac:dyDescent="0.4">
      <c r="G262" s="32">
        <v>258</v>
      </c>
      <c r="H262" s="33">
        <v>1222.5005557791158</v>
      </c>
    </row>
    <row r="263" spans="7:8" hidden="1" x14ac:dyDescent="0.4">
      <c r="G263" s="32">
        <v>259</v>
      </c>
      <c r="H263" s="33">
        <v>312.70192509507945</v>
      </c>
    </row>
    <row r="264" spans="7:8" hidden="1" x14ac:dyDescent="0.4">
      <c r="G264" s="32">
        <v>260</v>
      </c>
      <c r="H264" s="33">
        <v>969.1441571164396</v>
      </c>
    </row>
    <row r="265" spans="7:8" hidden="1" x14ac:dyDescent="0.4">
      <c r="G265" s="32">
        <v>261</v>
      </c>
      <c r="H265" s="33">
        <v>522.55472285053418</v>
      </c>
    </row>
    <row r="266" spans="7:8" hidden="1" x14ac:dyDescent="0.4">
      <c r="G266" s="32">
        <v>262</v>
      </c>
      <c r="H266" s="33">
        <v>1115.955372430333</v>
      </c>
    </row>
    <row r="267" spans="7:8" hidden="1" x14ac:dyDescent="0.4">
      <c r="G267" s="32">
        <v>263</v>
      </c>
      <c r="H267" s="33">
        <v>1297.3306803636224</v>
      </c>
    </row>
    <row r="268" spans="7:8" hidden="1" x14ac:dyDescent="0.4">
      <c r="G268" s="32">
        <v>264</v>
      </c>
      <c r="H268" s="33">
        <v>3505.9649552893679</v>
      </c>
    </row>
    <row r="269" spans="7:8" hidden="1" x14ac:dyDescent="0.4">
      <c r="G269" s="32">
        <v>265</v>
      </c>
      <c r="H269" s="33">
        <v>951.29151632263245</v>
      </c>
    </row>
    <row r="270" spans="7:8" hidden="1" x14ac:dyDescent="0.4">
      <c r="G270" s="32">
        <v>266</v>
      </c>
      <c r="H270" s="33">
        <v>844.74283523457382</v>
      </c>
    </row>
    <row r="271" spans="7:8" hidden="1" x14ac:dyDescent="0.4">
      <c r="G271" s="32">
        <v>267</v>
      </c>
      <c r="H271" s="33">
        <v>-492.33113442969409</v>
      </c>
    </row>
    <row r="272" spans="7:8" hidden="1" x14ac:dyDescent="0.4">
      <c r="G272" s="32">
        <v>268</v>
      </c>
      <c r="H272" s="33">
        <v>4363.7904877250312</v>
      </c>
    </row>
    <row r="273" spans="7:8" hidden="1" x14ac:dyDescent="0.4">
      <c r="G273" s="32">
        <v>269</v>
      </c>
      <c r="H273" s="33">
        <v>2594.7538266440943</v>
      </c>
    </row>
    <row r="274" spans="7:8" hidden="1" x14ac:dyDescent="0.4">
      <c r="G274" s="32">
        <v>270</v>
      </c>
      <c r="H274" s="33">
        <v>-165.2201644272925</v>
      </c>
    </row>
    <row r="275" spans="7:8" hidden="1" x14ac:dyDescent="0.4">
      <c r="G275" s="32">
        <v>271</v>
      </c>
      <c r="H275" s="33">
        <v>1451.4570289623466</v>
      </c>
    </row>
    <row r="276" spans="7:8" hidden="1" x14ac:dyDescent="0.4">
      <c r="G276" s="32">
        <v>272</v>
      </c>
      <c r="H276" s="33">
        <v>2375.604372635592</v>
      </c>
    </row>
    <row r="277" spans="7:8" hidden="1" x14ac:dyDescent="0.4">
      <c r="G277" s="32">
        <v>273</v>
      </c>
      <c r="H277" s="33">
        <v>1259.4166062877057</v>
      </c>
    </row>
    <row r="278" spans="7:8" hidden="1" x14ac:dyDescent="0.4">
      <c r="G278" s="32">
        <v>274</v>
      </c>
      <c r="H278" s="33">
        <v>1453.315716000591</v>
      </c>
    </row>
    <row r="279" spans="7:8" hidden="1" x14ac:dyDescent="0.4">
      <c r="G279" s="32">
        <v>275</v>
      </c>
      <c r="H279" s="33">
        <v>1477.9450106118029</v>
      </c>
    </row>
    <row r="280" spans="7:8" hidden="1" x14ac:dyDescent="0.4">
      <c r="G280" s="32">
        <v>276</v>
      </c>
      <c r="H280" s="33">
        <v>1238.7313516358158</v>
      </c>
    </row>
    <row r="281" spans="7:8" hidden="1" x14ac:dyDescent="0.4">
      <c r="G281" s="32">
        <v>277</v>
      </c>
      <c r="H281" s="33">
        <v>-921.02746010895464</v>
      </c>
    </row>
    <row r="282" spans="7:8" hidden="1" x14ac:dyDescent="0.4">
      <c r="G282" s="32">
        <v>278</v>
      </c>
      <c r="H282" s="33">
        <v>654.11950140453894</v>
      </c>
    </row>
    <row r="283" spans="7:8" hidden="1" x14ac:dyDescent="0.4">
      <c r="G283" s="32">
        <v>279</v>
      </c>
      <c r="H283" s="33">
        <v>1436.1189854099064</v>
      </c>
    </row>
    <row r="284" spans="7:8" hidden="1" x14ac:dyDescent="0.4">
      <c r="G284" s="32">
        <v>280</v>
      </c>
      <c r="H284" s="33">
        <v>940.97107879479574</v>
      </c>
    </row>
    <row r="285" spans="7:8" hidden="1" x14ac:dyDescent="0.4">
      <c r="G285" s="32">
        <v>281</v>
      </c>
      <c r="H285" s="33">
        <v>560.68841726098458</v>
      </c>
    </row>
    <row r="286" spans="7:8" hidden="1" x14ac:dyDescent="0.4">
      <c r="G286" s="32">
        <v>282</v>
      </c>
      <c r="H286" s="33">
        <v>349.52553403539832</v>
      </c>
    </row>
    <row r="287" spans="7:8" hidden="1" x14ac:dyDescent="0.4">
      <c r="G287" s="32">
        <v>283</v>
      </c>
      <c r="H287" s="33">
        <v>876.34860846071649</v>
      </c>
    </row>
    <row r="288" spans="7:8" hidden="1" x14ac:dyDescent="0.4">
      <c r="G288" s="32">
        <v>284</v>
      </c>
      <c r="H288" s="33">
        <v>1967.4551877184813</v>
      </c>
    </row>
    <row r="289" spans="7:8" hidden="1" x14ac:dyDescent="0.4">
      <c r="G289" s="32">
        <v>285</v>
      </c>
      <c r="H289" s="33">
        <v>633.02427732255376</v>
      </c>
    </row>
    <row r="290" spans="7:8" hidden="1" x14ac:dyDescent="0.4">
      <c r="G290" s="32">
        <v>286</v>
      </c>
      <c r="H290" s="33">
        <v>3880.6479155354291</v>
      </c>
    </row>
    <row r="291" spans="7:8" hidden="1" x14ac:dyDescent="0.4">
      <c r="G291" s="32">
        <v>287</v>
      </c>
      <c r="H291" s="33">
        <v>2549.9687369554031</v>
      </c>
    </row>
    <row r="292" spans="7:8" hidden="1" x14ac:dyDescent="0.4">
      <c r="G292" s="32">
        <v>288</v>
      </c>
      <c r="H292" s="33">
        <v>2606.170294040131</v>
      </c>
    </row>
    <row r="293" spans="7:8" hidden="1" x14ac:dyDescent="0.4">
      <c r="G293" s="32">
        <v>289</v>
      </c>
      <c r="H293" s="33">
        <v>1451.496017675599</v>
      </c>
    </row>
    <row r="294" spans="7:8" hidden="1" x14ac:dyDescent="0.4">
      <c r="G294" s="32">
        <v>290</v>
      </c>
      <c r="H294" s="33">
        <v>3202.0629545255015</v>
      </c>
    </row>
    <row r="295" spans="7:8" hidden="1" x14ac:dyDescent="0.4">
      <c r="G295" s="32">
        <v>291</v>
      </c>
      <c r="H295" s="33">
        <v>-629.041896682014</v>
      </c>
    </row>
    <row r="296" spans="7:8" hidden="1" x14ac:dyDescent="0.4">
      <c r="G296" s="32">
        <v>292</v>
      </c>
      <c r="H296" s="33">
        <v>1320.1910787199752</v>
      </c>
    </row>
    <row r="297" spans="7:8" hidden="1" x14ac:dyDescent="0.4">
      <c r="G297" s="32">
        <v>293</v>
      </c>
      <c r="H297" s="33">
        <v>411.72995140296911</v>
      </c>
    </row>
    <row r="298" spans="7:8" hidden="1" x14ac:dyDescent="0.4">
      <c r="G298" s="32">
        <v>294</v>
      </c>
      <c r="H298" s="33">
        <v>2617.2498301519126</v>
      </c>
    </row>
    <row r="299" spans="7:8" hidden="1" x14ac:dyDescent="0.4">
      <c r="G299" s="32">
        <v>295</v>
      </c>
      <c r="H299" s="33">
        <v>2640.989255340196</v>
      </c>
    </row>
    <row r="300" spans="7:8" hidden="1" x14ac:dyDescent="0.4">
      <c r="G300" s="32">
        <v>296</v>
      </c>
      <c r="H300" s="33">
        <v>-562.29979226378452</v>
      </c>
    </row>
    <row r="301" spans="7:8" hidden="1" x14ac:dyDescent="0.4">
      <c r="G301" s="32">
        <v>297</v>
      </c>
      <c r="H301" s="33">
        <v>1151.7293380212955</v>
      </c>
    </row>
    <row r="302" spans="7:8" hidden="1" x14ac:dyDescent="0.4">
      <c r="G302" s="32">
        <v>298</v>
      </c>
      <c r="H302" s="33">
        <v>3091.9148495974559</v>
      </c>
    </row>
    <row r="303" spans="7:8" hidden="1" x14ac:dyDescent="0.4">
      <c r="G303" s="32">
        <v>299</v>
      </c>
      <c r="H303" s="33">
        <v>5737.5339901052248</v>
      </c>
    </row>
    <row r="304" spans="7:8" hidden="1" x14ac:dyDescent="0.4">
      <c r="G304" s="32">
        <v>300</v>
      </c>
      <c r="H304" s="33">
        <v>2347.9451544158328</v>
      </c>
    </row>
    <row r="305" spans="7:8" hidden="1" x14ac:dyDescent="0.4">
      <c r="G305" s="32">
        <v>301</v>
      </c>
      <c r="H305" s="33">
        <v>2490.5281381511209</v>
      </c>
    </row>
    <row r="306" spans="7:8" hidden="1" x14ac:dyDescent="0.4">
      <c r="G306" s="32">
        <v>302</v>
      </c>
      <c r="H306" s="33">
        <v>2144.1385076933825</v>
      </c>
    </row>
    <row r="307" spans="7:8" hidden="1" x14ac:dyDescent="0.4">
      <c r="G307" s="32">
        <v>303</v>
      </c>
      <c r="H307" s="33">
        <v>3911.5646819878771</v>
      </c>
    </row>
    <row r="308" spans="7:8" hidden="1" x14ac:dyDescent="0.4">
      <c r="G308" s="32">
        <v>304</v>
      </c>
      <c r="H308" s="33">
        <v>363.15055732649466</v>
      </c>
    </row>
    <row r="309" spans="7:8" hidden="1" x14ac:dyDescent="0.4">
      <c r="G309" s="32">
        <v>305</v>
      </c>
      <c r="H309" s="33">
        <v>1624.6917354709276</v>
      </c>
    </row>
    <row r="310" spans="7:8" hidden="1" x14ac:dyDescent="0.4">
      <c r="G310" s="32">
        <v>306</v>
      </c>
      <c r="H310" s="33">
        <v>2090.3701373529971</v>
      </c>
    </row>
    <row r="311" spans="7:8" hidden="1" x14ac:dyDescent="0.4">
      <c r="G311" s="32">
        <v>307</v>
      </c>
      <c r="H311" s="33">
        <v>787.20380821697677</v>
      </c>
    </row>
    <row r="312" spans="7:8" hidden="1" x14ac:dyDescent="0.4">
      <c r="G312" s="32">
        <v>308</v>
      </c>
      <c r="H312" s="33">
        <v>1490.799841509672</v>
      </c>
    </row>
    <row r="313" spans="7:8" hidden="1" x14ac:dyDescent="0.4">
      <c r="G313" s="32">
        <v>309</v>
      </c>
      <c r="H313" s="33">
        <v>1760.523607555742</v>
      </c>
    </row>
    <row r="314" spans="7:8" hidden="1" x14ac:dyDescent="0.4">
      <c r="G314" s="32">
        <v>310</v>
      </c>
      <c r="H314" s="33">
        <v>-398.61592004536209</v>
      </c>
    </row>
    <row r="315" spans="7:8" hidden="1" x14ac:dyDescent="0.4">
      <c r="G315" s="32">
        <v>311</v>
      </c>
      <c r="H315" s="33">
        <v>1946.4125908528681</v>
      </c>
    </row>
    <row r="316" spans="7:8" hidden="1" x14ac:dyDescent="0.4">
      <c r="G316" s="32">
        <v>312</v>
      </c>
      <c r="H316" s="33">
        <v>1649.072863102092</v>
      </c>
    </row>
    <row r="317" spans="7:8" hidden="1" x14ac:dyDescent="0.4">
      <c r="G317" s="32">
        <v>313</v>
      </c>
      <c r="H317" s="33">
        <v>1259.7597172861638</v>
      </c>
    </row>
    <row r="318" spans="7:8" hidden="1" x14ac:dyDescent="0.4">
      <c r="G318" s="32">
        <v>314</v>
      </c>
      <c r="H318" s="33">
        <v>1057.7978109155231</v>
      </c>
    </row>
    <row r="319" spans="7:8" hidden="1" x14ac:dyDescent="0.4">
      <c r="G319" s="32">
        <v>315</v>
      </c>
      <c r="H319" s="33">
        <v>1114.5850107163194</v>
      </c>
    </row>
    <row r="320" spans="7:8" hidden="1" x14ac:dyDescent="0.4">
      <c r="G320" s="32">
        <v>316</v>
      </c>
      <c r="H320" s="33">
        <v>4681.4607303719404</v>
      </c>
    </row>
    <row r="321" spans="7:8" hidden="1" x14ac:dyDescent="0.4">
      <c r="G321" s="32">
        <v>317</v>
      </c>
      <c r="H321" s="33">
        <v>-496.05931031286838</v>
      </c>
    </row>
    <row r="322" spans="7:8" hidden="1" x14ac:dyDescent="0.4">
      <c r="G322" s="32">
        <v>318</v>
      </c>
      <c r="H322" s="33">
        <v>2082.0358568674287</v>
      </c>
    </row>
    <row r="323" spans="7:8" hidden="1" x14ac:dyDescent="0.4">
      <c r="G323" s="32">
        <v>319</v>
      </c>
      <c r="H323" s="33">
        <v>144.14453244270467</v>
      </c>
    </row>
    <row r="324" spans="7:8" hidden="1" x14ac:dyDescent="0.4">
      <c r="G324" s="32">
        <v>320</v>
      </c>
      <c r="H324" s="33">
        <v>770.08608727468686</v>
      </c>
    </row>
    <row r="325" spans="7:8" hidden="1" x14ac:dyDescent="0.4">
      <c r="G325" s="32">
        <v>321</v>
      </c>
      <c r="H325" s="33">
        <v>1401.758032456288</v>
      </c>
    </row>
    <row r="326" spans="7:8" hidden="1" x14ac:dyDescent="0.4">
      <c r="G326" s="32">
        <v>322</v>
      </c>
      <c r="H326" s="33">
        <v>723.95976604987823</v>
      </c>
    </row>
    <row r="327" spans="7:8" hidden="1" x14ac:dyDescent="0.4">
      <c r="G327" s="32">
        <v>323</v>
      </c>
      <c r="H327" s="33">
        <v>2124.595492529108</v>
      </c>
    </row>
    <row r="328" spans="7:8" hidden="1" x14ac:dyDescent="0.4">
      <c r="G328" s="32">
        <v>324</v>
      </c>
      <c r="H328" s="33">
        <v>1221.5538379923505</v>
      </c>
    </row>
    <row r="329" spans="7:8" hidden="1" x14ac:dyDescent="0.4">
      <c r="G329" s="32">
        <v>325</v>
      </c>
      <c r="H329" s="33">
        <v>3297.2873889879411</v>
      </c>
    </row>
    <row r="330" spans="7:8" hidden="1" x14ac:dyDescent="0.4">
      <c r="G330" s="32">
        <v>326</v>
      </c>
      <c r="H330" s="33">
        <v>442.31508701081611</v>
      </c>
    </row>
    <row r="331" spans="7:8" hidden="1" x14ac:dyDescent="0.4">
      <c r="G331" s="32">
        <v>327</v>
      </c>
      <c r="H331" s="33">
        <v>1324.9507068904031</v>
      </c>
    </row>
    <row r="332" spans="7:8" hidden="1" x14ac:dyDescent="0.4">
      <c r="G332" s="32">
        <v>328</v>
      </c>
      <c r="H332" s="33">
        <v>3783.0296886762244</v>
      </c>
    </row>
    <row r="333" spans="7:8" hidden="1" x14ac:dyDescent="0.4">
      <c r="G333" s="32">
        <v>329</v>
      </c>
      <c r="H333" s="33">
        <v>1753.2046666862202</v>
      </c>
    </row>
    <row r="334" spans="7:8" hidden="1" x14ac:dyDescent="0.4">
      <c r="G334" s="32">
        <v>330</v>
      </c>
      <c r="H334" s="33">
        <v>-458.53453351855791</v>
      </c>
    </row>
    <row r="335" spans="7:8" hidden="1" x14ac:dyDescent="0.4">
      <c r="G335" s="32">
        <v>331</v>
      </c>
      <c r="H335" s="33">
        <v>3907.5037159552207</v>
      </c>
    </row>
    <row r="336" spans="7:8" hidden="1" x14ac:dyDescent="0.4">
      <c r="G336" s="32">
        <v>332</v>
      </c>
      <c r="H336" s="33">
        <v>1542.5856806719526</v>
      </c>
    </row>
    <row r="337" spans="7:8" hidden="1" x14ac:dyDescent="0.4">
      <c r="G337" s="32">
        <v>333</v>
      </c>
      <c r="H337" s="33">
        <v>1685.8586968132945</v>
      </c>
    </row>
    <row r="338" spans="7:8" hidden="1" x14ac:dyDescent="0.4">
      <c r="G338" s="32">
        <v>334</v>
      </c>
      <c r="H338" s="33">
        <v>-1925.0387673361283</v>
      </c>
    </row>
    <row r="339" spans="7:8" hidden="1" x14ac:dyDescent="0.4">
      <c r="G339" s="32">
        <v>335</v>
      </c>
      <c r="H339" s="33">
        <v>-13.616439151274518</v>
      </c>
    </row>
    <row r="340" spans="7:8" hidden="1" x14ac:dyDescent="0.4">
      <c r="G340" s="32">
        <v>336</v>
      </c>
      <c r="H340" s="33">
        <v>-572.79074266613588</v>
      </c>
    </row>
    <row r="341" spans="7:8" hidden="1" x14ac:dyDescent="0.4">
      <c r="G341" s="32">
        <v>337</v>
      </c>
      <c r="H341" s="33">
        <v>4088.6746333685132</v>
      </c>
    </row>
    <row r="342" spans="7:8" hidden="1" x14ac:dyDescent="0.4">
      <c r="G342" s="32">
        <v>338</v>
      </c>
      <c r="H342" s="33">
        <v>1072.4163761361115</v>
      </c>
    </row>
    <row r="343" spans="7:8" hidden="1" x14ac:dyDescent="0.4">
      <c r="G343" s="32">
        <v>339</v>
      </c>
      <c r="H343" s="33">
        <v>1943.9137869108047</v>
      </c>
    </row>
    <row r="344" spans="7:8" hidden="1" x14ac:dyDescent="0.4">
      <c r="G344" s="32">
        <v>340</v>
      </c>
      <c r="H344" s="33">
        <v>2333.1364426676719</v>
      </c>
    </row>
    <row r="345" spans="7:8" hidden="1" x14ac:dyDescent="0.4">
      <c r="G345" s="32">
        <v>341</v>
      </c>
      <c r="H345" s="33">
        <v>90.979207761685515</v>
      </c>
    </row>
    <row r="346" spans="7:8" hidden="1" x14ac:dyDescent="0.4">
      <c r="G346" s="32">
        <v>342</v>
      </c>
      <c r="H346" s="33">
        <v>1383.6400270697859</v>
      </c>
    </row>
    <row r="347" spans="7:8" hidden="1" x14ac:dyDescent="0.4">
      <c r="G347" s="32">
        <v>343</v>
      </c>
      <c r="H347" s="33">
        <v>5015.366546898058</v>
      </c>
    </row>
    <row r="348" spans="7:8" hidden="1" x14ac:dyDescent="0.4">
      <c r="G348" s="32">
        <v>344</v>
      </c>
      <c r="H348" s="33">
        <v>1916.6875373784658</v>
      </c>
    </row>
    <row r="349" spans="7:8" hidden="1" x14ac:dyDescent="0.4">
      <c r="G349" s="32">
        <v>345</v>
      </c>
      <c r="H349" s="33">
        <v>1658.5368223609337</v>
      </c>
    </row>
    <row r="350" spans="7:8" hidden="1" x14ac:dyDescent="0.4">
      <c r="G350" s="32">
        <v>346</v>
      </c>
      <c r="H350" s="33">
        <v>4585.9807074547734</v>
      </c>
    </row>
    <row r="351" spans="7:8" hidden="1" x14ac:dyDescent="0.4">
      <c r="G351" s="32">
        <v>347</v>
      </c>
      <c r="H351" s="33">
        <v>2282.76201444663</v>
      </c>
    </row>
    <row r="352" spans="7:8" hidden="1" x14ac:dyDescent="0.4">
      <c r="G352" s="32">
        <v>348</v>
      </c>
      <c r="H352" s="33">
        <v>3755.4077059892247</v>
      </c>
    </row>
    <row r="353" spans="7:8" hidden="1" x14ac:dyDescent="0.4">
      <c r="G353" s="32">
        <v>349</v>
      </c>
      <c r="H353" s="33">
        <v>608.9208397830655</v>
      </c>
    </row>
    <row r="354" spans="7:8" hidden="1" x14ac:dyDescent="0.4">
      <c r="G354" s="32">
        <v>350</v>
      </c>
      <c r="H354" s="33">
        <v>5500.5598208239144</v>
      </c>
    </row>
    <row r="355" spans="7:8" hidden="1" x14ac:dyDescent="0.4">
      <c r="G355" s="32">
        <v>351</v>
      </c>
      <c r="H355" s="33">
        <v>2823.1982296676856</v>
      </c>
    </row>
    <row r="356" spans="7:8" hidden="1" x14ac:dyDescent="0.4">
      <c r="G356" s="32">
        <v>352</v>
      </c>
      <c r="H356" s="33">
        <v>-275.02925832472937</v>
      </c>
    </row>
    <row r="357" spans="7:8" hidden="1" x14ac:dyDescent="0.4">
      <c r="G357" s="32">
        <v>353</v>
      </c>
      <c r="H357" s="33">
        <v>2811.006956067723</v>
      </c>
    </row>
    <row r="358" spans="7:8" hidden="1" x14ac:dyDescent="0.4">
      <c r="G358" s="32">
        <v>354</v>
      </c>
      <c r="H358" s="33">
        <v>2132.8318662136521</v>
      </c>
    </row>
    <row r="359" spans="7:8" hidden="1" x14ac:dyDescent="0.4">
      <c r="G359" s="32">
        <v>355</v>
      </c>
      <c r="H359" s="33">
        <v>3440.1690470994954</v>
      </c>
    </row>
    <row r="360" spans="7:8" hidden="1" x14ac:dyDescent="0.4">
      <c r="G360" s="32">
        <v>356</v>
      </c>
      <c r="H360" s="33">
        <v>788.32054340720413</v>
      </c>
    </row>
    <row r="361" spans="7:8" hidden="1" x14ac:dyDescent="0.4">
      <c r="G361" s="32">
        <v>357</v>
      </c>
      <c r="H361" s="33">
        <v>1274.9008496635652</v>
      </c>
    </row>
    <row r="362" spans="7:8" hidden="1" x14ac:dyDescent="0.4">
      <c r="G362" s="32">
        <v>358</v>
      </c>
      <c r="H362" s="33">
        <v>2968.3243916258657</v>
      </c>
    </row>
    <row r="363" spans="7:8" hidden="1" x14ac:dyDescent="0.4">
      <c r="G363" s="32">
        <v>359</v>
      </c>
      <c r="H363" s="33">
        <v>2055.407199785066</v>
      </c>
    </row>
    <row r="364" spans="7:8" hidden="1" x14ac:dyDescent="0.4">
      <c r="G364" s="32">
        <v>360</v>
      </c>
      <c r="H364" s="33">
        <v>1727.6457175003836</v>
      </c>
    </row>
    <row r="365" spans="7:8" hidden="1" x14ac:dyDescent="0.4">
      <c r="G365" s="32">
        <v>361</v>
      </c>
      <c r="H365" s="33">
        <v>1116.6727707399732</v>
      </c>
    </row>
    <row r="366" spans="7:8" hidden="1" x14ac:dyDescent="0.4">
      <c r="G366" s="32">
        <v>362</v>
      </c>
      <c r="H366" s="33">
        <v>3264.5777694700114</v>
      </c>
    </row>
    <row r="367" spans="7:8" hidden="1" x14ac:dyDescent="0.4">
      <c r="G367" s="32">
        <v>363</v>
      </c>
      <c r="H367" s="33">
        <v>2379.7840675079601</v>
      </c>
    </row>
    <row r="368" spans="7:8" hidden="1" x14ac:dyDescent="0.4">
      <c r="G368" s="32">
        <v>364</v>
      </c>
      <c r="H368" s="33">
        <v>3628.9666597802866</v>
      </c>
    </row>
    <row r="369" spans="7:8" hidden="1" x14ac:dyDescent="0.4">
      <c r="G369" s="32">
        <v>365</v>
      </c>
      <c r="H369" s="33">
        <v>5245.498865870778</v>
      </c>
    </row>
    <row r="370" spans="7:8" hidden="1" x14ac:dyDescent="0.4">
      <c r="G370" s="32">
        <v>366</v>
      </c>
      <c r="H370" s="33">
        <v>2681.9405366186493</v>
      </c>
    </row>
    <row r="371" spans="7:8" hidden="1" x14ac:dyDescent="0.4">
      <c r="G371" s="32">
        <v>367</v>
      </c>
      <c r="H371" s="33">
        <v>3340.700209670902</v>
      </c>
    </row>
    <row r="372" spans="7:8" hidden="1" x14ac:dyDescent="0.4">
      <c r="G372" s="32">
        <v>368</v>
      </c>
      <c r="H372" s="33">
        <v>3415.7134431487875</v>
      </c>
    </row>
    <row r="373" spans="7:8" hidden="1" x14ac:dyDescent="0.4">
      <c r="G373" s="32">
        <v>369</v>
      </c>
      <c r="H373" s="33">
        <v>-190.4297125288754</v>
      </c>
    </row>
    <row r="374" spans="7:8" hidden="1" x14ac:dyDescent="0.4">
      <c r="G374" s="32">
        <v>370</v>
      </c>
      <c r="H374" s="33">
        <v>381.32322065843283</v>
      </c>
    </row>
    <row r="375" spans="7:8" hidden="1" x14ac:dyDescent="0.4">
      <c r="G375" s="32">
        <v>371</v>
      </c>
      <c r="H375" s="33">
        <v>1256.4578951894307</v>
      </c>
    </row>
    <row r="376" spans="7:8" hidden="1" x14ac:dyDescent="0.4">
      <c r="G376" s="32">
        <v>372</v>
      </c>
      <c r="H376" s="33">
        <v>893.39981588910587</v>
      </c>
    </row>
    <row r="377" spans="7:8" hidden="1" x14ac:dyDescent="0.4">
      <c r="G377" s="32">
        <v>373</v>
      </c>
      <c r="H377" s="33">
        <v>2038.1473751125363</v>
      </c>
    </row>
    <row r="378" spans="7:8" hidden="1" x14ac:dyDescent="0.4">
      <c r="G378" s="32">
        <v>374</v>
      </c>
      <c r="H378" s="33">
        <v>2686.2490802908856</v>
      </c>
    </row>
    <row r="379" spans="7:8" hidden="1" x14ac:dyDescent="0.4">
      <c r="G379" s="32">
        <v>375</v>
      </c>
      <c r="H379" s="33">
        <v>1377.4283535753325</v>
      </c>
    </row>
    <row r="380" spans="7:8" hidden="1" x14ac:dyDescent="0.4">
      <c r="G380" s="32">
        <v>376</v>
      </c>
      <c r="H380" s="33">
        <v>513.81651275807712</v>
      </c>
    </row>
    <row r="381" spans="7:8" hidden="1" x14ac:dyDescent="0.4">
      <c r="G381" s="32">
        <v>377</v>
      </c>
      <c r="H381" s="33">
        <v>4518.9758600025789</v>
      </c>
    </row>
    <row r="382" spans="7:8" hidden="1" x14ac:dyDescent="0.4">
      <c r="G382" s="32">
        <v>378</v>
      </c>
      <c r="H382" s="33">
        <v>1908.1140624516468</v>
      </c>
    </row>
    <row r="383" spans="7:8" hidden="1" x14ac:dyDescent="0.4">
      <c r="G383" s="32">
        <v>379</v>
      </c>
      <c r="H383" s="33">
        <v>3557.1011210903566</v>
      </c>
    </row>
    <row r="384" spans="7:8" hidden="1" x14ac:dyDescent="0.4">
      <c r="G384" s="32">
        <v>380</v>
      </c>
      <c r="H384" s="33">
        <v>2324.107264073918</v>
      </c>
    </row>
    <row r="385" spans="7:8" hidden="1" x14ac:dyDescent="0.4">
      <c r="G385" s="32">
        <v>381</v>
      </c>
      <c r="H385" s="33">
        <v>50.949465494404855</v>
      </c>
    </row>
    <row r="386" spans="7:8" hidden="1" x14ac:dyDescent="0.4">
      <c r="G386" s="32">
        <v>382</v>
      </c>
      <c r="H386" s="33">
        <v>1280.5446218853428</v>
      </c>
    </row>
    <row r="387" spans="7:8" hidden="1" x14ac:dyDescent="0.4">
      <c r="G387" s="32">
        <v>383</v>
      </c>
      <c r="H387" s="33">
        <v>1189.7136492752043</v>
      </c>
    </row>
    <row r="388" spans="7:8" hidden="1" x14ac:dyDescent="0.4">
      <c r="G388" s="32">
        <v>384</v>
      </c>
      <c r="H388" s="33">
        <v>798.22633216542931</v>
      </c>
    </row>
    <row r="389" spans="7:8" hidden="1" x14ac:dyDescent="0.4">
      <c r="G389" s="32">
        <v>385</v>
      </c>
      <c r="H389" s="33">
        <v>2923.3022692996524</v>
      </c>
    </row>
    <row r="390" spans="7:8" hidden="1" x14ac:dyDescent="0.4">
      <c r="G390" s="32">
        <v>386</v>
      </c>
      <c r="H390" s="33">
        <v>3107.2837332246481</v>
      </c>
    </row>
    <row r="391" spans="7:8" hidden="1" x14ac:dyDescent="0.4">
      <c r="G391" s="32">
        <v>387</v>
      </c>
      <c r="H391" s="33">
        <v>705.70095375313372</v>
      </c>
    </row>
    <row r="392" spans="7:8" hidden="1" x14ac:dyDescent="0.4">
      <c r="G392" s="32">
        <v>388</v>
      </c>
      <c r="H392" s="33">
        <v>2758.001543259445</v>
      </c>
    </row>
    <row r="393" spans="7:8" hidden="1" x14ac:dyDescent="0.4">
      <c r="G393" s="32">
        <v>389</v>
      </c>
      <c r="H393" s="33">
        <v>2290.0878274390129</v>
      </c>
    </row>
    <row r="394" spans="7:8" hidden="1" x14ac:dyDescent="0.4">
      <c r="G394" s="32">
        <v>390</v>
      </c>
      <c r="H394" s="33">
        <v>2214.1268241833054</v>
      </c>
    </row>
    <row r="395" spans="7:8" hidden="1" x14ac:dyDescent="0.4">
      <c r="G395" s="32">
        <v>391</v>
      </c>
      <c r="H395" s="33">
        <v>2350.0052707603086</v>
      </c>
    </row>
    <row r="396" spans="7:8" hidden="1" x14ac:dyDescent="0.4">
      <c r="G396" s="32">
        <v>392</v>
      </c>
      <c r="H396" s="33">
        <v>185.32374473323915</v>
      </c>
    </row>
    <row r="397" spans="7:8" hidden="1" x14ac:dyDescent="0.4">
      <c r="G397" s="32">
        <v>393</v>
      </c>
      <c r="H397" s="33">
        <v>-408.07313775217557</v>
      </c>
    </row>
    <row r="398" spans="7:8" hidden="1" x14ac:dyDescent="0.4">
      <c r="G398" s="32">
        <v>394</v>
      </c>
      <c r="H398" s="33">
        <v>1454.0819837103529</v>
      </c>
    </row>
    <row r="399" spans="7:8" hidden="1" x14ac:dyDescent="0.4">
      <c r="G399" s="32">
        <v>395</v>
      </c>
      <c r="H399" s="33">
        <v>-53.719714758905845</v>
      </c>
    </row>
    <row r="400" spans="7:8" hidden="1" x14ac:dyDescent="0.4">
      <c r="G400" s="32">
        <v>396</v>
      </c>
      <c r="H400" s="33">
        <v>1670.5849038647295</v>
      </c>
    </row>
    <row r="401" spans="7:8" hidden="1" x14ac:dyDescent="0.4">
      <c r="G401" s="32">
        <v>397</v>
      </c>
      <c r="H401" s="33">
        <v>3269.0056580715159</v>
      </c>
    </row>
    <row r="402" spans="7:8" hidden="1" x14ac:dyDescent="0.4">
      <c r="G402" s="32">
        <v>398</v>
      </c>
      <c r="H402" s="33">
        <v>-2.4951778299413401</v>
      </c>
    </row>
    <row r="403" spans="7:8" hidden="1" x14ac:dyDescent="0.4">
      <c r="G403" s="32">
        <v>399</v>
      </c>
      <c r="H403" s="33">
        <v>1388.8251135134096</v>
      </c>
    </row>
    <row r="404" spans="7:8" hidden="1" x14ac:dyDescent="0.4">
      <c r="G404" s="32">
        <v>400</v>
      </c>
      <c r="H404" s="33">
        <v>-455.3635296283739</v>
      </c>
    </row>
    <row r="405" spans="7:8" hidden="1" x14ac:dyDescent="0.4">
      <c r="G405" s="32">
        <v>401</v>
      </c>
      <c r="H405" s="33">
        <v>754.68511073766626</v>
      </c>
    </row>
    <row r="406" spans="7:8" hidden="1" x14ac:dyDescent="0.4">
      <c r="G406" s="32">
        <v>402</v>
      </c>
      <c r="H406" s="33">
        <v>614.83782499344659</v>
      </c>
    </row>
    <row r="407" spans="7:8" hidden="1" x14ac:dyDescent="0.4">
      <c r="G407" s="32">
        <v>403</v>
      </c>
      <c r="H407" s="33">
        <v>1934.9645270516962</v>
      </c>
    </row>
    <row r="408" spans="7:8" hidden="1" x14ac:dyDescent="0.4">
      <c r="G408" s="32">
        <v>404</v>
      </c>
      <c r="H408" s="33">
        <v>147.69662710702056</v>
      </c>
    </row>
    <row r="409" spans="7:8" hidden="1" x14ac:dyDescent="0.4">
      <c r="G409" s="32">
        <v>405</v>
      </c>
      <c r="H409" s="33">
        <v>1554.7909582247819</v>
      </c>
    </row>
    <row r="410" spans="7:8" hidden="1" x14ac:dyDescent="0.4">
      <c r="G410" s="32">
        <v>406</v>
      </c>
      <c r="H410" s="33">
        <v>1233.8173278905863</v>
      </c>
    </row>
    <row r="411" spans="7:8" hidden="1" x14ac:dyDescent="0.4">
      <c r="G411" s="32">
        <v>407</v>
      </c>
      <c r="H411" s="33">
        <v>2030.084369298967</v>
      </c>
    </row>
    <row r="412" spans="7:8" hidden="1" x14ac:dyDescent="0.4">
      <c r="G412" s="32">
        <v>408</v>
      </c>
      <c r="H412" s="33">
        <v>-711.45553107294984</v>
      </c>
    </row>
    <row r="413" spans="7:8" hidden="1" x14ac:dyDescent="0.4">
      <c r="G413" s="32">
        <v>409</v>
      </c>
      <c r="H413" s="33">
        <v>1532.3921398991238</v>
      </c>
    </row>
    <row r="414" spans="7:8" hidden="1" x14ac:dyDescent="0.4">
      <c r="G414" s="32">
        <v>410</v>
      </c>
      <c r="H414" s="33">
        <v>232.37064773931635</v>
      </c>
    </row>
    <row r="415" spans="7:8" hidden="1" x14ac:dyDescent="0.4">
      <c r="G415" s="32">
        <v>411</v>
      </c>
      <c r="H415" s="33">
        <v>1220.3777376803594</v>
      </c>
    </row>
    <row r="416" spans="7:8" hidden="1" x14ac:dyDescent="0.4">
      <c r="G416" s="32">
        <v>412</v>
      </c>
      <c r="H416" s="33">
        <v>1646.9186315418603</v>
      </c>
    </row>
    <row r="417" spans="7:8" hidden="1" x14ac:dyDescent="0.4">
      <c r="G417" s="32">
        <v>413</v>
      </c>
      <c r="H417" s="33">
        <v>1554.7521773778267</v>
      </c>
    </row>
    <row r="418" spans="7:8" hidden="1" x14ac:dyDescent="0.4">
      <c r="G418" s="32">
        <v>414</v>
      </c>
      <c r="H418" s="33">
        <v>1585.0388190718136</v>
      </c>
    </row>
    <row r="419" spans="7:8" hidden="1" x14ac:dyDescent="0.4">
      <c r="G419" s="32">
        <v>415</v>
      </c>
      <c r="H419" s="33">
        <v>-897.58690046760489</v>
      </c>
    </row>
    <row r="420" spans="7:8" hidden="1" x14ac:dyDescent="0.4">
      <c r="G420" s="32">
        <v>416</v>
      </c>
      <c r="H420" s="33">
        <v>-819.52889727757986</v>
      </c>
    </row>
    <row r="421" spans="7:8" hidden="1" x14ac:dyDescent="0.4">
      <c r="G421" s="32">
        <v>417</v>
      </c>
      <c r="H421" s="33">
        <v>2190.8367171124705</v>
      </c>
    </row>
    <row r="422" spans="7:8" hidden="1" x14ac:dyDescent="0.4">
      <c r="G422" s="32">
        <v>418</v>
      </c>
      <c r="H422" s="33">
        <v>1120.2719956931198</v>
      </c>
    </row>
    <row r="423" spans="7:8" hidden="1" x14ac:dyDescent="0.4">
      <c r="G423" s="32">
        <v>419</v>
      </c>
      <c r="H423" s="33">
        <v>1883.418183886532</v>
      </c>
    </row>
    <row r="424" spans="7:8" hidden="1" x14ac:dyDescent="0.4">
      <c r="G424" s="32">
        <v>420</v>
      </c>
      <c r="H424" s="33">
        <v>1737.2575888713368</v>
      </c>
    </row>
    <row r="425" spans="7:8" hidden="1" x14ac:dyDescent="0.4">
      <c r="G425" s="32">
        <v>421</v>
      </c>
      <c r="H425" s="33">
        <v>1243.0319447469114</v>
      </c>
    </row>
    <row r="426" spans="7:8" hidden="1" x14ac:dyDescent="0.4">
      <c r="G426" s="32">
        <v>422</v>
      </c>
      <c r="H426" s="33">
        <v>1464.2473036926519</v>
      </c>
    </row>
    <row r="427" spans="7:8" hidden="1" x14ac:dyDescent="0.4">
      <c r="G427" s="32">
        <v>423</v>
      </c>
      <c r="H427" s="33">
        <v>3983.7898728322948</v>
      </c>
    </row>
    <row r="428" spans="7:8" hidden="1" x14ac:dyDescent="0.4">
      <c r="G428" s="32">
        <v>424</v>
      </c>
      <c r="H428" s="33">
        <v>2093.2160437072585</v>
      </c>
    </row>
    <row r="429" spans="7:8" hidden="1" x14ac:dyDescent="0.4">
      <c r="G429" s="32">
        <v>425</v>
      </c>
      <c r="H429" s="33">
        <v>951.03242811724931</v>
      </c>
    </row>
    <row r="430" spans="7:8" hidden="1" x14ac:dyDescent="0.4">
      <c r="G430" s="32">
        <v>426</v>
      </c>
      <c r="H430" s="33">
        <v>1034.6085933250067</v>
      </c>
    </row>
    <row r="431" spans="7:8" hidden="1" x14ac:dyDescent="0.4">
      <c r="G431" s="32">
        <v>427</v>
      </c>
      <c r="H431" s="33">
        <v>2388.5140994001104</v>
      </c>
    </row>
    <row r="432" spans="7:8" hidden="1" x14ac:dyDescent="0.4">
      <c r="G432" s="32">
        <v>428</v>
      </c>
      <c r="H432" s="33">
        <v>3072.8395218174837</v>
      </c>
    </row>
    <row r="433" spans="7:8" hidden="1" x14ac:dyDescent="0.4">
      <c r="G433" s="32">
        <v>429</v>
      </c>
      <c r="H433" s="33">
        <v>-1270.7501739577533</v>
      </c>
    </row>
    <row r="434" spans="7:8" hidden="1" x14ac:dyDescent="0.4">
      <c r="G434" s="32">
        <v>430</v>
      </c>
      <c r="H434" s="33">
        <v>985.18949476136117</v>
      </c>
    </row>
    <row r="435" spans="7:8" hidden="1" x14ac:dyDescent="0.4">
      <c r="G435" s="32">
        <v>431</v>
      </c>
      <c r="H435" s="33">
        <v>2116.2472178482549</v>
      </c>
    </row>
    <row r="436" spans="7:8" hidden="1" x14ac:dyDescent="0.4">
      <c r="G436" s="32">
        <v>432</v>
      </c>
      <c r="H436" s="33">
        <v>548.44773824099559</v>
      </c>
    </row>
    <row r="437" spans="7:8" hidden="1" x14ac:dyDescent="0.4">
      <c r="G437" s="32">
        <v>433</v>
      </c>
      <c r="H437" s="33">
        <v>153.75998692735121</v>
      </c>
    </row>
    <row r="438" spans="7:8" hidden="1" x14ac:dyDescent="0.4">
      <c r="G438" s="32">
        <v>434</v>
      </c>
      <c r="H438" s="33">
        <v>-1393.3954164414588</v>
      </c>
    </row>
    <row r="439" spans="7:8" hidden="1" x14ac:dyDescent="0.4">
      <c r="G439" s="32">
        <v>435</v>
      </c>
      <c r="H439" s="33">
        <v>-986.5405123938732</v>
      </c>
    </row>
    <row r="440" spans="7:8" hidden="1" x14ac:dyDescent="0.4">
      <c r="G440" s="32">
        <v>436</v>
      </c>
      <c r="H440" s="33">
        <v>669.13047690452788</v>
      </c>
    </row>
    <row r="441" spans="7:8" hidden="1" x14ac:dyDescent="0.4">
      <c r="G441" s="32">
        <v>437</v>
      </c>
      <c r="H441" s="33">
        <v>2102.0677588746453</v>
      </c>
    </row>
    <row r="442" spans="7:8" hidden="1" x14ac:dyDescent="0.4">
      <c r="G442" s="32">
        <v>438</v>
      </c>
      <c r="H442" s="33">
        <v>1371.7880195282407</v>
      </c>
    </row>
    <row r="443" spans="7:8" hidden="1" x14ac:dyDescent="0.4">
      <c r="G443" s="32">
        <v>439</v>
      </c>
      <c r="H443" s="33">
        <v>-400.30433767835387</v>
      </c>
    </row>
    <row r="444" spans="7:8" hidden="1" x14ac:dyDescent="0.4">
      <c r="G444" s="32">
        <v>440</v>
      </c>
      <c r="H444" s="33">
        <v>624.62128419881378</v>
      </c>
    </row>
    <row r="445" spans="7:8" hidden="1" x14ac:dyDescent="0.4">
      <c r="G445" s="32">
        <v>441</v>
      </c>
      <c r="H445" s="33">
        <v>712.95478079378393</v>
      </c>
    </row>
    <row r="446" spans="7:8" hidden="1" x14ac:dyDescent="0.4">
      <c r="G446" s="32">
        <v>442</v>
      </c>
      <c r="H446" s="33">
        <v>533.90615986424723</v>
      </c>
    </row>
    <row r="447" spans="7:8" hidden="1" x14ac:dyDescent="0.4">
      <c r="G447" s="32">
        <v>443</v>
      </c>
      <c r="H447" s="33">
        <v>919.8076520644629</v>
      </c>
    </row>
    <row r="448" spans="7:8" hidden="1" x14ac:dyDescent="0.4">
      <c r="G448" s="32">
        <v>444</v>
      </c>
      <c r="H448" s="33">
        <v>1357.2194210045966</v>
      </c>
    </row>
    <row r="449" spans="7:8" hidden="1" x14ac:dyDescent="0.4">
      <c r="G449" s="32">
        <v>445</v>
      </c>
      <c r="H449" s="33">
        <v>1617.2066985400272</v>
      </c>
    </row>
    <row r="450" spans="7:8" hidden="1" x14ac:dyDescent="0.4">
      <c r="G450" s="32">
        <v>446</v>
      </c>
      <c r="H450" s="33">
        <v>1268.0252950286088</v>
      </c>
    </row>
    <row r="451" spans="7:8" hidden="1" x14ac:dyDescent="0.4">
      <c r="G451" s="32">
        <v>447</v>
      </c>
      <c r="H451" s="33">
        <v>-116.01136918509718</v>
      </c>
    </row>
    <row r="452" spans="7:8" hidden="1" x14ac:dyDescent="0.4">
      <c r="G452" s="32">
        <v>448</v>
      </c>
      <c r="H452" s="33">
        <v>42.027408610589511</v>
      </c>
    </row>
    <row r="453" spans="7:8" hidden="1" x14ac:dyDescent="0.4">
      <c r="G453" s="32">
        <v>449</v>
      </c>
      <c r="H453" s="33">
        <v>2478.1941891441907</v>
      </c>
    </row>
    <row r="454" spans="7:8" hidden="1" x14ac:dyDescent="0.4">
      <c r="G454" s="32">
        <v>450</v>
      </c>
      <c r="H454" s="33">
        <v>588.48600767318158</v>
      </c>
    </row>
    <row r="455" spans="7:8" hidden="1" x14ac:dyDescent="0.4">
      <c r="G455" s="32">
        <v>451</v>
      </c>
      <c r="H455" s="33">
        <v>3510.814669701816</v>
      </c>
    </row>
    <row r="456" spans="7:8" hidden="1" x14ac:dyDescent="0.4">
      <c r="G456" s="32">
        <v>452</v>
      </c>
      <c r="H456" s="33">
        <v>41.516639072344496</v>
      </c>
    </row>
    <row r="457" spans="7:8" hidden="1" x14ac:dyDescent="0.4">
      <c r="G457" s="32">
        <v>453</v>
      </c>
      <c r="H457" s="33">
        <v>3382.5451066808773</v>
      </c>
    </row>
    <row r="458" spans="7:8" hidden="1" x14ac:dyDescent="0.4">
      <c r="G458" s="32">
        <v>454</v>
      </c>
      <c r="H458" s="33">
        <v>1186.3722959827164</v>
      </c>
    </row>
    <row r="459" spans="7:8" hidden="1" x14ac:dyDescent="0.4">
      <c r="G459" s="32">
        <v>455</v>
      </c>
      <c r="H459" s="33">
        <v>2630.248888787924</v>
      </c>
    </row>
    <row r="460" spans="7:8" hidden="1" x14ac:dyDescent="0.4">
      <c r="G460" s="32">
        <v>456</v>
      </c>
      <c r="H460" s="33">
        <v>1518.1038304499039</v>
      </c>
    </row>
    <row r="461" spans="7:8" hidden="1" x14ac:dyDescent="0.4">
      <c r="G461" s="32">
        <v>457</v>
      </c>
      <c r="H461" s="33">
        <v>3422.4520207896849</v>
      </c>
    </row>
    <row r="462" spans="7:8" hidden="1" x14ac:dyDescent="0.4">
      <c r="G462" s="32">
        <v>458</v>
      </c>
      <c r="H462" s="33">
        <v>-899.72868929409299</v>
      </c>
    </row>
    <row r="463" spans="7:8" hidden="1" x14ac:dyDescent="0.4">
      <c r="G463" s="32">
        <v>459</v>
      </c>
      <c r="H463" s="33">
        <v>1858.6461112921081</v>
      </c>
    </row>
    <row r="464" spans="7:8" hidden="1" x14ac:dyDescent="0.4">
      <c r="G464" s="32">
        <v>460</v>
      </c>
      <c r="H464" s="33">
        <v>-158.80710076740246</v>
      </c>
    </row>
    <row r="465" spans="7:8" hidden="1" x14ac:dyDescent="0.4">
      <c r="G465" s="32">
        <v>461</v>
      </c>
      <c r="H465" s="33">
        <v>3404.7275652712815</v>
      </c>
    </row>
    <row r="466" spans="7:8" hidden="1" x14ac:dyDescent="0.4">
      <c r="G466" s="32">
        <v>462</v>
      </c>
      <c r="H466" s="33">
        <v>109.56021152714112</v>
      </c>
    </row>
    <row r="467" spans="7:8" hidden="1" x14ac:dyDescent="0.4">
      <c r="G467" s="32">
        <v>463</v>
      </c>
      <c r="H467" s="33">
        <v>1976.1358856930815</v>
      </c>
    </row>
    <row r="468" spans="7:8" hidden="1" x14ac:dyDescent="0.4">
      <c r="G468" s="32">
        <v>464</v>
      </c>
      <c r="H468" s="33">
        <v>579.58632096049666</v>
      </c>
    </row>
    <row r="469" spans="7:8" hidden="1" x14ac:dyDescent="0.4">
      <c r="G469" s="32">
        <v>465</v>
      </c>
      <c r="H469" s="33">
        <v>-276.59038969477234</v>
      </c>
    </row>
    <row r="470" spans="7:8" hidden="1" x14ac:dyDescent="0.4">
      <c r="G470" s="32">
        <v>466</v>
      </c>
      <c r="H470" s="33">
        <v>531.69205960555018</v>
      </c>
    </row>
    <row r="471" spans="7:8" hidden="1" x14ac:dyDescent="0.4">
      <c r="G471" s="32">
        <v>467</v>
      </c>
      <c r="H471" s="33">
        <v>347.25779775630065</v>
      </c>
    </row>
    <row r="472" spans="7:8" hidden="1" x14ac:dyDescent="0.4">
      <c r="G472" s="32">
        <v>468</v>
      </c>
      <c r="H472" s="33">
        <v>-194.59477338135505</v>
      </c>
    </row>
    <row r="473" spans="7:8" hidden="1" x14ac:dyDescent="0.4">
      <c r="G473" s="32">
        <v>469</v>
      </c>
      <c r="H473" s="33">
        <v>1009.5036200604136</v>
      </c>
    </row>
    <row r="474" spans="7:8" hidden="1" x14ac:dyDescent="0.4">
      <c r="G474" s="32">
        <v>470</v>
      </c>
      <c r="H474" s="33">
        <v>923.00944280850365</v>
      </c>
    </row>
    <row r="475" spans="7:8" hidden="1" x14ac:dyDescent="0.4">
      <c r="G475" s="32">
        <v>471</v>
      </c>
      <c r="H475" s="33">
        <v>4845.7111761363049</v>
      </c>
    </row>
    <row r="476" spans="7:8" hidden="1" x14ac:dyDescent="0.4">
      <c r="G476" s="32">
        <v>472</v>
      </c>
      <c r="H476" s="33">
        <v>1041.4146289486446</v>
      </c>
    </row>
    <row r="477" spans="7:8" hidden="1" x14ac:dyDescent="0.4">
      <c r="G477" s="32">
        <v>473</v>
      </c>
      <c r="H477" s="33">
        <v>2634.5003344941588</v>
      </c>
    </row>
    <row r="478" spans="7:8" hidden="1" x14ac:dyDescent="0.4">
      <c r="G478" s="32">
        <v>474</v>
      </c>
      <c r="H478" s="33">
        <v>1028.9158857404457</v>
      </c>
    </row>
    <row r="479" spans="7:8" hidden="1" x14ac:dyDescent="0.4">
      <c r="G479" s="32">
        <v>475</v>
      </c>
      <c r="H479" s="33">
        <v>-422.09497711316124</v>
      </c>
    </row>
    <row r="480" spans="7:8" hidden="1" x14ac:dyDescent="0.4">
      <c r="G480" s="32">
        <v>476</v>
      </c>
      <c r="H480" s="33">
        <v>1370.669573958317</v>
      </c>
    </row>
    <row r="481" spans="7:8" hidden="1" x14ac:dyDescent="0.4">
      <c r="G481" s="32">
        <v>477</v>
      </c>
      <c r="H481" s="33">
        <v>235.28516832069965</v>
      </c>
    </row>
    <row r="482" spans="7:8" hidden="1" x14ac:dyDescent="0.4">
      <c r="G482" s="32">
        <v>478</v>
      </c>
      <c r="H482" s="33">
        <v>1153.2288791198819</v>
      </c>
    </row>
    <row r="483" spans="7:8" hidden="1" x14ac:dyDescent="0.4">
      <c r="G483" s="32">
        <v>479</v>
      </c>
      <c r="H483" s="33">
        <v>2176.1815953887308</v>
      </c>
    </row>
    <row r="484" spans="7:8" hidden="1" x14ac:dyDescent="0.4">
      <c r="G484" s="32">
        <v>480</v>
      </c>
      <c r="H484" s="33">
        <v>-412.67965387004881</v>
      </c>
    </row>
    <row r="485" spans="7:8" hidden="1" x14ac:dyDescent="0.4">
      <c r="G485" s="32">
        <v>481</v>
      </c>
      <c r="H485" s="33">
        <v>1408.1135862526876</v>
      </c>
    </row>
    <row r="486" spans="7:8" hidden="1" x14ac:dyDescent="0.4">
      <c r="G486" s="32">
        <v>482</v>
      </c>
      <c r="H486" s="33">
        <v>1264.195567684405</v>
      </c>
    </row>
    <row r="487" spans="7:8" hidden="1" x14ac:dyDescent="0.4">
      <c r="G487" s="32">
        <v>483</v>
      </c>
      <c r="H487" s="33">
        <v>990.9236114475741</v>
      </c>
    </row>
    <row r="488" spans="7:8" hidden="1" x14ac:dyDescent="0.4">
      <c r="G488" s="32">
        <v>484</v>
      </c>
      <c r="H488" s="33">
        <v>1909.968090773936</v>
      </c>
    </row>
    <row r="489" spans="7:8" hidden="1" x14ac:dyDescent="0.4">
      <c r="G489" s="32">
        <v>485</v>
      </c>
      <c r="H489" s="33">
        <v>3313.1073161630352</v>
      </c>
    </row>
    <row r="490" spans="7:8" hidden="1" x14ac:dyDescent="0.4">
      <c r="G490" s="32">
        <v>486</v>
      </c>
      <c r="H490" s="33">
        <v>-172.68293765666746</v>
      </c>
    </row>
    <row r="491" spans="7:8" hidden="1" x14ac:dyDescent="0.4">
      <c r="G491" s="32">
        <v>487</v>
      </c>
      <c r="H491" s="33">
        <v>2596.3940864498186</v>
      </c>
    </row>
    <row r="492" spans="7:8" hidden="1" x14ac:dyDescent="0.4">
      <c r="G492" s="32">
        <v>488</v>
      </c>
      <c r="H492" s="33">
        <v>-467.71320307052412</v>
      </c>
    </row>
    <row r="493" spans="7:8" hidden="1" x14ac:dyDescent="0.4">
      <c r="G493" s="32">
        <v>489</v>
      </c>
      <c r="H493" s="33">
        <v>2617.1915613769438</v>
      </c>
    </row>
    <row r="494" spans="7:8" hidden="1" x14ac:dyDescent="0.4">
      <c r="G494" s="32">
        <v>490</v>
      </c>
      <c r="H494" s="33">
        <v>-967.99218304870294</v>
      </c>
    </row>
    <row r="495" spans="7:8" hidden="1" x14ac:dyDescent="0.4">
      <c r="G495" s="32">
        <v>491</v>
      </c>
      <c r="H495" s="33">
        <v>1724.5746896666869</v>
      </c>
    </row>
    <row r="496" spans="7:8" hidden="1" x14ac:dyDescent="0.4">
      <c r="G496" s="32">
        <v>492</v>
      </c>
      <c r="H496" s="33">
        <v>-1062.081878435358</v>
      </c>
    </row>
    <row r="497" spans="7:8" hidden="1" x14ac:dyDescent="0.4">
      <c r="G497" s="32">
        <v>493</v>
      </c>
      <c r="H497" s="33">
        <v>-218.82687683307444</v>
      </c>
    </row>
    <row r="498" spans="7:8" hidden="1" x14ac:dyDescent="0.4">
      <c r="G498" s="32">
        <v>494</v>
      </c>
      <c r="H498" s="33">
        <v>2273.4386302061866</v>
      </c>
    </row>
    <row r="499" spans="7:8" hidden="1" x14ac:dyDescent="0.4">
      <c r="G499" s="32">
        <v>495</v>
      </c>
      <c r="H499" s="33">
        <v>752.71838369436944</v>
      </c>
    </row>
    <row r="500" spans="7:8" hidden="1" x14ac:dyDescent="0.4">
      <c r="G500" s="32">
        <v>496</v>
      </c>
      <c r="H500" s="33">
        <v>1257.847797164158</v>
      </c>
    </row>
    <row r="501" spans="7:8" hidden="1" x14ac:dyDescent="0.4">
      <c r="G501" s="32">
        <v>497</v>
      </c>
      <c r="H501" s="33">
        <v>1221.085779364792</v>
      </c>
    </row>
    <row r="502" spans="7:8" hidden="1" x14ac:dyDescent="0.4">
      <c r="G502" s="32">
        <v>498</v>
      </c>
      <c r="H502" s="33">
        <v>2891.3228340182377</v>
      </c>
    </row>
    <row r="503" spans="7:8" hidden="1" x14ac:dyDescent="0.4">
      <c r="G503" s="32">
        <v>499</v>
      </c>
      <c r="H503" s="33">
        <v>1062.9084012251039</v>
      </c>
    </row>
    <row r="504" spans="7:8" hidden="1" x14ac:dyDescent="0.4">
      <c r="G504" s="32">
        <v>500</v>
      </c>
      <c r="H504" s="33">
        <v>365.85647513200752</v>
      </c>
    </row>
    <row r="505" spans="7:8" hidden="1" x14ac:dyDescent="0.4">
      <c r="G505" s="32">
        <v>501</v>
      </c>
      <c r="H505" s="33">
        <v>641.80911931190133</v>
      </c>
    </row>
    <row r="506" spans="7:8" hidden="1" x14ac:dyDescent="0.4">
      <c r="G506" s="32">
        <v>502</v>
      </c>
      <c r="H506" s="33">
        <v>961.43532459246933</v>
      </c>
    </row>
    <row r="507" spans="7:8" hidden="1" x14ac:dyDescent="0.4">
      <c r="G507" s="32">
        <v>503</v>
      </c>
      <c r="H507" s="33">
        <v>-699.8345347124008</v>
      </c>
    </row>
    <row r="508" spans="7:8" hidden="1" x14ac:dyDescent="0.4">
      <c r="G508" s="32">
        <v>504</v>
      </c>
      <c r="H508" s="33">
        <v>492.20595160491229</v>
      </c>
    </row>
    <row r="509" spans="7:8" hidden="1" x14ac:dyDescent="0.4">
      <c r="G509" s="32">
        <v>505</v>
      </c>
      <c r="H509" s="33">
        <v>787.61794282745836</v>
      </c>
    </row>
    <row r="510" spans="7:8" hidden="1" x14ac:dyDescent="0.4">
      <c r="G510" s="32">
        <v>506</v>
      </c>
      <c r="H510" s="33">
        <v>1475.7581345829115</v>
      </c>
    </row>
    <row r="511" spans="7:8" hidden="1" x14ac:dyDescent="0.4">
      <c r="G511" s="32">
        <v>507</v>
      </c>
      <c r="H511" s="33">
        <v>456.79800806211625</v>
      </c>
    </row>
    <row r="512" spans="7:8" hidden="1" x14ac:dyDescent="0.4">
      <c r="G512" s="32">
        <v>508</v>
      </c>
      <c r="H512" s="33">
        <v>1187.5010043703819</v>
      </c>
    </row>
    <row r="513" spans="7:8" hidden="1" x14ac:dyDescent="0.4">
      <c r="G513" s="32">
        <v>509</v>
      </c>
      <c r="H513" s="33">
        <v>1862.4386141972366</v>
      </c>
    </row>
    <row r="514" spans="7:8" hidden="1" x14ac:dyDescent="0.4">
      <c r="G514" s="32">
        <v>510</v>
      </c>
      <c r="H514" s="33">
        <v>5284.865353874904</v>
      </c>
    </row>
    <row r="515" spans="7:8" hidden="1" x14ac:dyDescent="0.4">
      <c r="G515" s="32">
        <v>511</v>
      </c>
      <c r="H515" s="33">
        <v>1724.2281980015771</v>
      </c>
    </row>
    <row r="516" spans="7:8" hidden="1" x14ac:dyDescent="0.4">
      <c r="G516" s="32">
        <v>512</v>
      </c>
      <c r="H516" s="33">
        <v>363.35906795650044</v>
      </c>
    </row>
    <row r="517" spans="7:8" hidden="1" x14ac:dyDescent="0.4">
      <c r="G517" s="32">
        <v>513</v>
      </c>
      <c r="H517" s="33">
        <v>1414.1693788725343</v>
      </c>
    </row>
    <row r="518" spans="7:8" hidden="1" x14ac:dyDescent="0.4">
      <c r="G518" s="32">
        <v>514</v>
      </c>
      <c r="H518" s="33">
        <v>1759.3304655169125</v>
      </c>
    </row>
    <row r="519" spans="7:8" hidden="1" x14ac:dyDescent="0.4">
      <c r="G519" s="32">
        <v>515</v>
      </c>
      <c r="H519" s="33">
        <v>2129.213523958922</v>
      </c>
    </row>
    <row r="520" spans="7:8" hidden="1" x14ac:dyDescent="0.4">
      <c r="G520" s="32">
        <v>516</v>
      </c>
      <c r="H520" s="33">
        <v>1106.8596541302343</v>
      </c>
    </row>
    <row r="521" spans="7:8" hidden="1" x14ac:dyDescent="0.4">
      <c r="G521" s="32">
        <v>517</v>
      </c>
      <c r="H521" s="33">
        <v>1058.7446175448601</v>
      </c>
    </row>
    <row r="522" spans="7:8" hidden="1" x14ac:dyDescent="0.4">
      <c r="G522" s="32">
        <v>518</v>
      </c>
      <c r="H522" s="33">
        <v>1192.4081112302124</v>
      </c>
    </row>
    <row r="523" spans="7:8" hidden="1" x14ac:dyDescent="0.4">
      <c r="G523" s="32">
        <v>519</v>
      </c>
      <c r="H523" s="33">
        <v>3867.9268173487312</v>
      </c>
    </row>
    <row r="524" spans="7:8" hidden="1" x14ac:dyDescent="0.4">
      <c r="G524" s="32">
        <v>520</v>
      </c>
      <c r="H524" s="33">
        <v>1145.5281189390835</v>
      </c>
    </row>
    <row r="525" spans="7:8" hidden="1" x14ac:dyDescent="0.4">
      <c r="G525" s="32">
        <v>521</v>
      </c>
      <c r="H525" s="33">
        <v>4619.2602981642112</v>
      </c>
    </row>
    <row r="526" spans="7:8" hidden="1" x14ac:dyDescent="0.4">
      <c r="G526" s="32">
        <v>522</v>
      </c>
      <c r="H526" s="33">
        <v>-236.14816399635404</v>
      </c>
    </row>
    <row r="527" spans="7:8" hidden="1" x14ac:dyDescent="0.4">
      <c r="G527" s="32">
        <v>523</v>
      </c>
      <c r="H527" s="33">
        <v>3297.7413120272336</v>
      </c>
    </row>
    <row r="528" spans="7:8" hidden="1" x14ac:dyDescent="0.4">
      <c r="G528" s="32">
        <v>524</v>
      </c>
      <c r="H528" s="33">
        <v>2841.1526755446498</v>
      </c>
    </row>
    <row r="529" spans="7:8" hidden="1" x14ac:dyDescent="0.4">
      <c r="G529" s="32">
        <v>525</v>
      </c>
      <c r="H529" s="33">
        <v>2081.6067281189462</v>
      </c>
    </row>
    <row r="530" spans="7:8" hidden="1" x14ac:dyDescent="0.4">
      <c r="G530" s="32">
        <v>526</v>
      </c>
      <c r="H530" s="33">
        <v>-451.71402198196364</v>
      </c>
    </row>
    <row r="531" spans="7:8" hidden="1" x14ac:dyDescent="0.4">
      <c r="G531" s="32">
        <v>527</v>
      </c>
      <c r="H531" s="33">
        <v>180.46361082292267</v>
      </c>
    </row>
    <row r="532" spans="7:8" hidden="1" x14ac:dyDescent="0.4">
      <c r="G532" s="32">
        <v>528</v>
      </c>
      <c r="H532" s="33">
        <v>5492.6558895663929</v>
      </c>
    </row>
    <row r="533" spans="7:8" hidden="1" x14ac:dyDescent="0.4">
      <c r="G533" s="32">
        <v>529</v>
      </c>
      <c r="H533" s="33">
        <v>978.54669693602079</v>
      </c>
    </row>
    <row r="534" spans="7:8" hidden="1" x14ac:dyDescent="0.4">
      <c r="G534" s="32">
        <v>530</v>
      </c>
      <c r="H534" s="33">
        <v>-480.35393369231605</v>
      </c>
    </row>
    <row r="535" spans="7:8" hidden="1" x14ac:dyDescent="0.4">
      <c r="G535" s="32">
        <v>531</v>
      </c>
      <c r="H535" s="33">
        <v>4543.1329196096067</v>
      </c>
    </row>
    <row r="536" spans="7:8" hidden="1" x14ac:dyDescent="0.4">
      <c r="G536" s="32">
        <v>532</v>
      </c>
      <c r="H536" s="33">
        <v>3752.9706503541543</v>
      </c>
    </row>
    <row r="537" spans="7:8" hidden="1" x14ac:dyDescent="0.4">
      <c r="G537" s="32">
        <v>533</v>
      </c>
      <c r="H537" s="33">
        <v>1048.6400148205239</v>
      </c>
    </row>
    <row r="538" spans="7:8" hidden="1" x14ac:dyDescent="0.4">
      <c r="G538" s="32">
        <v>534</v>
      </c>
      <c r="H538" s="33">
        <v>1043.0587258962889</v>
      </c>
    </row>
    <row r="539" spans="7:8" hidden="1" x14ac:dyDescent="0.4">
      <c r="G539" s="32">
        <v>535</v>
      </c>
      <c r="H539" s="33">
        <v>3955.8685504287946</v>
      </c>
    </row>
    <row r="540" spans="7:8" hidden="1" x14ac:dyDescent="0.4">
      <c r="G540" s="32">
        <v>536</v>
      </c>
      <c r="H540" s="33">
        <v>-583.17228379093012</v>
      </c>
    </row>
    <row r="541" spans="7:8" hidden="1" x14ac:dyDescent="0.4">
      <c r="G541" s="32">
        <v>537</v>
      </c>
      <c r="H541" s="33">
        <v>1993.6746339465697</v>
      </c>
    </row>
    <row r="542" spans="7:8" hidden="1" x14ac:dyDescent="0.4">
      <c r="G542" s="32">
        <v>538</v>
      </c>
      <c r="H542" s="33">
        <v>5726.4761147149065</v>
      </c>
    </row>
    <row r="543" spans="7:8" hidden="1" x14ac:dyDescent="0.4">
      <c r="G543" s="32">
        <v>539</v>
      </c>
      <c r="H543" s="33">
        <v>1642.3017163659651</v>
      </c>
    </row>
    <row r="544" spans="7:8" hidden="1" x14ac:dyDescent="0.4">
      <c r="G544" s="32">
        <v>540</v>
      </c>
      <c r="H544" s="33">
        <v>423.12925070929987</v>
      </c>
    </row>
    <row r="545" spans="7:8" hidden="1" x14ac:dyDescent="0.4">
      <c r="G545" s="32">
        <v>541</v>
      </c>
      <c r="H545" s="33">
        <v>845.62126647450555</v>
      </c>
    </row>
    <row r="546" spans="7:8" hidden="1" x14ac:dyDescent="0.4">
      <c r="G546" s="32">
        <v>542</v>
      </c>
      <c r="H546" s="33">
        <v>-74.36743447917388</v>
      </c>
    </row>
    <row r="547" spans="7:8" hidden="1" x14ac:dyDescent="0.4">
      <c r="G547" s="32">
        <v>543</v>
      </c>
      <c r="H547" s="33">
        <v>1014.9788778460578</v>
      </c>
    </row>
    <row r="548" spans="7:8" hidden="1" x14ac:dyDescent="0.4">
      <c r="G548" s="32">
        <v>544</v>
      </c>
      <c r="H548" s="33">
        <v>801.07585462024474</v>
      </c>
    </row>
    <row r="549" spans="7:8" hidden="1" x14ac:dyDescent="0.4">
      <c r="G549" s="32">
        <v>545</v>
      </c>
      <c r="H549" s="33">
        <v>4245.5963432050703</v>
      </c>
    </row>
    <row r="550" spans="7:8" hidden="1" x14ac:dyDescent="0.4">
      <c r="G550" s="32">
        <v>546</v>
      </c>
      <c r="H550" s="33">
        <v>1226.2640080907172</v>
      </c>
    </row>
    <row r="551" spans="7:8" hidden="1" x14ac:dyDescent="0.4">
      <c r="G551" s="32">
        <v>547</v>
      </c>
      <c r="H551" s="33">
        <v>1961.0207760954165</v>
      </c>
    </row>
    <row r="552" spans="7:8" hidden="1" x14ac:dyDescent="0.4">
      <c r="G552" s="32">
        <v>548</v>
      </c>
      <c r="H552" s="33">
        <v>580.50867863214125</v>
      </c>
    </row>
    <row r="553" spans="7:8" hidden="1" x14ac:dyDescent="0.4">
      <c r="G553" s="32">
        <v>549</v>
      </c>
      <c r="H553" s="33">
        <v>2133.3759587079162</v>
      </c>
    </row>
    <row r="554" spans="7:8" hidden="1" x14ac:dyDescent="0.4">
      <c r="G554" s="32">
        <v>550</v>
      </c>
      <c r="H554" s="33">
        <v>1972.8363831288539</v>
      </c>
    </row>
    <row r="555" spans="7:8" hidden="1" x14ac:dyDescent="0.4">
      <c r="G555" s="32">
        <v>551</v>
      </c>
      <c r="H555" s="33">
        <v>661.5965696708721</v>
      </c>
    </row>
    <row r="556" spans="7:8" hidden="1" x14ac:dyDescent="0.4">
      <c r="G556" s="32">
        <v>552</v>
      </c>
      <c r="H556" s="33">
        <v>159.95010845559128</v>
      </c>
    </row>
    <row r="557" spans="7:8" hidden="1" x14ac:dyDescent="0.4">
      <c r="G557" s="32">
        <v>553</v>
      </c>
      <c r="H557" s="33">
        <v>804.14972587932664</v>
      </c>
    </row>
    <row r="558" spans="7:8" hidden="1" x14ac:dyDescent="0.4">
      <c r="G558" s="32">
        <v>554</v>
      </c>
      <c r="H558" s="33">
        <v>1994.3918395666819</v>
      </c>
    </row>
    <row r="559" spans="7:8" hidden="1" x14ac:dyDescent="0.4">
      <c r="G559" s="32">
        <v>555</v>
      </c>
      <c r="H559" s="33">
        <v>605.71731300341696</v>
      </c>
    </row>
    <row r="560" spans="7:8" hidden="1" x14ac:dyDescent="0.4">
      <c r="G560" s="32">
        <v>556</v>
      </c>
      <c r="H560" s="33">
        <v>2226.9453476137123</v>
      </c>
    </row>
    <row r="561" spans="7:8" hidden="1" x14ac:dyDescent="0.4">
      <c r="G561" s="32">
        <v>557</v>
      </c>
      <c r="H561" s="33">
        <v>2171.7806185249301</v>
      </c>
    </row>
    <row r="562" spans="7:8" hidden="1" x14ac:dyDescent="0.4">
      <c r="G562" s="32">
        <v>558</v>
      </c>
      <c r="H562" s="33">
        <v>1235.9191031795028</v>
      </c>
    </row>
    <row r="563" spans="7:8" hidden="1" x14ac:dyDescent="0.4">
      <c r="G563" s="32">
        <v>559</v>
      </c>
      <c r="H563" s="33">
        <v>188.21039828646218</v>
      </c>
    </row>
    <row r="564" spans="7:8" hidden="1" x14ac:dyDescent="0.4">
      <c r="G564" s="32">
        <v>560</v>
      </c>
      <c r="H564" s="33">
        <v>772.65408766234987</v>
      </c>
    </row>
    <row r="565" spans="7:8" hidden="1" x14ac:dyDescent="0.4">
      <c r="G565" s="32">
        <v>561</v>
      </c>
      <c r="H565" s="33">
        <v>672.68017877411273</v>
      </c>
    </row>
    <row r="566" spans="7:8" hidden="1" x14ac:dyDescent="0.4">
      <c r="G566" s="32">
        <v>562</v>
      </c>
      <c r="H566" s="33">
        <v>2306.9636488227516</v>
      </c>
    </row>
    <row r="567" spans="7:8" hidden="1" x14ac:dyDescent="0.4">
      <c r="G567" s="32">
        <v>563</v>
      </c>
      <c r="H567" s="33">
        <v>2601.8566869158062</v>
      </c>
    </row>
    <row r="568" spans="7:8" hidden="1" x14ac:dyDescent="0.4">
      <c r="G568" s="32">
        <v>564</v>
      </c>
      <c r="H568" s="33">
        <v>-699.99365978878086</v>
      </c>
    </row>
    <row r="569" spans="7:8" hidden="1" x14ac:dyDescent="0.4">
      <c r="G569" s="32">
        <v>565</v>
      </c>
      <c r="H569" s="33">
        <v>-713.0887864870989</v>
      </c>
    </row>
    <row r="570" spans="7:8" hidden="1" x14ac:dyDescent="0.4">
      <c r="G570" s="32">
        <v>566</v>
      </c>
      <c r="H570" s="33">
        <v>3259.4931437431478</v>
      </c>
    </row>
    <row r="571" spans="7:8" hidden="1" x14ac:dyDescent="0.4">
      <c r="G571" s="32">
        <v>567</v>
      </c>
      <c r="H571" s="33">
        <v>80.470151937116071</v>
      </c>
    </row>
    <row r="572" spans="7:8" hidden="1" x14ac:dyDescent="0.4">
      <c r="G572" s="32">
        <v>568</v>
      </c>
      <c r="H572" s="33">
        <v>4099.7846318057</v>
      </c>
    </row>
    <row r="573" spans="7:8" hidden="1" x14ac:dyDescent="0.4">
      <c r="G573" s="32">
        <v>569</v>
      </c>
      <c r="H573" s="33">
        <v>3449.9008474311177</v>
      </c>
    </row>
    <row r="574" spans="7:8" hidden="1" x14ac:dyDescent="0.4">
      <c r="G574" s="32">
        <v>570</v>
      </c>
      <c r="H574" s="33">
        <v>2851.624790263058</v>
      </c>
    </row>
    <row r="575" spans="7:8" hidden="1" x14ac:dyDescent="0.4">
      <c r="G575" s="32">
        <v>571</v>
      </c>
      <c r="H575" s="33">
        <v>1085.8773631811819</v>
      </c>
    </row>
    <row r="576" spans="7:8" hidden="1" x14ac:dyDescent="0.4">
      <c r="G576" s="32">
        <v>572</v>
      </c>
      <c r="H576" s="33">
        <v>1355.7784312362135</v>
      </c>
    </row>
    <row r="577" spans="7:8" hidden="1" x14ac:dyDescent="0.4">
      <c r="G577" s="32">
        <v>573</v>
      </c>
      <c r="H577" s="33">
        <v>2278.6062719666202</v>
      </c>
    </row>
    <row r="578" spans="7:8" hidden="1" x14ac:dyDescent="0.4">
      <c r="G578" s="32">
        <v>574</v>
      </c>
      <c r="H578" s="33">
        <v>2550.4566870975045</v>
      </c>
    </row>
    <row r="579" spans="7:8" hidden="1" x14ac:dyDescent="0.4">
      <c r="G579" s="32">
        <v>575</v>
      </c>
      <c r="H579" s="33">
        <v>-233.50638100043108</v>
      </c>
    </row>
    <row r="580" spans="7:8" hidden="1" x14ac:dyDescent="0.4">
      <c r="G580" s="32">
        <v>576</v>
      </c>
      <c r="H580" s="33">
        <v>-190.10964162944001</v>
      </c>
    </row>
    <row r="581" spans="7:8" hidden="1" x14ac:dyDescent="0.4">
      <c r="G581" s="32">
        <v>577</v>
      </c>
      <c r="H581" s="33">
        <v>1695.0068779147032</v>
      </c>
    </row>
    <row r="582" spans="7:8" hidden="1" x14ac:dyDescent="0.4">
      <c r="G582" s="32">
        <v>578</v>
      </c>
      <c r="H582" s="33">
        <v>1355.432960512099</v>
      </c>
    </row>
    <row r="583" spans="7:8" hidden="1" x14ac:dyDescent="0.4">
      <c r="G583" s="32">
        <v>579</v>
      </c>
      <c r="H583" s="33">
        <v>706.63037389664441</v>
      </c>
    </row>
    <row r="584" spans="7:8" hidden="1" x14ac:dyDescent="0.4">
      <c r="G584" s="32">
        <v>580</v>
      </c>
      <c r="H584" s="33">
        <v>2031.740845959303</v>
      </c>
    </row>
    <row r="585" spans="7:8" hidden="1" x14ac:dyDescent="0.4">
      <c r="G585" s="32">
        <v>581</v>
      </c>
      <c r="H585" s="33">
        <v>1232.4789826242356</v>
      </c>
    </row>
    <row r="586" spans="7:8" hidden="1" x14ac:dyDescent="0.4">
      <c r="G586" s="32">
        <v>582</v>
      </c>
      <c r="H586" s="33">
        <v>1721.8868290150442</v>
      </c>
    </row>
    <row r="587" spans="7:8" hidden="1" x14ac:dyDescent="0.4">
      <c r="G587" s="32">
        <v>583</v>
      </c>
      <c r="H587" s="33">
        <v>212.67959757312079</v>
      </c>
    </row>
    <row r="588" spans="7:8" hidden="1" x14ac:dyDescent="0.4">
      <c r="G588" s="32">
        <v>584</v>
      </c>
      <c r="H588" s="33">
        <v>2708.7825588471401</v>
      </c>
    </row>
    <row r="589" spans="7:8" hidden="1" x14ac:dyDescent="0.4">
      <c r="G589" s="32">
        <v>585</v>
      </c>
      <c r="H589" s="33">
        <v>1019.9057166832854</v>
      </c>
    </row>
    <row r="590" spans="7:8" hidden="1" x14ac:dyDescent="0.4">
      <c r="G590" s="32">
        <v>586</v>
      </c>
      <c r="H590" s="33">
        <v>2541.1839733577208</v>
      </c>
    </row>
    <row r="591" spans="7:8" hidden="1" x14ac:dyDescent="0.4">
      <c r="G591" s="32">
        <v>587</v>
      </c>
      <c r="H591" s="33">
        <v>1381.4344406471798</v>
      </c>
    </row>
    <row r="592" spans="7:8" hidden="1" x14ac:dyDescent="0.4">
      <c r="G592" s="32">
        <v>588</v>
      </c>
      <c r="H592" s="33">
        <v>1616.7782001807952</v>
      </c>
    </row>
    <row r="593" spans="7:8" hidden="1" x14ac:dyDescent="0.4">
      <c r="G593" s="32">
        <v>589</v>
      </c>
      <c r="H593" s="33">
        <v>1664.5395819319699</v>
      </c>
    </row>
    <row r="594" spans="7:8" hidden="1" x14ac:dyDescent="0.4">
      <c r="G594" s="32">
        <v>590</v>
      </c>
      <c r="H594" s="33">
        <v>781.09604075495395</v>
      </c>
    </row>
    <row r="595" spans="7:8" hidden="1" x14ac:dyDescent="0.4">
      <c r="G595" s="32">
        <v>591</v>
      </c>
      <c r="H595" s="33">
        <v>2400.1171315146457</v>
      </c>
    </row>
    <row r="596" spans="7:8" hidden="1" x14ac:dyDescent="0.4">
      <c r="G596" s="32">
        <v>592</v>
      </c>
      <c r="H596" s="33">
        <v>2102.8966469028396</v>
      </c>
    </row>
    <row r="597" spans="7:8" hidden="1" x14ac:dyDescent="0.4">
      <c r="G597" s="32">
        <v>593</v>
      </c>
      <c r="H597" s="33">
        <v>3319.8025923136911</v>
      </c>
    </row>
    <row r="598" spans="7:8" hidden="1" x14ac:dyDescent="0.4">
      <c r="G598" s="32">
        <v>594</v>
      </c>
      <c r="H598" s="33">
        <v>3331.509289901524</v>
      </c>
    </row>
    <row r="599" spans="7:8" hidden="1" x14ac:dyDescent="0.4">
      <c r="G599" s="32">
        <v>595</v>
      </c>
      <c r="H599" s="33">
        <v>1262.5422284169886</v>
      </c>
    </row>
    <row r="600" spans="7:8" hidden="1" x14ac:dyDescent="0.4">
      <c r="G600" s="32">
        <v>596</v>
      </c>
      <c r="H600" s="33">
        <v>-422.88456248535198</v>
      </c>
    </row>
    <row r="601" spans="7:8" hidden="1" x14ac:dyDescent="0.4">
      <c r="G601" s="32">
        <v>597</v>
      </c>
      <c r="H601" s="33">
        <v>371.06923913233163</v>
      </c>
    </row>
    <row r="602" spans="7:8" hidden="1" x14ac:dyDescent="0.4">
      <c r="G602" s="32">
        <v>598</v>
      </c>
      <c r="H602" s="33">
        <v>3226.5984146244618</v>
      </c>
    </row>
    <row r="603" spans="7:8" hidden="1" x14ac:dyDescent="0.4">
      <c r="G603" s="32">
        <v>599</v>
      </c>
      <c r="H603" s="33">
        <v>1304.8927134076835</v>
      </c>
    </row>
    <row r="604" spans="7:8" hidden="1" x14ac:dyDescent="0.4">
      <c r="G604" s="32">
        <v>600</v>
      </c>
      <c r="H604" s="33">
        <v>815.34979792391289</v>
      </c>
    </row>
    <row r="605" spans="7:8" hidden="1" x14ac:dyDescent="0.4">
      <c r="G605" s="32">
        <v>601</v>
      </c>
      <c r="H605" s="33">
        <v>1536.7646047901333</v>
      </c>
    </row>
    <row r="606" spans="7:8" hidden="1" x14ac:dyDescent="0.4">
      <c r="G606" s="32">
        <v>602</v>
      </c>
      <c r="H606" s="33">
        <v>1064.9460425815657</v>
      </c>
    </row>
    <row r="607" spans="7:8" hidden="1" x14ac:dyDescent="0.4">
      <c r="G607" s="32">
        <v>603</v>
      </c>
      <c r="H607" s="33">
        <v>4609.2440843156883</v>
      </c>
    </row>
    <row r="608" spans="7:8" hidden="1" x14ac:dyDescent="0.4">
      <c r="G608" s="32">
        <v>604</v>
      </c>
      <c r="H608" s="33">
        <v>2127.4086760438395</v>
      </c>
    </row>
    <row r="609" spans="7:8" hidden="1" x14ac:dyDescent="0.4">
      <c r="G609" s="32">
        <v>605</v>
      </c>
      <c r="H609" s="33">
        <v>766.71363357592998</v>
      </c>
    </row>
    <row r="610" spans="7:8" hidden="1" x14ac:dyDescent="0.4">
      <c r="G610" s="32">
        <v>606</v>
      </c>
      <c r="H610" s="33">
        <v>3793.7652907339957</v>
      </c>
    </row>
    <row r="611" spans="7:8" hidden="1" x14ac:dyDescent="0.4">
      <c r="G611" s="32">
        <v>607</v>
      </c>
      <c r="H611" s="33">
        <v>3564.3825191657443</v>
      </c>
    </row>
    <row r="612" spans="7:8" hidden="1" x14ac:dyDescent="0.4">
      <c r="G612" s="32">
        <v>608</v>
      </c>
      <c r="H612" s="33">
        <v>2663.1586788845825</v>
      </c>
    </row>
    <row r="613" spans="7:8" hidden="1" x14ac:dyDescent="0.4">
      <c r="G613" s="32">
        <v>609</v>
      </c>
      <c r="H613" s="33">
        <v>1192.340684538764</v>
      </c>
    </row>
    <row r="614" spans="7:8" hidden="1" x14ac:dyDescent="0.4">
      <c r="G614" s="32">
        <v>610</v>
      </c>
      <c r="H614" s="33">
        <v>1993.187799298958</v>
      </c>
    </row>
    <row r="615" spans="7:8" hidden="1" x14ac:dyDescent="0.4">
      <c r="G615" s="32">
        <v>611</v>
      </c>
      <c r="H615" s="33">
        <v>-16.059393228726883</v>
      </c>
    </row>
    <row r="616" spans="7:8" hidden="1" x14ac:dyDescent="0.4">
      <c r="G616" s="32">
        <v>612</v>
      </c>
      <c r="H616" s="33">
        <v>2562.6524543265814</v>
      </c>
    </row>
    <row r="617" spans="7:8" hidden="1" x14ac:dyDescent="0.4">
      <c r="G617" s="32">
        <v>613</v>
      </c>
      <c r="H617" s="33">
        <v>-96.026376324389673</v>
      </c>
    </row>
    <row r="618" spans="7:8" hidden="1" x14ac:dyDescent="0.4">
      <c r="G618" s="32">
        <v>614</v>
      </c>
      <c r="H618" s="33">
        <v>2034.8198432850704</v>
      </c>
    </row>
    <row r="619" spans="7:8" hidden="1" x14ac:dyDescent="0.4">
      <c r="G619" s="32">
        <v>615</v>
      </c>
      <c r="H619" s="33">
        <v>74.845048414814443</v>
      </c>
    </row>
    <row r="620" spans="7:8" hidden="1" x14ac:dyDescent="0.4">
      <c r="G620" s="32">
        <v>616</v>
      </c>
      <c r="H620" s="33">
        <v>349.64824147968682</v>
      </c>
    </row>
    <row r="621" spans="7:8" hidden="1" x14ac:dyDescent="0.4">
      <c r="G621" s="32">
        <v>617</v>
      </c>
      <c r="H621" s="33">
        <v>-145.0664477173012</v>
      </c>
    </row>
    <row r="622" spans="7:8" hidden="1" x14ac:dyDescent="0.4">
      <c r="G622" s="32">
        <v>618</v>
      </c>
      <c r="H622" s="33">
        <v>273.51882571736274</v>
      </c>
    </row>
    <row r="623" spans="7:8" hidden="1" x14ac:dyDescent="0.4">
      <c r="G623" s="32">
        <v>619</v>
      </c>
      <c r="H623" s="33">
        <v>-952.34022897676653</v>
      </c>
    </row>
    <row r="624" spans="7:8" hidden="1" x14ac:dyDescent="0.4">
      <c r="G624" s="32">
        <v>620</v>
      </c>
      <c r="H624" s="33">
        <v>554.88090131562399</v>
      </c>
    </row>
    <row r="625" spans="7:8" hidden="1" x14ac:dyDescent="0.4">
      <c r="G625" s="32">
        <v>621</v>
      </c>
      <c r="H625" s="33">
        <v>517.31648607889679</v>
      </c>
    </row>
    <row r="626" spans="7:8" hidden="1" x14ac:dyDescent="0.4">
      <c r="G626" s="32">
        <v>622</v>
      </c>
      <c r="H626" s="33">
        <v>-226.99084111352926</v>
      </c>
    </row>
    <row r="627" spans="7:8" hidden="1" x14ac:dyDescent="0.4">
      <c r="G627" s="32">
        <v>623</v>
      </c>
      <c r="H627" s="33">
        <v>2523.0662345019864</v>
      </c>
    </row>
    <row r="628" spans="7:8" hidden="1" x14ac:dyDescent="0.4">
      <c r="G628" s="32">
        <v>624</v>
      </c>
      <c r="H628" s="33">
        <v>552.6974627368852</v>
      </c>
    </row>
    <row r="629" spans="7:8" hidden="1" x14ac:dyDescent="0.4">
      <c r="G629" s="32">
        <v>625</v>
      </c>
      <c r="H629" s="33">
        <v>2487.3613965653526</v>
      </c>
    </row>
    <row r="630" spans="7:8" hidden="1" x14ac:dyDescent="0.4">
      <c r="G630" s="32">
        <v>626</v>
      </c>
      <c r="H630" s="33">
        <v>2943.565675212425</v>
      </c>
    </row>
    <row r="631" spans="7:8" hidden="1" x14ac:dyDescent="0.4">
      <c r="G631" s="32">
        <v>627</v>
      </c>
      <c r="H631" s="33">
        <v>-2.1807362608375662</v>
      </c>
    </row>
    <row r="632" spans="7:8" hidden="1" x14ac:dyDescent="0.4">
      <c r="G632" s="32">
        <v>628</v>
      </c>
      <c r="H632" s="33">
        <v>646.99380363446437</v>
      </c>
    </row>
    <row r="633" spans="7:8" hidden="1" x14ac:dyDescent="0.4">
      <c r="G633" s="32">
        <v>629</v>
      </c>
      <c r="H633" s="33">
        <v>1762.3185651907054</v>
      </c>
    </row>
    <row r="634" spans="7:8" hidden="1" x14ac:dyDescent="0.4">
      <c r="G634" s="32">
        <v>630</v>
      </c>
      <c r="H634" s="33">
        <v>-1946.533491400143</v>
      </c>
    </row>
    <row r="635" spans="7:8" hidden="1" x14ac:dyDescent="0.4">
      <c r="G635" s="32">
        <v>631</v>
      </c>
      <c r="H635" s="33">
        <v>1210.1225426142828</v>
      </c>
    </row>
    <row r="636" spans="7:8" hidden="1" x14ac:dyDescent="0.4">
      <c r="G636" s="32">
        <v>632</v>
      </c>
      <c r="H636" s="33">
        <v>3742.7281669156669</v>
      </c>
    </row>
    <row r="637" spans="7:8" hidden="1" x14ac:dyDescent="0.4">
      <c r="G637" s="32">
        <v>633</v>
      </c>
      <c r="H637" s="33">
        <v>1921.8084455877199</v>
      </c>
    </row>
    <row r="638" spans="7:8" hidden="1" x14ac:dyDescent="0.4">
      <c r="G638" s="32">
        <v>634</v>
      </c>
      <c r="H638" s="33">
        <v>1717.0045206608277</v>
      </c>
    </row>
    <row r="639" spans="7:8" hidden="1" x14ac:dyDescent="0.4">
      <c r="G639" s="32">
        <v>635</v>
      </c>
      <c r="H639" s="33">
        <v>1450.8837828227315</v>
      </c>
    </row>
    <row r="640" spans="7:8" hidden="1" x14ac:dyDescent="0.4">
      <c r="G640" s="32">
        <v>636</v>
      </c>
      <c r="H640" s="33">
        <v>1263.9077455831332</v>
      </c>
    </row>
    <row r="641" spans="7:8" hidden="1" x14ac:dyDescent="0.4">
      <c r="G641" s="32">
        <v>637</v>
      </c>
      <c r="H641" s="33">
        <v>363.77043791773048</v>
      </c>
    </row>
    <row r="642" spans="7:8" hidden="1" x14ac:dyDescent="0.4">
      <c r="G642" s="32">
        <v>638</v>
      </c>
      <c r="H642" s="33">
        <v>1685.6777458337726</v>
      </c>
    </row>
    <row r="643" spans="7:8" hidden="1" x14ac:dyDescent="0.4">
      <c r="G643" s="32">
        <v>639</v>
      </c>
      <c r="H643" s="33">
        <v>1873.5025117161233</v>
      </c>
    </row>
    <row r="644" spans="7:8" hidden="1" x14ac:dyDescent="0.4">
      <c r="G644" s="32">
        <v>640</v>
      </c>
      <c r="H644" s="33">
        <v>2289.2155323784982</v>
      </c>
    </row>
    <row r="645" spans="7:8" hidden="1" x14ac:dyDescent="0.4">
      <c r="G645" s="32">
        <v>641</v>
      </c>
      <c r="H645" s="33">
        <v>-970.84824290493066</v>
      </c>
    </row>
    <row r="646" spans="7:8" hidden="1" x14ac:dyDescent="0.4">
      <c r="G646" s="32">
        <v>642</v>
      </c>
      <c r="H646" s="33">
        <v>1662.6537757096262</v>
      </c>
    </row>
    <row r="647" spans="7:8" hidden="1" x14ac:dyDescent="0.4">
      <c r="G647" s="32">
        <v>643</v>
      </c>
      <c r="H647" s="33">
        <v>1607.1311057160819</v>
      </c>
    </row>
    <row r="648" spans="7:8" hidden="1" x14ac:dyDescent="0.4">
      <c r="G648" s="32">
        <v>644</v>
      </c>
      <c r="H648" s="33">
        <v>-197.56486930923873</v>
      </c>
    </row>
    <row r="649" spans="7:8" hidden="1" x14ac:dyDescent="0.4">
      <c r="G649" s="32">
        <v>645</v>
      </c>
      <c r="H649" s="33">
        <v>2162.3624009438513</v>
      </c>
    </row>
    <row r="650" spans="7:8" hidden="1" x14ac:dyDescent="0.4">
      <c r="G650" s="32">
        <v>646</v>
      </c>
      <c r="H650" s="33">
        <v>1151.0121686786947</v>
      </c>
    </row>
    <row r="651" spans="7:8" hidden="1" x14ac:dyDescent="0.4">
      <c r="G651" s="32">
        <v>647</v>
      </c>
      <c r="H651" s="33">
        <v>1933.2373616539041</v>
      </c>
    </row>
    <row r="652" spans="7:8" hidden="1" x14ac:dyDescent="0.4">
      <c r="G652" s="32">
        <v>648</v>
      </c>
      <c r="H652" s="33">
        <v>2387.1058580530039</v>
      </c>
    </row>
    <row r="653" spans="7:8" hidden="1" x14ac:dyDescent="0.4">
      <c r="G653" s="32">
        <v>649</v>
      </c>
      <c r="H653" s="33">
        <v>1340.79893632536</v>
      </c>
    </row>
    <row r="654" spans="7:8" hidden="1" x14ac:dyDescent="0.4">
      <c r="G654" s="32">
        <v>650</v>
      </c>
      <c r="H654" s="33">
        <v>2366.8527323573894</v>
      </c>
    </row>
    <row r="655" spans="7:8" hidden="1" x14ac:dyDescent="0.4">
      <c r="G655" s="32">
        <v>651</v>
      </c>
      <c r="H655" s="33">
        <v>1858.2618524418831</v>
      </c>
    </row>
    <row r="656" spans="7:8" hidden="1" x14ac:dyDescent="0.4">
      <c r="G656" s="32">
        <v>652</v>
      </c>
      <c r="H656" s="33">
        <v>-601.63132077651676</v>
      </c>
    </row>
    <row r="657" spans="7:8" hidden="1" x14ac:dyDescent="0.4">
      <c r="G657" s="32">
        <v>653</v>
      </c>
      <c r="H657" s="33">
        <v>2724.5078469219766</v>
      </c>
    </row>
    <row r="658" spans="7:8" hidden="1" x14ac:dyDescent="0.4">
      <c r="G658" s="32">
        <v>654</v>
      </c>
      <c r="H658" s="33">
        <v>198.99206664494793</v>
      </c>
    </row>
    <row r="659" spans="7:8" hidden="1" x14ac:dyDescent="0.4">
      <c r="G659" s="32">
        <v>655</v>
      </c>
      <c r="H659" s="33">
        <v>-701.98954032351355</v>
      </c>
    </row>
    <row r="660" spans="7:8" hidden="1" x14ac:dyDescent="0.4">
      <c r="G660" s="32">
        <v>656</v>
      </c>
      <c r="H660" s="33">
        <v>518.7969128862926</v>
      </c>
    </row>
    <row r="661" spans="7:8" hidden="1" x14ac:dyDescent="0.4">
      <c r="G661" s="32">
        <v>657</v>
      </c>
      <c r="H661" s="33">
        <v>1237.9116318821993</v>
      </c>
    </row>
    <row r="662" spans="7:8" hidden="1" x14ac:dyDescent="0.4">
      <c r="G662" s="32">
        <v>658</v>
      </c>
      <c r="H662" s="33">
        <v>1022.0477442121496</v>
      </c>
    </row>
    <row r="663" spans="7:8" hidden="1" x14ac:dyDescent="0.4">
      <c r="G663" s="32">
        <v>659</v>
      </c>
      <c r="H663" s="33">
        <v>1550.6169551428216</v>
      </c>
    </row>
    <row r="664" spans="7:8" hidden="1" x14ac:dyDescent="0.4">
      <c r="G664" s="32">
        <v>660</v>
      </c>
      <c r="H664" s="33">
        <v>-1049.098359920127</v>
      </c>
    </row>
    <row r="665" spans="7:8" hidden="1" x14ac:dyDescent="0.4">
      <c r="G665" s="32">
        <v>661</v>
      </c>
      <c r="H665" s="33">
        <v>2593.726734183474</v>
      </c>
    </row>
    <row r="666" spans="7:8" hidden="1" x14ac:dyDescent="0.4">
      <c r="G666" s="32">
        <v>662</v>
      </c>
      <c r="H666" s="33">
        <v>3734.7987796394409</v>
      </c>
    </row>
    <row r="667" spans="7:8" hidden="1" x14ac:dyDescent="0.4">
      <c r="G667" s="32">
        <v>663</v>
      </c>
      <c r="H667" s="33">
        <v>402.36944891470353</v>
      </c>
    </row>
    <row r="668" spans="7:8" hidden="1" x14ac:dyDescent="0.4">
      <c r="G668" s="32">
        <v>664</v>
      </c>
      <c r="H668" s="33">
        <v>1316.7213503235068</v>
      </c>
    </row>
    <row r="669" spans="7:8" hidden="1" x14ac:dyDescent="0.4">
      <c r="G669" s="32">
        <v>665</v>
      </c>
      <c r="H669" s="33">
        <v>2154.7770408992237</v>
      </c>
    </row>
    <row r="670" spans="7:8" hidden="1" x14ac:dyDescent="0.4">
      <c r="G670" s="32">
        <v>666</v>
      </c>
      <c r="H670" s="33">
        <v>227.77233866012119</v>
      </c>
    </row>
    <row r="671" spans="7:8" hidden="1" x14ac:dyDescent="0.4">
      <c r="G671" s="32">
        <v>667</v>
      </c>
      <c r="H671" s="33">
        <v>1188.8558301729972</v>
      </c>
    </row>
    <row r="672" spans="7:8" hidden="1" x14ac:dyDescent="0.4">
      <c r="G672" s="32">
        <v>668</v>
      </c>
      <c r="H672" s="33">
        <v>-174.72208817999612</v>
      </c>
    </row>
    <row r="673" spans="7:8" hidden="1" x14ac:dyDescent="0.4">
      <c r="G673" s="32">
        <v>669</v>
      </c>
      <c r="H673" s="33">
        <v>1020.0211666058931</v>
      </c>
    </row>
    <row r="674" spans="7:8" hidden="1" x14ac:dyDescent="0.4">
      <c r="G674" s="32">
        <v>670</v>
      </c>
      <c r="H674" s="33">
        <v>1515.5753774580426</v>
      </c>
    </row>
    <row r="675" spans="7:8" hidden="1" x14ac:dyDescent="0.4">
      <c r="G675" s="32">
        <v>671</v>
      </c>
      <c r="H675" s="33">
        <v>2424.0891327464215</v>
      </c>
    </row>
    <row r="676" spans="7:8" hidden="1" x14ac:dyDescent="0.4">
      <c r="G676" s="32">
        <v>672</v>
      </c>
      <c r="H676" s="33">
        <v>2774.8533612208062</v>
      </c>
    </row>
    <row r="677" spans="7:8" hidden="1" x14ac:dyDescent="0.4">
      <c r="G677" s="32">
        <v>673</v>
      </c>
      <c r="H677" s="33">
        <v>4351.4711767631643</v>
      </c>
    </row>
    <row r="678" spans="7:8" hidden="1" x14ac:dyDescent="0.4">
      <c r="G678" s="32">
        <v>674</v>
      </c>
      <c r="H678" s="33">
        <v>4074.7161422942177</v>
      </c>
    </row>
    <row r="679" spans="7:8" hidden="1" x14ac:dyDescent="0.4">
      <c r="G679" s="32">
        <v>675</v>
      </c>
      <c r="H679" s="33">
        <v>2525.0442730004447</v>
      </c>
    </row>
    <row r="680" spans="7:8" hidden="1" x14ac:dyDescent="0.4">
      <c r="G680" s="32">
        <v>676</v>
      </c>
      <c r="H680" s="33">
        <v>-513.0474635364601</v>
      </c>
    </row>
    <row r="681" spans="7:8" hidden="1" x14ac:dyDescent="0.4">
      <c r="G681" s="32">
        <v>677</v>
      </c>
      <c r="H681" s="33">
        <v>-175.32201420960851</v>
      </c>
    </row>
    <row r="682" spans="7:8" hidden="1" x14ac:dyDescent="0.4">
      <c r="G682" s="32">
        <v>678</v>
      </c>
      <c r="H682" s="33">
        <v>1756.5746541515621</v>
      </c>
    </row>
    <row r="683" spans="7:8" hidden="1" x14ac:dyDescent="0.4">
      <c r="G683" s="32">
        <v>679</v>
      </c>
      <c r="H683" s="33">
        <v>3849.6120537642942</v>
      </c>
    </row>
    <row r="684" spans="7:8" hidden="1" x14ac:dyDescent="0.4">
      <c r="G684" s="32">
        <v>680</v>
      </c>
      <c r="H684" s="33">
        <v>3504.555527136089</v>
      </c>
    </row>
    <row r="685" spans="7:8" hidden="1" x14ac:dyDescent="0.4">
      <c r="G685" s="32">
        <v>681</v>
      </c>
      <c r="H685" s="33">
        <v>-1208.4302232857442</v>
      </c>
    </row>
    <row r="686" spans="7:8" hidden="1" x14ac:dyDescent="0.4">
      <c r="G686" s="32">
        <v>682</v>
      </c>
      <c r="H686" s="33">
        <v>1481.6354666007796</v>
      </c>
    </row>
    <row r="687" spans="7:8" hidden="1" x14ac:dyDescent="0.4">
      <c r="G687" s="32">
        <v>683</v>
      </c>
      <c r="H687" s="33">
        <v>623.94503772907399</v>
      </c>
    </row>
    <row r="688" spans="7:8" hidden="1" x14ac:dyDescent="0.4">
      <c r="G688" s="32">
        <v>684</v>
      </c>
      <c r="H688" s="33">
        <v>110.80104001412111</v>
      </c>
    </row>
    <row r="689" spans="7:8" hidden="1" x14ac:dyDescent="0.4">
      <c r="G689" s="32">
        <v>685</v>
      </c>
      <c r="H689" s="33">
        <v>1351.4208608984002</v>
      </c>
    </row>
    <row r="690" spans="7:8" hidden="1" x14ac:dyDescent="0.4">
      <c r="G690" s="32">
        <v>686</v>
      </c>
      <c r="H690" s="33">
        <v>174.46457167764584</v>
      </c>
    </row>
    <row r="691" spans="7:8" hidden="1" x14ac:dyDescent="0.4">
      <c r="G691" s="32">
        <v>687</v>
      </c>
      <c r="H691" s="33">
        <v>804.21666869329158</v>
      </c>
    </row>
    <row r="692" spans="7:8" hidden="1" x14ac:dyDescent="0.4">
      <c r="G692" s="32">
        <v>688</v>
      </c>
      <c r="H692" s="33">
        <v>2948.4922891488341</v>
      </c>
    </row>
    <row r="693" spans="7:8" hidden="1" x14ac:dyDescent="0.4">
      <c r="G693" s="32">
        <v>689</v>
      </c>
      <c r="H693" s="33">
        <v>99.471416640463133</v>
      </c>
    </row>
    <row r="694" spans="7:8" hidden="1" x14ac:dyDescent="0.4">
      <c r="G694" s="32">
        <v>690</v>
      </c>
      <c r="H694" s="33">
        <v>1195.1572397053696</v>
      </c>
    </row>
    <row r="695" spans="7:8" hidden="1" x14ac:dyDescent="0.4">
      <c r="G695" s="32">
        <v>691</v>
      </c>
      <c r="H695" s="33">
        <v>807.75515082381537</v>
      </c>
    </row>
    <row r="696" spans="7:8" hidden="1" x14ac:dyDescent="0.4">
      <c r="G696" s="32">
        <v>692</v>
      </c>
      <c r="H696" s="33">
        <v>143.96037611154821</v>
      </c>
    </row>
    <row r="697" spans="7:8" hidden="1" x14ac:dyDescent="0.4">
      <c r="G697" s="32">
        <v>693</v>
      </c>
      <c r="H697" s="33">
        <v>4049.0943148700912</v>
      </c>
    </row>
    <row r="698" spans="7:8" hidden="1" x14ac:dyDescent="0.4">
      <c r="G698" s="32">
        <v>694</v>
      </c>
      <c r="H698" s="33">
        <v>2559.3747039183218</v>
      </c>
    </row>
    <row r="699" spans="7:8" hidden="1" x14ac:dyDescent="0.4">
      <c r="G699" s="32">
        <v>695</v>
      </c>
      <c r="H699" s="33">
        <v>-124.99497931085149</v>
      </c>
    </row>
    <row r="700" spans="7:8" hidden="1" x14ac:dyDescent="0.4">
      <c r="G700" s="32">
        <v>696</v>
      </c>
      <c r="H700" s="33">
        <v>1975.283254184681</v>
      </c>
    </row>
    <row r="701" spans="7:8" hidden="1" x14ac:dyDescent="0.4">
      <c r="G701" s="32">
        <v>697</v>
      </c>
      <c r="H701" s="33">
        <v>1635.1560096703415</v>
      </c>
    </row>
    <row r="702" spans="7:8" hidden="1" x14ac:dyDescent="0.4">
      <c r="G702" s="32">
        <v>698</v>
      </c>
      <c r="H702" s="33">
        <v>-716.99349285290828</v>
      </c>
    </row>
    <row r="703" spans="7:8" hidden="1" x14ac:dyDescent="0.4">
      <c r="G703" s="32">
        <v>699</v>
      </c>
      <c r="H703" s="33">
        <v>1863.177781370166</v>
      </c>
    </row>
    <row r="704" spans="7:8" hidden="1" x14ac:dyDescent="0.4">
      <c r="G704" s="32">
        <v>700</v>
      </c>
      <c r="H704" s="33">
        <v>2081.9206591728307</v>
      </c>
    </row>
    <row r="705" spans="7:8" hidden="1" x14ac:dyDescent="0.4">
      <c r="G705" s="32">
        <v>701</v>
      </c>
      <c r="H705" s="33">
        <v>828.25966060128837</v>
      </c>
    </row>
    <row r="706" spans="7:8" hidden="1" x14ac:dyDescent="0.4">
      <c r="G706" s="32">
        <v>702</v>
      </c>
      <c r="H706" s="33">
        <v>763.55364768078607</v>
      </c>
    </row>
    <row r="707" spans="7:8" hidden="1" x14ac:dyDescent="0.4">
      <c r="G707" s="32">
        <v>703</v>
      </c>
      <c r="H707" s="33">
        <v>1555.2201839661559</v>
      </c>
    </row>
    <row r="708" spans="7:8" hidden="1" x14ac:dyDescent="0.4">
      <c r="G708" s="32">
        <v>704</v>
      </c>
      <c r="H708" s="33">
        <v>1338.6062860811451</v>
      </c>
    </row>
    <row r="709" spans="7:8" hidden="1" x14ac:dyDescent="0.4">
      <c r="G709" s="32">
        <v>705</v>
      </c>
      <c r="H709" s="33">
        <v>2493.4081828394942</v>
      </c>
    </row>
    <row r="710" spans="7:8" hidden="1" x14ac:dyDescent="0.4">
      <c r="G710" s="32">
        <v>706</v>
      </c>
      <c r="H710" s="33">
        <v>-199.35197838798561</v>
      </c>
    </row>
    <row r="711" spans="7:8" hidden="1" x14ac:dyDescent="0.4">
      <c r="G711" s="32">
        <v>707</v>
      </c>
      <c r="H711" s="33">
        <v>2672.7524160714556</v>
      </c>
    </row>
    <row r="712" spans="7:8" hidden="1" x14ac:dyDescent="0.4">
      <c r="G712" s="32">
        <v>708</v>
      </c>
      <c r="H712" s="33">
        <v>1190.102340203151</v>
      </c>
    </row>
    <row r="713" spans="7:8" hidden="1" x14ac:dyDescent="0.4">
      <c r="G713" s="32">
        <v>709</v>
      </c>
      <c r="H713" s="33">
        <v>3921.4890300971842</v>
      </c>
    </row>
    <row r="714" spans="7:8" hidden="1" x14ac:dyDescent="0.4">
      <c r="G714" s="32">
        <v>710</v>
      </c>
      <c r="H714" s="33">
        <v>1325.9734793717241</v>
      </c>
    </row>
    <row r="715" spans="7:8" hidden="1" x14ac:dyDescent="0.4">
      <c r="G715" s="32">
        <v>711</v>
      </c>
      <c r="H715" s="33">
        <v>1607.5177117266112</v>
      </c>
    </row>
    <row r="716" spans="7:8" hidden="1" x14ac:dyDescent="0.4">
      <c r="G716" s="32">
        <v>712</v>
      </c>
      <c r="H716" s="33">
        <v>1581.2872792727981</v>
      </c>
    </row>
    <row r="717" spans="7:8" hidden="1" x14ac:dyDescent="0.4">
      <c r="G717" s="32">
        <v>713</v>
      </c>
      <c r="H717" s="33">
        <v>-395.02703188942979</v>
      </c>
    </row>
    <row r="718" spans="7:8" hidden="1" x14ac:dyDescent="0.4">
      <c r="G718" s="32">
        <v>714</v>
      </c>
      <c r="H718" s="33">
        <v>1044.2205538274336</v>
      </c>
    </row>
    <row r="719" spans="7:8" hidden="1" x14ac:dyDescent="0.4">
      <c r="G719" s="32">
        <v>715</v>
      </c>
      <c r="H719" s="33">
        <v>5403.3139284640738</v>
      </c>
    </row>
    <row r="720" spans="7:8" hidden="1" x14ac:dyDescent="0.4">
      <c r="G720" s="32">
        <v>716</v>
      </c>
      <c r="H720" s="33">
        <v>1838.2865083273152</v>
      </c>
    </row>
    <row r="721" spans="7:8" hidden="1" x14ac:dyDescent="0.4">
      <c r="G721" s="32">
        <v>717</v>
      </c>
      <c r="H721" s="33">
        <v>1276.2431336829497</v>
      </c>
    </row>
    <row r="722" spans="7:8" hidden="1" x14ac:dyDescent="0.4">
      <c r="G722" s="32">
        <v>718</v>
      </c>
      <c r="H722" s="33">
        <v>5983.7972581186023</v>
      </c>
    </row>
    <row r="723" spans="7:8" hidden="1" x14ac:dyDescent="0.4">
      <c r="G723" s="32">
        <v>719</v>
      </c>
      <c r="H723" s="33">
        <v>784.84423937355086</v>
      </c>
    </row>
    <row r="724" spans="7:8" hidden="1" x14ac:dyDescent="0.4">
      <c r="G724" s="32">
        <v>720</v>
      </c>
      <c r="H724" s="33">
        <v>2345.1816002099749</v>
      </c>
    </row>
    <row r="725" spans="7:8" hidden="1" x14ac:dyDescent="0.4">
      <c r="G725" s="32">
        <v>721</v>
      </c>
      <c r="H725" s="33">
        <v>2238.8084087636298</v>
      </c>
    </row>
    <row r="726" spans="7:8" hidden="1" x14ac:dyDescent="0.4">
      <c r="G726" s="32">
        <v>722</v>
      </c>
      <c r="H726" s="33">
        <v>-379.93232598801984</v>
      </c>
    </row>
    <row r="727" spans="7:8" hidden="1" x14ac:dyDescent="0.4">
      <c r="G727" s="32">
        <v>723</v>
      </c>
      <c r="H727" s="33">
        <v>6439.5655477102391</v>
      </c>
    </row>
    <row r="728" spans="7:8" hidden="1" x14ac:dyDescent="0.4">
      <c r="G728" s="32">
        <v>724</v>
      </c>
      <c r="H728" s="33">
        <v>2777.0813201502006</v>
      </c>
    </row>
    <row r="729" spans="7:8" hidden="1" x14ac:dyDescent="0.4">
      <c r="G729" s="32">
        <v>725</v>
      </c>
      <c r="H729" s="33">
        <v>216.6541175156124</v>
      </c>
    </row>
    <row r="730" spans="7:8" hidden="1" x14ac:dyDescent="0.4">
      <c r="G730" s="32">
        <v>726</v>
      </c>
      <c r="H730" s="33">
        <v>1295.9239409682309</v>
      </c>
    </row>
    <row r="731" spans="7:8" hidden="1" x14ac:dyDescent="0.4">
      <c r="G731" s="32">
        <v>727</v>
      </c>
      <c r="H731" s="33">
        <v>3152.7633435583289</v>
      </c>
    </row>
    <row r="732" spans="7:8" hidden="1" x14ac:dyDescent="0.4">
      <c r="G732" s="32">
        <v>728</v>
      </c>
      <c r="H732" s="33">
        <v>3120.9415720487641</v>
      </c>
    </row>
    <row r="733" spans="7:8" hidden="1" x14ac:dyDescent="0.4">
      <c r="G733" s="32">
        <v>729</v>
      </c>
      <c r="H733" s="33">
        <v>-780.13329015357374</v>
      </c>
    </row>
    <row r="734" spans="7:8" hidden="1" x14ac:dyDescent="0.4">
      <c r="G734" s="32">
        <v>730</v>
      </c>
      <c r="H734" s="33">
        <v>1131.3650185616693</v>
      </c>
    </row>
    <row r="735" spans="7:8" hidden="1" x14ac:dyDescent="0.4">
      <c r="G735" s="32">
        <v>731</v>
      </c>
      <c r="H735" s="33">
        <v>-916.58061335540617</v>
      </c>
    </row>
    <row r="736" spans="7:8" hidden="1" x14ac:dyDescent="0.4">
      <c r="G736" s="32">
        <v>732</v>
      </c>
      <c r="H736" s="33">
        <v>1742.6717583497054</v>
      </c>
    </row>
    <row r="737" spans="7:8" hidden="1" x14ac:dyDescent="0.4">
      <c r="G737" s="32">
        <v>733</v>
      </c>
      <c r="H737" s="33">
        <v>1732.3980981536138</v>
      </c>
    </row>
    <row r="738" spans="7:8" hidden="1" x14ac:dyDescent="0.4">
      <c r="G738" s="32">
        <v>734</v>
      </c>
      <c r="H738" s="33">
        <v>1101.5039554156876</v>
      </c>
    </row>
    <row r="739" spans="7:8" hidden="1" x14ac:dyDescent="0.4">
      <c r="G739" s="32">
        <v>735</v>
      </c>
      <c r="H739" s="33">
        <v>362.37476816299716</v>
      </c>
    </row>
    <row r="740" spans="7:8" hidden="1" x14ac:dyDescent="0.4">
      <c r="G740" s="32">
        <v>736</v>
      </c>
      <c r="H740" s="33">
        <v>1065.1542623493051</v>
      </c>
    </row>
    <row r="741" spans="7:8" hidden="1" x14ac:dyDescent="0.4">
      <c r="G741" s="32">
        <v>737</v>
      </c>
      <c r="H741" s="33">
        <v>1955.6540340003187</v>
      </c>
    </row>
    <row r="742" spans="7:8" hidden="1" x14ac:dyDescent="0.4">
      <c r="G742" s="32">
        <v>738</v>
      </c>
      <c r="H742" s="33">
        <v>3289.819567456555</v>
      </c>
    </row>
    <row r="743" spans="7:8" hidden="1" x14ac:dyDescent="0.4">
      <c r="G743" s="32">
        <v>739</v>
      </c>
      <c r="H743" s="33">
        <v>3378.2182387232442</v>
      </c>
    </row>
    <row r="744" spans="7:8" hidden="1" x14ac:dyDescent="0.4">
      <c r="G744" s="32">
        <v>740</v>
      </c>
      <c r="H744" s="33">
        <v>1196.4404576467932</v>
      </c>
    </row>
    <row r="745" spans="7:8" hidden="1" x14ac:dyDescent="0.4">
      <c r="G745" s="32">
        <v>741</v>
      </c>
      <c r="H745" s="33">
        <v>62.935786097489533</v>
      </c>
    </row>
    <row r="746" spans="7:8" hidden="1" x14ac:dyDescent="0.4">
      <c r="G746" s="32">
        <v>742</v>
      </c>
      <c r="H746" s="33">
        <v>657.0420952185757</v>
      </c>
    </row>
    <row r="747" spans="7:8" hidden="1" x14ac:dyDescent="0.4">
      <c r="G747" s="32">
        <v>743</v>
      </c>
      <c r="H747" s="33">
        <v>154.14130103361177</v>
      </c>
    </row>
    <row r="748" spans="7:8" hidden="1" x14ac:dyDescent="0.4">
      <c r="G748" s="32">
        <v>744</v>
      </c>
      <c r="H748" s="33">
        <v>2855.3523394264657</v>
      </c>
    </row>
    <row r="749" spans="7:8" hidden="1" x14ac:dyDescent="0.4">
      <c r="G749" s="32">
        <v>745</v>
      </c>
      <c r="H749" s="33">
        <v>1417.8420747856692</v>
      </c>
    </row>
    <row r="750" spans="7:8" hidden="1" x14ac:dyDescent="0.4">
      <c r="G750" s="32">
        <v>746</v>
      </c>
      <c r="H750" s="33">
        <v>1371.294490125772</v>
      </c>
    </row>
    <row r="751" spans="7:8" hidden="1" x14ac:dyDescent="0.4">
      <c r="G751" s="32">
        <v>747</v>
      </c>
      <c r="H751" s="33">
        <v>4910.7878102878976</v>
      </c>
    </row>
    <row r="752" spans="7:8" hidden="1" x14ac:dyDescent="0.4">
      <c r="G752" s="32">
        <v>748</v>
      </c>
      <c r="H752" s="33">
        <v>3863.0291882007964</v>
      </c>
    </row>
    <row r="753" spans="7:8" hidden="1" x14ac:dyDescent="0.4">
      <c r="G753" s="32">
        <v>749</v>
      </c>
      <c r="H753" s="33">
        <v>881.62776373158124</v>
      </c>
    </row>
    <row r="754" spans="7:8" hidden="1" x14ac:dyDescent="0.4">
      <c r="G754" s="32">
        <v>750</v>
      </c>
      <c r="H754" s="33">
        <v>789.98770402916807</v>
      </c>
    </row>
    <row r="755" spans="7:8" hidden="1" x14ac:dyDescent="0.4">
      <c r="G755" s="32">
        <v>751</v>
      </c>
      <c r="H755" s="33">
        <v>4133.466854900963</v>
      </c>
    </row>
    <row r="756" spans="7:8" hidden="1" x14ac:dyDescent="0.4">
      <c r="G756" s="32">
        <v>752</v>
      </c>
      <c r="H756" s="33">
        <v>5988.5542582384114</v>
      </c>
    </row>
    <row r="757" spans="7:8" hidden="1" x14ac:dyDescent="0.4">
      <c r="G757" s="32">
        <v>753</v>
      </c>
      <c r="H757" s="33">
        <v>2620.095135835571</v>
      </c>
    </row>
    <row r="758" spans="7:8" hidden="1" x14ac:dyDescent="0.4">
      <c r="G758" s="32">
        <v>754</v>
      </c>
      <c r="H758" s="33">
        <v>347.06447304633883</v>
      </c>
    </row>
    <row r="759" spans="7:8" hidden="1" x14ac:dyDescent="0.4">
      <c r="G759" s="32">
        <v>755</v>
      </c>
      <c r="H759" s="33">
        <v>1917.3510429702819</v>
      </c>
    </row>
    <row r="760" spans="7:8" hidden="1" x14ac:dyDescent="0.4">
      <c r="G760" s="32">
        <v>756</v>
      </c>
      <c r="H760" s="33">
        <v>-219.63605083990737</v>
      </c>
    </row>
    <row r="761" spans="7:8" hidden="1" x14ac:dyDescent="0.4">
      <c r="G761" s="32">
        <v>757</v>
      </c>
      <c r="H761" s="33">
        <v>1341.614986571542</v>
      </c>
    </row>
    <row r="762" spans="7:8" hidden="1" x14ac:dyDescent="0.4">
      <c r="G762" s="32">
        <v>758</v>
      </c>
      <c r="H762" s="33">
        <v>3142.071011018239</v>
      </c>
    </row>
    <row r="763" spans="7:8" hidden="1" x14ac:dyDescent="0.4">
      <c r="G763" s="32">
        <v>759</v>
      </c>
      <c r="H763" s="33">
        <v>2206.3914351469157</v>
      </c>
    </row>
    <row r="764" spans="7:8" hidden="1" x14ac:dyDescent="0.4">
      <c r="G764" s="32">
        <v>760</v>
      </c>
      <c r="H764" s="33">
        <v>1456.0048148412104</v>
      </c>
    </row>
    <row r="765" spans="7:8" hidden="1" x14ac:dyDescent="0.4">
      <c r="G765" s="32">
        <v>761</v>
      </c>
      <c r="H765" s="33">
        <v>3124.580809390493</v>
      </c>
    </row>
    <row r="766" spans="7:8" hidden="1" x14ac:dyDescent="0.4">
      <c r="G766" s="32">
        <v>762</v>
      </c>
      <c r="H766" s="33">
        <v>506.22887555281307</v>
      </c>
    </row>
    <row r="767" spans="7:8" hidden="1" x14ac:dyDescent="0.4">
      <c r="G767" s="32">
        <v>763</v>
      </c>
      <c r="H767" s="33">
        <v>1410.5312771545739</v>
      </c>
    </row>
    <row r="768" spans="7:8" hidden="1" x14ac:dyDescent="0.4">
      <c r="G768" s="32">
        <v>764</v>
      </c>
      <c r="H768" s="33">
        <v>674.81052894033007</v>
      </c>
    </row>
    <row r="769" spans="7:8" hidden="1" x14ac:dyDescent="0.4">
      <c r="G769" s="32">
        <v>765</v>
      </c>
      <c r="H769" s="33">
        <v>136.91870667783135</v>
      </c>
    </row>
    <row r="770" spans="7:8" hidden="1" x14ac:dyDescent="0.4">
      <c r="G770" s="32">
        <v>766</v>
      </c>
      <c r="H770" s="33">
        <v>-185.7811019656713</v>
      </c>
    </row>
    <row r="771" spans="7:8" hidden="1" x14ac:dyDescent="0.4">
      <c r="G771" s="32">
        <v>767</v>
      </c>
      <c r="H771" s="33">
        <v>3670.3642381248128</v>
      </c>
    </row>
    <row r="772" spans="7:8" hidden="1" x14ac:dyDescent="0.4">
      <c r="G772" s="32">
        <v>768</v>
      </c>
      <c r="H772" s="33">
        <v>1807.0137604137124</v>
      </c>
    </row>
    <row r="773" spans="7:8" hidden="1" x14ac:dyDescent="0.4">
      <c r="G773" s="32">
        <v>769</v>
      </c>
      <c r="H773" s="33">
        <v>2349.1698268444684</v>
      </c>
    </row>
    <row r="774" spans="7:8" hidden="1" x14ac:dyDescent="0.4">
      <c r="G774" s="32">
        <v>770</v>
      </c>
      <c r="H774" s="33">
        <v>644.60631558702153</v>
      </c>
    </row>
    <row r="775" spans="7:8" hidden="1" x14ac:dyDescent="0.4">
      <c r="G775" s="32">
        <v>771</v>
      </c>
      <c r="H775" s="33">
        <v>1667.6691991182877</v>
      </c>
    </row>
    <row r="776" spans="7:8" hidden="1" x14ac:dyDescent="0.4">
      <c r="G776" s="32">
        <v>772</v>
      </c>
      <c r="H776" s="33">
        <v>2685.6543383124726</v>
      </c>
    </row>
    <row r="777" spans="7:8" hidden="1" x14ac:dyDescent="0.4">
      <c r="G777" s="32">
        <v>773</v>
      </c>
      <c r="H777" s="33">
        <v>1881.0495461836365</v>
      </c>
    </row>
    <row r="778" spans="7:8" hidden="1" x14ac:dyDescent="0.4">
      <c r="G778" s="32">
        <v>774</v>
      </c>
      <c r="H778" s="33">
        <v>-212.79226124305166</v>
      </c>
    </row>
    <row r="779" spans="7:8" hidden="1" x14ac:dyDescent="0.4">
      <c r="G779" s="32">
        <v>775</v>
      </c>
      <c r="H779" s="33">
        <v>601.90741171385093</v>
      </c>
    </row>
    <row r="780" spans="7:8" hidden="1" x14ac:dyDescent="0.4">
      <c r="G780" s="32">
        <v>776</v>
      </c>
      <c r="H780" s="33">
        <v>3007.30800768156</v>
      </c>
    </row>
    <row r="781" spans="7:8" hidden="1" x14ac:dyDescent="0.4">
      <c r="G781" s="32">
        <v>777</v>
      </c>
      <c r="H781" s="33">
        <v>2114.5718324121826</v>
      </c>
    </row>
    <row r="782" spans="7:8" hidden="1" x14ac:dyDescent="0.4">
      <c r="G782" s="32">
        <v>778</v>
      </c>
      <c r="H782" s="33">
        <v>424.74916784253782</v>
      </c>
    </row>
    <row r="783" spans="7:8" hidden="1" x14ac:dyDescent="0.4">
      <c r="G783" s="32">
        <v>779</v>
      </c>
      <c r="H783" s="33">
        <v>1548.3734005012736</v>
      </c>
    </row>
    <row r="784" spans="7:8" hidden="1" x14ac:dyDescent="0.4">
      <c r="G784" s="32">
        <v>780</v>
      </c>
      <c r="H784" s="33">
        <v>939.73033659004727</v>
      </c>
    </row>
    <row r="785" spans="7:8" hidden="1" x14ac:dyDescent="0.4">
      <c r="G785" s="32">
        <v>781</v>
      </c>
      <c r="H785" s="33">
        <v>-1282.4847305600028</v>
      </c>
    </row>
    <row r="786" spans="7:8" hidden="1" x14ac:dyDescent="0.4">
      <c r="G786" s="32">
        <v>782</v>
      </c>
      <c r="H786" s="33">
        <v>-170.25147635091375</v>
      </c>
    </row>
    <row r="787" spans="7:8" hidden="1" x14ac:dyDescent="0.4">
      <c r="G787" s="32">
        <v>783</v>
      </c>
      <c r="H787" s="33">
        <v>3249.1042962470228</v>
      </c>
    </row>
    <row r="788" spans="7:8" hidden="1" x14ac:dyDescent="0.4">
      <c r="G788" s="32">
        <v>784</v>
      </c>
      <c r="H788" s="33">
        <v>-448.75784294786456</v>
      </c>
    </row>
    <row r="789" spans="7:8" hidden="1" x14ac:dyDescent="0.4">
      <c r="G789" s="32">
        <v>785</v>
      </c>
      <c r="H789" s="33">
        <v>70.020713804315307</v>
      </c>
    </row>
    <row r="790" spans="7:8" hidden="1" x14ac:dyDescent="0.4">
      <c r="G790" s="32">
        <v>786</v>
      </c>
      <c r="H790" s="33">
        <v>-302.15838381115333</v>
      </c>
    </row>
    <row r="791" spans="7:8" hidden="1" x14ac:dyDescent="0.4">
      <c r="G791" s="32">
        <v>787</v>
      </c>
      <c r="H791" s="33">
        <v>1118.1588946703762</v>
      </c>
    </row>
    <row r="792" spans="7:8" hidden="1" x14ac:dyDescent="0.4">
      <c r="G792" s="32">
        <v>788</v>
      </c>
      <c r="H792" s="33">
        <v>-484.0203041849249</v>
      </c>
    </row>
    <row r="793" spans="7:8" hidden="1" x14ac:dyDescent="0.4">
      <c r="G793" s="32">
        <v>789</v>
      </c>
      <c r="H793" s="33">
        <v>5617.1706264866234</v>
      </c>
    </row>
    <row r="794" spans="7:8" hidden="1" x14ac:dyDescent="0.4">
      <c r="G794" s="32">
        <v>790</v>
      </c>
      <c r="H794" s="33">
        <v>3486.2354165450552</v>
      </c>
    </row>
    <row r="795" spans="7:8" hidden="1" x14ac:dyDescent="0.4">
      <c r="G795" s="32">
        <v>791</v>
      </c>
      <c r="H795" s="33">
        <v>2943.8982327562048</v>
      </c>
    </row>
    <row r="796" spans="7:8" hidden="1" x14ac:dyDescent="0.4">
      <c r="G796" s="32">
        <v>792</v>
      </c>
      <c r="H796" s="33">
        <v>1110.3604129404553</v>
      </c>
    </row>
    <row r="797" spans="7:8" hidden="1" x14ac:dyDescent="0.4">
      <c r="G797" s="32">
        <v>793</v>
      </c>
      <c r="H797" s="33">
        <v>4177.6965719903137</v>
      </c>
    </row>
    <row r="798" spans="7:8" hidden="1" x14ac:dyDescent="0.4">
      <c r="G798" s="32">
        <v>794</v>
      </c>
      <c r="H798" s="33">
        <v>1203.6426771538825</v>
      </c>
    </row>
    <row r="799" spans="7:8" hidden="1" x14ac:dyDescent="0.4">
      <c r="G799" s="32">
        <v>795</v>
      </c>
      <c r="H799" s="33">
        <v>3315.8320239287968</v>
      </c>
    </row>
    <row r="800" spans="7:8" hidden="1" x14ac:dyDescent="0.4">
      <c r="G800" s="32">
        <v>796</v>
      </c>
      <c r="H800" s="33">
        <v>655.99291172150379</v>
      </c>
    </row>
    <row r="801" spans="7:8" hidden="1" x14ac:dyDescent="0.4">
      <c r="G801" s="32">
        <v>797</v>
      </c>
      <c r="H801" s="33">
        <v>812.49120533462963</v>
      </c>
    </row>
    <row r="802" spans="7:8" hidden="1" x14ac:dyDescent="0.4">
      <c r="G802" s="32">
        <v>798</v>
      </c>
      <c r="H802" s="33">
        <v>2527.1041945133557</v>
      </c>
    </row>
    <row r="803" spans="7:8" hidden="1" x14ac:dyDescent="0.4">
      <c r="G803" s="32">
        <v>799</v>
      </c>
      <c r="H803" s="33">
        <v>-297.21473987949526</v>
      </c>
    </row>
    <row r="804" spans="7:8" hidden="1" x14ac:dyDescent="0.4">
      <c r="G804" s="32">
        <v>800</v>
      </c>
      <c r="H804" s="33">
        <v>1666.6632225113938</v>
      </c>
    </row>
    <row r="805" spans="7:8" hidden="1" x14ac:dyDescent="0.4">
      <c r="G805" s="32">
        <v>801</v>
      </c>
      <c r="H805" s="33">
        <v>1756.991423490907</v>
      </c>
    </row>
    <row r="806" spans="7:8" hidden="1" x14ac:dyDescent="0.4">
      <c r="G806" s="32">
        <v>802</v>
      </c>
      <c r="H806" s="33">
        <v>3055.4200374295042</v>
      </c>
    </row>
    <row r="807" spans="7:8" hidden="1" x14ac:dyDescent="0.4">
      <c r="G807" s="32">
        <v>803</v>
      </c>
      <c r="H807" s="33">
        <v>786.36772310739786</v>
      </c>
    </row>
    <row r="808" spans="7:8" hidden="1" x14ac:dyDescent="0.4">
      <c r="G808" s="32">
        <v>804</v>
      </c>
      <c r="H808" s="33">
        <v>1211.9971422115207</v>
      </c>
    </row>
    <row r="809" spans="7:8" hidden="1" x14ac:dyDescent="0.4">
      <c r="G809" s="32">
        <v>805</v>
      </c>
      <c r="H809" s="33">
        <v>968.64429911965124</v>
      </c>
    </row>
    <row r="810" spans="7:8" hidden="1" x14ac:dyDescent="0.4">
      <c r="G810" s="32">
        <v>806</v>
      </c>
      <c r="H810" s="33">
        <v>441.58586656296495</v>
      </c>
    </row>
    <row r="811" spans="7:8" hidden="1" x14ac:dyDescent="0.4">
      <c r="G811" s="32">
        <v>807</v>
      </c>
      <c r="H811" s="33">
        <v>3847.0804123237654</v>
      </c>
    </row>
    <row r="812" spans="7:8" hidden="1" x14ac:dyDescent="0.4">
      <c r="G812" s="32">
        <v>808</v>
      </c>
      <c r="H812" s="33">
        <v>2058.4349519481007</v>
      </c>
    </row>
    <row r="813" spans="7:8" hidden="1" x14ac:dyDescent="0.4">
      <c r="G813" s="32">
        <v>809</v>
      </c>
      <c r="H813" s="33">
        <v>2138.8702107421559</v>
      </c>
    </row>
    <row r="814" spans="7:8" hidden="1" x14ac:dyDescent="0.4">
      <c r="G814" s="32">
        <v>810</v>
      </c>
      <c r="H814" s="33">
        <v>2534.4498860067483</v>
      </c>
    </row>
    <row r="815" spans="7:8" hidden="1" x14ac:dyDescent="0.4">
      <c r="G815" s="32">
        <v>811</v>
      </c>
      <c r="H815" s="33">
        <v>2687.481550387547</v>
      </c>
    </row>
    <row r="816" spans="7:8" hidden="1" x14ac:dyDescent="0.4">
      <c r="G816" s="32">
        <v>812</v>
      </c>
      <c r="H816" s="33">
        <v>4135.4344351840427</v>
      </c>
    </row>
    <row r="817" spans="7:8" hidden="1" x14ac:dyDescent="0.4">
      <c r="G817" s="32">
        <v>813</v>
      </c>
      <c r="H817" s="33">
        <v>1950.0879878128296</v>
      </c>
    </row>
    <row r="818" spans="7:8" hidden="1" x14ac:dyDescent="0.4">
      <c r="G818" s="32">
        <v>814</v>
      </c>
      <c r="H818" s="33">
        <v>954.19191238212568</v>
      </c>
    </row>
    <row r="819" spans="7:8" hidden="1" x14ac:dyDescent="0.4">
      <c r="G819" s="32">
        <v>815</v>
      </c>
      <c r="H819" s="33">
        <v>2760.6203845966711</v>
      </c>
    </row>
    <row r="820" spans="7:8" hidden="1" x14ac:dyDescent="0.4">
      <c r="G820" s="32">
        <v>816</v>
      </c>
      <c r="H820" s="33">
        <v>1033.3976632666636</v>
      </c>
    </row>
    <row r="821" spans="7:8" hidden="1" x14ac:dyDescent="0.4">
      <c r="G821" s="32">
        <v>817</v>
      </c>
      <c r="H821" s="33">
        <v>2327.4880936548602</v>
      </c>
    </row>
    <row r="822" spans="7:8" hidden="1" x14ac:dyDescent="0.4">
      <c r="G822" s="32">
        <v>818</v>
      </c>
      <c r="H822" s="33">
        <v>2615.7275723977045</v>
      </c>
    </row>
    <row r="823" spans="7:8" hidden="1" x14ac:dyDescent="0.4">
      <c r="G823" s="32">
        <v>819</v>
      </c>
      <c r="H823" s="33">
        <v>745.88427519590778</v>
      </c>
    </row>
    <row r="824" spans="7:8" hidden="1" x14ac:dyDescent="0.4">
      <c r="G824" s="32">
        <v>820</v>
      </c>
      <c r="H824" s="33">
        <v>-70.140081824534704</v>
      </c>
    </row>
    <row r="825" spans="7:8" hidden="1" x14ac:dyDescent="0.4">
      <c r="G825" s="32">
        <v>821</v>
      </c>
      <c r="H825" s="33">
        <v>2856.6347889681019</v>
      </c>
    </row>
    <row r="826" spans="7:8" hidden="1" x14ac:dyDescent="0.4">
      <c r="G826" s="32">
        <v>822</v>
      </c>
      <c r="H826" s="33">
        <v>1477.7294904034447</v>
      </c>
    </row>
    <row r="827" spans="7:8" hidden="1" x14ac:dyDescent="0.4">
      <c r="G827" s="32">
        <v>823</v>
      </c>
      <c r="H827" s="33">
        <v>2315.1492330622968</v>
      </c>
    </row>
    <row r="828" spans="7:8" hidden="1" x14ac:dyDescent="0.4">
      <c r="G828" s="32">
        <v>824</v>
      </c>
      <c r="H828" s="33">
        <v>2343.9263771401088</v>
      </c>
    </row>
    <row r="829" spans="7:8" hidden="1" x14ac:dyDescent="0.4">
      <c r="G829" s="32">
        <v>825</v>
      </c>
      <c r="H829" s="33">
        <v>3604.3601848101439</v>
      </c>
    </row>
    <row r="830" spans="7:8" hidden="1" x14ac:dyDescent="0.4">
      <c r="G830" s="32">
        <v>826</v>
      </c>
      <c r="H830" s="33">
        <v>289.36864015849847</v>
      </c>
    </row>
    <row r="831" spans="7:8" hidden="1" x14ac:dyDescent="0.4">
      <c r="G831" s="32">
        <v>827</v>
      </c>
      <c r="H831" s="33">
        <v>521.17703697823117</v>
      </c>
    </row>
    <row r="832" spans="7:8" hidden="1" x14ac:dyDescent="0.4">
      <c r="G832" s="32">
        <v>828</v>
      </c>
      <c r="H832" s="33">
        <v>1400.0903299191787</v>
      </c>
    </row>
    <row r="833" spans="7:8" hidden="1" x14ac:dyDescent="0.4">
      <c r="G833" s="32">
        <v>829</v>
      </c>
      <c r="H833" s="33">
        <v>1272.1823707669878</v>
      </c>
    </row>
    <row r="834" spans="7:8" hidden="1" x14ac:dyDescent="0.4">
      <c r="G834" s="32">
        <v>830</v>
      </c>
      <c r="H834" s="33">
        <v>2835.0519270572622</v>
      </c>
    </row>
    <row r="835" spans="7:8" hidden="1" x14ac:dyDescent="0.4">
      <c r="G835" s="32">
        <v>831</v>
      </c>
      <c r="H835" s="33">
        <v>88.158390297981853</v>
      </c>
    </row>
    <row r="836" spans="7:8" hidden="1" x14ac:dyDescent="0.4">
      <c r="G836" s="32">
        <v>832</v>
      </c>
      <c r="H836" s="33">
        <v>1655.3673833396629</v>
      </c>
    </row>
    <row r="837" spans="7:8" hidden="1" x14ac:dyDescent="0.4">
      <c r="G837" s="32">
        <v>833</v>
      </c>
      <c r="H837" s="33">
        <v>-79.564145430868663</v>
      </c>
    </row>
    <row r="838" spans="7:8" hidden="1" x14ac:dyDescent="0.4">
      <c r="G838" s="32">
        <v>834</v>
      </c>
      <c r="H838" s="33">
        <v>1288.8879367100628</v>
      </c>
    </row>
    <row r="839" spans="7:8" hidden="1" x14ac:dyDescent="0.4">
      <c r="G839" s="32">
        <v>835</v>
      </c>
      <c r="H839" s="33">
        <v>1739.7974344254803</v>
      </c>
    </row>
    <row r="840" spans="7:8" hidden="1" x14ac:dyDescent="0.4">
      <c r="G840" s="32">
        <v>836</v>
      </c>
      <c r="H840" s="33">
        <v>1179.5816908292554</v>
      </c>
    </row>
    <row r="841" spans="7:8" hidden="1" x14ac:dyDescent="0.4">
      <c r="G841" s="32">
        <v>837</v>
      </c>
      <c r="H841" s="33">
        <v>209.36296302755812</v>
      </c>
    </row>
    <row r="842" spans="7:8" hidden="1" x14ac:dyDescent="0.4">
      <c r="G842" s="32">
        <v>838</v>
      </c>
      <c r="H842" s="33">
        <v>1628.2864982035778</v>
      </c>
    </row>
    <row r="843" spans="7:8" hidden="1" x14ac:dyDescent="0.4">
      <c r="G843" s="32">
        <v>839</v>
      </c>
      <c r="H843" s="33">
        <v>2141.9212143105306</v>
      </c>
    </row>
    <row r="844" spans="7:8" hidden="1" x14ac:dyDescent="0.4">
      <c r="G844" s="32">
        <v>840</v>
      </c>
      <c r="H844" s="33">
        <v>2029.0611533076067</v>
      </c>
    </row>
    <row r="845" spans="7:8" hidden="1" x14ac:dyDescent="0.4">
      <c r="G845" s="32">
        <v>841</v>
      </c>
      <c r="H845" s="33">
        <v>-64.321869036821766</v>
      </c>
    </row>
    <row r="846" spans="7:8" hidden="1" x14ac:dyDescent="0.4">
      <c r="G846" s="32">
        <v>842</v>
      </c>
      <c r="H846" s="33">
        <v>221.60943362376997</v>
      </c>
    </row>
    <row r="847" spans="7:8" hidden="1" x14ac:dyDescent="0.4">
      <c r="G847" s="32">
        <v>843</v>
      </c>
      <c r="H847" s="33">
        <v>52.076373558707068</v>
      </c>
    </row>
    <row r="848" spans="7:8" hidden="1" x14ac:dyDescent="0.4">
      <c r="G848" s="32">
        <v>844</v>
      </c>
      <c r="H848" s="33">
        <v>1012.339680323823</v>
      </c>
    </row>
    <row r="849" spans="7:8" hidden="1" x14ac:dyDescent="0.4">
      <c r="G849" s="32">
        <v>845</v>
      </c>
      <c r="H849" s="33">
        <v>536.27537735112708</v>
      </c>
    </row>
    <row r="850" spans="7:8" hidden="1" x14ac:dyDescent="0.4">
      <c r="G850" s="32">
        <v>846</v>
      </c>
      <c r="H850" s="33">
        <v>989.99822893876853</v>
      </c>
    </row>
    <row r="851" spans="7:8" hidden="1" x14ac:dyDescent="0.4">
      <c r="G851" s="32">
        <v>847</v>
      </c>
      <c r="H851" s="33">
        <v>4640.3669441234906</v>
      </c>
    </row>
    <row r="852" spans="7:8" hidden="1" x14ac:dyDescent="0.4">
      <c r="G852" s="32">
        <v>848</v>
      </c>
      <c r="H852" s="33">
        <v>1761.5065690019296</v>
      </c>
    </row>
    <row r="853" spans="7:8" hidden="1" x14ac:dyDescent="0.4">
      <c r="G853" s="32">
        <v>849</v>
      </c>
      <c r="H853" s="33">
        <v>1136.5132051257608</v>
      </c>
    </row>
    <row r="854" spans="7:8" hidden="1" x14ac:dyDescent="0.4">
      <c r="G854" s="32">
        <v>850</v>
      </c>
      <c r="H854" s="33">
        <v>1203.1937726789852</v>
      </c>
    </row>
    <row r="855" spans="7:8" hidden="1" x14ac:dyDescent="0.4">
      <c r="G855" s="32">
        <v>851</v>
      </c>
      <c r="H855" s="33">
        <v>2435.1141424560942</v>
      </c>
    </row>
    <row r="856" spans="7:8" hidden="1" x14ac:dyDescent="0.4">
      <c r="G856" s="32">
        <v>852</v>
      </c>
      <c r="H856" s="33">
        <v>1161.9578414771979</v>
      </c>
    </row>
    <row r="857" spans="7:8" hidden="1" x14ac:dyDescent="0.4">
      <c r="G857" s="32">
        <v>853</v>
      </c>
      <c r="H857" s="33">
        <v>1184.9638687339336</v>
      </c>
    </row>
    <row r="858" spans="7:8" hidden="1" x14ac:dyDescent="0.4">
      <c r="G858" s="32">
        <v>854</v>
      </c>
      <c r="H858" s="33">
        <v>1905.7305082991261</v>
      </c>
    </row>
    <row r="859" spans="7:8" hidden="1" x14ac:dyDescent="0.4">
      <c r="G859" s="32">
        <v>855</v>
      </c>
      <c r="H859" s="33">
        <v>2032.3702206316655</v>
      </c>
    </row>
    <row r="860" spans="7:8" hidden="1" x14ac:dyDescent="0.4">
      <c r="G860" s="32">
        <v>856</v>
      </c>
      <c r="H860" s="33">
        <v>2382.7002713353791</v>
      </c>
    </row>
    <row r="861" spans="7:8" hidden="1" x14ac:dyDescent="0.4">
      <c r="G861" s="32">
        <v>857</v>
      </c>
      <c r="H861" s="33">
        <v>99.288494605263196</v>
      </c>
    </row>
    <row r="862" spans="7:8" hidden="1" x14ac:dyDescent="0.4">
      <c r="G862" s="32">
        <v>858</v>
      </c>
      <c r="H862" s="33">
        <v>2445.6173023810375</v>
      </c>
    </row>
    <row r="863" spans="7:8" hidden="1" x14ac:dyDescent="0.4">
      <c r="G863" s="32">
        <v>859</v>
      </c>
      <c r="H863" s="33">
        <v>-550.31130104732824</v>
      </c>
    </row>
    <row r="864" spans="7:8" hidden="1" x14ac:dyDescent="0.4">
      <c r="G864" s="32">
        <v>860</v>
      </c>
      <c r="H864" s="33">
        <v>1008.2455499474128</v>
      </c>
    </row>
    <row r="865" spans="7:8" hidden="1" x14ac:dyDescent="0.4">
      <c r="G865" s="32">
        <v>861</v>
      </c>
      <c r="H865" s="33">
        <v>1170.7709264252649</v>
      </c>
    </row>
    <row r="866" spans="7:8" hidden="1" x14ac:dyDescent="0.4">
      <c r="G866" s="32">
        <v>862</v>
      </c>
      <c r="H866" s="33">
        <v>889.23209554551227</v>
      </c>
    </row>
    <row r="867" spans="7:8" hidden="1" x14ac:dyDescent="0.4">
      <c r="G867" s="32">
        <v>863</v>
      </c>
      <c r="H867" s="33">
        <v>3496.8397971262575</v>
      </c>
    </row>
    <row r="868" spans="7:8" hidden="1" x14ac:dyDescent="0.4">
      <c r="G868" s="32">
        <v>864</v>
      </c>
      <c r="H868" s="33">
        <v>477.21462046457395</v>
      </c>
    </row>
    <row r="869" spans="7:8" hidden="1" x14ac:dyDescent="0.4">
      <c r="G869" s="32">
        <v>865</v>
      </c>
      <c r="H869" s="33">
        <v>1656.8035504348659</v>
      </c>
    </row>
    <row r="870" spans="7:8" hidden="1" x14ac:dyDescent="0.4">
      <c r="G870" s="32">
        <v>866</v>
      </c>
      <c r="H870" s="33">
        <v>3964.0416575833447</v>
      </c>
    </row>
    <row r="871" spans="7:8" hidden="1" x14ac:dyDescent="0.4">
      <c r="G871" s="32">
        <v>867</v>
      </c>
      <c r="H871" s="33">
        <v>1107.3944763363197</v>
      </c>
    </row>
    <row r="872" spans="7:8" hidden="1" x14ac:dyDescent="0.4">
      <c r="G872" s="32">
        <v>868</v>
      </c>
      <c r="H872" s="33">
        <v>2440.8514166985624</v>
      </c>
    </row>
    <row r="873" spans="7:8" hidden="1" x14ac:dyDescent="0.4">
      <c r="G873" s="32">
        <v>869</v>
      </c>
      <c r="H873" s="33">
        <v>4783.0419837883292</v>
      </c>
    </row>
    <row r="874" spans="7:8" hidden="1" x14ac:dyDescent="0.4">
      <c r="G874" s="32">
        <v>870</v>
      </c>
      <c r="H874" s="33">
        <v>1229.8923665602506</v>
      </c>
    </row>
    <row r="875" spans="7:8" hidden="1" x14ac:dyDescent="0.4">
      <c r="G875" s="32">
        <v>871</v>
      </c>
      <c r="H875" s="33">
        <v>1722.2326912377255</v>
      </c>
    </row>
    <row r="876" spans="7:8" hidden="1" x14ac:dyDescent="0.4">
      <c r="G876" s="32">
        <v>872</v>
      </c>
      <c r="H876" s="33">
        <v>-503.1019348800927</v>
      </c>
    </row>
    <row r="877" spans="7:8" hidden="1" x14ac:dyDescent="0.4">
      <c r="G877" s="32">
        <v>873</v>
      </c>
      <c r="H877" s="33">
        <v>5762.727269790128</v>
      </c>
    </row>
    <row r="878" spans="7:8" hidden="1" x14ac:dyDescent="0.4">
      <c r="G878" s="32">
        <v>874</v>
      </c>
      <c r="H878" s="33">
        <v>494.04135317570774</v>
      </c>
    </row>
    <row r="879" spans="7:8" hidden="1" x14ac:dyDescent="0.4">
      <c r="G879" s="32">
        <v>875</v>
      </c>
      <c r="H879" s="33">
        <v>2714.2363058847327</v>
      </c>
    </row>
    <row r="880" spans="7:8" hidden="1" x14ac:dyDescent="0.4">
      <c r="G880" s="32">
        <v>876</v>
      </c>
      <c r="H880" s="33">
        <v>1867.7810614478308</v>
      </c>
    </row>
    <row r="881" spans="7:8" hidden="1" x14ac:dyDescent="0.4">
      <c r="G881" s="32">
        <v>877</v>
      </c>
      <c r="H881" s="33">
        <v>382.59781024188032</v>
      </c>
    </row>
    <row r="882" spans="7:8" hidden="1" x14ac:dyDescent="0.4">
      <c r="G882" s="32">
        <v>878</v>
      </c>
      <c r="H882" s="33">
        <v>1301.2332164710683</v>
      </c>
    </row>
    <row r="883" spans="7:8" hidden="1" x14ac:dyDescent="0.4">
      <c r="G883" s="32">
        <v>879</v>
      </c>
      <c r="H883" s="33">
        <v>-482.80572616902197</v>
      </c>
    </row>
    <row r="884" spans="7:8" hidden="1" x14ac:dyDescent="0.4">
      <c r="G884" s="32">
        <v>880</v>
      </c>
      <c r="H884" s="33">
        <v>1456.3268720464132</v>
      </c>
    </row>
    <row r="885" spans="7:8" hidden="1" x14ac:dyDescent="0.4">
      <c r="G885" s="32">
        <v>881</v>
      </c>
      <c r="H885" s="33">
        <v>297.76659276427557</v>
      </c>
    </row>
    <row r="886" spans="7:8" hidden="1" x14ac:dyDescent="0.4">
      <c r="G886" s="32">
        <v>882</v>
      </c>
      <c r="H886" s="33">
        <v>594.45790982757296</v>
      </c>
    </row>
    <row r="887" spans="7:8" hidden="1" x14ac:dyDescent="0.4">
      <c r="G887" s="32">
        <v>883</v>
      </c>
      <c r="H887" s="33">
        <v>-231.51485407457909</v>
      </c>
    </row>
    <row r="888" spans="7:8" hidden="1" x14ac:dyDescent="0.4">
      <c r="G888" s="32">
        <v>884</v>
      </c>
      <c r="H888" s="33">
        <v>1042.4126786129987</v>
      </c>
    </row>
    <row r="889" spans="7:8" hidden="1" x14ac:dyDescent="0.4">
      <c r="G889" s="32">
        <v>885</v>
      </c>
      <c r="H889" s="33">
        <v>2472.4355780918922</v>
      </c>
    </row>
    <row r="890" spans="7:8" hidden="1" x14ac:dyDescent="0.4">
      <c r="G890" s="32">
        <v>886</v>
      </c>
      <c r="H890" s="33">
        <v>440.63230221632762</v>
      </c>
    </row>
    <row r="891" spans="7:8" hidden="1" x14ac:dyDescent="0.4">
      <c r="G891" s="32">
        <v>887</v>
      </c>
      <c r="H891" s="33">
        <v>1823.252051172889</v>
      </c>
    </row>
    <row r="892" spans="7:8" hidden="1" x14ac:dyDescent="0.4">
      <c r="G892" s="32">
        <v>888</v>
      </c>
      <c r="H892" s="33">
        <v>899.32656187472264</v>
      </c>
    </row>
    <row r="893" spans="7:8" hidden="1" x14ac:dyDescent="0.4">
      <c r="G893" s="32">
        <v>889</v>
      </c>
      <c r="H893" s="33">
        <v>2312.3703101804194</v>
      </c>
    </row>
    <row r="894" spans="7:8" hidden="1" x14ac:dyDescent="0.4">
      <c r="G894" s="32">
        <v>890</v>
      </c>
      <c r="H894" s="33">
        <v>520.48458334072291</v>
      </c>
    </row>
    <row r="895" spans="7:8" hidden="1" x14ac:dyDescent="0.4">
      <c r="G895" s="32">
        <v>891</v>
      </c>
      <c r="H895" s="33">
        <v>2042.1318339591601</v>
      </c>
    </row>
    <row r="896" spans="7:8" hidden="1" x14ac:dyDescent="0.4">
      <c r="G896" s="32">
        <v>892</v>
      </c>
      <c r="H896" s="33">
        <v>-67.066036315298049</v>
      </c>
    </row>
    <row r="897" spans="7:8" hidden="1" x14ac:dyDescent="0.4">
      <c r="G897" s="32">
        <v>893</v>
      </c>
      <c r="H897" s="33">
        <v>2440.540554150266</v>
      </c>
    </row>
    <row r="898" spans="7:8" hidden="1" x14ac:dyDescent="0.4">
      <c r="G898" s="32">
        <v>894</v>
      </c>
      <c r="H898" s="33">
        <v>2592.6900192998619</v>
      </c>
    </row>
    <row r="899" spans="7:8" hidden="1" x14ac:dyDescent="0.4">
      <c r="G899" s="32">
        <v>895</v>
      </c>
      <c r="H899" s="33">
        <v>2914.3123536586818</v>
      </c>
    </row>
    <row r="900" spans="7:8" hidden="1" x14ac:dyDescent="0.4">
      <c r="G900" s="32">
        <v>896</v>
      </c>
      <c r="H900" s="33">
        <v>2441.6229545792107</v>
      </c>
    </row>
    <row r="901" spans="7:8" hidden="1" x14ac:dyDescent="0.4">
      <c r="G901" s="32">
        <v>897</v>
      </c>
      <c r="H901" s="33">
        <v>2102.1733798783894</v>
      </c>
    </row>
    <row r="902" spans="7:8" hidden="1" x14ac:dyDescent="0.4">
      <c r="G902" s="32">
        <v>898</v>
      </c>
      <c r="H902" s="33">
        <v>1936.2182023983833</v>
      </c>
    </row>
    <row r="903" spans="7:8" hidden="1" x14ac:dyDescent="0.4">
      <c r="G903" s="32">
        <v>899</v>
      </c>
      <c r="H903" s="33">
        <v>-213.34701365876123</v>
      </c>
    </row>
    <row r="904" spans="7:8" hidden="1" x14ac:dyDescent="0.4">
      <c r="G904" s="32">
        <v>900</v>
      </c>
      <c r="H904" s="33">
        <v>2656.7514189986373</v>
      </c>
    </row>
    <row r="905" spans="7:8" hidden="1" x14ac:dyDescent="0.4">
      <c r="G905" s="32">
        <v>901</v>
      </c>
      <c r="H905" s="33">
        <v>3261.0559125130881</v>
      </c>
    </row>
    <row r="906" spans="7:8" hidden="1" x14ac:dyDescent="0.4">
      <c r="G906" s="32">
        <v>902</v>
      </c>
      <c r="H906" s="33">
        <v>1396.8734312638155</v>
      </c>
    </row>
    <row r="907" spans="7:8" hidden="1" x14ac:dyDescent="0.4">
      <c r="G907" s="32">
        <v>903</v>
      </c>
      <c r="H907" s="33">
        <v>2883.6178361625985</v>
      </c>
    </row>
    <row r="908" spans="7:8" hidden="1" x14ac:dyDescent="0.4">
      <c r="G908" s="32">
        <v>904</v>
      </c>
      <c r="H908" s="33">
        <v>152.74640108002137</v>
      </c>
    </row>
    <row r="909" spans="7:8" hidden="1" x14ac:dyDescent="0.4">
      <c r="G909" s="32">
        <v>905</v>
      </c>
      <c r="H909" s="33">
        <v>1400.3629791831902</v>
      </c>
    </row>
    <row r="910" spans="7:8" hidden="1" x14ac:dyDescent="0.4">
      <c r="G910" s="32">
        <v>906</v>
      </c>
      <c r="H910" s="33">
        <v>2459.6519383100181</v>
      </c>
    </row>
    <row r="911" spans="7:8" hidden="1" x14ac:dyDescent="0.4">
      <c r="G911" s="32">
        <v>907</v>
      </c>
      <c r="H911" s="33">
        <v>3838.8469772496528</v>
      </c>
    </row>
    <row r="912" spans="7:8" hidden="1" x14ac:dyDescent="0.4">
      <c r="G912" s="32">
        <v>908</v>
      </c>
      <c r="H912" s="33">
        <v>-834.25340708694318</v>
      </c>
    </row>
    <row r="913" spans="7:8" hidden="1" x14ac:dyDescent="0.4">
      <c r="G913" s="32">
        <v>909</v>
      </c>
      <c r="H913" s="33">
        <v>3433.3734209697686</v>
      </c>
    </row>
    <row r="914" spans="7:8" hidden="1" x14ac:dyDescent="0.4">
      <c r="G914" s="32">
        <v>910</v>
      </c>
      <c r="H914" s="33">
        <v>2468.73918833886</v>
      </c>
    </row>
    <row r="915" spans="7:8" hidden="1" x14ac:dyDescent="0.4">
      <c r="G915" s="32">
        <v>911</v>
      </c>
      <c r="H915" s="33">
        <v>205.92098872124708</v>
      </c>
    </row>
    <row r="916" spans="7:8" hidden="1" x14ac:dyDescent="0.4">
      <c r="G916" s="32">
        <v>912</v>
      </c>
      <c r="H916" s="33">
        <v>2124.9749944989981</v>
      </c>
    </row>
    <row r="917" spans="7:8" hidden="1" x14ac:dyDescent="0.4">
      <c r="G917" s="32">
        <v>913</v>
      </c>
      <c r="H917" s="33">
        <v>1219.7964459856278</v>
      </c>
    </row>
    <row r="918" spans="7:8" hidden="1" x14ac:dyDescent="0.4">
      <c r="G918" s="32">
        <v>914</v>
      </c>
      <c r="H918" s="33">
        <v>2876.033670017538</v>
      </c>
    </row>
    <row r="919" spans="7:8" hidden="1" x14ac:dyDescent="0.4">
      <c r="G919" s="32">
        <v>915</v>
      </c>
      <c r="H919" s="33">
        <v>1925.0041541107908</v>
      </c>
    </row>
    <row r="920" spans="7:8" hidden="1" x14ac:dyDescent="0.4">
      <c r="G920" s="32">
        <v>916</v>
      </c>
      <c r="H920" s="33">
        <v>659.51116842443844</v>
      </c>
    </row>
    <row r="921" spans="7:8" hidden="1" x14ac:dyDescent="0.4">
      <c r="G921" s="32">
        <v>917</v>
      </c>
      <c r="H921" s="33">
        <v>-429.16921558101041</v>
      </c>
    </row>
    <row r="922" spans="7:8" hidden="1" x14ac:dyDescent="0.4">
      <c r="G922" s="32">
        <v>918</v>
      </c>
      <c r="H922" s="33">
        <v>82.808891161457424</v>
      </c>
    </row>
    <row r="923" spans="7:8" hidden="1" x14ac:dyDescent="0.4">
      <c r="G923" s="32">
        <v>919</v>
      </c>
      <c r="H923" s="33">
        <v>575.91639032886746</v>
      </c>
    </row>
    <row r="924" spans="7:8" hidden="1" x14ac:dyDescent="0.4">
      <c r="G924" s="32">
        <v>920</v>
      </c>
      <c r="H924" s="33">
        <v>2861.0642073185991</v>
      </c>
    </row>
    <row r="925" spans="7:8" hidden="1" x14ac:dyDescent="0.4">
      <c r="G925" s="32">
        <v>921</v>
      </c>
      <c r="H925" s="33">
        <v>1711.4062722507949</v>
      </c>
    </row>
    <row r="926" spans="7:8" hidden="1" x14ac:dyDescent="0.4">
      <c r="G926" s="32">
        <v>922</v>
      </c>
      <c r="H926" s="33">
        <v>1993.2567967899304</v>
      </c>
    </row>
    <row r="927" spans="7:8" hidden="1" x14ac:dyDescent="0.4">
      <c r="G927" s="32">
        <v>923</v>
      </c>
      <c r="H927" s="33">
        <v>1243.6384476268204</v>
      </c>
    </row>
    <row r="928" spans="7:8" hidden="1" x14ac:dyDescent="0.4">
      <c r="G928" s="32">
        <v>924</v>
      </c>
      <c r="H928" s="33">
        <v>-1637.3588258603124</v>
      </c>
    </row>
    <row r="929" spans="7:8" hidden="1" x14ac:dyDescent="0.4">
      <c r="G929" s="32">
        <v>925</v>
      </c>
      <c r="H929" s="33">
        <v>2572.183725301612</v>
      </c>
    </row>
    <row r="930" spans="7:8" hidden="1" x14ac:dyDescent="0.4">
      <c r="G930" s="32">
        <v>926</v>
      </c>
      <c r="H930" s="33">
        <v>663.69912057325359</v>
      </c>
    </row>
    <row r="931" spans="7:8" hidden="1" x14ac:dyDescent="0.4">
      <c r="G931" s="32">
        <v>927</v>
      </c>
      <c r="H931" s="33">
        <v>61.0901605074475</v>
      </c>
    </row>
    <row r="932" spans="7:8" hidden="1" x14ac:dyDescent="0.4">
      <c r="G932" s="32">
        <v>928</v>
      </c>
      <c r="H932" s="33">
        <v>-51.177842884245152</v>
      </c>
    </row>
    <row r="933" spans="7:8" hidden="1" x14ac:dyDescent="0.4">
      <c r="G933" s="32">
        <v>929</v>
      </c>
      <c r="H933" s="33">
        <v>871.55942925671673</v>
      </c>
    </row>
    <row r="934" spans="7:8" hidden="1" x14ac:dyDescent="0.4">
      <c r="G934" s="32">
        <v>930</v>
      </c>
      <c r="H934" s="33">
        <v>213.66960900499146</v>
      </c>
    </row>
    <row r="935" spans="7:8" hidden="1" x14ac:dyDescent="0.4">
      <c r="G935" s="32">
        <v>931</v>
      </c>
      <c r="H935" s="33">
        <v>1445.1088393294021</v>
      </c>
    </row>
    <row r="936" spans="7:8" hidden="1" x14ac:dyDescent="0.4">
      <c r="G936" s="32">
        <v>932</v>
      </c>
      <c r="H936" s="33">
        <v>2342.8577701268664</v>
      </c>
    </row>
    <row r="937" spans="7:8" hidden="1" x14ac:dyDescent="0.4">
      <c r="G937" s="32">
        <v>933</v>
      </c>
      <c r="H937" s="33">
        <v>1998.8238587964422</v>
      </c>
    </row>
    <row r="938" spans="7:8" hidden="1" x14ac:dyDescent="0.4">
      <c r="G938" s="32">
        <v>934</v>
      </c>
      <c r="H938" s="33">
        <v>472.59615404878889</v>
      </c>
    </row>
    <row r="939" spans="7:8" hidden="1" x14ac:dyDescent="0.4">
      <c r="G939" s="32">
        <v>935</v>
      </c>
      <c r="H939" s="33">
        <v>3438.9013917024145</v>
      </c>
    </row>
    <row r="940" spans="7:8" hidden="1" x14ac:dyDescent="0.4">
      <c r="G940" s="32">
        <v>936</v>
      </c>
      <c r="H940" s="33">
        <v>3303.1900544857226</v>
      </c>
    </row>
    <row r="941" spans="7:8" hidden="1" x14ac:dyDescent="0.4">
      <c r="G941" s="32">
        <v>937</v>
      </c>
      <c r="H941" s="33">
        <v>1916.3986968138497</v>
      </c>
    </row>
    <row r="942" spans="7:8" hidden="1" x14ac:dyDescent="0.4">
      <c r="G942" s="32">
        <v>938</v>
      </c>
      <c r="H942" s="33">
        <v>125.88493116929119</v>
      </c>
    </row>
    <row r="943" spans="7:8" hidden="1" x14ac:dyDescent="0.4">
      <c r="G943" s="32">
        <v>939</v>
      </c>
      <c r="H943" s="33">
        <v>2096.0482101872885</v>
      </c>
    </row>
    <row r="944" spans="7:8" hidden="1" x14ac:dyDescent="0.4">
      <c r="G944" s="32">
        <v>940</v>
      </c>
      <c r="H944" s="33">
        <v>93.212528933497381</v>
      </c>
    </row>
    <row r="945" spans="7:8" hidden="1" x14ac:dyDescent="0.4">
      <c r="G945" s="32">
        <v>941</v>
      </c>
      <c r="H945" s="33">
        <v>1812.6206505231025</v>
      </c>
    </row>
    <row r="946" spans="7:8" hidden="1" x14ac:dyDescent="0.4">
      <c r="G946" s="32">
        <v>942</v>
      </c>
      <c r="H946" s="33">
        <v>994.49756326645036</v>
      </c>
    </row>
    <row r="947" spans="7:8" hidden="1" x14ac:dyDescent="0.4">
      <c r="G947" s="32">
        <v>943</v>
      </c>
      <c r="H947" s="33">
        <v>1070.2209705620428</v>
      </c>
    </row>
    <row r="948" spans="7:8" hidden="1" x14ac:dyDescent="0.4">
      <c r="G948" s="32">
        <v>944</v>
      </c>
      <c r="H948" s="33">
        <v>1842.7143213166712</v>
      </c>
    </row>
    <row r="949" spans="7:8" hidden="1" x14ac:dyDescent="0.4">
      <c r="G949" s="32">
        <v>945</v>
      </c>
      <c r="H949" s="33">
        <v>3107.5362180334118</v>
      </c>
    </row>
    <row r="950" spans="7:8" hidden="1" x14ac:dyDescent="0.4">
      <c r="G950" s="32">
        <v>946</v>
      </c>
      <c r="H950" s="33">
        <v>-412.33397977203583</v>
      </c>
    </row>
    <row r="951" spans="7:8" hidden="1" x14ac:dyDescent="0.4">
      <c r="G951" s="32">
        <v>947</v>
      </c>
      <c r="H951" s="33">
        <v>611.60636003859656</v>
      </c>
    </row>
    <row r="952" spans="7:8" hidden="1" x14ac:dyDescent="0.4">
      <c r="G952" s="32">
        <v>948</v>
      </c>
      <c r="H952" s="33">
        <v>2331.1544089046347</v>
      </c>
    </row>
    <row r="953" spans="7:8" hidden="1" x14ac:dyDescent="0.4">
      <c r="G953" s="32">
        <v>949</v>
      </c>
      <c r="H953" s="33">
        <v>2102.3508293729251</v>
      </c>
    </row>
    <row r="954" spans="7:8" hidden="1" x14ac:dyDescent="0.4">
      <c r="G954" s="32">
        <v>950</v>
      </c>
      <c r="H954" s="33">
        <v>1283.5032101437357</v>
      </c>
    </row>
    <row r="955" spans="7:8" hidden="1" x14ac:dyDescent="0.4">
      <c r="G955" s="32">
        <v>951</v>
      </c>
      <c r="H955" s="33">
        <v>1351.1285718910167</v>
      </c>
    </row>
    <row r="956" spans="7:8" hidden="1" x14ac:dyDescent="0.4">
      <c r="G956" s="32">
        <v>952</v>
      </c>
      <c r="H956" s="33">
        <v>-664.2335526955344</v>
      </c>
    </row>
    <row r="957" spans="7:8" hidden="1" x14ac:dyDescent="0.4">
      <c r="G957" s="32">
        <v>953</v>
      </c>
      <c r="H957" s="33">
        <v>2853.4263787660284</v>
      </c>
    </row>
    <row r="958" spans="7:8" hidden="1" x14ac:dyDescent="0.4">
      <c r="G958" s="32">
        <v>954</v>
      </c>
      <c r="H958" s="33">
        <v>932.19611973033568</v>
      </c>
    </row>
    <row r="959" spans="7:8" hidden="1" x14ac:dyDescent="0.4">
      <c r="G959" s="32">
        <v>955</v>
      </c>
      <c r="H959" s="33">
        <v>1235.7046613799544</v>
      </c>
    </row>
    <row r="960" spans="7:8" hidden="1" x14ac:dyDescent="0.4">
      <c r="G960" s="32">
        <v>956</v>
      </c>
      <c r="H960" s="33">
        <v>167.32920391510032</v>
      </c>
    </row>
    <row r="961" spans="7:8" hidden="1" x14ac:dyDescent="0.4">
      <c r="G961" s="32">
        <v>957</v>
      </c>
      <c r="H961" s="33">
        <v>1813.2356325312564</v>
      </c>
    </row>
    <row r="962" spans="7:8" hidden="1" x14ac:dyDescent="0.4">
      <c r="G962" s="32">
        <v>958</v>
      </c>
      <c r="H962" s="33">
        <v>1250.2003836359297</v>
      </c>
    </row>
    <row r="963" spans="7:8" hidden="1" x14ac:dyDescent="0.4">
      <c r="G963" s="32">
        <v>959</v>
      </c>
      <c r="H963" s="33">
        <v>1581.9935856381003</v>
      </c>
    </row>
    <row r="964" spans="7:8" hidden="1" x14ac:dyDescent="0.4">
      <c r="G964" s="32">
        <v>960</v>
      </c>
      <c r="H964" s="33">
        <v>2936.8141992165592</v>
      </c>
    </row>
    <row r="965" spans="7:8" hidden="1" x14ac:dyDescent="0.4">
      <c r="G965" s="32">
        <v>961</v>
      </c>
      <c r="H965" s="33">
        <v>2180.4566663482105</v>
      </c>
    </row>
    <row r="966" spans="7:8" hidden="1" x14ac:dyDescent="0.4">
      <c r="G966" s="32">
        <v>962</v>
      </c>
      <c r="H966" s="33">
        <v>1081.115828149522</v>
      </c>
    </row>
    <row r="967" spans="7:8" hidden="1" x14ac:dyDescent="0.4">
      <c r="G967" s="32">
        <v>963</v>
      </c>
      <c r="H967" s="33">
        <v>1494.4312414722235</v>
      </c>
    </row>
    <row r="968" spans="7:8" hidden="1" x14ac:dyDescent="0.4">
      <c r="G968" s="32">
        <v>964</v>
      </c>
      <c r="H968" s="33">
        <v>2423.7597540487786</v>
      </c>
    </row>
    <row r="969" spans="7:8" hidden="1" x14ac:dyDescent="0.4">
      <c r="G969" s="32">
        <v>965</v>
      </c>
      <c r="H969" s="33">
        <v>592.60357605747311</v>
      </c>
    </row>
    <row r="970" spans="7:8" hidden="1" x14ac:dyDescent="0.4">
      <c r="G970" s="32">
        <v>966</v>
      </c>
      <c r="H970" s="33">
        <v>-7.082121922267647</v>
      </c>
    </row>
    <row r="971" spans="7:8" hidden="1" x14ac:dyDescent="0.4">
      <c r="G971" s="32">
        <v>967</v>
      </c>
      <c r="H971" s="33">
        <v>2457.6699972566503</v>
      </c>
    </row>
    <row r="972" spans="7:8" hidden="1" x14ac:dyDescent="0.4">
      <c r="G972" s="32">
        <v>968</v>
      </c>
      <c r="H972" s="33">
        <v>786.62363570097693</v>
      </c>
    </row>
    <row r="973" spans="7:8" hidden="1" x14ac:dyDescent="0.4">
      <c r="G973" s="32">
        <v>969</v>
      </c>
      <c r="H973" s="33">
        <v>729.60423662773098</v>
      </c>
    </row>
    <row r="974" spans="7:8" hidden="1" x14ac:dyDescent="0.4">
      <c r="G974" s="32">
        <v>970</v>
      </c>
      <c r="H974" s="33">
        <v>643.02811006220008</v>
      </c>
    </row>
    <row r="975" spans="7:8" hidden="1" x14ac:dyDescent="0.4">
      <c r="G975" s="32">
        <v>971</v>
      </c>
      <c r="H975" s="33">
        <v>2001.1463828975359</v>
      </c>
    </row>
    <row r="976" spans="7:8" hidden="1" x14ac:dyDescent="0.4">
      <c r="G976" s="32">
        <v>972</v>
      </c>
      <c r="H976" s="33">
        <v>2175.1279864525081</v>
      </c>
    </row>
    <row r="977" spans="7:8" hidden="1" x14ac:dyDescent="0.4">
      <c r="G977" s="32">
        <v>973</v>
      </c>
      <c r="H977" s="33">
        <v>2464.1653584884398</v>
      </c>
    </row>
    <row r="978" spans="7:8" hidden="1" x14ac:dyDescent="0.4">
      <c r="G978" s="32">
        <v>974</v>
      </c>
      <c r="H978" s="33">
        <v>3431.0808544724782</v>
      </c>
    </row>
    <row r="979" spans="7:8" hidden="1" x14ac:dyDescent="0.4">
      <c r="G979" s="32">
        <v>975</v>
      </c>
      <c r="H979" s="33">
        <v>3912.5496088649857</v>
      </c>
    </row>
    <row r="980" spans="7:8" hidden="1" x14ac:dyDescent="0.4">
      <c r="G980" s="32">
        <v>976</v>
      </c>
      <c r="H980" s="33">
        <v>506.3713417565221</v>
      </c>
    </row>
    <row r="981" spans="7:8" hidden="1" x14ac:dyDescent="0.4">
      <c r="G981" s="32">
        <v>977</v>
      </c>
      <c r="H981" s="33">
        <v>1688.8192708023762</v>
      </c>
    </row>
    <row r="982" spans="7:8" hidden="1" x14ac:dyDescent="0.4">
      <c r="G982" s="32">
        <v>978</v>
      </c>
      <c r="H982" s="33">
        <v>1093.8590759831493</v>
      </c>
    </row>
    <row r="983" spans="7:8" hidden="1" x14ac:dyDescent="0.4">
      <c r="G983" s="32">
        <v>979</v>
      </c>
      <c r="H983" s="33">
        <v>768.58194190753488</v>
      </c>
    </row>
    <row r="984" spans="7:8" hidden="1" x14ac:dyDescent="0.4">
      <c r="G984" s="32">
        <v>980</v>
      </c>
      <c r="H984" s="33">
        <v>1650.7054244071651</v>
      </c>
    </row>
    <row r="985" spans="7:8" hidden="1" x14ac:dyDescent="0.4">
      <c r="G985" s="32">
        <v>981</v>
      </c>
      <c r="H985" s="33">
        <v>2678.5195999190987</v>
      </c>
    </row>
    <row r="986" spans="7:8" hidden="1" x14ac:dyDescent="0.4">
      <c r="G986" s="32">
        <v>982</v>
      </c>
      <c r="H986" s="33">
        <v>1261.0084183290303</v>
      </c>
    </row>
    <row r="987" spans="7:8" hidden="1" x14ac:dyDescent="0.4">
      <c r="G987" s="32">
        <v>983</v>
      </c>
      <c r="H987" s="33">
        <v>4105.5408455290544</v>
      </c>
    </row>
    <row r="988" spans="7:8" hidden="1" x14ac:dyDescent="0.4">
      <c r="G988" s="32">
        <v>984</v>
      </c>
      <c r="H988" s="33">
        <v>1234.2624223969351</v>
      </c>
    </row>
    <row r="989" spans="7:8" hidden="1" x14ac:dyDescent="0.4">
      <c r="G989" s="32">
        <v>985</v>
      </c>
      <c r="H989" s="33">
        <v>1674.6465638504851</v>
      </c>
    </row>
    <row r="990" spans="7:8" hidden="1" x14ac:dyDescent="0.4">
      <c r="G990" s="32">
        <v>986</v>
      </c>
      <c r="H990" s="33">
        <v>-864.82933456585647</v>
      </c>
    </row>
    <row r="991" spans="7:8" hidden="1" x14ac:dyDescent="0.4">
      <c r="G991" s="32">
        <v>987</v>
      </c>
      <c r="H991" s="33">
        <v>2718.8426260957003</v>
      </c>
    </row>
    <row r="992" spans="7:8" hidden="1" x14ac:dyDescent="0.4">
      <c r="G992" s="32">
        <v>988</v>
      </c>
      <c r="H992" s="33">
        <v>4662.6061870465919</v>
      </c>
    </row>
    <row r="993" spans="7:8" hidden="1" x14ac:dyDescent="0.4">
      <c r="G993" s="32">
        <v>989</v>
      </c>
      <c r="H993" s="33">
        <v>2532.5394895081122</v>
      </c>
    </row>
    <row r="994" spans="7:8" hidden="1" x14ac:dyDescent="0.4">
      <c r="G994" s="32">
        <v>990</v>
      </c>
      <c r="H994" s="33">
        <v>1363.9841047886348</v>
      </c>
    </row>
    <row r="995" spans="7:8" hidden="1" x14ac:dyDescent="0.4">
      <c r="G995" s="32">
        <v>991</v>
      </c>
      <c r="H995" s="33">
        <v>987.91355383774794</v>
      </c>
    </row>
    <row r="996" spans="7:8" hidden="1" x14ac:dyDescent="0.4">
      <c r="G996" s="32">
        <v>992</v>
      </c>
      <c r="H996" s="33">
        <v>-1437.2085101514604</v>
      </c>
    </row>
    <row r="997" spans="7:8" hidden="1" x14ac:dyDescent="0.4">
      <c r="G997" s="32">
        <v>993</v>
      </c>
      <c r="H997" s="33">
        <v>3848.3722825860013</v>
      </c>
    </row>
    <row r="998" spans="7:8" hidden="1" x14ac:dyDescent="0.4">
      <c r="G998" s="32">
        <v>994</v>
      </c>
      <c r="H998" s="33">
        <v>2921.2246495324111</v>
      </c>
    </row>
    <row r="999" spans="7:8" hidden="1" x14ac:dyDescent="0.4">
      <c r="G999" s="32">
        <v>995</v>
      </c>
      <c r="H999" s="33">
        <v>105.54187963458115</v>
      </c>
    </row>
    <row r="1000" spans="7:8" hidden="1" x14ac:dyDescent="0.4">
      <c r="G1000" s="32">
        <v>996</v>
      </c>
      <c r="H1000" s="33">
        <v>-12.268152097484091</v>
      </c>
    </row>
    <row r="1001" spans="7:8" hidden="1" x14ac:dyDescent="0.4">
      <c r="G1001" s="32">
        <v>997</v>
      </c>
      <c r="H1001" s="33">
        <v>2573.9815777891235</v>
      </c>
    </row>
    <row r="1002" spans="7:8" hidden="1" x14ac:dyDescent="0.4">
      <c r="G1002" s="32">
        <v>998</v>
      </c>
      <c r="H1002" s="33">
        <v>882.11030984199203</v>
      </c>
    </row>
    <row r="1003" spans="7:8" x14ac:dyDescent="0.4">
      <c r="G1003" s="32">
        <v>999</v>
      </c>
      <c r="H1003" s="33">
        <v>1427.5776057585581</v>
      </c>
    </row>
    <row r="1004" spans="7:8" x14ac:dyDescent="0.4">
      <c r="G1004" s="32">
        <v>1000</v>
      </c>
      <c r="H1004" s="33">
        <v>1170.7897338962998</v>
      </c>
    </row>
    <row r="1005" spans="7:8" x14ac:dyDescent="0.4">
      <c r="G1005" s="23"/>
    </row>
    <row r="1006" spans="7:8" x14ac:dyDescent="0.4">
      <c r="G1006" s="23"/>
    </row>
    <row r="1007" spans="7:8" x14ac:dyDescent="0.4">
      <c r="G1007" s="23"/>
    </row>
    <row r="1008" spans="7:8" x14ac:dyDescent="0.4">
      <c r="G1008" s="23"/>
    </row>
    <row r="1009" spans="7:7" x14ac:dyDescent="0.4">
      <c r="G1009" s="23"/>
    </row>
    <row r="1010" spans="7:7" x14ac:dyDescent="0.4">
      <c r="G1010" s="23"/>
    </row>
    <row r="1011" spans="7:7" x14ac:dyDescent="0.4">
      <c r="G1011" s="23"/>
    </row>
    <row r="1012" spans="7:7" x14ac:dyDescent="0.4">
      <c r="G1012" s="23"/>
    </row>
    <row r="1013" spans="7:7" x14ac:dyDescent="0.4">
      <c r="G1013" s="23"/>
    </row>
    <row r="1014" spans="7:7" x14ac:dyDescent="0.4">
      <c r="G1014" s="23"/>
    </row>
    <row r="1015" spans="7:7" x14ac:dyDescent="0.4">
      <c r="G1015" s="23"/>
    </row>
    <row r="1016" spans="7:7" x14ac:dyDescent="0.4">
      <c r="G1016" s="23"/>
    </row>
    <row r="1017" spans="7:7" x14ac:dyDescent="0.4">
      <c r="G1017" s="23"/>
    </row>
    <row r="1018" spans="7:7" x14ac:dyDescent="0.4">
      <c r="G1018" s="23"/>
    </row>
    <row r="1019" spans="7:7" x14ac:dyDescent="0.4">
      <c r="G1019" s="23"/>
    </row>
    <row r="1020" spans="7:7" x14ac:dyDescent="0.4">
      <c r="G1020" s="23"/>
    </row>
    <row r="1021" spans="7:7" x14ac:dyDescent="0.4">
      <c r="G1021" s="23"/>
    </row>
    <row r="1022" spans="7:7" x14ac:dyDescent="0.4">
      <c r="G1022" s="23"/>
    </row>
    <row r="1023" spans="7:7" x14ac:dyDescent="0.4">
      <c r="G1023" s="23"/>
    </row>
    <row r="1024" spans="7:7" x14ac:dyDescent="0.4">
      <c r="G1024" s="23"/>
    </row>
    <row r="1025" spans="7:7" x14ac:dyDescent="0.4">
      <c r="G1025" s="23"/>
    </row>
    <row r="1026" spans="7:7" x14ac:dyDescent="0.4">
      <c r="G1026" s="23"/>
    </row>
    <row r="1027" spans="7:7" x14ac:dyDescent="0.4">
      <c r="G1027" s="23"/>
    </row>
    <row r="1028" spans="7:7" x14ac:dyDescent="0.4">
      <c r="G1028" s="23"/>
    </row>
    <row r="1029" spans="7:7" x14ac:dyDescent="0.4">
      <c r="G1029" s="23"/>
    </row>
    <row r="1030" spans="7:7" x14ac:dyDescent="0.4">
      <c r="G1030" s="23"/>
    </row>
    <row r="1031" spans="7:7" x14ac:dyDescent="0.4">
      <c r="G1031" s="23"/>
    </row>
    <row r="1032" spans="7:7" x14ac:dyDescent="0.4">
      <c r="G1032" s="23"/>
    </row>
    <row r="1033" spans="7:7" x14ac:dyDescent="0.4">
      <c r="G1033" s="23"/>
    </row>
    <row r="1034" spans="7:7" x14ac:dyDescent="0.4">
      <c r="G1034" s="23"/>
    </row>
    <row r="1035" spans="7:7" x14ac:dyDescent="0.4">
      <c r="G1035" s="23"/>
    </row>
    <row r="1036" spans="7:7" x14ac:dyDescent="0.4">
      <c r="G1036" s="23"/>
    </row>
    <row r="1037" spans="7:7" x14ac:dyDescent="0.4">
      <c r="G1037" s="23"/>
    </row>
    <row r="1038" spans="7:7" x14ac:dyDescent="0.4">
      <c r="G1038" s="23"/>
    </row>
    <row r="1039" spans="7:7" x14ac:dyDescent="0.4">
      <c r="G1039" s="23"/>
    </row>
    <row r="1040" spans="7:7" x14ac:dyDescent="0.4">
      <c r="G1040" s="23"/>
    </row>
    <row r="1041" spans="7:7" x14ac:dyDescent="0.4">
      <c r="G1041" s="23"/>
    </row>
    <row r="1042" spans="7:7" x14ac:dyDescent="0.4">
      <c r="G1042" s="23"/>
    </row>
    <row r="1043" spans="7:7" x14ac:dyDescent="0.4">
      <c r="G1043" s="23"/>
    </row>
    <row r="1044" spans="7:7" x14ac:dyDescent="0.4">
      <c r="G1044" s="23"/>
    </row>
    <row r="1045" spans="7:7" x14ac:dyDescent="0.4">
      <c r="G1045" s="23"/>
    </row>
    <row r="1046" spans="7:7" x14ac:dyDescent="0.4">
      <c r="G1046" s="23"/>
    </row>
    <row r="1047" spans="7:7" x14ac:dyDescent="0.4">
      <c r="G1047" s="23"/>
    </row>
    <row r="1048" spans="7:7" x14ac:dyDescent="0.4">
      <c r="G1048" s="23"/>
    </row>
    <row r="1049" spans="7:7" x14ac:dyDescent="0.4">
      <c r="G1049" s="23"/>
    </row>
    <row r="1050" spans="7:7" x14ac:dyDescent="0.4">
      <c r="G1050" s="23"/>
    </row>
    <row r="1051" spans="7:7" x14ac:dyDescent="0.4">
      <c r="G1051" s="23"/>
    </row>
    <row r="1052" spans="7:7" x14ac:dyDescent="0.4">
      <c r="G1052" s="23"/>
    </row>
    <row r="1053" spans="7:7" x14ac:dyDescent="0.4">
      <c r="G1053" s="23"/>
    </row>
    <row r="1054" spans="7:7" x14ac:dyDescent="0.4">
      <c r="G1054" s="23"/>
    </row>
    <row r="1055" spans="7:7" x14ac:dyDescent="0.4">
      <c r="G1055" s="23"/>
    </row>
    <row r="1056" spans="7:7" x14ac:dyDescent="0.4">
      <c r="G1056" s="23"/>
    </row>
    <row r="1057" spans="7:7" x14ac:dyDescent="0.4">
      <c r="G1057" s="23"/>
    </row>
    <row r="1058" spans="7:7" x14ac:dyDescent="0.4">
      <c r="G1058" s="23"/>
    </row>
    <row r="1059" spans="7:7" x14ac:dyDescent="0.4">
      <c r="G1059" s="23"/>
    </row>
    <row r="1060" spans="7:7" x14ac:dyDescent="0.4">
      <c r="G1060" s="23"/>
    </row>
    <row r="1061" spans="7:7" x14ac:dyDescent="0.4">
      <c r="G1061" s="23"/>
    </row>
    <row r="1062" spans="7:7" x14ac:dyDescent="0.4">
      <c r="G1062" s="23"/>
    </row>
    <row r="1063" spans="7:7" x14ac:dyDescent="0.4">
      <c r="G1063" s="23"/>
    </row>
    <row r="1064" spans="7:7" x14ac:dyDescent="0.4">
      <c r="G1064" s="23"/>
    </row>
    <row r="1065" spans="7:7" x14ac:dyDescent="0.4">
      <c r="G1065" s="23"/>
    </row>
    <row r="1066" spans="7:7" x14ac:dyDescent="0.4">
      <c r="G1066" s="23"/>
    </row>
    <row r="1067" spans="7:7" x14ac:dyDescent="0.4">
      <c r="G1067" s="23"/>
    </row>
    <row r="1068" spans="7:7" x14ac:dyDescent="0.4">
      <c r="G1068" s="23"/>
    </row>
    <row r="1069" spans="7:7" x14ac:dyDescent="0.4">
      <c r="G1069" s="23"/>
    </row>
    <row r="1070" spans="7:7" x14ac:dyDescent="0.4">
      <c r="G1070" s="23"/>
    </row>
    <row r="1071" spans="7:7" x14ac:dyDescent="0.4">
      <c r="G1071" s="23"/>
    </row>
    <row r="1072" spans="7:7" x14ac:dyDescent="0.4">
      <c r="G1072" s="23"/>
    </row>
    <row r="1073" spans="7:7" x14ac:dyDescent="0.4">
      <c r="G1073" s="23"/>
    </row>
    <row r="1074" spans="7:7" x14ac:dyDescent="0.4">
      <c r="G1074" s="23"/>
    </row>
    <row r="1075" spans="7:7" x14ac:dyDescent="0.4">
      <c r="G1075" s="23"/>
    </row>
    <row r="1076" spans="7:7" x14ac:dyDescent="0.4">
      <c r="G1076" s="23"/>
    </row>
    <row r="1077" spans="7:7" x14ac:dyDescent="0.4">
      <c r="G1077" s="23"/>
    </row>
    <row r="1078" spans="7:7" x14ac:dyDescent="0.4">
      <c r="G1078" s="23"/>
    </row>
    <row r="1079" spans="7:7" x14ac:dyDescent="0.4">
      <c r="G1079" s="23"/>
    </row>
    <row r="1080" spans="7:7" x14ac:dyDescent="0.4">
      <c r="G1080" s="23"/>
    </row>
    <row r="1081" spans="7:7" x14ac:dyDescent="0.4">
      <c r="G1081" s="23"/>
    </row>
    <row r="1082" spans="7:7" x14ac:dyDescent="0.4">
      <c r="G1082" s="23"/>
    </row>
    <row r="1083" spans="7:7" x14ac:dyDescent="0.4">
      <c r="G1083" s="23"/>
    </row>
    <row r="1084" spans="7:7" x14ac:dyDescent="0.4">
      <c r="G1084" s="23"/>
    </row>
    <row r="1085" spans="7:7" x14ac:dyDescent="0.4">
      <c r="G1085" s="23"/>
    </row>
    <row r="1086" spans="7:7" x14ac:dyDescent="0.4">
      <c r="G1086" s="23"/>
    </row>
    <row r="1087" spans="7:7" x14ac:dyDescent="0.4">
      <c r="G1087" s="23"/>
    </row>
    <row r="1088" spans="7:7" x14ac:dyDescent="0.4">
      <c r="G1088" s="23"/>
    </row>
    <row r="1089" spans="7:7" x14ac:dyDescent="0.4">
      <c r="G1089" s="23"/>
    </row>
    <row r="1090" spans="7:7" x14ac:dyDescent="0.4">
      <c r="G1090" s="23"/>
    </row>
    <row r="1091" spans="7:7" x14ac:dyDescent="0.4">
      <c r="G1091" s="23"/>
    </row>
    <row r="1092" spans="7:7" x14ac:dyDescent="0.4">
      <c r="G1092" s="23"/>
    </row>
    <row r="1093" spans="7:7" x14ac:dyDescent="0.4">
      <c r="G1093" s="23"/>
    </row>
    <row r="1094" spans="7:7" x14ac:dyDescent="0.4">
      <c r="G1094" s="23"/>
    </row>
    <row r="1095" spans="7:7" x14ac:dyDescent="0.4">
      <c r="G1095" s="23"/>
    </row>
    <row r="1096" spans="7:7" x14ac:dyDescent="0.4">
      <c r="G1096" s="23"/>
    </row>
    <row r="1097" spans="7:7" x14ac:dyDescent="0.4">
      <c r="G1097" s="23"/>
    </row>
    <row r="1098" spans="7:7" x14ac:dyDescent="0.4">
      <c r="G1098" s="23"/>
    </row>
    <row r="1099" spans="7:7" x14ac:dyDescent="0.4">
      <c r="G1099" s="23"/>
    </row>
    <row r="1100" spans="7:7" x14ac:dyDescent="0.4">
      <c r="G1100" s="23"/>
    </row>
    <row r="1101" spans="7:7" x14ac:dyDescent="0.4">
      <c r="G1101" s="23"/>
    </row>
    <row r="1102" spans="7:7" x14ac:dyDescent="0.4">
      <c r="G1102" s="23"/>
    </row>
    <row r="1103" spans="7:7" x14ac:dyDescent="0.4">
      <c r="G1103" s="23"/>
    </row>
    <row r="1104" spans="7:7" x14ac:dyDescent="0.4">
      <c r="G1104" s="23"/>
    </row>
    <row r="1105" spans="7:7" x14ac:dyDescent="0.4">
      <c r="G1105" s="23"/>
    </row>
    <row r="1106" spans="7:7" x14ac:dyDescent="0.4">
      <c r="G1106" s="23"/>
    </row>
    <row r="1107" spans="7:7" x14ac:dyDescent="0.4">
      <c r="G1107" s="23"/>
    </row>
    <row r="1108" spans="7:7" x14ac:dyDescent="0.4">
      <c r="G1108" s="23"/>
    </row>
    <row r="1109" spans="7:7" x14ac:dyDescent="0.4">
      <c r="G1109" s="23"/>
    </row>
    <row r="1110" spans="7:7" x14ac:dyDescent="0.4">
      <c r="G1110" s="23"/>
    </row>
    <row r="1111" spans="7:7" x14ac:dyDescent="0.4">
      <c r="G1111" s="23"/>
    </row>
    <row r="1112" spans="7:7" x14ac:dyDescent="0.4">
      <c r="G1112" s="23"/>
    </row>
    <row r="1113" spans="7:7" x14ac:dyDescent="0.4">
      <c r="G1113" s="23"/>
    </row>
    <row r="1114" spans="7:7" x14ac:dyDescent="0.4">
      <c r="G1114" s="23"/>
    </row>
    <row r="1115" spans="7:7" x14ac:dyDescent="0.4">
      <c r="G1115" s="23"/>
    </row>
    <row r="1116" spans="7:7" x14ac:dyDescent="0.4">
      <c r="G1116" s="23"/>
    </row>
    <row r="1117" spans="7:7" x14ac:dyDescent="0.4">
      <c r="G1117" s="23"/>
    </row>
    <row r="1118" spans="7:7" x14ac:dyDescent="0.4">
      <c r="G1118" s="23"/>
    </row>
    <row r="1119" spans="7:7" x14ac:dyDescent="0.4">
      <c r="G1119" s="23"/>
    </row>
    <row r="1120" spans="7:7" x14ac:dyDescent="0.4">
      <c r="G1120" s="23"/>
    </row>
    <row r="1121" spans="7:7" x14ac:dyDescent="0.4">
      <c r="G1121" s="23"/>
    </row>
    <row r="1122" spans="7:7" x14ac:dyDescent="0.4">
      <c r="G1122" s="23"/>
    </row>
    <row r="1123" spans="7:7" x14ac:dyDescent="0.4">
      <c r="G1123" s="23"/>
    </row>
    <row r="1124" spans="7:7" x14ac:dyDescent="0.4">
      <c r="G1124" s="23"/>
    </row>
    <row r="1125" spans="7:7" x14ac:dyDescent="0.4">
      <c r="G1125" s="23"/>
    </row>
    <row r="1126" spans="7:7" x14ac:dyDescent="0.4">
      <c r="G1126" s="23"/>
    </row>
    <row r="1127" spans="7:7" x14ac:dyDescent="0.4">
      <c r="G1127" s="23"/>
    </row>
    <row r="1128" spans="7:7" x14ac:dyDescent="0.4">
      <c r="G1128" s="23"/>
    </row>
    <row r="1129" spans="7:7" x14ac:dyDescent="0.4">
      <c r="G1129" s="23"/>
    </row>
    <row r="1130" spans="7:7" x14ac:dyDescent="0.4">
      <c r="G1130" s="23"/>
    </row>
    <row r="1131" spans="7:7" x14ac:dyDescent="0.4">
      <c r="G1131" s="23"/>
    </row>
    <row r="1132" spans="7:7" x14ac:dyDescent="0.4">
      <c r="G1132" s="23"/>
    </row>
    <row r="1133" spans="7:7" x14ac:dyDescent="0.4">
      <c r="G1133" s="23"/>
    </row>
    <row r="1134" spans="7:7" x14ac:dyDescent="0.4">
      <c r="G1134" s="23"/>
    </row>
    <row r="1135" spans="7:7" x14ac:dyDescent="0.4">
      <c r="G1135" s="23"/>
    </row>
    <row r="1136" spans="7:7" x14ac:dyDescent="0.4">
      <c r="G1136" s="23"/>
    </row>
    <row r="1137" spans="7:7" x14ac:dyDescent="0.4">
      <c r="G1137" s="23"/>
    </row>
    <row r="1138" spans="7:7" x14ac:dyDescent="0.4">
      <c r="G1138" s="23"/>
    </row>
    <row r="1139" spans="7:7" x14ac:dyDescent="0.4">
      <c r="G1139" s="23"/>
    </row>
    <row r="1140" spans="7:7" x14ac:dyDescent="0.4">
      <c r="G1140" s="23"/>
    </row>
    <row r="1141" spans="7:7" x14ac:dyDescent="0.4">
      <c r="G1141" s="23"/>
    </row>
    <row r="1142" spans="7:7" x14ac:dyDescent="0.4">
      <c r="G1142" s="23"/>
    </row>
    <row r="1143" spans="7:7" x14ac:dyDescent="0.4">
      <c r="G1143" s="23"/>
    </row>
    <row r="1144" spans="7:7" x14ac:dyDescent="0.4">
      <c r="G1144" s="23"/>
    </row>
    <row r="1145" spans="7:7" x14ac:dyDescent="0.4">
      <c r="G1145" s="23"/>
    </row>
    <row r="1146" spans="7:7" x14ac:dyDescent="0.4">
      <c r="G1146" s="23"/>
    </row>
    <row r="1147" spans="7:7" x14ac:dyDescent="0.4">
      <c r="G1147" s="23"/>
    </row>
    <row r="1148" spans="7:7" x14ac:dyDescent="0.4">
      <c r="G1148" s="23"/>
    </row>
    <row r="1149" spans="7:7" x14ac:dyDescent="0.4">
      <c r="G1149" s="23"/>
    </row>
    <row r="1150" spans="7:7" x14ac:dyDescent="0.4">
      <c r="G1150" s="23"/>
    </row>
    <row r="1151" spans="7:7" x14ac:dyDescent="0.4">
      <c r="G1151" s="23"/>
    </row>
    <row r="1152" spans="7:7" x14ac:dyDescent="0.4">
      <c r="G1152" s="23"/>
    </row>
    <row r="1153" spans="7:7" x14ac:dyDescent="0.4">
      <c r="G1153" s="23"/>
    </row>
    <row r="1154" spans="7:7" x14ac:dyDescent="0.4">
      <c r="G1154" s="23"/>
    </row>
    <row r="1155" spans="7:7" x14ac:dyDescent="0.4">
      <c r="G1155" s="23"/>
    </row>
    <row r="1156" spans="7:7" x14ac:dyDescent="0.4">
      <c r="G1156" s="23"/>
    </row>
    <row r="1157" spans="7:7" x14ac:dyDescent="0.4">
      <c r="G1157" s="23"/>
    </row>
    <row r="1158" spans="7:7" x14ac:dyDescent="0.4">
      <c r="G1158" s="23"/>
    </row>
    <row r="1159" spans="7:7" x14ac:dyDescent="0.4">
      <c r="G1159" s="23"/>
    </row>
    <row r="1160" spans="7:7" x14ac:dyDescent="0.4">
      <c r="G1160" s="23"/>
    </row>
    <row r="1161" spans="7:7" x14ac:dyDescent="0.4">
      <c r="G1161" s="23"/>
    </row>
    <row r="1162" spans="7:7" x14ac:dyDescent="0.4">
      <c r="G1162" s="23"/>
    </row>
    <row r="1163" spans="7:7" x14ac:dyDescent="0.4">
      <c r="G1163" s="23"/>
    </row>
    <row r="1164" spans="7:7" x14ac:dyDescent="0.4">
      <c r="G1164" s="23"/>
    </row>
    <row r="1165" spans="7:7" x14ac:dyDescent="0.4">
      <c r="G1165" s="23"/>
    </row>
    <row r="1166" spans="7:7" x14ac:dyDescent="0.4">
      <c r="G1166" s="23"/>
    </row>
    <row r="1167" spans="7:7" x14ac:dyDescent="0.4">
      <c r="G1167" s="23"/>
    </row>
    <row r="1168" spans="7:7" x14ac:dyDescent="0.4">
      <c r="G1168" s="23"/>
    </row>
    <row r="1169" spans="7:7" x14ac:dyDescent="0.4">
      <c r="G1169" s="23"/>
    </row>
    <row r="1170" spans="7:7" x14ac:dyDescent="0.4">
      <c r="G1170" s="23"/>
    </row>
    <row r="1171" spans="7:7" x14ac:dyDescent="0.4">
      <c r="G1171" s="23"/>
    </row>
    <row r="1172" spans="7:7" x14ac:dyDescent="0.4">
      <c r="G1172" s="23"/>
    </row>
    <row r="1173" spans="7:7" x14ac:dyDescent="0.4">
      <c r="G1173" s="23"/>
    </row>
    <row r="1174" spans="7:7" x14ac:dyDescent="0.4">
      <c r="G1174" s="23"/>
    </row>
    <row r="1175" spans="7:7" x14ac:dyDescent="0.4">
      <c r="G1175" s="23"/>
    </row>
    <row r="1176" spans="7:7" x14ac:dyDescent="0.4">
      <c r="G1176" s="23"/>
    </row>
    <row r="1177" spans="7:7" x14ac:dyDescent="0.4">
      <c r="G1177" s="23"/>
    </row>
    <row r="1178" spans="7:7" x14ac:dyDescent="0.4">
      <c r="G1178" s="23"/>
    </row>
    <row r="1179" spans="7:7" x14ac:dyDescent="0.4">
      <c r="G1179" s="23"/>
    </row>
    <row r="1180" spans="7:7" x14ac:dyDescent="0.4">
      <c r="G1180" s="23"/>
    </row>
    <row r="1181" spans="7:7" x14ac:dyDescent="0.4">
      <c r="G1181" s="23"/>
    </row>
    <row r="1182" spans="7:7" x14ac:dyDescent="0.4">
      <c r="G1182" s="23"/>
    </row>
    <row r="1183" spans="7:7" x14ac:dyDescent="0.4">
      <c r="G1183" s="23"/>
    </row>
    <row r="1184" spans="7:7" x14ac:dyDescent="0.4">
      <c r="G1184" s="23"/>
    </row>
    <row r="1185" spans="7:7" x14ac:dyDescent="0.4">
      <c r="G1185" s="23"/>
    </row>
    <row r="1186" spans="7:7" x14ac:dyDescent="0.4">
      <c r="G1186" s="23"/>
    </row>
    <row r="1187" spans="7:7" x14ac:dyDescent="0.4">
      <c r="G1187" s="23"/>
    </row>
    <row r="1188" spans="7:7" x14ac:dyDescent="0.4">
      <c r="G1188" s="23"/>
    </row>
    <row r="1189" spans="7:7" x14ac:dyDescent="0.4">
      <c r="G1189" s="23"/>
    </row>
    <row r="1190" spans="7:7" x14ac:dyDescent="0.4">
      <c r="G1190" s="23"/>
    </row>
    <row r="1191" spans="7:7" x14ac:dyDescent="0.4">
      <c r="G1191" s="23"/>
    </row>
    <row r="1192" spans="7:7" x14ac:dyDescent="0.4">
      <c r="G1192" s="23"/>
    </row>
    <row r="1193" spans="7:7" x14ac:dyDescent="0.4">
      <c r="G1193" s="23"/>
    </row>
    <row r="1194" spans="7:7" x14ac:dyDescent="0.4">
      <c r="G1194" s="23"/>
    </row>
    <row r="1195" spans="7:7" x14ac:dyDescent="0.4">
      <c r="G1195" s="23"/>
    </row>
    <row r="1196" spans="7:7" x14ac:dyDescent="0.4">
      <c r="G1196" s="23"/>
    </row>
    <row r="1197" spans="7:7" x14ac:dyDescent="0.4">
      <c r="G1197" s="23"/>
    </row>
    <row r="1198" spans="7:7" x14ac:dyDescent="0.4">
      <c r="G1198" s="23"/>
    </row>
    <row r="1199" spans="7:7" x14ac:dyDescent="0.4">
      <c r="G1199" s="23"/>
    </row>
    <row r="1200" spans="7:7" x14ac:dyDescent="0.4">
      <c r="G1200" s="23"/>
    </row>
    <row r="1201" spans="7:7" x14ac:dyDescent="0.4">
      <c r="G1201" s="23"/>
    </row>
    <row r="1202" spans="7:7" x14ac:dyDescent="0.4">
      <c r="G1202" s="23"/>
    </row>
    <row r="1203" spans="7:7" x14ac:dyDescent="0.4">
      <c r="G1203" s="23"/>
    </row>
    <row r="1204" spans="7:7" x14ac:dyDescent="0.4">
      <c r="G1204" s="23"/>
    </row>
    <row r="1205" spans="7:7" x14ac:dyDescent="0.4">
      <c r="G1205" s="23"/>
    </row>
    <row r="1206" spans="7:7" x14ac:dyDescent="0.4">
      <c r="G1206" s="23"/>
    </row>
    <row r="1207" spans="7:7" x14ac:dyDescent="0.4">
      <c r="G1207" s="23"/>
    </row>
    <row r="1208" spans="7:7" x14ac:dyDescent="0.4">
      <c r="G1208" s="23"/>
    </row>
    <row r="1209" spans="7:7" x14ac:dyDescent="0.4">
      <c r="G1209" s="23"/>
    </row>
    <row r="1210" spans="7:7" x14ac:dyDescent="0.4">
      <c r="G1210" s="23"/>
    </row>
    <row r="1211" spans="7:7" x14ac:dyDescent="0.4">
      <c r="G1211" s="23"/>
    </row>
    <row r="1212" spans="7:7" x14ac:dyDescent="0.4">
      <c r="G1212" s="23"/>
    </row>
    <row r="1213" spans="7:7" x14ac:dyDescent="0.4">
      <c r="G1213" s="23"/>
    </row>
    <row r="1214" spans="7:7" x14ac:dyDescent="0.4">
      <c r="G1214" s="23"/>
    </row>
    <row r="1215" spans="7:7" x14ac:dyDescent="0.4">
      <c r="G1215" s="23"/>
    </row>
    <row r="1216" spans="7:7" x14ac:dyDescent="0.4">
      <c r="G1216" s="23"/>
    </row>
    <row r="1217" spans="7:7" x14ac:dyDescent="0.4">
      <c r="G1217" s="23"/>
    </row>
    <row r="1218" spans="7:7" x14ac:dyDescent="0.4">
      <c r="G1218" s="23"/>
    </row>
    <row r="1219" spans="7:7" x14ac:dyDescent="0.4">
      <c r="G1219" s="23"/>
    </row>
    <row r="1220" spans="7:7" x14ac:dyDescent="0.4">
      <c r="G1220" s="23"/>
    </row>
    <row r="1221" spans="7:7" x14ac:dyDescent="0.4">
      <c r="G1221" s="23"/>
    </row>
    <row r="1222" spans="7:7" x14ac:dyDescent="0.4">
      <c r="G1222" s="23"/>
    </row>
    <row r="1223" spans="7:7" x14ac:dyDescent="0.4">
      <c r="G1223" s="23"/>
    </row>
    <row r="1224" spans="7:7" x14ac:dyDescent="0.4">
      <c r="G1224" s="23"/>
    </row>
    <row r="1225" spans="7:7" x14ac:dyDescent="0.4">
      <c r="G1225" s="23"/>
    </row>
    <row r="1226" spans="7:7" x14ac:dyDescent="0.4">
      <c r="G1226" s="23"/>
    </row>
    <row r="1227" spans="7:7" x14ac:dyDescent="0.4">
      <c r="G1227" s="23"/>
    </row>
    <row r="1228" spans="7:7" x14ac:dyDescent="0.4">
      <c r="G1228" s="23"/>
    </row>
    <row r="1229" spans="7:7" x14ac:dyDescent="0.4">
      <c r="G1229" s="23"/>
    </row>
    <row r="1230" spans="7:7" x14ac:dyDescent="0.4">
      <c r="G1230" s="23"/>
    </row>
    <row r="1231" spans="7:7" x14ac:dyDescent="0.4">
      <c r="G1231" s="23"/>
    </row>
    <row r="1232" spans="7:7" x14ac:dyDescent="0.4">
      <c r="G1232" s="23"/>
    </row>
    <row r="1233" spans="7:7" x14ac:dyDescent="0.4">
      <c r="G1233" s="23"/>
    </row>
    <row r="1234" spans="7:7" x14ac:dyDescent="0.4">
      <c r="G1234" s="23"/>
    </row>
    <row r="1235" spans="7:7" x14ac:dyDescent="0.4">
      <c r="G1235" s="23"/>
    </row>
    <row r="1236" spans="7:7" x14ac:dyDescent="0.4">
      <c r="G1236" s="23"/>
    </row>
    <row r="1237" spans="7:7" x14ac:dyDescent="0.4">
      <c r="G1237" s="23"/>
    </row>
    <row r="1238" spans="7:7" x14ac:dyDescent="0.4">
      <c r="G1238" s="23"/>
    </row>
    <row r="1239" spans="7:7" x14ac:dyDescent="0.4">
      <c r="G1239" s="23"/>
    </row>
    <row r="1240" spans="7:7" x14ac:dyDescent="0.4">
      <c r="G1240" s="23"/>
    </row>
    <row r="1241" spans="7:7" x14ac:dyDescent="0.4">
      <c r="G1241" s="23"/>
    </row>
    <row r="1242" spans="7:7" x14ac:dyDescent="0.4">
      <c r="G1242" s="23"/>
    </row>
    <row r="1243" spans="7:7" x14ac:dyDescent="0.4">
      <c r="G1243" s="23"/>
    </row>
    <row r="1244" spans="7:7" x14ac:dyDescent="0.4">
      <c r="G1244" s="23"/>
    </row>
    <row r="1245" spans="7:7" x14ac:dyDescent="0.4">
      <c r="G1245" s="23"/>
    </row>
    <row r="1246" spans="7:7" x14ac:dyDescent="0.4">
      <c r="G1246" s="23"/>
    </row>
    <row r="1247" spans="7:7" x14ac:dyDescent="0.4">
      <c r="G1247" s="23"/>
    </row>
    <row r="1248" spans="7:7" x14ac:dyDescent="0.4">
      <c r="G1248" s="23"/>
    </row>
    <row r="1249" spans="7:7" x14ac:dyDescent="0.4">
      <c r="G1249" s="23"/>
    </row>
    <row r="1250" spans="7:7" x14ac:dyDescent="0.4">
      <c r="G1250" s="23"/>
    </row>
    <row r="1251" spans="7:7" x14ac:dyDescent="0.4">
      <c r="G1251" s="23"/>
    </row>
    <row r="1252" spans="7:7" x14ac:dyDescent="0.4">
      <c r="G1252" s="23"/>
    </row>
    <row r="1253" spans="7:7" x14ac:dyDescent="0.4">
      <c r="G1253" s="23"/>
    </row>
    <row r="1254" spans="7:7" x14ac:dyDescent="0.4">
      <c r="G1254" s="23"/>
    </row>
    <row r="1255" spans="7:7" x14ac:dyDescent="0.4">
      <c r="G1255" s="23"/>
    </row>
    <row r="1256" spans="7:7" x14ac:dyDescent="0.4">
      <c r="G1256" s="23"/>
    </row>
    <row r="1257" spans="7:7" x14ac:dyDescent="0.4">
      <c r="G1257" s="23"/>
    </row>
    <row r="1258" spans="7:7" x14ac:dyDescent="0.4">
      <c r="G1258" s="23"/>
    </row>
    <row r="1259" spans="7:7" x14ac:dyDescent="0.4">
      <c r="G1259" s="23"/>
    </row>
    <row r="1260" spans="7:7" x14ac:dyDescent="0.4">
      <c r="G1260" s="23"/>
    </row>
    <row r="1261" spans="7:7" x14ac:dyDescent="0.4">
      <c r="G1261" s="23"/>
    </row>
    <row r="1262" spans="7:7" x14ac:dyDescent="0.4">
      <c r="G1262" s="23"/>
    </row>
    <row r="1263" spans="7:7" x14ac:dyDescent="0.4">
      <c r="G1263" s="23"/>
    </row>
    <row r="1264" spans="7:7" x14ac:dyDescent="0.4">
      <c r="G1264" s="23"/>
    </row>
    <row r="1265" spans="7:7" x14ac:dyDescent="0.4">
      <c r="G1265" s="23"/>
    </row>
    <row r="1266" spans="7:7" x14ac:dyDescent="0.4">
      <c r="G1266" s="23"/>
    </row>
    <row r="1267" spans="7:7" x14ac:dyDescent="0.4">
      <c r="G1267" s="23"/>
    </row>
    <row r="1268" spans="7:7" x14ac:dyDescent="0.4">
      <c r="G1268" s="23"/>
    </row>
    <row r="1269" spans="7:7" x14ac:dyDescent="0.4">
      <c r="G1269" s="23"/>
    </row>
    <row r="1270" spans="7:7" x14ac:dyDescent="0.4">
      <c r="G1270" s="23"/>
    </row>
    <row r="1271" spans="7:7" x14ac:dyDescent="0.4">
      <c r="G1271" s="23"/>
    </row>
    <row r="1272" spans="7:7" x14ac:dyDescent="0.4">
      <c r="G1272" s="23"/>
    </row>
    <row r="1273" spans="7:7" x14ac:dyDescent="0.4">
      <c r="G1273" s="23"/>
    </row>
    <row r="1274" spans="7:7" x14ac:dyDescent="0.4">
      <c r="G1274" s="23"/>
    </row>
    <row r="1275" spans="7:7" x14ac:dyDescent="0.4">
      <c r="G1275" s="23"/>
    </row>
    <row r="1276" spans="7:7" x14ac:dyDescent="0.4">
      <c r="G1276" s="23"/>
    </row>
    <row r="1277" spans="7:7" x14ac:dyDescent="0.4">
      <c r="G1277" s="23"/>
    </row>
    <row r="1278" spans="7:7" x14ac:dyDescent="0.4">
      <c r="G1278" s="23"/>
    </row>
    <row r="1279" spans="7:7" x14ac:dyDescent="0.4">
      <c r="G1279" s="23"/>
    </row>
    <row r="1280" spans="7:7" x14ac:dyDescent="0.4">
      <c r="G1280" s="23"/>
    </row>
    <row r="1281" spans="7:7" x14ac:dyDescent="0.4">
      <c r="G1281" s="23"/>
    </row>
    <row r="1282" spans="7:7" x14ac:dyDescent="0.4">
      <c r="G1282" s="23"/>
    </row>
    <row r="1283" spans="7:7" x14ac:dyDescent="0.4">
      <c r="G1283" s="23"/>
    </row>
    <row r="1284" spans="7:7" x14ac:dyDescent="0.4">
      <c r="G1284" s="23"/>
    </row>
    <row r="1285" spans="7:7" x14ac:dyDescent="0.4">
      <c r="G1285" s="23"/>
    </row>
    <row r="1286" spans="7:7" x14ac:dyDescent="0.4">
      <c r="G1286" s="23"/>
    </row>
    <row r="1287" spans="7:7" x14ac:dyDescent="0.4">
      <c r="G1287" s="23"/>
    </row>
    <row r="1288" spans="7:7" x14ac:dyDescent="0.4">
      <c r="G1288" s="23"/>
    </row>
    <row r="1289" spans="7:7" x14ac:dyDescent="0.4">
      <c r="G1289" s="23"/>
    </row>
    <row r="1290" spans="7:7" x14ac:dyDescent="0.4">
      <c r="G1290" s="23"/>
    </row>
    <row r="1291" spans="7:7" x14ac:dyDescent="0.4">
      <c r="G1291" s="23"/>
    </row>
    <row r="1292" spans="7:7" x14ac:dyDescent="0.4">
      <c r="G1292" s="23"/>
    </row>
    <row r="1293" spans="7:7" x14ac:dyDescent="0.4">
      <c r="G1293" s="23"/>
    </row>
    <row r="1294" spans="7:7" x14ac:dyDescent="0.4">
      <c r="G1294" s="23"/>
    </row>
    <row r="1295" spans="7:7" x14ac:dyDescent="0.4">
      <c r="G1295" s="23"/>
    </row>
    <row r="1296" spans="7:7" x14ac:dyDescent="0.4">
      <c r="G1296" s="23"/>
    </row>
    <row r="1297" spans="7:7" x14ac:dyDescent="0.4">
      <c r="G1297" s="23"/>
    </row>
    <row r="1298" spans="7:7" x14ac:dyDescent="0.4">
      <c r="G1298" s="23"/>
    </row>
    <row r="1299" spans="7:7" x14ac:dyDescent="0.4">
      <c r="G1299" s="23"/>
    </row>
    <row r="1300" spans="7:7" x14ac:dyDescent="0.4">
      <c r="G1300" s="23"/>
    </row>
    <row r="1301" spans="7:7" x14ac:dyDescent="0.4">
      <c r="G1301" s="23"/>
    </row>
    <row r="1302" spans="7:7" x14ac:dyDescent="0.4">
      <c r="G1302" s="23"/>
    </row>
    <row r="1303" spans="7:7" x14ac:dyDescent="0.4">
      <c r="G1303" s="23"/>
    </row>
    <row r="1304" spans="7:7" x14ac:dyDescent="0.4">
      <c r="G1304" s="23"/>
    </row>
    <row r="1305" spans="7:7" x14ac:dyDescent="0.4">
      <c r="G1305" s="23"/>
    </row>
    <row r="1306" spans="7:7" x14ac:dyDescent="0.4">
      <c r="G1306" s="23"/>
    </row>
    <row r="1307" spans="7:7" x14ac:dyDescent="0.4">
      <c r="G1307" s="23"/>
    </row>
    <row r="1308" spans="7:7" x14ac:dyDescent="0.4">
      <c r="G1308" s="23"/>
    </row>
    <row r="1309" spans="7:7" x14ac:dyDescent="0.4">
      <c r="G1309" s="23"/>
    </row>
    <row r="1310" spans="7:7" x14ac:dyDescent="0.4">
      <c r="G1310" s="23"/>
    </row>
    <row r="1311" spans="7:7" x14ac:dyDescent="0.4">
      <c r="G1311" s="23"/>
    </row>
    <row r="1312" spans="7:7" x14ac:dyDescent="0.4">
      <c r="G1312" s="23"/>
    </row>
    <row r="1313" spans="7:7" x14ac:dyDescent="0.4">
      <c r="G1313" s="23"/>
    </row>
    <row r="1314" spans="7:7" x14ac:dyDescent="0.4">
      <c r="G1314" s="23"/>
    </row>
    <row r="1315" spans="7:7" x14ac:dyDescent="0.4">
      <c r="G1315" s="23"/>
    </row>
    <row r="1316" spans="7:7" x14ac:dyDescent="0.4">
      <c r="G1316" s="23"/>
    </row>
    <row r="1317" spans="7:7" x14ac:dyDescent="0.4">
      <c r="G1317" s="23"/>
    </row>
    <row r="1318" spans="7:7" x14ac:dyDescent="0.4">
      <c r="G1318" s="23"/>
    </row>
    <row r="1319" spans="7:7" x14ac:dyDescent="0.4">
      <c r="G1319" s="23"/>
    </row>
    <row r="1320" spans="7:7" x14ac:dyDescent="0.4">
      <c r="G1320" s="23"/>
    </row>
    <row r="1321" spans="7:7" x14ac:dyDescent="0.4">
      <c r="G1321" s="23"/>
    </row>
    <row r="1322" spans="7:7" x14ac:dyDescent="0.4">
      <c r="G1322" s="23"/>
    </row>
    <row r="1323" spans="7:7" x14ac:dyDescent="0.4">
      <c r="G1323" s="23"/>
    </row>
    <row r="1324" spans="7:7" x14ac:dyDescent="0.4">
      <c r="G1324" s="23"/>
    </row>
    <row r="1325" spans="7:7" x14ac:dyDescent="0.4">
      <c r="G1325" s="23"/>
    </row>
    <row r="1326" spans="7:7" x14ac:dyDescent="0.4">
      <c r="G1326" s="23"/>
    </row>
    <row r="1327" spans="7:7" x14ac:dyDescent="0.4">
      <c r="G1327" s="23"/>
    </row>
    <row r="1328" spans="7:7" x14ac:dyDescent="0.4">
      <c r="G1328" s="23"/>
    </row>
    <row r="1329" spans="7:7" x14ac:dyDescent="0.4">
      <c r="G1329" s="23"/>
    </row>
    <row r="1330" spans="7:7" x14ac:dyDescent="0.4">
      <c r="G1330" s="23"/>
    </row>
    <row r="1331" spans="7:7" x14ac:dyDescent="0.4">
      <c r="G1331" s="23"/>
    </row>
    <row r="1332" spans="7:7" x14ac:dyDescent="0.4">
      <c r="G1332" s="23"/>
    </row>
    <row r="1333" spans="7:7" x14ac:dyDescent="0.4">
      <c r="G1333" s="23"/>
    </row>
    <row r="1334" spans="7:7" x14ac:dyDescent="0.4">
      <c r="G1334" s="23"/>
    </row>
    <row r="1335" spans="7:7" x14ac:dyDescent="0.4">
      <c r="G1335" s="23"/>
    </row>
    <row r="1336" spans="7:7" x14ac:dyDescent="0.4">
      <c r="G1336" s="23"/>
    </row>
    <row r="1337" spans="7:7" x14ac:dyDescent="0.4">
      <c r="G1337" s="23"/>
    </row>
    <row r="1338" spans="7:7" x14ac:dyDescent="0.4">
      <c r="G1338" s="23"/>
    </row>
    <row r="1339" spans="7:7" x14ac:dyDescent="0.4">
      <c r="G1339" s="23"/>
    </row>
    <row r="1340" spans="7:7" x14ac:dyDescent="0.4">
      <c r="G1340" s="23"/>
    </row>
    <row r="1341" spans="7:7" x14ac:dyDescent="0.4">
      <c r="G1341" s="23"/>
    </row>
    <row r="1342" spans="7:7" x14ac:dyDescent="0.4">
      <c r="G1342" s="23"/>
    </row>
    <row r="1343" spans="7:7" x14ac:dyDescent="0.4">
      <c r="G1343" s="23"/>
    </row>
    <row r="1344" spans="7:7" x14ac:dyDescent="0.4">
      <c r="G1344" s="23"/>
    </row>
    <row r="1345" spans="7:7" x14ac:dyDescent="0.4">
      <c r="G1345" s="23"/>
    </row>
    <row r="1346" spans="7:7" x14ac:dyDescent="0.4">
      <c r="G1346" s="23"/>
    </row>
    <row r="1347" spans="7:7" x14ac:dyDescent="0.4">
      <c r="G1347" s="23"/>
    </row>
    <row r="1348" spans="7:7" x14ac:dyDescent="0.4">
      <c r="G1348" s="23"/>
    </row>
    <row r="1349" spans="7:7" x14ac:dyDescent="0.4">
      <c r="G1349" s="23"/>
    </row>
    <row r="1350" spans="7:7" x14ac:dyDescent="0.4">
      <c r="G1350" s="23"/>
    </row>
    <row r="1351" spans="7:7" x14ac:dyDescent="0.4">
      <c r="G1351" s="23"/>
    </row>
    <row r="1352" spans="7:7" x14ac:dyDescent="0.4">
      <c r="G1352" s="23"/>
    </row>
    <row r="1353" spans="7:7" x14ac:dyDescent="0.4">
      <c r="G1353" s="23"/>
    </row>
    <row r="1354" spans="7:7" x14ac:dyDescent="0.4">
      <c r="G1354" s="23"/>
    </row>
    <row r="1355" spans="7:7" x14ac:dyDescent="0.4">
      <c r="G1355" s="23"/>
    </row>
    <row r="1356" spans="7:7" x14ac:dyDescent="0.4">
      <c r="G1356" s="23"/>
    </row>
    <row r="1357" spans="7:7" x14ac:dyDescent="0.4">
      <c r="G1357" s="23"/>
    </row>
    <row r="1358" spans="7:7" x14ac:dyDescent="0.4">
      <c r="G1358" s="23"/>
    </row>
    <row r="1359" spans="7:7" x14ac:dyDescent="0.4">
      <c r="G1359" s="23"/>
    </row>
    <row r="1360" spans="7:7" x14ac:dyDescent="0.4">
      <c r="G1360" s="23"/>
    </row>
    <row r="1361" spans="7:7" x14ac:dyDescent="0.4">
      <c r="G1361" s="23"/>
    </row>
    <row r="1362" spans="7:7" x14ac:dyDescent="0.4">
      <c r="G1362" s="23"/>
    </row>
    <row r="1363" spans="7:7" x14ac:dyDescent="0.4">
      <c r="G1363" s="23"/>
    </row>
    <row r="1364" spans="7:7" x14ac:dyDescent="0.4">
      <c r="G1364" s="23"/>
    </row>
    <row r="1365" spans="7:7" x14ac:dyDescent="0.4">
      <c r="G1365" s="23"/>
    </row>
    <row r="1366" spans="7:7" x14ac:dyDescent="0.4">
      <c r="G1366" s="23"/>
    </row>
    <row r="1367" spans="7:7" x14ac:dyDescent="0.4">
      <c r="G1367" s="23"/>
    </row>
    <row r="1368" spans="7:7" x14ac:dyDescent="0.4">
      <c r="G1368" s="23"/>
    </row>
    <row r="1369" spans="7:7" x14ac:dyDescent="0.4">
      <c r="G1369" s="23"/>
    </row>
    <row r="1370" spans="7:7" x14ac:dyDescent="0.4">
      <c r="G1370" s="23"/>
    </row>
    <row r="1371" spans="7:7" x14ac:dyDescent="0.4">
      <c r="G1371" s="23"/>
    </row>
    <row r="1372" spans="7:7" x14ac:dyDescent="0.4">
      <c r="G1372" s="23"/>
    </row>
    <row r="1373" spans="7:7" x14ac:dyDescent="0.4">
      <c r="G1373" s="23"/>
    </row>
    <row r="1374" spans="7:7" x14ac:dyDescent="0.4">
      <c r="G1374" s="23"/>
    </row>
    <row r="1375" spans="7:7" x14ac:dyDescent="0.4">
      <c r="G1375" s="23"/>
    </row>
    <row r="1376" spans="7:7" x14ac:dyDescent="0.4">
      <c r="G1376" s="23"/>
    </row>
    <row r="1377" spans="7:7" x14ac:dyDescent="0.4">
      <c r="G1377" s="23"/>
    </row>
    <row r="1378" spans="7:7" x14ac:dyDescent="0.4">
      <c r="G1378" s="23"/>
    </row>
    <row r="1379" spans="7:7" x14ac:dyDescent="0.4">
      <c r="G1379" s="23"/>
    </row>
    <row r="1380" spans="7:7" x14ac:dyDescent="0.4">
      <c r="G1380" s="23"/>
    </row>
    <row r="1381" spans="7:7" x14ac:dyDescent="0.4">
      <c r="G1381" s="23"/>
    </row>
    <row r="1382" spans="7:7" x14ac:dyDescent="0.4">
      <c r="G1382" s="23"/>
    </row>
    <row r="1383" spans="7:7" x14ac:dyDescent="0.4">
      <c r="G1383" s="23"/>
    </row>
    <row r="1384" spans="7:7" x14ac:dyDescent="0.4">
      <c r="G1384" s="23"/>
    </row>
    <row r="1385" spans="7:7" x14ac:dyDescent="0.4">
      <c r="G1385" s="23"/>
    </row>
    <row r="1386" spans="7:7" x14ac:dyDescent="0.4">
      <c r="G1386" s="23"/>
    </row>
    <row r="1387" spans="7:7" x14ac:dyDescent="0.4">
      <c r="G1387" s="23"/>
    </row>
    <row r="1388" spans="7:7" x14ac:dyDescent="0.4">
      <c r="G1388" s="23"/>
    </row>
    <row r="1389" spans="7:7" x14ac:dyDescent="0.4">
      <c r="G1389" s="23"/>
    </row>
    <row r="1390" spans="7:7" x14ac:dyDescent="0.4">
      <c r="G1390" s="23"/>
    </row>
    <row r="1391" spans="7:7" x14ac:dyDescent="0.4">
      <c r="G1391" s="23"/>
    </row>
    <row r="1392" spans="7:7" x14ac:dyDescent="0.4">
      <c r="G1392" s="23"/>
    </row>
    <row r="1393" spans="7:7" x14ac:dyDescent="0.4">
      <c r="G1393" s="23"/>
    </row>
    <row r="1394" spans="7:7" x14ac:dyDescent="0.4">
      <c r="G1394" s="23"/>
    </row>
    <row r="1395" spans="7:7" x14ac:dyDescent="0.4">
      <c r="G1395" s="23"/>
    </row>
    <row r="1396" spans="7:7" x14ac:dyDescent="0.4">
      <c r="G1396" s="23"/>
    </row>
    <row r="1397" spans="7:7" x14ac:dyDescent="0.4">
      <c r="G1397" s="23"/>
    </row>
    <row r="1398" spans="7:7" x14ac:dyDescent="0.4">
      <c r="G1398" s="23"/>
    </row>
    <row r="1399" spans="7:7" x14ac:dyDescent="0.4">
      <c r="G1399" s="23"/>
    </row>
    <row r="1400" spans="7:7" x14ac:dyDescent="0.4">
      <c r="G1400" s="23"/>
    </row>
    <row r="1401" spans="7:7" x14ac:dyDescent="0.4">
      <c r="G1401" s="23"/>
    </row>
    <row r="1402" spans="7:7" x14ac:dyDescent="0.4">
      <c r="G1402" s="23"/>
    </row>
    <row r="1403" spans="7:7" x14ac:dyDescent="0.4">
      <c r="G1403" s="23"/>
    </row>
    <row r="1404" spans="7:7" x14ac:dyDescent="0.4">
      <c r="G1404" s="23"/>
    </row>
    <row r="1405" spans="7:7" x14ac:dyDescent="0.4">
      <c r="G1405" s="23"/>
    </row>
    <row r="1406" spans="7:7" x14ac:dyDescent="0.4">
      <c r="G1406" s="23"/>
    </row>
    <row r="1407" spans="7:7" x14ac:dyDescent="0.4">
      <c r="G1407" s="23"/>
    </row>
    <row r="1408" spans="7:7" x14ac:dyDescent="0.4">
      <c r="G1408" s="23"/>
    </row>
    <row r="1409" spans="7:7" x14ac:dyDescent="0.4">
      <c r="G1409" s="23"/>
    </row>
    <row r="1410" spans="7:7" x14ac:dyDescent="0.4">
      <c r="G1410" s="23"/>
    </row>
    <row r="1411" spans="7:7" x14ac:dyDescent="0.4">
      <c r="G1411" s="23"/>
    </row>
    <row r="1412" spans="7:7" x14ac:dyDescent="0.4">
      <c r="G1412" s="23"/>
    </row>
    <row r="1413" spans="7:7" x14ac:dyDescent="0.4">
      <c r="G1413" s="23"/>
    </row>
    <row r="1414" spans="7:7" x14ac:dyDescent="0.4">
      <c r="G1414" s="23"/>
    </row>
    <row r="1415" spans="7:7" x14ac:dyDescent="0.4">
      <c r="G1415" s="23"/>
    </row>
    <row r="1416" spans="7:7" x14ac:dyDescent="0.4">
      <c r="G1416" s="23"/>
    </row>
    <row r="1417" spans="7:7" x14ac:dyDescent="0.4">
      <c r="G1417" s="23"/>
    </row>
    <row r="1418" spans="7:7" x14ac:dyDescent="0.4">
      <c r="G1418" s="23"/>
    </row>
    <row r="1419" spans="7:7" x14ac:dyDescent="0.4">
      <c r="G1419" s="23"/>
    </row>
    <row r="1420" spans="7:7" x14ac:dyDescent="0.4">
      <c r="G1420" s="23"/>
    </row>
    <row r="1421" spans="7:7" x14ac:dyDescent="0.4">
      <c r="G1421" s="23"/>
    </row>
    <row r="1422" spans="7:7" x14ac:dyDescent="0.4">
      <c r="G1422" s="23"/>
    </row>
    <row r="1423" spans="7:7" x14ac:dyDescent="0.4">
      <c r="G1423" s="23"/>
    </row>
    <row r="1424" spans="7:7" x14ac:dyDescent="0.4">
      <c r="G1424" s="23"/>
    </row>
    <row r="1425" spans="7:7" x14ac:dyDescent="0.4">
      <c r="G1425" s="23"/>
    </row>
    <row r="1426" spans="7:7" x14ac:dyDescent="0.4">
      <c r="G1426" s="23"/>
    </row>
    <row r="1427" spans="7:7" x14ac:dyDescent="0.4">
      <c r="G1427" s="23"/>
    </row>
    <row r="1428" spans="7:7" x14ac:dyDescent="0.4">
      <c r="G1428" s="23"/>
    </row>
    <row r="1429" spans="7:7" x14ac:dyDescent="0.4">
      <c r="G1429" s="23"/>
    </row>
    <row r="1430" spans="7:7" x14ac:dyDescent="0.4">
      <c r="G1430" s="23"/>
    </row>
    <row r="1431" spans="7:7" x14ac:dyDescent="0.4">
      <c r="G1431" s="23"/>
    </row>
    <row r="1432" spans="7:7" x14ac:dyDescent="0.4">
      <c r="G1432" s="23"/>
    </row>
    <row r="1433" spans="7:7" x14ac:dyDescent="0.4">
      <c r="G1433" s="23"/>
    </row>
    <row r="1434" spans="7:7" x14ac:dyDescent="0.4">
      <c r="G1434" s="23"/>
    </row>
    <row r="1435" spans="7:7" x14ac:dyDescent="0.4">
      <c r="G1435" s="23"/>
    </row>
    <row r="1436" spans="7:7" x14ac:dyDescent="0.4">
      <c r="G1436" s="23"/>
    </row>
    <row r="1437" spans="7:7" x14ac:dyDescent="0.4">
      <c r="G1437" s="23"/>
    </row>
    <row r="1438" spans="7:7" x14ac:dyDescent="0.4">
      <c r="G1438" s="23"/>
    </row>
    <row r="1439" spans="7:7" x14ac:dyDescent="0.4">
      <c r="G1439" s="23"/>
    </row>
    <row r="1440" spans="7:7" x14ac:dyDescent="0.4">
      <c r="G1440" s="23"/>
    </row>
    <row r="1441" spans="7:7" x14ac:dyDescent="0.4">
      <c r="G1441" s="23"/>
    </row>
    <row r="1442" spans="7:7" x14ac:dyDescent="0.4">
      <c r="G1442" s="23"/>
    </row>
    <row r="1443" spans="7:7" x14ac:dyDescent="0.4">
      <c r="G1443" s="23"/>
    </row>
    <row r="1444" spans="7:7" x14ac:dyDescent="0.4">
      <c r="G1444" s="23"/>
    </row>
    <row r="1445" spans="7:7" x14ac:dyDescent="0.4">
      <c r="G1445" s="23"/>
    </row>
    <row r="1446" spans="7:7" x14ac:dyDescent="0.4">
      <c r="G1446" s="23"/>
    </row>
    <row r="1447" spans="7:7" x14ac:dyDescent="0.4">
      <c r="G1447" s="23"/>
    </row>
    <row r="1448" spans="7:7" x14ac:dyDescent="0.4">
      <c r="G1448" s="23"/>
    </row>
    <row r="1449" spans="7:7" x14ac:dyDescent="0.4">
      <c r="G1449" s="23"/>
    </row>
    <row r="1450" spans="7:7" x14ac:dyDescent="0.4">
      <c r="G1450" s="23"/>
    </row>
    <row r="1451" spans="7:7" x14ac:dyDescent="0.4">
      <c r="G1451" s="23"/>
    </row>
    <row r="1452" spans="7:7" x14ac:dyDescent="0.4">
      <c r="G1452" s="23"/>
    </row>
    <row r="1453" spans="7:7" x14ac:dyDescent="0.4">
      <c r="G1453" s="23"/>
    </row>
    <row r="1454" spans="7:7" x14ac:dyDescent="0.4">
      <c r="G1454" s="23"/>
    </row>
    <row r="1455" spans="7:7" x14ac:dyDescent="0.4">
      <c r="G1455" s="23"/>
    </row>
    <row r="1456" spans="7:7" x14ac:dyDescent="0.4">
      <c r="G1456" s="23"/>
    </row>
    <row r="1457" spans="7:7" x14ac:dyDescent="0.4">
      <c r="G1457" s="23"/>
    </row>
    <row r="1458" spans="7:7" x14ac:dyDescent="0.4">
      <c r="G1458" s="23"/>
    </row>
    <row r="1459" spans="7:7" x14ac:dyDescent="0.4">
      <c r="G1459" s="23"/>
    </row>
    <row r="1460" spans="7:7" x14ac:dyDescent="0.4">
      <c r="G1460" s="23"/>
    </row>
    <row r="1461" spans="7:7" x14ac:dyDescent="0.4">
      <c r="G1461" s="23"/>
    </row>
    <row r="1462" spans="7:7" x14ac:dyDescent="0.4">
      <c r="G1462" s="23"/>
    </row>
    <row r="1463" spans="7:7" x14ac:dyDescent="0.4">
      <c r="G1463" s="23"/>
    </row>
    <row r="1464" spans="7:7" x14ac:dyDescent="0.4">
      <c r="G1464" s="23"/>
    </row>
    <row r="1465" spans="7:7" x14ac:dyDescent="0.4">
      <c r="G1465" s="23"/>
    </row>
    <row r="1466" spans="7:7" x14ac:dyDescent="0.4">
      <c r="G1466" s="23"/>
    </row>
    <row r="1467" spans="7:7" x14ac:dyDescent="0.4">
      <c r="G1467" s="23"/>
    </row>
    <row r="1468" spans="7:7" x14ac:dyDescent="0.4">
      <c r="G1468" s="23"/>
    </row>
    <row r="1469" spans="7:7" x14ac:dyDescent="0.4">
      <c r="G1469" s="23"/>
    </row>
    <row r="1470" spans="7:7" x14ac:dyDescent="0.4">
      <c r="G1470" s="23"/>
    </row>
    <row r="1471" spans="7:7" x14ac:dyDescent="0.4">
      <c r="G1471" s="23"/>
    </row>
    <row r="1472" spans="7:7" x14ac:dyDescent="0.4">
      <c r="G1472" s="23"/>
    </row>
    <row r="1473" spans="7:7" x14ac:dyDescent="0.4">
      <c r="G1473" s="23"/>
    </row>
    <row r="1474" spans="7:7" x14ac:dyDescent="0.4">
      <c r="G1474" s="23"/>
    </row>
    <row r="1475" spans="7:7" x14ac:dyDescent="0.4">
      <c r="G1475" s="23"/>
    </row>
    <row r="1476" spans="7:7" x14ac:dyDescent="0.4">
      <c r="G1476" s="23"/>
    </row>
    <row r="1477" spans="7:7" x14ac:dyDescent="0.4">
      <c r="G1477" s="23"/>
    </row>
    <row r="1478" spans="7:7" x14ac:dyDescent="0.4">
      <c r="G1478" s="23"/>
    </row>
    <row r="1479" spans="7:7" x14ac:dyDescent="0.4">
      <c r="G1479" s="23"/>
    </row>
    <row r="1480" spans="7:7" x14ac:dyDescent="0.4">
      <c r="G1480" s="23"/>
    </row>
    <row r="1481" spans="7:7" x14ac:dyDescent="0.4">
      <c r="G1481" s="23"/>
    </row>
    <row r="1482" spans="7:7" x14ac:dyDescent="0.4">
      <c r="G1482" s="23"/>
    </row>
    <row r="1483" spans="7:7" x14ac:dyDescent="0.4">
      <c r="G1483" s="23"/>
    </row>
    <row r="1484" spans="7:7" x14ac:dyDescent="0.4">
      <c r="G1484" s="23"/>
    </row>
    <row r="1485" spans="7:7" x14ac:dyDescent="0.4">
      <c r="G1485" s="23"/>
    </row>
    <row r="1486" spans="7:7" x14ac:dyDescent="0.4">
      <c r="G1486" s="23"/>
    </row>
    <row r="1487" spans="7:7" x14ac:dyDescent="0.4">
      <c r="G1487" s="23"/>
    </row>
    <row r="1488" spans="7:7" x14ac:dyDescent="0.4">
      <c r="G1488" s="23"/>
    </row>
    <row r="1489" spans="7:7" x14ac:dyDescent="0.4">
      <c r="G1489" s="23"/>
    </row>
    <row r="1490" spans="7:7" x14ac:dyDescent="0.4">
      <c r="G1490" s="23"/>
    </row>
    <row r="1491" spans="7:7" x14ac:dyDescent="0.4">
      <c r="G1491" s="23"/>
    </row>
    <row r="1492" spans="7:7" x14ac:dyDescent="0.4">
      <c r="G1492" s="23"/>
    </row>
    <row r="1493" spans="7:7" x14ac:dyDescent="0.4">
      <c r="G1493" s="23"/>
    </row>
    <row r="1494" spans="7:7" x14ac:dyDescent="0.4">
      <c r="G1494" s="23"/>
    </row>
    <row r="1495" spans="7:7" x14ac:dyDescent="0.4">
      <c r="G1495" s="23"/>
    </row>
    <row r="1496" spans="7:7" x14ac:dyDescent="0.4">
      <c r="G1496" s="23"/>
    </row>
    <row r="1497" spans="7:7" x14ac:dyDescent="0.4">
      <c r="G1497" s="23"/>
    </row>
    <row r="1498" spans="7:7" x14ac:dyDescent="0.4">
      <c r="G1498" s="23"/>
    </row>
    <row r="1499" spans="7:7" x14ac:dyDescent="0.4">
      <c r="G1499" s="23"/>
    </row>
    <row r="1500" spans="7:7" x14ac:dyDescent="0.4">
      <c r="G1500" s="23"/>
    </row>
    <row r="1501" spans="7:7" x14ac:dyDescent="0.4">
      <c r="G1501" s="23"/>
    </row>
    <row r="1502" spans="7:7" x14ac:dyDescent="0.4">
      <c r="G1502" s="23"/>
    </row>
    <row r="1503" spans="7:7" x14ac:dyDescent="0.4">
      <c r="G1503" s="23"/>
    </row>
    <row r="1504" spans="7:7" x14ac:dyDescent="0.4">
      <c r="G1504" s="23"/>
    </row>
    <row r="1505" spans="7:7" x14ac:dyDescent="0.4">
      <c r="G1505" s="23"/>
    </row>
    <row r="1506" spans="7:7" x14ac:dyDescent="0.4">
      <c r="G1506" s="23"/>
    </row>
    <row r="1507" spans="7:7" x14ac:dyDescent="0.4">
      <c r="G1507" s="23"/>
    </row>
    <row r="1508" spans="7:7" x14ac:dyDescent="0.4">
      <c r="G1508" s="23"/>
    </row>
    <row r="1509" spans="7:7" x14ac:dyDescent="0.4">
      <c r="G1509" s="23"/>
    </row>
    <row r="1510" spans="7:7" x14ac:dyDescent="0.4">
      <c r="G1510" s="23"/>
    </row>
    <row r="1511" spans="7:7" x14ac:dyDescent="0.4">
      <c r="G1511" s="23"/>
    </row>
    <row r="1512" spans="7:7" x14ac:dyDescent="0.4">
      <c r="G1512" s="23"/>
    </row>
    <row r="1513" spans="7:7" x14ac:dyDescent="0.4">
      <c r="G1513" s="23"/>
    </row>
    <row r="1514" spans="7:7" x14ac:dyDescent="0.4">
      <c r="G1514" s="23"/>
    </row>
    <row r="1515" spans="7:7" x14ac:dyDescent="0.4">
      <c r="G1515" s="23"/>
    </row>
    <row r="1516" spans="7:7" x14ac:dyDescent="0.4">
      <c r="G1516" s="23"/>
    </row>
    <row r="1517" spans="7:7" x14ac:dyDescent="0.4">
      <c r="G1517" s="23"/>
    </row>
    <row r="1518" spans="7:7" x14ac:dyDescent="0.4">
      <c r="G1518" s="23"/>
    </row>
    <row r="1519" spans="7:7" x14ac:dyDescent="0.4">
      <c r="G1519" s="23"/>
    </row>
    <row r="1520" spans="7:7" x14ac:dyDescent="0.4">
      <c r="G1520" s="23"/>
    </row>
    <row r="1521" spans="7:7" x14ac:dyDescent="0.4">
      <c r="G1521" s="23"/>
    </row>
    <row r="1522" spans="7:7" x14ac:dyDescent="0.4">
      <c r="G1522" s="23"/>
    </row>
    <row r="1523" spans="7:7" x14ac:dyDescent="0.4">
      <c r="G1523" s="23"/>
    </row>
    <row r="1524" spans="7:7" x14ac:dyDescent="0.4">
      <c r="G1524" s="23"/>
    </row>
    <row r="1525" spans="7:7" x14ac:dyDescent="0.4">
      <c r="G1525" s="23"/>
    </row>
    <row r="1526" spans="7:7" x14ac:dyDescent="0.4">
      <c r="G1526" s="23"/>
    </row>
    <row r="1527" spans="7:7" x14ac:dyDescent="0.4">
      <c r="G1527" s="23"/>
    </row>
    <row r="1528" spans="7:7" x14ac:dyDescent="0.4">
      <c r="G1528" s="23"/>
    </row>
    <row r="1529" spans="7:7" x14ac:dyDescent="0.4">
      <c r="G1529" s="23"/>
    </row>
    <row r="1530" spans="7:7" x14ac:dyDescent="0.4">
      <c r="G1530" s="23"/>
    </row>
    <row r="1531" spans="7:7" x14ac:dyDescent="0.4">
      <c r="G1531" s="23"/>
    </row>
    <row r="1532" spans="7:7" x14ac:dyDescent="0.4">
      <c r="G1532" s="23"/>
    </row>
    <row r="1533" spans="7:7" x14ac:dyDescent="0.4">
      <c r="G1533" s="23"/>
    </row>
    <row r="1534" spans="7:7" x14ac:dyDescent="0.4">
      <c r="G1534" s="23"/>
    </row>
    <row r="1535" spans="7:7" x14ac:dyDescent="0.4">
      <c r="G1535" s="23"/>
    </row>
    <row r="1536" spans="7:7" x14ac:dyDescent="0.4">
      <c r="G1536" s="23"/>
    </row>
    <row r="1537" spans="7:7" x14ac:dyDescent="0.4">
      <c r="G1537" s="23"/>
    </row>
    <row r="1538" spans="7:7" x14ac:dyDescent="0.4">
      <c r="G1538" s="23"/>
    </row>
    <row r="1539" spans="7:7" x14ac:dyDescent="0.4">
      <c r="G1539" s="23"/>
    </row>
    <row r="1540" spans="7:7" x14ac:dyDescent="0.4">
      <c r="G1540" s="23"/>
    </row>
    <row r="1541" spans="7:7" x14ac:dyDescent="0.4">
      <c r="G1541" s="23"/>
    </row>
    <row r="1542" spans="7:7" x14ac:dyDescent="0.4">
      <c r="G1542" s="23"/>
    </row>
    <row r="1543" spans="7:7" x14ac:dyDescent="0.4">
      <c r="G1543" s="23"/>
    </row>
    <row r="1544" spans="7:7" x14ac:dyDescent="0.4">
      <c r="G1544" s="23"/>
    </row>
    <row r="1545" spans="7:7" x14ac:dyDescent="0.4">
      <c r="G1545" s="23"/>
    </row>
    <row r="1546" spans="7:7" x14ac:dyDescent="0.4">
      <c r="G1546" s="23"/>
    </row>
    <row r="1547" spans="7:7" x14ac:dyDescent="0.4">
      <c r="G1547" s="23"/>
    </row>
    <row r="1548" spans="7:7" x14ac:dyDescent="0.4">
      <c r="G1548" s="23"/>
    </row>
    <row r="1549" spans="7:7" x14ac:dyDescent="0.4">
      <c r="G1549" s="23"/>
    </row>
    <row r="1550" spans="7:7" x14ac:dyDescent="0.4">
      <c r="G1550" s="23"/>
    </row>
    <row r="1551" spans="7:7" x14ac:dyDescent="0.4">
      <c r="G1551" s="23"/>
    </row>
    <row r="1552" spans="7:7" x14ac:dyDescent="0.4">
      <c r="G1552" s="23"/>
    </row>
    <row r="1553" spans="7:7" x14ac:dyDescent="0.4">
      <c r="G1553" s="23"/>
    </row>
    <row r="1554" spans="7:7" x14ac:dyDescent="0.4">
      <c r="G1554" s="23"/>
    </row>
    <row r="1555" spans="7:7" x14ac:dyDescent="0.4">
      <c r="G1555" s="23"/>
    </row>
    <row r="1556" spans="7:7" x14ac:dyDescent="0.4">
      <c r="G1556" s="23"/>
    </row>
    <row r="1557" spans="7:7" x14ac:dyDescent="0.4">
      <c r="G1557" s="23"/>
    </row>
    <row r="1558" spans="7:7" x14ac:dyDescent="0.4">
      <c r="G1558" s="23"/>
    </row>
    <row r="1559" spans="7:7" x14ac:dyDescent="0.4">
      <c r="G1559" s="23"/>
    </row>
    <row r="1560" spans="7:7" x14ac:dyDescent="0.4">
      <c r="G1560" s="23"/>
    </row>
    <row r="1561" spans="7:7" x14ac:dyDescent="0.4">
      <c r="G1561" s="23"/>
    </row>
    <row r="1562" spans="7:7" x14ac:dyDescent="0.4">
      <c r="G1562" s="23"/>
    </row>
    <row r="1563" spans="7:7" x14ac:dyDescent="0.4">
      <c r="G1563" s="23"/>
    </row>
    <row r="1564" spans="7:7" x14ac:dyDescent="0.4">
      <c r="G1564" s="23"/>
    </row>
    <row r="1565" spans="7:7" x14ac:dyDescent="0.4">
      <c r="G1565" s="23"/>
    </row>
    <row r="1566" spans="7:7" x14ac:dyDescent="0.4">
      <c r="G1566" s="23"/>
    </row>
    <row r="1567" spans="7:7" x14ac:dyDescent="0.4">
      <c r="G1567" s="23"/>
    </row>
    <row r="1568" spans="7:7" x14ac:dyDescent="0.4">
      <c r="G1568" s="23"/>
    </row>
    <row r="1569" spans="7:7" x14ac:dyDescent="0.4">
      <c r="G1569" s="23"/>
    </row>
    <row r="1570" spans="7:7" x14ac:dyDescent="0.4">
      <c r="G1570" s="23"/>
    </row>
    <row r="1571" spans="7:7" x14ac:dyDescent="0.4">
      <c r="G1571" s="23"/>
    </row>
    <row r="1572" spans="7:7" x14ac:dyDescent="0.4">
      <c r="G1572" s="23"/>
    </row>
    <row r="1573" spans="7:7" x14ac:dyDescent="0.4">
      <c r="G1573" s="23"/>
    </row>
    <row r="1574" spans="7:7" x14ac:dyDescent="0.4">
      <c r="G1574" s="23"/>
    </row>
    <row r="1575" spans="7:7" x14ac:dyDescent="0.4">
      <c r="G1575" s="23"/>
    </row>
    <row r="1576" spans="7:7" x14ac:dyDescent="0.4">
      <c r="G1576" s="23"/>
    </row>
    <row r="1577" spans="7:7" x14ac:dyDescent="0.4">
      <c r="G1577" s="23"/>
    </row>
    <row r="1578" spans="7:7" x14ac:dyDescent="0.4">
      <c r="G1578" s="23"/>
    </row>
    <row r="1579" spans="7:7" x14ac:dyDescent="0.4">
      <c r="G1579" s="23"/>
    </row>
    <row r="1580" spans="7:7" x14ac:dyDescent="0.4">
      <c r="G1580" s="23"/>
    </row>
    <row r="1581" spans="7:7" x14ac:dyDescent="0.4">
      <c r="G1581" s="23"/>
    </row>
    <row r="1582" spans="7:7" x14ac:dyDescent="0.4">
      <c r="G1582" s="23"/>
    </row>
    <row r="1583" spans="7:7" x14ac:dyDescent="0.4">
      <c r="G1583" s="23"/>
    </row>
    <row r="1584" spans="7:7" x14ac:dyDescent="0.4">
      <c r="G1584" s="23"/>
    </row>
    <row r="1585" spans="7:7" x14ac:dyDescent="0.4">
      <c r="G1585" s="23"/>
    </row>
    <row r="1586" spans="7:7" x14ac:dyDescent="0.4">
      <c r="G1586" s="23"/>
    </row>
    <row r="1587" spans="7:7" x14ac:dyDescent="0.4">
      <c r="G1587" s="23"/>
    </row>
    <row r="1588" spans="7:7" x14ac:dyDescent="0.4">
      <c r="G1588" s="23"/>
    </row>
    <row r="1589" spans="7:7" x14ac:dyDescent="0.4">
      <c r="G1589" s="23"/>
    </row>
    <row r="1590" spans="7:7" x14ac:dyDescent="0.4">
      <c r="G1590" s="23"/>
    </row>
    <row r="1591" spans="7:7" x14ac:dyDescent="0.4">
      <c r="G1591" s="23"/>
    </row>
    <row r="1592" spans="7:7" x14ac:dyDescent="0.4">
      <c r="G1592" s="23"/>
    </row>
    <row r="1593" spans="7:7" x14ac:dyDescent="0.4">
      <c r="G1593" s="23"/>
    </row>
    <row r="1594" spans="7:7" x14ac:dyDescent="0.4">
      <c r="G1594" s="23"/>
    </row>
    <row r="1595" spans="7:7" x14ac:dyDescent="0.4">
      <c r="G1595" s="23"/>
    </row>
    <row r="1596" spans="7:7" x14ac:dyDescent="0.4">
      <c r="G1596" s="23"/>
    </row>
    <row r="1597" spans="7:7" x14ac:dyDescent="0.4">
      <c r="G1597" s="23"/>
    </row>
    <row r="1598" spans="7:7" x14ac:dyDescent="0.4">
      <c r="G1598" s="23"/>
    </row>
    <row r="1599" spans="7:7" x14ac:dyDescent="0.4">
      <c r="G1599" s="23"/>
    </row>
    <row r="1600" spans="7:7" x14ac:dyDescent="0.4">
      <c r="G1600" s="23"/>
    </row>
    <row r="1601" spans="7:7" x14ac:dyDescent="0.4">
      <c r="G1601" s="23"/>
    </row>
    <row r="1602" spans="7:7" x14ac:dyDescent="0.4">
      <c r="G1602" s="23"/>
    </row>
    <row r="1603" spans="7:7" x14ac:dyDescent="0.4">
      <c r="G1603" s="23"/>
    </row>
    <row r="1604" spans="7:7" x14ac:dyDescent="0.4">
      <c r="G1604" s="23"/>
    </row>
    <row r="1605" spans="7:7" x14ac:dyDescent="0.4">
      <c r="G1605" s="23"/>
    </row>
    <row r="1606" spans="7:7" x14ac:dyDescent="0.4">
      <c r="G1606" s="23"/>
    </row>
    <row r="1607" spans="7:7" x14ac:dyDescent="0.4">
      <c r="G1607" s="23"/>
    </row>
    <row r="1608" spans="7:7" x14ac:dyDescent="0.4">
      <c r="G1608" s="23"/>
    </row>
    <row r="1609" spans="7:7" x14ac:dyDescent="0.4">
      <c r="G1609" s="23"/>
    </row>
    <row r="1610" spans="7:7" x14ac:dyDescent="0.4">
      <c r="G1610" s="23"/>
    </row>
    <row r="1611" spans="7:7" x14ac:dyDescent="0.4">
      <c r="G1611" s="23"/>
    </row>
    <row r="1612" spans="7:7" x14ac:dyDescent="0.4">
      <c r="G1612" s="23"/>
    </row>
    <row r="1613" spans="7:7" x14ac:dyDescent="0.4">
      <c r="G1613" s="23"/>
    </row>
    <row r="1614" spans="7:7" x14ac:dyDescent="0.4">
      <c r="G1614" s="23"/>
    </row>
    <row r="1615" spans="7:7" x14ac:dyDescent="0.4">
      <c r="G1615" s="23"/>
    </row>
    <row r="1616" spans="7:7" x14ac:dyDescent="0.4">
      <c r="G1616" s="23"/>
    </row>
    <row r="1617" spans="7:7" x14ac:dyDescent="0.4">
      <c r="G1617" s="23"/>
    </row>
    <row r="1618" spans="7:7" x14ac:dyDescent="0.4">
      <c r="G1618" s="23"/>
    </row>
    <row r="1619" spans="7:7" x14ac:dyDescent="0.4">
      <c r="G1619" s="23"/>
    </row>
    <row r="1620" spans="7:7" x14ac:dyDescent="0.4">
      <c r="G1620" s="23"/>
    </row>
    <row r="1621" spans="7:7" x14ac:dyDescent="0.4">
      <c r="G1621" s="23"/>
    </row>
    <row r="1622" spans="7:7" x14ac:dyDescent="0.4">
      <c r="G1622" s="23"/>
    </row>
    <row r="1623" spans="7:7" x14ac:dyDescent="0.4">
      <c r="G1623" s="23"/>
    </row>
    <row r="1624" spans="7:7" x14ac:dyDescent="0.4">
      <c r="G1624" s="23"/>
    </row>
    <row r="1625" spans="7:7" x14ac:dyDescent="0.4">
      <c r="G1625" s="23"/>
    </row>
    <row r="1626" spans="7:7" x14ac:dyDescent="0.4">
      <c r="G1626" s="23"/>
    </row>
    <row r="1627" spans="7:7" x14ac:dyDescent="0.4">
      <c r="G1627" s="23"/>
    </row>
    <row r="1628" spans="7:7" x14ac:dyDescent="0.4">
      <c r="G1628" s="23"/>
    </row>
    <row r="1629" spans="7:7" x14ac:dyDescent="0.4">
      <c r="G1629" s="23"/>
    </row>
    <row r="1630" spans="7:7" x14ac:dyDescent="0.4">
      <c r="G1630" s="23"/>
    </row>
    <row r="1631" spans="7:7" x14ac:dyDescent="0.4">
      <c r="G1631" s="23"/>
    </row>
    <row r="1632" spans="7:7" x14ac:dyDescent="0.4">
      <c r="G1632" s="23"/>
    </row>
    <row r="1633" spans="7:7" x14ac:dyDescent="0.4">
      <c r="G1633" s="23"/>
    </row>
    <row r="1634" spans="7:7" x14ac:dyDescent="0.4">
      <c r="G1634" s="23"/>
    </row>
    <row r="1635" spans="7:7" x14ac:dyDescent="0.4">
      <c r="G1635" s="23"/>
    </row>
    <row r="1636" spans="7:7" x14ac:dyDescent="0.4">
      <c r="G1636" s="23"/>
    </row>
    <row r="1637" spans="7:7" x14ac:dyDescent="0.4">
      <c r="G1637" s="23"/>
    </row>
    <row r="1638" spans="7:7" x14ac:dyDescent="0.4">
      <c r="G1638" s="23"/>
    </row>
    <row r="1639" spans="7:7" x14ac:dyDescent="0.4">
      <c r="G1639" s="23"/>
    </row>
    <row r="1640" spans="7:7" x14ac:dyDescent="0.4">
      <c r="G1640" s="23"/>
    </row>
    <row r="1641" spans="7:7" x14ac:dyDescent="0.4">
      <c r="G1641" s="23"/>
    </row>
    <row r="1642" spans="7:7" x14ac:dyDescent="0.4">
      <c r="G1642" s="23"/>
    </row>
    <row r="1643" spans="7:7" x14ac:dyDescent="0.4">
      <c r="G1643" s="23"/>
    </row>
    <row r="1644" spans="7:7" x14ac:dyDescent="0.4">
      <c r="G1644" s="23"/>
    </row>
    <row r="1645" spans="7:7" x14ac:dyDescent="0.4">
      <c r="G1645" s="23"/>
    </row>
    <row r="1646" spans="7:7" x14ac:dyDescent="0.4">
      <c r="G1646" s="23"/>
    </row>
    <row r="1647" spans="7:7" x14ac:dyDescent="0.4">
      <c r="G1647" s="23"/>
    </row>
    <row r="1648" spans="7:7" x14ac:dyDescent="0.4">
      <c r="G1648" s="23"/>
    </row>
    <row r="1649" spans="7:7" x14ac:dyDescent="0.4">
      <c r="G1649" s="23"/>
    </row>
    <row r="1650" spans="7:7" x14ac:dyDescent="0.4">
      <c r="G1650" s="23"/>
    </row>
    <row r="1651" spans="7:7" x14ac:dyDescent="0.4">
      <c r="G1651" s="23"/>
    </row>
    <row r="1652" spans="7:7" x14ac:dyDescent="0.4">
      <c r="G1652" s="23"/>
    </row>
    <row r="1653" spans="7:7" x14ac:dyDescent="0.4">
      <c r="G1653" s="23"/>
    </row>
    <row r="1654" spans="7:7" x14ac:dyDescent="0.4">
      <c r="G1654" s="23"/>
    </row>
    <row r="1655" spans="7:7" x14ac:dyDescent="0.4">
      <c r="G1655" s="23"/>
    </row>
    <row r="1656" spans="7:7" x14ac:dyDescent="0.4">
      <c r="G1656" s="23"/>
    </row>
    <row r="1657" spans="7:7" x14ac:dyDescent="0.4">
      <c r="G1657" s="23"/>
    </row>
    <row r="1658" spans="7:7" x14ac:dyDescent="0.4">
      <c r="G1658" s="23"/>
    </row>
    <row r="1659" spans="7:7" x14ac:dyDescent="0.4">
      <c r="G1659" s="23"/>
    </row>
    <row r="1660" spans="7:7" x14ac:dyDescent="0.4">
      <c r="G1660" s="23"/>
    </row>
    <row r="1661" spans="7:7" x14ac:dyDescent="0.4">
      <c r="G1661" s="23"/>
    </row>
    <row r="1662" spans="7:7" x14ac:dyDescent="0.4">
      <c r="G1662" s="23"/>
    </row>
    <row r="1663" spans="7:7" x14ac:dyDescent="0.4">
      <c r="G1663" s="23"/>
    </row>
    <row r="1664" spans="7:7" x14ac:dyDescent="0.4">
      <c r="G1664" s="23"/>
    </row>
    <row r="1665" spans="7:7" x14ac:dyDescent="0.4">
      <c r="G1665" s="23"/>
    </row>
    <row r="1666" spans="7:7" x14ac:dyDescent="0.4">
      <c r="G1666" s="23"/>
    </row>
    <row r="1667" spans="7:7" x14ac:dyDescent="0.4">
      <c r="G1667" s="23"/>
    </row>
    <row r="1668" spans="7:7" x14ac:dyDescent="0.4">
      <c r="G1668" s="23"/>
    </row>
    <row r="1669" spans="7:7" x14ac:dyDescent="0.4">
      <c r="G1669" s="23"/>
    </row>
    <row r="1670" spans="7:7" x14ac:dyDescent="0.4">
      <c r="G1670" s="23"/>
    </row>
    <row r="1671" spans="7:7" x14ac:dyDescent="0.4">
      <c r="G1671" s="23"/>
    </row>
    <row r="1672" spans="7:7" x14ac:dyDescent="0.4">
      <c r="G1672" s="23"/>
    </row>
    <row r="1673" spans="7:7" x14ac:dyDescent="0.4">
      <c r="G1673" s="23"/>
    </row>
    <row r="1674" spans="7:7" x14ac:dyDescent="0.4">
      <c r="G1674" s="23"/>
    </row>
    <row r="1675" spans="7:7" x14ac:dyDescent="0.4">
      <c r="G1675" s="23"/>
    </row>
    <row r="1676" spans="7:7" x14ac:dyDescent="0.4">
      <c r="G1676" s="23"/>
    </row>
    <row r="1677" spans="7:7" x14ac:dyDescent="0.4">
      <c r="G1677" s="23"/>
    </row>
    <row r="1678" spans="7:7" x14ac:dyDescent="0.4">
      <c r="G1678" s="23"/>
    </row>
    <row r="1679" spans="7:7" x14ac:dyDescent="0.4">
      <c r="G1679" s="23"/>
    </row>
    <row r="1680" spans="7:7" x14ac:dyDescent="0.4">
      <c r="G1680" s="23"/>
    </row>
    <row r="1681" spans="7:7" x14ac:dyDescent="0.4">
      <c r="G1681" s="23"/>
    </row>
    <row r="1682" spans="7:7" x14ac:dyDescent="0.4">
      <c r="G1682" s="23"/>
    </row>
    <row r="1683" spans="7:7" x14ac:dyDescent="0.4">
      <c r="G1683" s="23"/>
    </row>
    <row r="1684" spans="7:7" x14ac:dyDescent="0.4">
      <c r="G1684" s="23"/>
    </row>
    <row r="1685" spans="7:7" x14ac:dyDescent="0.4">
      <c r="G1685" s="23"/>
    </row>
    <row r="1686" spans="7:7" x14ac:dyDescent="0.4">
      <c r="G1686" s="23"/>
    </row>
    <row r="1687" spans="7:7" x14ac:dyDescent="0.4">
      <c r="G1687" s="23"/>
    </row>
    <row r="1688" spans="7:7" x14ac:dyDescent="0.4">
      <c r="G1688" s="23"/>
    </row>
    <row r="1689" spans="7:7" x14ac:dyDescent="0.4">
      <c r="G1689" s="23"/>
    </row>
    <row r="1690" spans="7:7" x14ac:dyDescent="0.4">
      <c r="G1690" s="23"/>
    </row>
    <row r="1691" spans="7:7" x14ac:dyDescent="0.4">
      <c r="G1691" s="23"/>
    </row>
    <row r="1692" spans="7:7" x14ac:dyDescent="0.4">
      <c r="G1692" s="23"/>
    </row>
    <row r="1693" spans="7:7" x14ac:dyDescent="0.4">
      <c r="G1693" s="23"/>
    </row>
    <row r="1694" spans="7:7" x14ac:dyDescent="0.4">
      <c r="G1694" s="23"/>
    </row>
    <row r="1695" spans="7:7" x14ac:dyDescent="0.4">
      <c r="G1695" s="23"/>
    </row>
    <row r="1696" spans="7:7" x14ac:dyDescent="0.4">
      <c r="G1696" s="23"/>
    </row>
    <row r="1697" spans="7:7" x14ac:dyDescent="0.4">
      <c r="G1697" s="23"/>
    </row>
    <row r="1698" spans="7:7" x14ac:dyDescent="0.4">
      <c r="G1698" s="23"/>
    </row>
    <row r="1699" spans="7:7" x14ac:dyDescent="0.4">
      <c r="G1699" s="23"/>
    </row>
    <row r="1700" spans="7:7" x14ac:dyDescent="0.4">
      <c r="G1700" s="23"/>
    </row>
    <row r="1701" spans="7:7" x14ac:dyDescent="0.4">
      <c r="G1701" s="23"/>
    </row>
    <row r="1702" spans="7:7" x14ac:dyDescent="0.4">
      <c r="G1702" s="23"/>
    </row>
    <row r="1703" spans="7:7" x14ac:dyDescent="0.4">
      <c r="G1703" s="23"/>
    </row>
    <row r="1704" spans="7:7" x14ac:dyDescent="0.4">
      <c r="G1704" s="23"/>
    </row>
    <row r="1705" spans="7:7" x14ac:dyDescent="0.4">
      <c r="G1705" s="23"/>
    </row>
    <row r="1706" spans="7:7" x14ac:dyDescent="0.4">
      <c r="G1706" s="23"/>
    </row>
    <row r="1707" spans="7:7" x14ac:dyDescent="0.4">
      <c r="G1707" s="23"/>
    </row>
    <row r="1708" spans="7:7" x14ac:dyDescent="0.4">
      <c r="G1708" s="23"/>
    </row>
    <row r="1709" spans="7:7" x14ac:dyDescent="0.4">
      <c r="G1709" s="23"/>
    </row>
    <row r="1710" spans="7:7" x14ac:dyDescent="0.4">
      <c r="G1710" s="23"/>
    </row>
    <row r="1711" spans="7:7" x14ac:dyDescent="0.4">
      <c r="G1711" s="23"/>
    </row>
    <row r="1712" spans="7:7" x14ac:dyDescent="0.4">
      <c r="G1712" s="23"/>
    </row>
    <row r="1713" spans="7:7" x14ac:dyDescent="0.4">
      <c r="G1713" s="23"/>
    </row>
    <row r="1714" spans="7:7" x14ac:dyDescent="0.4">
      <c r="G1714" s="23"/>
    </row>
    <row r="1715" spans="7:7" x14ac:dyDescent="0.4">
      <c r="G1715" s="23"/>
    </row>
    <row r="1716" spans="7:7" x14ac:dyDescent="0.4">
      <c r="G1716" s="23"/>
    </row>
    <row r="1717" spans="7:7" x14ac:dyDescent="0.4">
      <c r="G1717" s="23"/>
    </row>
    <row r="1718" spans="7:7" x14ac:dyDescent="0.4">
      <c r="G1718" s="23"/>
    </row>
    <row r="1719" spans="7:7" x14ac:dyDescent="0.4">
      <c r="G1719" s="23"/>
    </row>
    <row r="1720" spans="7:7" x14ac:dyDescent="0.4">
      <c r="G1720" s="23"/>
    </row>
    <row r="1721" spans="7:7" x14ac:dyDescent="0.4">
      <c r="G1721" s="23"/>
    </row>
    <row r="1722" spans="7:7" x14ac:dyDescent="0.4">
      <c r="G1722" s="23"/>
    </row>
    <row r="1723" spans="7:7" x14ac:dyDescent="0.4">
      <c r="G1723" s="23"/>
    </row>
    <row r="1724" spans="7:7" x14ac:dyDescent="0.4">
      <c r="G1724" s="23"/>
    </row>
    <row r="1725" spans="7:7" x14ac:dyDescent="0.4">
      <c r="G1725" s="23"/>
    </row>
    <row r="1726" spans="7:7" x14ac:dyDescent="0.4">
      <c r="G1726" s="23"/>
    </row>
    <row r="1727" spans="7:7" x14ac:dyDescent="0.4">
      <c r="G1727" s="23"/>
    </row>
    <row r="1728" spans="7:7" x14ac:dyDescent="0.4">
      <c r="G1728" s="23"/>
    </row>
    <row r="1729" spans="7:7" x14ac:dyDescent="0.4">
      <c r="G1729" s="23"/>
    </row>
    <row r="1730" spans="7:7" x14ac:dyDescent="0.4">
      <c r="G1730" s="23"/>
    </row>
    <row r="1731" spans="7:7" x14ac:dyDescent="0.4">
      <c r="G1731" s="23"/>
    </row>
    <row r="1732" spans="7:7" x14ac:dyDescent="0.4">
      <c r="G1732" s="23"/>
    </row>
    <row r="1733" spans="7:7" x14ac:dyDescent="0.4">
      <c r="G1733" s="23"/>
    </row>
    <row r="1734" spans="7:7" x14ac:dyDescent="0.4">
      <c r="G1734" s="23"/>
    </row>
    <row r="1735" spans="7:7" x14ac:dyDescent="0.4">
      <c r="G1735" s="23"/>
    </row>
    <row r="1736" spans="7:7" x14ac:dyDescent="0.4">
      <c r="G1736" s="23"/>
    </row>
    <row r="1737" spans="7:7" x14ac:dyDescent="0.4">
      <c r="G1737" s="23"/>
    </row>
    <row r="1738" spans="7:7" x14ac:dyDescent="0.4">
      <c r="G1738" s="23"/>
    </row>
    <row r="1739" spans="7:7" x14ac:dyDescent="0.4">
      <c r="G1739" s="23"/>
    </row>
    <row r="1740" spans="7:7" x14ac:dyDescent="0.4">
      <c r="G1740" s="23"/>
    </row>
    <row r="1741" spans="7:7" x14ac:dyDescent="0.4">
      <c r="G1741" s="23"/>
    </row>
    <row r="1742" spans="7:7" x14ac:dyDescent="0.4">
      <c r="G1742" s="23"/>
    </row>
    <row r="1743" spans="7:7" x14ac:dyDescent="0.4">
      <c r="G1743" s="23"/>
    </row>
    <row r="1744" spans="7:7" x14ac:dyDescent="0.4">
      <c r="G1744" s="23"/>
    </row>
    <row r="1745" spans="7:7" x14ac:dyDescent="0.4">
      <c r="G1745" s="23"/>
    </row>
    <row r="1746" spans="7:7" x14ac:dyDescent="0.4">
      <c r="G1746" s="23"/>
    </row>
    <row r="1747" spans="7:7" x14ac:dyDescent="0.4">
      <c r="G1747" s="23"/>
    </row>
    <row r="1748" spans="7:7" x14ac:dyDescent="0.4">
      <c r="G1748" s="23"/>
    </row>
    <row r="1749" spans="7:7" x14ac:dyDescent="0.4">
      <c r="G1749" s="23"/>
    </row>
    <row r="1750" spans="7:7" x14ac:dyDescent="0.4">
      <c r="G1750" s="23"/>
    </row>
    <row r="1751" spans="7:7" x14ac:dyDescent="0.4">
      <c r="G1751" s="23"/>
    </row>
    <row r="1752" spans="7:7" x14ac:dyDescent="0.4">
      <c r="G1752" s="23"/>
    </row>
    <row r="1753" spans="7:7" x14ac:dyDescent="0.4">
      <c r="G1753" s="23"/>
    </row>
    <row r="1754" spans="7:7" x14ac:dyDescent="0.4">
      <c r="G1754" s="23"/>
    </row>
    <row r="1755" spans="7:7" x14ac:dyDescent="0.4">
      <c r="G1755" s="23"/>
    </row>
    <row r="1756" spans="7:7" x14ac:dyDescent="0.4">
      <c r="G1756" s="23"/>
    </row>
    <row r="1757" spans="7:7" x14ac:dyDescent="0.4">
      <c r="G1757" s="23"/>
    </row>
    <row r="1758" spans="7:7" x14ac:dyDescent="0.4">
      <c r="G1758" s="23"/>
    </row>
    <row r="1759" spans="7:7" x14ac:dyDescent="0.4">
      <c r="G1759" s="23"/>
    </row>
    <row r="1760" spans="7:7" x14ac:dyDescent="0.4">
      <c r="G1760" s="23"/>
    </row>
    <row r="1761" spans="7:7" x14ac:dyDescent="0.4">
      <c r="G1761" s="23"/>
    </row>
    <row r="1762" spans="7:7" x14ac:dyDescent="0.4">
      <c r="G1762" s="23"/>
    </row>
    <row r="1763" spans="7:7" x14ac:dyDescent="0.4">
      <c r="G1763" s="23"/>
    </row>
    <row r="1764" spans="7:7" x14ac:dyDescent="0.4">
      <c r="G1764" s="23"/>
    </row>
    <row r="1765" spans="7:7" x14ac:dyDescent="0.4">
      <c r="G1765" s="23"/>
    </row>
    <row r="1766" spans="7:7" x14ac:dyDescent="0.4">
      <c r="G1766" s="23"/>
    </row>
    <row r="1767" spans="7:7" x14ac:dyDescent="0.4">
      <c r="G1767" s="23"/>
    </row>
    <row r="1768" spans="7:7" x14ac:dyDescent="0.4">
      <c r="G1768" s="23"/>
    </row>
    <row r="1769" spans="7:7" x14ac:dyDescent="0.4">
      <c r="G1769" s="23"/>
    </row>
    <row r="1770" spans="7:7" x14ac:dyDescent="0.4">
      <c r="G1770" s="23"/>
    </row>
    <row r="1771" spans="7:7" x14ac:dyDescent="0.4">
      <c r="G1771" s="23"/>
    </row>
    <row r="1772" spans="7:7" x14ac:dyDescent="0.4">
      <c r="G1772" s="23"/>
    </row>
    <row r="1773" spans="7:7" x14ac:dyDescent="0.4">
      <c r="G1773" s="23"/>
    </row>
    <row r="1774" spans="7:7" x14ac:dyDescent="0.4">
      <c r="G1774" s="23"/>
    </row>
    <row r="1775" spans="7:7" x14ac:dyDescent="0.4">
      <c r="G1775" s="23"/>
    </row>
    <row r="1776" spans="7:7" x14ac:dyDescent="0.4">
      <c r="G1776" s="23"/>
    </row>
    <row r="1777" spans="7:7" x14ac:dyDescent="0.4">
      <c r="G1777" s="23"/>
    </row>
    <row r="1778" spans="7:7" x14ac:dyDescent="0.4">
      <c r="G1778" s="23"/>
    </row>
    <row r="1779" spans="7:7" x14ac:dyDescent="0.4">
      <c r="G1779" s="23"/>
    </row>
    <row r="1780" spans="7:7" x14ac:dyDescent="0.4">
      <c r="G1780" s="23"/>
    </row>
    <row r="1781" spans="7:7" x14ac:dyDescent="0.4">
      <c r="G1781" s="23"/>
    </row>
    <row r="1782" spans="7:7" x14ac:dyDescent="0.4">
      <c r="G1782" s="23"/>
    </row>
    <row r="1783" spans="7:7" x14ac:dyDescent="0.4">
      <c r="G1783" s="23"/>
    </row>
    <row r="1784" spans="7:7" x14ac:dyDescent="0.4">
      <c r="G1784" s="23"/>
    </row>
    <row r="1785" spans="7:7" x14ac:dyDescent="0.4">
      <c r="G1785" s="23"/>
    </row>
    <row r="1786" spans="7:7" x14ac:dyDescent="0.4">
      <c r="G1786" s="23"/>
    </row>
    <row r="1787" spans="7:7" x14ac:dyDescent="0.4">
      <c r="G1787" s="23"/>
    </row>
    <row r="1788" spans="7:7" x14ac:dyDescent="0.4">
      <c r="G1788" s="23"/>
    </row>
    <row r="1789" spans="7:7" x14ac:dyDescent="0.4">
      <c r="G1789" s="23"/>
    </row>
    <row r="1790" spans="7:7" x14ac:dyDescent="0.4">
      <c r="G1790" s="23"/>
    </row>
    <row r="1791" spans="7:7" x14ac:dyDescent="0.4">
      <c r="G1791" s="23"/>
    </row>
    <row r="1792" spans="7:7" x14ac:dyDescent="0.4">
      <c r="G1792" s="23"/>
    </row>
    <row r="1793" spans="7:7" x14ac:dyDescent="0.4">
      <c r="G1793" s="23"/>
    </row>
    <row r="1794" spans="7:7" x14ac:dyDescent="0.4">
      <c r="G1794" s="23"/>
    </row>
    <row r="1795" spans="7:7" x14ac:dyDescent="0.4">
      <c r="G1795" s="23"/>
    </row>
    <row r="1796" spans="7:7" x14ac:dyDescent="0.4">
      <c r="G1796" s="23"/>
    </row>
    <row r="1797" spans="7:7" x14ac:dyDescent="0.4">
      <c r="G1797" s="23"/>
    </row>
    <row r="1798" spans="7:7" x14ac:dyDescent="0.4">
      <c r="G1798" s="23"/>
    </row>
    <row r="1799" spans="7:7" x14ac:dyDescent="0.4">
      <c r="G1799" s="23"/>
    </row>
    <row r="1800" spans="7:7" x14ac:dyDescent="0.4">
      <c r="G1800" s="23"/>
    </row>
    <row r="1801" spans="7:7" x14ac:dyDescent="0.4">
      <c r="G1801" s="23"/>
    </row>
    <row r="1802" spans="7:7" x14ac:dyDescent="0.4">
      <c r="G1802" s="23"/>
    </row>
    <row r="1803" spans="7:7" x14ac:dyDescent="0.4">
      <c r="G1803" s="23"/>
    </row>
    <row r="1804" spans="7:7" x14ac:dyDescent="0.4">
      <c r="G1804" s="23"/>
    </row>
    <row r="1805" spans="7:7" x14ac:dyDescent="0.4">
      <c r="G1805" s="23"/>
    </row>
    <row r="1806" spans="7:7" x14ac:dyDescent="0.4">
      <c r="G1806" s="23"/>
    </row>
    <row r="1807" spans="7:7" x14ac:dyDescent="0.4">
      <c r="G1807" s="23"/>
    </row>
    <row r="1808" spans="7:7" x14ac:dyDescent="0.4">
      <c r="G1808" s="23"/>
    </row>
    <row r="1809" spans="7:7" x14ac:dyDescent="0.4">
      <c r="G1809" s="23"/>
    </row>
    <row r="1810" spans="7:7" x14ac:dyDescent="0.4">
      <c r="G1810" s="23"/>
    </row>
    <row r="1811" spans="7:7" x14ac:dyDescent="0.4">
      <c r="G1811" s="23"/>
    </row>
    <row r="1812" spans="7:7" x14ac:dyDescent="0.4">
      <c r="G1812" s="23"/>
    </row>
    <row r="1813" spans="7:7" x14ac:dyDescent="0.4">
      <c r="G1813" s="23"/>
    </row>
    <row r="1814" spans="7:7" x14ac:dyDescent="0.4">
      <c r="G1814" s="23"/>
    </row>
    <row r="1815" spans="7:7" x14ac:dyDescent="0.4">
      <c r="G1815" s="23"/>
    </row>
    <row r="1816" spans="7:7" x14ac:dyDescent="0.4">
      <c r="G1816" s="23"/>
    </row>
    <row r="1817" spans="7:7" x14ac:dyDescent="0.4">
      <c r="G1817" s="23"/>
    </row>
    <row r="1818" spans="7:7" x14ac:dyDescent="0.4">
      <c r="G1818" s="23"/>
    </row>
    <row r="1819" spans="7:7" x14ac:dyDescent="0.4">
      <c r="G1819" s="23"/>
    </row>
    <row r="1820" spans="7:7" x14ac:dyDescent="0.4">
      <c r="G1820" s="23"/>
    </row>
    <row r="1821" spans="7:7" x14ac:dyDescent="0.4">
      <c r="G1821" s="23"/>
    </row>
    <row r="1822" spans="7:7" x14ac:dyDescent="0.4">
      <c r="G1822" s="23"/>
    </row>
    <row r="1823" spans="7:7" x14ac:dyDescent="0.4">
      <c r="G1823" s="23"/>
    </row>
    <row r="1824" spans="7:7" x14ac:dyDescent="0.4">
      <c r="G1824" s="23"/>
    </row>
    <row r="1825" spans="7:7" x14ac:dyDescent="0.4">
      <c r="G1825" s="23"/>
    </row>
    <row r="1826" spans="7:7" x14ac:dyDescent="0.4">
      <c r="G1826" s="23"/>
    </row>
    <row r="1827" spans="7:7" x14ac:dyDescent="0.4">
      <c r="G1827" s="23"/>
    </row>
    <row r="1828" spans="7:7" x14ac:dyDescent="0.4">
      <c r="G1828" s="23"/>
    </row>
    <row r="1829" spans="7:7" x14ac:dyDescent="0.4">
      <c r="G1829" s="23"/>
    </row>
    <row r="1830" spans="7:7" x14ac:dyDescent="0.4">
      <c r="G1830" s="23"/>
    </row>
    <row r="1831" spans="7:7" x14ac:dyDescent="0.4">
      <c r="G1831" s="23"/>
    </row>
    <row r="1832" spans="7:7" x14ac:dyDescent="0.4">
      <c r="G1832" s="23"/>
    </row>
    <row r="1833" spans="7:7" x14ac:dyDescent="0.4">
      <c r="G1833" s="23"/>
    </row>
    <row r="1834" spans="7:7" x14ac:dyDescent="0.4">
      <c r="G1834" s="23"/>
    </row>
    <row r="1835" spans="7:7" x14ac:dyDescent="0.4">
      <c r="G1835" s="23"/>
    </row>
    <row r="1836" spans="7:7" x14ac:dyDescent="0.4">
      <c r="G1836" s="23"/>
    </row>
    <row r="1837" spans="7:7" x14ac:dyDescent="0.4">
      <c r="G1837" s="23"/>
    </row>
    <row r="1838" spans="7:7" x14ac:dyDescent="0.4">
      <c r="G1838" s="23"/>
    </row>
    <row r="1839" spans="7:7" x14ac:dyDescent="0.4">
      <c r="G1839" s="23"/>
    </row>
    <row r="1840" spans="7:7" x14ac:dyDescent="0.4">
      <c r="G1840" s="23"/>
    </row>
    <row r="1841" spans="7:7" x14ac:dyDescent="0.4">
      <c r="G1841" s="23"/>
    </row>
    <row r="1842" spans="7:7" x14ac:dyDescent="0.4">
      <c r="G1842" s="23"/>
    </row>
    <row r="1843" spans="7:7" x14ac:dyDescent="0.4">
      <c r="G1843" s="23"/>
    </row>
    <row r="1844" spans="7:7" x14ac:dyDescent="0.4">
      <c r="G1844" s="23"/>
    </row>
    <row r="1845" spans="7:7" x14ac:dyDescent="0.4">
      <c r="G1845" s="23"/>
    </row>
    <row r="1846" spans="7:7" x14ac:dyDescent="0.4">
      <c r="G1846" s="23"/>
    </row>
    <row r="1847" spans="7:7" x14ac:dyDescent="0.4">
      <c r="G1847" s="23"/>
    </row>
    <row r="1848" spans="7:7" x14ac:dyDescent="0.4">
      <c r="G1848" s="23"/>
    </row>
    <row r="1849" spans="7:7" x14ac:dyDescent="0.4">
      <c r="G1849" s="23"/>
    </row>
    <row r="1850" spans="7:7" x14ac:dyDescent="0.4">
      <c r="G1850" s="23"/>
    </row>
    <row r="1851" spans="7:7" x14ac:dyDescent="0.4">
      <c r="G1851" s="23"/>
    </row>
    <row r="1852" spans="7:7" x14ac:dyDescent="0.4">
      <c r="G1852" s="23"/>
    </row>
    <row r="1853" spans="7:7" x14ac:dyDescent="0.4">
      <c r="G1853" s="23"/>
    </row>
    <row r="1854" spans="7:7" x14ac:dyDescent="0.4">
      <c r="G1854" s="23"/>
    </row>
    <row r="1855" spans="7:7" x14ac:dyDescent="0.4">
      <c r="G1855" s="23"/>
    </row>
    <row r="1856" spans="7:7" x14ac:dyDescent="0.4">
      <c r="G1856" s="23"/>
    </row>
    <row r="1857" spans="7:7" x14ac:dyDescent="0.4">
      <c r="G1857" s="23"/>
    </row>
    <row r="1858" spans="7:7" x14ac:dyDescent="0.4">
      <c r="G1858" s="23"/>
    </row>
    <row r="1859" spans="7:7" x14ac:dyDescent="0.4">
      <c r="G1859" s="23"/>
    </row>
    <row r="1860" spans="7:7" x14ac:dyDescent="0.4">
      <c r="G1860" s="23"/>
    </row>
    <row r="1861" spans="7:7" x14ac:dyDescent="0.4">
      <c r="G1861" s="23"/>
    </row>
    <row r="1862" spans="7:7" x14ac:dyDescent="0.4">
      <c r="G1862" s="23"/>
    </row>
    <row r="1863" spans="7:7" x14ac:dyDescent="0.4">
      <c r="G1863" s="23"/>
    </row>
    <row r="1864" spans="7:7" x14ac:dyDescent="0.4">
      <c r="G1864" s="23"/>
    </row>
    <row r="1865" spans="7:7" x14ac:dyDescent="0.4">
      <c r="G1865" s="23"/>
    </row>
    <row r="1866" spans="7:7" x14ac:dyDescent="0.4">
      <c r="G1866" s="23"/>
    </row>
    <row r="1867" spans="7:7" x14ac:dyDescent="0.4">
      <c r="G1867" s="23"/>
    </row>
    <row r="1868" spans="7:7" x14ac:dyDescent="0.4">
      <c r="G1868" s="23"/>
    </row>
    <row r="1869" spans="7:7" x14ac:dyDescent="0.4">
      <c r="G1869" s="23"/>
    </row>
    <row r="1870" spans="7:7" x14ac:dyDescent="0.4">
      <c r="G1870" s="23"/>
    </row>
    <row r="1871" spans="7:7" x14ac:dyDescent="0.4">
      <c r="G1871" s="23"/>
    </row>
    <row r="1872" spans="7:7" x14ac:dyDescent="0.4">
      <c r="G1872" s="23"/>
    </row>
    <row r="1873" spans="7:7" x14ac:dyDescent="0.4">
      <c r="G1873" s="23"/>
    </row>
    <row r="1874" spans="7:7" x14ac:dyDescent="0.4">
      <c r="G1874" s="23"/>
    </row>
    <row r="1875" spans="7:7" x14ac:dyDescent="0.4">
      <c r="G1875" s="23"/>
    </row>
    <row r="1876" spans="7:7" x14ac:dyDescent="0.4">
      <c r="G1876" s="23"/>
    </row>
    <row r="1877" spans="7:7" x14ac:dyDescent="0.4">
      <c r="G1877" s="23"/>
    </row>
    <row r="1878" spans="7:7" x14ac:dyDescent="0.4">
      <c r="G1878" s="23"/>
    </row>
    <row r="1879" spans="7:7" x14ac:dyDescent="0.4">
      <c r="G1879" s="23"/>
    </row>
    <row r="1880" spans="7:7" x14ac:dyDescent="0.4">
      <c r="G1880" s="23"/>
    </row>
    <row r="1881" spans="7:7" x14ac:dyDescent="0.4">
      <c r="G1881" s="23"/>
    </row>
    <row r="1882" spans="7:7" x14ac:dyDescent="0.4">
      <c r="G1882" s="23"/>
    </row>
    <row r="1883" spans="7:7" x14ac:dyDescent="0.4">
      <c r="G1883" s="23"/>
    </row>
    <row r="1884" spans="7:7" x14ac:dyDescent="0.4">
      <c r="G1884" s="23"/>
    </row>
    <row r="1885" spans="7:7" x14ac:dyDescent="0.4">
      <c r="G1885" s="23"/>
    </row>
    <row r="1886" spans="7:7" x14ac:dyDescent="0.4">
      <c r="G1886" s="23"/>
    </row>
    <row r="1887" spans="7:7" x14ac:dyDescent="0.4">
      <c r="G1887" s="23"/>
    </row>
    <row r="1888" spans="7:7" x14ac:dyDescent="0.4">
      <c r="G1888" s="23"/>
    </row>
    <row r="1889" spans="7:7" x14ac:dyDescent="0.4">
      <c r="G1889" s="23"/>
    </row>
    <row r="1890" spans="7:7" x14ac:dyDescent="0.4">
      <c r="G1890" s="23"/>
    </row>
    <row r="1891" spans="7:7" x14ac:dyDescent="0.4">
      <c r="G1891" s="23"/>
    </row>
    <row r="1892" spans="7:7" x14ac:dyDescent="0.4">
      <c r="G1892" s="23"/>
    </row>
    <row r="1893" spans="7:7" x14ac:dyDescent="0.4">
      <c r="G1893" s="23"/>
    </row>
    <row r="1894" spans="7:7" x14ac:dyDescent="0.4">
      <c r="G1894" s="23"/>
    </row>
    <row r="1895" spans="7:7" x14ac:dyDescent="0.4">
      <c r="G1895" s="23"/>
    </row>
    <row r="1896" spans="7:7" x14ac:dyDescent="0.4">
      <c r="G1896" s="23"/>
    </row>
    <row r="1897" spans="7:7" x14ac:dyDescent="0.4">
      <c r="G1897" s="23"/>
    </row>
    <row r="1898" spans="7:7" x14ac:dyDescent="0.4">
      <c r="G1898" s="23"/>
    </row>
    <row r="1899" spans="7:7" x14ac:dyDescent="0.4">
      <c r="G1899" s="23"/>
    </row>
    <row r="1900" spans="7:7" x14ac:dyDescent="0.4">
      <c r="G1900" s="23"/>
    </row>
    <row r="1901" spans="7:7" x14ac:dyDescent="0.4">
      <c r="G1901" s="23"/>
    </row>
    <row r="1902" spans="7:7" x14ac:dyDescent="0.4">
      <c r="G1902" s="23"/>
    </row>
    <row r="1903" spans="7:7" x14ac:dyDescent="0.4">
      <c r="G1903" s="23"/>
    </row>
    <row r="1904" spans="7:7" x14ac:dyDescent="0.4">
      <c r="G1904" s="23"/>
    </row>
    <row r="1905" spans="7:7" x14ac:dyDescent="0.4">
      <c r="G1905" s="23"/>
    </row>
    <row r="1906" spans="7:7" x14ac:dyDescent="0.4">
      <c r="G1906" s="23"/>
    </row>
    <row r="1907" spans="7:7" x14ac:dyDescent="0.4">
      <c r="G1907" s="23"/>
    </row>
    <row r="1908" spans="7:7" x14ac:dyDescent="0.4">
      <c r="G1908" s="23"/>
    </row>
    <row r="1909" spans="7:7" x14ac:dyDescent="0.4">
      <c r="G1909" s="23"/>
    </row>
    <row r="1910" spans="7:7" x14ac:dyDescent="0.4">
      <c r="G1910" s="23"/>
    </row>
    <row r="1911" spans="7:7" x14ac:dyDescent="0.4">
      <c r="G1911" s="23"/>
    </row>
    <row r="1912" spans="7:7" x14ac:dyDescent="0.4">
      <c r="G1912" s="23"/>
    </row>
    <row r="1913" spans="7:7" x14ac:dyDescent="0.4">
      <c r="G1913" s="23"/>
    </row>
    <row r="1914" spans="7:7" x14ac:dyDescent="0.4">
      <c r="G1914" s="23"/>
    </row>
    <row r="1915" spans="7:7" x14ac:dyDescent="0.4">
      <c r="G1915" s="23"/>
    </row>
    <row r="1916" spans="7:7" x14ac:dyDescent="0.4">
      <c r="G1916" s="23"/>
    </row>
    <row r="1917" spans="7:7" x14ac:dyDescent="0.4">
      <c r="G1917" s="23"/>
    </row>
    <row r="1918" spans="7:7" x14ac:dyDescent="0.4">
      <c r="G1918" s="23"/>
    </row>
    <row r="1919" spans="7:7" x14ac:dyDescent="0.4">
      <c r="G1919" s="23"/>
    </row>
    <row r="1920" spans="7:7" x14ac:dyDescent="0.4">
      <c r="G1920" s="23"/>
    </row>
    <row r="1921" spans="7:7" x14ac:dyDescent="0.4">
      <c r="G1921" s="23"/>
    </row>
    <row r="1922" spans="7:7" x14ac:dyDescent="0.4">
      <c r="G1922" s="23"/>
    </row>
    <row r="1923" spans="7:7" x14ac:dyDescent="0.4">
      <c r="G1923" s="23"/>
    </row>
    <row r="1924" spans="7:7" x14ac:dyDescent="0.4">
      <c r="G1924" s="23"/>
    </row>
    <row r="1925" spans="7:7" x14ac:dyDescent="0.4">
      <c r="G1925" s="23"/>
    </row>
    <row r="1926" spans="7:7" x14ac:dyDescent="0.4">
      <c r="G1926" s="23"/>
    </row>
    <row r="1927" spans="7:7" x14ac:dyDescent="0.4">
      <c r="G1927" s="23"/>
    </row>
    <row r="1928" spans="7:7" x14ac:dyDescent="0.4">
      <c r="G1928" s="23"/>
    </row>
    <row r="1929" spans="7:7" x14ac:dyDescent="0.4">
      <c r="G1929" s="23"/>
    </row>
    <row r="1930" spans="7:7" x14ac:dyDescent="0.4">
      <c r="G1930" s="23"/>
    </row>
    <row r="1931" spans="7:7" x14ac:dyDescent="0.4">
      <c r="G1931" s="23"/>
    </row>
    <row r="1932" spans="7:7" x14ac:dyDescent="0.4">
      <c r="G1932" s="23"/>
    </row>
    <row r="1933" spans="7:7" x14ac:dyDescent="0.4">
      <c r="G1933" s="23"/>
    </row>
    <row r="1934" spans="7:7" x14ac:dyDescent="0.4">
      <c r="G1934" s="23"/>
    </row>
    <row r="1935" spans="7:7" x14ac:dyDescent="0.4">
      <c r="G1935" s="23"/>
    </row>
    <row r="1936" spans="7:7" x14ac:dyDescent="0.4">
      <c r="G1936" s="23"/>
    </row>
    <row r="1937" spans="7:7" x14ac:dyDescent="0.4">
      <c r="G1937" s="23"/>
    </row>
    <row r="1938" spans="7:7" x14ac:dyDescent="0.4">
      <c r="G1938" s="23"/>
    </row>
    <row r="1939" spans="7:7" x14ac:dyDescent="0.4">
      <c r="G1939" s="23"/>
    </row>
    <row r="1940" spans="7:7" x14ac:dyDescent="0.4">
      <c r="G1940" s="23"/>
    </row>
    <row r="1941" spans="7:7" x14ac:dyDescent="0.4">
      <c r="G1941" s="23"/>
    </row>
    <row r="1942" spans="7:7" x14ac:dyDescent="0.4">
      <c r="G1942" s="23"/>
    </row>
    <row r="1943" spans="7:7" x14ac:dyDescent="0.4">
      <c r="G1943" s="23"/>
    </row>
    <row r="1944" spans="7:7" x14ac:dyDescent="0.4">
      <c r="G1944" s="23"/>
    </row>
    <row r="1945" spans="7:7" x14ac:dyDescent="0.4">
      <c r="G1945" s="23"/>
    </row>
    <row r="1946" spans="7:7" x14ac:dyDescent="0.4">
      <c r="G1946" s="23"/>
    </row>
    <row r="1947" spans="7:7" x14ac:dyDescent="0.4">
      <c r="G1947" s="23"/>
    </row>
    <row r="1948" spans="7:7" x14ac:dyDescent="0.4">
      <c r="G1948" s="23"/>
    </row>
    <row r="1949" spans="7:7" x14ac:dyDescent="0.4">
      <c r="G1949" s="23"/>
    </row>
    <row r="1950" spans="7:7" x14ac:dyDescent="0.4">
      <c r="G1950" s="23"/>
    </row>
    <row r="1951" spans="7:7" x14ac:dyDescent="0.4">
      <c r="G1951" s="23"/>
    </row>
    <row r="1952" spans="7:7" x14ac:dyDescent="0.4">
      <c r="G1952" s="23"/>
    </row>
    <row r="1953" spans="7:7" x14ac:dyDescent="0.4">
      <c r="G1953" s="23"/>
    </row>
    <row r="1954" spans="7:7" x14ac:dyDescent="0.4">
      <c r="G1954" s="23"/>
    </row>
    <row r="1955" spans="7:7" x14ac:dyDescent="0.4">
      <c r="G1955" s="23"/>
    </row>
    <row r="1956" spans="7:7" x14ac:dyDescent="0.4">
      <c r="G1956" s="23"/>
    </row>
    <row r="1957" spans="7:7" x14ac:dyDescent="0.4">
      <c r="G1957" s="23"/>
    </row>
    <row r="1958" spans="7:7" x14ac:dyDescent="0.4">
      <c r="G1958" s="23"/>
    </row>
    <row r="1959" spans="7:7" x14ac:dyDescent="0.4">
      <c r="G1959" s="23"/>
    </row>
    <row r="1960" spans="7:7" x14ac:dyDescent="0.4">
      <c r="G1960" s="23"/>
    </row>
    <row r="1961" spans="7:7" x14ac:dyDescent="0.4">
      <c r="G1961" s="23"/>
    </row>
    <row r="1962" spans="7:7" x14ac:dyDescent="0.4">
      <c r="G1962" s="23"/>
    </row>
    <row r="1963" spans="7:7" x14ac:dyDescent="0.4">
      <c r="G1963" s="23"/>
    </row>
    <row r="1964" spans="7:7" x14ac:dyDescent="0.4">
      <c r="G1964" s="23"/>
    </row>
    <row r="1965" spans="7:7" x14ac:dyDescent="0.4">
      <c r="G1965" s="23"/>
    </row>
    <row r="1966" spans="7:7" x14ac:dyDescent="0.4">
      <c r="G1966" s="23"/>
    </row>
    <row r="1967" spans="7:7" x14ac:dyDescent="0.4">
      <c r="G1967" s="23"/>
    </row>
    <row r="1968" spans="7:7" x14ac:dyDescent="0.4">
      <c r="G1968" s="23"/>
    </row>
    <row r="1969" spans="7:7" x14ac:dyDescent="0.4">
      <c r="G1969" s="23"/>
    </row>
    <row r="1970" spans="7:7" x14ac:dyDescent="0.4">
      <c r="G1970" s="23"/>
    </row>
    <row r="1971" spans="7:7" x14ac:dyDescent="0.4">
      <c r="G1971" s="23"/>
    </row>
    <row r="1972" spans="7:7" x14ac:dyDescent="0.4">
      <c r="G1972" s="23"/>
    </row>
    <row r="1973" spans="7:7" x14ac:dyDescent="0.4">
      <c r="G1973" s="23"/>
    </row>
    <row r="1974" spans="7:7" x14ac:dyDescent="0.4">
      <c r="G1974" s="23"/>
    </row>
    <row r="1975" spans="7:7" x14ac:dyDescent="0.4">
      <c r="G1975" s="23"/>
    </row>
    <row r="1976" spans="7:7" x14ac:dyDescent="0.4">
      <c r="G1976" s="23"/>
    </row>
    <row r="1977" spans="7:7" x14ac:dyDescent="0.4">
      <c r="G1977" s="23"/>
    </row>
    <row r="1978" spans="7:7" x14ac:dyDescent="0.4">
      <c r="G1978" s="23"/>
    </row>
    <row r="1979" spans="7:7" x14ac:dyDescent="0.4">
      <c r="G1979" s="23"/>
    </row>
    <row r="1980" spans="7:7" x14ac:dyDescent="0.4">
      <c r="G1980" s="23"/>
    </row>
    <row r="1981" spans="7:7" x14ac:dyDescent="0.4">
      <c r="G1981" s="23"/>
    </row>
    <row r="1982" spans="7:7" x14ac:dyDescent="0.4">
      <c r="G1982" s="23"/>
    </row>
    <row r="1983" spans="7:7" x14ac:dyDescent="0.4">
      <c r="G1983" s="23"/>
    </row>
    <row r="1984" spans="7:7" x14ac:dyDescent="0.4">
      <c r="G1984" s="23"/>
    </row>
    <row r="1985" spans="7:7" x14ac:dyDescent="0.4">
      <c r="G1985" s="23"/>
    </row>
    <row r="1986" spans="7:7" x14ac:dyDescent="0.4">
      <c r="G1986" s="23"/>
    </row>
    <row r="1987" spans="7:7" x14ac:dyDescent="0.4">
      <c r="G1987" s="23"/>
    </row>
    <row r="1988" spans="7:7" x14ac:dyDescent="0.4">
      <c r="G1988" s="23"/>
    </row>
    <row r="1989" spans="7:7" x14ac:dyDescent="0.4">
      <c r="G1989" s="23"/>
    </row>
    <row r="1990" spans="7:7" x14ac:dyDescent="0.4">
      <c r="G1990" s="23"/>
    </row>
    <row r="1991" spans="7:7" x14ac:dyDescent="0.4">
      <c r="G1991" s="23"/>
    </row>
    <row r="1992" spans="7:7" x14ac:dyDescent="0.4">
      <c r="G1992" s="23"/>
    </row>
    <row r="1993" spans="7:7" x14ac:dyDescent="0.4">
      <c r="G1993" s="23"/>
    </row>
    <row r="1994" spans="7:7" x14ac:dyDescent="0.4">
      <c r="G1994" s="23"/>
    </row>
    <row r="1995" spans="7:7" x14ac:dyDescent="0.4">
      <c r="G1995" s="23"/>
    </row>
    <row r="1996" spans="7:7" x14ac:dyDescent="0.4">
      <c r="G1996" s="23"/>
    </row>
    <row r="1997" spans="7:7" x14ac:dyDescent="0.4">
      <c r="G1997" s="23"/>
    </row>
    <row r="1998" spans="7:7" x14ac:dyDescent="0.4">
      <c r="G1998" s="23"/>
    </row>
    <row r="1999" spans="7:7" x14ac:dyDescent="0.4">
      <c r="G1999" s="23"/>
    </row>
    <row r="2000" spans="7:7" x14ac:dyDescent="0.4">
      <c r="G2000" s="23"/>
    </row>
    <row r="2001" spans="7:7" x14ac:dyDescent="0.4">
      <c r="G2001" s="23"/>
    </row>
    <row r="2002" spans="7:7" x14ac:dyDescent="0.4">
      <c r="G2002" s="23"/>
    </row>
    <row r="2003" spans="7:7" x14ac:dyDescent="0.4">
      <c r="G2003" s="23"/>
    </row>
    <row r="2004" spans="7:7" x14ac:dyDescent="0.4">
      <c r="G2004" s="23"/>
    </row>
    <row r="2005" spans="7:7" x14ac:dyDescent="0.4">
      <c r="G2005" s="23"/>
    </row>
    <row r="2006" spans="7:7" x14ac:dyDescent="0.4">
      <c r="G2006" s="23"/>
    </row>
    <row r="2007" spans="7:7" x14ac:dyDescent="0.4">
      <c r="G2007" s="23"/>
    </row>
    <row r="2008" spans="7:7" x14ac:dyDescent="0.4">
      <c r="G2008" s="23"/>
    </row>
    <row r="2009" spans="7:7" x14ac:dyDescent="0.4">
      <c r="G2009" s="23"/>
    </row>
    <row r="2010" spans="7:7" x14ac:dyDescent="0.4">
      <c r="G2010" s="23"/>
    </row>
    <row r="2011" spans="7:7" x14ac:dyDescent="0.4">
      <c r="G2011" s="23"/>
    </row>
    <row r="2012" spans="7:7" x14ac:dyDescent="0.4">
      <c r="G2012" s="23"/>
    </row>
    <row r="2013" spans="7:7" x14ac:dyDescent="0.4">
      <c r="G2013" s="23"/>
    </row>
    <row r="2014" spans="7:7" x14ac:dyDescent="0.4">
      <c r="G2014" s="23"/>
    </row>
    <row r="2015" spans="7:7" x14ac:dyDescent="0.4">
      <c r="G2015" s="23"/>
    </row>
    <row r="2016" spans="7:7" x14ac:dyDescent="0.4">
      <c r="G2016" s="23"/>
    </row>
    <row r="2017" spans="7:7" x14ac:dyDescent="0.4">
      <c r="G2017" s="23"/>
    </row>
    <row r="2018" spans="7:7" x14ac:dyDescent="0.4">
      <c r="G2018" s="23"/>
    </row>
    <row r="2019" spans="7:7" x14ac:dyDescent="0.4">
      <c r="G2019" s="23"/>
    </row>
    <row r="2020" spans="7:7" x14ac:dyDescent="0.4">
      <c r="G2020" s="23"/>
    </row>
    <row r="2021" spans="7:7" x14ac:dyDescent="0.4">
      <c r="G2021" s="23"/>
    </row>
    <row r="2022" spans="7:7" x14ac:dyDescent="0.4">
      <c r="G2022" s="23"/>
    </row>
    <row r="2023" spans="7:7" x14ac:dyDescent="0.4">
      <c r="G2023" s="23"/>
    </row>
    <row r="2024" spans="7:7" x14ac:dyDescent="0.4">
      <c r="G2024" s="23"/>
    </row>
    <row r="2025" spans="7:7" x14ac:dyDescent="0.4">
      <c r="G2025" s="23"/>
    </row>
    <row r="2026" spans="7:7" x14ac:dyDescent="0.4">
      <c r="G2026" s="23"/>
    </row>
    <row r="2027" spans="7:7" x14ac:dyDescent="0.4">
      <c r="G2027" s="23"/>
    </row>
    <row r="2028" spans="7:7" x14ac:dyDescent="0.4">
      <c r="G2028" s="23"/>
    </row>
    <row r="2029" spans="7:7" x14ac:dyDescent="0.4">
      <c r="G2029" s="23"/>
    </row>
    <row r="2030" spans="7:7" x14ac:dyDescent="0.4">
      <c r="G2030" s="23"/>
    </row>
    <row r="2031" spans="7:7" x14ac:dyDescent="0.4">
      <c r="G2031" s="23"/>
    </row>
    <row r="2032" spans="7:7" x14ac:dyDescent="0.4">
      <c r="G2032" s="23"/>
    </row>
    <row r="2033" spans="7:7" x14ac:dyDescent="0.4">
      <c r="G2033" s="23"/>
    </row>
    <row r="2034" spans="7:7" x14ac:dyDescent="0.4">
      <c r="G2034" s="23"/>
    </row>
    <row r="2035" spans="7:7" x14ac:dyDescent="0.4">
      <c r="G2035" s="23"/>
    </row>
    <row r="2036" spans="7:7" x14ac:dyDescent="0.4">
      <c r="G2036" s="23"/>
    </row>
    <row r="2037" spans="7:7" x14ac:dyDescent="0.4">
      <c r="G2037" s="23"/>
    </row>
    <row r="2038" spans="7:7" x14ac:dyDescent="0.4">
      <c r="G2038" s="23"/>
    </row>
    <row r="2039" spans="7:7" x14ac:dyDescent="0.4">
      <c r="G2039" s="23"/>
    </row>
    <row r="2040" spans="7:7" x14ac:dyDescent="0.4">
      <c r="G2040" s="23"/>
    </row>
    <row r="2041" spans="7:7" x14ac:dyDescent="0.4">
      <c r="G2041" s="23"/>
    </row>
    <row r="2042" spans="7:7" x14ac:dyDescent="0.4">
      <c r="G2042" s="23"/>
    </row>
    <row r="2043" spans="7:7" x14ac:dyDescent="0.4">
      <c r="G2043" s="23"/>
    </row>
    <row r="2044" spans="7:7" x14ac:dyDescent="0.4">
      <c r="G2044" s="23"/>
    </row>
    <row r="2045" spans="7:7" x14ac:dyDescent="0.4">
      <c r="G2045" s="23"/>
    </row>
    <row r="2046" spans="7:7" x14ac:dyDescent="0.4">
      <c r="G2046" s="23"/>
    </row>
    <row r="2047" spans="7:7" x14ac:dyDescent="0.4">
      <c r="G2047" s="23"/>
    </row>
    <row r="2048" spans="7:7" x14ac:dyDescent="0.4">
      <c r="G2048" s="23"/>
    </row>
    <row r="2049" spans="7:7" x14ac:dyDescent="0.4">
      <c r="G2049" s="23"/>
    </row>
    <row r="2050" spans="7:7" x14ac:dyDescent="0.4">
      <c r="G2050" s="23"/>
    </row>
    <row r="2051" spans="7:7" x14ac:dyDescent="0.4">
      <c r="G2051" s="23"/>
    </row>
    <row r="2052" spans="7:7" x14ac:dyDescent="0.4">
      <c r="G2052" s="23"/>
    </row>
    <row r="2053" spans="7:7" x14ac:dyDescent="0.4">
      <c r="G2053" s="23"/>
    </row>
    <row r="2054" spans="7:7" x14ac:dyDescent="0.4">
      <c r="G2054" s="23"/>
    </row>
    <row r="2055" spans="7:7" x14ac:dyDescent="0.4">
      <c r="G2055" s="23"/>
    </row>
    <row r="2056" spans="7:7" x14ac:dyDescent="0.4">
      <c r="G2056" s="23"/>
    </row>
    <row r="2057" spans="7:7" x14ac:dyDescent="0.4">
      <c r="G2057" s="23"/>
    </row>
    <row r="2058" spans="7:7" x14ac:dyDescent="0.4">
      <c r="G2058" s="23"/>
    </row>
    <row r="2059" spans="7:7" x14ac:dyDescent="0.4">
      <c r="G2059" s="23"/>
    </row>
    <row r="2060" spans="7:7" x14ac:dyDescent="0.4">
      <c r="G2060" s="23"/>
    </row>
    <row r="2061" spans="7:7" x14ac:dyDescent="0.4">
      <c r="G2061" s="23"/>
    </row>
    <row r="2062" spans="7:7" x14ac:dyDescent="0.4">
      <c r="G2062" s="23"/>
    </row>
    <row r="2063" spans="7:7" x14ac:dyDescent="0.4">
      <c r="G2063" s="23"/>
    </row>
    <row r="2064" spans="7:7" x14ac:dyDescent="0.4">
      <c r="G2064" s="23"/>
    </row>
    <row r="2065" spans="7:7" x14ac:dyDescent="0.4">
      <c r="G2065" s="23"/>
    </row>
    <row r="2066" spans="7:7" x14ac:dyDescent="0.4">
      <c r="G2066" s="23"/>
    </row>
    <row r="2067" spans="7:7" x14ac:dyDescent="0.4">
      <c r="G2067" s="23"/>
    </row>
    <row r="2068" spans="7:7" x14ac:dyDescent="0.4">
      <c r="G2068" s="23"/>
    </row>
    <row r="2069" spans="7:7" x14ac:dyDescent="0.4">
      <c r="G2069" s="23"/>
    </row>
    <row r="2070" spans="7:7" x14ac:dyDescent="0.4">
      <c r="G2070" s="23"/>
    </row>
    <row r="2071" spans="7:7" x14ac:dyDescent="0.4">
      <c r="G2071" s="23"/>
    </row>
    <row r="2072" spans="7:7" x14ac:dyDescent="0.4">
      <c r="G2072" s="23"/>
    </row>
    <row r="2073" spans="7:7" x14ac:dyDescent="0.4">
      <c r="G2073" s="23"/>
    </row>
    <row r="2074" spans="7:7" x14ac:dyDescent="0.4">
      <c r="G2074" s="23"/>
    </row>
    <row r="2075" spans="7:7" x14ac:dyDescent="0.4">
      <c r="G2075" s="23"/>
    </row>
    <row r="2076" spans="7:7" x14ac:dyDescent="0.4">
      <c r="G2076" s="23"/>
    </row>
    <row r="2077" spans="7:7" x14ac:dyDescent="0.4">
      <c r="G2077" s="23"/>
    </row>
    <row r="2078" spans="7:7" x14ac:dyDescent="0.4">
      <c r="G2078" s="23"/>
    </row>
    <row r="2079" spans="7:7" x14ac:dyDescent="0.4">
      <c r="G2079" s="23"/>
    </row>
    <row r="2080" spans="7:7" x14ac:dyDescent="0.4">
      <c r="G2080" s="23"/>
    </row>
    <row r="2081" spans="7:7" x14ac:dyDescent="0.4">
      <c r="G2081" s="23"/>
    </row>
    <row r="2082" spans="7:7" x14ac:dyDescent="0.4">
      <c r="G2082" s="23"/>
    </row>
    <row r="2083" spans="7:7" x14ac:dyDescent="0.4">
      <c r="G2083" s="23"/>
    </row>
    <row r="2084" spans="7:7" x14ac:dyDescent="0.4">
      <c r="G2084" s="23"/>
    </row>
    <row r="2085" spans="7:7" x14ac:dyDescent="0.4">
      <c r="G2085" s="23"/>
    </row>
    <row r="2086" spans="7:7" x14ac:dyDescent="0.4">
      <c r="G2086" s="23"/>
    </row>
    <row r="2087" spans="7:7" x14ac:dyDescent="0.4">
      <c r="G2087" s="23"/>
    </row>
    <row r="2088" spans="7:7" x14ac:dyDescent="0.4">
      <c r="G2088" s="23"/>
    </row>
    <row r="2089" spans="7:7" x14ac:dyDescent="0.4">
      <c r="G2089" s="23"/>
    </row>
    <row r="2090" spans="7:7" x14ac:dyDescent="0.4">
      <c r="G2090" s="23"/>
    </row>
    <row r="2091" spans="7:7" x14ac:dyDescent="0.4">
      <c r="G2091" s="23"/>
    </row>
    <row r="2092" spans="7:7" x14ac:dyDescent="0.4">
      <c r="G2092" s="23"/>
    </row>
    <row r="2093" spans="7:7" x14ac:dyDescent="0.4">
      <c r="G2093" s="23"/>
    </row>
    <row r="2094" spans="7:7" x14ac:dyDescent="0.4">
      <c r="G2094" s="23"/>
    </row>
    <row r="2095" spans="7:7" x14ac:dyDescent="0.4">
      <c r="G2095" s="23"/>
    </row>
    <row r="2096" spans="7:7" x14ac:dyDescent="0.4">
      <c r="G2096" s="23"/>
    </row>
    <row r="2097" spans="7:7" x14ac:dyDescent="0.4">
      <c r="G2097" s="23"/>
    </row>
    <row r="2098" spans="7:7" x14ac:dyDescent="0.4">
      <c r="G2098" s="23"/>
    </row>
    <row r="2099" spans="7:7" x14ac:dyDescent="0.4">
      <c r="G2099" s="23"/>
    </row>
    <row r="2100" spans="7:7" x14ac:dyDescent="0.4">
      <c r="G2100" s="23"/>
    </row>
    <row r="2101" spans="7:7" x14ac:dyDescent="0.4">
      <c r="G2101" s="23"/>
    </row>
    <row r="2102" spans="7:7" x14ac:dyDescent="0.4">
      <c r="G2102" s="23"/>
    </row>
    <row r="2103" spans="7:7" x14ac:dyDescent="0.4">
      <c r="G2103" s="23"/>
    </row>
    <row r="2104" spans="7:7" x14ac:dyDescent="0.4">
      <c r="G2104" s="23"/>
    </row>
    <row r="2105" spans="7:7" x14ac:dyDescent="0.4">
      <c r="G2105" s="23"/>
    </row>
    <row r="2106" spans="7:7" x14ac:dyDescent="0.4">
      <c r="G2106" s="23"/>
    </row>
    <row r="2107" spans="7:7" x14ac:dyDescent="0.4">
      <c r="G2107" s="23"/>
    </row>
    <row r="2108" spans="7:7" x14ac:dyDescent="0.4">
      <c r="G2108" s="23"/>
    </row>
    <row r="2109" spans="7:7" x14ac:dyDescent="0.4">
      <c r="G2109" s="23"/>
    </row>
    <row r="2110" spans="7:7" x14ac:dyDescent="0.4">
      <c r="G2110" s="23"/>
    </row>
    <row r="2111" spans="7:7" x14ac:dyDescent="0.4">
      <c r="G2111" s="23"/>
    </row>
    <row r="2112" spans="7:7" x14ac:dyDescent="0.4">
      <c r="G2112" s="23"/>
    </row>
    <row r="2113" spans="7:7" x14ac:dyDescent="0.4">
      <c r="G2113" s="23"/>
    </row>
    <row r="2114" spans="7:7" x14ac:dyDescent="0.4">
      <c r="G2114" s="23"/>
    </row>
    <row r="2115" spans="7:7" x14ac:dyDescent="0.4">
      <c r="G2115" s="23"/>
    </row>
    <row r="2116" spans="7:7" x14ac:dyDescent="0.4">
      <c r="G2116" s="23"/>
    </row>
    <row r="2117" spans="7:7" x14ac:dyDescent="0.4">
      <c r="G2117" s="23"/>
    </row>
    <row r="2118" spans="7:7" x14ac:dyDescent="0.4">
      <c r="G2118" s="23"/>
    </row>
    <row r="2119" spans="7:7" x14ac:dyDescent="0.4">
      <c r="G2119" s="23"/>
    </row>
    <row r="2120" spans="7:7" x14ac:dyDescent="0.4">
      <c r="G2120" s="23"/>
    </row>
    <row r="2121" spans="7:7" x14ac:dyDescent="0.4">
      <c r="G2121" s="23"/>
    </row>
    <row r="2122" spans="7:7" x14ac:dyDescent="0.4">
      <c r="G2122" s="23"/>
    </row>
    <row r="2123" spans="7:7" x14ac:dyDescent="0.4">
      <c r="G2123" s="23"/>
    </row>
    <row r="2124" spans="7:7" x14ac:dyDescent="0.4">
      <c r="G2124" s="23"/>
    </row>
    <row r="2125" spans="7:7" x14ac:dyDescent="0.4">
      <c r="G2125" s="23"/>
    </row>
    <row r="2126" spans="7:7" x14ac:dyDescent="0.4">
      <c r="G2126" s="23"/>
    </row>
    <row r="2127" spans="7:7" x14ac:dyDescent="0.4">
      <c r="G2127" s="23"/>
    </row>
    <row r="2128" spans="7:7" x14ac:dyDescent="0.4">
      <c r="G2128" s="23"/>
    </row>
    <row r="2129" spans="7:7" x14ac:dyDescent="0.4">
      <c r="G2129" s="23"/>
    </row>
    <row r="2130" spans="7:7" x14ac:dyDescent="0.4">
      <c r="G2130" s="23"/>
    </row>
    <row r="2131" spans="7:7" x14ac:dyDescent="0.4">
      <c r="G2131" s="23"/>
    </row>
    <row r="2132" spans="7:7" x14ac:dyDescent="0.4">
      <c r="G2132" s="23"/>
    </row>
    <row r="2133" spans="7:7" x14ac:dyDescent="0.4">
      <c r="G2133" s="23"/>
    </row>
    <row r="2134" spans="7:7" x14ac:dyDescent="0.4">
      <c r="G2134" s="23"/>
    </row>
    <row r="2135" spans="7:7" x14ac:dyDescent="0.4">
      <c r="G2135" s="23"/>
    </row>
    <row r="2136" spans="7:7" x14ac:dyDescent="0.4">
      <c r="G2136" s="23"/>
    </row>
    <row r="2137" spans="7:7" x14ac:dyDescent="0.4">
      <c r="G2137" s="23"/>
    </row>
    <row r="2138" spans="7:7" x14ac:dyDescent="0.4">
      <c r="G2138" s="23"/>
    </row>
    <row r="2139" spans="7:7" x14ac:dyDescent="0.4">
      <c r="G2139" s="23"/>
    </row>
    <row r="2140" spans="7:7" x14ac:dyDescent="0.4">
      <c r="G2140" s="23"/>
    </row>
    <row r="2141" spans="7:7" x14ac:dyDescent="0.4">
      <c r="G2141" s="23"/>
    </row>
    <row r="2142" spans="7:7" x14ac:dyDescent="0.4">
      <c r="G2142" s="23"/>
    </row>
    <row r="2143" spans="7:7" x14ac:dyDescent="0.4">
      <c r="G2143" s="23"/>
    </row>
    <row r="2144" spans="7:7" x14ac:dyDescent="0.4">
      <c r="G2144" s="23"/>
    </row>
    <row r="2145" spans="7:7" x14ac:dyDescent="0.4">
      <c r="G2145" s="23"/>
    </row>
    <row r="2146" spans="7:7" x14ac:dyDescent="0.4">
      <c r="G2146" s="23"/>
    </row>
    <row r="2147" spans="7:7" x14ac:dyDescent="0.4">
      <c r="G2147" s="23"/>
    </row>
    <row r="2148" spans="7:7" x14ac:dyDescent="0.4">
      <c r="G2148" s="23"/>
    </row>
    <row r="2149" spans="7:7" x14ac:dyDescent="0.4">
      <c r="G2149" s="23"/>
    </row>
    <row r="2150" spans="7:7" x14ac:dyDescent="0.4">
      <c r="G2150" s="23"/>
    </row>
    <row r="2151" spans="7:7" x14ac:dyDescent="0.4">
      <c r="G2151" s="23"/>
    </row>
    <row r="2152" spans="7:7" x14ac:dyDescent="0.4">
      <c r="G2152" s="23"/>
    </row>
    <row r="2153" spans="7:7" x14ac:dyDescent="0.4">
      <c r="G2153" s="23"/>
    </row>
    <row r="2154" spans="7:7" x14ac:dyDescent="0.4">
      <c r="G2154" s="23"/>
    </row>
    <row r="2155" spans="7:7" x14ac:dyDescent="0.4">
      <c r="G2155" s="23"/>
    </row>
    <row r="2156" spans="7:7" x14ac:dyDescent="0.4">
      <c r="G2156" s="23"/>
    </row>
    <row r="2157" spans="7:7" x14ac:dyDescent="0.4">
      <c r="G2157" s="23"/>
    </row>
    <row r="2158" spans="7:7" x14ac:dyDescent="0.4">
      <c r="G2158" s="23"/>
    </row>
    <row r="2159" spans="7:7" x14ac:dyDescent="0.4">
      <c r="G2159" s="23"/>
    </row>
    <row r="2160" spans="7:7" x14ac:dyDescent="0.4">
      <c r="G2160" s="23"/>
    </row>
    <row r="2161" spans="7:7" x14ac:dyDescent="0.4">
      <c r="G2161" s="23"/>
    </row>
    <row r="2162" spans="7:7" x14ac:dyDescent="0.4">
      <c r="G2162" s="23"/>
    </row>
    <row r="2163" spans="7:7" x14ac:dyDescent="0.4">
      <c r="G2163" s="23"/>
    </row>
    <row r="2164" spans="7:7" x14ac:dyDescent="0.4">
      <c r="G2164" s="23"/>
    </row>
    <row r="2165" spans="7:7" x14ac:dyDescent="0.4">
      <c r="G2165" s="23"/>
    </row>
    <row r="2166" spans="7:7" x14ac:dyDescent="0.4">
      <c r="G2166" s="23"/>
    </row>
    <row r="2167" spans="7:7" x14ac:dyDescent="0.4">
      <c r="G2167" s="23"/>
    </row>
    <row r="2168" spans="7:7" x14ac:dyDescent="0.4">
      <c r="G2168" s="23"/>
    </row>
    <row r="2169" spans="7:7" x14ac:dyDescent="0.4">
      <c r="G2169" s="23"/>
    </row>
    <row r="2170" spans="7:7" x14ac:dyDescent="0.4">
      <c r="G2170" s="23"/>
    </row>
    <row r="2171" spans="7:7" x14ac:dyDescent="0.4">
      <c r="G2171" s="23"/>
    </row>
    <row r="2172" spans="7:7" x14ac:dyDescent="0.4">
      <c r="G2172" s="23"/>
    </row>
    <row r="2173" spans="7:7" x14ac:dyDescent="0.4">
      <c r="G2173" s="23"/>
    </row>
    <row r="2174" spans="7:7" x14ac:dyDescent="0.4">
      <c r="G2174" s="23"/>
    </row>
    <row r="2175" spans="7:7" x14ac:dyDescent="0.4">
      <c r="G2175" s="23"/>
    </row>
    <row r="2176" spans="7:7" x14ac:dyDescent="0.4">
      <c r="G2176" s="23"/>
    </row>
    <row r="2177" spans="7:7" x14ac:dyDescent="0.4">
      <c r="G2177" s="23"/>
    </row>
    <row r="2178" spans="7:7" x14ac:dyDescent="0.4">
      <c r="G2178" s="23"/>
    </row>
    <row r="2179" spans="7:7" x14ac:dyDescent="0.4">
      <c r="G2179" s="23"/>
    </row>
    <row r="2180" spans="7:7" x14ac:dyDescent="0.4">
      <c r="G2180" s="23"/>
    </row>
    <row r="2181" spans="7:7" x14ac:dyDescent="0.4">
      <c r="G2181" s="23"/>
    </row>
    <row r="2182" spans="7:7" x14ac:dyDescent="0.4">
      <c r="G2182" s="23"/>
    </row>
    <row r="2183" spans="7:7" x14ac:dyDescent="0.4">
      <c r="G2183" s="23"/>
    </row>
    <row r="2184" spans="7:7" x14ac:dyDescent="0.4">
      <c r="G2184" s="23"/>
    </row>
    <row r="2185" spans="7:7" x14ac:dyDescent="0.4">
      <c r="G2185" s="23"/>
    </row>
    <row r="2186" spans="7:7" x14ac:dyDescent="0.4">
      <c r="G2186" s="23"/>
    </row>
    <row r="2187" spans="7:7" x14ac:dyDescent="0.4">
      <c r="G2187" s="23"/>
    </row>
    <row r="2188" spans="7:7" x14ac:dyDescent="0.4">
      <c r="G2188" s="23"/>
    </row>
    <row r="2189" spans="7:7" x14ac:dyDescent="0.4">
      <c r="G2189" s="23"/>
    </row>
    <row r="2190" spans="7:7" x14ac:dyDescent="0.4">
      <c r="G2190" s="23"/>
    </row>
    <row r="2191" spans="7:7" x14ac:dyDescent="0.4">
      <c r="G2191" s="23"/>
    </row>
    <row r="2192" spans="7:7" x14ac:dyDescent="0.4">
      <c r="G2192" s="23"/>
    </row>
    <row r="2193" spans="7:7" x14ac:dyDescent="0.4">
      <c r="G2193" s="23"/>
    </row>
    <row r="2194" spans="7:7" x14ac:dyDescent="0.4">
      <c r="G2194" s="23"/>
    </row>
    <row r="2195" spans="7:7" x14ac:dyDescent="0.4">
      <c r="G2195" s="23"/>
    </row>
    <row r="2196" spans="7:7" x14ac:dyDescent="0.4">
      <c r="G2196" s="23"/>
    </row>
    <row r="2197" spans="7:7" x14ac:dyDescent="0.4">
      <c r="G2197" s="23"/>
    </row>
    <row r="2198" spans="7:7" x14ac:dyDescent="0.4">
      <c r="G2198" s="23"/>
    </row>
    <row r="2199" spans="7:7" x14ac:dyDescent="0.4">
      <c r="G2199" s="23"/>
    </row>
    <row r="2200" spans="7:7" x14ac:dyDescent="0.4">
      <c r="G2200" s="23"/>
    </row>
    <row r="2201" spans="7:7" x14ac:dyDescent="0.4">
      <c r="G2201" s="23"/>
    </row>
    <row r="2202" spans="7:7" x14ac:dyDescent="0.4">
      <c r="G2202" s="23"/>
    </row>
    <row r="2203" spans="7:7" x14ac:dyDescent="0.4">
      <c r="G2203" s="23"/>
    </row>
    <row r="2204" spans="7:7" x14ac:dyDescent="0.4">
      <c r="G2204" s="23"/>
    </row>
    <row r="2205" spans="7:7" x14ac:dyDescent="0.4">
      <c r="G2205" s="23"/>
    </row>
    <row r="2206" spans="7:7" x14ac:dyDescent="0.4">
      <c r="G2206" s="23"/>
    </row>
    <row r="2207" spans="7:7" x14ac:dyDescent="0.4">
      <c r="G2207" s="23"/>
    </row>
    <row r="2208" spans="7:7" x14ac:dyDescent="0.4">
      <c r="G2208" s="23"/>
    </row>
    <row r="2209" spans="7:7" x14ac:dyDescent="0.4">
      <c r="G2209" s="23"/>
    </row>
    <row r="2210" spans="7:7" x14ac:dyDescent="0.4">
      <c r="G2210" s="23"/>
    </row>
    <row r="2211" spans="7:7" x14ac:dyDescent="0.4">
      <c r="G2211" s="23"/>
    </row>
    <row r="2212" spans="7:7" x14ac:dyDescent="0.4">
      <c r="G2212" s="23"/>
    </row>
    <row r="2213" spans="7:7" x14ac:dyDescent="0.4">
      <c r="G2213" s="23"/>
    </row>
    <row r="2214" spans="7:7" x14ac:dyDescent="0.4">
      <c r="G2214" s="23"/>
    </row>
    <row r="2215" spans="7:7" x14ac:dyDescent="0.4">
      <c r="G2215" s="23"/>
    </row>
    <row r="2216" spans="7:7" x14ac:dyDescent="0.4">
      <c r="G2216" s="23"/>
    </row>
    <row r="2217" spans="7:7" x14ac:dyDescent="0.4">
      <c r="G2217" s="23"/>
    </row>
    <row r="2218" spans="7:7" x14ac:dyDescent="0.4">
      <c r="G2218" s="23"/>
    </row>
    <row r="2219" spans="7:7" x14ac:dyDescent="0.4">
      <c r="G2219" s="23"/>
    </row>
    <row r="2220" spans="7:7" x14ac:dyDescent="0.4">
      <c r="G2220" s="23"/>
    </row>
    <row r="2221" spans="7:7" x14ac:dyDescent="0.4">
      <c r="G2221" s="23"/>
    </row>
    <row r="2222" spans="7:7" x14ac:dyDescent="0.4">
      <c r="G2222" s="23"/>
    </row>
    <row r="2223" spans="7:7" x14ac:dyDescent="0.4">
      <c r="G2223" s="23"/>
    </row>
    <row r="2224" spans="7:7" x14ac:dyDescent="0.4">
      <c r="G2224" s="23"/>
    </row>
    <row r="2225" spans="7:7" x14ac:dyDescent="0.4">
      <c r="G2225" s="23"/>
    </row>
    <row r="2226" spans="7:7" x14ac:dyDescent="0.4">
      <c r="G2226" s="23"/>
    </row>
    <row r="2227" spans="7:7" x14ac:dyDescent="0.4">
      <c r="G2227" s="23"/>
    </row>
    <row r="2228" spans="7:7" x14ac:dyDescent="0.4">
      <c r="G2228" s="23"/>
    </row>
    <row r="2229" spans="7:7" x14ac:dyDescent="0.4">
      <c r="G2229" s="23"/>
    </row>
    <row r="2230" spans="7:7" x14ac:dyDescent="0.4">
      <c r="G2230" s="23"/>
    </row>
    <row r="2231" spans="7:7" x14ac:dyDescent="0.4">
      <c r="G2231" s="23"/>
    </row>
    <row r="2232" spans="7:7" x14ac:dyDescent="0.4">
      <c r="G2232" s="23"/>
    </row>
    <row r="2233" spans="7:7" x14ac:dyDescent="0.4">
      <c r="G2233" s="23"/>
    </row>
    <row r="2234" spans="7:7" x14ac:dyDescent="0.4">
      <c r="G2234" s="23"/>
    </row>
    <row r="2235" spans="7:7" x14ac:dyDescent="0.4">
      <c r="G2235" s="23"/>
    </row>
    <row r="2236" spans="7:7" x14ac:dyDescent="0.4">
      <c r="G2236" s="23"/>
    </row>
    <row r="2237" spans="7:7" x14ac:dyDescent="0.4">
      <c r="G2237" s="23"/>
    </row>
    <row r="2238" spans="7:7" x14ac:dyDescent="0.4">
      <c r="G2238" s="23"/>
    </row>
    <row r="2239" spans="7:7" x14ac:dyDescent="0.4">
      <c r="G2239" s="23"/>
    </row>
    <row r="2240" spans="7:7" x14ac:dyDescent="0.4">
      <c r="G2240" s="23"/>
    </row>
    <row r="2241" spans="7:7" x14ac:dyDescent="0.4">
      <c r="G2241" s="23"/>
    </row>
    <row r="2242" spans="7:7" x14ac:dyDescent="0.4">
      <c r="G2242" s="23"/>
    </row>
    <row r="2243" spans="7:7" x14ac:dyDescent="0.4">
      <c r="G2243" s="23"/>
    </row>
    <row r="2244" spans="7:7" x14ac:dyDescent="0.4">
      <c r="G2244" s="23"/>
    </row>
    <row r="2245" spans="7:7" x14ac:dyDescent="0.4">
      <c r="G2245" s="23"/>
    </row>
    <row r="2246" spans="7:7" x14ac:dyDescent="0.4">
      <c r="G2246" s="23"/>
    </row>
    <row r="2247" spans="7:7" x14ac:dyDescent="0.4">
      <c r="G2247" s="23"/>
    </row>
    <row r="2248" spans="7:7" x14ac:dyDescent="0.4">
      <c r="G2248" s="23"/>
    </row>
    <row r="2249" spans="7:7" x14ac:dyDescent="0.4">
      <c r="G2249" s="23"/>
    </row>
    <row r="2250" spans="7:7" x14ac:dyDescent="0.4">
      <c r="G2250" s="23"/>
    </row>
    <row r="2251" spans="7:7" x14ac:dyDescent="0.4">
      <c r="G2251" s="23"/>
    </row>
    <row r="2252" spans="7:7" x14ac:dyDescent="0.4">
      <c r="G2252" s="23"/>
    </row>
    <row r="2253" spans="7:7" x14ac:dyDescent="0.4">
      <c r="G2253" s="23"/>
    </row>
    <row r="2254" spans="7:7" x14ac:dyDescent="0.4">
      <c r="G2254" s="23"/>
    </row>
    <row r="2255" spans="7:7" x14ac:dyDescent="0.4">
      <c r="G2255" s="23"/>
    </row>
    <row r="2256" spans="7:7" x14ac:dyDescent="0.4">
      <c r="G2256" s="23"/>
    </row>
    <row r="2257" spans="7:7" x14ac:dyDescent="0.4">
      <c r="G2257" s="23"/>
    </row>
    <row r="2258" spans="7:7" x14ac:dyDescent="0.4">
      <c r="G2258" s="23"/>
    </row>
    <row r="2259" spans="7:7" x14ac:dyDescent="0.4">
      <c r="G2259" s="23"/>
    </row>
    <row r="2260" spans="7:7" x14ac:dyDescent="0.4">
      <c r="G2260" s="23"/>
    </row>
    <row r="2261" spans="7:7" x14ac:dyDescent="0.4">
      <c r="G2261" s="23"/>
    </row>
    <row r="2262" spans="7:7" x14ac:dyDescent="0.4">
      <c r="G2262" s="23"/>
    </row>
    <row r="2263" spans="7:7" x14ac:dyDescent="0.4">
      <c r="G2263" s="23"/>
    </row>
    <row r="2264" spans="7:7" x14ac:dyDescent="0.4">
      <c r="G2264" s="23"/>
    </row>
    <row r="2265" spans="7:7" x14ac:dyDescent="0.4">
      <c r="G2265" s="23"/>
    </row>
    <row r="2266" spans="7:7" x14ac:dyDescent="0.4">
      <c r="G2266" s="23"/>
    </row>
    <row r="2267" spans="7:7" x14ac:dyDescent="0.4">
      <c r="G2267" s="23"/>
    </row>
    <row r="2268" spans="7:7" x14ac:dyDescent="0.4">
      <c r="G2268" s="23"/>
    </row>
    <row r="2269" spans="7:7" x14ac:dyDescent="0.4">
      <c r="G2269" s="23"/>
    </row>
    <row r="2270" spans="7:7" x14ac:dyDescent="0.4">
      <c r="G2270" s="23"/>
    </row>
    <row r="2271" spans="7:7" x14ac:dyDescent="0.4">
      <c r="G2271" s="23"/>
    </row>
    <row r="2272" spans="7:7" x14ac:dyDescent="0.4">
      <c r="G2272" s="23"/>
    </row>
    <row r="2273" spans="7:7" x14ac:dyDescent="0.4">
      <c r="G2273" s="23"/>
    </row>
    <row r="2274" spans="7:7" x14ac:dyDescent="0.4">
      <c r="G2274" s="23"/>
    </row>
    <row r="2275" spans="7:7" x14ac:dyDescent="0.4">
      <c r="G2275" s="23"/>
    </row>
    <row r="2276" spans="7:7" x14ac:dyDescent="0.4">
      <c r="G2276" s="23"/>
    </row>
    <row r="2277" spans="7:7" x14ac:dyDescent="0.4">
      <c r="G2277" s="23"/>
    </row>
    <row r="2278" spans="7:7" x14ac:dyDescent="0.4">
      <c r="G2278" s="23"/>
    </row>
    <row r="2279" spans="7:7" x14ac:dyDescent="0.4">
      <c r="G2279" s="23"/>
    </row>
    <row r="2280" spans="7:7" x14ac:dyDescent="0.4">
      <c r="G2280" s="23"/>
    </row>
    <row r="2281" spans="7:7" x14ac:dyDescent="0.4">
      <c r="G2281" s="23"/>
    </row>
    <row r="2282" spans="7:7" x14ac:dyDescent="0.4">
      <c r="G2282" s="23"/>
    </row>
    <row r="2283" spans="7:7" x14ac:dyDescent="0.4">
      <c r="G2283" s="23"/>
    </row>
    <row r="2284" spans="7:7" x14ac:dyDescent="0.4">
      <c r="G2284" s="23"/>
    </row>
    <row r="2285" spans="7:7" x14ac:dyDescent="0.4">
      <c r="G2285" s="23"/>
    </row>
    <row r="2286" spans="7:7" x14ac:dyDescent="0.4">
      <c r="G2286" s="23"/>
    </row>
    <row r="2287" spans="7:7" x14ac:dyDescent="0.4">
      <c r="G2287" s="23"/>
    </row>
    <row r="2288" spans="7:7" x14ac:dyDescent="0.4">
      <c r="G2288" s="23"/>
    </row>
    <row r="2289" spans="7:7" x14ac:dyDescent="0.4">
      <c r="G2289" s="23"/>
    </row>
    <row r="2290" spans="7:7" x14ac:dyDescent="0.4">
      <c r="G2290" s="23"/>
    </row>
    <row r="2291" spans="7:7" x14ac:dyDescent="0.4">
      <c r="G2291" s="23"/>
    </row>
    <row r="2292" spans="7:7" x14ac:dyDescent="0.4">
      <c r="G2292" s="23"/>
    </row>
    <row r="2293" spans="7:7" x14ac:dyDescent="0.4">
      <c r="G2293" s="23"/>
    </row>
    <row r="2294" spans="7:7" x14ac:dyDescent="0.4">
      <c r="G2294" s="23"/>
    </row>
    <row r="2295" spans="7:7" x14ac:dyDescent="0.4">
      <c r="G2295" s="23"/>
    </row>
    <row r="2296" spans="7:7" x14ac:dyDescent="0.4">
      <c r="G2296" s="23"/>
    </row>
    <row r="2297" spans="7:7" x14ac:dyDescent="0.4">
      <c r="G2297" s="23"/>
    </row>
    <row r="2298" spans="7:7" x14ac:dyDescent="0.4">
      <c r="G2298" s="23"/>
    </row>
    <row r="2299" spans="7:7" x14ac:dyDescent="0.4">
      <c r="G2299" s="23"/>
    </row>
    <row r="2300" spans="7:7" x14ac:dyDescent="0.4">
      <c r="G2300" s="23"/>
    </row>
    <row r="2301" spans="7:7" x14ac:dyDescent="0.4">
      <c r="G2301" s="23"/>
    </row>
    <row r="2302" spans="7:7" x14ac:dyDescent="0.4">
      <c r="G2302" s="23"/>
    </row>
    <row r="2303" spans="7:7" x14ac:dyDescent="0.4">
      <c r="G2303" s="23"/>
    </row>
    <row r="2304" spans="7:7" x14ac:dyDescent="0.4">
      <c r="G2304" s="23"/>
    </row>
    <row r="2305" spans="7:7" x14ac:dyDescent="0.4">
      <c r="G2305" s="23"/>
    </row>
    <row r="2306" spans="7:7" x14ac:dyDescent="0.4">
      <c r="G2306" s="23"/>
    </row>
    <row r="2307" spans="7:7" x14ac:dyDescent="0.4">
      <c r="G2307" s="23"/>
    </row>
    <row r="2308" spans="7:7" x14ac:dyDescent="0.4">
      <c r="G2308" s="23"/>
    </row>
    <row r="2309" spans="7:7" x14ac:dyDescent="0.4">
      <c r="G2309" s="23"/>
    </row>
    <row r="2310" spans="7:7" x14ac:dyDescent="0.4">
      <c r="G2310" s="23"/>
    </row>
    <row r="2311" spans="7:7" x14ac:dyDescent="0.4">
      <c r="G2311" s="23"/>
    </row>
    <row r="2312" spans="7:7" x14ac:dyDescent="0.4">
      <c r="G2312" s="23"/>
    </row>
    <row r="2313" spans="7:7" x14ac:dyDescent="0.4">
      <c r="G2313" s="23"/>
    </row>
    <row r="2314" spans="7:7" x14ac:dyDescent="0.4">
      <c r="G2314" s="23"/>
    </row>
    <row r="2315" spans="7:7" x14ac:dyDescent="0.4">
      <c r="G2315" s="23"/>
    </row>
  </sheetData>
  <phoneticPr fontId="2" type="noConversion"/>
  <printOptions headings="1"/>
  <pageMargins left="0.74803149606299213" right="0.74803149606299213" top="0.98425196850393704" bottom="0.98425196850393704" header="0.51181102362204722" footer="0.51181102362204722"/>
  <pageSetup paperSize="9" orientation="portrait" blackAndWhite="1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5"/>
  <sheetViews>
    <sheetView zoomScaleNormal="100" workbookViewId="0">
      <selection activeCell="L14" sqref="L14"/>
    </sheetView>
  </sheetViews>
  <sheetFormatPr defaultRowHeight="15.75" x14ac:dyDescent="0.4"/>
  <sheetData>
    <row r="35" spans="3:3" x14ac:dyDescent="0.4">
      <c r="C35">
        <v>1</v>
      </c>
    </row>
  </sheetData>
  <phoneticPr fontId="2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7281" r:id="rId3" name="Spinner 1">
              <controlPr defaultSize="0" autoPict="0">
                <anchor moveWithCells="1" sizeWithCells="1">
                  <from>
                    <xdr:col>4</xdr:col>
                    <xdr:colOff>409575</xdr:colOff>
                    <xdr:row>3</xdr:row>
                    <xdr:rowOff>166688</xdr:rowOff>
                  </from>
                  <to>
                    <xdr:col>5</xdr:col>
                    <xdr:colOff>23813</xdr:colOff>
                    <xdr:row>4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O16" sqref="O16"/>
    </sheetView>
  </sheetViews>
  <sheetFormatPr defaultRowHeight="15.75" x14ac:dyDescent="0.4"/>
  <sheetData/>
  <phoneticPr fontId="2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8305" r:id="rId3" name="Spinner 1">
              <controlPr defaultSize="0" autoPict="0">
                <anchor moveWithCells="1" sizeWithCells="1">
                  <from>
                    <xdr:col>1</xdr:col>
                    <xdr:colOff>123825</xdr:colOff>
                    <xdr:row>3</xdr:row>
                    <xdr:rowOff>14288</xdr:rowOff>
                  </from>
                  <to>
                    <xdr:col>1</xdr:col>
                    <xdr:colOff>390525</xdr:colOff>
                    <xdr:row>3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例9-7</vt:lpstr>
      <vt:lpstr>蒙特卡洛投资风险分析模型 </vt:lpstr>
      <vt:lpstr>实现指定净现值的可能性分析图</vt:lpstr>
      <vt:lpstr>实现指定净现值的风险分析图</vt:lpstr>
    </vt:vector>
  </TitlesOfParts>
  <Company>SHUFE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ZXDENG</dc:creator>
  <cp:lastModifiedBy>carl lee</cp:lastModifiedBy>
  <cp:lastPrinted>2012-03-03T04:42:24Z</cp:lastPrinted>
  <dcterms:created xsi:type="dcterms:W3CDTF">2003-11-17T09:37:32Z</dcterms:created>
  <dcterms:modified xsi:type="dcterms:W3CDTF">2024-07-25T07:46:10Z</dcterms:modified>
</cp:coreProperties>
</file>