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trlProps/ctrlProp3.xml" ContentType="application/vnd.ms-excel.controlproperti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codeName="ThisWorkbook" defaultThemeVersion="124226"/>
  <xr:revisionPtr revIDLastSave="0" documentId="13_ncr:1_{B8D6A9C7-8BF4-46BF-8414-CB734699C98D}" xr6:coauthVersionLast="47" xr6:coauthVersionMax="47" xr10:uidLastSave="{00000000-0000-0000-0000-000000000000}"/>
  <bookViews>
    <workbookView xWindow="0" yWindow="360" windowWidth="21795" windowHeight="12975" activeTab="1" xr2:uid="{00000000-000D-0000-FFFF-FFFF00000000}"/>
  </bookViews>
  <sheets>
    <sheet name="例7-2" sheetId="3" r:id="rId1"/>
    <sheet name="盈亏平衡分析模型" sheetId="1" r:id="rId2"/>
    <sheet name="盈亏平衡分析图形" sheetId="2" r:id="rId3"/>
    <sheet name="盈亏平衡分析面积图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D10" i="1"/>
  <c r="I3" i="1" s="1"/>
  <c r="D8" i="1"/>
  <c r="D9" i="1"/>
  <c r="D11" i="1" s="1"/>
  <c r="J3" i="1" s="1"/>
  <c r="H3" i="1" l="1"/>
  <c r="C17" i="1" l="1"/>
  <c r="C18" i="1"/>
  <c r="I2" i="1"/>
  <c r="H2" i="1"/>
  <c r="C16" i="1" l="1"/>
  <c r="J2" i="1" l="1"/>
  <c r="G2" i="1"/>
</calcChain>
</file>

<file path=xl/sharedStrings.xml><?xml version="1.0" encoding="utf-8"?>
<sst xmlns="http://schemas.openxmlformats.org/spreadsheetml/2006/main" count="19" uniqueCount="16">
  <si>
    <r>
      <rPr>
        <sz val="11"/>
        <rFont val="宋体"/>
        <family val="3"/>
        <charset val="134"/>
      </rPr>
      <t>亏损</t>
    </r>
    <phoneticPr fontId="1" type="noConversion"/>
  </si>
  <si>
    <r>
      <rPr>
        <sz val="11"/>
        <rFont val="宋体"/>
        <family val="3"/>
        <charset val="134"/>
      </rPr>
      <t>销量</t>
    </r>
    <phoneticPr fontId="1" type="noConversion"/>
  </si>
  <si>
    <r>
      <rPr>
        <sz val="11"/>
        <rFont val="宋体"/>
        <family val="3"/>
        <charset val="134"/>
      </rPr>
      <t>销售收入</t>
    </r>
    <phoneticPr fontId="1" type="noConversion"/>
  </si>
  <si>
    <r>
      <rPr>
        <sz val="11"/>
        <rFont val="宋体"/>
        <family val="3"/>
        <charset val="134"/>
      </rPr>
      <t>总成本</t>
    </r>
    <phoneticPr fontId="1" type="noConversion"/>
  </si>
  <si>
    <r>
      <rPr>
        <sz val="11"/>
        <rFont val="宋体"/>
        <family val="3"/>
        <charset val="134"/>
      </rPr>
      <t>盈利</t>
    </r>
    <phoneticPr fontId="1" type="noConversion"/>
  </si>
  <si>
    <r>
      <rPr>
        <sz val="11"/>
        <rFont val="宋体"/>
        <family val="3"/>
        <charset val="134"/>
      </rPr>
      <t>销售单价</t>
    </r>
    <phoneticPr fontId="1" type="noConversion"/>
  </si>
  <si>
    <r>
      <rPr>
        <sz val="11"/>
        <rFont val="宋体"/>
        <family val="3"/>
        <charset val="134"/>
      </rPr>
      <t>固定成本</t>
    </r>
    <phoneticPr fontId="1" type="noConversion"/>
  </si>
  <si>
    <r>
      <rPr>
        <sz val="11"/>
        <rFont val="宋体"/>
        <family val="3"/>
        <charset val="134"/>
      </rPr>
      <t>单位可变成本</t>
    </r>
    <phoneticPr fontId="1" type="noConversion"/>
  </si>
  <si>
    <r>
      <rPr>
        <sz val="11"/>
        <rFont val="Arial"/>
        <family val="2"/>
      </rPr>
      <t>计算盈亏平衡销量：附表插值法</t>
    </r>
    <phoneticPr fontId="1" type="noConversion"/>
  </si>
  <si>
    <r>
      <rPr>
        <sz val="11"/>
        <rFont val="宋体"/>
        <family val="3"/>
        <charset val="134"/>
      </rPr>
      <t>边际贡献</t>
    </r>
    <phoneticPr fontId="1" type="noConversion"/>
  </si>
  <si>
    <r>
      <rPr>
        <sz val="11"/>
        <rFont val="宋体"/>
        <family val="3"/>
        <charset val="134"/>
      </rPr>
      <t>利润</t>
    </r>
    <phoneticPr fontId="1" type="noConversion"/>
  </si>
  <si>
    <r>
      <rPr>
        <sz val="11"/>
        <rFont val="宋体"/>
        <family val="3"/>
        <charset val="134"/>
      </rPr>
      <t>盈亏平衡销量</t>
    </r>
    <phoneticPr fontId="1" type="noConversion"/>
  </si>
  <si>
    <r>
      <rPr>
        <sz val="11"/>
        <rFont val="Arial"/>
        <family val="2"/>
      </rPr>
      <t>结论：</t>
    </r>
    <phoneticPr fontId="1" type="noConversion"/>
  </si>
  <si>
    <r>
      <t>MIN(</t>
    </r>
    <r>
      <rPr>
        <sz val="11"/>
        <rFont val="宋体"/>
        <family val="3"/>
        <charset val="134"/>
      </rPr>
      <t>销售收入</t>
    </r>
    <r>
      <rPr>
        <sz val="11"/>
        <rFont val="Times New Roman"/>
        <family val="1"/>
      </rPr>
      <t>,</t>
    </r>
    <r>
      <rPr>
        <sz val="11"/>
        <rFont val="宋体"/>
        <family val="3"/>
        <charset val="134"/>
      </rPr>
      <t>总成本</t>
    </r>
    <r>
      <rPr>
        <sz val="11"/>
        <rFont val="Times New Roman"/>
        <family val="1"/>
      </rPr>
      <t>)</t>
    </r>
    <phoneticPr fontId="1" type="noConversion"/>
  </si>
  <si>
    <t>盈亏平衡销量垂直参考线</t>
    <phoneticPr fontId="1" type="noConversion"/>
  </si>
  <si>
    <t>当前销量垂直参考线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</si>
</sst>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7" x14ac:knownFonts="1">
    <font>
      <sz val="12"/>
      <name val="宋体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1"/>
      <name val="Arial"/>
      <family val="2"/>
    </font>
    <font>
      <sz val="11"/>
      <name val="宋体"/>
      <family val="3"/>
      <charset val="134"/>
    </font>
    <font>
      <sz val="10.5"/>
      <name val="宋体"/>
      <family val="3"/>
      <charset val="134"/>
    </font>
    <font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quotePrefix="1" applyFont="1" applyAlignment="1">
      <alignment vertical="center"/>
    </xf>
    <xf numFmtId="0" fontId="6" fillId="0" borderId="1" xfId="0" applyFont="1" applyBorder="1" applyAlignment="1">
      <alignment horizontal="left" vertical="center"/>
    </xf>
    <xf numFmtId="1" fontId="6" fillId="0" borderId="1" xfId="0" applyNumberFormat="1" applyFont="1" applyBorder="1" applyAlignment="1">
      <alignment vertic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176" fontId="6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176" fontId="6" fillId="0" borderId="1" xfId="0" applyNumberFormat="1" applyFont="1" applyBorder="1" applyAlignment="1">
      <alignment horizontal="center" vertical="center"/>
    </xf>
    <xf numFmtId="0" fontId="3" fillId="2" borderId="0" xfId="0" applyFont="1" applyFill="1"/>
    <xf numFmtId="1" fontId="3" fillId="3" borderId="1" xfId="0" applyNumberFormat="1" applyFont="1" applyFill="1" applyBorder="1"/>
    <xf numFmtId="1" fontId="3" fillId="4" borderId="1" xfId="0" applyNumberFormat="1" applyFont="1" applyFill="1" applyBorder="1"/>
    <xf numFmtId="1" fontId="6" fillId="5" borderId="1" xfId="0" applyNumberFormat="1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zh-CN" altLang="en-US" sz="1400"/>
              <a:t>盈亏平衡分析模型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76283934657422"/>
          <c:y val="0.22096610264142513"/>
          <c:w val="0.73988968218350948"/>
          <c:h val="0.64762243815267773"/>
        </c:manualLayout>
      </c:layout>
      <c:scatterChart>
        <c:scatterStyle val="lineMarker"/>
        <c:varyColors val="0"/>
        <c:ser>
          <c:idx val="0"/>
          <c:order val="0"/>
          <c:tx>
            <c:strRef>
              <c:f>盈亏平衡分析模型!$H$2</c:f>
              <c:strCache>
                <c:ptCount val="1"/>
                <c:pt idx="0">
                  <c:v>销售收入</c:v>
                </c:pt>
              </c:strCache>
            </c:strRef>
          </c:tx>
          <c:marker>
            <c:symbol val="none"/>
          </c:marker>
          <c:xVal>
            <c:numRef>
              <c:f>盈亏平衡分析模型!$G$4:$G$5</c:f>
              <c:numCache>
                <c:formatCode>General</c:formatCode>
                <c:ptCount val="2"/>
                <c:pt idx="0">
                  <c:v>0</c:v>
                </c:pt>
                <c:pt idx="1">
                  <c:v>20000</c:v>
                </c:pt>
              </c:numCache>
            </c:numRef>
          </c:xVal>
          <c:yVal>
            <c:numRef>
              <c:f>盈亏平衡分析模型!$H$4:$H$5</c:f>
              <c:numCache>
                <c:formatCode>General</c:formatCode>
                <c:ptCount val="2"/>
                <c:pt idx="0">
                  <c:v>0</c:v>
                </c:pt>
                <c:pt idx="1">
                  <c:v>4000000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25-4C03-B42C-F74C69E096FC}"/>
            </c:ext>
          </c:extLst>
        </c:ser>
        <c:ser>
          <c:idx val="1"/>
          <c:order val="1"/>
          <c:tx>
            <c:strRef>
              <c:f>盈亏平衡分析模型!$I$2</c:f>
              <c:strCache>
                <c:ptCount val="1"/>
                <c:pt idx="0">
                  <c:v>总成本</c:v>
                </c:pt>
              </c:strCache>
            </c:strRef>
          </c:tx>
          <c:marker>
            <c:symbol val="none"/>
          </c:marker>
          <c:xVal>
            <c:numRef>
              <c:f>盈亏平衡分析模型!$G$4:$G$5</c:f>
              <c:numCache>
                <c:formatCode>General</c:formatCode>
                <c:ptCount val="2"/>
                <c:pt idx="0">
                  <c:v>0</c:v>
                </c:pt>
                <c:pt idx="1">
                  <c:v>20000</c:v>
                </c:pt>
              </c:numCache>
            </c:numRef>
          </c:xVal>
          <c:yVal>
            <c:numRef>
              <c:f>盈亏平衡分析模型!$I$4:$I$5</c:f>
              <c:numCache>
                <c:formatCode>General</c:formatCode>
                <c:ptCount val="2"/>
                <c:pt idx="0">
                  <c:v>640000</c:v>
                </c:pt>
                <c:pt idx="1">
                  <c:v>2240000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25-4C03-B42C-F74C69E096FC}"/>
            </c:ext>
          </c:extLst>
        </c:ser>
        <c:ser>
          <c:idx val="2"/>
          <c:order val="2"/>
          <c:tx>
            <c:strRef>
              <c:f>盈亏平衡分析模型!$J$2</c:f>
              <c:strCache>
                <c:ptCount val="1"/>
                <c:pt idx="0">
                  <c:v>利润</c:v>
                </c:pt>
              </c:strCache>
            </c:strRef>
          </c:tx>
          <c:marker>
            <c:symbol val="none"/>
          </c:marker>
          <c:xVal>
            <c:numRef>
              <c:f>盈亏平衡分析模型!$G$4:$G$5</c:f>
              <c:numCache>
                <c:formatCode>General</c:formatCode>
                <c:ptCount val="2"/>
                <c:pt idx="0">
                  <c:v>0</c:v>
                </c:pt>
                <c:pt idx="1">
                  <c:v>20000</c:v>
                </c:pt>
              </c:numCache>
            </c:numRef>
          </c:xVal>
          <c:yVal>
            <c:numRef>
              <c:f>盈亏平衡分析模型!$J$4:$J$5</c:f>
              <c:numCache>
                <c:formatCode>General</c:formatCode>
                <c:ptCount val="2"/>
                <c:pt idx="0">
                  <c:v>-640000</c:v>
                </c:pt>
                <c:pt idx="1">
                  <c:v>1760000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F25-4C03-B42C-F74C69E096FC}"/>
            </c:ext>
          </c:extLst>
        </c:ser>
        <c:ser>
          <c:idx val="3"/>
          <c:order val="3"/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盈亏平衡分析模型!$G$11:$G$15</c:f>
              <c:numCache>
                <c:formatCode>0_ </c:formatCode>
                <c:ptCount val="5"/>
              </c:numCache>
            </c:numRef>
          </c:xVal>
          <c:yVal>
            <c:numRef>
              <c:f>盈亏平衡分析模型!$H$11:$H$15</c:f>
              <c:numCache>
                <c:formatCode>0_ 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F25-4C03-B42C-F74C69E096FC}"/>
            </c:ext>
          </c:extLst>
        </c:ser>
        <c:ser>
          <c:idx val="4"/>
          <c:order val="4"/>
          <c:spPr>
            <a:ln>
              <a:noFill/>
            </a:ln>
          </c:spPr>
          <c:marker>
            <c:symbol val="square"/>
            <c:size val="10"/>
            <c:spPr>
              <a:solidFill>
                <a:srgbClr val="FF0000"/>
              </a:solidFill>
              <a:ln>
                <a:noFill/>
              </a:ln>
            </c:spPr>
          </c:marker>
          <c:xVal>
            <c:numRef>
              <c:f>盈亏平衡分析模型!$G$8</c:f>
              <c:numCache>
                <c:formatCode>0_ </c:formatCode>
                <c:ptCount val="1"/>
              </c:numCache>
            </c:numRef>
          </c:xVal>
          <c:yVal>
            <c:numRef>
              <c:f>盈亏平衡分析模型!$H$8</c:f>
              <c:numCache>
                <c:formatCode>0_ 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F25-4C03-B42C-F74C69E096FC}"/>
            </c:ext>
          </c:extLst>
        </c:ser>
        <c:ser>
          <c:idx val="5"/>
          <c:order val="5"/>
          <c:spPr>
            <a:ln>
              <a:solidFill>
                <a:schemeClr val="accent1"/>
              </a:solidFill>
            </a:ln>
          </c:spPr>
          <c:marker>
            <c:symbol val="square"/>
            <c:size val="8"/>
            <c:spPr>
              <a:solidFill>
                <a:schemeClr val="bg1"/>
              </a:solidFill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3F25-4C03-B42C-F74C69E096FC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6-3F25-4C03-B42C-F74C69E096FC}"/>
              </c:ext>
            </c:extLst>
          </c:dPt>
          <c:xVal>
            <c:numRef>
              <c:f>盈亏平衡分析模型!$G$18:$G$22</c:f>
              <c:numCache>
                <c:formatCode>0_ </c:formatCode>
                <c:ptCount val="5"/>
              </c:numCache>
            </c:numRef>
          </c:xVal>
          <c:yVal>
            <c:numRef>
              <c:f>盈亏平衡分析模型!$H$18:$H$22</c:f>
              <c:numCache>
                <c:formatCode>0_ 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F25-4C03-B42C-F74C69E09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98912"/>
        <c:axId val="54399488"/>
      </c:scatterChart>
      <c:valAx>
        <c:axId val="54398912"/>
        <c:scaling>
          <c:orientation val="minMax"/>
          <c:max val="200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b="0"/>
                </a:pPr>
                <a:r>
                  <a:rPr lang="zh-CN" altLang="en-US" b="0"/>
                  <a:t>销量</a:t>
                </a:r>
              </a:p>
            </c:rich>
          </c:tx>
          <c:layout>
            <c:manualLayout>
              <c:xMode val="edge"/>
              <c:yMode val="edge"/>
              <c:x val="0.93381632736322473"/>
              <c:y val="0.7273108281677556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54399488"/>
        <c:crosses val="autoZero"/>
        <c:crossBetween val="midCat"/>
        <c:majorUnit val="5000"/>
      </c:valAx>
      <c:valAx>
        <c:axId val="54399488"/>
        <c:scaling>
          <c:orientation val="minMax"/>
          <c:max val="5000000"/>
          <c:min val="-1000000"/>
        </c:scaling>
        <c:delete val="0"/>
        <c:axPos val="l"/>
        <c:numFmt formatCode="General" sourceLinked="1"/>
        <c:majorTickMark val="out"/>
        <c:minorTickMark val="none"/>
        <c:tickLblPos val="nextTo"/>
        <c:crossAx val="54398912"/>
        <c:crosses val="autoZero"/>
        <c:crossBetween val="midCat"/>
        <c:majorUnit val="1000000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0"/>
  </c:chart>
  <c:txPr>
    <a:bodyPr/>
    <a:lstStyle/>
    <a:p>
      <a:pPr>
        <a:defRPr sz="1100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zh-CN" altLang="en-US" sz="1400"/>
              <a:t>盈亏平衡分析面积图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977996909264847"/>
          <c:y val="0.15169314726748265"/>
          <c:w val="0.85451909632791212"/>
          <c:h val="0.57879535355110312"/>
        </c:manualLayout>
      </c:layout>
      <c:areaChart>
        <c:grouping val="stacked"/>
        <c:varyColors val="0"/>
        <c:ser>
          <c:idx val="0"/>
          <c:order val="2"/>
          <c:spPr>
            <a:noFill/>
          </c:spPr>
          <c:cat>
            <c:numRef>
              <c:f>盈亏平衡分析模型!$L$4:$L$14</c:f>
              <c:numCache>
                <c:formatCode>General</c:formatCode>
                <c:ptCount val="11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numCache>
            </c:numRef>
          </c:cat>
          <c:val>
            <c:numRef>
              <c:f>盈亏平衡分析模型!$O$4:$O$14</c:f>
              <c:numCache>
                <c:formatCode>0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0-348C-444E-B6BC-F83A5D6C9AD5}"/>
            </c:ext>
          </c:extLst>
        </c:ser>
        <c:ser>
          <c:idx val="3"/>
          <c:order val="3"/>
          <c:tx>
            <c:v>利润</c:v>
          </c:tx>
          <c:spPr>
            <a:pattFill prst="wdDnDiag">
              <a:fgClr>
                <a:schemeClr val="accent1"/>
              </a:fgClr>
              <a:bgClr>
                <a:schemeClr val="bg1"/>
              </a:bgClr>
            </a:pattFill>
          </c:spPr>
          <c:cat>
            <c:numRef>
              <c:f>盈亏平衡分析模型!$L$4:$L$14</c:f>
              <c:numCache>
                <c:formatCode>General</c:formatCode>
                <c:ptCount val="11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numCache>
            </c:numRef>
          </c:cat>
          <c:val>
            <c:numRef>
              <c:f>盈亏平衡分析模型!$P$4:$P$14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1-348C-444E-B6BC-F83A5D6C9AD5}"/>
            </c:ext>
          </c:extLst>
        </c:ser>
        <c:ser>
          <c:idx val="4"/>
          <c:order val="4"/>
          <c:tx>
            <c:v>亏损</c:v>
          </c:tx>
          <c:cat>
            <c:numRef>
              <c:f>盈亏平衡分析模型!$L$4:$L$14</c:f>
              <c:numCache>
                <c:formatCode>General</c:formatCode>
                <c:ptCount val="11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numCache>
            </c:numRef>
          </c:cat>
          <c:val>
            <c:numRef>
              <c:f>盈亏平衡分析模型!$Q$4:$Q$14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2-348C-444E-B6BC-F83A5D6C9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793216"/>
        <c:axId val="58253888"/>
      </c:areaChart>
      <c:lineChart>
        <c:grouping val="standard"/>
        <c:varyColors val="0"/>
        <c:ser>
          <c:idx val="1"/>
          <c:order val="0"/>
          <c:tx>
            <c:strRef>
              <c:f>盈亏平衡分析模型!$M$2</c:f>
              <c:strCache>
                <c:ptCount val="1"/>
                <c:pt idx="0">
                  <c:v>销售收入</c:v>
                </c:pt>
              </c:strCache>
            </c:strRef>
          </c:tx>
          <c:marker>
            <c:symbol val="none"/>
          </c:marker>
          <c:cat>
            <c:numRef>
              <c:f>盈亏平衡分析模型!$L$4:$L$14</c:f>
              <c:numCache>
                <c:formatCode>General</c:formatCode>
                <c:ptCount val="11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numCache>
            </c:numRef>
          </c:cat>
          <c:val>
            <c:numRef>
              <c:f>盈亏平衡分析模型!$M$4:$M$14</c:f>
              <c:numCache>
                <c:formatCode>General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8C-444E-B6BC-F83A5D6C9AD5}"/>
            </c:ext>
          </c:extLst>
        </c:ser>
        <c:ser>
          <c:idx val="2"/>
          <c:order val="1"/>
          <c:tx>
            <c:strRef>
              <c:f>盈亏平衡分析模型!$N$2</c:f>
              <c:strCache>
                <c:ptCount val="1"/>
                <c:pt idx="0">
                  <c:v>总成本</c:v>
                </c:pt>
              </c:strCache>
            </c:strRef>
          </c:tx>
          <c:marker>
            <c:symbol val="none"/>
          </c:marker>
          <c:cat>
            <c:numRef>
              <c:f>盈亏平衡分析模型!$L$4:$L$14</c:f>
              <c:numCache>
                <c:formatCode>General</c:formatCode>
                <c:ptCount val="11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  <c:pt idx="6">
                  <c:v>12000</c:v>
                </c:pt>
                <c:pt idx="7">
                  <c:v>14000</c:v>
                </c:pt>
                <c:pt idx="8">
                  <c:v>16000</c:v>
                </c:pt>
                <c:pt idx="9">
                  <c:v>18000</c:v>
                </c:pt>
                <c:pt idx="10">
                  <c:v>20000</c:v>
                </c:pt>
              </c:numCache>
            </c:numRef>
          </c:cat>
          <c:val>
            <c:numRef>
              <c:f>盈亏平衡分析模型!$N$4:$N$14</c:f>
              <c:numCache>
                <c:formatCode>General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48C-444E-B6BC-F83A5D6C9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793216"/>
        <c:axId val="58253888"/>
      </c:lineChart>
      <c:catAx>
        <c:axId val="206793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8253888"/>
        <c:crosses val="autoZero"/>
        <c:auto val="1"/>
        <c:lblAlgn val="ctr"/>
        <c:lblOffset val="100"/>
        <c:noMultiLvlLbl val="0"/>
      </c:catAx>
      <c:valAx>
        <c:axId val="58253888"/>
        <c:scaling>
          <c:orientation val="minMax"/>
          <c:max val="4000000"/>
        </c:scaling>
        <c:delete val="0"/>
        <c:axPos val="l"/>
        <c:numFmt formatCode="0" sourceLinked="1"/>
        <c:majorTickMark val="out"/>
        <c:minorTickMark val="none"/>
        <c:tickLblPos val="nextTo"/>
        <c:crossAx val="206793216"/>
        <c:crosses val="autoZero"/>
        <c:crossBetween val="midCat"/>
        <c:majorUnit val="1000000"/>
      </c:valAx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16588785046728971"/>
          <c:y val="0.88587791377562952"/>
          <c:w val="0.65887850467289721"/>
          <c:h val="6.0719419973493401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16" fmlaLink="盈亏平衡分析模型!$D$3" inc="500" max="20000" page="10" val="13500"/>
</file>

<file path=xl/ctrlProps/ctrlProp2.xml><?xml version="1.0" encoding="utf-8"?>
<formControlPr xmlns="http://schemas.microsoft.com/office/spreadsheetml/2009/9/main" objectType="Spin" dx="25" fmlaLink="盈亏平衡分析模型!$D$5" max="250" min="150" page="10" val="200"/>
</file>

<file path=xl/ctrlProps/ctrlProp3.xml><?xml version="1.0" encoding="utf-8"?>
<formControlPr xmlns="http://schemas.microsoft.com/office/spreadsheetml/2009/9/main" objectType="Spin" dx="25" fmlaLink="盈亏平衡分析模型!$D$7" inc="5" max="100" min="50" page="10" val="8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374650</xdr:colOff>
      <xdr:row>1</xdr:row>
      <xdr:rowOff>85725</xdr:rowOff>
    </xdr:from>
    <xdr:to>
      <xdr:col>10</xdr:col>
      <xdr:colOff>57150</xdr:colOff>
      <xdr:row>50</xdr:row>
      <xdr:rowOff>146050</xdr:rowOff>
    </xdr:to>
    <xdr:sp macro="" textlink="">
      <xdr:nvSpPr>
        <xdr:cNvPr id="4097" name="Text Box 1">
          <a:extLst>
            <a:ext uri="{FF2B5EF4-FFF2-40B4-BE49-F238E27FC236}">
              <a16:creationId xmlns:a16="http://schemas.microsoft.com/office/drawing/2014/main" id="{00000000-0008-0000-0000-000001100000}"/>
            </a:ext>
          </a:extLst>
        </xdr:cNvPr>
        <xdr:cNvSpPr txBox="1">
          <a:spLocks noChangeArrowheads="1"/>
        </xdr:cNvSpPr>
      </xdr:nvSpPr>
      <xdr:spPr bwMode="auto">
        <a:xfrm>
          <a:off x="374650" y="250825"/>
          <a:ext cx="6540500" cy="81502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35921" dir="2700000" algn="ctr" rotWithShape="0">
            <a:srgbClr val="808080"/>
          </a:outerShdw>
        </a:effec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CN" altLang="en-US" sz="1200" b="0" i="0" u="none" strike="noStrike" baseline="0">
              <a:solidFill>
                <a:srgbClr val="000000"/>
              </a:solidFill>
              <a:latin typeface="+mn-ea"/>
              <a:ea typeface="+mn-ea"/>
            </a:rPr>
            <a:t>【例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rPr>
            <a:t>7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rPr>
            <a:t>-</a:t>
          </a:r>
          <a:r>
            <a:rPr lang="en-US" altLang="zh-CN" sz="12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rPr>
            <a:t>2</a:t>
          </a:r>
          <a:r>
            <a:rPr lang="zh-CN" altLang="en-US" sz="1200" b="0" i="0" u="none" strike="noStrike" baseline="0">
              <a:solidFill>
                <a:srgbClr val="000000"/>
              </a:solidFill>
              <a:latin typeface="+mn-ea"/>
              <a:ea typeface="+mn-ea"/>
              <a:cs typeface="Arial"/>
            </a:rPr>
            <a:t>】</a:t>
          </a:r>
          <a:r>
            <a:rPr lang="zh-CN" altLang="zh-CN" sz="1050">
              <a:effectLst/>
              <a:latin typeface="+mn-lt"/>
              <a:ea typeface="+mn-ea"/>
              <a:cs typeface="+mn-cs"/>
            </a:rPr>
            <a:t>乐普公司从事芯片生产，年固定成本为</a:t>
          </a:r>
          <a:r>
            <a:rPr lang="en-US" altLang="zh-CN" sz="1050">
              <a:effectLst/>
              <a:latin typeface="+mn-lt"/>
              <a:ea typeface="+mn-ea"/>
              <a:cs typeface="+mn-cs"/>
            </a:rPr>
            <a:t>640000</a:t>
          </a:r>
          <a:r>
            <a:rPr lang="zh-CN" altLang="zh-CN" sz="1050">
              <a:effectLst/>
              <a:latin typeface="+mn-lt"/>
              <a:ea typeface="+mn-ea"/>
              <a:cs typeface="+mn-cs"/>
            </a:rPr>
            <a:t>元，生产一片芯片的可变成本为</a:t>
          </a:r>
          <a:r>
            <a:rPr lang="en-US" altLang="zh-CN" sz="1050">
              <a:effectLst/>
              <a:latin typeface="+mn-lt"/>
              <a:ea typeface="+mn-ea"/>
              <a:cs typeface="+mn-cs"/>
            </a:rPr>
            <a:t>80</a:t>
          </a:r>
          <a:r>
            <a:rPr lang="zh-CN" altLang="zh-CN" sz="1050">
              <a:effectLst/>
              <a:latin typeface="+mn-lt"/>
              <a:ea typeface="+mn-ea"/>
              <a:cs typeface="+mn-cs"/>
            </a:rPr>
            <a:t>元，每年的最大生产能力为</a:t>
          </a:r>
          <a:r>
            <a:rPr lang="en-US" altLang="zh-CN" sz="1050">
              <a:effectLst/>
              <a:latin typeface="+mn-lt"/>
              <a:ea typeface="+mn-ea"/>
              <a:cs typeface="+mn-cs"/>
            </a:rPr>
            <a:t>20000</a:t>
          </a:r>
          <a:r>
            <a:rPr lang="zh-CN" altLang="zh-CN" sz="1050">
              <a:effectLst/>
              <a:latin typeface="+mn-lt"/>
              <a:ea typeface="+mn-ea"/>
              <a:cs typeface="+mn-cs"/>
            </a:rPr>
            <a:t>片。一项销售调查显示，公司明年的销售价格可以暂定为每片</a:t>
          </a:r>
          <a:r>
            <a:rPr lang="en-US" altLang="zh-CN" sz="1050">
              <a:effectLst/>
              <a:latin typeface="+mn-lt"/>
              <a:ea typeface="+mn-ea"/>
              <a:cs typeface="+mn-cs"/>
            </a:rPr>
            <a:t>200</a:t>
          </a:r>
          <a:r>
            <a:rPr lang="zh-CN" altLang="zh-CN" sz="1050">
              <a:effectLst/>
              <a:latin typeface="+mn-lt"/>
              <a:ea typeface="+mn-ea"/>
              <a:cs typeface="+mn-cs"/>
            </a:rPr>
            <a:t>元，管理层希望借助于盈亏平衡模型进行盈亏分析。</a:t>
          </a:r>
          <a:r>
            <a:rPr lang="zh-CN" altLang="en-US" sz="1050">
              <a:effectLst/>
              <a:latin typeface="+mn-lt"/>
              <a:ea typeface="+mn-ea"/>
              <a:cs typeface="+mn-cs"/>
            </a:rPr>
            <a:t>参照下面两个图形建立模型。</a:t>
          </a:r>
          <a:endParaRPr lang="zh-CN" altLang="en-US" sz="1200">
            <a:latin typeface="+mn-ea"/>
            <a:ea typeface="+mn-ea"/>
          </a:endParaRPr>
        </a:p>
      </xdr:txBody>
    </xdr:sp>
    <xdr:clientData/>
  </xdr:twoCellAnchor>
  <xdr:twoCellAnchor editAs="oneCell">
    <xdr:from>
      <xdr:col>0</xdr:col>
      <xdr:colOff>508000</xdr:colOff>
      <xdr:row>5</xdr:row>
      <xdr:rowOff>31750</xdr:rowOff>
    </xdr:from>
    <xdr:to>
      <xdr:col>9</xdr:col>
      <xdr:colOff>475004</xdr:colOff>
      <xdr:row>26</xdr:row>
      <xdr:rowOff>161602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00" y="857250"/>
          <a:ext cx="6139204" cy="3596952"/>
        </a:xfrm>
        <a:prstGeom prst="rect">
          <a:avLst/>
        </a:prstGeom>
      </xdr:spPr>
    </xdr:pic>
    <xdr:clientData/>
  </xdr:twoCellAnchor>
  <xdr:twoCellAnchor editAs="oneCell">
    <xdr:from>
      <xdr:col>0</xdr:col>
      <xdr:colOff>514350</xdr:colOff>
      <xdr:row>27</xdr:row>
      <xdr:rowOff>76200</xdr:rowOff>
    </xdr:from>
    <xdr:to>
      <xdr:col>9</xdr:col>
      <xdr:colOff>482600</xdr:colOff>
      <xdr:row>49</xdr:row>
      <xdr:rowOff>69517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4533900"/>
          <a:ext cx="6140450" cy="36255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482600</xdr:colOff>
      <xdr:row>4</xdr:row>
      <xdr:rowOff>53975</xdr:rowOff>
    </xdr:from>
    <xdr:to>
      <xdr:col>9</xdr:col>
      <xdr:colOff>438150</xdr:colOff>
      <xdr:row>22</xdr:row>
      <xdr:rowOff>34925</xdr:rowOff>
    </xdr:to>
    <xdr:grpSp>
      <xdr:nvGrpSpPr>
        <xdr:cNvPr id="7" name="组合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pSpPr/>
      </xdr:nvGrpSpPr>
      <xdr:grpSpPr>
        <a:xfrm>
          <a:off x="482600" y="854075"/>
          <a:ext cx="6127750" cy="3581400"/>
          <a:chOff x="457200" y="860425"/>
          <a:chExt cx="6127750" cy="3581400"/>
        </a:xfrm>
      </xdr:grpSpPr>
      <xdr:grpSp>
        <xdr:nvGrpSpPr>
          <xdr:cNvPr id="4" name="组合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GrpSpPr/>
        </xdr:nvGrpSpPr>
        <xdr:grpSpPr>
          <a:xfrm>
            <a:off x="457200" y="860425"/>
            <a:ext cx="6127750" cy="3581400"/>
            <a:chOff x="482600" y="860425"/>
            <a:chExt cx="6127750" cy="3581400"/>
          </a:xfrm>
        </xdr:grpSpPr>
        <xdr:graphicFrame macro="">
          <xdr:nvGraphicFramePr>
            <xdr:cNvPr id="6" name="图表 5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GraphicFramePr>
              <a:graphicFrameLocks/>
            </xdr:cNvGraphicFramePr>
          </xdr:nvGraphicFramePr>
          <xdr:xfrm>
            <a:off x="482600" y="860425"/>
            <a:ext cx="6127750" cy="35814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3073" name="Spinner 1" hidden="1">
                  <a:extLst>
                    <a:ext uri="{63B3BB69-23CF-44E3-9099-C40C66FF867C}">
                      <a14:compatExt spid="_x0000_s3073"/>
                    </a:ext>
                    <a:ext uri="{FF2B5EF4-FFF2-40B4-BE49-F238E27FC236}">
                      <a16:creationId xmlns:a16="http://schemas.microsoft.com/office/drawing/2014/main" id="{00000000-0008-0000-0200-0000010C0000}"/>
                    </a:ext>
                  </a:extLst>
                </xdr:cNvPr>
                <xdr:cNvSpPr/>
              </xdr:nvSpPr>
              <xdr:spPr bwMode="auto">
                <a:xfrm>
                  <a:off x="1758950" y="1290037"/>
                  <a:ext cx="238570" cy="260830"/>
                </a:xfrm>
                <a:prstGeom prst="rect">
                  <a:avLst/>
                </a:prstGeom>
                <a:noFill/>
                <a:ln w="9525">
                  <a:miter lim="800000"/>
                  <a:headEnd/>
                  <a:tailEnd/>
                </a:ln>
              </xdr:spPr>
            </xdr:sp>
          </mc:Choice>
          <mc:Fallback/>
        </mc:AlternateContent>
        <xdr:sp macro="" textlink="盈亏平衡分析模型!C16:D16">
          <xdr:nvSpPr>
            <xdr:cNvPr id="3" name="TextBox 2">
              <a:extLst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xdr:cNvPr>
            <xdr:cNvSpPr txBox="1"/>
          </xdr:nvSpPr>
          <xdr:spPr>
            <a:xfrm>
              <a:off x="1999019" y="1296387"/>
              <a:ext cx="1556981" cy="26083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fld id="{D0BBAC2E-40EC-41C4-8880-43C9929355A9}" type="TxLink">
                <a:rPr lang="zh-CN" altLang="en-US" sz="1100">
                  <a:latin typeface="+mn-ea"/>
                  <a:ea typeface="+mn-ea"/>
                </a:rPr>
                <a:pPr algn="ctr"/>
                <a:t>销量=13500时，盈利</a:t>
              </a:fld>
              <a:endParaRPr lang="zh-CN" altLang="en-US" sz="1100">
                <a:latin typeface="+mn-ea"/>
                <a:ea typeface="+mn-ea"/>
              </a:endParaRPr>
            </a:p>
          </xdr:txBody>
        </xdr:sp>
      </xdr:grpSp>
      <xdr:grpSp>
        <xdr:nvGrpSpPr>
          <xdr:cNvPr id="5" name="组合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GrpSpPr/>
        </xdr:nvGrpSpPr>
        <xdr:grpSpPr>
          <a:xfrm>
            <a:off x="3581400" y="1295400"/>
            <a:ext cx="2832100" cy="266700"/>
            <a:chOff x="7099300" y="1079500"/>
            <a:chExt cx="2832100" cy="266700"/>
          </a:xfrm>
        </xdr:grpSpPr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3074" name="Spinner 2" hidden="1">
                  <a:extLst>
                    <a:ext uri="{63B3BB69-23CF-44E3-9099-C40C66FF867C}">
                      <a14:compatExt spid="_x0000_s3074"/>
                    </a:ext>
                    <a:ext uri="{FF2B5EF4-FFF2-40B4-BE49-F238E27FC236}">
                      <a16:creationId xmlns:a16="http://schemas.microsoft.com/office/drawing/2014/main" id="{00000000-0008-0000-0200-0000020C0000}"/>
                    </a:ext>
                  </a:extLst>
                </xdr:cNvPr>
                <xdr:cNvSpPr/>
              </xdr:nvSpPr>
              <xdr:spPr bwMode="auto">
                <a:xfrm>
                  <a:off x="7099300" y="1079500"/>
                  <a:ext cx="228600" cy="266700"/>
                </a:xfrm>
                <a:prstGeom prst="rect">
                  <a:avLst/>
                </a:prstGeom>
                <a:noFill/>
                <a:ln w="9525">
                  <a:miter lim="800000"/>
                  <a:headEnd/>
                  <a:tailEnd/>
                </a:ln>
              </xdr:spPr>
            </xdr:sp>
          </mc:Choice>
          <mc:Fallback/>
        </mc:AlternateContent>
        <xdr:sp macro="" textlink="盈亏平衡分析模型!C17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SpPr txBox="1"/>
          </xdr:nvSpPr>
          <xdr:spPr>
            <a:xfrm>
              <a:off x="7327900" y="1079500"/>
              <a:ext cx="2603500" cy="26083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fld id="{9A777C64-D3C6-425A-8391-07609A1C8661}" type="TxLink">
                <a:rPr lang="zh-CN" altLang="en-US" sz="1100">
                  <a:latin typeface="+mn-ea"/>
                  <a:ea typeface="+mn-ea"/>
                </a:rPr>
                <a:pPr algn="ctr"/>
                <a:t>销售单价=200时,盈亏平衡销量=5333.33333333333</a:t>
              </a:fld>
              <a:endParaRPr lang="zh-CN" altLang="en-US" sz="1100">
                <a:latin typeface="+mn-ea"/>
                <a:ea typeface="+mn-ea"/>
              </a:endParaRPr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546100</xdr:colOff>
      <xdr:row>8</xdr:row>
      <xdr:rowOff>152400</xdr:rowOff>
    </xdr:from>
    <xdr:to>
      <xdr:col>2</xdr:col>
      <xdr:colOff>533400</xdr:colOff>
      <xdr:row>10</xdr:row>
      <xdr:rowOff>50800</xdr:rowOff>
    </xdr:to>
    <xdr:sp macro="" textlink="">
      <xdr:nvSpPr>
        <xdr:cNvPr id="3" name="圆角矩形标注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206500" y="1676400"/>
          <a:ext cx="647700" cy="279400"/>
        </a:xfrm>
        <a:prstGeom prst="wedgeRoundRectCallout">
          <a:avLst>
            <a:gd name="adj1" fmla="val -48062"/>
            <a:gd name="adj2" fmla="val 187500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100">
              <a:solidFill>
                <a:sysClr val="windowText" lastClr="000000"/>
              </a:solidFill>
            </a:rPr>
            <a:t>亏损区</a:t>
          </a:r>
        </a:p>
      </xdr:txBody>
    </xdr:sp>
    <xdr:clientData/>
  </xdr:twoCellAnchor>
  <xdr:twoCellAnchor>
    <xdr:from>
      <xdr:col>6</xdr:col>
      <xdr:colOff>241300</xdr:colOff>
      <xdr:row>10</xdr:row>
      <xdr:rowOff>101600</xdr:rowOff>
    </xdr:from>
    <xdr:to>
      <xdr:col>7</xdr:col>
      <xdr:colOff>228600</xdr:colOff>
      <xdr:row>12</xdr:row>
      <xdr:rowOff>0</xdr:rowOff>
    </xdr:to>
    <xdr:sp macro="" textlink="">
      <xdr:nvSpPr>
        <xdr:cNvPr id="4" name="圆角矩形标注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4203700" y="2006600"/>
          <a:ext cx="647700" cy="279400"/>
        </a:xfrm>
        <a:prstGeom prst="wedgeRoundRectCallout">
          <a:avLst>
            <a:gd name="adj1" fmla="val -3944"/>
            <a:gd name="adj2" fmla="val -235227"/>
            <a:gd name="adj3" fmla="val 16667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100">
              <a:solidFill>
                <a:sysClr val="windowText" lastClr="000000"/>
              </a:solidFill>
            </a:rPr>
            <a:t>盈利区</a:t>
          </a:r>
        </a:p>
      </xdr:txBody>
    </xdr:sp>
    <xdr:clientData/>
  </xdr:twoCellAnchor>
  <xdr:twoCellAnchor>
    <xdr:from>
      <xdr:col>0</xdr:col>
      <xdr:colOff>260350</xdr:colOff>
      <xdr:row>1</xdr:row>
      <xdr:rowOff>28575</xdr:rowOff>
    </xdr:from>
    <xdr:to>
      <xdr:col>8</xdr:col>
      <xdr:colOff>209550</xdr:colOff>
      <xdr:row>17</xdr:row>
      <xdr:rowOff>34925</xdr:rowOff>
    </xdr:to>
    <xdr:grpSp>
      <xdr:nvGrpSpPr>
        <xdr:cNvPr id="8" name="组合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pSpPr/>
      </xdr:nvGrpSpPr>
      <xdr:grpSpPr>
        <a:xfrm>
          <a:off x="260350" y="228600"/>
          <a:ext cx="5435600" cy="3206750"/>
          <a:chOff x="260350" y="228600"/>
          <a:chExt cx="5435600" cy="3206750"/>
        </a:xfrm>
      </xdr:grpSpPr>
      <xdr:grpSp>
        <xdr:nvGrpSpPr>
          <xdr:cNvPr id="5" name="组合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GrpSpPr/>
        </xdr:nvGrpSpPr>
        <xdr:grpSpPr>
          <a:xfrm>
            <a:off x="260350" y="228600"/>
            <a:ext cx="5435600" cy="3206750"/>
            <a:chOff x="260350" y="228600"/>
            <a:chExt cx="5435600" cy="3206750"/>
          </a:xfrm>
        </xdr:grpSpPr>
        <xdr:graphicFrame macro="">
          <xdr:nvGraphicFramePr>
            <xdr:cNvPr id="2" name="图表 1">
              <a:extLs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GraphicFramePr>
              <a:graphicFrameLocks/>
            </xdr:cNvGraphicFramePr>
          </xdr:nvGraphicFramePr>
          <xdr:xfrm>
            <a:off x="260350" y="228600"/>
            <a:ext cx="5435600" cy="32067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5121" name="Spinner 1" hidden="1">
                  <a:extLst>
                    <a:ext uri="{63B3BB69-23CF-44E3-9099-C40C66FF867C}">
                      <a14:compatExt spid="_x0000_s5121"/>
                    </a:ext>
                    <a:ext uri="{FF2B5EF4-FFF2-40B4-BE49-F238E27FC236}">
                      <a16:creationId xmlns:a16="http://schemas.microsoft.com/office/drawing/2014/main" id="{00000000-0008-0000-0300-000001140000}"/>
                    </a:ext>
                  </a:extLst>
                </xdr:cNvPr>
                <xdr:cNvSpPr/>
              </xdr:nvSpPr>
              <xdr:spPr bwMode="auto">
                <a:xfrm>
                  <a:off x="1485900" y="635000"/>
                  <a:ext cx="228600" cy="266700"/>
                </a:xfrm>
                <a:prstGeom prst="rect">
                  <a:avLst/>
                </a:prstGeom>
                <a:noFill/>
                <a:ln w="9525">
                  <a:miter lim="800000"/>
                  <a:headEnd/>
                  <a:tailEnd/>
                </a:ln>
              </xdr:spPr>
            </xdr:sp>
          </mc:Choice>
          <mc:Fallback/>
        </mc:AlternateContent>
        <xdr:sp macro="" textlink="盈亏平衡分析模型!C18">
          <xdr:nvSpPr>
            <xdr:cNvPr id="6" name="TextBox 5">
              <a:extLst>
                <a:ext uri="{FF2B5EF4-FFF2-40B4-BE49-F238E27FC236}">
                  <a16:creationId xmlns:a16="http://schemas.microsoft.com/office/drawing/2014/main" id="{00000000-0008-0000-0300-000006000000}"/>
                </a:ext>
              </a:extLst>
            </xdr:cNvPr>
            <xdr:cNvSpPr txBox="1"/>
          </xdr:nvSpPr>
          <xdr:spPr>
            <a:xfrm>
              <a:off x="1714500" y="635000"/>
              <a:ext cx="2895600" cy="26083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1"/>
            <a:lstStyle/>
            <a:p>
              <a:pPr algn="ctr"/>
              <a:fld id="{97FB86BA-F39F-4438-997D-5662F5DC033F}" type="TxLink">
                <a:rPr lang="zh-CN" altLang="en-US" sz="1100">
                  <a:latin typeface="+mn-ea"/>
                  <a:ea typeface="+mn-ea"/>
                </a:rPr>
                <a:pPr algn="ctr"/>
                <a:t>单位可变成本=80时,盈亏平衡销量=5333.33333333333</a:t>
              </a:fld>
              <a:endParaRPr lang="zh-CN" altLang="en-US" sz="1100">
                <a:latin typeface="+mn-ea"/>
                <a:ea typeface="+mn-ea"/>
              </a:endParaRPr>
            </a:p>
          </xdr:txBody>
        </xdr:sp>
      </xdr:grpSp>
      <xdr:sp macro="" textlink="">
        <xdr:nvSpPr>
          <xdr:cNvPr id="7" name="圆角矩形标注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/>
        </xdr:nvSpPr>
        <xdr:spPr>
          <a:xfrm>
            <a:off x="1111250" y="1739900"/>
            <a:ext cx="698500" cy="247650"/>
          </a:xfrm>
          <a:prstGeom prst="wedgeRoundRectCallout">
            <a:avLst>
              <a:gd name="adj1" fmla="val -18106"/>
              <a:gd name="adj2" fmla="val 165064"/>
              <a:gd name="adj3" fmla="val 16667"/>
            </a:avLst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 anchorCtr="1"/>
          <a:lstStyle/>
          <a:p>
            <a:pPr algn="l"/>
            <a:r>
              <a:rPr lang="zh-CN" altLang="en-US" sz="1100">
                <a:solidFill>
                  <a:sysClr val="windowText" lastClr="000000"/>
                </a:solidFill>
              </a:rPr>
              <a:t>亏损区</a:t>
            </a:r>
          </a:p>
        </xdr:txBody>
      </xdr:sp>
    </xdr:grp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0.64136</cdr:x>
      <cdr:y>0.55446</cdr:y>
    </cdr:from>
    <cdr:to>
      <cdr:x>0.76986</cdr:x>
      <cdr:y>0.64158</cdr:y>
    </cdr:to>
    <cdr:sp macro="" textlink="">
      <cdr:nvSpPr>
        <cdr:cNvPr id="2" name="圆角矩形标注 1"/>
        <cdr:cNvSpPr/>
      </cdr:nvSpPr>
      <cdr:spPr>
        <a:xfrm xmlns:a="http://schemas.openxmlformats.org/drawingml/2006/main">
          <a:off x="3486150" y="1778000"/>
          <a:ext cx="698500" cy="279400"/>
        </a:xfrm>
        <a:prstGeom xmlns:a="http://schemas.openxmlformats.org/drawingml/2006/main" prst="wedgeRoundRectCallout">
          <a:avLst>
            <a:gd name="adj1" fmla="val -21742"/>
            <a:gd name="adj2" fmla="val -217045"/>
            <a:gd name="adj3" fmla="val 16667"/>
          </a:avLst>
        </a:prstGeom>
        <a:noFill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 anchorCtr="1"/>
        <a:lstStyle xmlns:a="http://schemas.openxmlformats.org/drawingml/2006/main"/>
        <a:p xmlns:a="http://schemas.openxmlformats.org/drawingml/2006/main">
          <a:r>
            <a:rPr lang="zh-CN" altLang="en-US">
              <a:solidFill>
                <a:sysClr val="windowText" lastClr="000000"/>
              </a:solidFill>
            </a:rPr>
            <a:t>盈利区</a:t>
          </a:r>
          <a:endParaRPr lang="zh-CN">
            <a:solidFill>
              <a:sysClr val="windowText" lastClr="000000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"/>
  <sheetViews>
    <sheetView showGridLines="0" workbookViewId="0"/>
  </sheetViews>
  <sheetFormatPr defaultColWidth="9" defaultRowHeight="12.75" x14ac:dyDescent="0.3"/>
  <cols>
    <col min="1" max="16384" width="9" style="1"/>
  </cols>
  <sheetData/>
  <phoneticPr fontId="1" type="noConversion"/>
  <pageMargins left="0.75" right="0.75" top="1" bottom="1" header="0.5" footer="0.5"/>
  <pageSetup paperSize="9" orientation="portrait" horizontalDpi="200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B2:Q22"/>
  <sheetViews>
    <sheetView showGridLines="0" tabSelected="1" workbookViewId="0">
      <selection activeCell="I13" sqref="I13"/>
    </sheetView>
  </sheetViews>
  <sheetFormatPr defaultColWidth="9" defaultRowHeight="13.9" x14ac:dyDescent="0.4"/>
  <cols>
    <col min="1" max="1" width="2.75" style="3" customWidth="1"/>
    <col min="2" max="2" width="2.25" style="3" customWidth="1"/>
    <col min="3" max="3" width="17.1875" style="3" customWidth="1"/>
    <col min="4" max="4" width="15.5625" style="3" customWidth="1"/>
    <col min="5" max="5" width="2.3125" style="3" customWidth="1"/>
    <col min="6" max="6" width="0.9375" style="3" customWidth="1"/>
    <col min="7" max="7" width="6.6875" style="3" customWidth="1"/>
    <col min="8" max="8" width="8.6875" style="3" customWidth="1"/>
    <col min="9" max="9" width="8.1875" style="3" customWidth="1"/>
    <col min="10" max="10" width="7.5" style="3" customWidth="1"/>
    <col min="11" max="11" width="2.75" style="3" customWidth="1"/>
    <col min="12" max="12" width="8.5" style="3" bestFit="1" customWidth="1"/>
    <col min="13" max="13" width="10.75" style="3" customWidth="1"/>
    <col min="14" max="14" width="9" style="3"/>
    <col min="15" max="15" width="19.75" style="3" bestFit="1" customWidth="1"/>
    <col min="16" max="16384" width="9" style="3"/>
  </cols>
  <sheetData>
    <row r="2" spans="2:17" x14ac:dyDescent="0.35">
      <c r="B2" s="18"/>
      <c r="C2" s="18"/>
      <c r="D2" s="18"/>
      <c r="E2" s="18"/>
      <c r="G2" s="4" t="str">
        <f>C3</f>
        <v>销量</v>
      </c>
      <c r="H2" s="4" t="str">
        <f>C9</f>
        <v>销售收入</v>
      </c>
      <c r="I2" s="4" t="str">
        <f>C10</f>
        <v>总成本</v>
      </c>
      <c r="J2" s="4" t="str">
        <f>C11</f>
        <v>利润</v>
      </c>
      <c r="K2" s="5"/>
      <c r="L2" s="4" t="s">
        <v>1</v>
      </c>
      <c r="M2" s="4" t="s">
        <v>2</v>
      </c>
      <c r="N2" s="4" t="s">
        <v>3</v>
      </c>
      <c r="O2" s="4" t="s">
        <v>13</v>
      </c>
      <c r="P2" s="4" t="s">
        <v>4</v>
      </c>
      <c r="Q2" s="4" t="s">
        <v>0</v>
      </c>
    </row>
    <row r="3" spans="2:17" x14ac:dyDescent="0.35">
      <c r="B3" s="18"/>
      <c r="C3" s="6" t="s">
        <v>1</v>
      </c>
      <c r="D3" s="7">
        <v>13500</v>
      </c>
      <c r="E3" s="18"/>
      <c r="G3" s="4"/>
      <c r="H3" s="8">
        <f>D9</f>
        <v>2700000</v>
      </c>
      <c r="I3" s="8">
        <f>D10</f>
        <v>1720000</v>
      </c>
      <c r="J3" s="8">
        <f>D11</f>
        <v>980000</v>
      </c>
      <c r="L3" s="4"/>
      <c r="M3" s="8"/>
      <c r="N3" s="8"/>
      <c r="O3" s="4"/>
      <c r="P3" s="4"/>
      <c r="Q3" s="4"/>
    </row>
    <row r="4" spans="2:17" x14ac:dyDescent="0.35">
      <c r="B4" s="18"/>
      <c r="C4" s="18"/>
      <c r="D4" s="18"/>
      <c r="E4" s="18"/>
      <c r="G4" s="9">
        <v>0</v>
      </c>
      <c r="H4" s="9">
        <f t="dataTable" ref="H4:J5" dt2D="0" dtr="0" r1="D3"/>
        <v>0</v>
      </c>
      <c r="I4" s="9">
        <v>640000</v>
      </c>
      <c r="J4" s="9">
        <v>-640000</v>
      </c>
      <c r="L4" s="9">
        <v>0</v>
      </c>
      <c r="M4" s="9"/>
      <c r="N4" s="9"/>
      <c r="O4" s="8"/>
      <c r="P4" s="9"/>
      <c r="Q4" s="9"/>
    </row>
    <row r="5" spans="2:17" x14ac:dyDescent="0.35">
      <c r="B5" s="18"/>
      <c r="C5" s="6" t="s">
        <v>5</v>
      </c>
      <c r="D5" s="19">
        <v>200</v>
      </c>
      <c r="E5" s="18"/>
      <c r="G5" s="9">
        <v>20000</v>
      </c>
      <c r="H5" s="9">
        <v>4000000</v>
      </c>
      <c r="I5" s="9">
        <v>2240000</v>
      </c>
      <c r="J5" s="9">
        <v>1760000</v>
      </c>
      <c r="L5" s="9">
        <v>2000</v>
      </c>
      <c r="M5" s="9"/>
      <c r="N5" s="9"/>
      <c r="O5" s="8"/>
      <c r="P5" s="9"/>
      <c r="Q5" s="9"/>
    </row>
    <row r="6" spans="2:17" x14ac:dyDescent="0.35">
      <c r="B6" s="18"/>
      <c r="C6" s="6" t="s">
        <v>6</v>
      </c>
      <c r="D6" s="19">
        <v>640000</v>
      </c>
      <c r="E6" s="18"/>
      <c r="L6" s="9">
        <v>4000</v>
      </c>
      <c r="M6" s="9"/>
      <c r="N6" s="9"/>
      <c r="O6" s="8"/>
      <c r="P6" s="9"/>
      <c r="Q6" s="9"/>
    </row>
    <row r="7" spans="2:17" x14ac:dyDescent="0.35">
      <c r="B7" s="18"/>
      <c r="C7" s="6" t="s">
        <v>7</v>
      </c>
      <c r="D7" s="19">
        <v>80</v>
      </c>
      <c r="E7" s="18"/>
      <c r="G7" s="3" t="s">
        <v>8</v>
      </c>
      <c r="L7" s="9">
        <v>6000</v>
      </c>
      <c r="M7" s="9"/>
      <c r="N7" s="9"/>
      <c r="O7" s="8"/>
      <c r="P7" s="9"/>
      <c r="Q7" s="9"/>
    </row>
    <row r="8" spans="2:17" x14ac:dyDescent="0.35">
      <c r="B8" s="18"/>
      <c r="C8" s="6" t="s">
        <v>9</v>
      </c>
      <c r="D8" s="20">
        <f>(D5-D7)*D3</f>
        <v>1620000</v>
      </c>
      <c r="E8" s="18"/>
      <c r="G8" s="10"/>
      <c r="H8" s="10"/>
      <c r="I8" s="10"/>
      <c r="J8" s="9"/>
      <c r="L8" s="9">
        <v>8000</v>
      </c>
      <c r="M8" s="9"/>
      <c r="N8" s="9"/>
      <c r="O8" s="8"/>
      <c r="P8" s="9"/>
      <c r="Q8" s="9"/>
    </row>
    <row r="9" spans="2:17" x14ac:dyDescent="0.35">
      <c r="B9" s="18"/>
      <c r="C9" s="6" t="s">
        <v>2</v>
      </c>
      <c r="D9" s="20">
        <f>D5*D3</f>
        <v>2700000</v>
      </c>
      <c r="E9" s="18"/>
      <c r="L9" s="9">
        <v>10000</v>
      </c>
      <c r="M9" s="9"/>
      <c r="N9" s="9"/>
      <c r="O9" s="8"/>
      <c r="P9" s="9"/>
      <c r="Q9" s="9"/>
    </row>
    <row r="10" spans="2:17" x14ac:dyDescent="0.35">
      <c r="B10" s="18"/>
      <c r="C10" s="6" t="s">
        <v>3</v>
      </c>
      <c r="D10" s="20">
        <f>D6+D7*D3</f>
        <v>1720000</v>
      </c>
      <c r="E10" s="18"/>
      <c r="G10" s="16" t="s">
        <v>14</v>
      </c>
      <c r="L10" s="9">
        <v>12000</v>
      </c>
      <c r="M10" s="9"/>
      <c r="N10" s="9"/>
      <c r="O10" s="8"/>
      <c r="P10" s="9"/>
      <c r="Q10" s="9"/>
    </row>
    <row r="11" spans="2:17" x14ac:dyDescent="0.35">
      <c r="B11" s="18"/>
      <c r="C11" s="6" t="s">
        <v>10</v>
      </c>
      <c r="D11" s="21">
        <f>D9-D6-D7*D3</f>
        <v>980000</v>
      </c>
      <c r="E11" s="18"/>
      <c r="G11" s="17"/>
      <c r="H11" s="17"/>
      <c r="L11" s="9">
        <v>14000</v>
      </c>
      <c r="M11" s="9"/>
      <c r="N11" s="9"/>
      <c r="O11" s="8"/>
      <c r="P11" s="9"/>
      <c r="Q11" s="9"/>
    </row>
    <row r="12" spans="2:17" x14ac:dyDescent="0.35">
      <c r="B12" s="18"/>
      <c r="C12" s="18"/>
      <c r="D12" s="18"/>
      <c r="E12" s="18"/>
      <c r="G12" s="17"/>
      <c r="H12" s="17"/>
      <c r="L12" s="9">
        <v>16000</v>
      </c>
      <c r="M12" s="9"/>
      <c r="N12" s="9"/>
      <c r="O12" s="8"/>
      <c r="P12" s="9"/>
      <c r="Q12" s="9"/>
    </row>
    <row r="13" spans="2:17" x14ac:dyDescent="0.35">
      <c r="B13" s="18"/>
      <c r="C13" s="6" t="s">
        <v>11</v>
      </c>
      <c r="D13" s="21">
        <f>D6/(D5-D7)</f>
        <v>5333.333333333333</v>
      </c>
      <c r="E13" s="18"/>
      <c r="G13" s="17"/>
      <c r="H13" s="17"/>
      <c r="L13" s="9">
        <v>18000</v>
      </c>
      <c r="M13" s="9"/>
      <c r="N13" s="9"/>
      <c r="O13" s="8"/>
      <c r="P13" s="9"/>
      <c r="Q13" s="9"/>
    </row>
    <row r="14" spans="2:17" x14ac:dyDescent="0.35">
      <c r="B14" s="18"/>
      <c r="C14" s="18"/>
      <c r="D14" s="18"/>
      <c r="E14" s="18"/>
      <c r="G14" s="17"/>
      <c r="H14" s="17"/>
      <c r="L14" s="9">
        <v>20000</v>
      </c>
      <c r="M14" s="9"/>
      <c r="N14" s="9"/>
      <c r="O14" s="8"/>
      <c r="P14" s="9"/>
      <c r="Q14" s="9"/>
    </row>
    <row r="15" spans="2:17" x14ac:dyDescent="0.4">
      <c r="C15" s="3" t="s">
        <v>12</v>
      </c>
      <c r="G15" s="17"/>
      <c r="H15" s="17"/>
    </row>
    <row r="16" spans="2:17" x14ac:dyDescent="0.4">
      <c r="C16" s="11" t="str">
        <f>C3&amp;"="&amp;D3&amp;"时，"&amp;IF(D11&gt;=0,"盈利",IF(D11&lt;0,"亏损","盈亏平衡"))</f>
        <v>销量=13500时，盈利</v>
      </c>
      <c r="D16" s="12"/>
      <c r="H16" s="15"/>
    </row>
    <row r="17" spans="3:8" x14ac:dyDescent="0.4">
      <c r="C17" s="13" t="str">
        <f>C5&amp;"="&amp;D5&amp;"时,"&amp;C13&amp;"="&amp;D13</f>
        <v>销售单价=200时,盈亏平衡销量=5333.33333333333</v>
      </c>
      <c r="D17" s="14"/>
      <c r="G17" s="16" t="s">
        <v>15</v>
      </c>
      <c r="H17" s="15"/>
    </row>
    <row r="18" spans="3:8" x14ac:dyDescent="0.4">
      <c r="C18" s="13" t="str">
        <f>C7&amp;"="&amp;D7&amp;"时,"&amp;C13&amp;"="&amp;D13</f>
        <v>单位可变成本=80时,盈亏平衡销量=5333.33333333333</v>
      </c>
      <c r="D18" s="14"/>
      <c r="G18" s="17"/>
      <c r="H18" s="17"/>
    </row>
    <row r="19" spans="3:8" x14ac:dyDescent="0.4">
      <c r="G19" s="17"/>
      <c r="H19" s="17"/>
    </row>
    <row r="20" spans="3:8" x14ac:dyDescent="0.4">
      <c r="G20" s="17"/>
      <c r="H20" s="17"/>
    </row>
    <row r="21" spans="3:8" x14ac:dyDescent="0.4">
      <c r="G21" s="17"/>
      <c r="H21" s="17"/>
    </row>
    <row r="22" spans="3:8" x14ac:dyDescent="0.4">
      <c r="G22" s="17"/>
      <c r="H22" s="17"/>
    </row>
  </sheetData>
  <phoneticPr fontId="1" type="noConversion"/>
  <printOptions headings="1"/>
  <pageMargins left="0.74803149606299213" right="0.74803149606299213" top="0.98425196850393704" bottom="0.98425196850393704" header="0.51181102362204722" footer="0.51181102362204722"/>
  <pageSetup paperSize="9"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showGridLines="0" topLeftCell="A3" workbookViewId="0">
      <selection activeCell="J4" sqref="J4"/>
    </sheetView>
  </sheetViews>
  <sheetFormatPr defaultRowHeight="15.75" x14ac:dyDescent="0.4"/>
  <sheetData/>
  <phoneticPr fontId="1" type="noConversion"/>
  <pageMargins left="0.75" right="0.75" top="1" bottom="1" header="0.5" footer="0.5"/>
  <pageSetup paperSize="9" orientation="portrait" horizontalDpi="1200" verticalDpi="12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Spinner 1">
              <controlPr defaultSize="0" autoPict="0">
                <anchor moveWithCells="1" sizeWithCells="1">
                  <from>
                    <xdr:col>2</xdr:col>
                    <xdr:colOff>438150</xdr:colOff>
                    <xdr:row>6</xdr:row>
                    <xdr:rowOff>138113</xdr:rowOff>
                  </from>
                  <to>
                    <xdr:col>3</xdr:col>
                    <xdr:colOff>19050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Spinner 2">
              <controlPr defaultSize="0" autoPict="0">
                <anchor moveWithCells="1" sizeWithCells="1">
                  <from>
                    <xdr:col>5</xdr:col>
                    <xdr:colOff>304800</xdr:colOff>
                    <xdr:row>6</xdr:row>
                    <xdr:rowOff>147638</xdr:rowOff>
                  </from>
                  <to>
                    <xdr:col>5</xdr:col>
                    <xdr:colOff>533400</xdr:colOff>
                    <xdr:row>8</xdr:row>
                    <xdr:rowOff>33338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E20"/>
  <sheetViews>
    <sheetView workbookViewId="0">
      <selection activeCell="I21" sqref="I21"/>
    </sheetView>
  </sheetViews>
  <sheetFormatPr defaultRowHeight="15.75" x14ac:dyDescent="0.4"/>
  <sheetData>
    <row r="20" spans="5:5" x14ac:dyDescent="0.4">
      <c r="E20" s="2"/>
    </row>
  </sheetData>
  <phoneticPr fontId="1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3" name="Spinner 1">
              <controlPr defaultSize="0" autoPict="0">
                <anchor moveWithCells="1" sizeWithCells="1">
                  <from>
                    <xdr:col>2</xdr:col>
                    <xdr:colOff>166688</xdr:colOff>
                    <xdr:row>3</xdr:row>
                    <xdr:rowOff>61913</xdr:rowOff>
                  </from>
                  <to>
                    <xdr:col>2</xdr:col>
                    <xdr:colOff>395288</xdr:colOff>
                    <xdr:row>4</xdr:row>
                    <xdr:rowOff>138113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例7-2</vt:lpstr>
      <vt:lpstr>盈亏平衡分析模型</vt:lpstr>
      <vt:lpstr>盈亏平衡分析图形</vt:lpstr>
      <vt:lpstr>盈亏平衡分析面积图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2026-06-21T09:11:21Z</dcterms:modified>
</cp:coreProperties>
</file>