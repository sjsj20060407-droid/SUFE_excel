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trlProps/ctrlProp3.xml" ContentType="application/vnd.ms-excel.controlproperties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86158\Desktop\经管机作业\"/>
    </mc:Choice>
  </mc:AlternateContent>
  <xr:revisionPtr revIDLastSave="0" documentId="13_ncr:1_{C972EFCC-D7CF-4308-A382-7785D2EB92A1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例8-2" sheetId="2" r:id="rId1"/>
    <sheet name="经济订货量分析模型" sheetId="4" r:id="rId2"/>
    <sheet name="经济订货量分析图形" sheetId="3" r:id="rId3"/>
    <sheet name="经济订货量情景分析图形" sheetId="5" r:id="rId4"/>
  </sheets>
  <definedNames>
    <definedName name="solver_adj" localSheetId="1" hidden="1">经济订货量分析模型!$C$6</definedName>
    <definedName name="solver_cvg" localSheetId="1" hidden="1">0.0001</definedName>
    <definedName name="solver_drv" localSheetId="1" hidden="1">1</definedName>
    <definedName name="solver_eng" localSheetId="1" hidden="1">1</definedName>
    <definedName name="solver_est" localSheetId="1" hidden="1">1</definedName>
    <definedName name="solver_itr" localSheetId="1" hidden="1">2147483647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0</definedName>
    <definedName name="solver_nwt" localSheetId="1" hidden="1">1</definedName>
    <definedName name="solver_opt" localSheetId="1" hidden="1">经济订货量分析模型!$C$9</definedName>
    <definedName name="solver_pre" localSheetId="1" hidden="1">0.000001</definedName>
    <definedName name="solver_rbv" localSheetId="1" hidden="1">1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2</definedName>
    <definedName name="solver_val" localSheetId="1" hidden="1">0</definedName>
    <definedName name="solver_ver" localSheetId="1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" i="4" l="1"/>
  <c r="I6" i="4"/>
  <c r="I7" i="4"/>
  <c r="I8" i="4"/>
  <c r="I9" i="4"/>
  <c r="I10" i="4"/>
  <c r="I11" i="4"/>
  <c r="I12" i="4"/>
  <c r="I13" i="4"/>
  <c r="I14" i="4"/>
  <c r="I4" i="4"/>
  <c r="C11" i="4"/>
  <c r="C12" i="4" s="1"/>
  <c r="C8" i="4"/>
  <c r="G3" i="4" s="1"/>
  <c r="C7" i="4"/>
  <c r="C2" i="4"/>
  <c r="C13" i="4" l="1"/>
  <c r="C14" i="4" s="1"/>
  <c r="C9" i="4"/>
  <c r="F3" i="4"/>
  <c r="W2" i="4"/>
  <c r="H3" i="4" l="1"/>
  <c r="B18" i="4"/>
  <c r="B17" i="4"/>
  <c r="B16" i="4"/>
  <c r="H17" i="4"/>
  <c r="H18" i="4" s="1"/>
  <c r="H19" i="4" s="1"/>
  <c r="H20" i="4" s="1"/>
  <c r="H21" i="4" s="1"/>
  <c r="H2" i="4"/>
  <c r="G2" i="4"/>
  <c r="F2" i="4"/>
</calcChain>
</file>

<file path=xl/sharedStrings.xml><?xml version="1.0" encoding="utf-8"?>
<sst xmlns="http://schemas.openxmlformats.org/spreadsheetml/2006/main" count="18" uniqueCount="18">
  <si>
    <t>订货量</t>
    <phoneticPr fontId="1" type="noConversion"/>
  </si>
  <si>
    <t>经济订货量垂直参考线</t>
    <phoneticPr fontId="1" type="noConversion"/>
  </si>
  <si>
    <t>当前订货量垂直参考线</t>
    <phoneticPr fontId="1" type="noConversion"/>
  </si>
  <si>
    <t>年订货成本</t>
    <phoneticPr fontId="1" type="noConversion"/>
  </si>
  <si>
    <t>年储存成本</t>
    <phoneticPr fontId="1" type="noConversion"/>
  </si>
  <si>
    <t>年总成本</t>
    <phoneticPr fontId="1" type="noConversion"/>
  </si>
  <si>
    <t>订货成本与</t>
    <phoneticPr fontId="1" type="noConversion"/>
  </si>
  <si>
    <t>储存成本差</t>
  </si>
  <si>
    <t>当前线</t>
    <phoneticPr fontId="1" type="noConversion"/>
  </si>
  <si>
    <t>年需求量(D)</t>
    <phoneticPr fontId="1" type="noConversion"/>
  </si>
  <si>
    <t>单次订货成本(k)</t>
    <phoneticPr fontId="1" type="noConversion"/>
  </si>
  <si>
    <t>单位年储存成本(h)</t>
    <phoneticPr fontId="1" type="noConversion"/>
  </si>
  <si>
    <t>订货量(Q)</t>
    <phoneticPr fontId="1" type="noConversion"/>
  </si>
  <si>
    <t>经济订货量(EOQ)</t>
    <phoneticPr fontId="1" type="noConversion"/>
  </si>
  <si>
    <t>EOQ下的年订货成本</t>
    <phoneticPr fontId="1" type="noConversion"/>
  </si>
  <si>
    <t>EOQ下的年储存成本</t>
    <phoneticPr fontId="1" type="noConversion"/>
  </si>
  <si>
    <t>EOQ下的年总成本</t>
    <phoneticPr fontId="1" type="noConversion"/>
  </si>
  <si>
    <t>决策参考点轨迹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</si>
</sst>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6" x14ac:knownFonts="1">
    <font>
      <sz val="12"/>
      <name val="宋体"/>
      <charset val="134"/>
    </font>
    <font>
      <sz val="9"/>
      <name val="宋体"/>
      <family val="3"/>
      <charset val="134"/>
    </font>
    <font>
      <sz val="10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3" fillId="2" borderId="0" xfId="0" applyFont="1" applyFill="1"/>
    <xf numFmtId="0" fontId="3" fillId="0" borderId="0" xfId="0" applyFont="1"/>
    <xf numFmtId="0" fontId="3" fillId="0" borderId="0" xfId="0" applyFont="1" applyAlignment="1">
      <alignment horizontal="center"/>
    </xf>
    <xf numFmtId="0" fontId="3" fillId="2" borderId="1" xfId="0" applyFont="1" applyFill="1" applyBorder="1"/>
    <xf numFmtId="1" fontId="3" fillId="2" borderId="1" xfId="0" applyNumberFormat="1" applyFont="1" applyFill="1" applyBorder="1"/>
    <xf numFmtId="0" fontId="3" fillId="2" borderId="0" xfId="0" applyFont="1" applyFill="1" applyAlignment="1">
      <alignment horizontal="center"/>
    </xf>
    <xf numFmtId="0" fontId="3" fillId="2" borderId="2" xfId="0" applyFont="1" applyFill="1" applyBorder="1"/>
    <xf numFmtId="2" fontId="3" fillId="2" borderId="1" xfId="0" applyNumberFormat="1" applyFont="1" applyFill="1" applyBorder="1" applyAlignment="1">
      <alignment horizontal="center"/>
    </xf>
    <xf numFmtId="176" fontId="3" fillId="2" borderId="0" xfId="0" applyNumberFormat="1" applyFont="1" applyFill="1"/>
    <xf numFmtId="0" fontId="4" fillId="0" borderId="0" xfId="0" applyFont="1"/>
    <xf numFmtId="1" fontId="3" fillId="2" borderId="0" xfId="0" applyNumberFormat="1" applyFont="1" applyFill="1"/>
    <xf numFmtId="0" fontId="3" fillId="0" borderId="0" xfId="0" applyFont="1" applyAlignment="1">
      <alignment horizontal="right"/>
    </xf>
    <xf numFmtId="0" fontId="3" fillId="4" borderId="1" xfId="0" applyFont="1" applyFill="1" applyBorder="1"/>
    <xf numFmtId="0" fontId="3" fillId="4" borderId="1" xfId="0" applyFont="1" applyFill="1" applyBorder="1" applyAlignment="1">
      <alignment horizontal="center"/>
    </xf>
    <xf numFmtId="1" fontId="3" fillId="5" borderId="1" xfId="0" applyNumberFormat="1" applyFont="1" applyFill="1" applyBorder="1"/>
    <xf numFmtId="0" fontId="3" fillId="5" borderId="1" xfId="0" applyFont="1" applyFill="1" applyBorder="1"/>
    <xf numFmtId="1" fontId="3" fillId="6" borderId="1" xfId="0" applyNumberFormat="1" applyFont="1" applyFill="1" applyBorder="1"/>
    <xf numFmtId="1" fontId="3" fillId="7" borderId="1" xfId="0" applyNumberFormat="1" applyFont="1" applyFill="1" applyBorder="1"/>
    <xf numFmtId="2" fontId="3" fillId="7" borderId="1" xfId="0" applyNumberFormat="1" applyFont="1" applyFill="1" applyBorder="1"/>
    <xf numFmtId="2" fontId="3" fillId="6" borderId="1" xfId="0" applyNumberFormat="1" applyFont="1" applyFill="1" applyBorder="1"/>
    <xf numFmtId="2" fontId="3" fillId="8" borderId="1" xfId="0" applyNumberFormat="1" applyFont="1" applyFill="1" applyBorder="1" applyAlignment="1">
      <alignment horizontal="center"/>
    </xf>
    <xf numFmtId="2" fontId="3" fillId="6" borderId="1" xfId="0" applyNumberFormat="1" applyFont="1" applyFill="1" applyBorder="1" applyAlignment="1">
      <alignment horizontal="center"/>
    </xf>
    <xf numFmtId="1" fontId="3" fillId="6" borderId="1" xfId="0" applyNumberFormat="1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1" fontId="3" fillId="8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" fontId="5" fillId="1" borderId="1" xfId="0" applyNumberFormat="1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zh-CN" altLang="en-US" sz="1400"/>
              <a:t>经济订货量分析模型</a:t>
            </a:r>
          </a:p>
        </c:rich>
      </c:tx>
      <c:layout>
        <c:manualLayout>
          <c:xMode val="edge"/>
          <c:yMode val="edge"/>
          <c:x val="0.36948408625055912"/>
          <c:y val="1.89265827752839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466909378263201"/>
          <c:y val="0.20971023427866831"/>
          <c:w val="0.82920883357091602"/>
          <c:h val="0.63003339903103972"/>
        </c:manualLayout>
      </c:layout>
      <c:scatterChart>
        <c:scatterStyle val="smoothMarker"/>
        <c:varyColors val="0"/>
        <c:ser>
          <c:idx val="0"/>
          <c:order val="0"/>
          <c:tx>
            <c:strRef>
              <c:f>经济订货量分析模型!$F$2</c:f>
              <c:strCache>
                <c:ptCount val="1"/>
                <c:pt idx="0">
                  <c:v>年订货成本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xVal>
            <c:numRef>
              <c:f>经济订货量分析模型!$E$4:$E$14</c:f>
              <c:numCache>
                <c:formatCode>General</c:formatCode>
                <c:ptCount val="11"/>
                <c:pt idx="0">
                  <c:v>600</c:v>
                </c:pt>
                <c:pt idx="1">
                  <c:v>700</c:v>
                </c:pt>
                <c:pt idx="2">
                  <c:v>800</c:v>
                </c:pt>
                <c:pt idx="3">
                  <c:v>900</c:v>
                </c:pt>
                <c:pt idx="4">
                  <c:v>1000</c:v>
                </c:pt>
                <c:pt idx="5">
                  <c:v>1100</c:v>
                </c:pt>
                <c:pt idx="6">
                  <c:v>1200</c:v>
                </c:pt>
                <c:pt idx="7">
                  <c:v>1300</c:v>
                </c:pt>
                <c:pt idx="8">
                  <c:v>1400</c:v>
                </c:pt>
                <c:pt idx="9">
                  <c:v>1500</c:v>
                </c:pt>
                <c:pt idx="10">
                  <c:v>1600</c:v>
                </c:pt>
              </c:numCache>
            </c:numRef>
          </c:xVal>
          <c:yVal>
            <c:numRef>
              <c:f>经济订货量分析模型!$F$4:$F$14</c:f>
              <c:numCache>
                <c:formatCode>0.00</c:formatCode>
                <c:ptCount val="11"/>
                <c:pt idx="0">
                  <c:v>12000</c:v>
                </c:pt>
                <c:pt idx="1">
                  <c:v>10285.714285714286</c:v>
                </c:pt>
                <c:pt idx="2">
                  <c:v>9000</c:v>
                </c:pt>
                <c:pt idx="3">
                  <c:v>8000</c:v>
                </c:pt>
                <c:pt idx="4">
                  <c:v>7200</c:v>
                </c:pt>
                <c:pt idx="5">
                  <c:v>6545.454545454545</c:v>
                </c:pt>
                <c:pt idx="6">
                  <c:v>6000</c:v>
                </c:pt>
                <c:pt idx="7">
                  <c:v>5538.461538461539</c:v>
                </c:pt>
                <c:pt idx="8">
                  <c:v>5142.8571428571431</c:v>
                </c:pt>
                <c:pt idx="9">
                  <c:v>4800</c:v>
                </c:pt>
                <c:pt idx="10">
                  <c:v>4500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324-4D56-B76F-C3EBD2F4D192}"/>
            </c:ext>
          </c:extLst>
        </c:ser>
        <c:ser>
          <c:idx val="1"/>
          <c:order val="1"/>
          <c:tx>
            <c:strRef>
              <c:f>经济订货量分析模型!$G$2</c:f>
              <c:strCache>
                <c:ptCount val="1"/>
                <c:pt idx="0">
                  <c:v>年储存成本</c:v>
                </c:pt>
              </c:strCache>
            </c:strRef>
          </c:tx>
          <c:spPr>
            <a:ln>
              <a:prstDash val="sysDash"/>
            </a:ln>
          </c:spPr>
          <c:marker>
            <c:symbol val="none"/>
          </c:marker>
          <c:xVal>
            <c:numRef>
              <c:f>经济订货量分析模型!$E$4:$E$15</c:f>
              <c:numCache>
                <c:formatCode>General</c:formatCode>
                <c:ptCount val="12"/>
                <c:pt idx="0">
                  <c:v>600</c:v>
                </c:pt>
                <c:pt idx="1">
                  <c:v>700</c:v>
                </c:pt>
                <c:pt idx="2">
                  <c:v>800</c:v>
                </c:pt>
                <c:pt idx="3">
                  <c:v>900</c:v>
                </c:pt>
                <c:pt idx="4">
                  <c:v>1000</c:v>
                </c:pt>
                <c:pt idx="5">
                  <c:v>1100</c:v>
                </c:pt>
                <c:pt idx="6">
                  <c:v>1200</c:v>
                </c:pt>
                <c:pt idx="7">
                  <c:v>1300</c:v>
                </c:pt>
                <c:pt idx="8">
                  <c:v>1400</c:v>
                </c:pt>
                <c:pt idx="9">
                  <c:v>1500</c:v>
                </c:pt>
                <c:pt idx="10">
                  <c:v>1600</c:v>
                </c:pt>
              </c:numCache>
            </c:numRef>
          </c:xVal>
          <c:yVal>
            <c:numRef>
              <c:f>经济订货量分析模型!$G$4:$G$15</c:f>
              <c:numCache>
                <c:formatCode>0.00</c:formatCode>
                <c:ptCount val="12"/>
                <c:pt idx="0">
                  <c:v>3000</c:v>
                </c:pt>
                <c:pt idx="1">
                  <c:v>3500</c:v>
                </c:pt>
                <c:pt idx="2">
                  <c:v>4000</c:v>
                </c:pt>
                <c:pt idx="3">
                  <c:v>4500</c:v>
                </c:pt>
                <c:pt idx="4">
                  <c:v>5000</c:v>
                </c:pt>
                <c:pt idx="5">
                  <c:v>5500</c:v>
                </c:pt>
                <c:pt idx="6">
                  <c:v>6000</c:v>
                </c:pt>
                <c:pt idx="7">
                  <c:v>6500</c:v>
                </c:pt>
                <c:pt idx="8">
                  <c:v>7000</c:v>
                </c:pt>
                <c:pt idx="9">
                  <c:v>7500</c:v>
                </c:pt>
                <c:pt idx="10">
                  <c:v>8000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324-4D56-B76F-C3EBD2F4D192}"/>
            </c:ext>
          </c:extLst>
        </c:ser>
        <c:ser>
          <c:idx val="2"/>
          <c:order val="2"/>
          <c:tx>
            <c:strRef>
              <c:f>经济订货量分析模型!$H$2</c:f>
              <c:strCache>
                <c:ptCount val="1"/>
                <c:pt idx="0">
                  <c:v>年总成本</c:v>
                </c:pt>
              </c:strCache>
            </c:strRef>
          </c:tx>
          <c:marker>
            <c:symbol val="none"/>
          </c:marker>
          <c:xVal>
            <c:numRef>
              <c:f>经济订货量分析模型!$E$4:$E$15</c:f>
              <c:numCache>
                <c:formatCode>General</c:formatCode>
                <c:ptCount val="12"/>
                <c:pt idx="0">
                  <c:v>600</c:v>
                </c:pt>
                <c:pt idx="1">
                  <c:v>700</c:v>
                </c:pt>
                <c:pt idx="2">
                  <c:v>800</c:v>
                </c:pt>
                <c:pt idx="3">
                  <c:v>900</c:v>
                </c:pt>
                <c:pt idx="4">
                  <c:v>1000</c:v>
                </c:pt>
                <c:pt idx="5">
                  <c:v>1100</c:v>
                </c:pt>
                <c:pt idx="6">
                  <c:v>1200</c:v>
                </c:pt>
                <c:pt idx="7">
                  <c:v>1300</c:v>
                </c:pt>
                <c:pt idx="8">
                  <c:v>1400</c:v>
                </c:pt>
                <c:pt idx="9">
                  <c:v>1500</c:v>
                </c:pt>
                <c:pt idx="10">
                  <c:v>1600</c:v>
                </c:pt>
              </c:numCache>
            </c:numRef>
          </c:xVal>
          <c:yVal>
            <c:numRef>
              <c:f>经济订货量分析模型!$H$4:$H$15</c:f>
              <c:numCache>
                <c:formatCode>0.00</c:formatCode>
                <c:ptCount val="12"/>
                <c:pt idx="0">
                  <c:v>15000</c:v>
                </c:pt>
                <c:pt idx="1">
                  <c:v>13785.714285714286</c:v>
                </c:pt>
                <c:pt idx="2">
                  <c:v>13000</c:v>
                </c:pt>
                <c:pt idx="3">
                  <c:v>12500</c:v>
                </c:pt>
                <c:pt idx="4">
                  <c:v>12200</c:v>
                </c:pt>
                <c:pt idx="5">
                  <c:v>12045.454545454544</c:v>
                </c:pt>
                <c:pt idx="6">
                  <c:v>12000</c:v>
                </c:pt>
                <c:pt idx="7">
                  <c:v>12038.461538461539</c:v>
                </c:pt>
                <c:pt idx="8">
                  <c:v>12142.857142857143</c:v>
                </c:pt>
                <c:pt idx="9">
                  <c:v>12300</c:v>
                </c:pt>
                <c:pt idx="10">
                  <c:v>12500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324-4D56-B76F-C3EBD2F4D192}"/>
            </c:ext>
          </c:extLst>
        </c:ser>
        <c:ser>
          <c:idx val="3"/>
          <c:order val="3"/>
          <c:spPr>
            <a:ln w="28575">
              <a:solidFill>
                <a:srgbClr val="C00000"/>
              </a:solidFill>
            </a:ln>
          </c:spPr>
          <c:marker>
            <c:symbol val="square"/>
            <c:size val="7"/>
            <c:spPr>
              <a:solidFill>
                <a:schemeClr val="lt1"/>
              </a:solidFill>
              <a:ln>
                <a:solidFill>
                  <a:schemeClr val="tx2">
                    <a:lumMod val="50000"/>
                  </a:schemeClr>
                </a:solidFill>
              </a:ln>
            </c:spPr>
          </c:marker>
          <c:dPt>
            <c:idx val="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3-8324-4D56-B76F-C3EBD2F4D192}"/>
              </c:ext>
            </c:extLst>
          </c:dPt>
          <c:dPt>
            <c:idx val="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4-8324-4D56-B76F-C3EBD2F4D192}"/>
              </c:ext>
            </c:extLst>
          </c:dPt>
          <c:dPt>
            <c:idx val="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5-8324-4D56-B76F-C3EBD2F4D192}"/>
              </c:ext>
            </c:extLst>
          </c:dPt>
          <c:dLbls>
            <c:dLbl>
              <c:idx val="2"/>
              <c:layout>
                <c:manualLayout>
                  <c:x val="-1.4470555299917302E-2"/>
                  <c:y val="-3.3908754623921088E-2"/>
                </c:manualLayout>
              </c:layout>
              <c:numFmt formatCode="#,##0_);[Red]\(#,##0\)" sourceLinked="0"/>
              <c:spPr/>
              <c:txPr>
                <a:bodyPr/>
                <a:lstStyle/>
                <a:p>
                  <a:pPr>
                    <a:defRPr/>
                  </a:pPr>
                  <a:endParaRPr lang="zh-CN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08B-4770-8516-CD819C883C3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经济订货量分析模型!$E$17:$E$20</c:f>
              <c:numCache>
                <c:formatCode>0</c:formatCode>
                <c:ptCount val="4"/>
              </c:numCache>
            </c:numRef>
          </c:xVal>
          <c:yVal>
            <c:numRef>
              <c:f>经济订货量分析模型!$F$17:$F$20</c:f>
              <c:numCache>
                <c:formatCode>0.00</c:formatCode>
                <c:ptCount val="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324-4D56-B76F-C3EBD2F4D192}"/>
            </c:ext>
          </c:extLst>
        </c:ser>
        <c:ser>
          <c:idx val="4"/>
          <c:order val="4"/>
          <c:spPr>
            <a:ln w="15875">
              <a:solidFill>
                <a:srgbClr val="FF0000"/>
              </a:solidFill>
            </a:ln>
          </c:spPr>
          <c:marker>
            <c:symbol val="square"/>
            <c:size val="7"/>
            <c:spPr>
              <a:solidFill>
                <a:schemeClr val="lt1"/>
              </a:solidFill>
              <a:ln>
                <a:solidFill>
                  <a:srgbClr val="FF0000"/>
                </a:solidFill>
              </a:ln>
            </c:spPr>
          </c:marker>
          <c:dPt>
            <c:idx val="0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7-8324-4D56-B76F-C3EBD2F4D192}"/>
              </c:ext>
            </c:extLst>
          </c:dPt>
          <c:dPt>
            <c:idx val="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8-8324-4D56-B76F-C3EBD2F4D192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324-4D56-B76F-C3EBD2F4D192}"/>
                </c:ext>
              </c:extLst>
            </c:dLbl>
            <c:dLbl>
              <c:idx val="1"/>
              <c:layout>
                <c:manualLayout>
                  <c:x val="-6.1299550469963221E-3"/>
                  <c:y val="-2.77435265104808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08B-4770-8516-CD819C883C39}"/>
                </c:ext>
              </c:extLst>
            </c:dLbl>
            <c:dLbl>
              <c:idx val="2"/>
              <c:layout>
                <c:manualLayout>
                  <c:x val="-1.2259910093992644E-2"/>
                  <c:y val="-2.466091245376078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08B-4770-8516-CD819C883C39}"/>
                </c:ext>
              </c:extLst>
            </c:dLbl>
            <c:dLbl>
              <c:idx val="3"/>
              <c:layout>
                <c:manualLayout>
                  <c:x val="-1.2259910093992644E-2"/>
                  <c:y val="-2.466091245376078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08B-4770-8516-CD819C883C3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经济订货量分析模型!$H$17:$H$21</c:f>
              <c:numCache>
                <c:formatCode>0</c:formatCode>
                <c:ptCount val="5"/>
                <c:pt idx="0">
                  <c:v>900</c:v>
                </c:pt>
                <c:pt idx="1">
                  <c:v>900</c:v>
                </c:pt>
                <c:pt idx="2">
                  <c:v>900</c:v>
                </c:pt>
                <c:pt idx="3">
                  <c:v>900</c:v>
                </c:pt>
                <c:pt idx="4">
                  <c:v>900</c:v>
                </c:pt>
              </c:numCache>
            </c:numRef>
          </c:xVal>
          <c:yVal>
            <c:numRef>
              <c:f>经济订货量分析模型!$I$17:$I$21</c:f>
              <c:numCache>
                <c:formatCode>0</c:formatCode>
                <c:ptCount val="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8324-4D56-B76F-C3EBD2F4D1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536512"/>
        <c:axId val="130537088"/>
      </c:scatterChart>
      <c:valAx>
        <c:axId val="130536512"/>
        <c:scaling>
          <c:orientation val="minMax"/>
          <c:max val="1600"/>
          <c:min val="600"/>
        </c:scaling>
        <c:delete val="0"/>
        <c:axPos val="b"/>
        <c:title>
          <c:tx>
            <c:rich>
              <a:bodyPr/>
              <a:lstStyle/>
              <a:p>
                <a:pPr>
                  <a:defRPr sz="1100"/>
                </a:pPr>
                <a:r>
                  <a:rPr lang="zh-CN" altLang="en-US" sz="1100"/>
                  <a:t>订</a:t>
                </a:r>
                <a:endParaRPr lang="en-US" altLang="zh-CN" sz="1100"/>
              </a:p>
              <a:p>
                <a:pPr>
                  <a:defRPr sz="1100"/>
                </a:pPr>
                <a:r>
                  <a:rPr lang="zh-CN" altLang="en-US" sz="1100"/>
                  <a:t>货</a:t>
                </a:r>
                <a:endParaRPr lang="en-US" altLang="zh-CN" sz="1100"/>
              </a:p>
              <a:p>
                <a:pPr>
                  <a:defRPr sz="1100"/>
                </a:pPr>
                <a:r>
                  <a:rPr lang="zh-CN" altLang="en-US" sz="1100"/>
                  <a:t>量</a:t>
                </a:r>
              </a:p>
            </c:rich>
          </c:tx>
          <c:layout>
            <c:manualLayout>
              <c:xMode val="edge"/>
              <c:yMode val="edge"/>
              <c:x val="0.95792823608532396"/>
              <c:y val="0.70129469790382248"/>
            </c:manualLayout>
          </c:layout>
          <c:overlay val="0"/>
        </c:title>
        <c:numFmt formatCode="General" sourceLinked="1"/>
        <c:majorTickMark val="in"/>
        <c:minorTickMark val="none"/>
        <c:tickLblPos val="nextTo"/>
        <c:txPr>
          <a:bodyPr/>
          <a:lstStyle/>
          <a:p>
            <a:pPr>
              <a:defRPr sz="1100"/>
            </a:pPr>
            <a:endParaRPr lang="zh-CN"/>
          </a:p>
        </c:txPr>
        <c:crossAx val="130537088"/>
        <c:crosses val="autoZero"/>
        <c:crossBetween val="midCat"/>
      </c:valAx>
      <c:valAx>
        <c:axId val="130537088"/>
        <c:scaling>
          <c:orientation val="minMax"/>
          <c:max val="18000"/>
        </c:scaling>
        <c:delete val="0"/>
        <c:axPos val="l"/>
        <c:numFmt formatCode="#,##0_);[Red]\(#,##0\)" sourceLinked="0"/>
        <c:majorTickMark val="in"/>
        <c:minorTickMark val="none"/>
        <c:tickLblPos val="nextTo"/>
        <c:txPr>
          <a:bodyPr/>
          <a:lstStyle/>
          <a:p>
            <a:pPr>
              <a:defRPr sz="1100"/>
            </a:pPr>
            <a:endParaRPr lang="zh-CN"/>
          </a:p>
        </c:txPr>
        <c:crossAx val="130536512"/>
        <c:crosses val="autoZero"/>
        <c:crossBetween val="midCat"/>
        <c:majorUnit val="2000"/>
      </c:valAx>
    </c:plotArea>
    <c:legend>
      <c:legendPos val="b"/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11229064031483192"/>
          <c:y val="0.91835329177602809"/>
          <c:w val="0.72043010752688175"/>
          <c:h val="6.3968996062992126E-2"/>
        </c:manualLayout>
      </c:layout>
      <c:overlay val="0"/>
      <c:txPr>
        <a:bodyPr/>
        <a:lstStyle/>
        <a:p>
          <a:pPr>
            <a:defRPr sz="1100"/>
          </a:pPr>
          <a:endParaRPr lang="zh-CN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 sz="1400"/>
              <a:t>经济订货量情景分析模型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4795519116811435E-2"/>
          <c:y val="0.13463100065040201"/>
          <c:w val="0.87161685201720918"/>
          <c:h val="0.77028410113059242"/>
        </c:manualLayout>
      </c:layout>
      <c:scatterChart>
        <c:scatterStyle val="smoothMarker"/>
        <c:varyColors val="0"/>
        <c:ser>
          <c:idx val="1"/>
          <c:order val="0"/>
          <c:tx>
            <c:strRef>
              <c:f>经济订货量分析模型!$L$2</c:f>
              <c:strCache>
                <c:ptCount val="1"/>
                <c:pt idx="0">
                  <c:v>30000</c:v>
                </c:pt>
              </c:strCache>
            </c:strRef>
          </c:tx>
          <c:spPr>
            <a:ln>
              <a:solidFill>
                <a:schemeClr val="bg1">
                  <a:lumMod val="85000"/>
                </a:schemeClr>
              </a:solidFill>
            </a:ln>
          </c:spPr>
          <c:marker>
            <c:symbol val="none"/>
          </c:marker>
          <c:xVal>
            <c:numRef>
              <c:f>经济订货量分析模型!$K$3:$K$13</c:f>
              <c:numCache>
                <c:formatCode>General</c:formatCode>
                <c:ptCount val="11"/>
                <c:pt idx="0">
                  <c:v>600</c:v>
                </c:pt>
                <c:pt idx="1">
                  <c:v>700</c:v>
                </c:pt>
                <c:pt idx="2">
                  <c:v>800</c:v>
                </c:pt>
                <c:pt idx="3">
                  <c:v>900</c:v>
                </c:pt>
                <c:pt idx="4">
                  <c:v>1000</c:v>
                </c:pt>
                <c:pt idx="5">
                  <c:v>1100</c:v>
                </c:pt>
                <c:pt idx="6">
                  <c:v>1200</c:v>
                </c:pt>
                <c:pt idx="7">
                  <c:v>1300</c:v>
                </c:pt>
                <c:pt idx="8">
                  <c:v>1400</c:v>
                </c:pt>
                <c:pt idx="9">
                  <c:v>1500</c:v>
                </c:pt>
                <c:pt idx="10">
                  <c:v>1600</c:v>
                </c:pt>
              </c:numCache>
            </c:numRef>
          </c:xVal>
          <c:yVal>
            <c:numRef>
              <c:f>经济订货量分析模型!$L$3:$L$13</c:f>
              <c:numCache>
                <c:formatCode>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8EF-4FAE-93F3-A8839035CD62}"/>
            </c:ext>
          </c:extLst>
        </c:ser>
        <c:ser>
          <c:idx val="2"/>
          <c:order val="1"/>
          <c:tx>
            <c:strRef>
              <c:f>经济订货量分析模型!$M$2</c:f>
              <c:strCache>
                <c:ptCount val="1"/>
                <c:pt idx="0">
                  <c:v>31000</c:v>
                </c:pt>
              </c:strCache>
            </c:strRef>
          </c:tx>
          <c:spPr>
            <a:ln>
              <a:solidFill>
                <a:schemeClr val="bg1">
                  <a:lumMod val="85000"/>
                </a:schemeClr>
              </a:solidFill>
            </a:ln>
          </c:spPr>
          <c:marker>
            <c:symbol val="none"/>
          </c:marker>
          <c:xVal>
            <c:numRef>
              <c:f>经济订货量分析模型!$K$3:$K$13</c:f>
              <c:numCache>
                <c:formatCode>General</c:formatCode>
                <c:ptCount val="11"/>
                <c:pt idx="0">
                  <c:v>600</c:v>
                </c:pt>
                <c:pt idx="1">
                  <c:v>700</c:v>
                </c:pt>
                <c:pt idx="2">
                  <c:v>800</c:v>
                </c:pt>
                <c:pt idx="3">
                  <c:v>900</c:v>
                </c:pt>
                <c:pt idx="4">
                  <c:v>1000</c:v>
                </c:pt>
                <c:pt idx="5">
                  <c:v>1100</c:v>
                </c:pt>
                <c:pt idx="6">
                  <c:v>1200</c:v>
                </c:pt>
                <c:pt idx="7">
                  <c:v>1300</c:v>
                </c:pt>
                <c:pt idx="8">
                  <c:v>1400</c:v>
                </c:pt>
                <c:pt idx="9">
                  <c:v>1500</c:v>
                </c:pt>
                <c:pt idx="10">
                  <c:v>1600</c:v>
                </c:pt>
              </c:numCache>
            </c:numRef>
          </c:xVal>
          <c:yVal>
            <c:numRef>
              <c:f>经济订货量分析模型!$M$3:$M$13</c:f>
              <c:numCache>
                <c:formatCode>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8EF-4FAE-93F3-A8839035CD62}"/>
            </c:ext>
          </c:extLst>
        </c:ser>
        <c:ser>
          <c:idx val="3"/>
          <c:order val="2"/>
          <c:tx>
            <c:strRef>
              <c:f>经济订货量分析模型!$N$2</c:f>
              <c:strCache>
                <c:ptCount val="1"/>
                <c:pt idx="0">
                  <c:v>32000</c:v>
                </c:pt>
              </c:strCache>
            </c:strRef>
          </c:tx>
          <c:spPr>
            <a:ln>
              <a:solidFill>
                <a:schemeClr val="bg1">
                  <a:lumMod val="85000"/>
                </a:schemeClr>
              </a:solidFill>
            </a:ln>
          </c:spPr>
          <c:marker>
            <c:symbol val="none"/>
          </c:marker>
          <c:xVal>
            <c:numRef>
              <c:f>经济订货量分析模型!$K$3:$K$13</c:f>
              <c:numCache>
                <c:formatCode>General</c:formatCode>
                <c:ptCount val="11"/>
                <c:pt idx="0">
                  <c:v>600</c:v>
                </c:pt>
                <c:pt idx="1">
                  <c:v>700</c:v>
                </c:pt>
                <c:pt idx="2">
                  <c:v>800</c:v>
                </c:pt>
                <c:pt idx="3">
                  <c:v>900</c:v>
                </c:pt>
                <c:pt idx="4">
                  <c:v>1000</c:v>
                </c:pt>
                <c:pt idx="5">
                  <c:v>1100</c:v>
                </c:pt>
                <c:pt idx="6">
                  <c:v>1200</c:v>
                </c:pt>
                <c:pt idx="7">
                  <c:v>1300</c:v>
                </c:pt>
                <c:pt idx="8">
                  <c:v>1400</c:v>
                </c:pt>
                <c:pt idx="9">
                  <c:v>1500</c:v>
                </c:pt>
                <c:pt idx="10">
                  <c:v>1600</c:v>
                </c:pt>
              </c:numCache>
            </c:numRef>
          </c:xVal>
          <c:yVal>
            <c:numRef>
              <c:f>经济订货量分析模型!$N$3:$N$13</c:f>
              <c:numCache>
                <c:formatCode>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8EF-4FAE-93F3-A8839035CD62}"/>
            </c:ext>
          </c:extLst>
        </c:ser>
        <c:ser>
          <c:idx val="4"/>
          <c:order val="3"/>
          <c:tx>
            <c:strRef>
              <c:f>经济订货量分析模型!$O$2</c:f>
              <c:strCache>
                <c:ptCount val="1"/>
                <c:pt idx="0">
                  <c:v>33000</c:v>
                </c:pt>
              </c:strCache>
            </c:strRef>
          </c:tx>
          <c:spPr>
            <a:ln>
              <a:solidFill>
                <a:schemeClr val="bg1">
                  <a:lumMod val="85000"/>
                </a:schemeClr>
              </a:solidFill>
            </a:ln>
          </c:spPr>
          <c:marker>
            <c:symbol val="none"/>
          </c:marker>
          <c:xVal>
            <c:numRef>
              <c:f>经济订货量分析模型!$K$3:$K$13</c:f>
              <c:numCache>
                <c:formatCode>General</c:formatCode>
                <c:ptCount val="11"/>
                <c:pt idx="0">
                  <c:v>600</c:v>
                </c:pt>
                <c:pt idx="1">
                  <c:v>700</c:v>
                </c:pt>
                <c:pt idx="2">
                  <c:v>800</c:v>
                </c:pt>
                <c:pt idx="3">
                  <c:v>900</c:v>
                </c:pt>
                <c:pt idx="4">
                  <c:v>1000</c:v>
                </c:pt>
                <c:pt idx="5">
                  <c:v>1100</c:v>
                </c:pt>
                <c:pt idx="6">
                  <c:v>1200</c:v>
                </c:pt>
                <c:pt idx="7">
                  <c:v>1300</c:v>
                </c:pt>
                <c:pt idx="8">
                  <c:v>1400</c:v>
                </c:pt>
                <c:pt idx="9">
                  <c:v>1500</c:v>
                </c:pt>
                <c:pt idx="10">
                  <c:v>1600</c:v>
                </c:pt>
              </c:numCache>
            </c:numRef>
          </c:xVal>
          <c:yVal>
            <c:numRef>
              <c:f>经济订货量分析模型!$O$3:$O$13</c:f>
              <c:numCache>
                <c:formatCode>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8EF-4FAE-93F3-A8839035CD62}"/>
            </c:ext>
          </c:extLst>
        </c:ser>
        <c:ser>
          <c:idx val="5"/>
          <c:order val="4"/>
          <c:tx>
            <c:strRef>
              <c:f>经济订货量分析模型!$P$2</c:f>
              <c:strCache>
                <c:ptCount val="1"/>
                <c:pt idx="0">
                  <c:v>34000</c:v>
                </c:pt>
              </c:strCache>
            </c:strRef>
          </c:tx>
          <c:spPr>
            <a:ln>
              <a:solidFill>
                <a:schemeClr val="bg1">
                  <a:lumMod val="85000"/>
                </a:schemeClr>
              </a:solidFill>
            </a:ln>
          </c:spPr>
          <c:marker>
            <c:symbol val="none"/>
          </c:marker>
          <c:xVal>
            <c:numRef>
              <c:f>经济订货量分析模型!$K$3:$K$13</c:f>
              <c:numCache>
                <c:formatCode>General</c:formatCode>
                <c:ptCount val="11"/>
                <c:pt idx="0">
                  <c:v>600</c:v>
                </c:pt>
                <c:pt idx="1">
                  <c:v>700</c:v>
                </c:pt>
                <c:pt idx="2">
                  <c:v>800</c:v>
                </c:pt>
                <c:pt idx="3">
                  <c:v>900</c:v>
                </c:pt>
                <c:pt idx="4">
                  <c:v>1000</c:v>
                </c:pt>
                <c:pt idx="5">
                  <c:v>1100</c:v>
                </c:pt>
                <c:pt idx="6">
                  <c:v>1200</c:v>
                </c:pt>
                <c:pt idx="7">
                  <c:v>1300</c:v>
                </c:pt>
                <c:pt idx="8">
                  <c:v>1400</c:v>
                </c:pt>
                <c:pt idx="9">
                  <c:v>1500</c:v>
                </c:pt>
                <c:pt idx="10">
                  <c:v>1600</c:v>
                </c:pt>
              </c:numCache>
            </c:numRef>
          </c:xVal>
          <c:yVal>
            <c:numRef>
              <c:f>经济订货量分析模型!$P$3:$P$13</c:f>
              <c:numCache>
                <c:formatCode>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8EF-4FAE-93F3-A8839035CD62}"/>
            </c:ext>
          </c:extLst>
        </c:ser>
        <c:ser>
          <c:idx val="6"/>
          <c:order val="5"/>
          <c:tx>
            <c:strRef>
              <c:f>经济订货量分析模型!$Q$2</c:f>
              <c:strCache>
                <c:ptCount val="1"/>
                <c:pt idx="0">
                  <c:v>35000</c:v>
                </c:pt>
              </c:strCache>
            </c:strRef>
          </c:tx>
          <c:spPr>
            <a:ln>
              <a:solidFill>
                <a:schemeClr val="bg1">
                  <a:lumMod val="85000"/>
                </a:schemeClr>
              </a:solidFill>
            </a:ln>
          </c:spPr>
          <c:marker>
            <c:symbol val="none"/>
          </c:marker>
          <c:xVal>
            <c:numRef>
              <c:f>经济订货量分析模型!$K$3:$K$13</c:f>
              <c:numCache>
                <c:formatCode>General</c:formatCode>
                <c:ptCount val="11"/>
                <c:pt idx="0">
                  <c:v>600</c:v>
                </c:pt>
                <c:pt idx="1">
                  <c:v>700</c:v>
                </c:pt>
                <c:pt idx="2">
                  <c:v>800</c:v>
                </c:pt>
                <c:pt idx="3">
                  <c:v>900</c:v>
                </c:pt>
                <c:pt idx="4">
                  <c:v>1000</c:v>
                </c:pt>
                <c:pt idx="5">
                  <c:v>1100</c:v>
                </c:pt>
                <c:pt idx="6">
                  <c:v>1200</c:v>
                </c:pt>
                <c:pt idx="7">
                  <c:v>1300</c:v>
                </c:pt>
                <c:pt idx="8">
                  <c:v>1400</c:v>
                </c:pt>
                <c:pt idx="9">
                  <c:v>1500</c:v>
                </c:pt>
                <c:pt idx="10">
                  <c:v>1600</c:v>
                </c:pt>
              </c:numCache>
            </c:numRef>
          </c:xVal>
          <c:yVal>
            <c:numRef>
              <c:f>经济订货量分析模型!$Q$3:$Q$13</c:f>
              <c:numCache>
                <c:formatCode>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8EF-4FAE-93F3-A8839035CD62}"/>
            </c:ext>
          </c:extLst>
        </c:ser>
        <c:ser>
          <c:idx val="7"/>
          <c:order val="6"/>
          <c:tx>
            <c:strRef>
              <c:f>经济订货量分析模型!$R$2</c:f>
              <c:strCache>
                <c:ptCount val="1"/>
                <c:pt idx="0">
                  <c:v>36000</c:v>
                </c:pt>
              </c:strCache>
            </c:strRef>
          </c:tx>
          <c:spPr>
            <a:ln>
              <a:solidFill>
                <a:schemeClr val="bg1">
                  <a:lumMod val="85000"/>
                </a:schemeClr>
              </a:solidFill>
            </a:ln>
          </c:spPr>
          <c:marker>
            <c:symbol val="none"/>
          </c:marker>
          <c:xVal>
            <c:numRef>
              <c:f>经济订货量分析模型!$K$3:$K$13</c:f>
              <c:numCache>
                <c:formatCode>General</c:formatCode>
                <c:ptCount val="11"/>
                <c:pt idx="0">
                  <c:v>600</c:v>
                </c:pt>
                <c:pt idx="1">
                  <c:v>700</c:v>
                </c:pt>
                <c:pt idx="2">
                  <c:v>800</c:v>
                </c:pt>
                <c:pt idx="3">
                  <c:v>900</c:v>
                </c:pt>
                <c:pt idx="4">
                  <c:v>1000</c:v>
                </c:pt>
                <c:pt idx="5">
                  <c:v>1100</c:v>
                </c:pt>
                <c:pt idx="6">
                  <c:v>1200</c:v>
                </c:pt>
                <c:pt idx="7">
                  <c:v>1300</c:v>
                </c:pt>
                <c:pt idx="8">
                  <c:v>1400</c:v>
                </c:pt>
                <c:pt idx="9">
                  <c:v>1500</c:v>
                </c:pt>
                <c:pt idx="10">
                  <c:v>1600</c:v>
                </c:pt>
              </c:numCache>
            </c:numRef>
          </c:xVal>
          <c:yVal>
            <c:numRef>
              <c:f>经济订货量分析模型!$R$3:$R$13</c:f>
              <c:numCache>
                <c:formatCode>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78EF-4FAE-93F3-A8839035CD62}"/>
            </c:ext>
          </c:extLst>
        </c:ser>
        <c:ser>
          <c:idx val="8"/>
          <c:order val="7"/>
          <c:tx>
            <c:strRef>
              <c:f>经济订货量分析模型!$S$2</c:f>
              <c:strCache>
                <c:ptCount val="1"/>
                <c:pt idx="0">
                  <c:v>37000</c:v>
                </c:pt>
              </c:strCache>
            </c:strRef>
          </c:tx>
          <c:spPr>
            <a:ln>
              <a:solidFill>
                <a:schemeClr val="bg1">
                  <a:lumMod val="85000"/>
                </a:schemeClr>
              </a:solidFill>
            </a:ln>
          </c:spPr>
          <c:marker>
            <c:symbol val="none"/>
          </c:marker>
          <c:xVal>
            <c:numRef>
              <c:f>经济订货量分析模型!$K$3:$K$13</c:f>
              <c:numCache>
                <c:formatCode>General</c:formatCode>
                <c:ptCount val="11"/>
                <c:pt idx="0">
                  <c:v>600</c:v>
                </c:pt>
                <c:pt idx="1">
                  <c:v>700</c:v>
                </c:pt>
                <c:pt idx="2">
                  <c:v>800</c:v>
                </c:pt>
                <c:pt idx="3">
                  <c:v>900</c:v>
                </c:pt>
                <c:pt idx="4">
                  <c:v>1000</c:v>
                </c:pt>
                <c:pt idx="5">
                  <c:v>1100</c:v>
                </c:pt>
                <c:pt idx="6">
                  <c:v>1200</c:v>
                </c:pt>
                <c:pt idx="7">
                  <c:v>1300</c:v>
                </c:pt>
                <c:pt idx="8">
                  <c:v>1400</c:v>
                </c:pt>
                <c:pt idx="9">
                  <c:v>1500</c:v>
                </c:pt>
                <c:pt idx="10">
                  <c:v>1600</c:v>
                </c:pt>
              </c:numCache>
            </c:numRef>
          </c:xVal>
          <c:yVal>
            <c:numRef>
              <c:f>经济订货量分析模型!$S$3:$S$13</c:f>
              <c:numCache>
                <c:formatCode>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78EF-4FAE-93F3-A8839035CD62}"/>
            </c:ext>
          </c:extLst>
        </c:ser>
        <c:ser>
          <c:idx val="9"/>
          <c:order val="8"/>
          <c:tx>
            <c:strRef>
              <c:f>经济订货量分析模型!$T$2</c:f>
              <c:strCache>
                <c:ptCount val="1"/>
                <c:pt idx="0">
                  <c:v>38000</c:v>
                </c:pt>
              </c:strCache>
            </c:strRef>
          </c:tx>
          <c:spPr>
            <a:ln>
              <a:solidFill>
                <a:schemeClr val="bg1">
                  <a:lumMod val="85000"/>
                </a:schemeClr>
              </a:solidFill>
            </a:ln>
          </c:spPr>
          <c:marker>
            <c:symbol val="none"/>
          </c:marker>
          <c:xVal>
            <c:numRef>
              <c:f>经济订货量分析模型!$K$3:$K$13</c:f>
              <c:numCache>
                <c:formatCode>General</c:formatCode>
                <c:ptCount val="11"/>
                <c:pt idx="0">
                  <c:v>600</c:v>
                </c:pt>
                <c:pt idx="1">
                  <c:v>700</c:v>
                </c:pt>
                <c:pt idx="2">
                  <c:v>800</c:v>
                </c:pt>
                <c:pt idx="3">
                  <c:v>900</c:v>
                </c:pt>
                <c:pt idx="4">
                  <c:v>1000</c:v>
                </c:pt>
                <c:pt idx="5">
                  <c:v>1100</c:v>
                </c:pt>
                <c:pt idx="6">
                  <c:v>1200</c:v>
                </c:pt>
                <c:pt idx="7">
                  <c:v>1300</c:v>
                </c:pt>
                <c:pt idx="8">
                  <c:v>1400</c:v>
                </c:pt>
                <c:pt idx="9">
                  <c:v>1500</c:v>
                </c:pt>
                <c:pt idx="10">
                  <c:v>1600</c:v>
                </c:pt>
              </c:numCache>
            </c:numRef>
          </c:xVal>
          <c:yVal>
            <c:numRef>
              <c:f>经济订货量分析模型!$T$3:$T$13</c:f>
              <c:numCache>
                <c:formatCode>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78EF-4FAE-93F3-A8839035CD62}"/>
            </c:ext>
          </c:extLst>
        </c:ser>
        <c:ser>
          <c:idx val="10"/>
          <c:order val="9"/>
          <c:tx>
            <c:strRef>
              <c:f>经济订货量分析模型!$U$2</c:f>
              <c:strCache>
                <c:ptCount val="1"/>
                <c:pt idx="0">
                  <c:v>39000</c:v>
                </c:pt>
              </c:strCache>
            </c:strRef>
          </c:tx>
          <c:spPr>
            <a:ln>
              <a:solidFill>
                <a:schemeClr val="bg1">
                  <a:lumMod val="85000"/>
                </a:schemeClr>
              </a:solidFill>
            </a:ln>
          </c:spPr>
          <c:marker>
            <c:symbol val="none"/>
          </c:marker>
          <c:xVal>
            <c:numRef>
              <c:f>经济订货量分析模型!$K$3:$K$13</c:f>
              <c:numCache>
                <c:formatCode>General</c:formatCode>
                <c:ptCount val="11"/>
                <c:pt idx="0">
                  <c:v>600</c:v>
                </c:pt>
                <c:pt idx="1">
                  <c:v>700</c:v>
                </c:pt>
                <c:pt idx="2">
                  <c:v>800</c:v>
                </c:pt>
                <c:pt idx="3">
                  <c:v>900</c:v>
                </c:pt>
                <c:pt idx="4">
                  <c:v>1000</c:v>
                </c:pt>
                <c:pt idx="5">
                  <c:v>1100</c:v>
                </c:pt>
                <c:pt idx="6">
                  <c:v>1200</c:v>
                </c:pt>
                <c:pt idx="7">
                  <c:v>1300</c:v>
                </c:pt>
                <c:pt idx="8">
                  <c:v>1400</c:v>
                </c:pt>
                <c:pt idx="9">
                  <c:v>1500</c:v>
                </c:pt>
                <c:pt idx="10">
                  <c:v>1600</c:v>
                </c:pt>
              </c:numCache>
            </c:numRef>
          </c:xVal>
          <c:yVal>
            <c:numRef>
              <c:f>经济订货量分析模型!$U$3:$U$13</c:f>
              <c:numCache>
                <c:formatCode>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78EF-4FAE-93F3-A8839035CD62}"/>
            </c:ext>
          </c:extLst>
        </c:ser>
        <c:ser>
          <c:idx val="11"/>
          <c:order val="10"/>
          <c:tx>
            <c:strRef>
              <c:f>经济订货量分析模型!$V$2</c:f>
              <c:strCache>
                <c:ptCount val="1"/>
                <c:pt idx="0">
                  <c:v>40000</c:v>
                </c:pt>
              </c:strCache>
            </c:strRef>
          </c:tx>
          <c:spPr>
            <a:ln>
              <a:solidFill>
                <a:schemeClr val="bg1">
                  <a:lumMod val="85000"/>
                </a:schemeClr>
              </a:solidFill>
            </a:ln>
          </c:spPr>
          <c:marker>
            <c:symbol val="none"/>
          </c:marker>
          <c:xVal>
            <c:numRef>
              <c:f>经济订货量分析模型!$K$3:$K$13</c:f>
              <c:numCache>
                <c:formatCode>General</c:formatCode>
                <c:ptCount val="11"/>
                <c:pt idx="0">
                  <c:v>600</c:v>
                </c:pt>
                <c:pt idx="1">
                  <c:v>700</c:v>
                </c:pt>
                <c:pt idx="2">
                  <c:v>800</c:v>
                </c:pt>
                <c:pt idx="3">
                  <c:v>900</c:v>
                </c:pt>
                <c:pt idx="4">
                  <c:v>1000</c:v>
                </c:pt>
                <c:pt idx="5">
                  <c:v>1100</c:v>
                </c:pt>
                <c:pt idx="6">
                  <c:v>1200</c:v>
                </c:pt>
                <c:pt idx="7">
                  <c:v>1300</c:v>
                </c:pt>
                <c:pt idx="8">
                  <c:v>1400</c:v>
                </c:pt>
                <c:pt idx="9">
                  <c:v>1500</c:v>
                </c:pt>
                <c:pt idx="10">
                  <c:v>1600</c:v>
                </c:pt>
              </c:numCache>
            </c:numRef>
          </c:xVal>
          <c:yVal>
            <c:numRef>
              <c:f>经济订货量分析模型!$V$3:$V$13</c:f>
              <c:numCache>
                <c:formatCode>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78EF-4FAE-93F3-A8839035CD62}"/>
            </c:ext>
          </c:extLst>
        </c:ser>
        <c:ser>
          <c:idx val="0"/>
          <c:order val="11"/>
          <c:tx>
            <c:strRef>
              <c:f>经济订货量分析模型!$W$2</c:f>
              <c:strCache>
                <c:ptCount val="1"/>
                <c:pt idx="0">
                  <c:v>36000</c:v>
                </c:pt>
              </c:strCache>
            </c:strRef>
          </c:tx>
          <c:spPr>
            <a:ln w="381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经济订货量分析模型!$K$3:$K$13</c:f>
              <c:numCache>
                <c:formatCode>General</c:formatCode>
                <c:ptCount val="11"/>
                <c:pt idx="0">
                  <c:v>600</c:v>
                </c:pt>
                <c:pt idx="1">
                  <c:v>700</c:v>
                </c:pt>
                <c:pt idx="2">
                  <c:v>800</c:v>
                </c:pt>
                <c:pt idx="3">
                  <c:v>900</c:v>
                </c:pt>
                <c:pt idx="4">
                  <c:v>1000</c:v>
                </c:pt>
                <c:pt idx="5">
                  <c:v>1100</c:v>
                </c:pt>
                <c:pt idx="6">
                  <c:v>1200</c:v>
                </c:pt>
                <c:pt idx="7">
                  <c:v>1300</c:v>
                </c:pt>
                <c:pt idx="8">
                  <c:v>1400</c:v>
                </c:pt>
                <c:pt idx="9">
                  <c:v>1500</c:v>
                </c:pt>
                <c:pt idx="10">
                  <c:v>1600</c:v>
                </c:pt>
              </c:numCache>
            </c:numRef>
          </c:xVal>
          <c:yVal>
            <c:numRef>
              <c:f>经济订货量分析模型!$W$3:$W$13</c:f>
              <c:numCache>
                <c:formatCode>0</c:formatCode>
                <c:ptCount val="1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78EF-4FAE-93F3-A8839035CD62}"/>
            </c:ext>
          </c:extLst>
        </c:ser>
        <c:ser>
          <c:idx val="12"/>
          <c:order val="12"/>
          <c:spPr>
            <a:ln>
              <a:solidFill>
                <a:srgbClr val="00B050"/>
              </a:solidFill>
            </a:ln>
          </c:spPr>
          <c:marker>
            <c:symbol val="square"/>
            <c:size val="6"/>
            <c:spPr>
              <a:solidFill>
                <a:schemeClr val="bg1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经济订货量分析模型!$Z$3:$Z$13</c:f>
              <c:numCache>
                <c:formatCode>0</c:formatCode>
                <c:ptCount val="11"/>
              </c:numCache>
            </c:numRef>
          </c:xVal>
          <c:yVal>
            <c:numRef>
              <c:f>经济订货量分析模型!$AA$3:$AA$13</c:f>
              <c:numCache>
                <c:formatCode>0</c:formatCode>
                <c:ptCount val="1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78EF-4FAE-93F3-A8839035CD62}"/>
            </c:ext>
          </c:extLst>
        </c:ser>
        <c:ser>
          <c:idx val="13"/>
          <c:order val="13"/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经济订货量分析模型!$E$17:$E$20</c:f>
              <c:numCache>
                <c:formatCode>0</c:formatCode>
                <c:ptCount val="4"/>
              </c:numCache>
            </c:numRef>
          </c:xVal>
          <c:yVal>
            <c:numRef>
              <c:f>经济订货量分析模型!$F$17:$F$20</c:f>
              <c:numCache>
                <c:formatCode>0.00</c:formatCode>
                <c:ptCount val="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78EF-4FAE-93F3-A8839035CD62}"/>
            </c:ext>
          </c:extLst>
        </c:ser>
        <c:ser>
          <c:idx val="14"/>
          <c:order val="14"/>
          <c:marker>
            <c:symbol val="square"/>
            <c:size val="7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dPt>
            <c:idx val="0"/>
            <c:bubble3D val="0"/>
            <c:spPr>
              <a:ln>
                <a:solidFill>
                  <a:srgbClr val="FF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F-78EF-4FAE-93F3-A8839035CD62}"/>
              </c:ext>
            </c:extLst>
          </c:dPt>
          <c:xVal>
            <c:numRef>
              <c:f>经济订货量分析模型!$Z$2</c:f>
              <c:numCache>
                <c:formatCode>0</c:formatCode>
                <c:ptCount val="1"/>
              </c:numCache>
            </c:numRef>
          </c:xVal>
          <c:yVal>
            <c:numRef>
              <c:f>经济订货量分析模型!$AA$2</c:f>
              <c:numCache>
                <c:formatCode>0</c:formatCode>
                <c:ptCount val="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78EF-4FAE-93F3-A8839035CD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162752"/>
        <c:axId val="77163328"/>
      </c:scatterChart>
      <c:valAx>
        <c:axId val="77162752"/>
        <c:scaling>
          <c:orientation val="minMax"/>
          <c:max val="1600"/>
          <c:min val="60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订</a:t>
                </a:r>
                <a:endParaRPr lang="en-US" altLang="zh-CN"/>
              </a:p>
              <a:p>
                <a:pPr>
                  <a:defRPr/>
                </a:pPr>
                <a:r>
                  <a:rPr lang="zh-CN" altLang="en-US"/>
                  <a:t>货</a:t>
                </a:r>
                <a:endParaRPr lang="en-US" altLang="zh-CN"/>
              </a:p>
              <a:p>
                <a:pPr>
                  <a:defRPr/>
                </a:pPr>
                <a:r>
                  <a:rPr lang="zh-CN" altLang="en-US"/>
                  <a:t>量</a:t>
                </a:r>
              </a:p>
            </c:rich>
          </c:tx>
          <c:layout>
            <c:manualLayout>
              <c:xMode val="edge"/>
              <c:yMode val="edge"/>
              <c:x val="0.95965549151716856"/>
              <c:y val="0.75043936731107208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77163328"/>
        <c:crosses val="autoZero"/>
        <c:crossBetween val="midCat"/>
      </c:valAx>
      <c:valAx>
        <c:axId val="77163328"/>
        <c:scaling>
          <c:orientation val="minMax"/>
          <c:max val="17000"/>
          <c:min val="10000"/>
        </c:scaling>
        <c:delete val="0"/>
        <c:axPos val="l"/>
        <c:numFmt formatCode="0" sourceLinked="1"/>
        <c:majorTickMark val="out"/>
        <c:minorTickMark val="none"/>
        <c:tickLblPos val="nextTo"/>
        <c:crossAx val="7716275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trlProps/ctrlProp1.xml><?xml version="1.0" encoding="utf-8"?>
<formControlPr xmlns="http://schemas.microsoft.com/office/spreadsheetml/2009/9/main" objectType="Spin" dx="16" fmlaLink="经济订货量分析模型!$D$2" inc="100" max="4000" min="3000" page="10" val="3600"/>
</file>

<file path=xl/ctrlProps/ctrlProp2.xml><?xml version="1.0" encoding="utf-8"?>
<formControlPr xmlns="http://schemas.microsoft.com/office/spreadsheetml/2009/9/main" objectType="Spin" dx="16" fmlaLink="经济订货量分析模型!$C$6" inc="50" max="1600" min="600" page="10" val="900"/>
</file>

<file path=xl/ctrlProps/ctrlProp3.xml><?xml version="1.0" encoding="utf-8"?>
<formControlPr xmlns="http://schemas.microsoft.com/office/spreadsheetml/2009/9/main" objectType="Spin" dx="16" fmlaLink="经济订货量分析模型!$D$2" inc="100" max="4000" min="3000" page="10" val="3600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619125</xdr:colOff>
      <xdr:row>0</xdr:row>
      <xdr:rowOff>76200</xdr:rowOff>
    </xdr:from>
    <xdr:to>
      <xdr:col>8</xdr:col>
      <xdr:colOff>387350</xdr:colOff>
      <xdr:row>41</xdr:row>
      <xdr:rowOff>133350</xdr:rowOff>
    </xdr:to>
    <xdr:sp macro="" textlink="">
      <xdr:nvSpPr>
        <xdr:cNvPr id="3077" name="Text Box 5">
          <a:extLst>
            <a:ext uri="{FF2B5EF4-FFF2-40B4-BE49-F238E27FC236}">
              <a16:creationId xmlns:a16="http://schemas.microsoft.com/office/drawing/2014/main" id="{00000000-0008-0000-0000-0000050C0000}"/>
            </a:ext>
          </a:extLst>
        </xdr:cNvPr>
        <xdr:cNvSpPr txBox="1">
          <a:spLocks noChangeArrowheads="1"/>
        </xdr:cNvSpPr>
      </xdr:nvSpPr>
      <xdr:spPr bwMode="auto">
        <a:xfrm>
          <a:off x="619125" y="76200"/>
          <a:ext cx="5254625" cy="682625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zh-CN" altLang="zh-CN" sz="1000">
              <a:effectLst/>
              <a:latin typeface="+mn-lt"/>
              <a:ea typeface="+mn-ea"/>
              <a:cs typeface="+mn-cs"/>
            </a:rPr>
            <a:t>【例</a:t>
          </a:r>
          <a:r>
            <a:rPr lang="en-US" altLang="zh-CN" sz="1000">
              <a:effectLst/>
              <a:latin typeface="+mn-lt"/>
              <a:ea typeface="+mn-ea"/>
              <a:cs typeface="+mn-cs"/>
            </a:rPr>
            <a:t>8-2</a:t>
          </a:r>
          <a:r>
            <a:rPr lang="zh-CN" altLang="zh-CN" sz="1000">
              <a:effectLst/>
              <a:latin typeface="+mn-lt"/>
              <a:ea typeface="+mn-ea"/>
              <a:cs typeface="+mn-cs"/>
            </a:rPr>
            <a:t>】某公司全年需采购某种零件</a:t>
          </a:r>
          <a:r>
            <a:rPr lang="en-US" altLang="zh-CN" sz="1000">
              <a:effectLst/>
              <a:latin typeface="+mn-lt"/>
              <a:ea typeface="+mn-ea"/>
              <a:cs typeface="+mn-cs"/>
            </a:rPr>
            <a:t>36000</a:t>
          </a:r>
          <a:r>
            <a:rPr lang="zh-CN" altLang="zh-CN" sz="1000">
              <a:effectLst/>
              <a:latin typeface="+mn-lt"/>
              <a:ea typeface="+mn-ea"/>
              <a:cs typeface="+mn-cs"/>
            </a:rPr>
            <a:t>件，每次订货成本为</a:t>
          </a:r>
          <a:r>
            <a:rPr lang="en-US" altLang="zh-CN" sz="1000">
              <a:effectLst/>
              <a:latin typeface="+mn-lt"/>
              <a:ea typeface="+mn-ea"/>
              <a:cs typeface="+mn-cs"/>
            </a:rPr>
            <a:t>200</a:t>
          </a:r>
          <a:r>
            <a:rPr lang="zh-CN" altLang="zh-CN" sz="1000">
              <a:effectLst/>
              <a:latin typeface="+mn-lt"/>
              <a:ea typeface="+mn-ea"/>
              <a:cs typeface="+mn-cs"/>
            </a:rPr>
            <a:t>元，单件零件的储存一年的成本为</a:t>
          </a:r>
          <a:r>
            <a:rPr lang="en-US" altLang="zh-CN" sz="1000">
              <a:effectLst/>
              <a:latin typeface="+mn-lt"/>
              <a:ea typeface="+mn-ea"/>
              <a:cs typeface="+mn-cs"/>
            </a:rPr>
            <a:t>10</a:t>
          </a:r>
          <a:r>
            <a:rPr lang="zh-CN" altLang="zh-CN" sz="1000">
              <a:effectLst/>
              <a:latin typeface="+mn-lt"/>
              <a:ea typeface="+mn-ea"/>
              <a:cs typeface="+mn-cs"/>
            </a:rPr>
            <a:t>元，目前公司每次按</a:t>
          </a:r>
          <a:r>
            <a:rPr lang="en-US" altLang="zh-CN" sz="1000">
              <a:effectLst/>
              <a:latin typeface="+mn-lt"/>
              <a:ea typeface="+mn-ea"/>
              <a:cs typeface="+mn-cs"/>
            </a:rPr>
            <a:t>900</a:t>
          </a:r>
          <a:r>
            <a:rPr lang="zh-CN" altLang="zh-CN" sz="1000">
              <a:effectLst/>
              <a:latin typeface="+mn-lt"/>
              <a:ea typeface="+mn-ea"/>
              <a:cs typeface="+mn-cs"/>
            </a:rPr>
            <a:t>件订货。公司库存管理员想通过经济订货量模型分析每次订货</a:t>
          </a:r>
          <a:r>
            <a:rPr lang="en-US" altLang="zh-CN" sz="1000">
              <a:effectLst/>
              <a:latin typeface="+mn-lt"/>
              <a:ea typeface="+mn-ea"/>
              <a:cs typeface="+mn-cs"/>
            </a:rPr>
            <a:t>900</a:t>
          </a:r>
          <a:r>
            <a:rPr lang="zh-CN" altLang="zh-CN" sz="1000">
              <a:effectLst/>
              <a:latin typeface="+mn-lt"/>
              <a:ea typeface="+mn-ea"/>
              <a:cs typeface="+mn-cs"/>
            </a:rPr>
            <a:t>件是否是经济的</a:t>
          </a:r>
          <a:r>
            <a:rPr lang="en-US" altLang="zh-CN" sz="1000">
              <a:effectLst/>
              <a:latin typeface="+mn-lt"/>
              <a:ea typeface="+mn-ea"/>
              <a:cs typeface="+mn-cs"/>
            </a:rPr>
            <a:t>? </a:t>
          </a:r>
          <a:r>
            <a:rPr lang="zh-CN" altLang="zh-CN" sz="1000">
              <a:effectLst/>
              <a:latin typeface="+mn-lt"/>
              <a:ea typeface="+mn-ea"/>
              <a:cs typeface="+mn-cs"/>
            </a:rPr>
            <a:t>如何调整订货策略</a:t>
          </a:r>
          <a:r>
            <a:rPr lang="zh-CN" altLang="en-US" sz="1000">
              <a:effectLst/>
              <a:latin typeface="+mn-lt"/>
              <a:ea typeface="+mn-ea"/>
              <a:cs typeface="+mn-cs"/>
            </a:rPr>
            <a:t>？</a:t>
          </a:r>
          <a:r>
            <a:rPr lang="zh-CN" altLang="zh-CN" sz="1000">
              <a:effectLst/>
              <a:latin typeface="+mn-lt"/>
              <a:ea typeface="+mn-ea"/>
              <a:cs typeface="+mn-cs"/>
            </a:rPr>
            <a:t>在公司实际运营中，年需求量不可能一成不变。为使模型能适用于不同的场景，我们考虑年需求量的可能在</a:t>
          </a:r>
          <a:r>
            <a:rPr lang="en-US" altLang="zh-CN" sz="1000">
              <a:effectLst/>
              <a:latin typeface="+mn-lt"/>
              <a:ea typeface="+mn-ea"/>
              <a:cs typeface="+mn-cs"/>
            </a:rPr>
            <a:t>30000-40000</a:t>
          </a:r>
          <a:r>
            <a:rPr lang="zh-CN" altLang="zh-CN" sz="1000">
              <a:effectLst/>
              <a:latin typeface="+mn-lt"/>
              <a:ea typeface="+mn-ea"/>
              <a:cs typeface="+mn-cs"/>
            </a:rPr>
            <a:t>之间变动。参考下面两图建立模型</a:t>
          </a:r>
          <a:r>
            <a:rPr lang="zh-CN" altLang="en-US" sz="1000">
              <a:effectLst/>
              <a:latin typeface="+mn-lt"/>
              <a:ea typeface="+mn-ea"/>
              <a:cs typeface="+mn-cs"/>
            </a:rPr>
            <a:t>。</a:t>
          </a:r>
          <a:endParaRPr lang="zh-CN" altLang="en-US" sz="1100"/>
        </a:p>
      </xdr:txBody>
    </xdr:sp>
    <xdr:clientData/>
  </xdr:twoCellAnchor>
  <xdr:twoCellAnchor editAs="oneCell">
    <xdr:from>
      <xdr:col>1</xdr:col>
      <xdr:colOff>184150</xdr:colOff>
      <xdr:row>5</xdr:row>
      <xdr:rowOff>134096</xdr:rowOff>
    </xdr:from>
    <xdr:to>
      <xdr:col>8</xdr:col>
      <xdr:colOff>228600</xdr:colOff>
      <xdr:row>24</xdr:row>
      <xdr:rowOff>65124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9950" y="959596"/>
          <a:ext cx="4845050" cy="3067928"/>
        </a:xfrm>
        <a:prstGeom prst="rect">
          <a:avLst/>
        </a:prstGeom>
      </xdr:spPr>
    </xdr:pic>
    <xdr:clientData/>
  </xdr:twoCellAnchor>
  <xdr:twoCellAnchor editAs="oneCell">
    <xdr:from>
      <xdr:col>1</xdr:col>
      <xdr:colOff>146050</xdr:colOff>
      <xdr:row>23</xdr:row>
      <xdr:rowOff>120650</xdr:rowOff>
    </xdr:from>
    <xdr:to>
      <xdr:col>8</xdr:col>
      <xdr:colOff>194337</xdr:colOff>
      <xdr:row>40</xdr:row>
      <xdr:rowOff>164827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1850" y="3917950"/>
          <a:ext cx="4848887" cy="285087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407670</xdr:colOff>
      <xdr:row>1</xdr:row>
      <xdr:rowOff>31751</xdr:rowOff>
    </xdr:from>
    <xdr:to>
      <xdr:col>9</xdr:col>
      <xdr:colOff>450850</xdr:colOff>
      <xdr:row>23</xdr:row>
      <xdr:rowOff>57151</xdr:rowOff>
    </xdr:to>
    <xdr:grpSp>
      <xdr:nvGrpSpPr>
        <xdr:cNvPr id="4" name="组合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pSpPr/>
      </xdr:nvGrpSpPr>
      <xdr:grpSpPr>
        <a:xfrm>
          <a:off x="407670" y="193676"/>
          <a:ext cx="6215380" cy="3587750"/>
          <a:chOff x="368428" y="273458"/>
          <a:chExt cx="4572000" cy="2743200"/>
        </a:xfrm>
      </xdr:grpSpPr>
      <xdr:graphicFrame macro="">
        <xdr:nvGraphicFramePr>
          <xdr:cNvPr id="11" name="图表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GraphicFramePr>
            <a:graphicFrameLocks/>
          </xdr:cNvGraphicFramePr>
        </xdr:nvGraphicFramePr>
        <xdr:xfrm>
          <a:off x="368428" y="273458"/>
          <a:ext cx="457200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经济订货量分析模型!B16">
        <xdr:nvSpPr>
          <xdr:cNvPr id="2" name="TextBox 1">
            <a:extLst>
              <a:ext uri="{FF2B5EF4-FFF2-40B4-BE49-F238E27FC236}">
                <a16:creationId xmlns:a16="http://schemas.microsoft.com/office/drawing/2014/main" id="{00000000-0008-0000-0200-000002000000}"/>
              </a:ext>
            </a:extLst>
          </xdr:cNvPr>
          <xdr:cNvSpPr txBox="1"/>
        </xdr:nvSpPr>
        <xdr:spPr>
          <a:xfrm>
            <a:off x="1918949" y="593078"/>
            <a:ext cx="896162" cy="161337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1DEF2AEC-D82F-4355-9120-DADCE326EF48}" type="TxLink">
              <a:rPr lang="zh-CN" altLang="en-US" sz="1100"/>
              <a:pPr algn="ctr"/>
              <a:t>年需求量=36000</a:t>
            </a:fld>
            <a:endParaRPr lang="zh-CN" altLang="en-US" sz="1100"/>
          </a:p>
        </xdr:txBody>
      </xdr:sp>
      <xdr:sp macro="" textlink="经济订货量分析模型!B17">
        <xdr:nvSpPr>
          <xdr:cNvPr id="3" name="TextBox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SpPr txBox="1"/>
        </xdr:nvSpPr>
        <xdr:spPr>
          <a:xfrm>
            <a:off x="3137848" y="589009"/>
            <a:ext cx="728245" cy="167499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0EF52E32-4A87-4B28-80B3-897817FC457A}" type="TxLink">
              <a:rPr lang="zh-CN" altLang="en-US" sz="1100"/>
              <a:pPr algn="ctr"/>
              <a:t>订货量=900</a:t>
            </a:fld>
            <a:endParaRPr lang="zh-CN" altLang="en-US" sz="1100"/>
          </a:p>
        </xdr:txBody>
      </xdr: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5125" name="Spinner 5" hidden="1">
                <a:extLst>
                  <a:ext uri="{63B3BB69-23CF-44E3-9099-C40C66FF867C}">
                    <a14:compatExt spid="_x0000_s5125"/>
                  </a:ext>
                  <a:ext uri="{FF2B5EF4-FFF2-40B4-BE49-F238E27FC236}">
                    <a16:creationId xmlns:a16="http://schemas.microsoft.com/office/drawing/2014/main" id="{00000000-0008-0000-0200-000005140000}"/>
                  </a:ext>
                </a:extLst>
              </xdr:cNvPr>
              <xdr:cNvSpPr/>
            </xdr:nvSpPr>
            <xdr:spPr bwMode="auto">
              <a:xfrm>
                <a:off x="1733920" y="588305"/>
                <a:ext cx="179943" cy="171450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5126" name="Spinner 6" hidden="1">
                <a:extLst>
                  <a:ext uri="{63B3BB69-23CF-44E3-9099-C40C66FF867C}">
                    <a14:compatExt spid="_x0000_s5126"/>
                  </a:ext>
                  <a:ext uri="{FF2B5EF4-FFF2-40B4-BE49-F238E27FC236}">
                    <a16:creationId xmlns:a16="http://schemas.microsoft.com/office/drawing/2014/main" id="{00000000-0008-0000-0200-000006140000}"/>
                  </a:ext>
                </a:extLst>
              </xdr:cNvPr>
              <xdr:cNvSpPr/>
            </xdr:nvSpPr>
            <xdr:spPr bwMode="auto">
              <a:xfrm>
                <a:off x="2959914" y="589330"/>
                <a:ext cx="172849" cy="164620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</xdr:spPr>
          </xdr:sp>
        </mc:Choice>
        <mc:Fallback/>
      </mc:AlternateContent>
      <xdr:sp macro="" textlink="经济订货量分析模型!B18">
        <xdr:nvSpPr>
          <xdr:cNvPr id="6" name="TextBox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 txBox="1"/>
        </xdr:nvSpPr>
        <xdr:spPr>
          <a:xfrm>
            <a:off x="1690516" y="836792"/>
            <a:ext cx="2231627" cy="169125"/>
          </a:xfrm>
          <a:prstGeom prst="rect">
            <a:avLst/>
          </a:prstGeom>
          <a:solidFill>
            <a:schemeClr val="lt1"/>
          </a:solidFill>
          <a:ln w="28575" cmpd="dbl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F5FEEEE9-4304-487B-A9CE-EEC926FC5B98}" type="TxLink">
              <a:rPr lang="zh-CN" altLang="en-US" sz="1100"/>
              <a:pPr algn="ctr"/>
              <a:t>经济订货量=1200，年总成本最小值=12000元</a:t>
            </a:fld>
            <a:endParaRPr lang="zh-CN" altLang="en-US" sz="1100"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120650</xdr:colOff>
      <xdr:row>0</xdr:row>
      <xdr:rowOff>177800</xdr:rowOff>
    </xdr:from>
    <xdr:to>
      <xdr:col>9</xdr:col>
      <xdr:colOff>336550</xdr:colOff>
      <xdr:row>19</xdr:row>
      <xdr:rowOff>171450</xdr:rowOff>
    </xdr:to>
    <xdr:grpSp>
      <xdr:nvGrpSpPr>
        <xdr:cNvPr id="4" name="组合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pSpPr/>
      </xdr:nvGrpSpPr>
      <xdr:grpSpPr>
        <a:xfrm>
          <a:off x="120650" y="177800"/>
          <a:ext cx="6388100" cy="3794125"/>
          <a:chOff x="120650" y="177800"/>
          <a:chExt cx="6159500" cy="3613150"/>
        </a:xfrm>
      </xdr:grpSpPr>
      <xdr:graphicFrame macro="">
        <xdr:nvGraphicFramePr>
          <xdr:cNvPr id="2" name="图表 1">
            <a:extLst>
              <a:ext uri="{FF2B5EF4-FFF2-40B4-BE49-F238E27FC236}">
                <a16:creationId xmlns:a16="http://schemas.microsoft.com/office/drawing/2014/main" id="{00000000-0008-0000-0300-000002000000}"/>
              </a:ext>
            </a:extLst>
          </xdr:cNvPr>
          <xdr:cNvGraphicFramePr>
            <a:graphicFrameLocks/>
          </xdr:cNvGraphicFramePr>
        </xdr:nvGraphicFramePr>
        <xdr:xfrm>
          <a:off x="120650" y="177800"/>
          <a:ext cx="6159500" cy="36131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经济订货量分析模型!B16">
        <xdr:nvSpPr>
          <xdr:cNvPr id="3" name="TextBox 2">
            <a:extLst>
              <a:ext uri="{FF2B5EF4-FFF2-40B4-BE49-F238E27FC236}">
                <a16:creationId xmlns:a16="http://schemas.microsoft.com/office/drawing/2014/main" id="{00000000-0008-0000-0300-000003000000}"/>
              </a:ext>
            </a:extLst>
          </xdr:cNvPr>
          <xdr:cNvSpPr txBox="1"/>
        </xdr:nvSpPr>
        <xdr:spPr>
          <a:xfrm>
            <a:off x="1629486" y="623043"/>
            <a:ext cx="1218282" cy="23976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1DEF2AEC-D82F-4355-9120-DADCE326EF48}" type="TxLink">
              <a:rPr lang="zh-CN" altLang="en-US" sz="1100"/>
              <a:pPr algn="ctr"/>
              <a:t>年需求量=36000</a:t>
            </a:fld>
            <a:endParaRPr lang="zh-CN" altLang="en-US" sz="1100"/>
          </a:p>
        </xdr:txBody>
      </xdr: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7169" name="Spinner 1" hidden="1">
                <a:extLst>
                  <a:ext uri="{63B3BB69-23CF-44E3-9099-C40C66FF867C}">
                    <a14:compatExt spid="_x0000_s7169"/>
                  </a:ext>
                  <a:ext uri="{FF2B5EF4-FFF2-40B4-BE49-F238E27FC236}">
                    <a16:creationId xmlns:a16="http://schemas.microsoft.com/office/drawing/2014/main" id="{00000000-0008-0000-0300-0000011C0000}"/>
                  </a:ext>
                </a:extLst>
              </xdr:cNvPr>
              <xdr:cNvSpPr/>
            </xdr:nvSpPr>
            <xdr:spPr bwMode="auto">
              <a:xfrm>
                <a:off x="1377950" y="609600"/>
                <a:ext cx="244623" cy="254794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</xdr:spPr>
          </xdr:sp>
        </mc:Choice>
        <mc:Fallback/>
      </mc:AlternateContent>
      <xdr:sp macro="" textlink="经济订货量分析模型!B18">
        <xdr:nvSpPr>
          <xdr:cNvPr id="5" name="TextBox 4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SpPr txBox="1"/>
        </xdr:nvSpPr>
        <xdr:spPr>
          <a:xfrm>
            <a:off x="2933700" y="628650"/>
            <a:ext cx="3033773" cy="251339"/>
          </a:xfrm>
          <a:prstGeom prst="rect">
            <a:avLst/>
          </a:prstGeom>
          <a:solidFill>
            <a:schemeClr val="lt1"/>
          </a:solidFill>
          <a:ln w="28575" cmpd="dbl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F5FEEEE9-4304-487B-A9CE-EEC926FC5B98}" type="TxLink">
              <a:rPr lang="zh-CN" altLang="en-US" sz="1100"/>
              <a:pPr algn="ctr"/>
              <a:t>经济订货量=1200，年总成本最小值=12000元</a:t>
            </a:fld>
            <a:endParaRPr lang="zh-CN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4" Type="http://schemas.openxmlformats.org/officeDocument/2006/relationships/ctrlProp" Target="../ctrlProps/ctrlProp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workbookViewId="0"/>
  </sheetViews>
  <sheetFormatPr defaultColWidth="9" defaultRowHeight="12.75" x14ac:dyDescent="0.3"/>
  <cols>
    <col min="1" max="16384" width="9" style="1"/>
  </cols>
  <sheetData/>
  <phoneticPr fontId="1" type="noConversion"/>
  <pageMargins left="0.75" right="0.75" top="1" bottom="1" header="0.5" footer="0.5"/>
  <pageSetup paperSize="9" orientation="portrait" horizontalDpi="200" verticalDpi="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33"/>
  <sheetViews>
    <sheetView showGridLines="0" topLeftCell="A2" zoomScaleNormal="100" workbookViewId="0">
      <selection activeCell="K2" sqref="K2"/>
    </sheetView>
  </sheetViews>
  <sheetFormatPr defaultColWidth="9" defaultRowHeight="13.5" x14ac:dyDescent="0.3"/>
  <cols>
    <col min="1" max="1" width="1.9375" style="2" customWidth="1"/>
    <col min="2" max="2" width="21.6875" style="3" customWidth="1"/>
    <col min="3" max="3" width="14.9375" style="3" customWidth="1"/>
    <col min="4" max="4" width="8.0625" style="3" customWidth="1"/>
    <col min="5" max="5" width="5.5625" style="3" customWidth="1"/>
    <col min="6" max="6" width="10.75" style="3" customWidth="1"/>
    <col min="7" max="7" width="9.6875" style="3" bestFit="1" customWidth="1"/>
    <col min="8" max="8" width="9.0625" style="3" customWidth="1"/>
    <col min="9" max="9" width="14" style="3" customWidth="1"/>
    <col min="10" max="10" width="2.5" style="3" customWidth="1"/>
    <col min="11" max="11" width="5.4375" style="3" customWidth="1"/>
    <col min="12" max="23" width="5.6875" style="3" customWidth="1"/>
    <col min="24" max="24" width="1.5625" style="3" customWidth="1"/>
    <col min="25" max="27" width="5.5" style="3" customWidth="1"/>
    <col min="28" max="16384" width="9" style="3"/>
  </cols>
  <sheetData>
    <row r="1" spans="2:27" x14ac:dyDescent="0.3">
      <c r="B1" s="2"/>
      <c r="C1" s="2"/>
      <c r="W1" s="4" t="s">
        <v>8</v>
      </c>
      <c r="AA1" s="13" t="s">
        <v>17</v>
      </c>
    </row>
    <row r="2" spans="2:27" x14ac:dyDescent="0.3">
      <c r="B2" s="14" t="s">
        <v>9</v>
      </c>
      <c r="C2" s="16">
        <f>D2*10</f>
        <v>36000</v>
      </c>
      <c r="D2" s="2">
        <v>3600</v>
      </c>
      <c r="E2" s="7" t="s">
        <v>0</v>
      </c>
      <c r="F2" s="8" t="str">
        <f>B7</f>
        <v>年订货成本</v>
      </c>
      <c r="G2" s="8" t="str">
        <f>B8</f>
        <v>年储存成本</v>
      </c>
      <c r="H2" s="8" t="str">
        <f>B9</f>
        <v>年总成本</v>
      </c>
      <c r="I2" s="2" t="s">
        <v>6</v>
      </c>
      <c r="J2" s="2"/>
      <c r="K2" s="26"/>
      <c r="L2" s="15">
        <v>30000</v>
      </c>
      <c r="M2" s="15">
        <v>31000</v>
      </c>
      <c r="N2" s="15">
        <v>32000</v>
      </c>
      <c r="O2" s="15">
        <v>33000</v>
      </c>
      <c r="P2" s="15">
        <v>34000</v>
      </c>
      <c r="Q2" s="15">
        <v>35000</v>
      </c>
      <c r="R2" s="15">
        <v>36000</v>
      </c>
      <c r="S2" s="15">
        <v>37000</v>
      </c>
      <c r="T2" s="15">
        <v>38000</v>
      </c>
      <c r="U2" s="15">
        <v>39000</v>
      </c>
      <c r="V2" s="15">
        <v>40000</v>
      </c>
      <c r="W2" s="28">
        <f>D2*10</f>
        <v>36000</v>
      </c>
      <c r="Y2" s="7"/>
      <c r="Z2" s="26"/>
      <c r="AA2" s="26"/>
    </row>
    <row r="3" spans="2:27" x14ac:dyDescent="0.3">
      <c r="B3" s="14" t="s">
        <v>10</v>
      </c>
      <c r="C3" s="17">
        <v>200</v>
      </c>
      <c r="D3" s="2"/>
      <c r="E3" s="7"/>
      <c r="F3" s="22">
        <f>C7</f>
        <v>8000</v>
      </c>
      <c r="G3" s="22">
        <f>C8</f>
        <v>4500</v>
      </c>
      <c r="H3" s="22">
        <f>C9</f>
        <v>12500</v>
      </c>
      <c r="I3" s="7" t="s">
        <v>7</v>
      </c>
      <c r="J3" s="2"/>
      <c r="K3" s="15">
        <v>600</v>
      </c>
      <c r="L3" s="24">
        <f t="dataTable" ref="L3:V13" dt2D="1" dtr="1" r1="C2" r2="C6"/>
        <v>0</v>
      </c>
      <c r="M3" s="24">
        <v>0</v>
      </c>
      <c r="N3" s="24">
        <v>0</v>
      </c>
      <c r="O3" s="24">
        <v>0</v>
      </c>
      <c r="P3" s="24">
        <v>0</v>
      </c>
      <c r="Q3" s="24">
        <v>0</v>
      </c>
      <c r="R3" s="24">
        <v>0</v>
      </c>
      <c r="S3" s="24">
        <v>0</v>
      </c>
      <c r="T3" s="24">
        <v>0</v>
      </c>
      <c r="U3" s="24">
        <v>0</v>
      </c>
      <c r="V3" s="24">
        <v>0</v>
      </c>
      <c r="W3" s="25"/>
      <c r="Y3" s="27">
        <v>30000</v>
      </c>
      <c r="Z3" s="24"/>
      <c r="AA3" s="24"/>
    </row>
    <row r="4" spans="2:27" x14ac:dyDescent="0.3">
      <c r="B4" s="14" t="s">
        <v>11</v>
      </c>
      <c r="C4" s="17">
        <v>10</v>
      </c>
      <c r="D4" s="2"/>
      <c r="E4" s="15">
        <v>600</v>
      </c>
      <c r="F4" s="23">
        <f t="dataTable" ref="F4:H14" dt2D="0" dtr="0" r1="C6"/>
        <v>12000</v>
      </c>
      <c r="G4" s="23">
        <v>3000</v>
      </c>
      <c r="H4" s="23">
        <v>15000</v>
      </c>
      <c r="I4" s="9">
        <f>F4-G4</f>
        <v>9000</v>
      </c>
      <c r="J4" s="2"/>
      <c r="K4" s="15">
        <v>700</v>
      </c>
      <c r="L4" s="24">
        <v>0</v>
      </c>
      <c r="M4" s="24">
        <v>0</v>
      </c>
      <c r="N4" s="24">
        <v>0</v>
      </c>
      <c r="O4" s="24">
        <v>0</v>
      </c>
      <c r="P4" s="24">
        <v>0</v>
      </c>
      <c r="Q4" s="24">
        <v>0</v>
      </c>
      <c r="R4" s="24">
        <v>0</v>
      </c>
      <c r="S4" s="24">
        <v>0</v>
      </c>
      <c r="T4" s="24">
        <v>0</v>
      </c>
      <c r="U4" s="24">
        <v>0</v>
      </c>
      <c r="V4" s="24">
        <v>0</v>
      </c>
      <c r="W4" s="26"/>
      <c r="Y4" s="27">
        <v>31000</v>
      </c>
      <c r="Z4" s="24"/>
      <c r="AA4" s="24"/>
    </row>
    <row r="5" spans="2:27" x14ac:dyDescent="0.3">
      <c r="B5" s="2"/>
      <c r="C5" s="2"/>
      <c r="D5" s="2"/>
      <c r="E5" s="15">
        <v>700</v>
      </c>
      <c r="F5" s="23">
        <v>10285.714285714286</v>
      </c>
      <c r="G5" s="23">
        <v>3500</v>
      </c>
      <c r="H5" s="23">
        <v>13785.714285714286</v>
      </c>
      <c r="I5" s="9">
        <f t="shared" ref="I5:I14" si="0">F5-G5</f>
        <v>6785.7142857142862</v>
      </c>
      <c r="J5" s="2"/>
      <c r="K5" s="15">
        <v>800</v>
      </c>
      <c r="L5" s="24">
        <v>0</v>
      </c>
      <c r="M5" s="24">
        <v>0</v>
      </c>
      <c r="N5" s="24">
        <v>0</v>
      </c>
      <c r="O5" s="24">
        <v>0</v>
      </c>
      <c r="P5" s="24">
        <v>0</v>
      </c>
      <c r="Q5" s="24">
        <v>0</v>
      </c>
      <c r="R5" s="24">
        <v>0</v>
      </c>
      <c r="S5" s="24">
        <v>0</v>
      </c>
      <c r="T5" s="24">
        <v>0</v>
      </c>
      <c r="U5" s="24">
        <v>0</v>
      </c>
      <c r="V5" s="24">
        <v>0</v>
      </c>
      <c r="W5" s="26"/>
      <c r="Y5" s="27">
        <v>32000</v>
      </c>
      <c r="Z5" s="24"/>
      <c r="AA5" s="24"/>
    </row>
    <row r="6" spans="2:27" x14ac:dyDescent="0.3">
      <c r="B6" s="14" t="s">
        <v>12</v>
      </c>
      <c r="C6" s="6">
        <v>900</v>
      </c>
      <c r="D6" s="2"/>
      <c r="E6" s="15">
        <v>800</v>
      </c>
      <c r="F6" s="23">
        <v>9000</v>
      </c>
      <c r="G6" s="23">
        <v>4000</v>
      </c>
      <c r="H6" s="23">
        <v>13000</v>
      </c>
      <c r="I6" s="9">
        <f t="shared" si="0"/>
        <v>5000</v>
      </c>
      <c r="J6" s="2"/>
      <c r="K6" s="15">
        <v>900</v>
      </c>
      <c r="L6" s="24">
        <v>0</v>
      </c>
      <c r="M6" s="24">
        <v>0</v>
      </c>
      <c r="N6" s="24">
        <v>0</v>
      </c>
      <c r="O6" s="24">
        <v>0</v>
      </c>
      <c r="P6" s="24">
        <v>0</v>
      </c>
      <c r="Q6" s="24">
        <v>0</v>
      </c>
      <c r="R6" s="24">
        <v>0</v>
      </c>
      <c r="S6" s="24">
        <v>0</v>
      </c>
      <c r="T6" s="24">
        <v>0</v>
      </c>
      <c r="U6" s="24">
        <v>0</v>
      </c>
      <c r="V6" s="24">
        <v>0</v>
      </c>
      <c r="W6" s="26"/>
      <c r="Y6" s="27">
        <v>33000</v>
      </c>
      <c r="Z6" s="24"/>
      <c r="AA6" s="24"/>
    </row>
    <row r="7" spans="2:27" x14ac:dyDescent="0.3">
      <c r="B7" s="14" t="s">
        <v>3</v>
      </c>
      <c r="C7" s="18">
        <f>C2/C6*C3</f>
        <v>8000</v>
      </c>
      <c r="D7" s="2"/>
      <c r="E7" s="15">
        <v>900</v>
      </c>
      <c r="F7" s="23">
        <v>8000</v>
      </c>
      <c r="G7" s="23">
        <v>4500</v>
      </c>
      <c r="H7" s="23">
        <v>12500</v>
      </c>
      <c r="I7" s="9">
        <f t="shared" si="0"/>
        <v>3500</v>
      </c>
      <c r="J7" s="2"/>
      <c r="K7" s="15">
        <v>1000</v>
      </c>
      <c r="L7" s="24">
        <v>0</v>
      </c>
      <c r="M7" s="24">
        <v>0</v>
      </c>
      <c r="N7" s="24">
        <v>0</v>
      </c>
      <c r="O7" s="24">
        <v>0</v>
      </c>
      <c r="P7" s="24">
        <v>0</v>
      </c>
      <c r="Q7" s="24">
        <v>0</v>
      </c>
      <c r="R7" s="24">
        <v>0</v>
      </c>
      <c r="S7" s="24">
        <v>0</v>
      </c>
      <c r="T7" s="24">
        <v>0</v>
      </c>
      <c r="U7" s="24">
        <v>0</v>
      </c>
      <c r="V7" s="24">
        <v>0</v>
      </c>
      <c r="W7" s="26"/>
      <c r="Y7" s="27">
        <v>34000</v>
      </c>
      <c r="Z7" s="24"/>
      <c r="AA7" s="24"/>
    </row>
    <row r="8" spans="2:27" x14ac:dyDescent="0.3">
      <c r="B8" s="14" t="s">
        <v>4</v>
      </c>
      <c r="C8" s="18">
        <f>(C6/2)*C4</f>
        <v>4500</v>
      </c>
      <c r="D8" s="2"/>
      <c r="E8" s="15">
        <v>1000</v>
      </c>
      <c r="F8" s="23">
        <v>7200</v>
      </c>
      <c r="G8" s="23">
        <v>5000</v>
      </c>
      <c r="H8" s="23">
        <v>12200</v>
      </c>
      <c r="I8" s="9">
        <f t="shared" si="0"/>
        <v>2200</v>
      </c>
      <c r="J8" s="2"/>
      <c r="K8" s="15">
        <v>1100</v>
      </c>
      <c r="L8" s="24">
        <v>0</v>
      </c>
      <c r="M8" s="24">
        <v>0</v>
      </c>
      <c r="N8" s="24">
        <v>0</v>
      </c>
      <c r="O8" s="24">
        <v>0</v>
      </c>
      <c r="P8" s="24">
        <v>0</v>
      </c>
      <c r="Q8" s="24">
        <v>0</v>
      </c>
      <c r="R8" s="24">
        <v>0</v>
      </c>
      <c r="S8" s="24">
        <v>0</v>
      </c>
      <c r="T8" s="24">
        <v>0</v>
      </c>
      <c r="U8" s="24">
        <v>0</v>
      </c>
      <c r="V8" s="24">
        <v>0</v>
      </c>
      <c r="W8" s="26"/>
      <c r="Y8" s="27">
        <v>35000</v>
      </c>
      <c r="Z8" s="24"/>
      <c r="AA8" s="24"/>
    </row>
    <row r="9" spans="2:27" x14ac:dyDescent="0.3">
      <c r="B9" s="14" t="s">
        <v>5</v>
      </c>
      <c r="C9" s="19">
        <f>C7+C8</f>
        <v>12500</v>
      </c>
      <c r="D9" s="2"/>
      <c r="E9" s="15">
        <v>1100</v>
      </c>
      <c r="F9" s="23">
        <v>6545.454545454545</v>
      </c>
      <c r="G9" s="23">
        <v>5500</v>
      </c>
      <c r="H9" s="23">
        <v>12045.454545454544</v>
      </c>
      <c r="I9" s="9">
        <f t="shared" si="0"/>
        <v>1045.454545454545</v>
      </c>
      <c r="J9" s="2"/>
      <c r="K9" s="15">
        <v>1200</v>
      </c>
      <c r="L9" s="24">
        <v>0</v>
      </c>
      <c r="M9" s="24">
        <v>0</v>
      </c>
      <c r="N9" s="24">
        <v>0</v>
      </c>
      <c r="O9" s="24">
        <v>0</v>
      </c>
      <c r="P9" s="24">
        <v>0</v>
      </c>
      <c r="Q9" s="24">
        <v>0</v>
      </c>
      <c r="R9" s="24">
        <v>0</v>
      </c>
      <c r="S9" s="24">
        <v>0</v>
      </c>
      <c r="T9" s="24">
        <v>0</v>
      </c>
      <c r="U9" s="24">
        <v>0</v>
      </c>
      <c r="V9" s="24">
        <v>0</v>
      </c>
      <c r="W9" s="26"/>
      <c r="Y9" s="27">
        <v>36000</v>
      </c>
      <c r="Z9" s="24"/>
      <c r="AA9" s="24"/>
    </row>
    <row r="10" spans="2:27" x14ac:dyDescent="0.3">
      <c r="B10" s="2"/>
      <c r="C10" s="10"/>
      <c r="D10" s="2"/>
      <c r="E10" s="15">
        <v>1200</v>
      </c>
      <c r="F10" s="23">
        <v>6000</v>
      </c>
      <c r="G10" s="23">
        <v>6000</v>
      </c>
      <c r="H10" s="23">
        <v>12000</v>
      </c>
      <c r="I10" s="9">
        <f t="shared" si="0"/>
        <v>0</v>
      </c>
      <c r="J10" s="2"/>
      <c r="K10" s="15">
        <v>1300</v>
      </c>
      <c r="L10" s="24">
        <v>0</v>
      </c>
      <c r="M10" s="24">
        <v>0</v>
      </c>
      <c r="N10" s="24">
        <v>0</v>
      </c>
      <c r="O10" s="24">
        <v>0</v>
      </c>
      <c r="P10" s="24">
        <v>0</v>
      </c>
      <c r="Q10" s="24">
        <v>0</v>
      </c>
      <c r="R10" s="24">
        <v>0</v>
      </c>
      <c r="S10" s="24">
        <v>0</v>
      </c>
      <c r="T10" s="24">
        <v>0</v>
      </c>
      <c r="U10" s="24">
        <v>0</v>
      </c>
      <c r="V10" s="24">
        <v>0</v>
      </c>
      <c r="W10" s="26"/>
      <c r="Y10" s="27">
        <v>37000</v>
      </c>
      <c r="Z10" s="24"/>
      <c r="AA10" s="24"/>
    </row>
    <row r="11" spans="2:27" x14ac:dyDescent="0.3">
      <c r="B11" s="14" t="s">
        <v>13</v>
      </c>
      <c r="C11" s="19">
        <f>SQRT(2*C3*C2/C4)</f>
        <v>1200</v>
      </c>
      <c r="D11" s="2"/>
      <c r="E11" s="15">
        <v>1300</v>
      </c>
      <c r="F11" s="23">
        <v>5538.461538461539</v>
      </c>
      <c r="G11" s="23">
        <v>6500</v>
      </c>
      <c r="H11" s="23">
        <v>12038.461538461539</v>
      </c>
      <c r="I11" s="9">
        <f t="shared" si="0"/>
        <v>-961.53846153846098</v>
      </c>
      <c r="J11" s="2"/>
      <c r="K11" s="15">
        <v>1400</v>
      </c>
      <c r="L11" s="24">
        <v>0</v>
      </c>
      <c r="M11" s="24">
        <v>0</v>
      </c>
      <c r="N11" s="24">
        <v>0</v>
      </c>
      <c r="O11" s="24">
        <v>0</v>
      </c>
      <c r="P11" s="24">
        <v>0</v>
      </c>
      <c r="Q11" s="24">
        <v>0</v>
      </c>
      <c r="R11" s="24">
        <v>0</v>
      </c>
      <c r="S11" s="24">
        <v>0</v>
      </c>
      <c r="T11" s="24">
        <v>0</v>
      </c>
      <c r="U11" s="24">
        <v>0</v>
      </c>
      <c r="V11" s="24">
        <v>0</v>
      </c>
      <c r="W11" s="26"/>
      <c r="Y11" s="27">
        <v>38000</v>
      </c>
      <c r="Z11" s="24"/>
      <c r="AA11" s="24"/>
    </row>
    <row r="12" spans="2:27" x14ac:dyDescent="0.3">
      <c r="B12" s="14" t="s">
        <v>14</v>
      </c>
      <c r="C12" s="21">
        <f>C2/C11*C3</f>
        <v>6000</v>
      </c>
      <c r="D12" s="2"/>
      <c r="E12" s="15">
        <v>1400</v>
      </c>
      <c r="F12" s="23">
        <v>5142.8571428571431</v>
      </c>
      <c r="G12" s="23">
        <v>7000</v>
      </c>
      <c r="H12" s="23">
        <v>12142.857142857143</v>
      </c>
      <c r="I12" s="9">
        <f t="shared" si="0"/>
        <v>-1857.1428571428569</v>
      </c>
      <c r="J12" s="2"/>
      <c r="K12" s="15">
        <v>1500</v>
      </c>
      <c r="L12" s="24">
        <v>0</v>
      </c>
      <c r="M12" s="24">
        <v>0</v>
      </c>
      <c r="N12" s="24">
        <v>0</v>
      </c>
      <c r="O12" s="24">
        <v>0</v>
      </c>
      <c r="P12" s="24">
        <v>0</v>
      </c>
      <c r="Q12" s="24">
        <v>0</v>
      </c>
      <c r="R12" s="24">
        <v>0</v>
      </c>
      <c r="S12" s="24">
        <v>0</v>
      </c>
      <c r="T12" s="24">
        <v>0</v>
      </c>
      <c r="U12" s="24">
        <v>0</v>
      </c>
      <c r="V12" s="24">
        <v>0</v>
      </c>
      <c r="W12" s="26"/>
      <c r="Y12" s="27">
        <v>39000</v>
      </c>
      <c r="Z12" s="24"/>
      <c r="AA12" s="24"/>
    </row>
    <row r="13" spans="2:27" x14ac:dyDescent="0.3">
      <c r="B13" s="14" t="s">
        <v>15</v>
      </c>
      <c r="C13" s="21">
        <f>(C11/2)*C4</f>
        <v>6000</v>
      </c>
      <c r="D13" s="2"/>
      <c r="E13" s="15">
        <v>1500</v>
      </c>
      <c r="F13" s="23">
        <v>4800</v>
      </c>
      <c r="G13" s="23">
        <v>7500</v>
      </c>
      <c r="H13" s="23">
        <v>12300</v>
      </c>
      <c r="I13" s="9">
        <f t="shared" si="0"/>
        <v>-2700</v>
      </c>
      <c r="J13" s="2"/>
      <c r="K13" s="15">
        <v>1600</v>
      </c>
      <c r="L13" s="24">
        <v>0</v>
      </c>
      <c r="M13" s="24">
        <v>0</v>
      </c>
      <c r="N13" s="24">
        <v>0</v>
      </c>
      <c r="O13" s="24">
        <v>0</v>
      </c>
      <c r="P13" s="24">
        <v>0</v>
      </c>
      <c r="Q13" s="24">
        <v>0</v>
      </c>
      <c r="R13" s="24">
        <v>0</v>
      </c>
      <c r="S13" s="24">
        <v>0</v>
      </c>
      <c r="T13" s="24">
        <v>0</v>
      </c>
      <c r="U13" s="24">
        <v>0</v>
      </c>
      <c r="V13" s="24">
        <v>0</v>
      </c>
      <c r="W13" s="26"/>
      <c r="Y13" s="27">
        <v>40000</v>
      </c>
      <c r="Z13" s="24"/>
      <c r="AA13" s="24"/>
    </row>
    <row r="14" spans="2:27" x14ac:dyDescent="0.3">
      <c r="B14" s="14" t="s">
        <v>16</v>
      </c>
      <c r="C14" s="20">
        <f>C12+C13</f>
        <v>12000</v>
      </c>
      <c r="D14" s="2"/>
      <c r="E14" s="15">
        <v>1600</v>
      </c>
      <c r="F14" s="23">
        <v>4500</v>
      </c>
      <c r="G14" s="23">
        <v>8000</v>
      </c>
      <c r="H14" s="23">
        <v>12500</v>
      </c>
      <c r="I14" s="9">
        <f t="shared" si="0"/>
        <v>-3500</v>
      </c>
      <c r="J14" s="2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2"/>
      <c r="V14" s="12"/>
      <c r="W14" s="11"/>
      <c r="Y14" s="11"/>
    </row>
    <row r="15" spans="2:27" x14ac:dyDescent="0.3">
      <c r="B15" s="2"/>
      <c r="C15" s="2"/>
      <c r="D15" s="2"/>
      <c r="J15" s="2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2"/>
      <c r="V15" s="12"/>
      <c r="W15" s="11"/>
      <c r="Y15" s="11"/>
    </row>
    <row r="16" spans="2:27" x14ac:dyDescent="0.3">
      <c r="B16" s="5" t="str">
        <f>"年需求量="&amp;C2</f>
        <v>年需求量=36000</v>
      </c>
      <c r="C16" s="2"/>
      <c r="D16" s="2"/>
      <c r="E16" s="2" t="s">
        <v>1</v>
      </c>
      <c r="F16" s="2"/>
      <c r="G16" s="2"/>
      <c r="H16" s="2" t="s">
        <v>2</v>
      </c>
      <c r="I16" s="2"/>
      <c r="J16" s="2"/>
      <c r="Y16" s="11"/>
    </row>
    <row r="17" spans="2:25" x14ac:dyDescent="0.3">
      <c r="B17" s="5" t="str">
        <f>"订货量="&amp;C6</f>
        <v>订货量=900</v>
      </c>
      <c r="C17" s="2"/>
      <c r="D17" s="2"/>
      <c r="E17" s="24"/>
      <c r="F17" s="23"/>
      <c r="G17" s="2"/>
      <c r="H17" s="24">
        <f>C6</f>
        <v>900</v>
      </c>
      <c r="I17" s="24"/>
      <c r="J17" s="2"/>
      <c r="Y17" s="11"/>
    </row>
    <row r="18" spans="2:25" x14ac:dyDescent="0.3">
      <c r="B18" s="5" t="str">
        <f>"经济订货量="&amp;C11&amp;"，年总成本最小值="&amp;C14&amp;"元"</f>
        <v>经济订货量=1200，年总成本最小值=12000元</v>
      </c>
      <c r="C18" s="5"/>
      <c r="D18" s="2"/>
      <c r="E18" s="24"/>
      <c r="F18" s="23"/>
      <c r="G18" s="2"/>
      <c r="H18" s="24">
        <f>H17</f>
        <v>900</v>
      </c>
      <c r="I18" s="24"/>
      <c r="J18" s="2"/>
      <c r="Y18" s="11"/>
    </row>
    <row r="19" spans="2:25" x14ac:dyDescent="0.3">
      <c r="B19" s="2"/>
      <c r="C19" s="2"/>
      <c r="D19" s="2"/>
      <c r="E19" s="24"/>
      <c r="F19" s="23"/>
      <c r="G19" s="2"/>
      <c r="H19" s="24">
        <f>H18</f>
        <v>900</v>
      </c>
      <c r="I19" s="24"/>
      <c r="J19" s="2"/>
      <c r="Y19" s="11"/>
    </row>
    <row r="20" spans="2:25" x14ac:dyDescent="0.3">
      <c r="B20" s="2"/>
      <c r="C20" s="2"/>
      <c r="D20" s="2"/>
      <c r="E20" s="24"/>
      <c r="F20" s="23"/>
      <c r="G20" s="2"/>
      <c r="H20" s="24">
        <f>H19</f>
        <v>900</v>
      </c>
      <c r="I20" s="24"/>
      <c r="J20" s="2"/>
      <c r="Y20" s="11"/>
    </row>
    <row r="21" spans="2:25" x14ac:dyDescent="0.3">
      <c r="B21" s="2"/>
      <c r="C21" s="2"/>
      <c r="D21" s="2"/>
      <c r="G21" s="2"/>
      <c r="H21" s="24">
        <f>H20</f>
        <v>900</v>
      </c>
      <c r="I21" s="24"/>
      <c r="J21" s="2"/>
      <c r="Y21" s="11"/>
    </row>
    <row r="22" spans="2:25" x14ac:dyDescent="0.3">
      <c r="B22" s="2"/>
      <c r="C22" s="2"/>
      <c r="D22" s="2"/>
      <c r="G22" s="2"/>
      <c r="J22" s="2"/>
      <c r="Y22" s="11"/>
    </row>
    <row r="23" spans="2:25" x14ac:dyDescent="0.3">
      <c r="B23" s="2"/>
      <c r="C23" s="2"/>
      <c r="D23" s="2"/>
      <c r="G23" s="2"/>
      <c r="H23" s="2"/>
      <c r="I23" s="2"/>
      <c r="J23" s="2"/>
      <c r="Y23" s="11"/>
    </row>
    <row r="24" spans="2:25" x14ac:dyDescent="0.3">
      <c r="B24" s="2"/>
      <c r="C24" s="2"/>
      <c r="D24" s="2"/>
      <c r="G24" s="2"/>
      <c r="H24" s="2"/>
      <c r="I24" s="2"/>
      <c r="J24" s="2"/>
      <c r="Y24" s="11"/>
    </row>
    <row r="25" spans="2:25" x14ac:dyDescent="0.3">
      <c r="B25" s="2"/>
      <c r="C25" s="2"/>
      <c r="D25" s="2"/>
      <c r="G25" s="2"/>
      <c r="H25" s="2"/>
      <c r="I25" s="2"/>
      <c r="J25" s="2"/>
    </row>
    <row r="26" spans="2:25" x14ac:dyDescent="0.3">
      <c r="B26" s="2"/>
      <c r="C26" s="2"/>
      <c r="D26" s="2"/>
      <c r="G26" s="2"/>
      <c r="H26" s="2"/>
      <c r="I26" s="2"/>
      <c r="J26" s="2"/>
    </row>
    <row r="27" spans="2:25" x14ac:dyDescent="0.3">
      <c r="B27" s="2"/>
      <c r="C27" s="2"/>
      <c r="D27" s="2"/>
      <c r="E27" s="2"/>
      <c r="F27" s="2"/>
      <c r="G27" s="2"/>
      <c r="H27" s="2"/>
      <c r="I27" s="2"/>
      <c r="J27" s="2"/>
    </row>
    <row r="28" spans="2:25" x14ac:dyDescent="0.3">
      <c r="B28" s="2"/>
      <c r="C28" s="2"/>
      <c r="D28" s="2"/>
      <c r="J28" s="2"/>
    </row>
    <row r="29" spans="2:25" x14ac:dyDescent="0.3">
      <c r="B29" s="2"/>
      <c r="C29" s="2"/>
      <c r="D29" s="2"/>
      <c r="J29" s="2"/>
    </row>
    <row r="30" spans="2:25" x14ac:dyDescent="0.3">
      <c r="B30" s="2"/>
      <c r="C30" s="2"/>
      <c r="D30" s="2"/>
      <c r="J30" s="2"/>
    </row>
    <row r="31" spans="2:25" x14ac:dyDescent="0.3">
      <c r="B31" s="2"/>
      <c r="C31" s="2"/>
      <c r="D31" s="2"/>
      <c r="J31" s="2"/>
    </row>
    <row r="32" spans="2:25" x14ac:dyDescent="0.3">
      <c r="B32" s="2"/>
      <c r="C32" s="2"/>
      <c r="D32" s="2"/>
      <c r="J32" s="2"/>
    </row>
    <row r="33" spans="2:10" x14ac:dyDescent="0.3">
      <c r="B33" s="2"/>
      <c r="C33" s="2"/>
      <c r="D33" s="2"/>
      <c r="J33" s="2"/>
    </row>
  </sheetData>
  <phoneticPr fontId="1" type="noConversion"/>
  <printOptions headings="1"/>
  <pageMargins left="0.75" right="0.75" top="1" bottom="1" header="0.5" footer="0.5"/>
  <pageSetup paperSize="9" orientation="portrait" horizontalDpi="4294967293" verticalDpi="4294967293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showGridLines="0" tabSelected="1" topLeftCell="A2" zoomScaleNormal="100" workbookViewId="0">
      <selection activeCell="C25" sqref="C25"/>
    </sheetView>
  </sheetViews>
  <sheetFormatPr defaultColWidth="9" defaultRowHeight="12.75" x14ac:dyDescent="0.3"/>
  <cols>
    <col min="1" max="16384" width="9" style="1"/>
  </cols>
  <sheetData/>
  <phoneticPr fontId="1" type="noConversion"/>
  <pageMargins left="0.75" right="0.75" top="1" bottom="1" header="0.5" footer="0.5"/>
  <headerFooter alignWithMargins="0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5" r:id="rId3" name="Spinner 5">
              <controlPr defaultSize="0" autoPict="0">
                <anchor moveWithCells="1" sizeWithCells="1">
                  <from>
                    <xdr:col>3</xdr:col>
                    <xdr:colOff>204788</xdr:colOff>
                    <xdr:row>3</xdr:row>
                    <xdr:rowOff>119063</xdr:rowOff>
                  </from>
                  <to>
                    <xdr:col>3</xdr:col>
                    <xdr:colOff>452438</xdr:colOff>
                    <xdr:row>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6" r:id="rId4" name="Spinner 6">
              <controlPr defaultSize="0" autoPict="0">
                <anchor moveWithCells="1" sizeWithCells="1">
                  <from>
                    <xdr:col>5</xdr:col>
                    <xdr:colOff>500063</xdr:colOff>
                    <xdr:row>3</xdr:row>
                    <xdr:rowOff>119063</xdr:rowOff>
                  </from>
                  <to>
                    <xdr:col>6</xdr:col>
                    <xdr:colOff>52388</xdr:colOff>
                    <xdr:row>5</xdr:row>
                    <xdr:rowOff>14288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K2" sqref="K2"/>
    </sheetView>
  </sheetViews>
  <sheetFormatPr defaultRowHeight="15.75" x14ac:dyDescent="0.4"/>
  <sheetData/>
  <phoneticPr fontId="1" type="noConversion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69" r:id="rId3" name="Spinner 1">
              <controlPr defaultSize="0" autoPict="0">
                <anchor moveWithCells="1" sizeWithCells="1">
                  <from>
                    <xdr:col>2</xdr:col>
                    <xdr:colOff>52388</xdr:colOff>
                    <xdr:row>3</xdr:row>
                    <xdr:rowOff>33338</xdr:rowOff>
                  </from>
                  <to>
                    <xdr:col>2</xdr:col>
                    <xdr:colOff>304800</xdr:colOff>
                    <xdr:row>4</xdr:row>
                    <xdr:rowOff>100013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例8-2</vt:lpstr>
      <vt:lpstr>经济订货量分析模型</vt:lpstr>
      <vt:lpstr>经济订货量分析图形</vt:lpstr>
      <vt:lpstr>经济订货量情景分析图形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zlqfujitsu</dc:creator>
  <cp:lastModifiedBy>a77111</cp:lastModifiedBy>
  <cp:lastPrinted>2004-06-28T23:31:30Z</cp:lastPrinted>
  <dcterms:created xsi:type="dcterms:W3CDTF">1996-12-17T01:32:42Z</dcterms:created>
  <dcterms:modified xsi:type="dcterms:W3CDTF">2026-06-21T12:04:52Z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f900c73f</vt:lpwstr>
  </property>
</Properties>
</file>