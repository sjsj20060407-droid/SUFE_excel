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86158\Desktop\经管机作业\"/>
    </mc:Choice>
  </mc:AlternateContent>
  <xr:revisionPtr revIDLastSave="0" documentId="13_ncr:1_{BC1012C0-16A7-4B4B-ACD9-7E612C098E80}" xr6:coauthVersionLast="47" xr6:coauthVersionMax="47" xr10:uidLastSave="{00000000-0000-0000-0000-000000000000}"/>
  <bookViews>
    <workbookView xWindow="0" yWindow="360" windowWidth="21795" windowHeight="12975" activeTab="1" xr2:uid="{C131139C-3F32-4746-B9CD-A1C9C051686F}"/>
  </bookViews>
  <sheets>
    <sheet name="例5-3" sheetId="1" r:id="rId1"/>
    <sheet name="线性趋势预测模型" sheetId="2" r:id="rId2"/>
  </sheets>
  <definedNames>
    <definedName name="solver_adj" localSheetId="1" hidden="1">线性趋势预测模型!$J$13:$J$14</definedName>
    <definedName name="solver_cvg" localSheetId="1" hidden="1">0.0001</definedName>
    <definedName name="solver_drv" localSheetId="1" hidden="1">2</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线性趋势预测模型!$J$16</definedName>
    <definedName name="solver_pre" localSheetId="1" hidden="1">0.000001</definedName>
    <definedName name="solver_rbv" localSheetId="1" hidden="1">2</definedName>
    <definedName name="solver_rlx" localSheetId="1" hidden="1">2</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2</definedName>
    <definedName name="solver_val" localSheetId="1" hidden="1">0</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a="1"/>
  <c r="G2" i="2"/>
  <c r="G3" i="2" a="1"/>
  <c r="G3" i="2" s="1"/>
  <c r="G4" i="2" a="1"/>
  <c r="G4" i="2" s="1"/>
  <c r="G5" i="2" a="1"/>
  <c r="G5" i="2" s="1"/>
  <c r="G6" i="2" a="1"/>
  <c r="G6" i="2" s="1"/>
  <c r="G7" i="2" a="1"/>
  <c r="G7" i="2" s="1"/>
  <c r="G8" i="2" a="1"/>
  <c r="G8" i="2" s="1"/>
  <c r="G9" i="2" a="1"/>
  <c r="G9" i="2" s="1"/>
  <c r="G10" i="2" a="1"/>
  <c r="G10" i="2" s="1"/>
  <c r="G11" i="2" a="1"/>
  <c r="G11" i="2" s="1"/>
  <c r="G12" i="2" a="1"/>
  <c r="G12" i="2"/>
  <c r="G13" i="2" a="1"/>
  <c r="G13" i="2" s="1"/>
  <c r="G14" i="2" a="1"/>
  <c r="G14" i="2" s="1"/>
  <c r="G15" i="2" a="1"/>
  <c r="G15" i="2"/>
  <c r="G16" i="2" a="1"/>
  <c r="G16" i="2" s="1"/>
  <c r="G17" i="2" a="1"/>
  <c r="G17" i="2"/>
  <c r="G18" i="2" a="1"/>
  <c r="G18" i="2" s="1"/>
  <c r="G19" i="2" a="1"/>
  <c r="G19" i="2" s="1"/>
  <c r="F2" i="2"/>
  <c r="F3" i="2"/>
  <c r="F4" i="2"/>
  <c r="F5" i="2"/>
  <c r="F6" i="2"/>
  <c r="F7" i="2"/>
  <c r="F8" i="2"/>
  <c r="F9" i="2"/>
  <c r="F10" i="2"/>
  <c r="F11" i="2"/>
  <c r="F12" i="2"/>
  <c r="F13" i="2"/>
  <c r="F14" i="2"/>
  <c r="F15" i="2"/>
  <c r="F16" i="2"/>
  <c r="F17" i="2"/>
  <c r="F18" i="2"/>
  <c r="F19" i="2"/>
  <c r="F20" i="2" s="1"/>
  <c r="E19" i="2"/>
  <c r="D19" i="2"/>
  <c r="E3" i="2"/>
  <c r="E4" i="2"/>
  <c r="E5" i="2"/>
  <c r="E6" i="2"/>
  <c r="E7" i="2"/>
  <c r="E8" i="2"/>
  <c r="E9" i="2"/>
  <c r="E10" i="2"/>
  <c r="E11" i="2"/>
  <c r="E12" i="2"/>
  <c r="E13" i="2"/>
  <c r="E14" i="2"/>
  <c r="E15" i="2"/>
  <c r="E16" i="2"/>
  <c r="E17" i="2"/>
  <c r="E18" i="2"/>
  <c r="E2" i="2"/>
  <c r="D3" i="2"/>
  <c r="D4" i="2"/>
  <c r="D5" i="2"/>
  <c r="D6" i="2"/>
  <c r="D7" i="2"/>
  <c r="D8" i="2"/>
  <c r="D9" i="2"/>
  <c r="D10" i="2"/>
  <c r="D11" i="2"/>
  <c r="D12" i="2"/>
  <c r="D13" i="2"/>
  <c r="D14" i="2"/>
  <c r="D15" i="2"/>
  <c r="D16" i="2"/>
  <c r="D17" i="2"/>
  <c r="D18" i="2"/>
  <c r="D2" i="2"/>
  <c r="I7" i="2" a="1"/>
  <c r="J7" i="2" s="1"/>
  <c r="J3" i="2"/>
  <c r="J2" i="2"/>
  <c r="I10" i="2"/>
  <c r="J16" i="2" l="1"/>
  <c r="I7"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<sst xmlns="http://schemas.openxmlformats.org/spreadsheetml/2006/main" count="84" uniqueCount="64">
  <si>
    <t>指标</t>
  </si>
  <si>
    <r>
      <rPr>
        <sz val="10"/>
        <rFont val="微软雅黑"/>
        <family val="2"/>
        <charset val="134"/>
      </rPr>
      <t>社会消费品零售总额指数</t>
    </r>
    <r>
      <rPr>
        <sz val="11"/>
        <color theme="1"/>
        <rFont val="等线"/>
        <family val="2"/>
        <charset val="134"/>
        <scheme val="minor"/>
      </rPr>
      <t>(2000</t>
    </r>
    <r>
      <rPr>
        <sz val="10"/>
        <rFont val="微软雅黑"/>
        <family val="2"/>
        <charset val="134"/>
      </rPr>
      <t>年＝</t>
    </r>
    <r>
      <rPr>
        <sz val="11"/>
        <color theme="1"/>
        <rFont val="等线"/>
        <family val="2"/>
        <charset val="134"/>
        <scheme val="minor"/>
      </rPr>
      <t>100)</t>
    </r>
    <phoneticPr fontId="4" type="noConversion"/>
  </si>
  <si>
    <t>地区</t>
  </si>
  <si>
    <t>全国</t>
  </si>
  <si>
    <t>频度</t>
  </si>
  <si>
    <t>年</t>
  </si>
  <si>
    <t>单位</t>
  </si>
  <si>
    <t>-</t>
  </si>
  <si>
    <t>2006</t>
  </si>
  <si>
    <t>2007</t>
  </si>
  <si>
    <t>2008</t>
  </si>
  <si>
    <t>2009</t>
  </si>
  <si>
    <t>2010</t>
  </si>
  <si>
    <t>2011</t>
  </si>
  <si>
    <t>2012</t>
  </si>
  <si>
    <t>2013</t>
  </si>
  <si>
    <t>2014</t>
  </si>
  <si>
    <t>2015</t>
  </si>
  <si>
    <t>2016</t>
  </si>
  <si>
    <t>2017</t>
  </si>
  <si>
    <t>2018</t>
  </si>
  <si>
    <t>2019</t>
  </si>
  <si>
    <t>2020</t>
  </si>
  <si>
    <t>2021</t>
  </si>
  <si>
    <t>2022</t>
  </si>
  <si>
    <t>社会消费品零售总额指数</t>
    <phoneticPr fontId="4" type="noConversion"/>
  </si>
  <si>
    <t>趋势线预测值</t>
    <phoneticPr fontId="1" type="noConversion"/>
  </si>
  <si>
    <t>模型预测值</t>
    <phoneticPr fontId="1" type="noConversion"/>
  </si>
  <si>
    <t>forecast预测值</t>
    <phoneticPr fontId="1" type="noConversion"/>
  </si>
  <si>
    <t>trend预测值</t>
    <phoneticPr fontId="1" type="noConversion"/>
  </si>
  <si>
    <t>内建函数intercept()与slope()</t>
    <phoneticPr fontId="1" type="noConversion"/>
  </si>
  <si>
    <t>截距</t>
    <phoneticPr fontId="1" type="noConversion"/>
  </si>
  <si>
    <t>斜率</t>
    <phoneticPr fontId="1" type="noConversion"/>
  </si>
  <si>
    <t>内建函数linest()</t>
    <phoneticPr fontId="1" type="noConversion"/>
  </si>
  <si>
    <t>年份</t>
    <phoneticPr fontId="1" type="noConversion"/>
  </si>
  <si>
    <t>序号</t>
    <phoneticPr fontId="1" type="noConversion"/>
  </si>
  <si>
    <t>SUMMARY OUTPUT</t>
  </si>
  <si>
    <t>回归统计</t>
  </si>
  <si>
    <t>Multiple R</t>
  </si>
  <si>
    <t>R Square</t>
  </si>
  <si>
    <t>Adjusted R Square</t>
  </si>
  <si>
    <t>标准误差</t>
  </si>
  <si>
    <t>观测值</t>
  </si>
  <si>
    <t>方差分析</t>
  </si>
  <si>
    <t>回归分析</t>
  </si>
  <si>
    <t>残差</t>
  </si>
  <si>
    <t>总计</t>
  </si>
  <si>
    <t>Intercept</t>
  </si>
  <si>
    <t>df</t>
  </si>
  <si>
    <t>SS</t>
  </si>
  <si>
    <t>MS</t>
  </si>
  <si>
    <t>F</t>
  </si>
  <si>
    <t>Significance F</t>
  </si>
  <si>
    <t>Coefficients</t>
  </si>
  <si>
    <t>t Stat</t>
  </si>
  <si>
    <t>P-value</t>
  </si>
  <si>
    <t>Lower 95%</t>
  </si>
  <si>
    <t>Upper 95%</t>
  </si>
  <si>
    <t>下限 95.0%</t>
  </si>
  <si>
    <t>上限 95.0%</t>
  </si>
  <si>
    <t>序号</t>
  </si>
  <si>
    <t>a</t>
    <phoneticPr fontId="1" type="noConversion"/>
  </si>
  <si>
    <t>b</t>
    <phoneticPr fontId="1" type="noConversion"/>
  </si>
  <si>
    <t>mse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</si>
</sst>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0"/>
      <name val="Arial"/>
      <family val="2"/>
      <charset val="134"/>
    </font>
    <font>
      <sz val="10"/>
      <name val="微软雅黑"/>
      <family val="2"/>
      <charset val="134"/>
    </font>
    <font>
      <sz val="9"/>
      <name val="宋体"/>
      <family val="3"/>
      <charset val="134"/>
    </font>
    <font>
      <sz val="10"/>
      <color theme="1"/>
      <name val="等线"/>
      <family val="2"/>
      <charset val="134"/>
      <scheme val="minor"/>
    </font>
  </fonts>
  <fills count="3">
    <fill>
      <patternFill patternType="none"/>
    </fill>
    <fill>
      <patternFill patternType="gray125"/>
    </fill>
    <fill>
      <patternFill patternType="solid">
        <fgColor indexed="9"/>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xf>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0" xfId="0" applyFont="1">
      <alignment vertical="center"/>
    </xf>
    <xf numFmtId="0" fontId="5" fillId="0" borderId="1" xfId="0" applyFont="1" applyBorder="1" applyAlignment="1">
      <alignment horizontal="center"/>
    </xf>
    <xf numFmtId="0" fontId="5" fillId="0" borderId="2" xfId="0" applyFont="1" applyBorder="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2" borderId="3" xfId="0" applyFont="1" applyFill="1" applyBorder="1" applyAlignment="1">
      <alignment horizontal="center" vertical="center"/>
    </xf>
    <xf numFmtId="0" fontId="5" fillId="0" borderId="3" xfId="0" applyFont="1" applyBorder="1" applyAlignment="1">
      <alignment horizontal="center"/>
    </xf>
    <xf numFmtId="0" fontId="5" fillId="2" borderId="2" xfId="0" applyFont="1" applyFill="1" applyBorder="1" applyAlignment="1">
      <alignment horizontal="center" vertical="center"/>
    </xf>
    <xf numFmtId="0" fontId="0" fillId="0" borderId="0" xfId="0" applyFill="1" applyBorder="1" applyAlignment="1">
      <alignment vertical="center"/>
    </xf>
    <xf numFmtId="0" fontId="0" fillId="0" borderId="4" xfId="0" applyFill="1" applyBorder="1" applyAlignment="1">
      <alignment vertical="center"/>
    </xf>
    <xf numFmtId="0" fontId="0" fillId="0" borderId="5" xfId="0" applyFont="1" applyFill="1" applyBorder="1" applyAlignment="1">
      <alignment horizontal="center" vertical="center"/>
    </xf>
    <xf numFmtId="0" fontId="0" fillId="0" borderId="5" xfId="0" applyFont="1" applyFill="1" applyBorder="1" applyAlignment="1">
      <alignment horizontal="centerContinuous"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6620476804789593E-2"/>
                  <c:y val="-0.1748069538453702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线性趋势预测模型!$B$2:$B$18</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xVal>
          <c:yVal>
            <c:numRef>
              <c:f>线性趋势预测模型!$C$2:$C$18</c:f>
              <c:numCache>
                <c:formatCode>General</c:formatCode>
                <c:ptCount val="17"/>
                <c:pt idx="0">
                  <c:v>195.39</c:v>
                </c:pt>
                <c:pt idx="1">
                  <c:v>228.13</c:v>
                </c:pt>
                <c:pt idx="2">
                  <c:v>277.42</c:v>
                </c:pt>
                <c:pt idx="3">
                  <c:v>339.28</c:v>
                </c:pt>
                <c:pt idx="4">
                  <c:v>401.47</c:v>
                </c:pt>
                <c:pt idx="5">
                  <c:v>470.31</c:v>
                </c:pt>
                <c:pt idx="6">
                  <c:v>537.79</c:v>
                </c:pt>
                <c:pt idx="7">
                  <c:v>608.12</c:v>
                </c:pt>
                <c:pt idx="8">
                  <c:v>695.29</c:v>
                </c:pt>
                <c:pt idx="9">
                  <c:v>769.53</c:v>
                </c:pt>
                <c:pt idx="10">
                  <c:v>849.78</c:v>
                </c:pt>
                <c:pt idx="11">
                  <c:v>936.59</c:v>
                </c:pt>
                <c:pt idx="12">
                  <c:v>974.25</c:v>
                </c:pt>
                <c:pt idx="13">
                  <c:v>1061.24</c:v>
                </c:pt>
                <c:pt idx="14">
                  <c:v>1019.53</c:v>
                </c:pt>
                <c:pt idx="15">
                  <c:v>1146.57</c:v>
                </c:pt>
                <c:pt idx="16">
                  <c:v>1143.73</c:v>
                </c:pt>
              </c:numCache>
            </c:numRef>
          </c:yVal>
          <c:smooth val="0"/>
          <c:extLst>
            <c:ext xmlns:c16="http://schemas.microsoft.com/office/drawing/2014/chart" uri="{C3380CC4-5D6E-409C-BE32-E72D297353CC}">
              <c16:uniqueId val="{00000000-4892-4B32-A193-BFE8383DA083}"/>
            </c:ext>
          </c:extLst>
        </c:ser>
        <c:dLbls>
          <c:showLegendKey val="0"/>
          <c:showVal val="0"/>
          <c:showCatName val="0"/>
          <c:showSerName val="0"/>
          <c:showPercent val="0"/>
          <c:showBubbleSize val="0"/>
        </c:dLbls>
        <c:axId val="807923680"/>
        <c:axId val="807924160"/>
      </c:scatterChart>
      <c:valAx>
        <c:axId val="80792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07924160"/>
        <c:crosses val="autoZero"/>
        <c:crossBetween val="midCat"/>
      </c:valAx>
      <c:valAx>
        <c:axId val="80792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07923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47625</xdr:rowOff>
    </xdr:from>
    <xdr:to>
      <xdr:col>11</xdr:col>
      <xdr:colOff>12700</xdr:colOff>
      <xdr:row>8</xdr:row>
      <xdr:rowOff>137160</xdr:rowOff>
    </xdr:to>
    <xdr:sp macro="" textlink="">
      <xdr:nvSpPr>
        <xdr:cNvPr id="2" name="文本框 1">
          <a:extLst>
            <a:ext uri="{FF2B5EF4-FFF2-40B4-BE49-F238E27FC236}">
              <a16:creationId xmlns:a16="http://schemas.microsoft.com/office/drawing/2014/main" id="{88E3F5DF-247B-4C5C-B060-51B6E6A5C44B}"/>
            </a:ext>
          </a:extLst>
        </xdr:cNvPr>
        <xdr:cNvSpPr txBox="1"/>
      </xdr:nvSpPr>
      <xdr:spPr>
        <a:xfrm>
          <a:off x="3230880" y="47625"/>
          <a:ext cx="4889500" cy="1560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zh-CN" sz="1200">
              <a:solidFill>
                <a:schemeClr val="dk1"/>
              </a:solidFill>
              <a:effectLst/>
              <a:latin typeface="+mn-lt"/>
              <a:ea typeface="+mn-ea"/>
              <a:cs typeface="+mn-cs"/>
            </a:rPr>
            <a:t>例</a:t>
          </a:r>
          <a:r>
            <a:rPr lang="en-US" altLang="zh-CN" sz="1200">
              <a:solidFill>
                <a:schemeClr val="dk1"/>
              </a:solidFill>
              <a:effectLst/>
              <a:latin typeface="+mn-lt"/>
              <a:ea typeface="+mn-ea"/>
              <a:cs typeface="+mn-cs"/>
            </a:rPr>
            <a:t>5-3</a:t>
          </a:r>
          <a:r>
            <a:rPr lang="zh-CN" altLang="zh-CN" sz="1200">
              <a:solidFill>
                <a:schemeClr val="dk1"/>
              </a:solidFill>
              <a:effectLst/>
              <a:latin typeface="+mn-lt"/>
              <a:ea typeface="+mn-ea"/>
              <a:cs typeface="+mn-cs"/>
            </a:rPr>
            <a:t>】社会消费品零售总额指数反映了特定时期内社会消费品零售总额的变动趋势和程度，是衡量宏观经济运行状况的重要指标，主要用于反映全社会实物商品的消费情况。根据中经网提供的数据，从</a:t>
          </a:r>
          <a:r>
            <a:rPr lang="en-US" altLang="zh-CN" sz="1200">
              <a:solidFill>
                <a:schemeClr val="dk1"/>
              </a:solidFill>
              <a:effectLst/>
              <a:latin typeface="+mn-lt"/>
              <a:ea typeface="+mn-ea"/>
              <a:cs typeface="+mn-cs"/>
            </a:rPr>
            <a:t>2006</a:t>
          </a:r>
          <a:r>
            <a:rPr lang="zh-CN" altLang="zh-CN" sz="1200">
              <a:solidFill>
                <a:schemeClr val="dk1"/>
              </a:solidFill>
              <a:effectLst/>
              <a:latin typeface="+mn-lt"/>
              <a:ea typeface="+mn-ea"/>
              <a:cs typeface="+mn-cs"/>
            </a:rPr>
            <a:t>年至</a:t>
          </a:r>
          <a:r>
            <a:rPr lang="en-US" altLang="zh-CN" sz="1200">
              <a:solidFill>
                <a:schemeClr val="dk1"/>
              </a:solidFill>
              <a:effectLst/>
              <a:latin typeface="+mn-lt"/>
              <a:ea typeface="+mn-ea"/>
              <a:cs typeface="+mn-cs"/>
            </a:rPr>
            <a:t>2022</a:t>
          </a:r>
          <a:r>
            <a:rPr lang="zh-CN" altLang="zh-CN" sz="1200">
              <a:solidFill>
                <a:schemeClr val="dk1"/>
              </a:solidFill>
              <a:effectLst/>
              <a:latin typeface="+mn-lt"/>
              <a:ea typeface="+mn-ea"/>
              <a:cs typeface="+mn-cs"/>
            </a:rPr>
            <a:t>年的社会消费品零售总额指数如</a:t>
          </a:r>
          <a:r>
            <a:rPr lang="zh-CN" altLang="en-US" sz="1200">
              <a:solidFill>
                <a:schemeClr val="dk1"/>
              </a:solidFill>
              <a:effectLst/>
              <a:latin typeface="+mn-lt"/>
              <a:ea typeface="+mn-ea"/>
              <a:cs typeface="+mn-cs"/>
            </a:rPr>
            <a:t>左</a:t>
          </a:r>
          <a:r>
            <a:rPr lang="zh-CN" altLang="zh-CN" sz="1200">
              <a:solidFill>
                <a:schemeClr val="dk1"/>
              </a:solidFill>
              <a:effectLst/>
              <a:latin typeface="+mn-lt"/>
              <a:ea typeface="+mn-ea"/>
              <a:cs typeface="+mn-cs"/>
            </a:rPr>
            <a:t>所示。通过观察数据，发现其具有明显的线性趋势，因此采用线性趋势模型预测</a:t>
          </a:r>
          <a:r>
            <a:rPr lang="en-US" altLang="zh-CN" sz="1200">
              <a:solidFill>
                <a:schemeClr val="dk1"/>
              </a:solidFill>
              <a:effectLst/>
              <a:latin typeface="+mn-lt"/>
              <a:ea typeface="+mn-ea"/>
              <a:cs typeface="+mn-cs"/>
            </a:rPr>
            <a:t>2023</a:t>
          </a:r>
          <a:r>
            <a:rPr lang="zh-CN" altLang="zh-CN" sz="1200">
              <a:solidFill>
                <a:schemeClr val="dk1"/>
              </a:solidFill>
              <a:effectLst/>
              <a:latin typeface="+mn-lt"/>
              <a:ea typeface="+mn-ea"/>
              <a:cs typeface="+mn-cs"/>
            </a:rPr>
            <a:t>年的社会消费品零售总额指数。</a:t>
          </a:r>
          <a:endParaRPr lang="zh-CN" alt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240690</xdr:colOff>
      <xdr:row>2</xdr:row>
      <xdr:rowOff>164123</xdr:rowOff>
    </xdr:from>
    <xdr:to>
      <xdr:col>17</xdr:col>
      <xdr:colOff>274026</xdr:colOff>
      <xdr:row>18</xdr:row>
      <xdr:rowOff>93418</xdr:rowOff>
    </xdr:to>
    <xdr:graphicFrame macro="">
      <xdr:nvGraphicFramePr>
        <xdr:cNvPr id="2" name="图表 1">
          <a:extLst>
            <a:ext uri="{FF2B5EF4-FFF2-40B4-BE49-F238E27FC236}">
              <a16:creationId xmlns:a16="http://schemas.microsoft.com/office/drawing/2014/main" id="{C3DF467E-825E-6BCE-D607-FDB3DFC8A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F3C2-B1B8-4C98-9103-A1473BEC6FDE}">
  <dimension ref="A1:B21"/>
  <sheetViews>
    <sheetView topLeftCell="D1" zoomScale="145" zoomScaleNormal="145" workbookViewId="0">
      <selection activeCell="B4" sqref="B4"/>
    </sheetView>
  </sheetViews>
  <sheetFormatPr defaultRowHeight="13.9" x14ac:dyDescent="0.4"/>
  <cols>
    <col min="1" max="1" width="5.46484375" bestFit="1" customWidth="1"/>
    <col min="2" max="2" width="32.73046875" bestFit="1" customWidth="1"/>
  </cols>
  <sheetData>
    <row r="1" spans="1:2" x14ac:dyDescent="0.4">
      <c r="A1" s="1" t="s">
        <v>0</v>
      </c>
      <c r="B1" s="2" t="s">
        <v>1</v>
      </c>
    </row>
    <row r="2" spans="1:2" x14ac:dyDescent="0.4">
      <c r="A2" s="1" t="s">
        <v>2</v>
      </c>
      <c r="B2" s="1" t="s">
        <v>3</v>
      </c>
    </row>
    <row r="3" spans="1:2" x14ac:dyDescent="0.4">
      <c r="A3" s="1" t="s">
        <v>4</v>
      </c>
      <c r="B3" s="1" t="s">
        <v>5</v>
      </c>
    </row>
    <row r="4" spans="1:2" x14ac:dyDescent="0.4">
      <c r="A4" s="1" t="s">
        <v>6</v>
      </c>
      <c r="B4" s="1" t="s">
        <v>7</v>
      </c>
    </row>
    <row r="5" spans="1:2" x14ac:dyDescent="0.4">
      <c r="A5" s="1" t="s">
        <v>8</v>
      </c>
      <c r="B5" s="3">
        <v>195.39</v>
      </c>
    </row>
    <row r="6" spans="1:2" x14ac:dyDescent="0.4">
      <c r="A6" s="1" t="s">
        <v>9</v>
      </c>
      <c r="B6" s="3">
        <v>228.13</v>
      </c>
    </row>
    <row r="7" spans="1:2" x14ac:dyDescent="0.4">
      <c r="A7" s="1" t="s">
        <v>10</v>
      </c>
      <c r="B7" s="3">
        <v>277.42</v>
      </c>
    </row>
    <row r="8" spans="1:2" x14ac:dyDescent="0.4">
      <c r="A8" s="1" t="s">
        <v>11</v>
      </c>
      <c r="B8" s="3">
        <v>339.28</v>
      </c>
    </row>
    <row r="9" spans="1:2" x14ac:dyDescent="0.4">
      <c r="A9" s="1" t="s">
        <v>12</v>
      </c>
      <c r="B9" s="3">
        <v>401.47</v>
      </c>
    </row>
    <row r="10" spans="1:2" x14ac:dyDescent="0.4">
      <c r="A10" s="1" t="s">
        <v>13</v>
      </c>
      <c r="B10" s="3">
        <v>470.31</v>
      </c>
    </row>
    <row r="11" spans="1:2" x14ac:dyDescent="0.4">
      <c r="A11" s="1" t="s">
        <v>14</v>
      </c>
      <c r="B11" s="3">
        <v>537.79</v>
      </c>
    </row>
    <row r="12" spans="1:2" x14ac:dyDescent="0.4">
      <c r="A12" s="1" t="s">
        <v>15</v>
      </c>
      <c r="B12" s="3">
        <v>608.12</v>
      </c>
    </row>
    <row r="13" spans="1:2" x14ac:dyDescent="0.4">
      <c r="A13" s="1" t="s">
        <v>16</v>
      </c>
      <c r="B13" s="3">
        <v>695.29</v>
      </c>
    </row>
    <row r="14" spans="1:2" x14ac:dyDescent="0.4">
      <c r="A14" s="1" t="s">
        <v>17</v>
      </c>
      <c r="B14" s="3">
        <v>769.53</v>
      </c>
    </row>
    <row r="15" spans="1:2" x14ac:dyDescent="0.4">
      <c r="A15" s="1" t="s">
        <v>18</v>
      </c>
      <c r="B15" s="3">
        <v>849.78</v>
      </c>
    </row>
    <row r="16" spans="1:2" x14ac:dyDescent="0.4">
      <c r="A16" s="1" t="s">
        <v>19</v>
      </c>
      <c r="B16" s="3">
        <v>936.59</v>
      </c>
    </row>
    <row r="17" spans="1:2" x14ac:dyDescent="0.4">
      <c r="A17" s="1" t="s">
        <v>20</v>
      </c>
      <c r="B17" s="3">
        <v>974.25</v>
      </c>
    </row>
    <row r="18" spans="1:2" x14ac:dyDescent="0.4">
      <c r="A18" s="1" t="s">
        <v>21</v>
      </c>
      <c r="B18" s="3">
        <v>1061.24</v>
      </c>
    </row>
    <row r="19" spans="1:2" x14ac:dyDescent="0.4">
      <c r="A19" s="1" t="s">
        <v>22</v>
      </c>
      <c r="B19" s="3">
        <v>1019.53</v>
      </c>
    </row>
    <row r="20" spans="1:2" x14ac:dyDescent="0.4">
      <c r="A20" s="1" t="s">
        <v>23</v>
      </c>
      <c r="B20" s="3">
        <v>1146.57</v>
      </c>
    </row>
    <row r="21" spans="1:2" x14ac:dyDescent="0.4">
      <c r="A21" s="1" t="s">
        <v>24</v>
      </c>
      <c r="B21" s="3">
        <v>1143.73</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89580-26AA-40BA-B8EC-6FE1B0DD1BBB}">
  <dimension ref="A1:J39"/>
  <sheetViews>
    <sheetView showGridLines="0" tabSelected="1" zoomScaleNormal="100" workbookViewId="0">
      <selection activeCell="D22" sqref="D22"/>
    </sheetView>
  </sheetViews>
  <sheetFormatPr defaultRowHeight="13.9" x14ac:dyDescent="0.4"/>
  <cols>
    <col min="1" max="1" width="5" customWidth="1"/>
    <col min="2" max="2" width="22.3984375" customWidth="1"/>
    <col min="3" max="3" width="18.265625" customWidth="1"/>
    <col min="4" max="4" width="10.73046875" customWidth="1"/>
    <col min="5" max="5" width="9.3984375" customWidth="1"/>
    <col min="6" max="6" width="12" customWidth="1"/>
    <col min="7" max="7" width="9.73046875" customWidth="1"/>
    <col min="8" max="8" width="1.46484375" customWidth="1"/>
    <col min="9" max="9" width="12.1328125" customWidth="1"/>
    <col min="10" max="10" width="8.1328125" customWidth="1"/>
  </cols>
  <sheetData>
    <row r="1" spans="1:10" x14ac:dyDescent="0.4">
      <c r="A1" s="5" t="s">
        <v>34</v>
      </c>
      <c r="B1" s="5" t="s">
        <v>35</v>
      </c>
      <c r="C1" s="4" t="s">
        <v>25</v>
      </c>
      <c r="D1" s="6" t="s">
        <v>26</v>
      </c>
      <c r="E1" s="6" t="s">
        <v>27</v>
      </c>
      <c r="F1" s="6" t="s">
        <v>28</v>
      </c>
      <c r="G1" s="6" t="s">
        <v>29</v>
      </c>
      <c r="H1" s="7"/>
      <c r="I1" s="7" t="s">
        <v>30</v>
      </c>
      <c r="J1" s="7"/>
    </row>
    <row r="2" spans="1:10" x14ac:dyDescent="0.35">
      <c r="A2" s="5" t="s">
        <v>8</v>
      </c>
      <c r="B2" s="5">
        <v>1</v>
      </c>
      <c r="C2" s="8">
        <v>195.39</v>
      </c>
      <c r="D2" s="6">
        <f>$J$3*B2+$J$2</f>
        <v>164.89509803921567</v>
      </c>
      <c r="E2" s="9">
        <f>$J$13+$J$14*B2</f>
        <v>164.89509827530065</v>
      </c>
      <c r="F2" s="9">
        <f t="shared" ref="F2:F18" si="0">FORECAST(B2,$C$2:$C$18,$B$2:$B$18)</f>
        <v>164.89509803921567</v>
      </c>
      <c r="G2" s="9" cm="1">
        <f t="array" ref="G2">TREND($C$2:$C$18,$B$2:$B$18,B2)</f>
        <v>164.89509803921584</v>
      </c>
      <c r="H2" s="7"/>
      <c r="I2" s="6" t="s">
        <v>31</v>
      </c>
      <c r="J2" s="6">
        <f>INTERCEPT(C2:C18,B2:B18)</f>
        <v>99.812720588235265</v>
      </c>
    </row>
    <row r="3" spans="1:10" x14ac:dyDescent="0.35">
      <c r="A3" s="5" t="s">
        <v>9</v>
      </c>
      <c r="B3" s="5">
        <v>2</v>
      </c>
      <c r="C3" s="8">
        <v>228.13</v>
      </c>
      <c r="D3" s="6">
        <f t="shared" ref="D3:D19" si="1">$J$3*B3+$J$2</f>
        <v>229.97747549019604</v>
      </c>
      <c r="E3" s="9">
        <f t="shared" ref="E3:E19" si="2">$J$13+$J$14*B3</f>
        <v>229.97747559590428</v>
      </c>
      <c r="F3" s="9">
        <f t="shared" si="0"/>
        <v>229.97747549019604</v>
      </c>
      <c r="G3" s="9" cm="1">
        <f t="array" ref="G3">TREND($C$2:$C$18,$B$2:$B$18,B3)</f>
        <v>229.97747549019621</v>
      </c>
      <c r="H3" s="7"/>
      <c r="I3" s="6" t="s">
        <v>32</v>
      </c>
      <c r="J3" s="6">
        <f>SLOPE(C2:C18,B2:B18)</f>
        <v>65.082377450980388</v>
      </c>
    </row>
    <row r="4" spans="1:10" x14ac:dyDescent="0.35">
      <c r="A4" s="5" t="s">
        <v>10</v>
      </c>
      <c r="B4" s="5">
        <v>3</v>
      </c>
      <c r="C4" s="8">
        <v>277.42</v>
      </c>
      <c r="D4" s="6">
        <f t="shared" si="1"/>
        <v>295.05985294117642</v>
      </c>
      <c r="E4" s="9">
        <f t="shared" si="2"/>
        <v>295.05985291650791</v>
      </c>
      <c r="F4" s="9">
        <f t="shared" si="0"/>
        <v>295.05985294117642</v>
      </c>
      <c r="G4" s="9" cm="1">
        <f t="array" ref="G4">TREND($C$2:$C$18,$B$2:$B$18,B4)</f>
        <v>295.05985294117659</v>
      </c>
      <c r="H4" s="7"/>
      <c r="I4" s="10"/>
      <c r="J4" s="10"/>
    </row>
    <row r="5" spans="1:10" x14ac:dyDescent="0.35">
      <c r="A5" s="5" t="s">
        <v>11</v>
      </c>
      <c r="B5" s="5">
        <v>4</v>
      </c>
      <c r="C5" s="8">
        <v>339.28</v>
      </c>
      <c r="D5" s="6">
        <f t="shared" si="1"/>
        <v>360.14223039215682</v>
      </c>
      <c r="E5" s="9">
        <f t="shared" si="2"/>
        <v>360.14223023711151</v>
      </c>
      <c r="F5" s="9">
        <f t="shared" si="0"/>
        <v>360.14223039215682</v>
      </c>
      <c r="G5" s="9" cm="1">
        <f t="array" ref="G5">TREND($C$2:$C$18,$B$2:$B$18,B5)</f>
        <v>360.14223039215693</v>
      </c>
      <c r="H5" s="7"/>
      <c r="I5" s="11" t="s">
        <v>33</v>
      </c>
      <c r="J5" s="10"/>
    </row>
    <row r="6" spans="1:10" x14ac:dyDescent="0.35">
      <c r="A6" s="5" t="s">
        <v>12</v>
      </c>
      <c r="B6" s="5">
        <v>5</v>
      </c>
      <c r="C6" s="8">
        <v>401.47</v>
      </c>
      <c r="D6" s="6">
        <f t="shared" si="1"/>
        <v>425.22460784313722</v>
      </c>
      <c r="E6" s="9">
        <f t="shared" si="2"/>
        <v>425.2246075577151</v>
      </c>
      <c r="F6" s="9">
        <f t="shared" si="0"/>
        <v>425.22460784313722</v>
      </c>
      <c r="G6" s="9" cm="1">
        <f t="array" ref="G6">TREND($C$2:$C$18,$B$2:$B$18,B6)</f>
        <v>425.22460784313728</v>
      </c>
      <c r="H6" s="7"/>
      <c r="I6" s="6" t="s">
        <v>32</v>
      </c>
      <c r="J6" s="6" t="s">
        <v>31</v>
      </c>
    </row>
    <row r="7" spans="1:10" x14ac:dyDescent="0.35">
      <c r="A7" s="5" t="s">
        <v>13</v>
      </c>
      <c r="B7" s="5">
        <v>6</v>
      </c>
      <c r="C7" s="8">
        <v>470.31</v>
      </c>
      <c r="D7" s="6">
        <f t="shared" si="1"/>
        <v>490.30698529411757</v>
      </c>
      <c r="E7" s="9">
        <f t="shared" si="2"/>
        <v>490.30698487831876</v>
      </c>
      <c r="F7" s="9">
        <f t="shared" si="0"/>
        <v>490.30698529411757</v>
      </c>
      <c r="G7" s="9" cm="1">
        <f t="array" ref="G7">TREND($C$2:$C$18,$B$2:$B$18,B7)</f>
        <v>490.30698529411768</v>
      </c>
      <c r="H7" s="7"/>
      <c r="I7" s="6">
        <f t="array" ref="I7:J7">LINEST(C2:C18,B2:B18)</f>
        <v>65.08237745098036</v>
      </c>
      <c r="J7" s="6">
        <v>99.812720588235493</v>
      </c>
    </row>
    <row r="8" spans="1:10" x14ac:dyDescent="0.35">
      <c r="A8" s="5" t="s">
        <v>14</v>
      </c>
      <c r="B8" s="5">
        <v>7</v>
      </c>
      <c r="C8" s="8">
        <v>537.79</v>
      </c>
      <c r="D8" s="6">
        <f t="shared" si="1"/>
        <v>555.38936274509797</v>
      </c>
      <c r="E8" s="9">
        <f t="shared" si="2"/>
        <v>555.3893621989223</v>
      </c>
      <c r="F8" s="9">
        <f t="shared" si="0"/>
        <v>555.38936274509797</v>
      </c>
      <c r="G8" s="9" cm="1">
        <f t="array" ref="G8">TREND($C$2:$C$18,$B$2:$B$18,B8)</f>
        <v>555.38936274509797</v>
      </c>
      <c r="H8" s="7"/>
      <c r="I8" s="7"/>
      <c r="J8" s="7"/>
    </row>
    <row r="9" spans="1:10" x14ac:dyDescent="0.35">
      <c r="A9" s="5" t="s">
        <v>15</v>
      </c>
      <c r="B9" s="5">
        <v>8</v>
      </c>
      <c r="C9" s="8">
        <v>608.12</v>
      </c>
      <c r="D9" s="6">
        <f t="shared" si="1"/>
        <v>620.47174019607837</v>
      </c>
      <c r="E9" s="9">
        <f t="shared" si="2"/>
        <v>620.47173951952595</v>
      </c>
      <c r="F9" s="9">
        <f t="shared" si="0"/>
        <v>620.47174019607837</v>
      </c>
      <c r="G9" s="9" cm="1">
        <f t="array" ref="G9">TREND($C$2:$C$18,$B$2:$B$18,B9)</f>
        <v>620.47174019607837</v>
      </c>
      <c r="H9" s="7"/>
      <c r="I9" s="7"/>
      <c r="J9" s="7"/>
    </row>
    <row r="10" spans="1:10" x14ac:dyDescent="0.35">
      <c r="A10" s="5" t="s">
        <v>16</v>
      </c>
      <c r="B10" s="5">
        <v>9</v>
      </c>
      <c r="C10" s="8">
        <v>695.29</v>
      </c>
      <c r="D10" s="6">
        <f t="shared" si="1"/>
        <v>685.55411764705877</v>
      </c>
      <c r="E10" s="9">
        <f t="shared" si="2"/>
        <v>685.55411684012961</v>
      </c>
      <c r="F10" s="9">
        <f t="shared" si="0"/>
        <v>685.55411764705877</v>
      </c>
      <c r="G10" s="9" cm="1">
        <f t="array" ref="G10">TREND($C$2:$C$18,$B$2:$B$18,B10)</f>
        <v>685.55411764705877</v>
      </c>
      <c r="H10" s="7"/>
      <c r="I10" s="7">
        <f>RSQ(C2:C18,B2:B18)</f>
        <v>0.98952700765998103</v>
      </c>
      <c r="J10" s="7"/>
    </row>
    <row r="11" spans="1:10" x14ac:dyDescent="0.35">
      <c r="A11" s="5" t="s">
        <v>17</v>
      </c>
      <c r="B11" s="5">
        <v>10</v>
      </c>
      <c r="C11" s="8">
        <v>769.53</v>
      </c>
      <c r="D11" s="6">
        <f t="shared" si="1"/>
        <v>750.63649509803918</v>
      </c>
      <c r="E11" s="9">
        <f t="shared" si="2"/>
        <v>750.63649416073315</v>
      </c>
      <c r="F11" s="9">
        <f t="shared" si="0"/>
        <v>750.63649509803918</v>
      </c>
      <c r="G11" s="9" cm="1">
        <f t="array" ref="G11">TREND($C$2:$C$18,$B$2:$B$18,B11)</f>
        <v>750.63649509803906</v>
      </c>
      <c r="H11" s="7"/>
      <c r="I11" s="7"/>
      <c r="J11" s="7"/>
    </row>
    <row r="12" spans="1:10" x14ac:dyDescent="0.35">
      <c r="A12" s="5" t="s">
        <v>18</v>
      </c>
      <c r="B12" s="5">
        <v>11</v>
      </c>
      <c r="C12" s="8">
        <v>849.78</v>
      </c>
      <c r="D12" s="6">
        <f t="shared" si="1"/>
        <v>815.71887254901958</v>
      </c>
      <c r="E12" s="9">
        <f t="shared" si="2"/>
        <v>815.71887148133681</v>
      </c>
      <c r="F12" s="9">
        <f t="shared" si="0"/>
        <v>815.71887254901958</v>
      </c>
      <c r="G12" s="9" cm="1">
        <f t="array" ref="G12">TREND($C$2:$C$18,$B$2:$B$18,B12)</f>
        <v>815.71887254901947</v>
      </c>
      <c r="H12" s="7"/>
      <c r="I12" s="7"/>
      <c r="J12" s="7"/>
    </row>
    <row r="13" spans="1:10" x14ac:dyDescent="0.35">
      <c r="A13" s="5" t="s">
        <v>19</v>
      </c>
      <c r="B13" s="5">
        <v>12</v>
      </c>
      <c r="C13" s="8">
        <v>936.59</v>
      </c>
      <c r="D13" s="6">
        <f t="shared" si="1"/>
        <v>880.80124999999987</v>
      </c>
      <c r="E13" s="9">
        <f t="shared" si="2"/>
        <v>880.80124880194046</v>
      </c>
      <c r="F13" s="9">
        <f t="shared" si="0"/>
        <v>880.80124999999987</v>
      </c>
      <c r="G13" s="9" cm="1">
        <f t="array" ref="G13">TREND($C$2:$C$18,$B$2:$B$18,B13)</f>
        <v>880.80124999999987</v>
      </c>
      <c r="H13" s="7"/>
      <c r="I13" s="7" t="s">
        <v>61</v>
      </c>
      <c r="J13" s="7">
        <v>99.812720954697056</v>
      </c>
    </row>
    <row r="14" spans="1:10" x14ac:dyDescent="0.35">
      <c r="A14" s="5" t="s">
        <v>20</v>
      </c>
      <c r="B14" s="5">
        <v>13</v>
      </c>
      <c r="C14" s="8">
        <v>974.25</v>
      </c>
      <c r="D14" s="6">
        <f t="shared" si="1"/>
        <v>945.88362745098027</v>
      </c>
      <c r="E14" s="9">
        <f t="shared" si="2"/>
        <v>945.883626122544</v>
      </c>
      <c r="F14" s="9">
        <f t="shared" si="0"/>
        <v>945.88362745098027</v>
      </c>
      <c r="G14" s="9" cm="1">
        <f t="array" ref="G14">TREND($C$2:$C$18,$B$2:$B$18,B14)</f>
        <v>945.88362745098016</v>
      </c>
      <c r="H14" s="7"/>
      <c r="I14" s="7" t="s">
        <v>62</v>
      </c>
      <c r="J14" s="7">
        <v>65.082377320603612</v>
      </c>
    </row>
    <row r="15" spans="1:10" x14ac:dyDescent="0.35">
      <c r="A15" s="5" t="s">
        <v>21</v>
      </c>
      <c r="B15" s="5">
        <v>14</v>
      </c>
      <c r="C15" s="8">
        <v>1061.24</v>
      </c>
      <c r="D15" s="6">
        <f t="shared" si="1"/>
        <v>1010.9660049019607</v>
      </c>
      <c r="E15" s="9">
        <f t="shared" si="2"/>
        <v>1010.9660034431477</v>
      </c>
      <c r="F15" s="9">
        <f t="shared" si="0"/>
        <v>1010.9660049019607</v>
      </c>
      <c r="G15" s="9" cm="1">
        <f t="array" ref="G15">TREND($C$2:$C$18,$B$2:$B$18,B15)</f>
        <v>1010.9660049019606</v>
      </c>
      <c r="H15" s="7"/>
      <c r="I15" s="7"/>
      <c r="J15" s="7"/>
    </row>
    <row r="16" spans="1:10" x14ac:dyDescent="0.35">
      <c r="A16" s="5" t="s">
        <v>22</v>
      </c>
      <c r="B16" s="5">
        <v>15</v>
      </c>
      <c r="C16" s="8">
        <v>1019.53</v>
      </c>
      <c r="D16" s="6">
        <f t="shared" si="1"/>
        <v>1076.0483823529412</v>
      </c>
      <c r="E16" s="9">
        <f t="shared" si="2"/>
        <v>1076.0483807637511</v>
      </c>
      <c r="F16" s="9">
        <f t="shared" si="0"/>
        <v>1076.0483823529412</v>
      </c>
      <c r="G16" s="9" cm="1">
        <f t="array" ref="G16">TREND($C$2:$C$18,$B$2:$B$18,B16)</f>
        <v>1076.0483823529407</v>
      </c>
      <c r="H16" s="7"/>
      <c r="I16" s="7" t="s">
        <v>63</v>
      </c>
      <c r="J16" s="7">
        <f>SUMXMY2(E2:E18,C2:C18)</f>
        <v>18290.691105637237</v>
      </c>
    </row>
    <row r="17" spans="1:10" x14ac:dyDescent="0.35">
      <c r="A17" s="5" t="s">
        <v>23</v>
      </c>
      <c r="B17" s="5">
        <v>16</v>
      </c>
      <c r="C17" s="8">
        <v>1146.57</v>
      </c>
      <c r="D17" s="6">
        <f t="shared" si="1"/>
        <v>1141.1307598039216</v>
      </c>
      <c r="E17" s="9">
        <f t="shared" si="2"/>
        <v>1141.130758084355</v>
      </c>
      <c r="F17" s="9">
        <f t="shared" si="0"/>
        <v>1141.1307598039216</v>
      </c>
      <c r="G17" s="9" cm="1">
        <f t="array" ref="G17">TREND($C$2:$C$18,$B$2:$B$18,B17)</f>
        <v>1141.1307598039211</v>
      </c>
      <c r="H17" s="7"/>
      <c r="I17" s="7"/>
      <c r="J17" s="7"/>
    </row>
    <row r="18" spans="1:10" x14ac:dyDescent="0.35">
      <c r="A18" s="12" t="s">
        <v>24</v>
      </c>
      <c r="B18" s="12">
        <v>17</v>
      </c>
      <c r="C18" s="13">
        <v>1143.73</v>
      </c>
      <c r="D18" s="6">
        <f t="shared" si="1"/>
        <v>1206.213137254902</v>
      </c>
      <c r="E18" s="9">
        <f t="shared" si="2"/>
        <v>1206.2131354049584</v>
      </c>
      <c r="F18" s="9">
        <f t="shared" si="0"/>
        <v>1206.213137254902</v>
      </c>
      <c r="G18" s="9" cm="1">
        <f t="array" ref="G18">TREND($C$2:$C$18,$B$2:$B$18,B18)</f>
        <v>1206.2131372549015</v>
      </c>
      <c r="H18" s="7"/>
      <c r="I18" s="7"/>
      <c r="J18" s="7"/>
    </row>
    <row r="19" spans="1:10" x14ac:dyDescent="0.4">
      <c r="A19" s="9">
        <v>2023</v>
      </c>
      <c r="B19" s="14">
        <v>18</v>
      </c>
      <c r="C19" s="9"/>
      <c r="D19" s="6">
        <f t="shared" si="1"/>
        <v>1271.2955147058824</v>
      </c>
      <c r="E19" s="9">
        <f t="shared" si="2"/>
        <v>1271.2955127255623</v>
      </c>
      <c r="F19" s="9">
        <f>FORECAST(B19,$C$2:$C$18,$B$2:$B$18)</f>
        <v>1271.2955147058824</v>
      </c>
      <c r="G19" s="9" cm="1">
        <f t="array" ref="G19">TREND($C$2:$C$18,$B$2:$B$18,B19)</f>
        <v>1271.2955147058819</v>
      </c>
      <c r="H19" s="7"/>
      <c r="I19" s="7"/>
      <c r="J19" s="7"/>
    </row>
    <row r="20" spans="1:10" x14ac:dyDescent="0.4">
      <c r="A20" s="7"/>
      <c r="B20" s="7"/>
      <c r="C20" s="7"/>
      <c r="D20" s="7"/>
      <c r="E20" s="7"/>
      <c r="F20" s="7">
        <f>F19</f>
        <v>1271.2955147058824</v>
      </c>
      <c r="G20" s="7"/>
      <c r="H20" s="7"/>
      <c r="I20" s="7"/>
      <c r="J20" s="7"/>
    </row>
    <row r="22" spans="1:10" x14ac:dyDescent="0.4">
      <c r="A22" t="s">
        <v>36</v>
      </c>
    </row>
    <row r="23" spans="1:10" ht="14.25" thickBot="1" x14ac:dyDescent="0.45"/>
    <row r="24" spans="1:10" x14ac:dyDescent="0.4">
      <c r="A24" s="18" t="s">
        <v>37</v>
      </c>
      <c r="B24" s="18"/>
    </row>
    <row r="25" spans="1:10" x14ac:dyDescent="0.4">
      <c r="A25" s="15" t="s">
        <v>38</v>
      </c>
      <c r="B25" s="15">
        <v>0.99474972111580962</v>
      </c>
    </row>
    <row r="26" spans="1:10" x14ac:dyDescent="0.4">
      <c r="A26" s="15" t="s">
        <v>39</v>
      </c>
      <c r="B26" s="15">
        <v>0.98952700765998092</v>
      </c>
    </row>
    <row r="27" spans="1:10" x14ac:dyDescent="0.4">
      <c r="A27" s="15" t="s">
        <v>40</v>
      </c>
      <c r="B27" s="15">
        <v>0.98882880817064633</v>
      </c>
    </row>
    <row r="28" spans="1:10" x14ac:dyDescent="0.4">
      <c r="A28" s="15" t="s">
        <v>41</v>
      </c>
      <c r="B28" s="15">
        <v>34.919613500760335</v>
      </c>
    </row>
    <row r="29" spans="1:10" ht="14.25" thickBot="1" x14ac:dyDescent="0.45">
      <c r="A29" s="16" t="s">
        <v>42</v>
      </c>
      <c r="B29" s="16">
        <v>17</v>
      </c>
    </row>
    <row r="31" spans="1:10" ht="14.25" thickBot="1" x14ac:dyDescent="0.45">
      <c r="A31" t="s">
        <v>43</v>
      </c>
    </row>
    <row r="32" spans="1:10" x14ac:dyDescent="0.4">
      <c r="A32" s="17"/>
      <c r="B32" s="17" t="s">
        <v>48</v>
      </c>
      <c r="C32" s="17" t="s">
        <v>49</v>
      </c>
      <c r="D32" s="17" t="s">
        <v>50</v>
      </c>
      <c r="E32" s="17" t="s">
        <v>51</v>
      </c>
      <c r="F32" s="17" t="s">
        <v>52</v>
      </c>
    </row>
    <row r="33" spans="1:9" x14ac:dyDescent="0.4">
      <c r="A33" s="15" t="s">
        <v>44</v>
      </c>
      <c r="B33" s="15">
        <v>1</v>
      </c>
      <c r="C33" s="15">
        <v>1728172.0687061273</v>
      </c>
      <c r="D33" s="15">
        <v>1728172.0687061273</v>
      </c>
      <c r="E33" s="15">
        <v>1417.2554159313579</v>
      </c>
      <c r="F33" s="15">
        <v>2.8787806605603597E-16</v>
      </c>
    </row>
    <row r="34" spans="1:9" x14ac:dyDescent="0.4">
      <c r="A34" s="15" t="s">
        <v>45</v>
      </c>
      <c r="B34" s="15">
        <v>15</v>
      </c>
      <c r="C34" s="15">
        <v>18290.691105637248</v>
      </c>
      <c r="D34" s="15">
        <v>1219.3794070424833</v>
      </c>
      <c r="E34" s="15"/>
      <c r="F34" s="15"/>
    </row>
    <row r="35" spans="1:9" ht="14.25" thickBot="1" x14ac:dyDescent="0.45">
      <c r="A35" s="16" t="s">
        <v>46</v>
      </c>
      <c r="B35" s="16">
        <v>16</v>
      </c>
      <c r="C35" s="16">
        <v>1746462.7598117646</v>
      </c>
      <c r="D35" s="16"/>
      <c r="E35" s="16"/>
      <c r="F35" s="16"/>
    </row>
    <row r="36" spans="1:9" ht="14.25" thickBot="1" x14ac:dyDescent="0.45"/>
    <row r="37" spans="1:9" x14ac:dyDescent="0.4">
      <c r="A37" s="17"/>
      <c r="B37" s="17" t="s">
        <v>53</v>
      </c>
      <c r="C37" s="17" t="s">
        <v>41</v>
      </c>
      <c r="D37" s="17" t="s">
        <v>54</v>
      </c>
      <c r="E37" s="17" t="s">
        <v>55</v>
      </c>
      <c r="F37" s="17" t="s">
        <v>56</v>
      </c>
      <c r="G37" s="17" t="s">
        <v>57</v>
      </c>
      <c r="H37" s="17" t="s">
        <v>58</v>
      </c>
      <c r="I37" s="17" t="s">
        <v>59</v>
      </c>
    </row>
    <row r="38" spans="1:9" x14ac:dyDescent="0.4">
      <c r="A38" s="15" t="s">
        <v>47</v>
      </c>
      <c r="B38" s="15">
        <v>99.812720588235493</v>
      </c>
      <c r="C38" s="15">
        <v>17.714707923429152</v>
      </c>
      <c r="D38" s="15">
        <v>5.6344547716886142</v>
      </c>
      <c r="E38" s="15">
        <v>4.7512221978560521E-5</v>
      </c>
      <c r="F38" s="15">
        <v>62.054714435118292</v>
      </c>
      <c r="G38" s="15">
        <v>137.5707267413527</v>
      </c>
      <c r="H38" s="15">
        <v>62.054714435118292</v>
      </c>
      <c r="I38" s="15">
        <v>137.5707267413527</v>
      </c>
    </row>
    <row r="39" spans="1:9" ht="14.25" thickBot="1" x14ac:dyDescent="0.45">
      <c r="A39" s="16" t="s">
        <v>60</v>
      </c>
      <c r="B39" s="16">
        <v>65.08237745098036</v>
      </c>
      <c r="C39" s="16">
        <v>1.728778475473647</v>
      </c>
      <c r="D39" s="16">
        <v>37.646452899726917</v>
      </c>
      <c r="E39" s="16">
        <v>2.8787806605603597E-16</v>
      </c>
      <c r="F39" s="16">
        <v>61.397573355058533</v>
      </c>
      <c r="G39" s="16">
        <v>68.767181546902179</v>
      </c>
      <c r="H39" s="16">
        <v>61.397573355058533</v>
      </c>
      <c r="I39" s="16">
        <v>68.767181546902179</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例5-3</vt:lpstr>
      <vt:lpstr>线性趋势预测模型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xiemp@126.com</dc:creator>
  <cp:lastModifiedBy>a77111</cp:lastModifiedBy>
  <dcterms:created xsi:type="dcterms:W3CDTF">2024-03-17T08:50:42Z</dcterms:created>
  <dcterms:modified xsi:type="dcterms:W3CDTF">2026-06-20T07:06:15Z</dcterms:modified>
</cp:coreProperties>
</file>